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5714DFEC-00DA-4ECB-864F-1348847FB931}" xr6:coauthVersionLast="47" xr6:coauthVersionMax="47" xr10:uidLastSave="{00000000-0000-0000-0000-000000000000}"/>
  <bookViews>
    <workbookView xWindow="-120" yWindow="-120" windowWidth="51840" windowHeight="21120" tabRatio="500" activeTab="11" xr2:uid="{00000000-000D-0000-FFFF-FFFF00000000}"/>
  </bookViews>
  <sheets>
    <sheet name="START HERE" sheetId="1" r:id="rId1"/>
    <sheet name="Dashboard" sheetId="2" r:id="rId2"/>
    <sheet name="Alerts" sheetId="3" r:id="rId3"/>
    <sheet name="TimeOff" sheetId="4" r:id="rId4"/>
    <sheet name="SeniorReview" sheetId="5" r:id="rId5"/>
    <sheet name="DataHealth" sheetId="6" r:id="rId6"/>
    <sheet name="Legend" sheetId="7" r:id="rId7"/>
    <sheet name="Historical" sheetId="8" r:id="rId8"/>
    <sheet name="Detail" sheetId="9" r:id="rId9"/>
    <sheet name="Config" sheetId="10" r:id="rId10"/>
    <sheet name="BPOworkers" sheetId="11" r:id="rId11"/>
    <sheet name="RawBtabs" sheetId="12" r:id="rId12"/>
  </sheets>
  <definedNames>
    <definedName name="_xlnm._FilterDatabase" localSheetId="2" hidden="1">Alerts!$B$6:$N$96</definedName>
    <definedName name="_xlnm._FilterDatabase" localSheetId="7" hidden="1">Historical!$B$5:$AK$60</definedName>
    <definedName name="_xlnm._FilterDatabase" localSheetId="11" hidden="1">RawBtabs!$A$1:$AL$1500</definedName>
    <definedName name="_xlnm._FilterDatabase" localSheetId="3" hidden="1">TimeOff!$B$8:$M$98</definedName>
    <definedName name="_xlnm.Print_Titles" localSheetId="2">Alerts!$6:$6</definedName>
    <definedName name="_xlnm.Print_Titles" localSheetId="1">Dashboard!$8:$9</definedName>
    <definedName name="_xlnm.Print_Titles" localSheetId="5">DataHealth!$10:$10</definedName>
    <definedName name="_xlnm.Print_Titles" localSheetId="8">Detail!$5:$5</definedName>
    <definedName name="_xlnm.Print_Titles" localSheetId="7">Historical!$5:$5</definedName>
    <definedName name="_xlnm.Print_Titles" localSheetId="11">RawBtabs!$1:$1</definedName>
    <definedName name="_xlnm.Print_Titles" localSheetId="3">TimeOff!$8:$8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L1500" i="12" l="1"/>
  <c r="AK1500" i="12"/>
  <c r="AJ1500" i="12"/>
  <c r="AI1500" i="12"/>
  <c r="AH1500" i="12"/>
  <c r="AG1500" i="12"/>
  <c r="AF1500" i="12"/>
  <c r="AC1500" i="12"/>
  <c r="AE1500" i="12" s="1"/>
  <c r="AB1500" i="12"/>
  <c r="Z1500" i="12"/>
  <c r="X1500" i="12"/>
  <c r="W1500" i="12"/>
  <c r="V1500" i="12"/>
  <c r="U1500" i="12"/>
  <c r="T1500" i="12"/>
  <c r="S1500" i="12"/>
  <c r="AL1499" i="12"/>
  <c r="AK1499" i="12"/>
  <c r="AJ1499" i="12"/>
  <c r="AI1499" i="12"/>
  <c r="AH1499" i="12"/>
  <c r="AG1499" i="12"/>
  <c r="AF1499" i="12"/>
  <c r="AC1499" i="12"/>
  <c r="AE1499" i="12" s="1"/>
  <c r="AB1499" i="12"/>
  <c r="Z1499" i="12"/>
  <c r="X1499" i="12"/>
  <c r="W1499" i="12"/>
  <c r="V1499" i="12"/>
  <c r="U1499" i="12"/>
  <c r="T1499" i="12"/>
  <c r="S1499" i="12"/>
  <c r="AL1498" i="12"/>
  <c r="AK1498" i="12"/>
  <c r="AJ1498" i="12"/>
  <c r="AI1498" i="12"/>
  <c r="AH1498" i="12"/>
  <c r="AG1498" i="12"/>
  <c r="AF1498" i="12"/>
  <c r="AC1498" i="12"/>
  <c r="AE1498" i="12" s="1"/>
  <c r="AB1498" i="12"/>
  <c r="Z1498" i="12"/>
  <c r="X1498" i="12"/>
  <c r="W1498" i="12"/>
  <c r="V1498" i="12"/>
  <c r="U1498" i="12"/>
  <c r="T1498" i="12"/>
  <c r="S1498" i="12"/>
  <c r="AL1497" i="12"/>
  <c r="AK1497" i="12"/>
  <c r="AJ1497" i="12"/>
  <c r="AI1497" i="12"/>
  <c r="AH1497" i="12"/>
  <c r="AG1497" i="12"/>
  <c r="AF1497" i="12"/>
  <c r="AC1497" i="12"/>
  <c r="AE1497" i="12" s="1"/>
  <c r="AB1497" i="12"/>
  <c r="Z1497" i="12"/>
  <c r="X1497" i="12"/>
  <c r="W1497" i="12"/>
  <c r="V1497" i="12"/>
  <c r="U1497" i="12"/>
  <c r="T1497" i="12"/>
  <c r="S1497" i="12"/>
  <c r="AL1496" i="12"/>
  <c r="AK1496" i="12"/>
  <c r="AJ1496" i="12"/>
  <c r="AI1496" i="12"/>
  <c r="AH1496" i="12"/>
  <c r="AG1496" i="12"/>
  <c r="AF1496" i="12"/>
  <c r="AC1496" i="12"/>
  <c r="AE1496" i="12" s="1"/>
  <c r="AB1496" i="12"/>
  <c r="Z1496" i="12"/>
  <c r="X1496" i="12"/>
  <c r="W1496" i="12"/>
  <c r="V1496" i="12"/>
  <c r="U1496" i="12"/>
  <c r="T1496" i="12"/>
  <c r="S1496" i="12"/>
  <c r="AL1495" i="12"/>
  <c r="AK1495" i="12"/>
  <c r="AJ1495" i="12"/>
  <c r="AI1495" i="12"/>
  <c r="AH1495" i="12"/>
  <c r="AG1495" i="12"/>
  <c r="AF1495" i="12"/>
  <c r="AC1495" i="12"/>
  <c r="AE1495" i="12" s="1"/>
  <c r="AB1495" i="12"/>
  <c r="Z1495" i="12"/>
  <c r="X1495" i="12"/>
  <c r="W1495" i="12"/>
  <c r="V1495" i="12"/>
  <c r="U1495" i="12"/>
  <c r="T1495" i="12"/>
  <c r="S1495" i="12"/>
  <c r="AL1494" i="12"/>
  <c r="AK1494" i="12"/>
  <c r="AJ1494" i="12"/>
  <c r="AI1494" i="12"/>
  <c r="AH1494" i="12"/>
  <c r="AG1494" i="12"/>
  <c r="AF1494" i="12"/>
  <c r="AC1494" i="12"/>
  <c r="AE1494" i="12" s="1"/>
  <c r="AB1494" i="12"/>
  <c r="Z1494" i="12"/>
  <c r="X1494" i="12"/>
  <c r="W1494" i="12"/>
  <c r="V1494" i="12"/>
  <c r="U1494" i="12"/>
  <c r="T1494" i="12"/>
  <c r="S1494" i="12"/>
  <c r="AL1493" i="12"/>
  <c r="AK1493" i="12"/>
  <c r="AJ1493" i="12"/>
  <c r="AI1493" i="12"/>
  <c r="AH1493" i="12"/>
  <c r="AG1493" i="12"/>
  <c r="AF1493" i="12"/>
  <c r="AC1493" i="12"/>
  <c r="AE1493" i="12" s="1"/>
  <c r="AB1493" i="12"/>
  <c r="Z1493" i="12"/>
  <c r="X1493" i="12"/>
  <c r="W1493" i="12"/>
  <c r="V1493" i="12"/>
  <c r="U1493" i="12"/>
  <c r="T1493" i="12"/>
  <c r="S1493" i="12"/>
  <c r="AL1492" i="12"/>
  <c r="AK1492" i="12"/>
  <c r="AJ1492" i="12"/>
  <c r="AI1492" i="12"/>
  <c r="AH1492" i="12"/>
  <c r="AG1492" i="12"/>
  <c r="AF1492" i="12"/>
  <c r="AE1492" i="12"/>
  <c r="AC1492" i="12"/>
  <c r="AB1492" i="12"/>
  <c r="Z1492" i="12"/>
  <c r="X1492" i="12"/>
  <c r="W1492" i="12"/>
  <c r="V1492" i="12"/>
  <c r="U1492" i="12"/>
  <c r="T1492" i="12"/>
  <c r="S1492" i="12"/>
  <c r="AL1491" i="12"/>
  <c r="AK1491" i="12"/>
  <c r="AJ1491" i="12"/>
  <c r="AI1491" i="12"/>
  <c r="AH1491" i="12"/>
  <c r="AG1491" i="12"/>
  <c r="AF1491" i="12"/>
  <c r="AE1491" i="12"/>
  <c r="AC1491" i="12"/>
  <c r="AB1491" i="12"/>
  <c r="Z1491" i="12"/>
  <c r="X1491" i="12"/>
  <c r="W1491" i="12"/>
  <c r="V1491" i="12"/>
  <c r="U1491" i="12"/>
  <c r="T1491" i="12"/>
  <c r="S1491" i="12"/>
  <c r="AL1490" i="12"/>
  <c r="AK1490" i="12"/>
  <c r="AJ1490" i="12"/>
  <c r="AI1490" i="12"/>
  <c r="AH1490" i="12"/>
  <c r="AG1490" i="12"/>
  <c r="AF1490" i="12"/>
  <c r="AC1490" i="12"/>
  <c r="AE1490" i="12" s="1"/>
  <c r="AB1490" i="12"/>
  <c r="Z1490" i="12"/>
  <c r="X1490" i="12"/>
  <c r="W1490" i="12"/>
  <c r="V1490" i="12"/>
  <c r="U1490" i="12"/>
  <c r="T1490" i="12"/>
  <c r="S1490" i="12"/>
  <c r="AL1489" i="12"/>
  <c r="AK1489" i="12"/>
  <c r="AJ1489" i="12"/>
  <c r="AI1489" i="12"/>
  <c r="AH1489" i="12"/>
  <c r="AG1489" i="12"/>
  <c r="AF1489" i="12"/>
  <c r="AE1489" i="12"/>
  <c r="AC1489" i="12"/>
  <c r="AB1489" i="12"/>
  <c r="Z1489" i="12"/>
  <c r="X1489" i="12"/>
  <c r="W1489" i="12"/>
  <c r="V1489" i="12"/>
  <c r="U1489" i="12"/>
  <c r="T1489" i="12"/>
  <c r="S1489" i="12"/>
  <c r="AL1488" i="12"/>
  <c r="AK1488" i="12"/>
  <c r="AJ1488" i="12"/>
  <c r="AI1488" i="12"/>
  <c r="AH1488" i="12"/>
  <c r="AG1488" i="12"/>
  <c r="AF1488" i="12"/>
  <c r="AE1488" i="12"/>
  <c r="AC1488" i="12"/>
  <c r="AB1488" i="12"/>
  <c r="Z1488" i="12"/>
  <c r="X1488" i="12"/>
  <c r="W1488" i="12"/>
  <c r="V1488" i="12"/>
  <c r="U1488" i="12"/>
  <c r="T1488" i="12"/>
  <c r="S1488" i="12"/>
  <c r="AL1487" i="12"/>
  <c r="AK1487" i="12"/>
  <c r="AJ1487" i="12"/>
  <c r="AI1487" i="12"/>
  <c r="AH1487" i="12"/>
  <c r="AG1487" i="12"/>
  <c r="AF1487" i="12"/>
  <c r="AC1487" i="12"/>
  <c r="AE1487" i="12" s="1"/>
  <c r="AB1487" i="12"/>
  <c r="Z1487" i="12"/>
  <c r="X1487" i="12"/>
  <c r="W1487" i="12"/>
  <c r="V1487" i="12"/>
  <c r="U1487" i="12"/>
  <c r="T1487" i="12"/>
  <c r="S1487" i="12"/>
  <c r="AL1486" i="12"/>
  <c r="AK1486" i="12"/>
  <c r="AJ1486" i="12"/>
  <c r="AI1486" i="12"/>
  <c r="AH1486" i="12"/>
  <c r="AG1486" i="12"/>
  <c r="AF1486" i="12"/>
  <c r="AC1486" i="12"/>
  <c r="AE1486" i="12" s="1"/>
  <c r="AB1486" i="12"/>
  <c r="Z1486" i="12"/>
  <c r="X1486" i="12"/>
  <c r="W1486" i="12"/>
  <c r="V1486" i="12"/>
  <c r="U1486" i="12"/>
  <c r="T1486" i="12"/>
  <c r="S1486" i="12"/>
  <c r="AL1485" i="12"/>
  <c r="AK1485" i="12"/>
  <c r="AJ1485" i="12"/>
  <c r="AI1485" i="12"/>
  <c r="AH1485" i="12"/>
  <c r="AG1485" i="12"/>
  <c r="AF1485" i="12"/>
  <c r="AC1485" i="12"/>
  <c r="AE1485" i="12" s="1"/>
  <c r="AB1485" i="12"/>
  <c r="Z1485" i="12"/>
  <c r="X1485" i="12"/>
  <c r="W1485" i="12"/>
  <c r="V1485" i="12"/>
  <c r="U1485" i="12"/>
  <c r="T1485" i="12"/>
  <c r="S1485" i="12"/>
  <c r="AL1484" i="12"/>
  <c r="AK1484" i="12"/>
  <c r="AJ1484" i="12"/>
  <c r="AI1484" i="12"/>
  <c r="AH1484" i="12"/>
  <c r="AG1484" i="12"/>
  <c r="AF1484" i="12"/>
  <c r="AE1484" i="12"/>
  <c r="AC1484" i="12"/>
  <c r="AB1484" i="12"/>
  <c r="Z1484" i="12"/>
  <c r="X1484" i="12"/>
  <c r="W1484" i="12"/>
  <c r="V1484" i="12"/>
  <c r="U1484" i="12"/>
  <c r="T1484" i="12"/>
  <c r="S1484" i="12"/>
  <c r="AL1483" i="12"/>
  <c r="AK1483" i="12"/>
  <c r="AJ1483" i="12"/>
  <c r="AI1483" i="12"/>
  <c r="AH1483" i="12"/>
  <c r="AG1483" i="12"/>
  <c r="AF1483" i="12"/>
  <c r="AC1483" i="12"/>
  <c r="AE1483" i="12" s="1"/>
  <c r="AB1483" i="12"/>
  <c r="Z1483" i="12"/>
  <c r="X1483" i="12"/>
  <c r="W1483" i="12"/>
  <c r="V1483" i="12"/>
  <c r="U1483" i="12"/>
  <c r="T1483" i="12"/>
  <c r="S1483" i="12"/>
  <c r="AL1482" i="12"/>
  <c r="AK1482" i="12"/>
  <c r="AJ1482" i="12"/>
  <c r="AI1482" i="12"/>
  <c r="AH1482" i="12"/>
  <c r="AG1482" i="12"/>
  <c r="AF1482" i="12"/>
  <c r="AE1482" i="12"/>
  <c r="AC1482" i="12"/>
  <c r="AB1482" i="12"/>
  <c r="Z1482" i="12"/>
  <c r="X1482" i="12"/>
  <c r="W1482" i="12"/>
  <c r="V1482" i="12"/>
  <c r="U1482" i="12"/>
  <c r="T1482" i="12"/>
  <c r="S1482" i="12"/>
  <c r="AL1481" i="12"/>
  <c r="AK1481" i="12"/>
  <c r="AJ1481" i="12"/>
  <c r="AI1481" i="12"/>
  <c r="AH1481" i="12"/>
  <c r="AG1481" i="12"/>
  <c r="AF1481" i="12"/>
  <c r="AE1481" i="12"/>
  <c r="AC1481" i="12"/>
  <c r="AB1481" i="12"/>
  <c r="Z1481" i="12"/>
  <c r="X1481" i="12"/>
  <c r="W1481" i="12"/>
  <c r="V1481" i="12"/>
  <c r="U1481" i="12"/>
  <c r="T1481" i="12"/>
  <c r="S1481" i="12"/>
  <c r="AL1480" i="12"/>
  <c r="AK1480" i="12"/>
  <c r="AJ1480" i="12"/>
  <c r="AI1480" i="12"/>
  <c r="AH1480" i="12"/>
  <c r="AG1480" i="12"/>
  <c r="AF1480" i="12"/>
  <c r="AC1480" i="12"/>
  <c r="AE1480" i="12" s="1"/>
  <c r="AB1480" i="12"/>
  <c r="Z1480" i="12"/>
  <c r="X1480" i="12"/>
  <c r="W1480" i="12"/>
  <c r="V1480" i="12"/>
  <c r="U1480" i="12"/>
  <c r="T1480" i="12"/>
  <c r="S1480" i="12"/>
  <c r="AL1479" i="12"/>
  <c r="AK1479" i="12"/>
  <c r="AJ1479" i="12"/>
  <c r="AI1479" i="12"/>
  <c r="AH1479" i="12"/>
  <c r="AG1479" i="12"/>
  <c r="AF1479" i="12"/>
  <c r="AC1479" i="12"/>
  <c r="AE1479" i="12" s="1"/>
  <c r="AB1479" i="12"/>
  <c r="Z1479" i="12"/>
  <c r="X1479" i="12"/>
  <c r="W1479" i="12"/>
  <c r="V1479" i="12"/>
  <c r="U1479" i="12"/>
  <c r="T1479" i="12"/>
  <c r="S1479" i="12"/>
  <c r="AL1478" i="12"/>
  <c r="AK1478" i="12"/>
  <c r="AJ1478" i="12"/>
  <c r="AI1478" i="12"/>
  <c r="AH1478" i="12"/>
  <c r="AG1478" i="12"/>
  <c r="AF1478" i="12"/>
  <c r="AC1478" i="12"/>
  <c r="AE1478" i="12" s="1"/>
  <c r="AB1478" i="12"/>
  <c r="Z1478" i="12"/>
  <c r="X1478" i="12"/>
  <c r="W1478" i="12"/>
  <c r="V1478" i="12"/>
  <c r="U1478" i="12"/>
  <c r="T1478" i="12"/>
  <c r="S1478" i="12"/>
  <c r="AL1477" i="12"/>
  <c r="AK1477" i="12"/>
  <c r="AJ1477" i="12"/>
  <c r="AI1477" i="12"/>
  <c r="AH1477" i="12"/>
  <c r="AG1477" i="12"/>
  <c r="AF1477" i="12"/>
  <c r="AC1477" i="12"/>
  <c r="AE1477" i="12" s="1"/>
  <c r="AB1477" i="12"/>
  <c r="Z1477" i="12"/>
  <c r="X1477" i="12"/>
  <c r="W1477" i="12"/>
  <c r="V1477" i="12"/>
  <c r="U1477" i="12"/>
  <c r="T1477" i="12"/>
  <c r="S1477" i="12"/>
  <c r="AL1476" i="12"/>
  <c r="AK1476" i="12"/>
  <c r="AJ1476" i="12"/>
  <c r="AI1476" i="12"/>
  <c r="AH1476" i="12"/>
  <c r="AG1476" i="12"/>
  <c r="AF1476" i="12"/>
  <c r="AC1476" i="12"/>
  <c r="AE1476" i="12" s="1"/>
  <c r="AB1476" i="12"/>
  <c r="Z1476" i="12"/>
  <c r="X1476" i="12"/>
  <c r="W1476" i="12"/>
  <c r="V1476" i="12"/>
  <c r="U1476" i="12"/>
  <c r="T1476" i="12"/>
  <c r="S1476" i="12"/>
  <c r="AL1475" i="12"/>
  <c r="AK1475" i="12"/>
  <c r="AJ1475" i="12"/>
  <c r="AI1475" i="12"/>
  <c r="AH1475" i="12"/>
  <c r="AG1475" i="12"/>
  <c r="AF1475" i="12"/>
  <c r="AC1475" i="12"/>
  <c r="AE1475" i="12" s="1"/>
  <c r="AB1475" i="12"/>
  <c r="Z1475" i="12"/>
  <c r="X1475" i="12"/>
  <c r="W1475" i="12"/>
  <c r="V1475" i="12"/>
  <c r="U1475" i="12"/>
  <c r="T1475" i="12"/>
  <c r="S1475" i="12"/>
  <c r="AL1474" i="12"/>
  <c r="AK1474" i="12"/>
  <c r="AJ1474" i="12"/>
  <c r="AI1474" i="12"/>
  <c r="AH1474" i="12"/>
  <c r="AG1474" i="12"/>
  <c r="AF1474" i="12"/>
  <c r="AC1474" i="12"/>
  <c r="AE1474" i="12" s="1"/>
  <c r="AB1474" i="12"/>
  <c r="Z1474" i="12"/>
  <c r="X1474" i="12"/>
  <c r="W1474" i="12"/>
  <c r="V1474" i="12"/>
  <c r="U1474" i="12"/>
  <c r="T1474" i="12"/>
  <c r="S1474" i="12"/>
  <c r="AL1473" i="12"/>
  <c r="AK1473" i="12"/>
  <c r="AJ1473" i="12"/>
  <c r="AI1473" i="12"/>
  <c r="AH1473" i="12"/>
  <c r="AG1473" i="12"/>
  <c r="AF1473" i="12"/>
  <c r="AC1473" i="12"/>
  <c r="AE1473" i="12" s="1"/>
  <c r="AB1473" i="12"/>
  <c r="Z1473" i="12"/>
  <c r="X1473" i="12"/>
  <c r="W1473" i="12"/>
  <c r="V1473" i="12"/>
  <c r="U1473" i="12"/>
  <c r="T1473" i="12"/>
  <c r="S1473" i="12"/>
  <c r="AL1472" i="12"/>
  <c r="AK1472" i="12"/>
  <c r="AJ1472" i="12"/>
  <c r="AI1472" i="12"/>
  <c r="AH1472" i="12"/>
  <c r="AG1472" i="12"/>
  <c r="AF1472" i="12"/>
  <c r="AE1472" i="12"/>
  <c r="AC1472" i="12"/>
  <c r="AB1472" i="12"/>
  <c r="Z1472" i="12"/>
  <c r="X1472" i="12"/>
  <c r="W1472" i="12"/>
  <c r="V1472" i="12"/>
  <c r="U1472" i="12"/>
  <c r="T1472" i="12"/>
  <c r="S1472" i="12"/>
  <c r="AL1471" i="12"/>
  <c r="AK1471" i="12"/>
  <c r="AJ1471" i="12"/>
  <c r="AI1471" i="12"/>
  <c r="AH1471" i="12"/>
  <c r="AG1471" i="12"/>
  <c r="AF1471" i="12"/>
  <c r="AE1471" i="12"/>
  <c r="AC1471" i="12"/>
  <c r="AB1471" i="12"/>
  <c r="Z1471" i="12"/>
  <c r="X1471" i="12"/>
  <c r="W1471" i="12"/>
  <c r="V1471" i="12"/>
  <c r="U1471" i="12"/>
  <c r="T1471" i="12"/>
  <c r="S1471" i="12"/>
  <c r="AL1470" i="12"/>
  <c r="AK1470" i="12"/>
  <c r="AJ1470" i="12"/>
  <c r="AI1470" i="12"/>
  <c r="AH1470" i="12"/>
  <c r="AG1470" i="12"/>
  <c r="AF1470" i="12"/>
  <c r="AC1470" i="12"/>
  <c r="AE1470" i="12" s="1"/>
  <c r="AB1470" i="12"/>
  <c r="Z1470" i="12"/>
  <c r="X1470" i="12"/>
  <c r="W1470" i="12"/>
  <c r="V1470" i="12"/>
  <c r="U1470" i="12"/>
  <c r="T1470" i="12"/>
  <c r="S1470" i="12"/>
  <c r="AL1469" i="12"/>
  <c r="AK1469" i="12"/>
  <c r="AJ1469" i="12"/>
  <c r="AI1469" i="12"/>
  <c r="AH1469" i="12"/>
  <c r="AG1469" i="12"/>
  <c r="AF1469" i="12"/>
  <c r="AC1469" i="12"/>
  <c r="AE1469" i="12" s="1"/>
  <c r="AB1469" i="12"/>
  <c r="Z1469" i="12"/>
  <c r="X1469" i="12"/>
  <c r="W1469" i="12"/>
  <c r="V1469" i="12"/>
  <c r="U1469" i="12"/>
  <c r="T1469" i="12"/>
  <c r="S1469" i="12"/>
  <c r="AL1468" i="12"/>
  <c r="AK1468" i="12"/>
  <c r="AJ1468" i="12"/>
  <c r="AI1468" i="12"/>
  <c r="AH1468" i="12"/>
  <c r="AG1468" i="12"/>
  <c r="AF1468" i="12"/>
  <c r="AC1468" i="12"/>
  <c r="AE1468" i="12" s="1"/>
  <c r="AB1468" i="12"/>
  <c r="Z1468" i="12"/>
  <c r="X1468" i="12"/>
  <c r="W1468" i="12"/>
  <c r="V1468" i="12"/>
  <c r="U1468" i="12"/>
  <c r="T1468" i="12"/>
  <c r="S1468" i="12"/>
  <c r="AL1467" i="12"/>
  <c r="AK1467" i="12"/>
  <c r="AJ1467" i="12"/>
  <c r="AI1467" i="12"/>
  <c r="AH1467" i="12"/>
  <c r="AG1467" i="12"/>
  <c r="AF1467" i="12"/>
  <c r="AE1467" i="12"/>
  <c r="AC1467" i="12"/>
  <c r="AB1467" i="12"/>
  <c r="Z1467" i="12"/>
  <c r="X1467" i="12"/>
  <c r="W1467" i="12"/>
  <c r="V1467" i="12"/>
  <c r="U1467" i="12"/>
  <c r="T1467" i="12"/>
  <c r="S1467" i="12"/>
  <c r="AL1466" i="12"/>
  <c r="AK1466" i="12"/>
  <c r="AJ1466" i="12"/>
  <c r="AI1466" i="12"/>
  <c r="AH1466" i="12"/>
  <c r="AG1466" i="12"/>
  <c r="AF1466" i="12"/>
  <c r="AE1466" i="12"/>
  <c r="AC1466" i="12"/>
  <c r="AB1466" i="12"/>
  <c r="Z1466" i="12"/>
  <c r="X1466" i="12"/>
  <c r="W1466" i="12"/>
  <c r="V1466" i="12"/>
  <c r="U1466" i="12"/>
  <c r="T1466" i="12"/>
  <c r="S1466" i="12"/>
  <c r="AL1465" i="12"/>
  <c r="AK1465" i="12"/>
  <c r="AJ1465" i="12"/>
  <c r="AI1465" i="12"/>
  <c r="AH1465" i="12"/>
  <c r="AG1465" i="12"/>
  <c r="AF1465" i="12"/>
  <c r="AC1465" i="12"/>
  <c r="AE1465" i="12" s="1"/>
  <c r="AB1465" i="12"/>
  <c r="Z1465" i="12"/>
  <c r="X1465" i="12"/>
  <c r="W1465" i="12"/>
  <c r="V1465" i="12"/>
  <c r="U1465" i="12"/>
  <c r="T1465" i="12"/>
  <c r="S1465" i="12"/>
  <c r="AL1464" i="12"/>
  <c r="AK1464" i="12"/>
  <c r="AJ1464" i="12"/>
  <c r="AI1464" i="12"/>
  <c r="AH1464" i="12"/>
  <c r="AG1464" i="12"/>
  <c r="AF1464" i="12"/>
  <c r="AC1464" i="12"/>
  <c r="AE1464" i="12" s="1"/>
  <c r="AB1464" i="12"/>
  <c r="Z1464" i="12"/>
  <c r="X1464" i="12"/>
  <c r="W1464" i="12"/>
  <c r="V1464" i="12"/>
  <c r="U1464" i="12"/>
  <c r="T1464" i="12"/>
  <c r="S1464" i="12"/>
  <c r="AL1463" i="12"/>
  <c r="AK1463" i="12"/>
  <c r="AJ1463" i="12"/>
  <c r="AI1463" i="12"/>
  <c r="AH1463" i="12"/>
  <c r="AG1463" i="12"/>
  <c r="AF1463" i="12"/>
  <c r="AC1463" i="12"/>
  <c r="AE1463" i="12" s="1"/>
  <c r="AB1463" i="12"/>
  <c r="Z1463" i="12"/>
  <c r="X1463" i="12"/>
  <c r="W1463" i="12"/>
  <c r="V1463" i="12"/>
  <c r="U1463" i="12"/>
  <c r="T1463" i="12"/>
  <c r="S1463" i="12"/>
  <c r="AL1462" i="12"/>
  <c r="AK1462" i="12"/>
  <c r="AJ1462" i="12"/>
  <c r="AI1462" i="12"/>
  <c r="AH1462" i="12"/>
  <c r="AG1462" i="12"/>
  <c r="AF1462" i="12"/>
  <c r="AC1462" i="12"/>
  <c r="AE1462" i="12" s="1"/>
  <c r="AB1462" i="12"/>
  <c r="Z1462" i="12"/>
  <c r="X1462" i="12"/>
  <c r="W1462" i="12"/>
  <c r="V1462" i="12"/>
  <c r="U1462" i="12"/>
  <c r="T1462" i="12"/>
  <c r="S1462" i="12"/>
  <c r="AL1461" i="12"/>
  <c r="AK1461" i="12"/>
  <c r="AJ1461" i="12"/>
  <c r="AI1461" i="12"/>
  <c r="AH1461" i="12"/>
  <c r="AG1461" i="12"/>
  <c r="AF1461" i="12"/>
  <c r="AE1461" i="12"/>
  <c r="AC1461" i="12"/>
  <c r="AB1461" i="12"/>
  <c r="Z1461" i="12"/>
  <c r="X1461" i="12"/>
  <c r="W1461" i="12"/>
  <c r="V1461" i="12"/>
  <c r="U1461" i="12"/>
  <c r="T1461" i="12"/>
  <c r="S1461" i="12"/>
  <c r="AL1460" i="12"/>
  <c r="AK1460" i="12"/>
  <c r="AJ1460" i="12"/>
  <c r="AI1460" i="12"/>
  <c r="AH1460" i="12"/>
  <c r="AG1460" i="12"/>
  <c r="AF1460" i="12"/>
  <c r="AC1460" i="12"/>
  <c r="AE1460" i="12" s="1"/>
  <c r="AB1460" i="12"/>
  <c r="Z1460" i="12"/>
  <c r="X1460" i="12"/>
  <c r="W1460" i="12"/>
  <c r="V1460" i="12"/>
  <c r="U1460" i="12"/>
  <c r="T1460" i="12"/>
  <c r="S1460" i="12"/>
  <c r="AL1459" i="12"/>
  <c r="AK1459" i="12"/>
  <c r="AJ1459" i="12"/>
  <c r="AI1459" i="12"/>
  <c r="AH1459" i="12"/>
  <c r="AG1459" i="12"/>
  <c r="AF1459" i="12"/>
  <c r="AC1459" i="12"/>
  <c r="AE1459" i="12" s="1"/>
  <c r="AB1459" i="12"/>
  <c r="Z1459" i="12"/>
  <c r="X1459" i="12"/>
  <c r="W1459" i="12"/>
  <c r="V1459" i="12"/>
  <c r="U1459" i="12"/>
  <c r="T1459" i="12"/>
  <c r="S1459" i="12"/>
  <c r="AL1458" i="12"/>
  <c r="AK1458" i="12"/>
  <c r="AJ1458" i="12"/>
  <c r="AI1458" i="12"/>
  <c r="AH1458" i="12"/>
  <c r="AG1458" i="12"/>
  <c r="AF1458" i="12"/>
  <c r="AC1458" i="12"/>
  <c r="AE1458" i="12" s="1"/>
  <c r="AB1458" i="12"/>
  <c r="Z1458" i="12"/>
  <c r="X1458" i="12"/>
  <c r="W1458" i="12"/>
  <c r="V1458" i="12"/>
  <c r="U1458" i="12"/>
  <c r="T1458" i="12"/>
  <c r="S1458" i="12"/>
  <c r="AL1457" i="12"/>
  <c r="AK1457" i="12"/>
  <c r="AJ1457" i="12"/>
  <c r="AI1457" i="12"/>
  <c r="AH1457" i="12"/>
  <c r="AG1457" i="12"/>
  <c r="AF1457" i="12"/>
  <c r="AC1457" i="12"/>
  <c r="AE1457" i="12" s="1"/>
  <c r="AB1457" i="12"/>
  <c r="Z1457" i="12"/>
  <c r="X1457" i="12"/>
  <c r="W1457" i="12"/>
  <c r="V1457" i="12"/>
  <c r="U1457" i="12"/>
  <c r="T1457" i="12"/>
  <c r="S1457" i="12"/>
  <c r="AL1456" i="12"/>
  <c r="AK1456" i="12"/>
  <c r="AJ1456" i="12"/>
  <c r="AI1456" i="12"/>
  <c r="AH1456" i="12"/>
  <c r="AG1456" i="12"/>
  <c r="AF1456" i="12"/>
  <c r="AE1456" i="12"/>
  <c r="AC1456" i="12"/>
  <c r="AB1456" i="12"/>
  <c r="Z1456" i="12"/>
  <c r="X1456" i="12"/>
  <c r="W1456" i="12"/>
  <c r="V1456" i="12"/>
  <c r="U1456" i="12"/>
  <c r="T1456" i="12"/>
  <c r="S1456" i="12"/>
  <c r="AL1455" i="12"/>
  <c r="AK1455" i="12"/>
  <c r="AJ1455" i="12"/>
  <c r="AI1455" i="12"/>
  <c r="AH1455" i="12"/>
  <c r="AG1455" i="12"/>
  <c r="AF1455" i="12"/>
  <c r="AC1455" i="12"/>
  <c r="AE1455" i="12" s="1"/>
  <c r="AB1455" i="12"/>
  <c r="Z1455" i="12"/>
  <c r="X1455" i="12"/>
  <c r="W1455" i="12"/>
  <c r="V1455" i="12"/>
  <c r="U1455" i="12"/>
  <c r="T1455" i="12"/>
  <c r="S1455" i="12"/>
  <c r="AL1454" i="12"/>
  <c r="AK1454" i="12"/>
  <c r="AJ1454" i="12"/>
  <c r="AI1454" i="12"/>
  <c r="AH1454" i="12"/>
  <c r="AG1454" i="12"/>
  <c r="AF1454" i="12"/>
  <c r="AC1454" i="12"/>
  <c r="AE1454" i="12" s="1"/>
  <c r="AB1454" i="12"/>
  <c r="Z1454" i="12"/>
  <c r="X1454" i="12"/>
  <c r="W1454" i="12"/>
  <c r="V1454" i="12"/>
  <c r="U1454" i="12"/>
  <c r="T1454" i="12"/>
  <c r="S1454" i="12"/>
  <c r="AL1453" i="12"/>
  <c r="AK1453" i="12"/>
  <c r="AJ1453" i="12"/>
  <c r="AI1453" i="12"/>
  <c r="AH1453" i="12"/>
  <c r="AG1453" i="12"/>
  <c r="AF1453" i="12"/>
  <c r="AC1453" i="12"/>
  <c r="AE1453" i="12" s="1"/>
  <c r="AB1453" i="12"/>
  <c r="Z1453" i="12"/>
  <c r="X1453" i="12"/>
  <c r="W1453" i="12"/>
  <c r="V1453" i="12"/>
  <c r="U1453" i="12"/>
  <c r="T1453" i="12"/>
  <c r="S1453" i="12"/>
  <c r="AL1452" i="12"/>
  <c r="AK1452" i="12"/>
  <c r="AJ1452" i="12"/>
  <c r="AI1452" i="12"/>
  <c r="AH1452" i="12"/>
  <c r="AG1452" i="12"/>
  <c r="AF1452" i="12"/>
  <c r="AE1452" i="12"/>
  <c r="AC1452" i="12"/>
  <c r="AB1452" i="12"/>
  <c r="Z1452" i="12"/>
  <c r="X1452" i="12"/>
  <c r="W1452" i="12"/>
  <c r="V1452" i="12"/>
  <c r="U1452" i="12"/>
  <c r="T1452" i="12"/>
  <c r="S1452" i="12"/>
  <c r="AL1451" i="12"/>
  <c r="AK1451" i="12"/>
  <c r="AJ1451" i="12"/>
  <c r="AI1451" i="12"/>
  <c r="AH1451" i="12"/>
  <c r="AG1451" i="12"/>
  <c r="AF1451" i="12"/>
  <c r="AE1451" i="12"/>
  <c r="AC1451" i="12"/>
  <c r="AB1451" i="12"/>
  <c r="Z1451" i="12"/>
  <c r="X1451" i="12"/>
  <c r="W1451" i="12"/>
  <c r="V1451" i="12"/>
  <c r="U1451" i="12"/>
  <c r="T1451" i="12"/>
  <c r="S1451" i="12"/>
  <c r="AL1450" i="12"/>
  <c r="AK1450" i="12"/>
  <c r="AJ1450" i="12"/>
  <c r="AI1450" i="12"/>
  <c r="AH1450" i="12"/>
  <c r="AG1450" i="12"/>
  <c r="AF1450" i="12"/>
  <c r="AC1450" i="12"/>
  <c r="AE1450" i="12" s="1"/>
  <c r="AB1450" i="12"/>
  <c r="Z1450" i="12"/>
  <c r="X1450" i="12"/>
  <c r="W1450" i="12"/>
  <c r="V1450" i="12"/>
  <c r="U1450" i="12"/>
  <c r="T1450" i="12"/>
  <c r="S1450" i="12"/>
  <c r="AL1449" i="12"/>
  <c r="AK1449" i="12"/>
  <c r="AJ1449" i="12"/>
  <c r="AI1449" i="12"/>
  <c r="AH1449" i="12"/>
  <c r="AG1449" i="12"/>
  <c r="AF1449" i="12"/>
  <c r="AC1449" i="12"/>
  <c r="AE1449" i="12" s="1"/>
  <c r="AB1449" i="12"/>
  <c r="Z1449" i="12"/>
  <c r="X1449" i="12"/>
  <c r="W1449" i="12"/>
  <c r="V1449" i="12"/>
  <c r="U1449" i="12"/>
  <c r="T1449" i="12"/>
  <c r="S1449" i="12"/>
  <c r="AL1448" i="12"/>
  <c r="AK1448" i="12"/>
  <c r="AJ1448" i="12"/>
  <c r="AI1448" i="12"/>
  <c r="AH1448" i="12"/>
  <c r="AG1448" i="12"/>
  <c r="AF1448" i="12"/>
  <c r="AE1448" i="12"/>
  <c r="AC1448" i="12"/>
  <c r="AB1448" i="12"/>
  <c r="Z1448" i="12"/>
  <c r="X1448" i="12"/>
  <c r="W1448" i="12"/>
  <c r="V1448" i="12"/>
  <c r="U1448" i="12"/>
  <c r="T1448" i="12"/>
  <c r="S1448" i="12"/>
  <c r="AL1447" i="12"/>
  <c r="AK1447" i="12"/>
  <c r="AJ1447" i="12"/>
  <c r="AI1447" i="12"/>
  <c r="AH1447" i="12"/>
  <c r="AG1447" i="12"/>
  <c r="AF1447" i="12"/>
  <c r="AC1447" i="12"/>
  <c r="AE1447" i="12" s="1"/>
  <c r="AB1447" i="12"/>
  <c r="Z1447" i="12"/>
  <c r="X1447" i="12"/>
  <c r="W1447" i="12"/>
  <c r="V1447" i="12"/>
  <c r="U1447" i="12"/>
  <c r="T1447" i="12"/>
  <c r="S1447" i="12"/>
  <c r="AL1446" i="12"/>
  <c r="AK1446" i="12"/>
  <c r="AJ1446" i="12"/>
  <c r="AI1446" i="12"/>
  <c r="AH1446" i="12"/>
  <c r="AG1446" i="12"/>
  <c r="AF1446" i="12"/>
  <c r="AC1446" i="12"/>
  <c r="AE1446" i="12" s="1"/>
  <c r="AB1446" i="12"/>
  <c r="Z1446" i="12"/>
  <c r="X1446" i="12"/>
  <c r="W1446" i="12"/>
  <c r="V1446" i="12"/>
  <c r="U1446" i="12"/>
  <c r="T1446" i="12"/>
  <c r="S1446" i="12"/>
  <c r="AL1445" i="12"/>
  <c r="AK1445" i="12"/>
  <c r="AJ1445" i="12"/>
  <c r="AI1445" i="12"/>
  <c r="AH1445" i="12"/>
  <c r="AG1445" i="12"/>
  <c r="AF1445" i="12"/>
  <c r="AE1445" i="12"/>
  <c r="AC1445" i="12"/>
  <c r="AB1445" i="12"/>
  <c r="Z1445" i="12"/>
  <c r="X1445" i="12"/>
  <c r="W1445" i="12"/>
  <c r="V1445" i="12"/>
  <c r="U1445" i="12"/>
  <c r="T1445" i="12"/>
  <c r="S1445" i="12"/>
  <c r="AL1444" i="12"/>
  <c r="AK1444" i="12"/>
  <c r="AJ1444" i="12"/>
  <c r="AI1444" i="12"/>
  <c r="AH1444" i="12"/>
  <c r="AG1444" i="12"/>
  <c r="AF1444" i="12"/>
  <c r="AE1444" i="12"/>
  <c r="AC1444" i="12"/>
  <c r="AB1444" i="12"/>
  <c r="Z1444" i="12"/>
  <c r="X1444" i="12"/>
  <c r="W1444" i="12"/>
  <c r="V1444" i="12"/>
  <c r="U1444" i="12"/>
  <c r="T1444" i="12"/>
  <c r="S1444" i="12"/>
  <c r="AL1443" i="12"/>
  <c r="AK1443" i="12"/>
  <c r="AJ1443" i="12"/>
  <c r="AI1443" i="12"/>
  <c r="AH1443" i="12"/>
  <c r="AG1443" i="12"/>
  <c r="AF1443" i="12"/>
  <c r="AC1443" i="12"/>
  <c r="AE1443" i="12" s="1"/>
  <c r="AB1443" i="12"/>
  <c r="Z1443" i="12"/>
  <c r="X1443" i="12"/>
  <c r="W1443" i="12"/>
  <c r="V1443" i="12"/>
  <c r="U1443" i="12"/>
  <c r="T1443" i="12"/>
  <c r="S1443" i="12"/>
  <c r="AL1442" i="12"/>
  <c r="AK1442" i="12"/>
  <c r="AJ1442" i="12"/>
  <c r="AI1442" i="12"/>
  <c r="AH1442" i="12"/>
  <c r="AG1442" i="12"/>
  <c r="AF1442" i="12"/>
  <c r="AE1442" i="12"/>
  <c r="AC1442" i="12"/>
  <c r="AB1442" i="12"/>
  <c r="Z1442" i="12"/>
  <c r="X1442" i="12"/>
  <c r="W1442" i="12"/>
  <c r="V1442" i="12"/>
  <c r="U1442" i="12"/>
  <c r="T1442" i="12"/>
  <c r="S1442" i="12"/>
  <c r="AL1441" i="12"/>
  <c r="AK1441" i="12"/>
  <c r="AJ1441" i="12"/>
  <c r="AI1441" i="12"/>
  <c r="AH1441" i="12"/>
  <c r="AG1441" i="12"/>
  <c r="AF1441" i="12"/>
  <c r="AC1441" i="12"/>
  <c r="AE1441" i="12" s="1"/>
  <c r="AB1441" i="12"/>
  <c r="Z1441" i="12"/>
  <c r="X1441" i="12"/>
  <c r="W1441" i="12"/>
  <c r="V1441" i="12"/>
  <c r="U1441" i="12"/>
  <c r="T1441" i="12"/>
  <c r="S1441" i="12"/>
  <c r="AL1440" i="12"/>
  <c r="AK1440" i="12"/>
  <c r="AJ1440" i="12"/>
  <c r="AI1440" i="12"/>
  <c r="AH1440" i="12"/>
  <c r="AG1440" i="12"/>
  <c r="AF1440" i="12"/>
  <c r="AC1440" i="12"/>
  <c r="AE1440" i="12" s="1"/>
  <c r="AB1440" i="12"/>
  <c r="Z1440" i="12"/>
  <c r="X1440" i="12"/>
  <c r="W1440" i="12"/>
  <c r="V1440" i="12"/>
  <c r="U1440" i="12"/>
  <c r="T1440" i="12"/>
  <c r="S1440" i="12"/>
  <c r="AL1439" i="12"/>
  <c r="AK1439" i="12"/>
  <c r="AJ1439" i="12"/>
  <c r="AI1439" i="12"/>
  <c r="AH1439" i="12"/>
  <c r="AG1439" i="12"/>
  <c r="AF1439" i="12"/>
  <c r="AE1439" i="12"/>
  <c r="AC1439" i="12"/>
  <c r="AB1439" i="12"/>
  <c r="Z1439" i="12"/>
  <c r="X1439" i="12"/>
  <c r="W1439" i="12"/>
  <c r="V1439" i="12"/>
  <c r="U1439" i="12"/>
  <c r="T1439" i="12"/>
  <c r="S1439" i="12"/>
  <c r="AL1438" i="12"/>
  <c r="AK1438" i="12"/>
  <c r="AJ1438" i="12"/>
  <c r="AI1438" i="12"/>
  <c r="AH1438" i="12"/>
  <c r="AG1438" i="12"/>
  <c r="AF1438" i="12"/>
  <c r="AC1438" i="12"/>
  <c r="AE1438" i="12" s="1"/>
  <c r="AB1438" i="12"/>
  <c r="Z1438" i="12"/>
  <c r="X1438" i="12"/>
  <c r="W1438" i="12"/>
  <c r="V1438" i="12"/>
  <c r="U1438" i="12"/>
  <c r="T1438" i="12"/>
  <c r="S1438" i="12"/>
  <c r="AL1437" i="12"/>
  <c r="AK1437" i="12"/>
  <c r="AJ1437" i="12"/>
  <c r="AI1437" i="12"/>
  <c r="AH1437" i="12"/>
  <c r="AG1437" i="12"/>
  <c r="AF1437" i="12"/>
  <c r="AC1437" i="12"/>
  <c r="AE1437" i="12" s="1"/>
  <c r="AB1437" i="12"/>
  <c r="Z1437" i="12"/>
  <c r="X1437" i="12"/>
  <c r="W1437" i="12"/>
  <c r="V1437" i="12"/>
  <c r="U1437" i="12"/>
  <c r="T1437" i="12"/>
  <c r="S1437" i="12"/>
  <c r="AL1436" i="12"/>
  <c r="AK1436" i="12"/>
  <c r="AJ1436" i="12"/>
  <c r="AI1436" i="12"/>
  <c r="AH1436" i="12"/>
  <c r="AG1436" i="12"/>
  <c r="AF1436" i="12"/>
  <c r="AE1436" i="12"/>
  <c r="AC1436" i="12"/>
  <c r="AB1436" i="12"/>
  <c r="Z1436" i="12"/>
  <c r="X1436" i="12"/>
  <c r="W1436" i="12"/>
  <c r="V1436" i="12"/>
  <c r="U1436" i="12"/>
  <c r="T1436" i="12"/>
  <c r="S1436" i="12"/>
  <c r="AL1435" i="12"/>
  <c r="AK1435" i="12"/>
  <c r="AJ1435" i="12"/>
  <c r="AI1435" i="12"/>
  <c r="AH1435" i="12"/>
  <c r="AG1435" i="12"/>
  <c r="AF1435" i="12"/>
  <c r="AC1435" i="12"/>
  <c r="AE1435" i="12" s="1"/>
  <c r="AB1435" i="12"/>
  <c r="Z1435" i="12"/>
  <c r="X1435" i="12"/>
  <c r="W1435" i="12"/>
  <c r="V1435" i="12"/>
  <c r="U1435" i="12"/>
  <c r="T1435" i="12"/>
  <c r="S1435" i="12"/>
  <c r="AL1434" i="12"/>
  <c r="AK1434" i="12"/>
  <c r="AJ1434" i="12"/>
  <c r="AI1434" i="12"/>
  <c r="AH1434" i="12"/>
  <c r="AG1434" i="12"/>
  <c r="AF1434" i="12"/>
  <c r="AC1434" i="12"/>
  <c r="AE1434" i="12" s="1"/>
  <c r="AB1434" i="12"/>
  <c r="Z1434" i="12"/>
  <c r="X1434" i="12"/>
  <c r="W1434" i="12"/>
  <c r="V1434" i="12"/>
  <c r="U1434" i="12"/>
  <c r="T1434" i="12"/>
  <c r="S1434" i="12"/>
  <c r="AL1433" i="12"/>
  <c r="AK1433" i="12"/>
  <c r="AJ1433" i="12"/>
  <c r="AI1433" i="12"/>
  <c r="AH1433" i="12"/>
  <c r="AG1433" i="12"/>
  <c r="AF1433" i="12"/>
  <c r="AC1433" i="12"/>
  <c r="AE1433" i="12" s="1"/>
  <c r="AB1433" i="12"/>
  <c r="Z1433" i="12"/>
  <c r="X1433" i="12"/>
  <c r="W1433" i="12"/>
  <c r="V1433" i="12"/>
  <c r="U1433" i="12"/>
  <c r="T1433" i="12"/>
  <c r="S1433" i="12"/>
  <c r="AL1432" i="12"/>
  <c r="AK1432" i="12"/>
  <c r="AJ1432" i="12"/>
  <c r="AI1432" i="12"/>
  <c r="AH1432" i="12"/>
  <c r="AG1432" i="12"/>
  <c r="AF1432" i="12"/>
  <c r="AE1432" i="12"/>
  <c r="AC1432" i="12"/>
  <c r="AB1432" i="12"/>
  <c r="Z1432" i="12"/>
  <c r="X1432" i="12"/>
  <c r="W1432" i="12"/>
  <c r="V1432" i="12"/>
  <c r="U1432" i="12"/>
  <c r="T1432" i="12"/>
  <c r="S1432" i="12"/>
  <c r="AL1431" i="12"/>
  <c r="AK1431" i="12"/>
  <c r="AJ1431" i="12"/>
  <c r="AI1431" i="12"/>
  <c r="AH1431" i="12"/>
  <c r="AG1431" i="12"/>
  <c r="AF1431" i="12"/>
  <c r="AE1431" i="12"/>
  <c r="AC1431" i="12"/>
  <c r="AB1431" i="12"/>
  <c r="Z1431" i="12"/>
  <c r="X1431" i="12"/>
  <c r="W1431" i="12"/>
  <c r="V1431" i="12"/>
  <c r="U1431" i="12"/>
  <c r="T1431" i="12"/>
  <c r="S1431" i="12"/>
  <c r="AL1430" i="12"/>
  <c r="AK1430" i="12"/>
  <c r="AJ1430" i="12"/>
  <c r="AI1430" i="12"/>
  <c r="AH1430" i="12"/>
  <c r="AG1430" i="12"/>
  <c r="AF1430" i="12"/>
  <c r="AC1430" i="12"/>
  <c r="AE1430" i="12" s="1"/>
  <c r="AB1430" i="12"/>
  <c r="Z1430" i="12"/>
  <c r="X1430" i="12"/>
  <c r="W1430" i="12"/>
  <c r="V1430" i="12"/>
  <c r="U1430" i="12"/>
  <c r="T1430" i="12"/>
  <c r="S1430" i="12"/>
  <c r="AL1429" i="12"/>
  <c r="AK1429" i="12"/>
  <c r="AJ1429" i="12"/>
  <c r="AI1429" i="12"/>
  <c r="AH1429" i="12"/>
  <c r="AG1429" i="12"/>
  <c r="AF1429" i="12"/>
  <c r="AE1429" i="12"/>
  <c r="AC1429" i="12"/>
  <c r="AB1429" i="12"/>
  <c r="Z1429" i="12"/>
  <c r="X1429" i="12"/>
  <c r="W1429" i="12"/>
  <c r="V1429" i="12"/>
  <c r="U1429" i="12"/>
  <c r="T1429" i="12"/>
  <c r="S1429" i="12"/>
  <c r="AL1428" i="12"/>
  <c r="AK1428" i="12"/>
  <c r="AJ1428" i="12"/>
  <c r="AI1428" i="12"/>
  <c r="AH1428" i="12"/>
  <c r="AG1428" i="12"/>
  <c r="AF1428" i="12"/>
  <c r="AE1428" i="12"/>
  <c r="AC1428" i="12"/>
  <c r="AB1428" i="12"/>
  <c r="Z1428" i="12"/>
  <c r="X1428" i="12"/>
  <c r="W1428" i="12"/>
  <c r="V1428" i="12"/>
  <c r="U1428" i="12"/>
  <c r="T1428" i="12"/>
  <c r="S1428" i="12"/>
  <c r="AL1427" i="12"/>
  <c r="AK1427" i="12"/>
  <c r="AJ1427" i="12"/>
  <c r="AI1427" i="12"/>
  <c r="AH1427" i="12"/>
  <c r="AG1427" i="12"/>
  <c r="AF1427" i="12"/>
  <c r="AC1427" i="12"/>
  <c r="AE1427" i="12" s="1"/>
  <c r="AB1427" i="12"/>
  <c r="Z1427" i="12"/>
  <c r="X1427" i="12"/>
  <c r="W1427" i="12"/>
  <c r="V1427" i="12"/>
  <c r="U1427" i="12"/>
  <c r="T1427" i="12"/>
  <c r="S1427" i="12"/>
  <c r="AL1426" i="12"/>
  <c r="AK1426" i="12"/>
  <c r="AJ1426" i="12"/>
  <c r="AI1426" i="12"/>
  <c r="AH1426" i="12"/>
  <c r="AG1426" i="12"/>
  <c r="AF1426" i="12"/>
  <c r="AC1426" i="12"/>
  <c r="AE1426" i="12" s="1"/>
  <c r="AB1426" i="12"/>
  <c r="Z1426" i="12"/>
  <c r="X1426" i="12"/>
  <c r="W1426" i="12"/>
  <c r="V1426" i="12"/>
  <c r="U1426" i="12"/>
  <c r="T1426" i="12"/>
  <c r="S1426" i="12"/>
  <c r="AL1425" i="12"/>
  <c r="AK1425" i="12"/>
  <c r="AJ1425" i="12"/>
  <c r="AI1425" i="12"/>
  <c r="AH1425" i="12"/>
  <c r="AG1425" i="12"/>
  <c r="AF1425" i="12"/>
  <c r="AE1425" i="12"/>
  <c r="AC1425" i="12"/>
  <c r="AB1425" i="12"/>
  <c r="Z1425" i="12"/>
  <c r="X1425" i="12"/>
  <c r="W1425" i="12"/>
  <c r="V1425" i="12"/>
  <c r="U1425" i="12"/>
  <c r="T1425" i="12"/>
  <c r="S1425" i="12"/>
  <c r="AL1424" i="12"/>
  <c r="AK1424" i="12"/>
  <c r="AJ1424" i="12"/>
  <c r="AI1424" i="12"/>
  <c r="AH1424" i="12"/>
  <c r="AG1424" i="12"/>
  <c r="AF1424" i="12"/>
  <c r="AE1424" i="12"/>
  <c r="AC1424" i="12"/>
  <c r="AB1424" i="12"/>
  <c r="Z1424" i="12"/>
  <c r="X1424" i="12"/>
  <c r="W1424" i="12"/>
  <c r="V1424" i="12"/>
  <c r="U1424" i="12"/>
  <c r="T1424" i="12"/>
  <c r="S1424" i="12"/>
  <c r="AL1423" i="12"/>
  <c r="AK1423" i="12"/>
  <c r="AJ1423" i="12"/>
  <c r="AI1423" i="12"/>
  <c r="AH1423" i="12"/>
  <c r="AG1423" i="12"/>
  <c r="AF1423" i="12"/>
  <c r="AC1423" i="12"/>
  <c r="AE1423" i="12" s="1"/>
  <c r="AB1423" i="12"/>
  <c r="Z1423" i="12"/>
  <c r="X1423" i="12"/>
  <c r="W1423" i="12"/>
  <c r="V1423" i="12"/>
  <c r="U1423" i="12"/>
  <c r="T1423" i="12"/>
  <c r="S1423" i="12"/>
  <c r="AL1422" i="12"/>
  <c r="AK1422" i="12"/>
  <c r="AJ1422" i="12"/>
  <c r="AI1422" i="12"/>
  <c r="AH1422" i="12"/>
  <c r="AG1422" i="12"/>
  <c r="AF1422" i="12"/>
  <c r="AE1422" i="12"/>
  <c r="AC1422" i="12"/>
  <c r="AB1422" i="12"/>
  <c r="Z1422" i="12"/>
  <c r="X1422" i="12"/>
  <c r="W1422" i="12"/>
  <c r="V1422" i="12"/>
  <c r="U1422" i="12"/>
  <c r="T1422" i="12"/>
  <c r="S1422" i="12"/>
  <c r="AL1421" i="12"/>
  <c r="AK1421" i="12"/>
  <c r="AJ1421" i="12"/>
  <c r="AI1421" i="12"/>
  <c r="AH1421" i="12"/>
  <c r="AG1421" i="12"/>
  <c r="AF1421" i="12"/>
  <c r="AC1421" i="12"/>
  <c r="AE1421" i="12" s="1"/>
  <c r="AB1421" i="12"/>
  <c r="Z1421" i="12"/>
  <c r="X1421" i="12"/>
  <c r="W1421" i="12"/>
  <c r="V1421" i="12"/>
  <c r="U1421" i="12"/>
  <c r="T1421" i="12"/>
  <c r="S1421" i="12"/>
  <c r="AL1420" i="12"/>
  <c r="AK1420" i="12"/>
  <c r="AJ1420" i="12"/>
  <c r="AI1420" i="12"/>
  <c r="AH1420" i="12"/>
  <c r="AG1420" i="12"/>
  <c r="AF1420" i="12"/>
  <c r="AC1420" i="12"/>
  <c r="AE1420" i="12" s="1"/>
  <c r="AB1420" i="12"/>
  <c r="Z1420" i="12"/>
  <c r="X1420" i="12"/>
  <c r="W1420" i="12"/>
  <c r="V1420" i="12"/>
  <c r="U1420" i="12"/>
  <c r="T1420" i="12"/>
  <c r="S1420" i="12"/>
  <c r="AL1419" i="12"/>
  <c r="AK1419" i="12"/>
  <c r="AJ1419" i="12"/>
  <c r="AI1419" i="12"/>
  <c r="AH1419" i="12"/>
  <c r="AG1419" i="12"/>
  <c r="AF1419" i="12"/>
  <c r="AE1419" i="12"/>
  <c r="AC1419" i="12"/>
  <c r="AB1419" i="12"/>
  <c r="Z1419" i="12"/>
  <c r="X1419" i="12"/>
  <c r="W1419" i="12"/>
  <c r="V1419" i="12"/>
  <c r="U1419" i="12"/>
  <c r="T1419" i="12"/>
  <c r="S1419" i="12"/>
  <c r="AL1418" i="12"/>
  <c r="AK1418" i="12"/>
  <c r="AJ1418" i="12"/>
  <c r="AI1418" i="12"/>
  <c r="AH1418" i="12"/>
  <c r="AG1418" i="12"/>
  <c r="AF1418" i="12"/>
  <c r="AC1418" i="12"/>
  <c r="AE1418" i="12" s="1"/>
  <c r="AB1418" i="12"/>
  <c r="Z1418" i="12"/>
  <c r="X1418" i="12"/>
  <c r="W1418" i="12"/>
  <c r="V1418" i="12"/>
  <c r="U1418" i="12"/>
  <c r="T1418" i="12"/>
  <c r="S1418" i="12"/>
  <c r="AL1417" i="12"/>
  <c r="AK1417" i="12"/>
  <c r="AJ1417" i="12"/>
  <c r="AI1417" i="12"/>
  <c r="AH1417" i="12"/>
  <c r="AG1417" i="12"/>
  <c r="AF1417" i="12"/>
  <c r="AC1417" i="12"/>
  <c r="AE1417" i="12" s="1"/>
  <c r="AB1417" i="12"/>
  <c r="Z1417" i="12"/>
  <c r="X1417" i="12"/>
  <c r="W1417" i="12"/>
  <c r="V1417" i="12"/>
  <c r="U1417" i="12"/>
  <c r="T1417" i="12"/>
  <c r="S1417" i="12"/>
  <c r="AL1416" i="12"/>
  <c r="AK1416" i="12"/>
  <c r="AJ1416" i="12"/>
  <c r="AI1416" i="12"/>
  <c r="AH1416" i="12"/>
  <c r="AG1416" i="12"/>
  <c r="AF1416" i="12"/>
  <c r="AE1416" i="12"/>
  <c r="AC1416" i="12"/>
  <c r="AB1416" i="12"/>
  <c r="Z1416" i="12"/>
  <c r="X1416" i="12"/>
  <c r="W1416" i="12"/>
  <c r="V1416" i="12"/>
  <c r="U1416" i="12"/>
  <c r="T1416" i="12"/>
  <c r="S1416" i="12"/>
  <c r="AL1415" i="12"/>
  <c r="AK1415" i="12"/>
  <c r="AJ1415" i="12"/>
  <c r="AI1415" i="12"/>
  <c r="AH1415" i="12"/>
  <c r="AG1415" i="12"/>
  <c r="AF1415" i="12"/>
  <c r="AC1415" i="12"/>
  <c r="AE1415" i="12" s="1"/>
  <c r="AB1415" i="12"/>
  <c r="Z1415" i="12"/>
  <c r="X1415" i="12"/>
  <c r="W1415" i="12"/>
  <c r="V1415" i="12"/>
  <c r="U1415" i="12"/>
  <c r="T1415" i="12"/>
  <c r="S1415" i="12"/>
  <c r="AL1414" i="12"/>
  <c r="AK1414" i="12"/>
  <c r="AJ1414" i="12"/>
  <c r="AI1414" i="12"/>
  <c r="AH1414" i="12"/>
  <c r="AG1414" i="12"/>
  <c r="AF1414" i="12"/>
  <c r="AC1414" i="12"/>
  <c r="AE1414" i="12" s="1"/>
  <c r="AB1414" i="12"/>
  <c r="Z1414" i="12"/>
  <c r="X1414" i="12"/>
  <c r="W1414" i="12"/>
  <c r="V1414" i="12"/>
  <c r="U1414" i="12"/>
  <c r="T1414" i="12"/>
  <c r="S1414" i="12"/>
  <c r="AL1413" i="12"/>
  <c r="AK1413" i="12"/>
  <c r="AJ1413" i="12"/>
  <c r="AI1413" i="12"/>
  <c r="AH1413" i="12"/>
  <c r="AG1413" i="12"/>
  <c r="AF1413" i="12"/>
  <c r="AC1413" i="12"/>
  <c r="AE1413" i="12" s="1"/>
  <c r="AB1413" i="12"/>
  <c r="Z1413" i="12"/>
  <c r="X1413" i="12"/>
  <c r="W1413" i="12"/>
  <c r="V1413" i="12"/>
  <c r="U1413" i="12"/>
  <c r="T1413" i="12"/>
  <c r="S1413" i="12"/>
  <c r="AL1412" i="12"/>
  <c r="AK1412" i="12"/>
  <c r="AJ1412" i="12"/>
  <c r="AI1412" i="12"/>
  <c r="AH1412" i="12"/>
  <c r="AG1412" i="12"/>
  <c r="AF1412" i="12"/>
  <c r="AE1412" i="12"/>
  <c r="AC1412" i="12"/>
  <c r="AB1412" i="12"/>
  <c r="Z1412" i="12"/>
  <c r="X1412" i="12"/>
  <c r="W1412" i="12"/>
  <c r="V1412" i="12"/>
  <c r="U1412" i="12"/>
  <c r="T1412" i="12"/>
  <c r="S1412" i="12"/>
  <c r="AL1411" i="12"/>
  <c r="AK1411" i="12"/>
  <c r="AJ1411" i="12"/>
  <c r="AI1411" i="12"/>
  <c r="AH1411" i="12"/>
  <c r="AG1411" i="12"/>
  <c r="AF1411" i="12"/>
  <c r="AE1411" i="12"/>
  <c r="AC1411" i="12"/>
  <c r="AB1411" i="12"/>
  <c r="Z1411" i="12"/>
  <c r="X1411" i="12"/>
  <c r="W1411" i="12"/>
  <c r="V1411" i="12"/>
  <c r="U1411" i="12"/>
  <c r="T1411" i="12"/>
  <c r="S1411" i="12"/>
  <c r="AL1410" i="12"/>
  <c r="AK1410" i="12"/>
  <c r="AJ1410" i="12"/>
  <c r="AI1410" i="12"/>
  <c r="AH1410" i="12"/>
  <c r="AG1410" i="12"/>
  <c r="AF1410" i="12"/>
  <c r="AC1410" i="12"/>
  <c r="AE1410" i="12" s="1"/>
  <c r="AB1410" i="12"/>
  <c r="Z1410" i="12"/>
  <c r="X1410" i="12"/>
  <c r="W1410" i="12"/>
  <c r="V1410" i="12"/>
  <c r="U1410" i="12"/>
  <c r="T1410" i="12"/>
  <c r="S1410" i="12"/>
  <c r="AL1409" i="12"/>
  <c r="AK1409" i="12"/>
  <c r="AJ1409" i="12"/>
  <c r="AI1409" i="12"/>
  <c r="AH1409" i="12"/>
  <c r="AG1409" i="12"/>
  <c r="AF1409" i="12"/>
  <c r="AE1409" i="12"/>
  <c r="AC1409" i="12"/>
  <c r="AB1409" i="12"/>
  <c r="Z1409" i="12"/>
  <c r="X1409" i="12"/>
  <c r="W1409" i="12"/>
  <c r="V1409" i="12"/>
  <c r="U1409" i="12"/>
  <c r="T1409" i="12"/>
  <c r="S1409" i="12"/>
  <c r="AL1408" i="12"/>
  <c r="AK1408" i="12"/>
  <c r="AJ1408" i="12"/>
  <c r="AI1408" i="12"/>
  <c r="AH1408" i="12"/>
  <c r="AG1408" i="12"/>
  <c r="AF1408" i="12"/>
  <c r="AE1408" i="12"/>
  <c r="AC1408" i="12"/>
  <c r="AB1408" i="12"/>
  <c r="Z1408" i="12"/>
  <c r="X1408" i="12"/>
  <c r="W1408" i="12"/>
  <c r="V1408" i="12"/>
  <c r="U1408" i="12"/>
  <c r="T1408" i="12"/>
  <c r="S1408" i="12"/>
  <c r="AL1407" i="12"/>
  <c r="AK1407" i="12"/>
  <c r="AJ1407" i="12"/>
  <c r="AI1407" i="12"/>
  <c r="AH1407" i="12"/>
  <c r="AG1407" i="12"/>
  <c r="AF1407" i="12"/>
  <c r="AC1407" i="12"/>
  <c r="AE1407" i="12" s="1"/>
  <c r="AB1407" i="12"/>
  <c r="Z1407" i="12"/>
  <c r="X1407" i="12"/>
  <c r="W1407" i="12"/>
  <c r="V1407" i="12"/>
  <c r="U1407" i="12"/>
  <c r="T1407" i="12"/>
  <c r="S1407" i="12"/>
  <c r="AL1406" i="12"/>
  <c r="AK1406" i="12"/>
  <c r="AJ1406" i="12"/>
  <c r="AI1406" i="12"/>
  <c r="AH1406" i="12"/>
  <c r="AG1406" i="12"/>
  <c r="AF1406" i="12"/>
  <c r="AC1406" i="12"/>
  <c r="AE1406" i="12" s="1"/>
  <c r="AB1406" i="12"/>
  <c r="Z1406" i="12"/>
  <c r="X1406" i="12"/>
  <c r="W1406" i="12"/>
  <c r="V1406" i="12"/>
  <c r="U1406" i="12"/>
  <c r="T1406" i="12"/>
  <c r="S1406" i="12"/>
  <c r="AL1405" i="12"/>
  <c r="AK1405" i="12"/>
  <c r="AJ1405" i="12"/>
  <c r="AI1405" i="12"/>
  <c r="AH1405" i="12"/>
  <c r="AG1405" i="12"/>
  <c r="AF1405" i="12"/>
  <c r="AE1405" i="12"/>
  <c r="AC1405" i="12"/>
  <c r="AB1405" i="12"/>
  <c r="Z1405" i="12"/>
  <c r="X1405" i="12"/>
  <c r="W1405" i="12"/>
  <c r="V1405" i="12"/>
  <c r="U1405" i="12"/>
  <c r="T1405" i="12"/>
  <c r="S1405" i="12"/>
  <c r="AL1404" i="12"/>
  <c r="AK1404" i="12"/>
  <c r="AJ1404" i="12"/>
  <c r="AI1404" i="12"/>
  <c r="AH1404" i="12"/>
  <c r="AG1404" i="12"/>
  <c r="AF1404" i="12"/>
  <c r="AE1404" i="12"/>
  <c r="AC1404" i="12"/>
  <c r="AB1404" i="12"/>
  <c r="Z1404" i="12"/>
  <c r="X1404" i="12"/>
  <c r="W1404" i="12"/>
  <c r="V1404" i="12"/>
  <c r="U1404" i="12"/>
  <c r="T1404" i="12"/>
  <c r="S1404" i="12"/>
  <c r="AL1403" i="12"/>
  <c r="AK1403" i="12"/>
  <c r="AJ1403" i="12"/>
  <c r="AI1403" i="12"/>
  <c r="AH1403" i="12"/>
  <c r="AG1403" i="12"/>
  <c r="AF1403" i="12"/>
  <c r="AC1403" i="12"/>
  <c r="AE1403" i="12" s="1"/>
  <c r="AB1403" i="12"/>
  <c r="Z1403" i="12"/>
  <c r="X1403" i="12"/>
  <c r="W1403" i="12"/>
  <c r="V1403" i="12"/>
  <c r="U1403" i="12"/>
  <c r="T1403" i="12"/>
  <c r="S1403" i="12"/>
  <c r="AL1402" i="12"/>
  <c r="AK1402" i="12"/>
  <c r="AJ1402" i="12"/>
  <c r="AI1402" i="12"/>
  <c r="AH1402" i="12"/>
  <c r="AG1402" i="12"/>
  <c r="AF1402" i="12"/>
  <c r="AE1402" i="12"/>
  <c r="AC1402" i="12"/>
  <c r="AB1402" i="12"/>
  <c r="Z1402" i="12"/>
  <c r="X1402" i="12"/>
  <c r="W1402" i="12"/>
  <c r="V1402" i="12"/>
  <c r="U1402" i="12"/>
  <c r="T1402" i="12"/>
  <c r="S1402" i="12"/>
  <c r="AL1401" i="12"/>
  <c r="AK1401" i="12"/>
  <c r="AJ1401" i="12"/>
  <c r="AI1401" i="12"/>
  <c r="AH1401" i="12"/>
  <c r="AG1401" i="12"/>
  <c r="AF1401" i="12"/>
  <c r="AC1401" i="12"/>
  <c r="AE1401" i="12" s="1"/>
  <c r="AB1401" i="12"/>
  <c r="Z1401" i="12"/>
  <c r="X1401" i="12"/>
  <c r="W1401" i="12"/>
  <c r="V1401" i="12"/>
  <c r="U1401" i="12"/>
  <c r="T1401" i="12"/>
  <c r="S1401" i="12"/>
  <c r="AL1400" i="12"/>
  <c r="AK1400" i="12"/>
  <c r="AJ1400" i="12"/>
  <c r="AI1400" i="12"/>
  <c r="AH1400" i="12"/>
  <c r="AG1400" i="12"/>
  <c r="AF1400" i="12"/>
  <c r="AC1400" i="12"/>
  <c r="AE1400" i="12" s="1"/>
  <c r="AB1400" i="12"/>
  <c r="Z1400" i="12"/>
  <c r="X1400" i="12"/>
  <c r="W1400" i="12"/>
  <c r="V1400" i="12"/>
  <c r="U1400" i="12"/>
  <c r="T1400" i="12"/>
  <c r="S1400" i="12"/>
  <c r="AL1399" i="12"/>
  <c r="AK1399" i="12"/>
  <c r="AJ1399" i="12"/>
  <c r="AI1399" i="12"/>
  <c r="AH1399" i="12"/>
  <c r="AG1399" i="12"/>
  <c r="AF1399" i="12"/>
  <c r="AE1399" i="12"/>
  <c r="AC1399" i="12"/>
  <c r="AB1399" i="12"/>
  <c r="Z1399" i="12"/>
  <c r="X1399" i="12"/>
  <c r="W1399" i="12"/>
  <c r="V1399" i="12"/>
  <c r="U1399" i="12"/>
  <c r="T1399" i="12"/>
  <c r="S1399" i="12"/>
  <c r="AL1398" i="12"/>
  <c r="AK1398" i="12"/>
  <c r="AJ1398" i="12"/>
  <c r="AI1398" i="12"/>
  <c r="AH1398" i="12"/>
  <c r="AG1398" i="12"/>
  <c r="AF1398" i="12"/>
  <c r="AC1398" i="12"/>
  <c r="AE1398" i="12" s="1"/>
  <c r="AB1398" i="12"/>
  <c r="Z1398" i="12"/>
  <c r="X1398" i="12"/>
  <c r="W1398" i="12"/>
  <c r="V1398" i="12"/>
  <c r="U1398" i="12"/>
  <c r="T1398" i="12"/>
  <c r="S1398" i="12"/>
  <c r="AL1397" i="12"/>
  <c r="AK1397" i="12"/>
  <c r="AJ1397" i="12"/>
  <c r="AI1397" i="12"/>
  <c r="AH1397" i="12"/>
  <c r="AG1397" i="12"/>
  <c r="AF1397" i="12"/>
  <c r="AC1397" i="12"/>
  <c r="AE1397" i="12" s="1"/>
  <c r="AB1397" i="12"/>
  <c r="Z1397" i="12"/>
  <c r="X1397" i="12"/>
  <c r="W1397" i="12"/>
  <c r="V1397" i="12"/>
  <c r="U1397" i="12"/>
  <c r="T1397" i="12"/>
  <c r="S1397" i="12"/>
  <c r="AL1396" i="12"/>
  <c r="AK1396" i="12"/>
  <c r="AJ1396" i="12"/>
  <c r="AI1396" i="12"/>
  <c r="AH1396" i="12"/>
  <c r="AG1396" i="12"/>
  <c r="AF1396" i="12"/>
  <c r="AE1396" i="12"/>
  <c r="AC1396" i="12"/>
  <c r="AB1396" i="12"/>
  <c r="Z1396" i="12"/>
  <c r="X1396" i="12"/>
  <c r="W1396" i="12"/>
  <c r="V1396" i="12"/>
  <c r="U1396" i="12"/>
  <c r="T1396" i="12"/>
  <c r="S1396" i="12"/>
  <c r="AL1395" i="12"/>
  <c r="AK1395" i="12"/>
  <c r="AJ1395" i="12"/>
  <c r="AI1395" i="12"/>
  <c r="AH1395" i="12"/>
  <c r="AG1395" i="12"/>
  <c r="AF1395" i="12"/>
  <c r="AC1395" i="12"/>
  <c r="AE1395" i="12" s="1"/>
  <c r="AB1395" i="12"/>
  <c r="Z1395" i="12"/>
  <c r="X1395" i="12"/>
  <c r="W1395" i="12"/>
  <c r="V1395" i="12"/>
  <c r="U1395" i="12"/>
  <c r="T1395" i="12"/>
  <c r="S1395" i="12"/>
  <c r="AL1394" i="12"/>
  <c r="AK1394" i="12"/>
  <c r="AJ1394" i="12"/>
  <c r="AI1394" i="12"/>
  <c r="AH1394" i="12"/>
  <c r="AG1394" i="12"/>
  <c r="AF1394" i="12"/>
  <c r="AC1394" i="12"/>
  <c r="AE1394" i="12" s="1"/>
  <c r="AB1394" i="12"/>
  <c r="Z1394" i="12"/>
  <c r="X1394" i="12"/>
  <c r="W1394" i="12"/>
  <c r="V1394" i="12"/>
  <c r="U1394" i="12"/>
  <c r="T1394" i="12"/>
  <c r="S1394" i="12"/>
  <c r="AL1393" i="12"/>
  <c r="AK1393" i="12"/>
  <c r="AJ1393" i="12"/>
  <c r="AI1393" i="12"/>
  <c r="AH1393" i="12"/>
  <c r="AG1393" i="12"/>
  <c r="AF1393" i="12"/>
  <c r="AC1393" i="12"/>
  <c r="AE1393" i="12" s="1"/>
  <c r="AB1393" i="12"/>
  <c r="Z1393" i="12"/>
  <c r="X1393" i="12"/>
  <c r="W1393" i="12"/>
  <c r="V1393" i="12"/>
  <c r="U1393" i="12"/>
  <c r="T1393" i="12"/>
  <c r="S1393" i="12"/>
  <c r="AL1392" i="12"/>
  <c r="AK1392" i="12"/>
  <c r="AJ1392" i="12"/>
  <c r="AI1392" i="12"/>
  <c r="AH1392" i="12"/>
  <c r="AG1392" i="12"/>
  <c r="AF1392" i="12"/>
  <c r="AE1392" i="12"/>
  <c r="AC1392" i="12"/>
  <c r="AB1392" i="12"/>
  <c r="Z1392" i="12"/>
  <c r="X1392" i="12"/>
  <c r="W1392" i="12"/>
  <c r="V1392" i="12"/>
  <c r="U1392" i="12"/>
  <c r="T1392" i="12"/>
  <c r="S1392" i="12"/>
  <c r="AL1391" i="12"/>
  <c r="AK1391" i="12"/>
  <c r="AJ1391" i="12"/>
  <c r="AI1391" i="12"/>
  <c r="AH1391" i="12"/>
  <c r="AG1391" i="12"/>
  <c r="AF1391" i="12"/>
  <c r="AE1391" i="12"/>
  <c r="AC1391" i="12"/>
  <c r="AB1391" i="12"/>
  <c r="Z1391" i="12"/>
  <c r="X1391" i="12"/>
  <c r="W1391" i="12"/>
  <c r="V1391" i="12"/>
  <c r="U1391" i="12"/>
  <c r="T1391" i="12"/>
  <c r="S1391" i="12"/>
  <c r="AL1390" i="12"/>
  <c r="AK1390" i="12"/>
  <c r="AJ1390" i="12"/>
  <c r="AI1390" i="12"/>
  <c r="AH1390" i="12"/>
  <c r="AG1390" i="12"/>
  <c r="AF1390" i="12"/>
  <c r="AC1390" i="12"/>
  <c r="AE1390" i="12" s="1"/>
  <c r="AB1390" i="12"/>
  <c r="Z1390" i="12"/>
  <c r="X1390" i="12"/>
  <c r="W1390" i="12"/>
  <c r="V1390" i="12"/>
  <c r="U1390" i="12"/>
  <c r="T1390" i="12"/>
  <c r="S1390" i="12"/>
  <c r="AL1389" i="12"/>
  <c r="AK1389" i="12"/>
  <c r="AJ1389" i="12"/>
  <c r="AI1389" i="12"/>
  <c r="AH1389" i="12"/>
  <c r="AG1389" i="12"/>
  <c r="AF1389" i="12"/>
  <c r="AE1389" i="12"/>
  <c r="AC1389" i="12"/>
  <c r="AB1389" i="12"/>
  <c r="Z1389" i="12"/>
  <c r="X1389" i="12"/>
  <c r="W1389" i="12"/>
  <c r="V1389" i="12"/>
  <c r="U1389" i="12"/>
  <c r="T1389" i="12"/>
  <c r="S1389" i="12"/>
  <c r="AL1388" i="12"/>
  <c r="AK1388" i="12"/>
  <c r="AJ1388" i="12"/>
  <c r="AI1388" i="12"/>
  <c r="AH1388" i="12"/>
  <c r="AG1388" i="12"/>
  <c r="AF1388" i="12"/>
  <c r="AE1388" i="12"/>
  <c r="AC1388" i="12"/>
  <c r="AB1388" i="12"/>
  <c r="Z1388" i="12"/>
  <c r="X1388" i="12"/>
  <c r="W1388" i="12"/>
  <c r="V1388" i="12"/>
  <c r="U1388" i="12"/>
  <c r="T1388" i="12"/>
  <c r="S1388" i="12"/>
  <c r="AL1387" i="12"/>
  <c r="AK1387" i="12"/>
  <c r="AJ1387" i="12"/>
  <c r="AI1387" i="12"/>
  <c r="AH1387" i="12"/>
  <c r="AG1387" i="12"/>
  <c r="AF1387" i="12"/>
  <c r="AC1387" i="12"/>
  <c r="AE1387" i="12" s="1"/>
  <c r="AB1387" i="12"/>
  <c r="Z1387" i="12"/>
  <c r="X1387" i="12"/>
  <c r="W1387" i="12"/>
  <c r="V1387" i="12"/>
  <c r="U1387" i="12"/>
  <c r="T1387" i="12"/>
  <c r="S1387" i="12"/>
  <c r="AL1386" i="12"/>
  <c r="AK1386" i="12"/>
  <c r="AJ1386" i="12"/>
  <c r="AI1386" i="12"/>
  <c r="AH1386" i="12"/>
  <c r="AG1386" i="12"/>
  <c r="AF1386" i="12"/>
  <c r="AC1386" i="12"/>
  <c r="AE1386" i="12" s="1"/>
  <c r="AB1386" i="12"/>
  <c r="Z1386" i="12"/>
  <c r="X1386" i="12"/>
  <c r="W1386" i="12"/>
  <c r="V1386" i="12"/>
  <c r="U1386" i="12"/>
  <c r="T1386" i="12"/>
  <c r="S1386" i="12"/>
  <c r="AL1385" i="12"/>
  <c r="AK1385" i="12"/>
  <c r="AJ1385" i="12"/>
  <c r="AI1385" i="12"/>
  <c r="AH1385" i="12"/>
  <c r="AG1385" i="12"/>
  <c r="AF1385" i="12"/>
  <c r="AE1385" i="12"/>
  <c r="AC1385" i="12"/>
  <c r="AB1385" i="12"/>
  <c r="Z1385" i="12"/>
  <c r="X1385" i="12"/>
  <c r="W1385" i="12"/>
  <c r="V1385" i="12"/>
  <c r="U1385" i="12"/>
  <c r="T1385" i="12"/>
  <c r="S1385" i="12"/>
  <c r="AL1384" i="12"/>
  <c r="AK1384" i="12"/>
  <c r="AJ1384" i="12"/>
  <c r="AI1384" i="12"/>
  <c r="AH1384" i="12"/>
  <c r="AG1384" i="12"/>
  <c r="AF1384" i="12"/>
  <c r="AE1384" i="12"/>
  <c r="AC1384" i="12"/>
  <c r="AB1384" i="12"/>
  <c r="Z1384" i="12"/>
  <c r="X1384" i="12"/>
  <c r="W1384" i="12"/>
  <c r="V1384" i="12"/>
  <c r="U1384" i="12"/>
  <c r="T1384" i="12"/>
  <c r="S1384" i="12"/>
  <c r="AL1383" i="12"/>
  <c r="AK1383" i="12"/>
  <c r="AJ1383" i="12"/>
  <c r="AI1383" i="12"/>
  <c r="AH1383" i="12"/>
  <c r="AG1383" i="12"/>
  <c r="AF1383" i="12"/>
  <c r="AC1383" i="12"/>
  <c r="AE1383" i="12" s="1"/>
  <c r="AB1383" i="12"/>
  <c r="Z1383" i="12"/>
  <c r="X1383" i="12"/>
  <c r="W1383" i="12"/>
  <c r="V1383" i="12"/>
  <c r="U1383" i="12"/>
  <c r="T1383" i="12"/>
  <c r="S1383" i="12"/>
  <c r="AL1382" i="12"/>
  <c r="AK1382" i="12"/>
  <c r="AJ1382" i="12"/>
  <c r="AI1382" i="12"/>
  <c r="AH1382" i="12"/>
  <c r="AG1382" i="12"/>
  <c r="AF1382" i="12"/>
  <c r="AE1382" i="12"/>
  <c r="AC1382" i="12"/>
  <c r="AB1382" i="12"/>
  <c r="Z1382" i="12"/>
  <c r="X1382" i="12"/>
  <c r="W1382" i="12"/>
  <c r="V1382" i="12"/>
  <c r="U1382" i="12"/>
  <c r="T1382" i="12"/>
  <c r="S1382" i="12"/>
  <c r="AL1381" i="12"/>
  <c r="AK1381" i="12"/>
  <c r="AJ1381" i="12"/>
  <c r="AI1381" i="12"/>
  <c r="AH1381" i="12"/>
  <c r="AG1381" i="12"/>
  <c r="AF1381" i="12"/>
  <c r="AC1381" i="12"/>
  <c r="AE1381" i="12" s="1"/>
  <c r="AB1381" i="12"/>
  <c r="Z1381" i="12"/>
  <c r="X1381" i="12"/>
  <c r="W1381" i="12"/>
  <c r="V1381" i="12"/>
  <c r="U1381" i="12"/>
  <c r="T1381" i="12"/>
  <c r="S1381" i="12"/>
  <c r="AL1380" i="12"/>
  <c r="AK1380" i="12"/>
  <c r="AJ1380" i="12"/>
  <c r="AI1380" i="12"/>
  <c r="AH1380" i="12"/>
  <c r="AG1380" i="12"/>
  <c r="AF1380" i="12"/>
  <c r="AC1380" i="12"/>
  <c r="AE1380" i="12" s="1"/>
  <c r="AB1380" i="12"/>
  <c r="Z1380" i="12"/>
  <c r="X1380" i="12"/>
  <c r="W1380" i="12"/>
  <c r="V1380" i="12"/>
  <c r="U1380" i="12"/>
  <c r="T1380" i="12"/>
  <c r="S1380" i="12"/>
  <c r="AL1379" i="12"/>
  <c r="AK1379" i="12"/>
  <c r="AJ1379" i="12"/>
  <c r="AI1379" i="12"/>
  <c r="AH1379" i="12"/>
  <c r="AG1379" i="12"/>
  <c r="AF1379" i="12"/>
  <c r="AE1379" i="12"/>
  <c r="AC1379" i="12"/>
  <c r="AB1379" i="12"/>
  <c r="Z1379" i="12"/>
  <c r="X1379" i="12"/>
  <c r="W1379" i="12"/>
  <c r="V1379" i="12"/>
  <c r="U1379" i="12"/>
  <c r="T1379" i="12"/>
  <c r="S1379" i="12"/>
  <c r="AL1378" i="12"/>
  <c r="AK1378" i="12"/>
  <c r="AJ1378" i="12"/>
  <c r="AI1378" i="12"/>
  <c r="AH1378" i="12"/>
  <c r="AG1378" i="12"/>
  <c r="AF1378" i="12"/>
  <c r="AC1378" i="12"/>
  <c r="AE1378" i="12" s="1"/>
  <c r="AB1378" i="12"/>
  <c r="Z1378" i="12"/>
  <c r="X1378" i="12"/>
  <c r="W1378" i="12"/>
  <c r="V1378" i="12"/>
  <c r="U1378" i="12"/>
  <c r="T1378" i="12"/>
  <c r="S1378" i="12"/>
  <c r="AL1377" i="12"/>
  <c r="AK1377" i="12"/>
  <c r="AJ1377" i="12"/>
  <c r="AI1377" i="12"/>
  <c r="AH1377" i="12"/>
  <c r="AG1377" i="12"/>
  <c r="AF1377" i="12"/>
  <c r="AC1377" i="12"/>
  <c r="AE1377" i="12" s="1"/>
  <c r="AB1377" i="12"/>
  <c r="Z1377" i="12"/>
  <c r="X1377" i="12"/>
  <c r="W1377" i="12"/>
  <c r="V1377" i="12"/>
  <c r="U1377" i="12"/>
  <c r="T1377" i="12"/>
  <c r="S1377" i="12"/>
  <c r="AL1376" i="12"/>
  <c r="AK1376" i="12"/>
  <c r="AJ1376" i="12"/>
  <c r="AI1376" i="12"/>
  <c r="AH1376" i="12"/>
  <c r="AG1376" i="12"/>
  <c r="AF1376" i="12"/>
  <c r="AE1376" i="12"/>
  <c r="AC1376" i="12"/>
  <c r="AB1376" i="12"/>
  <c r="Z1376" i="12"/>
  <c r="X1376" i="12"/>
  <c r="W1376" i="12"/>
  <c r="V1376" i="12"/>
  <c r="U1376" i="12"/>
  <c r="T1376" i="12"/>
  <c r="S1376" i="12"/>
  <c r="AL1375" i="12"/>
  <c r="AK1375" i="12"/>
  <c r="AJ1375" i="12"/>
  <c r="AI1375" i="12"/>
  <c r="AH1375" i="12"/>
  <c r="AG1375" i="12"/>
  <c r="AF1375" i="12"/>
  <c r="AC1375" i="12"/>
  <c r="AE1375" i="12" s="1"/>
  <c r="AB1375" i="12"/>
  <c r="Z1375" i="12"/>
  <c r="X1375" i="12"/>
  <c r="W1375" i="12"/>
  <c r="V1375" i="12"/>
  <c r="U1375" i="12"/>
  <c r="T1375" i="12"/>
  <c r="S1375" i="12"/>
  <c r="AL1374" i="12"/>
  <c r="AK1374" i="12"/>
  <c r="AJ1374" i="12"/>
  <c r="AI1374" i="12"/>
  <c r="AH1374" i="12"/>
  <c r="AG1374" i="12"/>
  <c r="AF1374" i="12"/>
  <c r="AC1374" i="12"/>
  <c r="AE1374" i="12" s="1"/>
  <c r="AB1374" i="12"/>
  <c r="Z1374" i="12"/>
  <c r="X1374" i="12"/>
  <c r="W1374" i="12"/>
  <c r="V1374" i="12"/>
  <c r="U1374" i="12"/>
  <c r="T1374" i="12"/>
  <c r="S1374" i="12"/>
  <c r="AL1373" i="12"/>
  <c r="AK1373" i="12"/>
  <c r="AJ1373" i="12"/>
  <c r="AI1373" i="12"/>
  <c r="AH1373" i="12"/>
  <c r="AG1373" i="12"/>
  <c r="AF1373" i="12"/>
  <c r="AC1373" i="12"/>
  <c r="AE1373" i="12" s="1"/>
  <c r="AB1373" i="12"/>
  <c r="Z1373" i="12"/>
  <c r="X1373" i="12"/>
  <c r="W1373" i="12"/>
  <c r="V1373" i="12"/>
  <c r="U1373" i="12"/>
  <c r="T1373" i="12"/>
  <c r="S1373" i="12"/>
  <c r="AL1372" i="12"/>
  <c r="AK1372" i="12"/>
  <c r="AJ1372" i="12"/>
  <c r="AI1372" i="12"/>
  <c r="AH1372" i="12"/>
  <c r="AG1372" i="12"/>
  <c r="AF1372" i="12"/>
  <c r="AE1372" i="12"/>
  <c r="AC1372" i="12"/>
  <c r="AB1372" i="12"/>
  <c r="Z1372" i="12"/>
  <c r="X1372" i="12"/>
  <c r="W1372" i="12"/>
  <c r="V1372" i="12"/>
  <c r="U1372" i="12"/>
  <c r="T1372" i="12"/>
  <c r="S1372" i="12"/>
  <c r="AL1371" i="12"/>
  <c r="AK1371" i="12"/>
  <c r="AJ1371" i="12"/>
  <c r="AI1371" i="12"/>
  <c r="AH1371" i="12"/>
  <c r="AG1371" i="12"/>
  <c r="AF1371" i="12"/>
  <c r="AE1371" i="12"/>
  <c r="AC1371" i="12"/>
  <c r="AB1371" i="12"/>
  <c r="Z1371" i="12"/>
  <c r="X1371" i="12"/>
  <c r="W1371" i="12"/>
  <c r="V1371" i="12"/>
  <c r="U1371" i="12"/>
  <c r="T1371" i="12"/>
  <c r="S1371" i="12"/>
  <c r="AL1370" i="12"/>
  <c r="AK1370" i="12"/>
  <c r="AJ1370" i="12"/>
  <c r="AI1370" i="12"/>
  <c r="AH1370" i="12"/>
  <c r="AG1370" i="12"/>
  <c r="AF1370" i="12"/>
  <c r="AC1370" i="12"/>
  <c r="AE1370" i="12" s="1"/>
  <c r="AB1370" i="12"/>
  <c r="Z1370" i="12"/>
  <c r="X1370" i="12"/>
  <c r="W1370" i="12"/>
  <c r="V1370" i="12"/>
  <c r="U1370" i="12"/>
  <c r="T1370" i="12"/>
  <c r="S1370" i="12"/>
  <c r="AL1369" i="12"/>
  <c r="AK1369" i="12"/>
  <c r="AJ1369" i="12"/>
  <c r="AI1369" i="12"/>
  <c r="AH1369" i="12"/>
  <c r="AG1369" i="12"/>
  <c r="AF1369" i="12"/>
  <c r="AE1369" i="12"/>
  <c r="AC1369" i="12"/>
  <c r="AB1369" i="12"/>
  <c r="Z1369" i="12"/>
  <c r="X1369" i="12"/>
  <c r="W1369" i="12"/>
  <c r="V1369" i="12"/>
  <c r="U1369" i="12"/>
  <c r="T1369" i="12"/>
  <c r="S1369" i="12"/>
  <c r="AL1368" i="12"/>
  <c r="AK1368" i="12"/>
  <c r="AJ1368" i="12"/>
  <c r="AI1368" i="12"/>
  <c r="AH1368" i="12"/>
  <c r="AG1368" i="12"/>
  <c r="AF1368" i="12"/>
  <c r="AE1368" i="12"/>
  <c r="AC1368" i="12"/>
  <c r="AB1368" i="12"/>
  <c r="Z1368" i="12"/>
  <c r="X1368" i="12"/>
  <c r="W1368" i="12"/>
  <c r="V1368" i="12"/>
  <c r="U1368" i="12"/>
  <c r="T1368" i="12"/>
  <c r="S1368" i="12"/>
  <c r="AL1367" i="12"/>
  <c r="AK1367" i="12"/>
  <c r="AJ1367" i="12"/>
  <c r="AI1367" i="12"/>
  <c r="AH1367" i="12"/>
  <c r="AG1367" i="12"/>
  <c r="AF1367" i="12"/>
  <c r="AC1367" i="12"/>
  <c r="AE1367" i="12" s="1"/>
  <c r="AB1367" i="12"/>
  <c r="Z1367" i="12"/>
  <c r="X1367" i="12"/>
  <c r="W1367" i="12"/>
  <c r="V1367" i="12"/>
  <c r="U1367" i="12"/>
  <c r="T1367" i="12"/>
  <c r="S1367" i="12"/>
  <c r="AL1366" i="12"/>
  <c r="AK1366" i="12"/>
  <c r="AJ1366" i="12"/>
  <c r="AI1366" i="12"/>
  <c r="AH1366" i="12"/>
  <c r="AG1366" i="12"/>
  <c r="AF1366" i="12"/>
  <c r="AC1366" i="12"/>
  <c r="AE1366" i="12" s="1"/>
  <c r="AB1366" i="12"/>
  <c r="Z1366" i="12"/>
  <c r="X1366" i="12"/>
  <c r="W1366" i="12"/>
  <c r="V1366" i="12"/>
  <c r="U1366" i="12"/>
  <c r="T1366" i="12"/>
  <c r="S1366" i="12"/>
  <c r="AL1365" i="12"/>
  <c r="AK1365" i="12"/>
  <c r="AJ1365" i="12"/>
  <c r="AI1365" i="12"/>
  <c r="AH1365" i="12"/>
  <c r="AG1365" i="12"/>
  <c r="AF1365" i="12"/>
  <c r="AE1365" i="12"/>
  <c r="AC1365" i="12"/>
  <c r="AB1365" i="12"/>
  <c r="Z1365" i="12"/>
  <c r="X1365" i="12"/>
  <c r="W1365" i="12"/>
  <c r="V1365" i="12"/>
  <c r="U1365" i="12"/>
  <c r="T1365" i="12"/>
  <c r="S1365" i="12"/>
  <c r="AL1364" i="12"/>
  <c r="AK1364" i="12"/>
  <c r="AJ1364" i="12"/>
  <c r="AI1364" i="12"/>
  <c r="AH1364" i="12"/>
  <c r="AG1364" i="12"/>
  <c r="AF1364" i="12"/>
  <c r="AE1364" i="12"/>
  <c r="AC1364" i="12"/>
  <c r="AB1364" i="12"/>
  <c r="Z1364" i="12"/>
  <c r="X1364" i="12"/>
  <c r="W1364" i="12"/>
  <c r="V1364" i="12"/>
  <c r="U1364" i="12"/>
  <c r="T1364" i="12"/>
  <c r="S1364" i="12"/>
  <c r="AL1363" i="12"/>
  <c r="AK1363" i="12"/>
  <c r="AJ1363" i="12"/>
  <c r="AI1363" i="12"/>
  <c r="AH1363" i="12"/>
  <c r="AG1363" i="12"/>
  <c r="AF1363" i="12"/>
  <c r="AC1363" i="12"/>
  <c r="AE1363" i="12" s="1"/>
  <c r="AB1363" i="12"/>
  <c r="Z1363" i="12"/>
  <c r="X1363" i="12"/>
  <c r="W1363" i="12"/>
  <c r="V1363" i="12"/>
  <c r="U1363" i="12"/>
  <c r="T1363" i="12"/>
  <c r="S1363" i="12"/>
  <c r="AL1362" i="12"/>
  <c r="AK1362" i="12"/>
  <c r="AJ1362" i="12"/>
  <c r="AI1362" i="12"/>
  <c r="AH1362" i="12"/>
  <c r="AG1362" i="12"/>
  <c r="AF1362" i="12"/>
  <c r="AE1362" i="12"/>
  <c r="AC1362" i="12"/>
  <c r="AB1362" i="12"/>
  <c r="Z1362" i="12"/>
  <c r="X1362" i="12"/>
  <c r="W1362" i="12"/>
  <c r="V1362" i="12"/>
  <c r="U1362" i="12"/>
  <c r="T1362" i="12"/>
  <c r="S1362" i="12"/>
  <c r="AL1361" i="12"/>
  <c r="AK1361" i="12"/>
  <c r="AJ1361" i="12"/>
  <c r="AI1361" i="12"/>
  <c r="AH1361" i="12"/>
  <c r="AG1361" i="12"/>
  <c r="AF1361" i="12"/>
  <c r="AC1361" i="12"/>
  <c r="AE1361" i="12" s="1"/>
  <c r="AB1361" i="12"/>
  <c r="Z1361" i="12"/>
  <c r="X1361" i="12"/>
  <c r="W1361" i="12"/>
  <c r="V1361" i="12"/>
  <c r="U1361" i="12"/>
  <c r="T1361" i="12"/>
  <c r="S1361" i="12"/>
  <c r="AL1360" i="12"/>
  <c r="AK1360" i="12"/>
  <c r="AJ1360" i="12"/>
  <c r="AI1360" i="12"/>
  <c r="AH1360" i="12"/>
  <c r="AG1360" i="12"/>
  <c r="AF1360" i="12"/>
  <c r="AC1360" i="12"/>
  <c r="AE1360" i="12" s="1"/>
  <c r="AB1360" i="12"/>
  <c r="Z1360" i="12"/>
  <c r="X1360" i="12"/>
  <c r="W1360" i="12"/>
  <c r="V1360" i="12"/>
  <c r="U1360" i="12"/>
  <c r="T1360" i="12"/>
  <c r="S1360" i="12"/>
  <c r="AL1359" i="12"/>
  <c r="AK1359" i="12"/>
  <c r="AJ1359" i="12"/>
  <c r="AI1359" i="12"/>
  <c r="AH1359" i="12"/>
  <c r="AG1359" i="12"/>
  <c r="AF1359" i="12"/>
  <c r="AE1359" i="12"/>
  <c r="AC1359" i="12"/>
  <c r="AB1359" i="12"/>
  <c r="Z1359" i="12"/>
  <c r="X1359" i="12"/>
  <c r="W1359" i="12"/>
  <c r="V1359" i="12"/>
  <c r="U1359" i="12"/>
  <c r="T1359" i="12"/>
  <c r="S1359" i="12"/>
  <c r="AL1358" i="12"/>
  <c r="AK1358" i="12"/>
  <c r="AJ1358" i="12"/>
  <c r="AI1358" i="12"/>
  <c r="AH1358" i="12"/>
  <c r="AG1358" i="12"/>
  <c r="AF1358" i="12"/>
  <c r="AC1358" i="12"/>
  <c r="AE1358" i="12" s="1"/>
  <c r="AB1358" i="12"/>
  <c r="Z1358" i="12"/>
  <c r="X1358" i="12"/>
  <c r="W1358" i="12"/>
  <c r="V1358" i="12"/>
  <c r="U1358" i="12"/>
  <c r="T1358" i="12"/>
  <c r="S1358" i="12"/>
  <c r="AL1357" i="12"/>
  <c r="AK1357" i="12"/>
  <c r="AJ1357" i="12"/>
  <c r="AI1357" i="12"/>
  <c r="AH1357" i="12"/>
  <c r="AG1357" i="12"/>
  <c r="AF1357" i="12"/>
  <c r="AC1357" i="12"/>
  <c r="AE1357" i="12" s="1"/>
  <c r="AB1357" i="12"/>
  <c r="Z1357" i="12"/>
  <c r="X1357" i="12"/>
  <c r="W1357" i="12"/>
  <c r="V1357" i="12"/>
  <c r="U1357" i="12"/>
  <c r="T1357" i="12"/>
  <c r="S1357" i="12"/>
  <c r="AL1356" i="12"/>
  <c r="AK1356" i="12"/>
  <c r="AJ1356" i="12"/>
  <c r="AI1356" i="12"/>
  <c r="AH1356" i="12"/>
  <c r="AG1356" i="12"/>
  <c r="AF1356" i="12"/>
  <c r="AE1356" i="12"/>
  <c r="AC1356" i="12"/>
  <c r="AB1356" i="12"/>
  <c r="Z1356" i="12"/>
  <c r="X1356" i="12"/>
  <c r="W1356" i="12"/>
  <c r="V1356" i="12"/>
  <c r="U1356" i="12"/>
  <c r="T1356" i="12"/>
  <c r="S1356" i="12"/>
  <c r="AL1355" i="12"/>
  <c r="AK1355" i="12"/>
  <c r="AJ1355" i="12"/>
  <c r="AI1355" i="12"/>
  <c r="AH1355" i="12"/>
  <c r="AG1355" i="12"/>
  <c r="AF1355" i="12"/>
  <c r="AC1355" i="12"/>
  <c r="AE1355" i="12" s="1"/>
  <c r="AB1355" i="12"/>
  <c r="Z1355" i="12"/>
  <c r="X1355" i="12"/>
  <c r="W1355" i="12"/>
  <c r="V1355" i="12"/>
  <c r="U1355" i="12"/>
  <c r="T1355" i="12"/>
  <c r="S1355" i="12"/>
  <c r="AL1354" i="12"/>
  <c r="AK1354" i="12"/>
  <c r="AJ1354" i="12"/>
  <c r="AI1354" i="12"/>
  <c r="AH1354" i="12"/>
  <c r="AG1354" i="12"/>
  <c r="AF1354" i="12"/>
  <c r="AC1354" i="12"/>
  <c r="AE1354" i="12" s="1"/>
  <c r="AB1354" i="12"/>
  <c r="Z1354" i="12"/>
  <c r="X1354" i="12"/>
  <c r="W1354" i="12"/>
  <c r="V1354" i="12"/>
  <c r="U1354" i="12"/>
  <c r="T1354" i="12"/>
  <c r="S1354" i="12"/>
  <c r="AL1353" i="12"/>
  <c r="AK1353" i="12"/>
  <c r="AJ1353" i="12"/>
  <c r="AI1353" i="12"/>
  <c r="AH1353" i="12"/>
  <c r="AG1353" i="12"/>
  <c r="AF1353" i="12"/>
  <c r="AC1353" i="12"/>
  <c r="AE1353" i="12" s="1"/>
  <c r="AB1353" i="12"/>
  <c r="Z1353" i="12"/>
  <c r="X1353" i="12"/>
  <c r="W1353" i="12"/>
  <c r="V1353" i="12"/>
  <c r="U1353" i="12"/>
  <c r="T1353" i="12"/>
  <c r="S1353" i="12"/>
  <c r="AL1352" i="12"/>
  <c r="AK1352" i="12"/>
  <c r="AJ1352" i="12"/>
  <c r="AI1352" i="12"/>
  <c r="AH1352" i="12"/>
  <c r="AG1352" i="12"/>
  <c r="AF1352" i="12"/>
  <c r="AE1352" i="12"/>
  <c r="AC1352" i="12"/>
  <c r="AB1352" i="12"/>
  <c r="Z1352" i="12"/>
  <c r="X1352" i="12"/>
  <c r="W1352" i="12"/>
  <c r="V1352" i="12"/>
  <c r="U1352" i="12"/>
  <c r="T1352" i="12"/>
  <c r="S1352" i="12"/>
  <c r="AL1351" i="12"/>
  <c r="AK1351" i="12"/>
  <c r="AJ1351" i="12"/>
  <c r="AI1351" i="12"/>
  <c r="AH1351" i="12"/>
  <c r="AG1351" i="12"/>
  <c r="AF1351" i="12"/>
  <c r="AE1351" i="12"/>
  <c r="AC1351" i="12"/>
  <c r="AB1351" i="12"/>
  <c r="Z1351" i="12"/>
  <c r="X1351" i="12"/>
  <c r="W1351" i="12"/>
  <c r="V1351" i="12"/>
  <c r="U1351" i="12"/>
  <c r="T1351" i="12"/>
  <c r="S1351" i="12"/>
  <c r="AL1350" i="12"/>
  <c r="AK1350" i="12"/>
  <c r="AJ1350" i="12"/>
  <c r="AI1350" i="12"/>
  <c r="AH1350" i="12"/>
  <c r="AG1350" i="12"/>
  <c r="AF1350" i="12"/>
  <c r="AC1350" i="12"/>
  <c r="AE1350" i="12" s="1"/>
  <c r="AB1350" i="12"/>
  <c r="Z1350" i="12"/>
  <c r="X1350" i="12"/>
  <c r="W1350" i="12"/>
  <c r="V1350" i="12"/>
  <c r="U1350" i="12"/>
  <c r="T1350" i="12"/>
  <c r="S1350" i="12"/>
  <c r="AL1349" i="12"/>
  <c r="AK1349" i="12"/>
  <c r="AJ1349" i="12"/>
  <c r="AI1349" i="12"/>
  <c r="AH1349" i="12"/>
  <c r="AG1349" i="12"/>
  <c r="AF1349" i="12"/>
  <c r="AC1349" i="12"/>
  <c r="AE1349" i="12" s="1"/>
  <c r="AB1349" i="12"/>
  <c r="Z1349" i="12"/>
  <c r="X1349" i="12"/>
  <c r="W1349" i="12"/>
  <c r="V1349" i="12"/>
  <c r="U1349" i="12"/>
  <c r="T1349" i="12"/>
  <c r="S1349" i="12"/>
  <c r="AL1348" i="12"/>
  <c r="AK1348" i="12"/>
  <c r="AJ1348" i="12"/>
  <c r="AI1348" i="12"/>
  <c r="AH1348" i="12"/>
  <c r="AG1348" i="12"/>
  <c r="AF1348" i="12"/>
  <c r="AE1348" i="12"/>
  <c r="AC1348" i="12"/>
  <c r="AB1348" i="12"/>
  <c r="Z1348" i="12"/>
  <c r="X1348" i="12"/>
  <c r="W1348" i="12"/>
  <c r="V1348" i="12"/>
  <c r="U1348" i="12"/>
  <c r="T1348" i="12"/>
  <c r="S1348" i="12"/>
  <c r="AL1347" i="12"/>
  <c r="AK1347" i="12"/>
  <c r="AJ1347" i="12"/>
  <c r="AI1347" i="12"/>
  <c r="AH1347" i="12"/>
  <c r="AG1347" i="12"/>
  <c r="AF1347" i="12"/>
  <c r="AE1347" i="12"/>
  <c r="AC1347" i="12"/>
  <c r="AB1347" i="12"/>
  <c r="Z1347" i="12"/>
  <c r="X1347" i="12"/>
  <c r="W1347" i="12"/>
  <c r="V1347" i="12"/>
  <c r="U1347" i="12"/>
  <c r="T1347" i="12"/>
  <c r="S1347" i="12"/>
  <c r="AL1346" i="12"/>
  <c r="AK1346" i="12"/>
  <c r="AJ1346" i="12"/>
  <c r="AI1346" i="12"/>
  <c r="AH1346" i="12"/>
  <c r="AG1346" i="12"/>
  <c r="AF1346" i="12"/>
  <c r="AC1346" i="12"/>
  <c r="AE1346" i="12" s="1"/>
  <c r="AB1346" i="12"/>
  <c r="Z1346" i="12"/>
  <c r="X1346" i="12"/>
  <c r="W1346" i="12"/>
  <c r="V1346" i="12"/>
  <c r="U1346" i="12"/>
  <c r="T1346" i="12"/>
  <c r="S1346" i="12"/>
  <c r="AL1345" i="12"/>
  <c r="AK1345" i="12"/>
  <c r="AJ1345" i="12"/>
  <c r="AI1345" i="12"/>
  <c r="AH1345" i="12"/>
  <c r="AG1345" i="12"/>
  <c r="AF1345" i="12"/>
  <c r="AC1345" i="12"/>
  <c r="AE1345" i="12" s="1"/>
  <c r="AB1345" i="12"/>
  <c r="Z1345" i="12"/>
  <c r="X1345" i="12"/>
  <c r="W1345" i="12"/>
  <c r="V1345" i="12"/>
  <c r="U1345" i="12"/>
  <c r="T1345" i="12"/>
  <c r="S1345" i="12"/>
  <c r="AL1344" i="12"/>
  <c r="AK1344" i="12"/>
  <c r="AJ1344" i="12"/>
  <c r="AI1344" i="12"/>
  <c r="AH1344" i="12"/>
  <c r="AG1344" i="12"/>
  <c r="AF1344" i="12"/>
  <c r="AC1344" i="12"/>
  <c r="AE1344" i="12" s="1"/>
  <c r="AB1344" i="12"/>
  <c r="Z1344" i="12"/>
  <c r="X1344" i="12"/>
  <c r="W1344" i="12"/>
  <c r="V1344" i="12"/>
  <c r="U1344" i="12"/>
  <c r="T1344" i="12"/>
  <c r="S1344" i="12"/>
  <c r="AL1343" i="12"/>
  <c r="AK1343" i="12"/>
  <c r="AJ1343" i="12"/>
  <c r="AI1343" i="12"/>
  <c r="AH1343" i="12"/>
  <c r="AG1343" i="12"/>
  <c r="AF1343" i="12"/>
  <c r="AE1343" i="12"/>
  <c r="AC1343" i="12"/>
  <c r="AB1343" i="12"/>
  <c r="Z1343" i="12"/>
  <c r="X1343" i="12"/>
  <c r="W1343" i="12"/>
  <c r="V1343" i="12"/>
  <c r="U1343" i="12"/>
  <c r="T1343" i="12"/>
  <c r="S1343" i="12"/>
  <c r="AL1342" i="12"/>
  <c r="AK1342" i="12"/>
  <c r="AJ1342" i="12"/>
  <c r="AI1342" i="12"/>
  <c r="AH1342" i="12"/>
  <c r="AG1342" i="12"/>
  <c r="AF1342" i="12"/>
  <c r="AE1342" i="12"/>
  <c r="AC1342" i="12"/>
  <c r="AB1342" i="12"/>
  <c r="Z1342" i="12"/>
  <c r="X1342" i="12"/>
  <c r="W1342" i="12"/>
  <c r="V1342" i="12"/>
  <c r="U1342" i="12"/>
  <c r="T1342" i="12"/>
  <c r="S1342" i="12"/>
  <c r="AL1341" i="12"/>
  <c r="AK1341" i="12"/>
  <c r="AJ1341" i="12"/>
  <c r="AI1341" i="12"/>
  <c r="AH1341" i="12"/>
  <c r="AG1341" i="12"/>
  <c r="AF1341" i="12"/>
  <c r="AE1341" i="12"/>
  <c r="AC1341" i="12"/>
  <c r="AB1341" i="12"/>
  <c r="Z1341" i="12"/>
  <c r="X1341" i="12"/>
  <c r="W1341" i="12"/>
  <c r="V1341" i="12"/>
  <c r="U1341" i="12"/>
  <c r="T1341" i="12"/>
  <c r="S1341" i="12"/>
  <c r="AL1340" i="12"/>
  <c r="AK1340" i="12"/>
  <c r="AJ1340" i="12"/>
  <c r="AI1340" i="12"/>
  <c r="AH1340" i="12"/>
  <c r="AG1340" i="12"/>
  <c r="AF1340" i="12"/>
  <c r="AC1340" i="12"/>
  <c r="AE1340" i="12" s="1"/>
  <c r="AB1340" i="12"/>
  <c r="Z1340" i="12"/>
  <c r="X1340" i="12"/>
  <c r="W1340" i="12"/>
  <c r="V1340" i="12"/>
  <c r="U1340" i="12"/>
  <c r="T1340" i="12"/>
  <c r="S1340" i="12"/>
  <c r="AL1339" i="12"/>
  <c r="AK1339" i="12"/>
  <c r="AJ1339" i="12"/>
  <c r="AI1339" i="12"/>
  <c r="AH1339" i="12"/>
  <c r="AG1339" i="12"/>
  <c r="AF1339" i="12"/>
  <c r="AE1339" i="12"/>
  <c r="AC1339" i="12"/>
  <c r="AB1339" i="12"/>
  <c r="Z1339" i="12"/>
  <c r="X1339" i="12"/>
  <c r="W1339" i="12"/>
  <c r="V1339" i="12"/>
  <c r="U1339" i="12"/>
  <c r="T1339" i="12"/>
  <c r="S1339" i="12"/>
  <c r="AL1338" i="12"/>
  <c r="AK1338" i="12"/>
  <c r="AJ1338" i="12"/>
  <c r="AI1338" i="12"/>
  <c r="AH1338" i="12"/>
  <c r="AG1338" i="12"/>
  <c r="AF1338" i="12"/>
  <c r="AC1338" i="12"/>
  <c r="AE1338" i="12" s="1"/>
  <c r="AB1338" i="12"/>
  <c r="Z1338" i="12"/>
  <c r="X1338" i="12"/>
  <c r="W1338" i="12"/>
  <c r="V1338" i="12"/>
  <c r="U1338" i="12"/>
  <c r="T1338" i="12"/>
  <c r="S1338" i="12"/>
  <c r="AL1337" i="12"/>
  <c r="AK1337" i="12"/>
  <c r="AJ1337" i="12"/>
  <c r="AI1337" i="12"/>
  <c r="AH1337" i="12"/>
  <c r="AG1337" i="12"/>
  <c r="AF1337" i="12"/>
  <c r="AC1337" i="12"/>
  <c r="AE1337" i="12" s="1"/>
  <c r="AB1337" i="12"/>
  <c r="Z1337" i="12"/>
  <c r="X1337" i="12"/>
  <c r="W1337" i="12"/>
  <c r="V1337" i="12"/>
  <c r="U1337" i="12"/>
  <c r="T1337" i="12"/>
  <c r="S1337" i="12"/>
  <c r="AL1336" i="12"/>
  <c r="AK1336" i="12"/>
  <c r="AJ1336" i="12"/>
  <c r="AI1336" i="12"/>
  <c r="AH1336" i="12"/>
  <c r="AG1336" i="12"/>
  <c r="AF1336" i="12"/>
  <c r="AE1336" i="12"/>
  <c r="AC1336" i="12"/>
  <c r="AB1336" i="12"/>
  <c r="Z1336" i="12"/>
  <c r="X1336" i="12"/>
  <c r="W1336" i="12"/>
  <c r="V1336" i="12"/>
  <c r="U1336" i="12"/>
  <c r="T1336" i="12"/>
  <c r="S1336" i="12"/>
  <c r="AL1335" i="12"/>
  <c r="AK1335" i="12"/>
  <c r="AJ1335" i="12"/>
  <c r="AI1335" i="12"/>
  <c r="AH1335" i="12"/>
  <c r="AG1335" i="12"/>
  <c r="AF1335" i="12"/>
  <c r="AC1335" i="12"/>
  <c r="AE1335" i="12" s="1"/>
  <c r="AB1335" i="12"/>
  <c r="Z1335" i="12"/>
  <c r="X1335" i="12"/>
  <c r="W1335" i="12"/>
  <c r="V1335" i="12"/>
  <c r="U1335" i="12"/>
  <c r="T1335" i="12"/>
  <c r="S1335" i="12"/>
  <c r="AL1334" i="12"/>
  <c r="AK1334" i="12"/>
  <c r="AJ1334" i="12"/>
  <c r="AI1334" i="12"/>
  <c r="AH1334" i="12"/>
  <c r="AG1334" i="12"/>
  <c r="AF1334" i="12"/>
  <c r="AC1334" i="12"/>
  <c r="AE1334" i="12" s="1"/>
  <c r="AB1334" i="12"/>
  <c r="Z1334" i="12"/>
  <c r="X1334" i="12"/>
  <c r="W1334" i="12"/>
  <c r="V1334" i="12"/>
  <c r="U1334" i="12"/>
  <c r="T1334" i="12"/>
  <c r="S1334" i="12"/>
  <c r="AL1333" i="12"/>
  <c r="AK1333" i="12"/>
  <c r="AJ1333" i="12"/>
  <c r="AI1333" i="12"/>
  <c r="AH1333" i="12"/>
  <c r="AG1333" i="12"/>
  <c r="AF1333" i="12"/>
  <c r="AC1333" i="12"/>
  <c r="AE1333" i="12" s="1"/>
  <c r="AB1333" i="12"/>
  <c r="Z1333" i="12"/>
  <c r="X1333" i="12"/>
  <c r="W1333" i="12"/>
  <c r="V1333" i="12"/>
  <c r="U1333" i="12"/>
  <c r="T1333" i="12"/>
  <c r="S1333" i="12"/>
  <c r="AL1332" i="12"/>
  <c r="AK1332" i="12"/>
  <c r="AJ1332" i="12"/>
  <c r="AI1332" i="12"/>
  <c r="AH1332" i="12"/>
  <c r="AG1332" i="12"/>
  <c r="AF1332" i="12"/>
  <c r="AE1332" i="12"/>
  <c r="AC1332" i="12"/>
  <c r="AB1332" i="12"/>
  <c r="Z1332" i="12"/>
  <c r="X1332" i="12"/>
  <c r="W1332" i="12"/>
  <c r="V1332" i="12"/>
  <c r="U1332" i="12"/>
  <c r="T1332" i="12"/>
  <c r="S1332" i="12"/>
  <c r="AL1331" i="12"/>
  <c r="AK1331" i="12"/>
  <c r="AJ1331" i="12"/>
  <c r="AI1331" i="12"/>
  <c r="AH1331" i="12"/>
  <c r="AG1331" i="12"/>
  <c r="AF1331" i="12"/>
  <c r="AE1331" i="12"/>
  <c r="AC1331" i="12"/>
  <c r="AB1331" i="12"/>
  <c r="Z1331" i="12"/>
  <c r="X1331" i="12"/>
  <c r="W1331" i="12"/>
  <c r="V1331" i="12"/>
  <c r="U1331" i="12"/>
  <c r="T1331" i="12"/>
  <c r="S1331" i="12"/>
  <c r="AL1330" i="12"/>
  <c r="AK1330" i="12"/>
  <c r="AJ1330" i="12"/>
  <c r="AI1330" i="12"/>
  <c r="AH1330" i="12"/>
  <c r="AG1330" i="12"/>
  <c r="AF1330" i="12"/>
  <c r="AE1330" i="12"/>
  <c r="AC1330" i="12"/>
  <c r="AB1330" i="12"/>
  <c r="Z1330" i="12"/>
  <c r="X1330" i="12"/>
  <c r="W1330" i="12"/>
  <c r="V1330" i="12"/>
  <c r="U1330" i="12"/>
  <c r="T1330" i="12"/>
  <c r="S1330" i="12"/>
  <c r="AL1329" i="12"/>
  <c r="AK1329" i="12"/>
  <c r="AJ1329" i="12"/>
  <c r="AI1329" i="12"/>
  <c r="AH1329" i="12"/>
  <c r="AG1329" i="12"/>
  <c r="AF1329" i="12"/>
  <c r="AC1329" i="12"/>
  <c r="AE1329" i="12" s="1"/>
  <c r="AB1329" i="12"/>
  <c r="Z1329" i="12"/>
  <c r="X1329" i="12"/>
  <c r="W1329" i="12"/>
  <c r="V1329" i="12"/>
  <c r="U1329" i="12"/>
  <c r="T1329" i="12"/>
  <c r="S1329" i="12"/>
  <c r="AL1328" i="12"/>
  <c r="AK1328" i="12"/>
  <c r="AJ1328" i="12"/>
  <c r="AI1328" i="12"/>
  <c r="AH1328" i="12"/>
  <c r="AG1328" i="12"/>
  <c r="AF1328" i="12"/>
  <c r="AC1328" i="12"/>
  <c r="AE1328" i="12" s="1"/>
  <c r="AB1328" i="12"/>
  <c r="Z1328" i="12"/>
  <c r="X1328" i="12"/>
  <c r="W1328" i="12"/>
  <c r="V1328" i="12"/>
  <c r="U1328" i="12"/>
  <c r="T1328" i="12"/>
  <c r="S1328" i="12"/>
  <c r="AL1327" i="12"/>
  <c r="AK1327" i="12"/>
  <c r="AJ1327" i="12"/>
  <c r="AI1327" i="12"/>
  <c r="AH1327" i="12"/>
  <c r="AG1327" i="12"/>
  <c r="AF1327" i="12"/>
  <c r="AE1327" i="12"/>
  <c r="AC1327" i="12"/>
  <c r="AB1327" i="12"/>
  <c r="Z1327" i="12"/>
  <c r="X1327" i="12"/>
  <c r="W1327" i="12"/>
  <c r="V1327" i="12"/>
  <c r="U1327" i="12"/>
  <c r="T1327" i="12"/>
  <c r="S1327" i="12"/>
  <c r="AL1326" i="12"/>
  <c r="AK1326" i="12"/>
  <c r="AJ1326" i="12"/>
  <c r="AI1326" i="12"/>
  <c r="AH1326" i="12"/>
  <c r="AG1326" i="12"/>
  <c r="AF1326" i="12"/>
  <c r="AE1326" i="12"/>
  <c r="AC1326" i="12"/>
  <c r="AB1326" i="12"/>
  <c r="Z1326" i="12"/>
  <c r="X1326" i="12"/>
  <c r="W1326" i="12"/>
  <c r="V1326" i="12"/>
  <c r="U1326" i="12"/>
  <c r="T1326" i="12"/>
  <c r="S1326" i="12"/>
  <c r="AL1325" i="12"/>
  <c r="AK1325" i="12"/>
  <c r="AJ1325" i="12"/>
  <c r="AI1325" i="12"/>
  <c r="AH1325" i="12"/>
  <c r="AG1325" i="12"/>
  <c r="AF1325" i="12"/>
  <c r="AE1325" i="12"/>
  <c r="AC1325" i="12"/>
  <c r="AB1325" i="12"/>
  <c r="Z1325" i="12"/>
  <c r="X1325" i="12"/>
  <c r="W1325" i="12"/>
  <c r="V1325" i="12"/>
  <c r="U1325" i="12"/>
  <c r="T1325" i="12"/>
  <c r="S1325" i="12"/>
  <c r="AL1324" i="12"/>
  <c r="AK1324" i="12"/>
  <c r="AJ1324" i="12"/>
  <c r="AI1324" i="12"/>
  <c r="AH1324" i="12"/>
  <c r="AG1324" i="12"/>
  <c r="AF1324" i="12"/>
  <c r="AC1324" i="12"/>
  <c r="AE1324" i="12" s="1"/>
  <c r="AB1324" i="12"/>
  <c r="Z1324" i="12"/>
  <c r="X1324" i="12"/>
  <c r="W1324" i="12"/>
  <c r="V1324" i="12"/>
  <c r="U1324" i="12"/>
  <c r="T1324" i="12"/>
  <c r="S1324" i="12"/>
  <c r="AL1323" i="12"/>
  <c r="AK1323" i="12"/>
  <c r="AJ1323" i="12"/>
  <c r="AI1323" i="12"/>
  <c r="AH1323" i="12"/>
  <c r="AG1323" i="12"/>
  <c r="AF1323" i="12"/>
  <c r="AC1323" i="12"/>
  <c r="AE1323" i="12" s="1"/>
  <c r="AB1323" i="12"/>
  <c r="Z1323" i="12"/>
  <c r="X1323" i="12"/>
  <c r="W1323" i="12"/>
  <c r="V1323" i="12"/>
  <c r="U1323" i="12"/>
  <c r="T1323" i="12"/>
  <c r="S1323" i="12"/>
  <c r="AL1322" i="12"/>
  <c r="AK1322" i="12"/>
  <c r="AJ1322" i="12"/>
  <c r="AI1322" i="12"/>
  <c r="AH1322" i="12"/>
  <c r="AG1322" i="12"/>
  <c r="AF1322" i="12"/>
  <c r="AC1322" i="12"/>
  <c r="AE1322" i="12" s="1"/>
  <c r="AB1322" i="12"/>
  <c r="Z1322" i="12"/>
  <c r="X1322" i="12"/>
  <c r="W1322" i="12"/>
  <c r="V1322" i="12"/>
  <c r="U1322" i="12"/>
  <c r="T1322" i="12"/>
  <c r="S1322" i="12"/>
  <c r="AL1321" i="12"/>
  <c r="AK1321" i="12"/>
  <c r="AJ1321" i="12"/>
  <c r="AI1321" i="12"/>
  <c r="AH1321" i="12"/>
  <c r="AG1321" i="12"/>
  <c r="AF1321" i="12"/>
  <c r="AE1321" i="12"/>
  <c r="AC1321" i="12"/>
  <c r="AB1321" i="12"/>
  <c r="Z1321" i="12"/>
  <c r="X1321" i="12"/>
  <c r="W1321" i="12"/>
  <c r="V1321" i="12"/>
  <c r="U1321" i="12"/>
  <c r="T1321" i="12"/>
  <c r="S1321" i="12"/>
  <c r="AL1320" i="12"/>
  <c r="AK1320" i="12"/>
  <c r="AJ1320" i="12"/>
  <c r="AI1320" i="12"/>
  <c r="AH1320" i="12"/>
  <c r="AG1320" i="12"/>
  <c r="AF1320" i="12"/>
  <c r="AC1320" i="12"/>
  <c r="AE1320" i="12" s="1"/>
  <c r="AB1320" i="12"/>
  <c r="Z1320" i="12"/>
  <c r="X1320" i="12"/>
  <c r="W1320" i="12"/>
  <c r="V1320" i="12"/>
  <c r="U1320" i="12"/>
  <c r="T1320" i="12"/>
  <c r="S1320" i="12"/>
  <c r="AL1319" i="12"/>
  <c r="AK1319" i="12"/>
  <c r="AJ1319" i="12"/>
  <c r="AI1319" i="12"/>
  <c r="AH1319" i="12"/>
  <c r="AG1319" i="12"/>
  <c r="AF1319" i="12"/>
  <c r="AC1319" i="12"/>
  <c r="AE1319" i="12" s="1"/>
  <c r="AB1319" i="12"/>
  <c r="Z1319" i="12"/>
  <c r="X1319" i="12"/>
  <c r="W1319" i="12"/>
  <c r="V1319" i="12"/>
  <c r="U1319" i="12"/>
  <c r="T1319" i="12"/>
  <c r="S1319" i="12"/>
  <c r="AL1318" i="12"/>
  <c r="AK1318" i="12"/>
  <c r="AJ1318" i="12"/>
  <c r="AI1318" i="12"/>
  <c r="AH1318" i="12"/>
  <c r="AG1318" i="12"/>
  <c r="AF1318" i="12"/>
  <c r="AC1318" i="12"/>
  <c r="AE1318" i="12" s="1"/>
  <c r="AB1318" i="12"/>
  <c r="Z1318" i="12"/>
  <c r="X1318" i="12"/>
  <c r="W1318" i="12"/>
  <c r="V1318" i="12"/>
  <c r="U1318" i="12"/>
  <c r="T1318" i="12"/>
  <c r="S1318" i="12"/>
  <c r="AL1317" i="12"/>
  <c r="AK1317" i="12"/>
  <c r="AJ1317" i="12"/>
  <c r="AI1317" i="12"/>
  <c r="AH1317" i="12"/>
  <c r="AG1317" i="12"/>
  <c r="AF1317" i="12"/>
  <c r="AC1317" i="12"/>
  <c r="AE1317" i="12" s="1"/>
  <c r="AB1317" i="12"/>
  <c r="Z1317" i="12"/>
  <c r="X1317" i="12"/>
  <c r="W1317" i="12"/>
  <c r="V1317" i="12"/>
  <c r="U1317" i="12"/>
  <c r="T1317" i="12"/>
  <c r="S1317" i="12"/>
  <c r="AL1316" i="12"/>
  <c r="AK1316" i="12"/>
  <c r="AJ1316" i="12"/>
  <c r="AI1316" i="12"/>
  <c r="AH1316" i="12"/>
  <c r="AG1316" i="12"/>
  <c r="AF1316" i="12"/>
  <c r="AE1316" i="12"/>
  <c r="AC1316" i="12"/>
  <c r="AB1316" i="12"/>
  <c r="Z1316" i="12"/>
  <c r="X1316" i="12"/>
  <c r="W1316" i="12"/>
  <c r="V1316" i="12"/>
  <c r="U1316" i="12"/>
  <c r="T1316" i="12"/>
  <c r="S1316" i="12"/>
  <c r="AL1315" i="12"/>
  <c r="AK1315" i="12"/>
  <c r="AJ1315" i="12"/>
  <c r="AI1315" i="12"/>
  <c r="AH1315" i="12"/>
  <c r="AG1315" i="12"/>
  <c r="AF1315" i="12"/>
  <c r="AC1315" i="12"/>
  <c r="AE1315" i="12" s="1"/>
  <c r="AB1315" i="12"/>
  <c r="Z1315" i="12"/>
  <c r="X1315" i="12"/>
  <c r="W1315" i="12"/>
  <c r="V1315" i="12"/>
  <c r="U1315" i="12"/>
  <c r="T1315" i="12"/>
  <c r="S1315" i="12"/>
  <c r="AL1314" i="12"/>
  <c r="AK1314" i="12"/>
  <c r="AJ1314" i="12"/>
  <c r="AI1314" i="12"/>
  <c r="AH1314" i="12"/>
  <c r="AG1314" i="12"/>
  <c r="AF1314" i="12"/>
  <c r="AC1314" i="12"/>
  <c r="AE1314" i="12" s="1"/>
  <c r="AB1314" i="12"/>
  <c r="Z1314" i="12"/>
  <c r="X1314" i="12"/>
  <c r="W1314" i="12"/>
  <c r="V1314" i="12"/>
  <c r="U1314" i="12"/>
  <c r="T1314" i="12"/>
  <c r="S1314" i="12"/>
  <c r="AL1313" i="12"/>
  <c r="AK1313" i="12"/>
  <c r="AJ1313" i="12"/>
  <c r="AI1313" i="12"/>
  <c r="AH1313" i="12"/>
  <c r="AG1313" i="12"/>
  <c r="AF1313" i="12"/>
  <c r="AC1313" i="12"/>
  <c r="AE1313" i="12" s="1"/>
  <c r="AB1313" i="12"/>
  <c r="Z1313" i="12"/>
  <c r="X1313" i="12"/>
  <c r="W1313" i="12"/>
  <c r="V1313" i="12"/>
  <c r="U1313" i="12"/>
  <c r="T1313" i="12"/>
  <c r="S1313" i="12"/>
  <c r="AL1312" i="12"/>
  <c r="AK1312" i="12"/>
  <c r="AJ1312" i="12"/>
  <c r="AI1312" i="12"/>
  <c r="AH1312" i="12"/>
  <c r="AG1312" i="12"/>
  <c r="AF1312" i="12"/>
  <c r="AE1312" i="12"/>
  <c r="AC1312" i="12"/>
  <c r="AB1312" i="12"/>
  <c r="Z1312" i="12"/>
  <c r="X1312" i="12"/>
  <c r="W1312" i="12"/>
  <c r="V1312" i="12"/>
  <c r="U1312" i="12"/>
  <c r="T1312" i="12"/>
  <c r="S1312" i="12"/>
  <c r="AL1311" i="12"/>
  <c r="AK1311" i="12"/>
  <c r="AJ1311" i="12"/>
  <c r="AI1311" i="12"/>
  <c r="AH1311" i="12"/>
  <c r="AG1311" i="12"/>
  <c r="AF1311" i="12"/>
  <c r="AE1311" i="12"/>
  <c r="AC1311" i="12"/>
  <c r="AB1311" i="12"/>
  <c r="Z1311" i="12"/>
  <c r="X1311" i="12"/>
  <c r="W1311" i="12"/>
  <c r="V1311" i="12"/>
  <c r="U1311" i="12"/>
  <c r="T1311" i="12"/>
  <c r="S1311" i="12"/>
  <c r="AL1310" i="12"/>
  <c r="AK1310" i="12"/>
  <c r="AJ1310" i="12"/>
  <c r="AI1310" i="12"/>
  <c r="AH1310" i="12"/>
  <c r="AG1310" i="12"/>
  <c r="AF1310" i="12"/>
  <c r="AC1310" i="12"/>
  <c r="AE1310" i="12" s="1"/>
  <c r="AB1310" i="12"/>
  <c r="Z1310" i="12"/>
  <c r="X1310" i="12"/>
  <c r="W1310" i="12"/>
  <c r="V1310" i="12"/>
  <c r="U1310" i="12"/>
  <c r="T1310" i="12"/>
  <c r="S1310" i="12"/>
  <c r="AL1309" i="12"/>
  <c r="AK1309" i="12"/>
  <c r="AJ1309" i="12"/>
  <c r="AI1309" i="12"/>
  <c r="AH1309" i="12"/>
  <c r="AG1309" i="12"/>
  <c r="AF1309" i="12"/>
  <c r="AE1309" i="12"/>
  <c r="AC1309" i="12"/>
  <c r="AB1309" i="12"/>
  <c r="Z1309" i="12"/>
  <c r="X1309" i="12"/>
  <c r="W1309" i="12"/>
  <c r="V1309" i="12"/>
  <c r="U1309" i="12"/>
  <c r="T1309" i="12"/>
  <c r="S1309" i="12"/>
  <c r="AL1308" i="12"/>
  <c r="AK1308" i="12"/>
  <c r="AJ1308" i="12"/>
  <c r="AI1308" i="12"/>
  <c r="AH1308" i="12"/>
  <c r="AG1308" i="12"/>
  <c r="AF1308" i="12"/>
  <c r="AC1308" i="12"/>
  <c r="AE1308" i="12" s="1"/>
  <c r="AB1308" i="12"/>
  <c r="Z1308" i="12"/>
  <c r="X1308" i="12"/>
  <c r="W1308" i="12"/>
  <c r="V1308" i="12"/>
  <c r="U1308" i="12"/>
  <c r="T1308" i="12"/>
  <c r="S1308" i="12"/>
  <c r="AL1307" i="12"/>
  <c r="AK1307" i="12"/>
  <c r="AJ1307" i="12"/>
  <c r="AI1307" i="12"/>
  <c r="AH1307" i="12"/>
  <c r="AG1307" i="12"/>
  <c r="AF1307" i="12"/>
  <c r="AC1307" i="12"/>
  <c r="AE1307" i="12" s="1"/>
  <c r="AB1307" i="12"/>
  <c r="Z1307" i="12"/>
  <c r="X1307" i="12"/>
  <c r="W1307" i="12"/>
  <c r="V1307" i="12"/>
  <c r="U1307" i="12"/>
  <c r="T1307" i="12"/>
  <c r="S1307" i="12"/>
  <c r="AL1306" i="12"/>
  <c r="AK1306" i="12"/>
  <c r="AJ1306" i="12"/>
  <c r="AI1306" i="12"/>
  <c r="AH1306" i="12"/>
  <c r="AG1306" i="12"/>
  <c r="AF1306" i="12"/>
  <c r="AE1306" i="12"/>
  <c r="AC1306" i="12"/>
  <c r="AB1306" i="12"/>
  <c r="Z1306" i="12"/>
  <c r="X1306" i="12"/>
  <c r="W1306" i="12"/>
  <c r="V1306" i="12"/>
  <c r="U1306" i="12"/>
  <c r="T1306" i="12"/>
  <c r="S1306" i="12"/>
  <c r="AL1305" i="12"/>
  <c r="AK1305" i="12"/>
  <c r="AJ1305" i="12"/>
  <c r="AI1305" i="12"/>
  <c r="AH1305" i="12"/>
  <c r="AG1305" i="12"/>
  <c r="AF1305" i="12"/>
  <c r="AE1305" i="12"/>
  <c r="AC1305" i="12"/>
  <c r="AB1305" i="12"/>
  <c r="Z1305" i="12"/>
  <c r="X1305" i="12"/>
  <c r="W1305" i="12"/>
  <c r="V1305" i="12"/>
  <c r="U1305" i="12"/>
  <c r="T1305" i="12"/>
  <c r="S1305" i="12"/>
  <c r="AL1304" i="12"/>
  <c r="AK1304" i="12"/>
  <c r="AJ1304" i="12"/>
  <c r="AI1304" i="12"/>
  <c r="AH1304" i="12"/>
  <c r="AG1304" i="12"/>
  <c r="AF1304" i="12"/>
  <c r="AE1304" i="12"/>
  <c r="AC1304" i="12"/>
  <c r="AB1304" i="12"/>
  <c r="Z1304" i="12"/>
  <c r="X1304" i="12"/>
  <c r="W1304" i="12"/>
  <c r="V1304" i="12"/>
  <c r="U1304" i="12"/>
  <c r="T1304" i="12"/>
  <c r="S1304" i="12"/>
  <c r="AL1303" i="12"/>
  <c r="AK1303" i="12"/>
  <c r="AJ1303" i="12"/>
  <c r="AI1303" i="12"/>
  <c r="AH1303" i="12"/>
  <c r="AG1303" i="12"/>
  <c r="AF1303" i="12"/>
  <c r="AE1303" i="12"/>
  <c r="AC1303" i="12"/>
  <c r="AB1303" i="12"/>
  <c r="Z1303" i="12"/>
  <c r="X1303" i="12"/>
  <c r="W1303" i="12"/>
  <c r="V1303" i="12"/>
  <c r="U1303" i="12"/>
  <c r="T1303" i="12"/>
  <c r="S1303" i="12"/>
  <c r="AL1302" i="12"/>
  <c r="AK1302" i="12"/>
  <c r="AJ1302" i="12"/>
  <c r="AI1302" i="12"/>
  <c r="AH1302" i="12"/>
  <c r="AG1302" i="12"/>
  <c r="AF1302" i="12"/>
  <c r="AC1302" i="12"/>
  <c r="AE1302" i="12" s="1"/>
  <c r="AB1302" i="12"/>
  <c r="Z1302" i="12"/>
  <c r="X1302" i="12"/>
  <c r="W1302" i="12"/>
  <c r="V1302" i="12"/>
  <c r="U1302" i="12"/>
  <c r="T1302" i="12"/>
  <c r="S1302" i="12"/>
  <c r="AL1301" i="12"/>
  <c r="AK1301" i="12"/>
  <c r="AJ1301" i="12"/>
  <c r="AI1301" i="12"/>
  <c r="AH1301" i="12"/>
  <c r="AG1301" i="12"/>
  <c r="AF1301" i="12"/>
  <c r="AC1301" i="12"/>
  <c r="AE1301" i="12" s="1"/>
  <c r="AB1301" i="12"/>
  <c r="Z1301" i="12"/>
  <c r="X1301" i="12"/>
  <c r="W1301" i="12"/>
  <c r="V1301" i="12"/>
  <c r="U1301" i="12"/>
  <c r="T1301" i="12"/>
  <c r="S1301" i="12"/>
  <c r="AL1300" i="12"/>
  <c r="AK1300" i="12"/>
  <c r="AJ1300" i="12"/>
  <c r="AI1300" i="12"/>
  <c r="AH1300" i="12"/>
  <c r="AG1300" i="12"/>
  <c r="AF1300" i="12"/>
  <c r="AC1300" i="12"/>
  <c r="AE1300" i="12" s="1"/>
  <c r="AB1300" i="12"/>
  <c r="Z1300" i="12"/>
  <c r="X1300" i="12"/>
  <c r="W1300" i="12"/>
  <c r="V1300" i="12"/>
  <c r="U1300" i="12"/>
  <c r="T1300" i="12"/>
  <c r="S1300" i="12"/>
  <c r="AL1299" i="12"/>
  <c r="AK1299" i="12"/>
  <c r="AJ1299" i="12"/>
  <c r="AI1299" i="12"/>
  <c r="AH1299" i="12"/>
  <c r="AG1299" i="12"/>
  <c r="AF1299" i="12"/>
  <c r="AC1299" i="12"/>
  <c r="AE1299" i="12" s="1"/>
  <c r="AB1299" i="12"/>
  <c r="Z1299" i="12"/>
  <c r="X1299" i="12"/>
  <c r="W1299" i="12"/>
  <c r="V1299" i="12"/>
  <c r="U1299" i="12"/>
  <c r="T1299" i="12"/>
  <c r="S1299" i="12"/>
  <c r="AL1298" i="12"/>
  <c r="AK1298" i="12"/>
  <c r="AJ1298" i="12"/>
  <c r="AI1298" i="12"/>
  <c r="AH1298" i="12"/>
  <c r="AG1298" i="12"/>
  <c r="AF1298" i="12"/>
  <c r="AC1298" i="12"/>
  <c r="AE1298" i="12" s="1"/>
  <c r="AB1298" i="12"/>
  <c r="Z1298" i="12"/>
  <c r="X1298" i="12"/>
  <c r="W1298" i="12"/>
  <c r="V1298" i="12"/>
  <c r="U1298" i="12"/>
  <c r="T1298" i="12"/>
  <c r="S1298" i="12"/>
  <c r="AL1297" i="12"/>
  <c r="AK1297" i="12"/>
  <c r="AJ1297" i="12"/>
  <c r="AI1297" i="12"/>
  <c r="AH1297" i="12"/>
  <c r="AG1297" i="12"/>
  <c r="AF1297" i="12"/>
  <c r="AC1297" i="12"/>
  <c r="AE1297" i="12" s="1"/>
  <c r="AB1297" i="12"/>
  <c r="Z1297" i="12"/>
  <c r="X1297" i="12"/>
  <c r="W1297" i="12"/>
  <c r="V1297" i="12"/>
  <c r="U1297" i="12"/>
  <c r="T1297" i="12"/>
  <c r="S1297" i="12"/>
  <c r="AL1296" i="12"/>
  <c r="AK1296" i="12"/>
  <c r="AJ1296" i="12"/>
  <c r="AI1296" i="12"/>
  <c r="AH1296" i="12"/>
  <c r="AG1296" i="12"/>
  <c r="AF1296" i="12"/>
  <c r="AE1296" i="12"/>
  <c r="AC1296" i="12"/>
  <c r="AB1296" i="12"/>
  <c r="Z1296" i="12"/>
  <c r="X1296" i="12"/>
  <c r="W1296" i="12"/>
  <c r="V1296" i="12"/>
  <c r="U1296" i="12"/>
  <c r="T1296" i="12"/>
  <c r="S1296" i="12"/>
  <c r="AL1295" i="12"/>
  <c r="AK1295" i="12"/>
  <c r="AJ1295" i="12"/>
  <c r="AI1295" i="12"/>
  <c r="AH1295" i="12"/>
  <c r="AG1295" i="12"/>
  <c r="AF1295" i="12"/>
  <c r="AC1295" i="12"/>
  <c r="AE1295" i="12" s="1"/>
  <c r="AB1295" i="12"/>
  <c r="Z1295" i="12"/>
  <c r="X1295" i="12"/>
  <c r="W1295" i="12"/>
  <c r="V1295" i="12"/>
  <c r="U1295" i="12"/>
  <c r="T1295" i="12"/>
  <c r="S1295" i="12"/>
  <c r="AL1294" i="12"/>
  <c r="AK1294" i="12"/>
  <c r="AJ1294" i="12"/>
  <c r="AI1294" i="12"/>
  <c r="AH1294" i="12"/>
  <c r="AG1294" i="12"/>
  <c r="AF1294" i="12"/>
  <c r="AC1294" i="12"/>
  <c r="AE1294" i="12" s="1"/>
  <c r="AB1294" i="12"/>
  <c r="Z1294" i="12"/>
  <c r="X1294" i="12"/>
  <c r="W1294" i="12"/>
  <c r="V1294" i="12"/>
  <c r="U1294" i="12"/>
  <c r="T1294" i="12"/>
  <c r="S1294" i="12"/>
  <c r="AL1293" i="12"/>
  <c r="AK1293" i="12"/>
  <c r="AJ1293" i="12"/>
  <c r="AI1293" i="12"/>
  <c r="AH1293" i="12"/>
  <c r="AG1293" i="12"/>
  <c r="AF1293" i="12"/>
  <c r="AC1293" i="12"/>
  <c r="AE1293" i="12" s="1"/>
  <c r="AB1293" i="12"/>
  <c r="Z1293" i="12"/>
  <c r="X1293" i="12"/>
  <c r="W1293" i="12"/>
  <c r="V1293" i="12"/>
  <c r="U1293" i="12"/>
  <c r="T1293" i="12"/>
  <c r="S1293" i="12"/>
  <c r="AL1292" i="12"/>
  <c r="AK1292" i="12"/>
  <c r="AJ1292" i="12"/>
  <c r="AI1292" i="12"/>
  <c r="AH1292" i="12"/>
  <c r="AG1292" i="12"/>
  <c r="AF1292" i="12"/>
  <c r="AE1292" i="12"/>
  <c r="AC1292" i="12"/>
  <c r="AB1292" i="12"/>
  <c r="Z1292" i="12"/>
  <c r="X1292" i="12"/>
  <c r="W1292" i="12"/>
  <c r="V1292" i="12"/>
  <c r="U1292" i="12"/>
  <c r="T1292" i="12"/>
  <c r="S1292" i="12"/>
  <c r="AL1291" i="12"/>
  <c r="AK1291" i="12"/>
  <c r="AJ1291" i="12"/>
  <c r="AI1291" i="12"/>
  <c r="AH1291" i="12"/>
  <c r="AG1291" i="12"/>
  <c r="AF1291" i="12"/>
  <c r="AE1291" i="12"/>
  <c r="AC1291" i="12"/>
  <c r="AB1291" i="12"/>
  <c r="Z1291" i="12"/>
  <c r="X1291" i="12"/>
  <c r="W1291" i="12"/>
  <c r="V1291" i="12"/>
  <c r="U1291" i="12"/>
  <c r="T1291" i="12"/>
  <c r="S1291" i="12"/>
  <c r="AL1290" i="12"/>
  <c r="AK1290" i="12"/>
  <c r="AJ1290" i="12"/>
  <c r="AI1290" i="12"/>
  <c r="AH1290" i="12"/>
  <c r="AG1290" i="12"/>
  <c r="AF1290" i="12"/>
  <c r="AE1290" i="12"/>
  <c r="AC1290" i="12"/>
  <c r="AB1290" i="12"/>
  <c r="Z1290" i="12"/>
  <c r="X1290" i="12"/>
  <c r="W1290" i="12"/>
  <c r="V1290" i="12"/>
  <c r="U1290" i="12"/>
  <c r="T1290" i="12"/>
  <c r="S1290" i="12"/>
  <c r="AL1289" i="12"/>
  <c r="AK1289" i="12"/>
  <c r="AJ1289" i="12"/>
  <c r="AI1289" i="12"/>
  <c r="AH1289" i="12"/>
  <c r="AG1289" i="12"/>
  <c r="AF1289" i="12"/>
  <c r="AC1289" i="12"/>
  <c r="AE1289" i="12" s="1"/>
  <c r="AB1289" i="12"/>
  <c r="Z1289" i="12"/>
  <c r="X1289" i="12"/>
  <c r="W1289" i="12"/>
  <c r="V1289" i="12"/>
  <c r="U1289" i="12"/>
  <c r="T1289" i="12"/>
  <c r="S1289" i="12"/>
  <c r="AL1288" i="12"/>
  <c r="AK1288" i="12"/>
  <c r="AJ1288" i="12"/>
  <c r="AI1288" i="12"/>
  <c r="AH1288" i="12"/>
  <c r="AG1288" i="12"/>
  <c r="AF1288" i="12"/>
  <c r="AE1288" i="12"/>
  <c r="AC1288" i="12"/>
  <c r="AB1288" i="12"/>
  <c r="Z1288" i="12"/>
  <c r="X1288" i="12"/>
  <c r="W1288" i="12"/>
  <c r="V1288" i="12"/>
  <c r="U1288" i="12"/>
  <c r="T1288" i="12"/>
  <c r="S1288" i="12"/>
  <c r="AL1287" i="12"/>
  <c r="AK1287" i="12"/>
  <c r="AJ1287" i="12"/>
  <c r="AI1287" i="12"/>
  <c r="AH1287" i="12"/>
  <c r="AG1287" i="12"/>
  <c r="AF1287" i="12"/>
  <c r="AC1287" i="12"/>
  <c r="AE1287" i="12" s="1"/>
  <c r="AB1287" i="12"/>
  <c r="Z1287" i="12"/>
  <c r="X1287" i="12"/>
  <c r="W1287" i="12"/>
  <c r="V1287" i="12"/>
  <c r="U1287" i="12"/>
  <c r="T1287" i="12"/>
  <c r="S1287" i="12"/>
  <c r="AL1286" i="12"/>
  <c r="AK1286" i="12"/>
  <c r="AJ1286" i="12"/>
  <c r="AI1286" i="12"/>
  <c r="AH1286" i="12"/>
  <c r="AG1286" i="12"/>
  <c r="AF1286" i="12"/>
  <c r="AC1286" i="12"/>
  <c r="AE1286" i="12" s="1"/>
  <c r="AB1286" i="12"/>
  <c r="Z1286" i="12"/>
  <c r="X1286" i="12"/>
  <c r="W1286" i="12"/>
  <c r="V1286" i="12"/>
  <c r="U1286" i="12"/>
  <c r="T1286" i="12"/>
  <c r="S1286" i="12"/>
  <c r="AL1285" i="12"/>
  <c r="AK1285" i="12"/>
  <c r="AJ1285" i="12"/>
  <c r="AI1285" i="12"/>
  <c r="AH1285" i="12"/>
  <c r="AG1285" i="12"/>
  <c r="AF1285" i="12"/>
  <c r="AC1285" i="12"/>
  <c r="AE1285" i="12" s="1"/>
  <c r="AB1285" i="12"/>
  <c r="Z1285" i="12"/>
  <c r="X1285" i="12"/>
  <c r="W1285" i="12"/>
  <c r="V1285" i="12"/>
  <c r="U1285" i="12"/>
  <c r="T1285" i="12"/>
  <c r="S1285" i="12"/>
  <c r="AL1284" i="12"/>
  <c r="AK1284" i="12"/>
  <c r="AJ1284" i="12"/>
  <c r="AI1284" i="12"/>
  <c r="AH1284" i="12"/>
  <c r="AG1284" i="12"/>
  <c r="AF1284" i="12"/>
  <c r="AE1284" i="12"/>
  <c r="AC1284" i="12"/>
  <c r="AB1284" i="12"/>
  <c r="Z1284" i="12"/>
  <c r="X1284" i="12"/>
  <c r="W1284" i="12"/>
  <c r="V1284" i="12"/>
  <c r="U1284" i="12"/>
  <c r="T1284" i="12"/>
  <c r="S1284" i="12"/>
  <c r="AL1283" i="12"/>
  <c r="AK1283" i="12"/>
  <c r="AJ1283" i="12"/>
  <c r="AI1283" i="12"/>
  <c r="AH1283" i="12"/>
  <c r="AG1283" i="12"/>
  <c r="AF1283" i="12"/>
  <c r="AE1283" i="12"/>
  <c r="AC1283" i="12"/>
  <c r="AB1283" i="12"/>
  <c r="Z1283" i="12"/>
  <c r="X1283" i="12"/>
  <c r="W1283" i="12"/>
  <c r="V1283" i="12"/>
  <c r="U1283" i="12"/>
  <c r="T1283" i="12"/>
  <c r="S1283" i="12"/>
  <c r="AL1282" i="12"/>
  <c r="AK1282" i="12"/>
  <c r="AJ1282" i="12"/>
  <c r="AI1282" i="12"/>
  <c r="AH1282" i="12"/>
  <c r="AG1282" i="12"/>
  <c r="AF1282" i="12"/>
  <c r="AE1282" i="12"/>
  <c r="AC1282" i="12"/>
  <c r="AB1282" i="12"/>
  <c r="Z1282" i="12"/>
  <c r="X1282" i="12"/>
  <c r="W1282" i="12"/>
  <c r="V1282" i="12"/>
  <c r="U1282" i="12"/>
  <c r="T1282" i="12"/>
  <c r="S1282" i="12"/>
  <c r="AL1281" i="12"/>
  <c r="AK1281" i="12"/>
  <c r="AJ1281" i="12"/>
  <c r="AI1281" i="12"/>
  <c r="AH1281" i="12"/>
  <c r="AG1281" i="12"/>
  <c r="AF1281" i="12"/>
  <c r="AC1281" i="12"/>
  <c r="AE1281" i="12" s="1"/>
  <c r="AB1281" i="12"/>
  <c r="Z1281" i="12"/>
  <c r="X1281" i="12"/>
  <c r="W1281" i="12"/>
  <c r="V1281" i="12"/>
  <c r="U1281" i="12"/>
  <c r="T1281" i="12"/>
  <c r="S1281" i="12"/>
  <c r="AL1280" i="12"/>
  <c r="AK1280" i="12"/>
  <c r="AJ1280" i="12"/>
  <c r="AI1280" i="12"/>
  <c r="AH1280" i="12"/>
  <c r="AG1280" i="12"/>
  <c r="AF1280" i="12"/>
  <c r="AC1280" i="12"/>
  <c r="AE1280" i="12" s="1"/>
  <c r="AB1280" i="12"/>
  <c r="Z1280" i="12"/>
  <c r="X1280" i="12"/>
  <c r="W1280" i="12"/>
  <c r="V1280" i="12"/>
  <c r="U1280" i="12"/>
  <c r="T1280" i="12"/>
  <c r="S1280" i="12"/>
  <c r="AL1279" i="12"/>
  <c r="AK1279" i="12"/>
  <c r="AJ1279" i="12"/>
  <c r="AI1279" i="12"/>
  <c r="AH1279" i="12"/>
  <c r="AG1279" i="12"/>
  <c r="AF1279" i="12"/>
  <c r="AC1279" i="12"/>
  <c r="AE1279" i="12" s="1"/>
  <c r="AB1279" i="12"/>
  <c r="Z1279" i="12"/>
  <c r="X1279" i="12"/>
  <c r="W1279" i="12"/>
  <c r="V1279" i="12"/>
  <c r="U1279" i="12"/>
  <c r="T1279" i="12"/>
  <c r="S1279" i="12"/>
  <c r="AL1278" i="12"/>
  <c r="AK1278" i="12"/>
  <c r="AJ1278" i="12"/>
  <c r="AI1278" i="12"/>
  <c r="AH1278" i="12"/>
  <c r="AG1278" i="12"/>
  <c r="AF1278" i="12"/>
  <c r="AC1278" i="12"/>
  <c r="AE1278" i="12" s="1"/>
  <c r="AB1278" i="12"/>
  <c r="Z1278" i="12"/>
  <c r="X1278" i="12"/>
  <c r="W1278" i="12"/>
  <c r="V1278" i="12"/>
  <c r="U1278" i="12"/>
  <c r="T1278" i="12"/>
  <c r="S1278" i="12"/>
  <c r="AL1277" i="12"/>
  <c r="AK1277" i="12"/>
  <c r="AJ1277" i="12"/>
  <c r="AI1277" i="12"/>
  <c r="AH1277" i="12"/>
  <c r="AG1277" i="12"/>
  <c r="AF1277" i="12"/>
  <c r="AC1277" i="12"/>
  <c r="AE1277" i="12" s="1"/>
  <c r="AB1277" i="12"/>
  <c r="Z1277" i="12"/>
  <c r="X1277" i="12"/>
  <c r="W1277" i="12"/>
  <c r="V1277" i="12"/>
  <c r="U1277" i="12"/>
  <c r="T1277" i="12"/>
  <c r="S1277" i="12"/>
  <c r="AL1276" i="12"/>
  <c r="AK1276" i="12"/>
  <c r="AJ1276" i="12"/>
  <c r="AI1276" i="12"/>
  <c r="AH1276" i="12"/>
  <c r="AG1276" i="12"/>
  <c r="AF1276" i="12"/>
  <c r="AE1276" i="12"/>
  <c r="AC1276" i="12"/>
  <c r="AB1276" i="12"/>
  <c r="Z1276" i="12"/>
  <c r="X1276" i="12"/>
  <c r="W1276" i="12"/>
  <c r="V1276" i="12"/>
  <c r="U1276" i="12"/>
  <c r="T1276" i="12"/>
  <c r="S1276" i="12"/>
  <c r="AL1275" i="12"/>
  <c r="AK1275" i="12"/>
  <c r="AJ1275" i="12"/>
  <c r="AI1275" i="12"/>
  <c r="AH1275" i="12"/>
  <c r="AG1275" i="12"/>
  <c r="AF1275" i="12"/>
  <c r="AE1275" i="12"/>
  <c r="AC1275" i="12"/>
  <c r="AB1275" i="12"/>
  <c r="Z1275" i="12"/>
  <c r="X1275" i="12"/>
  <c r="W1275" i="12"/>
  <c r="V1275" i="12"/>
  <c r="U1275" i="12"/>
  <c r="T1275" i="12"/>
  <c r="S1275" i="12"/>
  <c r="AL1274" i="12"/>
  <c r="AK1274" i="12"/>
  <c r="AJ1274" i="12"/>
  <c r="AI1274" i="12"/>
  <c r="AH1274" i="12"/>
  <c r="AG1274" i="12"/>
  <c r="AF1274" i="12"/>
  <c r="AC1274" i="12"/>
  <c r="AE1274" i="12" s="1"/>
  <c r="AB1274" i="12"/>
  <c r="Z1274" i="12"/>
  <c r="X1274" i="12"/>
  <c r="W1274" i="12"/>
  <c r="V1274" i="12"/>
  <c r="U1274" i="12"/>
  <c r="T1274" i="12"/>
  <c r="S1274" i="12"/>
  <c r="AL1273" i="12"/>
  <c r="AK1273" i="12"/>
  <c r="AJ1273" i="12"/>
  <c r="AI1273" i="12"/>
  <c r="AH1273" i="12"/>
  <c r="AG1273" i="12"/>
  <c r="AF1273" i="12"/>
  <c r="AC1273" i="12"/>
  <c r="AE1273" i="12" s="1"/>
  <c r="AB1273" i="12"/>
  <c r="Z1273" i="12"/>
  <c r="X1273" i="12"/>
  <c r="W1273" i="12"/>
  <c r="V1273" i="12"/>
  <c r="U1273" i="12"/>
  <c r="T1273" i="12"/>
  <c r="S1273" i="12"/>
  <c r="AL1272" i="12"/>
  <c r="AK1272" i="12"/>
  <c r="AJ1272" i="12"/>
  <c r="AI1272" i="12"/>
  <c r="AH1272" i="12"/>
  <c r="AG1272" i="12"/>
  <c r="AF1272" i="12"/>
  <c r="AE1272" i="12"/>
  <c r="AC1272" i="12"/>
  <c r="AB1272" i="12"/>
  <c r="Z1272" i="12"/>
  <c r="X1272" i="12"/>
  <c r="W1272" i="12"/>
  <c r="V1272" i="12"/>
  <c r="U1272" i="12"/>
  <c r="T1272" i="12"/>
  <c r="S1272" i="12"/>
  <c r="AL1271" i="12"/>
  <c r="AK1271" i="12"/>
  <c r="AJ1271" i="12"/>
  <c r="AI1271" i="12"/>
  <c r="AH1271" i="12"/>
  <c r="AG1271" i="12"/>
  <c r="AF1271" i="12"/>
  <c r="AE1271" i="12"/>
  <c r="AC1271" i="12"/>
  <c r="AB1271" i="12"/>
  <c r="Z1271" i="12"/>
  <c r="X1271" i="12"/>
  <c r="W1271" i="12"/>
  <c r="V1271" i="12"/>
  <c r="U1271" i="12"/>
  <c r="T1271" i="12"/>
  <c r="S1271" i="12"/>
  <c r="AL1270" i="12"/>
  <c r="AK1270" i="12"/>
  <c r="AJ1270" i="12"/>
  <c r="AI1270" i="12"/>
  <c r="AH1270" i="12"/>
  <c r="AG1270" i="12"/>
  <c r="AF1270" i="12"/>
  <c r="AE1270" i="12"/>
  <c r="AC1270" i="12"/>
  <c r="AB1270" i="12"/>
  <c r="Z1270" i="12"/>
  <c r="X1270" i="12"/>
  <c r="W1270" i="12"/>
  <c r="V1270" i="12"/>
  <c r="U1270" i="12"/>
  <c r="T1270" i="12"/>
  <c r="S1270" i="12"/>
  <c r="AL1269" i="12"/>
  <c r="AK1269" i="12"/>
  <c r="AJ1269" i="12"/>
  <c r="AI1269" i="12"/>
  <c r="AH1269" i="12"/>
  <c r="AG1269" i="12"/>
  <c r="AF1269" i="12"/>
  <c r="AC1269" i="12"/>
  <c r="AE1269" i="12" s="1"/>
  <c r="AB1269" i="12"/>
  <c r="Z1269" i="12"/>
  <c r="X1269" i="12"/>
  <c r="W1269" i="12"/>
  <c r="V1269" i="12"/>
  <c r="U1269" i="12"/>
  <c r="T1269" i="12"/>
  <c r="S1269" i="12"/>
  <c r="AL1268" i="12"/>
  <c r="AK1268" i="12"/>
  <c r="AJ1268" i="12"/>
  <c r="AI1268" i="12"/>
  <c r="AH1268" i="12"/>
  <c r="AG1268" i="12"/>
  <c r="AF1268" i="12"/>
  <c r="AE1268" i="12"/>
  <c r="AC1268" i="12"/>
  <c r="AB1268" i="12"/>
  <c r="Z1268" i="12"/>
  <c r="X1268" i="12"/>
  <c r="W1268" i="12"/>
  <c r="V1268" i="12"/>
  <c r="U1268" i="12"/>
  <c r="T1268" i="12"/>
  <c r="S1268" i="12"/>
  <c r="AL1267" i="12"/>
  <c r="AK1267" i="12"/>
  <c r="AJ1267" i="12"/>
  <c r="AI1267" i="12"/>
  <c r="AH1267" i="12"/>
  <c r="AG1267" i="12"/>
  <c r="AF1267" i="12"/>
  <c r="AC1267" i="12"/>
  <c r="AE1267" i="12" s="1"/>
  <c r="AB1267" i="12"/>
  <c r="Z1267" i="12"/>
  <c r="X1267" i="12"/>
  <c r="W1267" i="12"/>
  <c r="V1267" i="12"/>
  <c r="U1267" i="12"/>
  <c r="T1267" i="12"/>
  <c r="S1267" i="12"/>
  <c r="AL1266" i="12"/>
  <c r="AK1266" i="12"/>
  <c r="AJ1266" i="12"/>
  <c r="AI1266" i="12"/>
  <c r="AH1266" i="12"/>
  <c r="AG1266" i="12"/>
  <c r="AF1266" i="12"/>
  <c r="AE1266" i="12"/>
  <c r="AC1266" i="12"/>
  <c r="AB1266" i="12"/>
  <c r="Z1266" i="12"/>
  <c r="X1266" i="12"/>
  <c r="W1266" i="12"/>
  <c r="V1266" i="12"/>
  <c r="U1266" i="12"/>
  <c r="T1266" i="12"/>
  <c r="S1266" i="12"/>
  <c r="AL1265" i="12"/>
  <c r="AK1265" i="12"/>
  <c r="AJ1265" i="12"/>
  <c r="AI1265" i="12"/>
  <c r="AH1265" i="12"/>
  <c r="AG1265" i="12"/>
  <c r="AF1265" i="12"/>
  <c r="AC1265" i="12"/>
  <c r="AE1265" i="12" s="1"/>
  <c r="AB1265" i="12"/>
  <c r="Z1265" i="12"/>
  <c r="X1265" i="12"/>
  <c r="W1265" i="12"/>
  <c r="V1265" i="12"/>
  <c r="U1265" i="12"/>
  <c r="T1265" i="12"/>
  <c r="S1265" i="12"/>
  <c r="AL1264" i="12"/>
  <c r="AK1264" i="12"/>
  <c r="AJ1264" i="12"/>
  <c r="AI1264" i="12"/>
  <c r="AH1264" i="12"/>
  <c r="AG1264" i="12"/>
  <c r="AF1264" i="12"/>
  <c r="AC1264" i="12"/>
  <c r="AE1264" i="12" s="1"/>
  <c r="AB1264" i="12"/>
  <c r="Z1264" i="12"/>
  <c r="X1264" i="12"/>
  <c r="W1264" i="12"/>
  <c r="V1264" i="12"/>
  <c r="U1264" i="12"/>
  <c r="T1264" i="12"/>
  <c r="S1264" i="12"/>
  <c r="AL1263" i="12"/>
  <c r="AK1263" i="12"/>
  <c r="AJ1263" i="12"/>
  <c r="AI1263" i="12"/>
  <c r="AH1263" i="12"/>
  <c r="AG1263" i="12"/>
  <c r="AF1263" i="12"/>
  <c r="AC1263" i="12"/>
  <c r="AE1263" i="12" s="1"/>
  <c r="AB1263" i="12"/>
  <c r="Z1263" i="12"/>
  <c r="X1263" i="12"/>
  <c r="W1263" i="12"/>
  <c r="V1263" i="12"/>
  <c r="U1263" i="12"/>
  <c r="T1263" i="12"/>
  <c r="S1263" i="12"/>
  <c r="AL1262" i="12"/>
  <c r="AK1262" i="12"/>
  <c r="AJ1262" i="12"/>
  <c r="AI1262" i="12"/>
  <c r="AH1262" i="12"/>
  <c r="AG1262" i="12"/>
  <c r="AF1262" i="12"/>
  <c r="AC1262" i="12"/>
  <c r="AE1262" i="12" s="1"/>
  <c r="AB1262" i="12"/>
  <c r="Z1262" i="12"/>
  <c r="X1262" i="12"/>
  <c r="W1262" i="12"/>
  <c r="V1262" i="12"/>
  <c r="U1262" i="12"/>
  <c r="T1262" i="12"/>
  <c r="S1262" i="12"/>
  <c r="AL1261" i="12"/>
  <c r="AK1261" i="12"/>
  <c r="AJ1261" i="12"/>
  <c r="AI1261" i="12"/>
  <c r="AH1261" i="12"/>
  <c r="AG1261" i="12"/>
  <c r="AF1261" i="12"/>
  <c r="AE1261" i="12"/>
  <c r="AC1261" i="12"/>
  <c r="AB1261" i="12"/>
  <c r="Z1261" i="12"/>
  <c r="X1261" i="12"/>
  <c r="W1261" i="12"/>
  <c r="V1261" i="12"/>
  <c r="U1261" i="12"/>
  <c r="T1261" i="12"/>
  <c r="S1261" i="12"/>
  <c r="AL1260" i="12"/>
  <c r="AK1260" i="12"/>
  <c r="AJ1260" i="12"/>
  <c r="AI1260" i="12"/>
  <c r="AH1260" i="12"/>
  <c r="AG1260" i="12"/>
  <c r="AF1260" i="12"/>
  <c r="AC1260" i="12"/>
  <c r="AE1260" i="12" s="1"/>
  <c r="AB1260" i="12"/>
  <c r="Z1260" i="12"/>
  <c r="X1260" i="12"/>
  <c r="W1260" i="12"/>
  <c r="V1260" i="12"/>
  <c r="U1260" i="12"/>
  <c r="T1260" i="12"/>
  <c r="S1260" i="12"/>
  <c r="AL1259" i="12"/>
  <c r="AK1259" i="12"/>
  <c r="AJ1259" i="12"/>
  <c r="AI1259" i="12"/>
  <c r="AH1259" i="12"/>
  <c r="AG1259" i="12"/>
  <c r="AF1259" i="12"/>
  <c r="AC1259" i="12"/>
  <c r="AE1259" i="12" s="1"/>
  <c r="AB1259" i="12"/>
  <c r="Z1259" i="12"/>
  <c r="X1259" i="12"/>
  <c r="W1259" i="12"/>
  <c r="V1259" i="12"/>
  <c r="U1259" i="12"/>
  <c r="T1259" i="12"/>
  <c r="S1259" i="12"/>
  <c r="AL1258" i="12"/>
  <c r="AK1258" i="12"/>
  <c r="AJ1258" i="12"/>
  <c r="AI1258" i="12"/>
  <c r="AH1258" i="12"/>
  <c r="AG1258" i="12"/>
  <c r="AF1258" i="12"/>
  <c r="AC1258" i="12"/>
  <c r="AE1258" i="12" s="1"/>
  <c r="AB1258" i="12"/>
  <c r="Z1258" i="12"/>
  <c r="X1258" i="12"/>
  <c r="W1258" i="12"/>
  <c r="V1258" i="12"/>
  <c r="U1258" i="12"/>
  <c r="T1258" i="12"/>
  <c r="S1258" i="12"/>
  <c r="AL1257" i="12"/>
  <c r="AK1257" i="12"/>
  <c r="AJ1257" i="12"/>
  <c r="AI1257" i="12"/>
  <c r="AH1257" i="12"/>
  <c r="AG1257" i="12"/>
  <c r="AF1257" i="12"/>
  <c r="AC1257" i="12"/>
  <c r="AE1257" i="12" s="1"/>
  <c r="AB1257" i="12"/>
  <c r="Z1257" i="12"/>
  <c r="X1257" i="12"/>
  <c r="W1257" i="12"/>
  <c r="V1257" i="12"/>
  <c r="U1257" i="12"/>
  <c r="T1257" i="12"/>
  <c r="S1257" i="12"/>
  <c r="AL1256" i="12"/>
  <c r="AK1256" i="12"/>
  <c r="AJ1256" i="12"/>
  <c r="AI1256" i="12"/>
  <c r="AH1256" i="12"/>
  <c r="AG1256" i="12"/>
  <c r="AF1256" i="12"/>
  <c r="AE1256" i="12"/>
  <c r="AC1256" i="12"/>
  <c r="AB1256" i="12"/>
  <c r="Z1256" i="12"/>
  <c r="X1256" i="12"/>
  <c r="W1256" i="12"/>
  <c r="V1256" i="12"/>
  <c r="U1256" i="12"/>
  <c r="T1256" i="12"/>
  <c r="S1256" i="12"/>
  <c r="AL1255" i="12"/>
  <c r="AK1255" i="12"/>
  <c r="AJ1255" i="12"/>
  <c r="AI1255" i="12"/>
  <c r="AH1255" i="12"/>
  <c r="AG1255" i="12"/>
  <c r="AF1255" i="12"/>
  <c r="AE1255" i="12"/>
  <c r="AC1255" i="12"/>
  <c r="AB1255" i="12"/>
  <c r="Z1255" i="12"/>
  <c r="X1255" i="12"/>
  <c r="W1255" i="12"/>
  <c r="V1255" i="12"/>
  <c r="U1255" i="12"/>
  <c r="T1255" i="12"/>
  <c r="S1255" i="12"/>
  <c r="AL1254" i="12"/>
  <c r="AK1254" i="12"/>
  <c r="AJ1254" i="12"/>
  <c r="AI1254" i="12"/>
  <c r="AH1254" i="12"/>
  <c r="AG1254" i="12"/>
  <c r="AF1254" i="12"/>
  <c r="AC1254" i="12"/>
  <c r="AE1254" i="12" s="1"/>
  <c r="AB1254" i="12"/>
  <c r="Z1254" i="12"/>
  <c r="X1254" i="12"/>
  <c r="W1254" i="12"/>
  <c r="V1254" i="12"/>
  <c r="U1254" i="12"/>
  <c r="T1254" i="12"/>
  <c r="S1254" i="12"/>
  <c r="AL1253" i="12"/>
  <c r="AK1253" i="12"/>
  <c r="AJ1253" i="12"/>
  <c r="AI1253" i="12"/>
  <c r="AH1253" i="12"/>
  <c r="AG1253" i="12"/>
  <c r="AF1253" i="12"/>
  <c r="AC1253" i="12"/>
  <c r="AE1253" i="12" s="1"/>
  <c r="AB1253" i="12"/>
  <c r="Z1253" i="12"/>
  <c r="X1253" i="12"/>
  <c r="W1253" i="12"/>
  <c r="V1253" i="12"/>
  <c r="U1253" i="12"/>
  <c r="T1253" i="12"/>
  <c r="S1253" i="12"/>
  <c r="AL1252" i="12"/>
  <c r="AK1252" i="12"/>
  <c r="AJ1252" i="12"/>
  <c r="AI1252" i="12"/>
  <c r="AH1252" i="12"/>
  <c r="AG1252" i="12"/>
  <c r="AF1252" i="12"/>
  <c r="AE1252" i="12"/>
  <c r="AC1252" i="12"/>
  <c r="AB1252" i="12"/>
  <c r="Z1252" i="12"/>
  <c r="X1252" i="12"/>
  <c r="W1252" i="12"/>
  <c r="V1252" i="12"/>
  <c r="U1252" i="12"/>
  <c r="T1252" i="12"/>
  <c r="S1252" i="12"/>
  <c r="AL1251" i="12"/>
  <c r="AK1251" i="12"/>
  <c r="AJ1251" i="12"/>
  <c r="AI1251" i="12"/>
  <c r="AH1251" i="12"/>
  <c r="AG1251" i="12"/>
  <c r="AF1251" i="12"/>
  <c r="AE1251" i="12"/>
  <c r="AC1251" i="12"/>
  <c r="AB1251" i="12"/>
  <c r="Z1251" i="12"/>
  <c r="X1251" i="12"/>
  <c r="W1251" i="12"/>
  <c r="V1251" i="12"/>
  <c r="U1251" i="12"/>
  <c r="T1251" i="12"/>
  <c r="S1251" i="12"/>
  <c r="AL1250" i="12"/>
  <c r="AK1250" i="12"/>
  <c r="AJ1250" i="12"/>
  <c r="AI1250" i="12"/>
  <c r="AH1250" i="12"/>
  <c r="AG1250" i="12"/>
  <c r="AF1250" i="12"/>
  <c r="AE1250" i="12"/>
  <c r="AC1250" i="12"/>
  <c r="AB1250" i="12"/>
  <c r="Z1250" i="12"/>
  <c r="X1250" i="12"/>
  <c r="W1250" i="12"/>
  <c r="V1250" i="12"/>
  <c r="U1250" i="12"/>
  <c r="T1250" i="12"/>
  <c r="S1250" i="12"/>
  <c r="AL1249" i="12"/>
  <c r="AK1249" i="12"/>
  <c r="AJ1249" i="12"/>
  <c r="AI1249" i="12"/>
  <c r="AH1249" i="12"/>
  <c r="AG1249" i="12"/>
  <c r="AF1249" i="12"/>
  <c r="AC1249" i="12"/>
  <c r="AE1249" i="12" s="1"/>
  <c r="AB1249" i="12"/>
  <c r="Z1249" i="12"/>
  <c r="X1249" i="12"/>
  <c r="W1249" i="12"/>
  <c r="V1249" i="12"/>
  <c r="U1249" i="12"/>
  <c r="T1249" i="12"/>
  <c r="S1249" i="12"/>
  <c r="AL1248" i="12"/>
  <c r="AK1248" i="12"/>
  <c r="AJ1248" i="12"/>
  <c r="AI1248" i="12"/>
  <c r="AH1248" i="12"/>
  <c r="AG1248" i="12"/>
  <c r="AF1248" i="12"/>
  <c r="AE1248" i="12"/>
  <c r="AC1248" i="12"/>
  <c r="AB1248" i="12"/>
  <c r="Z1248" i="12"/>
  <c r="X1248" i="12"/>
  <c r="W1248" i="12"/>
  <c r="V1248" i="12"/>
  <c r="U1248" i="12"/>
  <c r="T1248" i="12"/>
  <c r="S1248" i="12"/>
  <c r="AL1247" i="12"/>
  <c r="AK1247" i="12"/>
  <c r="AJ1247" i="12"/>
  <c r="AI1247" i="12"/>
  <c r="AH1247" i="12"/>
  <c r="AG1247" i="12"/>
  <c r="AF1247" i="12"/>
  <c r="AE1247" i="12"/>
  <c r="AC1247" i="12"/>
  <c r="AB1247" i="12"/>
  <c r="Z1247" i="12"/>
  <c r="X1247" i="12"/>
  <c r="W1247" i="12"/>
  <c r="V1247" i="12"/>
  <c r="U1247" i="12"/>
  <c r="T1247" i="12"/>
  <c r="S1247" i="12"/>
  <c r="AL1246" i="12"/>
  <c r="AK1246" i="12"/>
  <c r="AJ1246" i="12"/>
  <c r="AI1246" i="12"/>
  <c r="AH1246" i="12"/>
  <c r="AG1246" i="12"/>
  <c r="AF1246" i="12"/>
  <c r="AC1246" i="12"/>
  <c r="AE1246" i="12" s="1"/>
  <c r="AB1246" i="12"/>
  <c r="Z1246" i="12"/>
  <c r="X1246" i="12"/>
  <c r="W1246" i="12"/>
  <c r="V1246" i="12"/>
  <c r="U1246" i="12"/>
  <c r="T1246" i="12"/>
  <c r="S1246" i="12"/>
  <c r="AL1245" i="12"/>
  <c r="AK1245" i="12"/>
  <c r="AJ1245" i="12"/>
  <c r="AI1245" i="12"/>
  <c r="AH1245" i="12"/>
  <c r="AG1245" i="12"/>
  <c r="AF1245" i="12"/>
  <c r="AE1245" i="12"/>
  <c r="AC1245" i="12"/>
  <c r="AB1245" i="12"/>
  <c r="Z1245" i="12"/>
  <c r="X1245" i="12"/>
  <c r="W1245" i="12"/>
  <c r="V1245" i="12"/>
  <c r="U1245" i="12"/>
  <c r="T1245" i="12"/>
  <c r="S1245" i="12"/>
  <c r="AL1244" i="12"/>
  <c r="AK1244" i="12"/>
  <c r="AJ1244" i="12"/>
  <c r="AI1244" i="12"/>
  <c r="AH1244" i="12"/>
  <c r="AG1244" i="12"/>
  <c r="AF1244" i="12"/>
  <c r="AC1244" i="12"/>
  <c r="AE1244" i="12" s="1"/>
  <c r="AB1244" i="12"/>
  <c r="Z1244" i="12"/>
  <c r="X1244" i="12"/>
  <c r="W1244" i="12"/>
  <c r="V1244" i="12"/>
  <c r="U1244" i="12"/>
  <c r="T1244" i="12"/>
  <c r="S1244" i="12"/>
  <c r="AL1243" i="12"/>
  <c r="AK1243" i="12"/>
  <c r="AJ1243" i="12"/>
  <c r="AI1243" i="12"/>
  <c r="AH1243" i="12"/>
  <c r="AG1243" i="12"/>
  <c r="AF1243" i="12"/>
  <c r="AE1243" i="12"/>
  <c r="AC1243" i="12"/>
  <c r="AB1243" i="12"/>
  <c r="Z1243" i="12"/>
  <c r="X1243" i="12"/>
  <c r="W1243" i="12"/>
  <c r="V1243" i="12"/>
  <c r="U1243" i="12"/>
  <c r="T1243" i="12"/>
  <c r="S1243" i="12"/>
  <c r="AL1242" i="12"/>
  <c r="AK1242" i="12"/>
  <c r="AJ1242" i="12"/>
  <c r="AI1242" i="12"/>
  <c r="AH1242" i="12"/>
  <c r="AG1242" i="12"/>
  <c r="AF1242" i="12"/>
  <c r="AE1242" i="12"/>
  <c r="AC1242" i="12"/>
  <c r="AB1242" i="12"/>
  <c r="Z1242" i="12"/>
  <c r="X1242" i="12"/>
  <c r="W1242" i="12"/>
  <c r="V1242" i="12"/>
  <c r="U1242" i="12"/>
  <c r="T1242" i="12"/>
  <c r="S1242" i="12"/>
  <c r="AL1241" i="12"/>
  <c r="AK1241" i="12"/>
  <c r="AJ1241" i="12"/>
  <c r="AI1241" i="12"/>
  <c r="AH1241" i="12"/>
  <c r="AG1241" i="12"/>
  <c r="AF1241" i="12"/>
  <c r="AC1241" i="12"/>
  <c r="AE1241" i="12" s="1"/>
  <c r="AB1241" i="12"/>
  <c r="Z1241" i="12"/>
  <c r="X1241" i="12"/>
  <c r="W1241" i="12"/>
  <c r="V1241" i="12"/>
  <c r="U1241" i="12"/>
  <c r="T1241" i="12"/>
  <c r="S1241" i="12"/>
  <c r="AL1240" i="12"/>
  <c r="AK1240" i="12"/>
  <c r="AJ1240" i="12"/>
  <c r="AI1240" i="12"/>
  <c r="AH1240" i="12"/>
  <c r="AG1240" i="12"/>
  <c r="AF1240" i="12"/>
  <c r="AC1240" i="12"/>
  <c r="AE1240" i="12" s="1"/>
  <c r="AB1240" i="12"/>
  <c r="Z1240" i="12"/>
  <c r="X1240" i="12"/>
  <c r="W1240" i="12"/>
  <c r="V1240" i="12"/>
  <c r="U1240" i="12"/>
  <c r="T1240" i="12"/>
  <c r="S1240" i="12"/>
  <c r="AL1239" i="12"/>
  <c r="AK1239" i="12"/>
  <c r="AJ1239" i="12"/>
  <c r="AI1239" i="12"/>
  <c r="AH1239" i="12"/>
  <c r="AG1239" i="12"/>
  <c r="AF1239" i="12"/>
  <c r="AE1239" i="12"/>
  <c r="AC1239" i="12"/>
  <c r="AB1239" i="12"/>
  <c r="Z1239" i="12"/>
  <c r="X1239" i="12"/>
  <c r="W1239" i="12"/>
  <c r="V1239" i="12"/>
  <c r="U1239" i="12"/>
  <c r="T1239" i="12"/>
  <c r="S1239" i="12"/>
  <c r="AL1238" i="12"/>
  <c r="AK1238" i="12"/>
  <c r="AJ1238" i="12"/>
  <c r="AI1238" i="12"/>
  <c r="AH1238" i="12"/>
  <c r="AG1238" i="12"/>
  <c r="AF1238" i="12"/>
  <c r="AC1238" i="12"/>
  <c r="AE1238" i="12" s="1"/>
  <c r="AB1238" i="12"/>
  <c r="Z1238" i="12"/>
  <c r="X1238" i="12"/>
  <c r="W1238" i="12"/>
  <c r="V1238" i="12"/>
  <c r="U1238" i="12"/>
  <c r="T1238" i="12"/>
  <c r="S1238" i="12"/>
  <c r="AL1237" i="12"/>
  <c r="AK1237" i="12"/>
  <c r="AJ1237" i="12"/>
  <c r="AI1237" i="12"/>
  <c r="AH1237" i="12"/>
  <c r="AG1237" i="12"/>
  <c r="AF1237" i="12"/>
  <c r="AC1237" i="12"/>
  <c r="AE1237" i="12" s="1"/>
  <c r="AB1237" i="12"/>
  <c r="Z1237" i="12"/>
  <c r="X1237" i="12"/>
  <c r="W1237" i="12"/>
  <c r="V1237" i="12"/>
  <c r="U1237" i="12"/>
  <c r="T1237" i="12"/>
  <c r="S1237" i="12"/>
  <c r="AL1236" i="12"/>
  <c r="AK1236" i="12"/>
  <c r="AJ1236" i="12"/>
  <c r="AI1236" i="12"/>
  <c r="AH1236" i="12"/>
  <c r="AG1236" i="12"/>
  <c r="AF1236" i="12"/>
  <c r="AE1236" i="12"/>
  <c r="AC1236" i="12"/>
  <c r="AB1236" i="12"/>
  <c r="Z1236" i="12"/>
  <c r="X1236" i="12"/>
  <c r="W1236" i="12"/>
  <c r="V1236" i="12"/>
  <c r="U1236" i="12"/>
  <c r="T1236" i="12"/>
  <c r="S1236" i="12"/>
  <c r="AL1235" i="12"/>
  <c r="AK1235" i="12"/>
  <c r="AJ1235" i="12"/>
  <c r="AI1235" i="12"/>
  <c r="AH1235" i="12"/>
  <c r="AG1235" i="12"/>
  <c r="AF1235" i="12"/>
  <c r="AC1235" i="12"/>
  <c r="AE1235" i="12" s="1"/>
  <c r="AB1235" i="12"/>
  <c r="Z1235" i="12"/>
  <c r="X1235" i="12"/>
  <c r="W1235" i="12"/>
  <c r="V1235" i="12"/>
  <c r="U1235" i="12"/>
  <c r="T1235" i="12"/>
  <c r="S1235" i="12"/>
  <c r="AL1234" i="12"/>
  <c r="AK1234" i="12"/>
  <c r="AJ1234" i="12"/>
  <c r="AI1234" i="12"/>
  <c r="AH1234" i="12"/>
  <c r="AG1234" i="12"/>
  <c r="AF1234" i="12"/>
  <c r="AC1234" i="12"/>
  <c r="AE1234" i="12" s="1"/>
  <c r="AB1234" i="12"/>
  <c r="Z1234" i="12"/>
  <c r="X1234" i="12"/>
  <c r="W1234" i="12"/>
  <c r="V1234" i="12"/>
  <c r="U1234" i="12"/>
  <c r="T1234" i="12"/>
  <c r="S1234" i="12"/>
  <c r="AL1233" i="12"/>
  <c r="AK1233" i="12"/>
  <c r="AJ1233" i="12"/>
  <c r="AI1233" i="12"/>
  <c r="AH1233" i="12"/>
  <c r="AG1233" i="12"/>
  <c r="AF1233" i="12"/>
  <c r="AC1233" i="12"/>
  <c r="AE1233" i="12" s="1"/>
  <c r="AB1233" i="12"/>
  <c r="Z1233" i="12"/>
  <c r="X1233" i="12"/>
  <c r="W1233" i="12"/>
  <c r="V1233" i="12"/>
  <c r="U1233" i="12"/>
  <c r="T1233" i="12"/>
  <c r="S1233" i="12"/>
  <c r="AL1232" i="12"/>
  <c r="AK1232" i="12"/>
  <c r="AJ1232" i="12"/>
  <c r="AI1232" i="12"/>
  <c r="AH1232" i="12"/>
  <c r="AG1232" i="12"/>
  <c r="AF1232" i="12"/>
  <c r="AE1232" i="12"/>
  <c r="AC1232" i="12"/>
  <c r="AB1232" i="12"/>
  <c r="Z1232" i="12"/>
  <c r="X1232" i="12"/>
  <c r="W1232" i="12"/>
  <c r="V1232" i="12"/>
  <c r="U1232" i="12"/>
  <c r="T1232" i="12"/>
  <c r="S1232" i="12"/>
  <c r="AL1231" i="12"/>
  <c r="AK1231" i="12"/>
  <c r="AJ1231" i="12"/>
  <c r="AI1231" i="12"/>
  <c r="AH1231" i="12"/>
  <c r="AG1231" i="12"/>
  <c r="AF1231" i="12"/>
  <c r="AE1231" i="12"/>
  <c r="AC1231" i="12"/>
  <c r="AB1231" i="12"/>
  <c r="Z1231" i="12"/>
  <c r="X1231" i="12"/>
  <c r="W1231" i="12"/>
  <c r="V1231" i="12"/>
  <c r="U1231" i="12"/>
  <c r="T1231" i="12"/>
  <c r="S1231" i="12"/>
  <c r="AL1230" i="12"/>
  <c r="AK1230" i="12"/>
  <c r="AJ1230" i="12"/>
  <c r="AI1230" i="12"/>
  <c r="AH1230" i="12"/>
  <c r="AG1230" i="12"/>
  <c r="AF1230" i="12"/>
  <c r="AC1230" i="12"/>
  <c r="AE1230" i="12" s="1"/>
  <c r="AB1230" i="12"/>
  <c r="Z1230" i="12"/>
  <c r="X1230" i="12"/>
  <c r="W1230" i="12"/>
  <c r="V1230" i="12"/>
  <c r="U1230" i="12"/>
  <c r="T1230" i="12"/>
  <c r="S1230" i="12"/>
  <c r="AL1229" i="12"/>
  <c r="AK1229" i="12"/>
  <c r="AJ1229" i="12"/>
  <c r="AI1229" i="12"/>
  <c r="AH1229" i="12"/>
  <c r="AG1229" i="12"/>
  <c r="AF1229" i="12"/>
  <c r="AC1229" i="12"/>
  <c r="AE1229" i="12" s="1"/>
  <c r="AB1229" i="12"/>
  <c r="Z1229" i="12"/>
  <c r="X1229" i="12"/>
  <c r="W1229" i="12"/>
  <c r="V1229" i="12"/>
  <c r="U1229" i="12"/>
  <c r="T1229" i="12"/>
  <c r="S1229" i="12"/>
  <c r="AL1228" i="12"/>
  <c r="AK1228" i="12"/>
  <c r="AJ1228" i="12"/>
  <c r="AI1228" i="12"/>
  <c r="AH1228" i="12"/>
  <c r="AG1228" i="12"/>
  <c r="AF1228" i="12"/>
  <c r="AE1228" i="12"/>
  <c r="AC1228" i="12"/>
  <c r="AB1228" i="12"/>
  <c r="Z1228" i="12"/>
  <c r="X1228" i="12"/>
  <c r="W1228" i="12"/>
  <c r="V1228" i="12"/>
  <c r="U1228" i="12"/>
  <c r="T1228" i="12"/>
  <c r="S1228" i="12"/>
  <c r="AL1227" i="12"/>
  <c r="AK1227" i="12"/>
  <c r="AJ1227" i="12"/>
  <c r="AI1227" i="12"/>
  <c r="AH1227" i="12"/>
  <c r="AG1227" i="12"/>
  <c r="AF1227" i="12"/>
  <c r="AE1227" i="12"/>
  <c r="AC1227" i="12"/>
  <c r="AB1227" i="12"/>
  <c r="Z1227" i="12"/>
  <c r="X1227" i="12"/>
  <c r="W1227" i="12"/>
  <c r="V1227" i="12"/>
  <c r="U1227" i="12"/>
  <c r="T1227" i="12"/>
  <c r="S1227" i="12"/>
  <c r="AL1226" i="12"/>
  <c r="AK1226" i="12"/>
  <c r="AJ1226" i="12"/>
  <c r="AI1226" i="12"/>
  <c r="AH1226" i="12"/>
  <c r="AG1226" i="12"/>
  <c r="AF1226" i="12"/>
  <c r="AC1226" i="12"/>
  <c r="AE1226" i="12" s="1"/>
  <c r="AB1226" i="12"/>
  <c r="Z1226" i="12"/>
  <c r="X1226" i="12"/>
  <c r="W1226" i="12"/>
  <c r="V1226" i="12"/>
  <c r="U1226" i="12"/>
  <c r="T1226" i="12"/>
  <c r="S1226" i="12"/>
  <c r="AL1225" i="12"/>
  <c r="AK1225" i="12"/>
  <c r="AJ1225" i="12"/>
  <c r="AI1225" i="12"/>
  <c r="AH1225" i="12"/>
  <c r="AG1225" i="12"/>
  <c r="AF1225" i="12"/>
  <c r="AC1225" i="12"/>
  <c r="AE1225" i="12" s="1"/>
  <c r="AB1225" i="12"/>
  <c r="Z1225" i="12"/>
  <c r="X1225" i="12"/>
  <c r="W1225" i="12"/>
  <c r="V1225" i="12"/>
  <c r="U1225" i="12"/>
  <c r="T1225" i="12"/>
  <c r="S1225" i="12"/>
  <c r="AL1224" i="12"/>
  <c r="AK1224" i="12"/>
  <c r="AJ1224" i="12"/>
  <c r="AI1224" i="12"/>
  <c r="AH1224" i="12"/>
  <c r="AG1224" i="12"/>
  <c r="AF1224" i="12"/>
  <c r="AE1224" i="12"/>
  <c r="AC1224" i="12"/>
  <c r="AB1224" i="12"/>
  <c r="Z1224" i="12"/>
  <c r="X1224" i="12"/>
  <c r="W1224" i="12"/>
  <c r="V1224" i="12"/>
  <c r="U1224" i="12"/>
  <c r="T1224" i="12"/>
  <c r="S1224" i="12"/>
  <c r="AL1223" i="12"/>
  <c r="AK1223" i="12"/>
  <c r="AJ1223" i="12"/>
  <c r="AI1223" i="12"/>
  <c r="AH1223" i="12"/>
  <c r="AG1223" i="12"/>
  <c r="AF1223" i="12"/>
  <c r="AC1223" i="12"/>
  <c r="AE1223" i="12" s="1"/>
  <c r="AB1223" i="12"/>
  <c r="Z1223" i="12"/>
  <c r="X1223" i="12"/>
  <c r="W1223" i="12"/>
  <c r="V1223" i="12"/>
  <c r="U1223" i="12"/>
  <c r="T1223" i="12"/>
  <c r="S1223" i="12"/>
  <c r="AL1222" i="12"/>
  <c r="AK1222" i="12"/>
  <c r="AJ1222" i="12"/>
  <c r="AI1222" i="12"/>
  <c r="AH1222" i="12"/>
  <c r="AG1222" i="12"/>
  <c r="AF1222" i="12"/>
  <c r="AE1222" i="12"/>
  <c r="AC1222" i="12"/>
  <c r="AB1222" i="12"/>
  <c r="Z1222" i="12"/>
  <c r="X1222" i="12"/>
  <c r="W1222" i="12"/>
  <c r="V1222" i="12"/>
  <c r="U1222" i="12"/>
  <c r="T1222" i="12"/>
  <c r="S1222" i="12"/>
  <c r="AL1221" i="12"/>
  <c r="AK1221" i="12"/>
  <c r="AJ1221" i="12"/>
  <c r="AI1221" i="12"/>
  <c r="AH1221" i="12"/>
  <c r="AG1221" i="12"/>
  <c r="AF1221" i="12"/>
  <c r="AE1221" i="12"/>
  <c r="AC1221" i="12"/>
  <c r="AB1221" i="12"/>
  <c r="Z1221" i="12"/>
  <c r="X1221" i="12"/>
  <c r="W1221" i="12"/>
  <c r="V1221" i="12"/>
  <c r="U1221" i="12"/>
  <c r="T1221" i="12"/>
  <c r="S1221" i="12"/>
  <c r="AL1220" i="12"/>
  <c r="AK1220" i="12"/>
  <c r="AJ1220" i="12"/>
  <c r="AI1220" i="12"/>
  <c r="AH1220" i="12"/>
  <c r="AG1220" i="12"/>
  <c r="AF1220" i="12"/>
  <c r="AC1220" i="12"/>
  <c r="AE1220" i="12" s="1"/>
  <c r="AB1220" i="12"/>
  <c r="Z1220" i="12"/>
  <c r="X1220" i="12"/>
  <c r="W1220" i="12"/>
  <c r="V1220" i="12"/>
  <c r="U1220" i="12"/>
  <c r="T1220" i="12"/>
  <c r="S1220" i="12"/>
  <c r="AL1219" i="12"/>
  <c r="AK1219" i="12"/>
  <c r="AJ1219" i="12"/>
  <c r="AI1219" i="12"/>
  <c r="AH1219" i="12"/>
  <c r="AG1219" i="12"/>
  <c r="AF1219" i="12"/>
  <c r="AC1219" i="12"/>
  <c r="AE1219" i="12" s="1"/>
  <c r="AB1219" i="12"/>
  <c r="Z1219" i="12"/>
  <c r="X1219" i="12"/>
  <c r="W1219" i="12"/>
  <c r="V1219" i="12"/>
  <c r="U1219" i="12"/>
  <c r="T1219" i="12"/>
  <c r="S1219" i="12"/>
  <c r="AL1218" i="12"/>
  <c r="AK1218" i="12"/>
  <c r="AJ1218" i="12"/>
  <c r="AI1218" i="12"/>
  <c r="AH1218" i="12"/>
  <c r="AG1218" i="12"/>
  <c r="AF1218" i="12"/>
  <c r="AC1218" i="12"/>
  <c r="AE1218" i="12" s="1"/>
  <c r="AB1218" i="12"/>
  <c r="Z1218" i="12"/>
  <c r="X1218" i="12"/>
  <c r="W1218" i="12"/>
  <c r="V1218" i="12"/>
  <c r="U1218" i="12"/>
  <c r="T1218" i="12"/>
  <c r="S1218" i="12"/>
  <c r="AL1217" i="12"/>
  <c r="AK1217" i="12"/>
  <c r="AJ1217" i="12"/>
  <c r="AI1217" i="12"/>
  <c r="AH1217" i="12"/>
  <c r="AG1217" i="12"/>
  <c r="AF1217" i="12"/>
  <c r="AC1217" i="12"/>
  <c r="AE1217" i="12" s="1"/>
  <c r="AB1217" i="12"/>
  <c r="Z1217" i="12"/>
  <c r="X1217" i="12"/>
  <c r="W1217" i="12"/>
  <c r="V1217" i="12"/>
  <c r="U1217" i="12"/>
  <c r="T1217" i="12"/>
  <c r="S1217" i="12"/>
  <c r="AL1216" i="12"/>
  <c r="AK1216" i="12"/>
  <c r="AJ1216" i="12"/>
  <c r="AI1216" i="12"/>
  <c r="AH1216" i="12"/>
  <c r="AG1216" i="12"/>
  <c r="AF1216" i="12"/>
  <c r="AE1216" i="12"/>
  <c r="AC1216" i="12"/>
  <c r="AB1216" i="12"/>
  <c r="Z1216" i="12"/>
  <c r="X1216" i="12"/>
  <c r="W1216" i="12"/>
  <c r="V1216" i="12"/>
  <c r="U1216" i="12"/>
  <c r="T1216" i="12"/>
  <c r="S1216" i="12"/>
  <c r="AL1215" i="12"/>
  <c r="AK1215" i="12"/>
  <c r="AJ1215" i="12"/>
  <c r="AI1215" i="12"/>
  <c r="AH1215" i="12"/>
  <c r="AG1215" i="12"/>
  <c r="AF1215" i="12"/>
  <c r="AC1215" i="12"/>
  <c r="AE1215" i="12" s="1"/>
  <c r="AB1215" i="12"/>
  <c r="Z1215" i="12"/>
  <c r="X1215" i="12"/>
  <c r="W1215" i="12"/>
  <c r="V1215" i="12"/>
  <c r="U1215" i="12"/>
  <c r="T1215" i="12"/>
  <c r="S1215" i="12"/>
  <c r="AL1214" i="12"/>
  <c r="AK1214" i="12"/>
  <c r="AJ1214" i="12"/>
  <c r="AI1214" i="12"/>
  <c r="AH1214" i="12"/>
  <c r="AG1214" i="12"/>
  <c r="AF1214" i="12"/>
  <c r="AC1214" i="12"/>
  <c r="AE1214" i="12" s="1"/>
  <c r="AB1214" i="12"/>
  <c r="Z1214" i="12"/>
  <c r="X1214" i="12"/>
  <c r="W1214" i="12"/>
  <c r="V1214" i="12"/>
  <c r="U1214" i="12"/>
  <c r="T1214" i="12"/>
  <c r="S1214" i="12"/>
  <c r="AL1213" i="12"/>
  <c r="AK1213" i="12"/>
  <c r="AJ1213" i="12"/>
  <c r="AI1213" i="12"/>
  <c r="AH1213" i="12"/>
  <c r="AG1213" i="12"/>
  <c r="AF1213" i="12"/>
  <c r="AC1213" i="12"/>
  <c r="AE1213" i="12" s="1"/>
  <c r="AB1213" i="12"/>
  <c r="Z1213" i="12"/>
  <c r="X1213" i="12"/>
  <c r="W1213" i="12"/>
  <c r="V1213" i="12"/>
  <c r="U1213" i="12"/>
  <c r="T1213" i="12"/>
  <c r="S1213" i="12"/>
  <c r="AL1212" i="12"/>
  <c r="AK1212" i="12"/>
  <c r="AJ1212" i="12"/>
  <c r="AI1212" i="12"/>
  <c r="AH1212" i="12"/>
  <c r="AG1212" i="12"/>
  <c r="AF1212" i="12"/>
  <c r="AE1212" i="12"/>
  <c r="AC1212" i="12"/>
  <c r="AB1212" i="12"/>
  <c r="Z1212" i="12"/>
  <c r="X1212" i="12"/>
  <c r="W1212" i="12"/>
  <c r="V1212" i="12"/>
  <c r="U1212" i="12"/>
  <c r="T1212" i="12"/>
  <c r="S1212" i="12"/>
  <c r="AL1211" i="12"/>
  <c r="AK1211" i="12"/>
  <c r="AJ1211" i="12"/>
  <c r="AI1211" i="12"/>
  <c r="AH1211" i="12"/>
  <c r="AG1211" i="12"/>
  <c r="AF1211" i="12"/>
  <c r="AE1211" i="12"/>
  <c r="AC1211" i="12"/>
  <c r="AB1211" i="12"/>
  <c r="Z1211" i="12"/>
  <c r="X1211" i="12"/>
  <c r="W1211" i="12"/>
  <c r="V1211" i="12"/>
  <c r="U1211" i="12"/>
  <c r="T1211" i="12"/>
  <c r="S1211" i="12"/>
  <c r="AL1210" i="12"/>
  <c r="AK1210" i="12"/>
  <c r="AJ1210" i="12"/>
  <c r="AI1210" i="12"/>
  <c r="AH1210" i="12"/>
  <c r="AG1210" i="12"/>
  <c r="AF1210" i="12"/>
  <c r="AC1210" i="12"/>
  <c r="AE1210" i="12" s="1"/>
  <c r="AB1210" i="12"/>
  <c r="Z1210" i="12"/>
  <c r="X1210" i="12"/>
  <c r="W1210" i="12"/>
  <c r="V1210" i="12"/>
  <c r="U1210" i="12"/>
  <c r="T1210" i="12"/>
  <c r="S1210" i="12"/>
  <c r="AL1209" i="12"/>
  <c r="AK1209" i="12"/>
  <c r="AJ1209" i="12"/>
  <c r="AI1209" i="12"/>
  <c r="AH1209" i="12"/>
  <c r="AG1209" i="12"/>
  <c r="AF1209" i="12"/>
  <c r="AC1209" i="12"/>
  <c r="AE1209" i="12" s="1"/>
  <c r="AB1209" i="12"/>
  <c r="Z1209" i="12"/>
  <c r="X1209" i="12"/>
  <c r="W1209" i="12"/>
  <c r="V1209" i="12"/>
  <c r="U1209" i="12"/>
  <c r="T1209" i="12"/>
  <c r="S1209" i="12"/>
  <c r="AL1208" i="12"/>
  <c r="AK1208" i="12"/>
  <c r="AJ1208" i="12"/>
  <c r="AI1208" i="12"/>
  <c r="AH1208" i="12"/>
  <c r="AG1208" i="12"/>
  <c r="AF1208" i="12"/>
  <c r="AC1208" i="12"/>
  <c r="AE1208" i="12" s="1"/>
  <c r="AB1208" i="12"/>
  <c r="Z1208" i="12"/>
  <c r="X1208" i="12"/>
  <c r="W1208" i="12"/>
  <c r="V1208" i="12"/>
  <c r="U1208" i="12"/>
  <c r="T1208" i="12"/>
  <c r="S1208" i="12"/>
  <c r="AL1207" i="12"/>
  <c r="AK1207" i="12"/>
  <c r="AJ1207" i="12"/>
  <c r="AI1207" i="12"/>
  <c r="AH1207" i="12"/>
  <c r="AG1207" i="12"/>
  <c r="AF1207" i="12"/>
  <c r="AE1207" i="12"/>
  <c r="AC1207" i="12"/>
  <c r="AB1207" i="12"/>
  <c r="Z1207" i="12"/>
  <c r="X1207" i="12"/>
  <c r="W1207" i="12"/>
  <c r="V1207" i="12"/>
  <c r="U1207" i="12"/>
  <c r="T1207" i="12"/>
  <c r="S1207" i="12"/>
  <c r="AL1206" i="12"/>
  <c r="AK1206" i="12"/>
  <c r="AJ1206" i="12"/>
  <c r="AI1206" i="12"/>
  <c r="AH1206" i="12"/>
  <c r="AG1206" i="12"/>
  <c r="AF1206" i="12"/>
  <c r="AE1206" i="12"/>
  <c r="AC1206" i="12"/>
  <c r="AB1206" i="12"/>
  <c r="Z1206" i="12"/>
  <c r="X1206" i="12"/>
  <c r="W1206" i="12"/>
  <c r="V1206" i="12"/>
  <c r="U1206" i="12"/>
  <c r="T1206" i="12"/>
  <c r="S1206" i="12"/>
  <c r="AL1205" i="12"/>
  <c r="AK1205" i="12"/>
  <c r="AJ1205" i="12"/>
  <c r="AI1205" i="12"/>
  <c r="AH1205" i="12"/>
  <c r="AG1205" i="12"/>
  <c r="AF1205" i="12"/>
  <c r="AC1205" i="12"/>
  <c r="AE1205" i="12" s="1"/>
  <c r="AB1205" i="12"/>
  <c r="Z1205" i="12"/>
  <c r="X1205" i="12"/>
  <c r="W1205" i="12"/>
  <c r="V1205" i="12"/>
  <c r="U1205" i="12"/>
  <c r="T1205" i="12"/>
  <c r="S1205" i="12"/>
  <c r="AL1204" i="12"/>
  <c r="AK1204" i="12"/>
  <c r="AJ1204" i="12"/>
  <c r="AI1204" i="12"/>
  <c r="AH1204" i="12"/>
  <c r="AG1204" i="12"/>
  <c r="AF1204" i="12"/>
  <c r="AC1204" i="12"/>
  <c r="AE1204" i="12" s="1"/>
  <c r="AB1204" i="12"/>
  <c r="Z1204" i="12"/>
  <c r="X1204" i="12"/>
  <c r="W1204" i="12"/>
  <c r="V1204" i="12"/>
  <c r="U1204" i="12"/>
  <c r="T1204" i="12"/>
  <c r="S1204" i="12"/>
  <c r="AL1203" i="12"/>
  <c r="AK1203" i="12"/>
  <c r="AJ1203" i="12"/>
  <c r="AI1203" i="12"/>
  <c r="AH1203" i="12"/>
  <c r="AG1203" i="12"/>
  <c r="AF1203" i="12"/>
  <c r="AC1203" i="12"/>
  <c r="AE1203" i="12" s="1"/>
  <c r="AB1203" i="12"/>
  <c r="Z1203" i="12"/>
  <c r="X1203" i="12"/>
  <c r="W1203" i="12"/>
  <c r="V1203" i="12"/>
  <c r="U1203" i="12"/>
  <c r="T1203" i="12"/>
  <c r="S1203" i="12"/>
  <c r="AL1202" i="12"/>
  <c r="AK1202" i="12"/>
  <c r="AJ1202" i="12"/>
  <c r="AI1202" i="12"/>
  <c r="AH1202" i="12"/>
  <c r="AG1202" i="12"/>
  <c r="AF1202" i="12"/>
  <c r="AC1202" i="12"/>
  <c r="AE1202" i="12" s="1"/>
  <c r="AB1202" i="12"/>
  <c r="Z1202" i="12"/>
  <c r="X1202" i="12"/>
  <c r="W1202" i="12"/>
  <c r="V1202" i="12"/>
  <c r="U1202" i="12"/>
  <c r="T1202" i="12"/>
  <c r="S1202" i="12"/>
  <c r="AL1201" i="12"/>
  <c r="AK1201" i="12"/>
  <c r="AJ1201" i="12"/>
  <c r="AI1201" i="12"/>
  <c r="AH1201" i="12"/>
  <c r="AG1201" i="12"/>
  <c r="AF1201" i="12"/>
  <c r="AE1201" i="12"/>
  <c r="AC1201" i="12"/>
  <c r="AB1201" i="12"/>
  <c r="Z1201" i="12"/>
  <c r="X1201" i="12"/>
  <c r="W1201" i="12"/>
  <c r="V1201" i="12"/>
  <c r="U1201" i="12"/>
  <c r="T1201" i="12"/>
  <c r="S1201" i="12"/>
  <c r="AL1200" i="12"/>
  <c r="AK1200" i="12"/>
  <c r="AJ1200" i="12"/>
  <c r="AI1200" i="12"/>
  <c r="AH1200" i="12"/>
  <c r="AG1200" i="12"/>
  <c r="AF1200" i="12"/>
  <c r="AC1200" i="12"/>
  <c r="AE1200" i="12" s="1"/>
  <c r="AB1200" i="12"/>
  <c r="Z1200" i="12"/>
  <c r="X1200" i="12"/>
  <c r="W1200" i="12"/>
  <c r="V1200" i="12"/>
  <c r="U1200" i="12"/>
  <c r="T1200" i="12"/>
  <c r="S1200" i="12"/>
  <c r="AL1199" i="12"/>
  <c r="AK1199" i="12"/>
  <c r="AJ1199" i="12"/>
  <c r="AI1199" i="12"/>
  <c r="AH1199" i="12"/>
  <c r="AG1199" i="12"/>
  <c r="AF1199" i="12"/>
  <c r="AC1199" i="12"/>
  <c r="AE1199" i="12" s="1"/>
  <c r="AB1199" i="12"/>
  <c r="Z1199" i="12"/>
  <c r="X1199" i="12"/>
  <c r="W1199" i="12"/>
  <c r="V1199" i="12"/>
  <c r="U1199" i="12"/>
  <c r="T1199" i="12"/>
  <c r="S1199" i="12"/>
  <c r="AL1198" i="12"/>
  <c r="AK1198" i="12"/>
  <c r="AJ1198" i="12"/>
  <c r="AI1198" i="12"/>
  <c r="AH1198" i="12"/>
  <c r="AG1198" i="12"/>
  <c r="AF1198" i="12"/>
  <c r="AC1198" i="12"/>
  <c r="AE1198" i="12" s="1"/>
  <c r="AB1198" i="12"/>
  <c r="Z1198" i="12"/>
  <c r="X1198" i="12"/>
  <c r="W1198" i="12"/>
  <c r="V1198" i="12"/>
  <c r="U1198" i="12"/>
  <c r="T1198" i="12"/>
  <c r="S1198" i="12"/>
  <c r="AL1197" i="12"/>
  <c r="AK1197" i="12"/>
  <c r="AJ1197" i="12"/>
  <c r="AI1197" i="12"/>
  <c r="AH1197" i="12"/>
  <c r="AG1197" i="12"/>
  <c r="AF1197" i="12"/>
  <c r="AE1197" i="12"/>
  <c r="AC1197" i="12"/>
  <c r="AB1197" i="12"/>
  <c r="Z1197" i="12"/>
  <c r="X1197" i="12"/>
  <c r="W1197" i="12"/>
  <c r="V1197" i="12"/>
  <c r="U1197" i="12"/>
  <c r="T1197" i="12"/>
  <c r="S1197" i="12"/>
  <c r="AL1196" i="12"/>
  <c r="AK1196" i="12"/>
  <c r="AJ1196" i="12"/>
  <c r="AI1196" i="12"/>
  <c r="AH1196" i="12"/>
  <c r="AG1196" i="12"/>
  <c r="AF1196" i="12"/>
  <c r="AE1196" i="12"/>
  <c r="AC1196" i="12"/>
  <c r="AB1196" i="12"/>
  <c r="Z1196" i="12"/>
  <c r="X1196" i="12"/>
  <c r="W1196" i="12"/>
  <c r="V1196" i="12"/>
  <c r="U1196" i="12"/>
  <c r="T1196" i="12"/>
  <c r="S1196" i="12"/>
  <c r="AL1195" i="12"/>
  <c r="AK1195" i="12"/>
  <c r="AJ1195" i="12"/>
  <c r="AI1195" i="12"/>
  <c r="AH1195" i="12"/>
  <c r="AG1195" i="12"/>
  <c r="AF1195" i="12"/>
  <c r="AC1195" i="12"/>
  <c r="AE1195" i="12" s="1"/>
  <c r="AB1195" i="12"/>
  <c r="Z1195" i="12"/>
  <c r="X1195" i="12"/>
  <c r="W1195" i="12"/>
  <c r="V1195" i="12"/>
  <c r="U1195" i="12"/>
  <c r="T1195" i="12"/>
  <c r="S1195" i="12"/>
  <c r="AL1194" i="12"/>
  <c r="AK1194" i="12"/>
  <c r="AJ1194" i="12"/>
  <c r="AI1194" i="12"/>
  <c r="AH1194" i="12"/>
  <c r="AG1194" i="12"/>
  <c r="AF1194" i="12"/>
  <c r="AC1194" i="12"/>
  <c r="AE1194" i="12" s="1"/>
  <c r="AB1194" i="12"/>
  <c r="Z1194" i="12"/>
  <c r="X1194" i="12"/>
  <c r="W1194" i="12"/>
  <c r="V1194" i="12"/>
  <c r="U1194" i="12"/>
  <c r="T1194" i="12"/>
  <c r="S1194" i="12"/>
  <c r="AL1193" i="12"/>
  <c r="AK1193" i="12"/>
  <c r="AJ1193" i="12"/>
  <c r="AI1193" i="12"/>
  <c r="AH1193" i="12"/>
  <c r="AG1193" i="12"/>
  <c r="AF1193" i="12"/>
  <c r="AC1193" i="12"/>
  <c r="AE1193" i="12" s="1"/>
  <c r="AB1193" i="12"/>
  <c r="Z1193" i="12"/>
  <c r="X1193" i="12"/>
  <c r="W1193" i="12"/>
  <c r="V1193" i="12"/>
  <c r="U1193" i="12"/>
  <c r="T1193" i="12"/>
  <c r="S1193" i="12"/>
  <c r="AL1192" i="12"/>
  <c r="AK1192" i="12"/>
  <c r="AJ1192" i="12"/>
  <c r="AI1192" i="12"/>
  <c r="AH1192" i="12"/>
  <c r="AG1192" i="12"/>
  <c r="AF1192" i="12"/>
  <c r="AE1192" i="12"/>
  <c r="AC1192" i="12"/>
  <c r="AB1192" i="12"/>
  <c r="Z1192" i="12"/>
  <c r="X1192" i="12"/>
  <c r="W1192" i="12"/>
  <c r="V1192" i="12"/>
  <c r="U1192" i="12"/>
  <c r="T1192" i="12"/>
  <c r="S1192" i="12"/>
  <c r="AL1191" i="12"/>
  <c r="AK1191" i="12"/>
  <c r="AJ1191" i="12"/>
  <c r="AI1191" i="12"/>
  <c r="AH1191" i="12"/>
  <c r="AG1191" i="12"/>
  <c r="AF1191" i="12"/>
  <c r="AE1191" i="12"/>
  <c r="AC1191" i="12"/>
  <c r="AB1191" i="12"/>
  <c r="Z1191" i="12"/>
  <c r="X1191" i="12"/>
  <c r="W1191" i="12"/>
  <c r="V1191" i="12"/>
  <c r="U1191" i="12"/>
  <c r="T1191" i="12"/>
  <c r="S1191" i="12"/>
  <c r="AL1190" i="12"/>
  <c r="AK1190" i="12"/>
  <c r="AJ1190" i="12"/>
  <c r="AI1190" i="12"/>
  <c r="AH1190" i="12"/>
  <c r="AG1190" i="12"/>
  <c r="AF1190" i="12"/>
  <c r="AE1190" i="12"/>
  <c r="AC1190" i="12"/>
  <c r="AB1190" i="12"/>
  <c r="Z1190" i="12"/>
  <c r="X1190" i="12"/>
  <c r="W1190" i="12"/>
  <c r="V1190" i="12"/>
  <c r="U1190" i="12"/>
  <c r="T1190" i="12"/>
  <c r="S1190" i="12"/>
  <c r="AL1189" i="12"/>
  <c r="AK1189" i="12"/>
  <c r="AJ1189" i="12"/>
  <c r="AI1189" i="12"/>
  <c r="AH1189" i="12"/>
  <c r="AG1189" i="12"/>
  <c r="AF1189" i="12"/>
  <c r="AC1189" i="12"/>
  <c r="AE1189" i="12" s="1"/>
  <c r="AB1189" i="12"/>
  <c r="Z1189" i="12"/>
  <c r="X1189" i="12"/>
  <c r="W1189" i="12"/>
  <c r="V1189" i="12"/>
  <c r="U1189" i="12"/>
  <c r="T1189" i="12"/>
  <c r="S1189" i="12"/>
  <c r="AL1188" i="12"/>
  <c r="AK1188" i="12"/>
  <c r="AJ1188" i="12"/>
  <c r="AI1188" i="12"/>
  <c r="AH1188" i="12"/>
  <c r="AG1188" i="12"/>
  <c r="AF1188" i="12"/>
  <c r="AC1188" i="12"/>
  <c r="AE1188" i="12" s="1"/>
  <c r="AB1188" i="12"/>
  <c r="Z1188" i="12"/>
  <c r="X1188" i="12"/>
  <c r="W1188" i="12"/>
  <c r="V1188" i="12"/>
  <c r="U1188" i="12"/>
  <c r="T1188" i="12"/>
  <c r="S1188" i="12"/>
  <c r="AL1187" i="12"/>
  <c r="AK1187" i="12"/>
  <c r="AJ1187" i="12"/>
  <c r="AI1187" i="12"/>
  <c r="AH1187" i="12"/>
  <c r="AG1187" i="12"/>
  <c r="AF1187" i="12"/>
  <c r="AC1187" i="12"/>
  <c r="AE1187" i="12" s="1"/>
  <c r="AB1187" i="12"/>
  <c r="Z1187" i="12"/>
  <c r="X1187" i="12"/>
  <c r="W1187" i="12"/>
  <c r="V1187" i="12"/>
  <c r="U1187" i="12"/>
  <c r="T1187" i="12"/>
  <c r="S1187" i="12"/>
  <c r="AL1186" i="12"/>
  <c r="AK1186" i="12"/>
  <c r="AJ1186" i="12"/>
  <c r="AI1186" i="12"/>
  <c r="AH1186" i="12"/>
  <c r="AG1186" i="12"/>
  <c r="AF1186" i="12"/>
  <c r="AE1186" i="12"/>
  <c r="AC1186" i="12"/>
  <c r="AB1186" i="12"/>
  <c r="Z1186" i="12"/>
  <c r="X1186" i="12"/>
  <c r="W1186" i="12"/>
  <c r="V1186" i="12"/>
  <c r="U1186" i="12"/>
  <c r="T1186" i="12"/>
  <c r="S1186" i="12"/>
  <c r="AL1185" i="12"/>
  <c r="AK1185" i="12"/>
  <c r="AJ1185" i="12"/>
  <c r="AI1185" i="12"/>
  <c r="AH1185" i="12"/>
  <c r="AG1185" i="12"/>
  <c r="AF1185" i="12"/>
  <c r="AE1185" i="12"/>
  <c r="AC1185" i="12"/>
  <c r="AB1185" i="12"/>
  <c r="Z1185" i="12"/>
  <c r="X1185" i="12"/>
  <c r="W1185" i="12"/>
  <c r="V1185" i="12"/>
  <c r="U1185" i="12"/>
  <c r="T1185" i="12"/>
  <c r="S1185" i="12"/>
  <c r="AL1184" i="12"/>
  <c r="AK1184" i="12"/>
  <c r="AJ1184" i="12"/>
  <c r="AI1184" i="12"/>
  <c r="AH1184" i="12"/>
  <c r="AG1184" i="12"/>
  <c r="AF1184" i="12"/>
  <c r="AC1184" i="12"/>
  <c r="AE1184" i="12" s="1"/>
  <c r="AB1184" i="12"/>
  <c r="Z1184" i="12"/>
  <c r="X1184" i="12"/>
  <c r="W1184" i="12"/>
  <c r="V1184" i="12"/>
  <c r="U1184" i="12"/>
  <c r="T1184" i="12"/>
  <c r="S1184" i="12"/>
  <c r="AL1183" i="12"/>
  <c r="AK1183" i="12"/>
  <c r="AJ1183" i="12"/>
  <c r="AI1183" i="12"/>
  <c r="AH1183" i="12"/>
  <c r="AG1183" i="12"/>
  <c r="AF1183" i="12"/>
  <c r="AE1183" i="12"/>
  <c r="AC1183" i="12"/>
  <c r="AB1183" i="12"/>
  <c r="Z1183" i="12"/>
  <c r="X1183" i="12"/>
  <c r="W1183" i="12"/>
  <c r="V1183" i="12"/>
  <c r="U1183" i="12"/>
  <c r="T1183" i="12"/>
  <c r="S1183" i="12"/>
  <c r="AL1182" i="12"/>
  <c r="AK1182" i="12"/>
  <c r="AJ1182" i="12"/>
  <c r="AI1182" i="12"/>
  <c r="AH1182" i="12"/>
  <c r="AG1182" i="12"/>
  <c r="AF1182" i="12"/>
  <c r="AC1182" i="12"/>
  <c r="AE1182" i="12" s="1"/>
  <c r="AB1182" i="12"/>
  <c r="Z1182" i="12"/>
  <c r="X1182" i="12"/>
  <c r="W1182" i="12"/>
  <c r="V1182" i="12"/>
  <c r="U1182" i="12"/>
  <c r="T1182" i="12"/>
  <c r="S1182" i="12"/>
  <c r="AL1181" i="12"/>
  <c r="AK1181" i="12"/>
  <c r="AJ1181" i="12"/>
  <c r="AI1181" i="12"/>
  <c r="AH1181" i="12"/>
  <c r="AG1181" i="12"/>
  <c r="AF1181" i="12"/>
  <c r="AC1181" i="12"/>
  <c r="AE1181" i="12" s="1"/>
  <c r="AB1181" i="12"/>
  <c r="Z1181" i="12"/>
  <c r="X1181" i="12"/>
  <c r="W1181" i="12"/>
  <c r="V1181" i="12"/>
  <c r="U1181" i="12"/>
  <c r="T1181" i="12"/>
  <c r="S1181" i="12"/>
  <c r="AL1180" i="12"/>
  <c r="AK1180" i="12"/>
  <c r="AJ1180" i="12"/>
  <c r="AI1180" i="12"/>
  <c r="AH1180" i="12"/>
  <c r="AG1180" i="12"/>
  <c r="AF1180" i="12"/>
  <c r="AC1180" i="12"/>
  <c r="AE1180" i="12" s="1"/>
  <c r="AB1180" i="12"/>
  <c r="Z1180" i="12"/>
  <c r="X1180" i="12"/>
  <c r="W1180" i="12"/>
  <c r="V1180" i="12"/>
  <c r="U1180" i="12"/>
  <c r="T1180" i="12"/>
  <c r="S1180" i="12"/>
  <c r="AL1179" i="12"/>
  <c r="AK1179" i="12"/>
  <c r="AJ1179" i="12"/>
  <c r="AI1179" i="12"/>
  <c r="AH1179" i="12"/>
  <c r="AG1179" i="12"/>
  <c r="AF1179" i="12"/>
  <c r="AE1179" i="12"/>
  <c r="AC1179" i="12"/>
  <c r="AB1179" i="12"/>
  <c r="Z1179" i="12"/>
  <c r="X1179" i="12"/>
  <c r="W1179" i="12"/>
  <c r="V1179" i="12"/>
  <c r="U1179" i="12"/>
  <c r="T1179" i="12"/>
  <c r="S1179" i="12"/>
  <c r="AL1178" i="12"/>
  <c r="AK1178" i="12"/>
  <c r="AJ1178" i="12"/>
  <c r="AI1178" i="12"/>
  <c r="AH1178" i="12"/>
  <c r="AG1178" i="12"/>
  <c r="AF1178" i="12"/>
  <c r="AC1178" i="12"/>
  <c r="AE1178" i="12" s="1"/>
  <c r="AB1178" i="12"/>
  <c r="Z1178" i="12"/>
  <c r="X1178" i="12"/>
  <c r="W1178" i="12"/>
  <c r="V1178" i="12"/>
  <c r="U1178" i="12"/>
  <c r="T1178" i="12"/>
  <c r="S1178" i="12"/>
  <c r="AL1177" i="12"/>
  <c r="AK1177" i="12"/>
  <c r="AJ1177" i="12"/>
  <c r="AI1177" i="12"/>
  <c r="AH1177" i="12"/>
  <c r="AG1177" i="12"/>
  <c r="AF1177" i="12"/>
  <c r="AE1177" i="12"/>
  <c r="AC1177" i="12"/>
  <c r="AB1177" i="12"/>
  <c r="Z1177" i="12"/>
  <c r="X1177" i="12"/>
  <c r="W1177" i="12"/>
  <c r="V1177" i="12"/>
  <c r="U1177" i="12"/>
  <c r="T1177" i="12"/>
  <c r="S1177" i="12"/>
  <c r="AL1176" i="12"/>
  <c r="AK1176" i="12"/>
  <c r="AJ1176" i="12"/>
  <c r="AI1176" i="12"/>
  <c r="AH1176" i="12"/>
  <c r="AG1176" i="12"/>
  <c r="AF1176" i="12"/>
  <c r="AE1176" i="12"/>
  <c r="AC1176" i="12"/>
  <c r="AB1176" i="12"/>
  <c r="Z1176" i="12"/>
  <c r="X1176" i="12"/>
  <c r="W1176" i="12"/>
  <c r="V1176" i="12"/>
  <c r="U1176" i="12"/>
  <c r="T1176" i="12"/>
  <c r="S1176" i="12"/>
  <c r="AL1175" i="12"/>
  <c r="AK1175" i="12"/>
  <c r="AJ1175" i="12"/>
  <c r="AI1175" i="12"/>
  <c r="AH1175" i="12"/>
  <c r="AG1175" i="12"/>
  <c r="AF1175" i="12"/>
  <c r="AC1175" i="12"/>
  <c r="AE1175" i="12" s="1"/>
  <c r="AB1175" i="12"/>
  <c r="Z1175" i="12"/>
  <c r="X1175" i="12"/>
  <c r="W1175" i="12"/>
  <c r="V1175" i="12"/>
  <c r="U1175" i="12"/>
  <c r="T1175" i="12"/>
  <c r="S1175" i="12"/>
  <c r="AL1174" i="12"/>
  <c r="AK1174" i="12"/>
  <c r="AJ1174" i="12"/>
  <c r="AI1174" i="12"/>
  <c r="AH1174" i="12"/>
  <c r="AG1174" i="12"/>
  <c r="AF1174" i="12"/>
  <c r="AC1174" i="12"/>
  <c r="AE1174" i="12" s="1"/>
  <c r="AB1174" i="12"/>
  <c r="Z1174" i="12"/>
  <c r="X1174" i="12"/>
  <c r="W1174" i="12"/>
  <c r="V1174" i="12"/>
  <c r="U1174" i="12"/>
  <c r="T1174" i="12"/>
  <c r="S1174" i="12"/>
  <c r="AL1173" i="12"/>
  <c r="AK1173" i="12"/>
  <c r="AJ1173" i="12"/>
  <c r="AI1173" i="12"/>
  <c r="AH1173" i="12"/>
  <c r="AG1173" i="12"/>
  <c r="AF1173" i="12"/>
  <c r="AC1173" i="12"/>
  <c r="AE1173" i="12" s="1"/>
  <c r="AB1173" i="12"/>
  <c r="Z1173" i="12"/>
  <c r="X1173" i="12"/>
  <c r="W1173" i="12"/>
  <c r="V1173" i="12"/>
  <c r="U1173" i="12"/>
  <c r="T1173" i="12"/>
  <c r="S1173" i="12"/>
  <c r="AL1172" i="12"/>
  <c r="AK1172" i="12"/>
  <c r="AJ1172" i="12"/>
  <c r="AI1172" i="12"/>
  <c r="AH1172" i="12"/>
  <c r="AG1172" i="12"/>
  <c r="AF1172" i="12"/>
  <c r="AE1172" i="12"/>
  <c r="AC1172" i="12"/>
  <c r="AB1172" i="12"/>
  <c r="Z1172" i="12"/>
  <c r="X1172" i="12"/>
  <c r="W1172" i="12"/>
  <c r="V1172" i="12"/>
  <c r="U1172" i="12"/>
  <c r="T1172" i="12"/>
  <c r="S1172" i="12"/>
  <c r="AL1171" i="12"/>
  <c r="AK1171" i="12"/>
  <c r="AJ1171" i="12"/>
  <c r="AI1171" i="12"/>
  <c r="AH1171" i="12"/>
  <c r="AG1171" i="12"/>
  <c r="AF1171" i="12"/>
  <c r="AE1171" i="12"/>
  <c r="AC1171" i="12"/>
  <c r="AB1171" i="12"/>
  <c r="Z1171" i="12"/>
  <c r="X1171" i="12"/>
  <c r="W1171" i="12"/>
  <c r="V1171" i="12"/>
  <c r="U1171" i="12"/>
  <c r="T1171" i="12"/>
  <c r="S1171" i="12"/>
  <c r="AL1170" i="12"/>
  <c r="AK1170" i="12"/>
  <c r="AJ1170" i="12"/>
  <c r="AI1170" i="12"/>
  <c r="AH1170" i="12"/>
  <c r="AG1170" i="12"/>
  <c r="AF1170" i="12"/>
  <c r="AC1170" i="12"/>
  <c r="AE1170" i="12" s="1"/>
  <c r="AB1170" i="12"/>
  <c r="Z1170" i="12"/>
  <c r="X1170" i="12"/>
  <c r="W1170" i="12"/>
  <c r="V1170" i="12"/>
  <c r="U1170" i="12"/>
  <c r="T1170" i="12"/>
  <c r="S1170" i="12"/>
  <c r="AL1169" i="12"/>
  <c r="AK1169" i="12"/>
  <c r="AJ1169" i="12"/>
  <c r="AI1169" i="12"/>
  <c r="AH1169" i="12"/>
  <c r="AG1169" i="12"/>
  <c r="AF1169" i="12"/>
  <c r="AE1169" i="12"/>
  <c r="AC1169" i="12"/>
  <c r="AB1169" i="12"/>
  <c r="Z1169" i="12"/>
  <c r="X1169" i="12"/>
  <c r="W1169" i="12"/>
  <c r="V1169" i="12"/>
  <c r="U1169" i="12"/>
  <c r="T1169" i="12"/>
  <c r="S1169" i="12"/>
  <c r="AL1168" i="12"/>
  <c r="AK1168" i="12"/>
  <c r="AJ1168" i="12"/>
  <c r="AI1168" i="12"/>
  <c r="AH1168" i="12"/>
  <c r="AG1168" i="12"/>
  <c r="AF1168" i="12"/>
  <c r="AC1168" i="12"/>
  <c r="AE1168" i="12" s="1"/>
  <c r="AB1168" i="12"/>
  <c r="Z1168" i="12"/>
  <c r="X1168" i="12"/>
  <c r="W1168" i="12"/>
  <c r="V1168" i="12"/>
  <c r="U1168" i="12"/>
  <c r="T1168" i="12"/>
  <c r="S1168" i="12"/>
  <c r="AL1167" i="12"/>
  <c r="AK1167" i="12"/>
  <c r="AJ1167" i="12"/>
  <c r="AI1167" i="12"/>
  <c r="AH1167" i="12"/>
  <c r="AG1167" i="12"/>
  <c r="AF1167" i="12"/>
  <c r="AC1167" i="12"/>
  <c r="AE1167" i="12" s="1"/>
  <c r="AB1167" i="12"/>
  <c r="Z1167" i="12"/>
  <c r="X1167" i="12"/>
  <c r="W1167" i="12"/>
  <c r="V1167" i="12"/>
  <c r="U1167" i="12"/>
  <c r="T1167" i="12"/>
  <c r="S1167" i="12"/>
  <c r="AL1166" i="12"/>
  <c r="AK1166" i="12"/>
  <c r="AJ1166" i="12"/>
  <c r="AI1166" i="12"/>
  <c r="AH1166" i="12"/>
  <c r="AG1166" i="12"/>
  <c r="AF1166" i="12"/>
  <c r="AC1166" i="12"/>
  <c r="AE1166" i="12" s="1"/>
  <c r="AB1166" i="12"/>
  <c r="Z1166" i="12"/>
  <c r="X1166" i="12"/>
  <c r="W1166" i="12"/>
  <c r="V1166" i="12"/>
  <c r="U1166" i="12"/>
  <c r="T1166" i="12"/>
  <c r="S1166" i="12"/>
  <c r="AL1165" i="12"/>
  <c r="AK1165" i="12"/>
  <c r="AJ1165" i="12"/>
  <c r="AI1165" i="12"/>
  <c r="AH1165" i="12"/>
  <c r="AG1165" i="12"/>
  <c r="AF1165" i="12"/>
  <c r="AE1165" i="12"/>
  <c r="AC1165" i="12"/>
  <c r="AB1165" i="12"/>
  <c r="Z1165" i="12"/>
  <c r="X1165" i="12"/>
  <c r="W1165" i="12"/>
  <c r="V1165" i="12"/>
  <c r="U1165" i="12"/>
  <c r="T1165" i="12"/>
  <c r="S1165" i="12"/>
  <c r="AL1164" i="12"/>
  <c r="AK1164" i="12"/>
  <c r="AJ1164" i="12"/>
  <c r="AI1164" i="12"/>
  <c r="AH1164" i="12"/>
  <c r="AG1164" i="12"/>
  <c r="AF1164" i="12"/>
  <c r="AE1164" i="12"/>
  <c r="AC1164" i="12"/>
  <c r="AB1164" i="12"/>
  <c r="Z1164" i="12"/>
  <c r="X1164" i="12"/>
  <c r="W1164" i="12"/>
  <c r="V1164" i="12"/>
  <c r="U1164" i="12"/>
  <c r="T1164" i="12"/>
  <c r="S1164" i="12"/>
  <c r="AL1163" i="12"/>
  <c r="AK1163" i="12"/>
  <c r="AJ1163" i="12"/>
  <c r="AI1163" i="12"/>
  <c r="AH1163" i="12"/>
  <c r="AG1163" i="12"/>
  <c r="AF1163" i="12"/>
  <c r="AC1163" i="12"/>
  <c r="AE1163" i="12" s="1"/>
  <c r="AB1163" i="12"/>
  <c r="Z1163" i="12"/>
  <c r="X1163" i="12"/>
  <c r="W1163" i="12"/>
  <c r="V1163" i="12"/>
  <c r="U1163" i="12"/>
  <c r="T1163" i="12"/>
  <c r="S1163" i="12"/>
  <c r="AL1162" i="12"/>
  <c r="AK1162" i="12"/>
  <c r="AJ1162" i="12"/>
  <c r="AI1162" i="12"/>
  <c r="AH1162" i="12"/>
  <c r="AG1162" i="12"/>
  <c r="AF1162" i="12"/>
  <c r="AC1162" i="12"/>
  <c r="AE1162" i="12" s="1"/>
  <c r="AB1162" i="12"/>
  <c r="Z1162" i="12"/>
  <c r="X1162" i="12"/>
  <c r="W1162" i="12"/>
  <c r="V1162" i="12"/>
  <c r="U1162" i="12"/>
  <c r="T1162" i="12"/>
  <c r="S1162" i="12"/>
  <c r="AL1161" i="12"/>
  <c r="AK1161" i="12"/>
  <c r="AJ1161" i="12"/>
  <c r="AI1161" i="12"/>
  <c r="AH1161" i="12"/>
  <c r="AG1161" i="12"/>
  <c r="AF1161" i="12"/>
  <c r="AC1161" i="12"/>
  <c r="AE1161" i="12" s="1"/>
  <c r="AB1161" i="12"/>
  <c r="Z1161" i="12"/>
  <c r="X1161" i="12"/>
  <c r="W1161" i="12"/>
  <c r="V1161" i="12"/>
  <c r="U1161" i="12"/>
  <c r="T1161" i="12"/>
  <c r="S1161" i="12"/>
  <c r="AL1160" i="12"/>
  <c r="AK1160" i="12"/>
  <c r="AJ1160" i="12"/>
  <c r="AI1160" i="12"/>
  <c r="AH1160" i="12"/>
  <c r="AG1160" i="12"/>
  <c r="AF1160" i="12"/>
  <c r="AC1160" i="12"/>
  <c r="AE1160" i="12" s="1"/>
  <c r="AB1160" i="12"/>
  <c r="Z1160" i="12"/>
  <c r="X1160" i="12"/>
  <c r="W1160" i="12"/>
  <c r="V1160" i="12"/>
  <c r="U1160" i="12"/>
  <c r="T1160" i="12"/>
  <c r="S1160" i="12"/>
  <c r="AL1159" i="12"/>
  <c r="AK1159" i="12"/>
  <c r="AJ1159" i="12"/>
  <c r="AI1159" i="12"/>
  <c r="AH1159" i="12"/>
  <c r="AG1159" i="12"/>
  <c r="AF1159" i="12"/>
  <c r="AE1159" i="12"/>
  <c r="AC1159" i="12"/>
  <c r="AB1159" i="12"/>
  <c r="Z1159" i="12"/>
  <c r="X1159" i="12"/>
  <c r="W1159" i="12"/>
  <c r="V1159" i="12"/>
  <c r="U1159" i="12"/>
  <c r="T1159" i="12"/>
  <c r="S1159" i="12"/>
  <c r="AL1158" i="12"/>
  <c r="AK1158" i="12"/>
  <c r="AJ1158" i="12"/>
  <c r="AI1158" i="12"/>
  <c r="AH1158" i="12"/>
  <c r="AG1158" i="12"/>
  <c r="AF1158" i="12"/>
  <c r="AC1158" i="12"/>
  <c r="AE1158" i="12" s="1"/>
  <c r="AB1158" i="12"/>
  <c r="Z1158" i="12"/>
  <c r="X1158" i="12"/>
  <c r="W1158" i="12"/>
  <c r="V1158" i="12"/>
  <c r="U1158" i="12"/>
  <c r="T1158" i="12"/>
  <c r="S1158" i="12"/>
  <c r="AL1157" i="12"/>
  <c r="AK1157" i="12"/>
  <c r="AJ1157" i="12"/>
  <c r="AI1157" i="12"/>
  <c r="AH1157" i="12"/>
  <c r="AG1157" i="12"/>
  <c r="AF1157" i="12"/>
  <c r="AE1157" i="12"/>
  <c r="AC1157" i="12"/>
  <c r="AB1157" i="12"/>
  <c r="Z1157" i="12"/>
  <c r="X1157" i="12"/>
  <c r="W1157" i="12"/>
  <c r="V1157" i="12"/>
  <c r="U1157" i="12"/>
  <c r="T1157" i="12"/>
  <c r="S1157" i="12"/>
  <c r="AL1156" i="12"/>
  <c r="AK1156" i="12"/>
  <c r="AJ1156" i="12"/>
  <c r="AI1156" i="12"/>
  <c r="AH1156" i="12"/>
  <c r="AG1156" i="12"/>
  <c r="AF1156" i="12"/>
  <c r="AE1156" i="12"/>
  <c r="AC1156" i="12"/>
  <c r="AB1156" i="12"/>
  <c r="Z1156" i="12"/>
  <c r="X1156" i="12"/>
  <c r="W1156" i="12"/>
  <c r="V1156" i="12"/>
  <c r="U1156" i="12"/>
  <c r="T1156" i="12"/>
  <c r="S1156" i="12"/>
  <c r="AL1155" i="12"/>
  <c r="AK1155" i="12"/>
  <c r="AJ1155" i="12"/>
  <c r="AI1155" i="12"/>
  <c r="AH1155" i="12"/>
  <c r="AG1155" i="12"/>
  <c r="AF1155" i="12"/>
  <c r="AC1155" i="12"/>
  <c r="AE1155" i="12" s="1"/>
  <c r="AB1155" i="12"/>
  <c r="Z1155" i="12"/>
  <c r="X1155" i="12"/>
  <c r="W1155" i="12"/>
  <c r="V1155" i="12"/>
  <c r="U1155" i="12"/>
  <c r="T1155" i="12"/>
  <c r="S1155" i="12"/>
  <c r="AL1154" i="12"/>
  <c r="AK1154" i="12"/>
  <c r="AJ1154" i="12"/>
  <c r="AI1154" i="12"/>
  <c r="AH1154" i="12"/>
  <c r="AG1154" i="12"/>
  <c r="AF1154" i="12"/>
  <c r="AC1154" i="12"/>
  <c r="AE1154" i="12" s="1"/>
  <c r="AB1154" i="12"/>
  <c r="Z1154" i="12"/>
  <c r="X1154" i="12"/>
  <c r="W1154" i="12"/>
  <c r="V1154" i="12"/>
  <c r="U1154" i="12"/>
  <c r="T1154" i="12"/>
  <c r="S1154" i="12"/>
  <c r="AL1153" i="12"/>
  <c r="AK1153" i="12"/>
  <c r="AJ1153" i="12"/>
  <c r="AI1153" i="12"/>
  <c r="AH1153" i="12"/>
  <c r="AG1153" i="12"/>
  <c r="AF1153" i="12"/>
  <c r="AC1153" i="12"/>
  <c r="AE1153" i="12" s="1"/>
  <c r="AB1153" i="12"/>
  <c r="Z1153" i="12"/>
  <c r="X1153" i="12"/>
  <c r="W1153" i="12"/>
  <c r="V1153" i="12"/>
  <c r="U1153" i="12"/>
  <c r="T1153" i="12"/>
  <c r="S1153" i="12"/>
  <c r="AL1152" i="12"/>
  <c r="AK1152" i="12"/>
  <c r="AJ1152" i="12"/>
  <c r="AI1152" i="12"/>
  <c r="AH1152" i="12"/>
  <c r="AG1152" i="12"/>
  <c r="AF1152" i="12"/>
  <c r="AE1152" i="12"/>
  <c r="AC1152" i="12"/>
  <c r="AB1152" i="12"/>
  <c r="Z1152" i="12"/>
  <c r="X1152" i="12"/>
  <c r="W1152" i="12"/>
  <c r="V1152" i="12"/>
  <c r="U1152" i="12"/>
  <c r="T1152" i="12"/>
  <c r="S1152" i="12"/>
  <c r="AL1151" i="12"/>
  <c r="AK1151" i="12"/>
  <c r="AJ1151" i="12"/>
  <c r="AI1151" i="12"/>
  <c r="AH1151" i="12"/>
  <c r="AG1151" i="12"/>
  <c r="AF1151" i="12"/>
  <c r="AE1151" i="12"/>
  <c r="AC1151" i="12"/>
  <c r="AB1151" i="12"/>
  <c r="Z1151" i="12"/>
  <c r="X1151" i="12"/>
  <c r="W1151" i="12"/>
  <c r="V1151" i="12"/>
  <c r="U1151" i="12"/>
  <c r="T1151" i="12"/>
  <c r="S1151" i="12"/>
  <c r="AL1150" i="12"/>
  <c r="AK1150" i="12"/>
  <c r="AJ1150" i="12"/>
  <c r="AI1150" i="12"/>
  <c r="AH1150" i="12"/>
  <c r="AG1150" i="12"/>
  <c r="AF1150" i="12"/>
  <c r="AE1150" i="12"/>
  <c r="AC1150" i="12"/>
  <c r="AB1150" i="12"/>
  <c r="Z1150" i="12"/>
  <c r="X1150" i="12"/>
  <c r="W1150" i="12"/>
  <c r="V1150" i="12"/>
  <c r="U1150" i="12"/>
  <c r="T1150" i="12"/>
  <c r="S1150" i="12"/>
  <c r="AL1149" i="12"/>
  <c r="AK1149" i="12"/>
  <c r="AJ1149" i="12"/>
  <c r="AI1149" i="12"/>
  <c r="AH1149" i="12"/>
  <c r="AG1149" i="12"/>
  <c r="AF1149" i="12"/>
  <c r="AC1149" i="12"/>
  <c r="AE1149" i="12" s="1"/>
  <c r="AB1149" i="12"/>
  <c r="Z1149" i="12"/>
  <c r="X1149" i="12"/>
  <c r="W1149" i="12"/>
  <c r="V1149" i="12"/>
  <c r="U1149" i="12"/>
  <c r="T1149" i="12"/>
  <c r="S1149" i="12"/>
  <c r="AL1148" i="12"/>
  <c r="AK1148" i="12"/>
  <c r="AJ1148" i="12"/>
  <c r="AI1148" i="12"/>
  <c r="AH1148" i="12"/>
  <c r="AG1148" i="12"/>
  <c r="AF1148" i="12"/>
  <c r="AE1148" i="12"/>
  <c r="AC1148" i="12"/>
  <c r="AB1148" i="12"/>
  <c r="Z1148" i="12"/>
  <c r="X1148" i="12"/>
  <c r="W1148" i="12"/>
  <c r="V1148" i="12"/>
  <c r="U1148" i="12"/>
  <c r="T1148" i="12"/>
  <c r="S1148" i="12"/>
  <c r="AL1147" i="12"/>
  <c r="AK1147" i="12"/>
  <c r="AJ1147" i="12"/>
  <c r="AI1147" i="12"/>
  <c r="AH1147" i="12"/>
  <c r="AG1147" i="12"/>
  <c r="AF1147" i="12"/>
  <c r="AE1147" i="12"/>
  <c r="AC1147" i="12"/>
  <c r="AB1147" i="12"/>
  <c r="Z1147" i="12"/>
  <c r="X1147" i="12"/>
  <c r="W1147" i="12"/>
  <c r="V1147" i="12"/>
  <c r="U1147" i="12"/>
  <c r="T1147" i="12"/>
  <c r="S1147" i="12"/>
  <c r="AL1146" i="12"/>
  <c r="AK1146" i="12"/>
  <c r="AJ1146" i="12"/>
  <c r="AI1146" i="12"/>
  <c r="AH1146" i="12"/>
  <c r="AG1146" i="12"/>
  <c r="AF1146" i="12"/>
  <c r="AC1146" i="12"/>
  <c r="AE1146" i="12" s="1"/>
  <c r="AB1146" i="12"/>
  <c r="Z1146" i="12"/>
  <c r="X1146" i="12"/>
  <c r="W1146" i="12"/>
  <c r="V1146" i="12"/>
  <c r="U1146" i="12"/>
  <c r="T1146" i="12"/>
  <c r="S1146" i="12"/>
  <c r="AL1145" i="12"/>
  <c r="AK1145" i="12"/>
  <c r="AJ1145" i="12"/>
  <c r="AI1145" i="12"/>
  <c r="AH1145" i="12"/>
  <c r="AG1145" i="12"/>
  <c r="AF1145" i="12"/>
  <c r="AC1145" i="12"/>
  <c r="AE1145" i="12" s="1"/>
  <c r="AB1145" i="12"/>
  <c r="Z1145" i="12"/>
  <c r="X1145" i="12"/>
  <c r="W1145" i="12"/>
  <c r="V1145" i="12"/>
  <c r="U1145" i="12"/>
  <c r="T1145" i="12"/>
  <c r="S1145" i="12"/>
  <c r="AL1144" i="12"/>
  <c r="AK1144" i="12"/>
  <c r="AJ1144" i="12"/>
  <c r="AI1144" i="12"/>
  <c r="AH1144" i="12"/>
  <c r="AG1144" i="12"/>
  <c r="AF1144" i="12"/>
  <c r="AC1144" i="12"/>
  <c r="AE1144" i="12" s="1"/>
  <c r="AB1144" i="12"/>
  <c r="Z1144" i="12"/>
  <c r="X1144" i="12"/>
  <c r="W1144" i="12"/>
  <c r="V1144" i="12"/>
  <c r="U1144" i="12"/>
  <c r="T1144" i="12"/>
  <c r="S1144" i="12"/>
  <c r="AL1143" i="12"/>
  <c r="AK1143" i="12"/>
  <c r="AJ1143" i="12"/>
  <c r="AI1143" i="12"/>
  <c r="AH1143" i="12"/>
  <c r="AG1143" i="12"/>
  <c r="AF1143" i="12"/>
  <c r="AE1143" i="12"/>
  <c r="AC1143" i="12"/>
  <c r="AB1143" i="12"/>
  <c r="Z1143" i="12"/>
  <c r="X1143" i="12"/>
  <c r="W1143" i="12"/>
  <c r="V1143" i="12"/>
  <c r="U1143" i="12"/>
  <c r="T1143" i="12"/>
  <c r="S1143" i="12"/>
  <c r="AL1142" i="12"/>
  <c r="AK1142" i="12"/>
  <c r="AJ1142" i="12"/>
  <c r="AI1142" i="12"/>
  <c r="AH1142" i="12"/>
  <c r="AG1142" i="12"/>
  <c r="AF1142" i="12"/>
  <c r="AE1142" i="12"/>
  <c r="AC1142" i="12"/>
  <c r="AB1142" i="12"/>
  <c r="Z1142" i="12"/>
  <c r="X1142" i="12"/>
  <c r="W1142" i="12"/>
  <c r="V1142" i="12"/>
  <c r="U1142" i="12"/>
  <c r="T1142" i="12"/>
  <c r="S1142" i="12"/>
  <c r="AL1141" i="12"/>
  <c r="AK1141" i="12"/>
  <c r="AJ1141" i="12"/>
  <c r="AI1141" i="12"/>
  <c r="AH1141" i="12"/>
  <c r="AG1141" i="12"/>
  <c r="AF1141" i="12"/>
  <c r="AC1141" i="12"/>
  <c r="AE1141" i="12" s="1"/>
  <c r="AB1141" i="12"/>
  <c r="Z1141" i="12"/>
  <c r="X1141" i="12"/>
  <c r="W1141" i="12"/>
  <c r="V1141" i="12"/>
  <c r="U1141" i="12"/>
  <c r="T1141" i="12"/>
  <c r="S1141" i="12"/>
  <c r="AL1140" i="12"/>
  <c r="AK1140" i="12"/>
  <c r="AJ1140" i="12"/>
  <c r="AI1140" i="12"/>
  <c r="AH1140" i="12"/>
  <c r="AG1140" i="12"/>
  <c r="AF1140" i="12"/>
  <c r="AC1140" i="12"/>
  <c r="AE1140" i="12" s="1"/>
  <c r="AB1140" i="12"/>
  <c r="Z1140" i="12"/>
  <c r="X1140" i="12"/>
  <c r="W1140" i="12"/>
  <c r="V1140" i="12"/>
  <c r="U1140" i="12"/>
  <c r="T1140" i="12"/>
  <c r="S1140" i="12"/>
  <c r="AL1139" i="12"/>
  <c r="AK1139" i="12"/>
  <c r="AJ1139" i="12"/>
  <c r="AI1139" i="12"/>
  <c r="AH1139" i="12"/>
  <c r="AG1139" i="12"/>
  <c r="AF1139" i="12"/>
  <c r="AC1139" i="12"/>
  <c r="AE1139" i="12" s="1"/>
  <c r="AB1139" i="12"/>
  <c r="Z1139" i="12"/>
  <c r="X1139" i="12"/>
  <c r="W1139" i="12"/>
  <c r="V1139" i="12"/>
  <c r="U1139" i="12"/>
  <c r="T1139" i="12"/>
  <c r="S1139" i="12"/>
  <c r="AL1138" i="12"/>
  <c r="AK1138" i="12"/>
  <c r="AJ1138" i="12"/>
  <c r="AI1138" i="12"/>
  <c r="AH1138" i="12"/>
  <c r="AG1138" i="12"/>
  <c r="AF1138" i="12"/>
  <c r="AC1138" i="12"/>
  <c r="AE1138" i="12" s="1"/>
  <c r="AB1138" i="12"/>
  <c r="Z1138" i="12"/>
  <c r="X1138" i="12"/>
  <c r="W1138" i="12"/>
  <c r="V1138" i="12"/>
  <c r="U1138" i="12"/>
  <c r="T1138" i="12"/>
  <c r="S1138" i="12"/>
  <c r="AL1137" i="12"/>
  <c r="AK1137" i="12"/>
  <c r="AJ1137" i="12"/>
  <c r="AI1137" i="12"/>
  <c r="AH1137" i="12"/>
  <c r="AG1137" i="12"/>
  <c r="AF1137" i="12"/>
  <c r="AC1137" i="12"/>
  <c r="AE1137" i="12" s="1"/>
  <c r="AB1137" i="12"/>
  <c r="Z1137" i="12"/>
  <c r="X1137" i="12"/>
  <c r="W1137" i="12"/>
  <c r="V1137" i="12"/>
  <c r="U1137" i="12"/>
  <c r="T1137" i="12"/>
  <c r="S1137" i="12"/>
  <c r="AL1136" i="12"/>
  <c r="AK1136" i="12"/>
  <c r="AJ1136" i="12"/>
  <c r="AI1136" i="12"/>
  <c r="AH1136" i="12"/>
  <c r="AG1136" i="12"/>
  <c r="AF1136" i="12"/>
  <c r="AE1136" i="12"/>
  <c r="AC1136" i="12"/>
  <c r="AB1136" i="12"/>
  <c r="Z1136" i="12"/>
  <c r="X1136" i="12"/>
  <c r="W1136" i="12"/>
  <c r="V1136" i="12"/>
  <c r="U1136" i="12"/>
  <c r="T1136" i="12"/>
  <c r="S1136" i="12"/>
  <c r="AL1135" i="12"/>
  <c r="AK1135" i="12"/>
  <c r="AJ1135" i="12"/>
  <c r="AI1135" i="12"/>
  <c r="AH1135" i="12"/>
  <c r="AG1135" i="12"/>
  <c r="AF1135" i="12"/>
  <c r="AC1135" i="12"/>
  <c r="AE1135" i="12" s="1"/>
  <c r="AB1135" i="12"/>
  <c r="Z1135" i="12"/>
  <c r="X1135" i="12"/>
  <c r="W1135" i="12"/>
  <c r="V1135" i="12"/>
  <c r="U1135" i="12"/>
  <c r="T1135" i="12"/>
  <c r="S1135" i="12"/>
  <c r="AL1134" i="12"/>
  <c r="AK1134" i="12"/>
  <c r="AJ1134" i="12"/>
  <c r="AI1134" i="12"/>
  <c r="AH1134" i="12"/>
  <c r="AG1134" i="12"/>
  <c r="AF1134" i="12"/>
  <c r="AC1134" i="12"/>
  <c r="AE1134" i="12" s="1"/>
  <c r="AB1134" i="12"/>
  <c r="Z1134" i="12"/>
  <c r="X1134" i="12"/>
  <c r="W1134" i="12"/>
  <c r="V1134" i="12"/>
  <c r="U1134" i="12"/>
  <c r="T1134" i="12"/>
  <c r="S1134" i="12"/>
  <c r="AL1133" i="12"/>
  <c r="AK1133" i="12"/>
  <c r="AJ1133" i="12"/>
  <c r="AI1133" i="12"/>
  <c r="AH1133" i="12"/>
  <c r="AG1133" i="12"/>
  <c r="AF1133" i="12"/>
  <c r="AC1133" i="12"/>
  <c r="AE1133" i="12" s="1"/>
  <c r="AB1133" i="12"/>
  <c r="Z1133" i="12"/>
  <c r="X1133" i="12"/>
  <c r="W1133" i="12"/>
  <c r="V1133" i="12"/>
  <c r="U1133" i="12"/>
  <c r="T1133" i="12"/>
  <c r="S1133" i="12"/>
  <c r="AL1132" i="12"/>
  <c r="AK1132" i="12"/>
  <c r="AJ1132" i="12"/>
  <c r="AI1132" i="12"/>
  <c r="AH1132" i="12"/>
  <c r="AG1132" i="12"/>
  <c r="AF1132" i="12"/>
  <c r="AE1132" i="12"/>
  <c r="AC1132" i="12"/>
  <c r="AB1132" i="12"/>
  <c r="Z1132" i="12"/>
  <c r="X1132" i="12"/>
  <c r="W1132" i="12"/>
  <c r="V1132" i="12"/>
  <c r="U1132" i="12"/>
  <c r="T1132" i="12"/>
  <c r="S1132" i="12"/>
  <c r="AL1131" i="12"/>
  <c r="AK1131" i="12"/>
  <c r="AJ1131" i="12"/>
  <c r="AI1131" i="12"/>
  <c r="AH1131" i="12"/>
  <c r="AG1131" i="12"/>
  <c r="AF1131" i="12"/>
  <c r="AE1131" i="12"/>
  <c r="AC1131" i="12"/>
  <c r="AB1131" i="12"/>
  <c r="Z1131" i="12"/>
  <c r="X1131" i="12"/>
  <c r="W1131" i="12"/>
  <c r="V1131" i="12"/>
  <c r="U1131" i="12"/>
  <c r="T1131" i="12"/>
  <c r="S1131" i="12"/>
  <c r="AL1130" i="12"/>
  <c r="AK1130" i="12"/>
  <c r="AJ1130" i="12"/>
  <c r="AI1130" i="12"/>
  <c r="AH1130" i="12"/>
  <c r="AG1130" i="12"/>
  <c r="AF1130" i="12"/>
  <c r="AC1130" i="12"/>
  <c r="AE1130" i="12" s="1"/>
  <c r="AB1130" i="12"/>
  <c r="Z1130" i="12"/>
  <c r="X1130" i="12"/>
  <c r="W1130" i="12"/>
  <c r="V1130" i="12"/>
  <c r="U1130" i="12"/>
  <c r="T1130" i="12"/>
  <c r="S1130" i="12"/>
  <c r="AL1129" i="12"/>
  <c r="AK1129" i="12"/>
  <c r="AJ1129" i="12"/>
  <c r="AI1129" i="12"/>
  <c r="AH1129" i="12"/>
  <c r="AG1129" i="12"/>
  <c r="AF1129" i="12"/>
  <c r="AE1129" i="12"/>
  <c r="AC1129" i="12"/>
  <c r="AB1129" i="12"/>
  <c r="Z1129" i="12"/>
  <c r="X1129" i="12"/>
  <c r="W1129" i="12"/>
  <c r="V1129" i="12"/>
  <c r="U1129" i="12"/>
  <c r="T1129" i="12"/>
  <c r="S1129" i="12"/>
  <c r="AL1128" i="12"/>
  <c r="AK1128" i="12"/>
  <c r="AJ1128" i="12"/>
  <c r="AI1128" i="12"/>
  <c r="AH1128" i="12"/>
  <c r="AG1128" i="12"/>
  <c r="AF1128" i="12"/>
  <c r="AC1128" i="12"/>
  <c r="AE1128" i="12" s="1"/>
  <c r="AB1128" i="12"/>
  <c r="Z1128" i="12"/>
  <c r="X1128" i="12"/>
  <c r="W1128" i="12"/>
  <c r="V1128" i="12"/>
  <c r="U1128" i="12"/>
  <c r="T1128" i="12"/>
  <c r="S1128" i="12"/>
  <c r="AL1127" i="12"/>
  <c r="AK1127" i="12"/>
  <c r="AJ1127" i="12"/>
  <c r="AI1127" i="12"/>
  <c r="AH1127" i="12"/>
  <c r="AG1127" i="12"/>
  <c r="AF1127" i="12"/>
  <c r="AC1127" i="12"/>
  <c r="AE1127" i="12" s="1"/>
  <c r="AB1127" i="12"/>
  <c r="Z1127" i="12"/>
  <c r="X1127" i="12"/>
  <c r="W1127" i="12"/>
  <c r="V1127" i="12"/>
  <c r="U1127" i="12"/>
  <c r="T1127" i="12"/>
  <c r="S1127" i="12"/>
  <c r="AL1126" i="12"/>
  <c r="AK1126" i="12"/>
  <c r="AJ1126" i="12"/>
  <c r="AI1126" i="12"/>
  <c r="AH1126" i="12"/>
  <c r="AG1126" i="12"/>
  <c r="AF1126" i="12"/>
  <c r="AC1126" i="12"/>
  <c r="AE1126" i="12" s="1"/>
  <c r="AB1126" i="12"/>
  <c r="Z1126" i="12"/>
  <c r="X1126" i="12"/>
  <c r="W1126" i="12"/>
  <c r="V1126" i="12"/>
  <c r="U1126" i="12"/>
  <c r="T1126" i="12"/>
  <c r="S1126" i="12"/>
  <c r="AL1125" i="12"/>
  <c r="AK1125" i="12"/>
  <c r="AJ1125" i="12"/>
  <c r="AI1125" i="12"/>
  <c r="AH1125" i="12"/>
  <c r="AG1125" i="12"/>
  <c r="AF1125" i="12"/>
  <c r="AE1125" i="12"/>
  <c r="AC1125" i="12"/>
  <c r="AB1125" i="12"/>
  <c r="Z1125" i="12"/>
  <c r="X1125" i="12"/>
  <c r="W1125" i="12"/>
  <c r="V1125" i="12"/>
  <c r="U1125" i="12"/>
  <c r="T1125" i="12"/>
  <c r="S1125" i="12"/>
  <c r="AL1124" i="12"/>
  <c r="AK1124" i="12"/>
  <c r="AJ1124" i="12"/>
  <c r="AI1124" i="12"/>
  <c r="AH1124" i="12"/>
  <c r="AG1124" i="12"/>
  <c r="AF1124" i="12"/>
  <c r="AE1124" i="12"/>
  <c r="AC1124" i="12"/>
  <c r="AB1124" i="12"/>
  <c r="Z1124" i="12"/>
  <c r="X1124" i="12"/>
  <c r="W1124" i="12"/>
  <c r="V1124" i="12"/>
  <c r="U1124" i="12"/>
  <c r="T1124" i="12"/>
  <c r="S1124" i="12"/>
  <c r="AL1123" i="12"/>
  <c r="AK1123" i="12"/>
  <c r="AJ1123" i="12"/>
  <c r="AI1123" i="12"/>
  <c r="AH1123" i="12"/>
  <c r="AG1123" i="12"/>
  <c r="AF1123" i="12"/>
  <c r="AC1123" i="12"/>
  <c r="AE1123" i="12" s="1"/>
  <c r="AB1123" i="12"/>
  <c r="Z1123" i="12"/>
  <c r="X1123" i="12"/>
  <c r="W1123" i="12"/>
  <c r="V1123" i="12"/>
  <c r="U1123" i="12"/>
  <c r="T1123" i="12"/>
  <c r="S1123" i="12"/>
  <c r="AL1122" i="12"/>
  <c r="AK1122" i="12"/>
  <c r="AJ1122" i="12"/>
  <c r="AI1122" i="12"/>
  <c r="AH1122" i="12"/>
  <c r="AG1122" i="12"/>
  <c r="AF1122" i="12"/>
  <c r="AC1122" i="12"/>
  <c r="AE1122" i="12" s="1"/>
  <c r="AB1122" i="12"/>
  <c r="Z1122" i="12"/>
  <c r="X1122" i="12"/>
  <c r="W1122" i="12"/>
  <c r="V1122" i="12"/>
  <c r="U1122" i="12"/>
  <c r="T1122" i="12"/>
  <c r="S1122" i="12"/>
  <c r="AL1121" i="12"/>
  <c r="AK1121" i="12"/>
  <c r="AJ1121" i="12"/>
  <c r="AI1121" i="12"/>
  <c r="AH1121" i="12"/>
  <c r="AG1121" i="12"/>
  <c r="AF1121" i="12"/>
  <c r="AC1121" i="12"/>
  <c r="AE1121" i="12" s="1"/>
  <c r="AB1121" i="12"/>
  <c r="Z1121" i="12"/>
  <c r="X1121" i="12"/>
  <c r="W1121" i="12"/>
  <c r="V1121" i="12"/>
  <c r="U1121" i="12"/>
  <c r="T1121" i="12"/>
  <c r="S1121" i="12"/>
  <c r="AL1120" i="12"/>
  <c r="AK1120" i="12"/>
  <c r="AJ1120" i="12"/>
  <c r="AI1120" i="12"/>
  <c r="AH1120" i="12"/>
  <c r="AG1120" i="12"/>
  <c r="AF1120" i="12"/>
  <c r="AE1120" i="12"/>
  <c r="AC1120" i="12"/>
  <c r="AB1120" i="12"/>
  <c r="Z1120" i="12"/>
  <c r="X1120" i="12"/>
  <c r="W1120" i="12"/>
  <c r="V1120" i="12"/>
  <c r="U1120" i="12"/>
  <c r="T1120" i="12"/>
  <c r="S1120" i="12"/>
  <c r="AL1119" i="12"/>
  <c r="AK1119" i="12"/>
  <c r="AJ1119" i="12"/>
  <c r="AI1119" i="12"/>
  <c r="AH1119" i="12"/>
  <c r="AG1119" i="12"/>
  <c r="AF1119" i="12"/>
  <c r="AC1119" i="12"/>
  <c r="AE1119" i="12" s="1"/>
  <c r="AB1119" i="12"/>
  <c r="Z1119" i="12"/>
  <c r="X1119" i="12"/>
  <c r="W1119" i="12"/>
  <c r="V1119" i="12"/>
  <c r="U1119" i="12"/>
  <c r="T1119" i="12"/>
  <c r="S1119" i="12"/>
  <c r="AL1118" i="12"/>
  <c r="AK1118" i="12"/>
  <c r="AJ1118" i="12"/>
  <c r="AI1118" i="12"/>
  <c r="AH1118" i="12"/>
  <c r="AG1118" i="12"/>
  <c r="AF1118" i="12"/>
  <c r="AE1118" i="12"/>
  <c r="AC1118" i="12"/>
  <c r="AB1118" i="12"/>
  <c r="Z1118" i="12"/>
  <c r="X1118" i="12"/>
  <c r="W1118" i="12"/>
  <c r="V1118" i="12"/>
  <c r="U1118" i="12"/>
  <c r="T1118" i="12"/>
  <c r="S1118" i="12"/>
  <c r="AL1117" i="12"/>
  <c r="AK1117" i="12"/>
  <c r="AJ1117" i="12"/>
  <c r="AI1117" i="12"/>
  <c r="AH1117" i="12"/>
  <c r="AG1117" i="12"/>
  <c r="AF1117" i="12"/>
  <c r="AE1117" i="12"/>
  <c r="AC1117" i="12"/>
  <c r="AB1117" i="12"/>
  <c r="Z1117" i="12"/>
  <c r="X1117" i="12"/>
  <c r="W1117" i="12"/>
  <c r="V1117" i="12"/>
  <c r="U1117" i="12"/>
  <c r="T1117" i="12"/>
  <c r="S1117" i="12"/>
  <c r="AL1116" i="12"/>
  <c r="AK1116" i="12"/>
  <c r="AJ1116" i="12"/>
  <c r="AI1116" i="12"/>
  <c r="AH1116" i="12"/>
  <c r="AG1116" i="12"/>
  <c r="AF1116" i="12"/>
  <c r="AC1116" i="12"/>
  <c r="AE1116" i="12" s="1"/>
  <c r="AB1116" i="12"/>
  <c r="Z1116" i="12"/>
  <c r="X1116" i="12"/>
  <c r="W1116" i="12"/>
  <c r="V1116" i="12"/>
  <c r="U1116" i="12"/>
  <c r="T1116" i="12"/>
  <c r="S1116" i="12"/>
  <c r="AL1115" i="12"/>
  <c r="AK1115" i="12"/>
  <c r="AJ1115" i="12"/>
  <c r="AI1115" i="12"/>
  <c r="AH1115" i="12"/>
  <c r="AG1115" i="12"/>
  <c r="AF1115" i="12"/>
  <c r="AE1115" i="12"/>
  <c r="AC1115" i="12"/>
  <c r="AB1115" i="12"/>
  <c r="Z1115" i="12"/>
  <c r="X1115" i="12"/>
  <c r="W1115" i="12"/>
  <c r="V1115" i="12"/>
  <c r="U1115" i="12"/>
  <c r="T1115" i="12"/>
  <c r="S1115" i="12"/>
  <c r="AL1114" i="12"/>
  <c r="AK1114" i="12"/>
  <c r="AJ1114" i="12"/>
  <c r="AI1114" i="12"/>
  <c r="AH1114" i="12"/>
  <c r="AG1114" i="12"/>
  <c r="AF1114" i="12"/>
  <c r="AC1114" i="12"/>
  <c r="AE1114" i="12" s="1"/>
  <c r="AB1114" i="12"/>
  <c r="Z1114" i="12"/>
  <c r="X1114" i="12"/>
  <c r="W1114" i="12"/>
  <c r="V1114" i="12"/>
  <c r="U1114" i="12"/>
  <c r="T1114" i="12"/>
  <c r="S1114" i="12"/>
  <c r="AL1113" i="12"/>
  <c r="AK1113" i="12"/>
  <c r="AJ1113" i="12"/>
  <c r="AI1113" i="12"/>
  <c r="AH1113" i="12"/>
  <c r="AG1113" i="12"/>
  <c r="AF1113" i="12"/>
  <c r="AC1113" i="12"/>
  <c r="AE1113" i="12" s="1"/>
  <c r="AB1113" i="12"/>
  <c r="Z1113" i="12"/>
  <c r="X1113" i="12"/>
  <c r="W1113" i="12"/>
  <c r="V1113" i="12"/>
  <c r="U1113" i="12"/>
  <c r="T1113" i="12"/>
  <c r="S1113" i="12"/>
  <c r="AL1112" i="12"/>
  <c r="AK1112" i="12"/>
  <c r="AJ1112" i="12"/>
  <c r="AI1112" i="12"/>
  <c r="AH1112" i="12"/>
  <c r="AG1112" i="12"/>
  <c r="AF1112" i="12"/>
  <c r="AE1112" i="12"/>
  <c r="AC1112" i="12"/>
  <c r="AB1112" i="12"/>
  <c r="Z1112" i="12"/>
  <c r="X1112" i="12"/>
  <c r="W1112" i="12"/>
  <c r="V1112" i="12"/>
  <c r="U1112" i="12"/>
  <c r="T1112" i="12"/>
  <c r="S1112" i="12"/>
  <c r="AL1111" i="12"/>
  <c r="AK1111" i="12"/>
  <c r="AJ1111" i="12"/>
  <c r="AI1111" i="12"/>
  <c r="AH1111" i="12"/>
  <c r="AG1111" i="12"/>
  <c r="AF1111" i="12"/>
  <c r="AE1111" i="12"/>
  <c r="AC1111" i="12"/>
  <c r="AB1111" i="12"/>
  <c r="Z1111" i="12"/>
  <c r="X1111" i="12"/>
  <c r="W1111" i="12"/>
  <c r="V1111" i="12"/>
  <c r="U1111" i="12"/>
  <c r="T1111" i="12"/>
  <c r="S1111" i="12"/>
  <c r="AL1110" i="12"/>
  <c r="AK1110" i="12"/>
  <c r="AJ1110" i="12"/>
  <c r="AI1110" i="12"/>
  <c r="AH1110" i="12"/>
  <c r="AG1110" i="12"/>
  <c r="AF1110" i="12"/>
  <c r="AC1110" i="12"/>
  <c r="AE1110" i="12" s="1"/>
  <c r="AB1110" i="12"/>
  <c r="Z1110" i="12"/>
  <c r="X1110" i="12"/>
  <c r="W1110" i="12"/>
  <c r="V1110" i="12"/>
  <c r="U1110" i="12"/>
  <c r="T1110" i="12"/>
  <c r="S1110" i="12"/>
  <c r="AL1109" i="12"/>
  <c r="AK1109" i="12"/>
  <c r="AJ1109" i="12"/>
  <c r="AI1109" i="12"/>
  <c r="AH1109" i="12"/>
  <c r="AG1109" i="12"/>
  <c r="AF1109" i="12"/>
  <c r="AC1109" i="12"/>
  <c r="AE1109" i="12" s="1"/>
  <c r="AB1109" i="12"/>
  <c r="Z1109" i="12"/>
  <c r="X1109" i="12"/>
  <c r="W1109" i="12"/>
  <c r="V1109" i="12"/>
  <c r="U1109" i="12"/>
  <c r="T1109" i="12"/>
  <c r="S1109" i="12"/>
  <c r="AL1108" i="12"/>
  <c r="AK1108" i="12"/>
  <c r="AJ1108" i="12"/>
  <c r="AI1108" i="12"/>
  <c r="AH1108" i="12"/>
  <c r="AG1108" i="12"/>
  <c r="AF1108" i="12"/>
  <c r="AC1108" i="12"/>
  <c r="AE1108" i="12" s="1"/>
  <c r="AB1108" i="12"/>
  <c r="Z1108" i="12"/>
  <c r="X1108" i="12"/>
  <c r="W1108" i="12"/>
  <c r="V1108" i="12"/>
  <c r="U1108" i="12"/>
  <c r="T1108" i="12"/>
  <c r="S1108" i="12"/>
  <c r="AL1107" i="12"/>
  <c r="AK1107" i="12"/>
  <c r="AJ1107" i="12"/>
  <c r="AI1107" i="12"/>
  <c r="AH1107" i="12"/>
  <c r="AG1107" i="12"/>
  <c r="AF1107" i="12"/>
  <c r="AC1107" i="12"/>
  <c r="AE1107" i="12" s="1"/>
  <c r="AB1107" i="12"/>
  <c r="Z1107" i="12"/>
  <c r="X1107" i="12"/>
  <c r="W1107" i="12"/>
  <c r="V1107" i="12"/>
  <c r="U1107" i="12"/>
  <c r="T1107" i="12"/>
  <c r="S1107" i="12"/>
  <c r="AL1106" i="12"/>
  <c r="AK1106" i="12"/>
  <c r="AJ1106" i="12"/>
  <c r="AI1106" i="12"/>
  <c r="AH1106" i="12"/>
  <c r="AG1106" i="12"/>
  <c r="AF1106" i="12"/>
  <c r="AE1106" i="12"/>
  <c r="AC1106" i="12"/>
  <c r="AB1106" i="12"/>
  <c r="Z1106" i="12"/>
  <c r="X1106" i="12"/>
  <c r="W1106" i="12"/>
  <c r="V1106" i="12"/>
  <c r="U1106" i="12"/>
  <c r="T1106" i="12"/>
  <c r="S1106" i="12"/>
  <c r="AL1105" i="12"/>
  <c r="AK1105" i="12"/>
  <c r="AJ1105" i="12"/>
  <c r="AI1105" i="12"/>
  <c r="AH1105" i="12"/>
  <c r="AG1105" i="12"/>
  <c r="AF1105" i="12"/>
  <c r="AC1105" i="12"/>
  <c r="AE1105" i="12" s="1"/>
  <c r="AB1105" i="12"/>
  <c r="Z1105" i="12"/>
  <c r="X1105" i="12"/>
  <c r="W1105" i="12"/>
  <c r="V1105" i="12"/>
  <c r="U1105" i="12"/>
  <c r="T1105" i="12"/>
  <c r="S1105" i="12"/>
  <c r="AL1104" i="12"/>
  <c r="AK1104" i="12"/>
  <c r="AJ1104" i="12"/>
  <c r="AI1104" i="12"/>
  <c r="AH1104" i="12"/>
  <c r="AG1104" i="12"/>
  <c r="AF1104" i="12"/>
  <c r="AE1104" i="12"/>
  <c r="AC1104" i="12"/>
  <c r="AB1104" i="12"/>
  <c r="Z1104" i="12"/>
  <c r="X1104" i="12"/>
  <c r="W1104" i="12"/>
  <c r="V1104" i="12"/>
  <c r="U1104" i="12"/>
  <c r="T1104" i="12"/>
  <c r="S1104" i="12"/>
  <c r="AL1103" i="12"/>
  <c r="AK1103" i="12"/>
  <c r="AJ1103" i="12"/>
  <c r="AI1103" i="12"/>
  <c r="AH1103" i="12"/>
  <c r="AG1103" i="12"/>
  <c r="AF1103" i="12"/>
  <c r="AE1103" i="12"/>
  <c r="AC1103" i="12"/>
  <c r="AB1103" i="12"/>
  <c r="Z1103" i="12"/>
  <c r="X1103" i="12"/>
  <c r="W1103" i="12"/>
  <c r="V1103" i="12"/>
  <c r="U1103" i="12"/>
  <c r="T1103" i="12"/>
  <c r="S1103" i="12"/>
  <c r="AL1102" i="12"/>
  <c r="AK1102" i="12"/>
  <c r="AJ1102" i="12"/>
  <c r="AI1102" i="12"/>
  <c r="AH1102" i="12"/>
  <c r="AG1102" i="12"/>
  <c r="AF1102" i="12"/>
  <c r="AC1102" i="12"/>
  <c r="AE1102" i="12" s="1"/>
  <c r="AB1102" i="12"/>
  <c r="Z1102" i="12"/>
  <c r="X1102" i="12"/>
  <c r="W1102" i="12"/>
  <c r="V1102" i="12"/>
  <c r="U1102" i="12"/>
  <c r="T1102" i="12"/>
  <c r="S1102" i="12"/>
  <c r="AL1101" i="12"/>
  <c r="AK1101" i="12"/>
  <c r="AJ1101" i="12"/>
  <c r="AI1101" i="12"/>
  <c r="AH1101" i="12"/>
  <c r="AG1101" i="12"/>
  <c r="AF1101" i="12"/>
  <c r="AC1101" i="12"/>
  <c r="AE1101" i="12" s="1"/>
  <c r="AB1101" i="12"/>
  <c r="Z1101" i="12"/>
  <c r="X1101" i="12"/>
  <c r="W1101" i="12"/>
  <c r="V1101" i="12"/>
  <c r="U1101" i="12"/>
  <c r="T1101" i="12"/>
  <c r="S1101" i="12"/>
  <c r="AL1100" i="12"/>
  <c r="AK1100" i="12"/>
  <c r="AJ1100" i="12"/>
  <c r="AI1100" i="12"/>
  <c r="AH1100" i="12"/>
  <c r="AG1100" i="12"/>
  <c r="AF1100" i="12"/>
  <c r="AC1100" i="12"/>
  <c r="AE1100" i="12" s="1"/>
  <c r="AB1100" i="12"/>
  <c r="Z1100" i="12"/>
  <c r="X1100" i="12"/>
  <c r="W1100" i="12"/>
  <c r="V1100" i="12"/>
  <c r="U1100" i="12"/>
  <c r="T1100" i="12"/>
  <c r="S1100" i="12"/>
  <c r="AL1099" i="12"/>
  <c r="AK1099" i="12"/>
  <c r="AJ1099" i="12"/>
  <c r="AI1099" i="12"/>
  <c r="AH1099" i="12"/>
  <c r="AG1099" i="12"/>
  <c r="AF1099" i="12"/>
  <c r="AC1099" i="12"/>
  <c r="AE1099" i="12" s="1"/>
  <c r="AB1099" i="12"/>
  <c r="Z1099" i="12"/>
  <c r="X1099" i="12"/>
  <c r="W1099" i="12"/>
  <c r="V1099" i="12"/>
  <c r="U1099" i="12"/>
  <c r="T1099" i="12"/>
  <c r="S1099" i="12"/>
  <c r="AL1098" i="12"/>
  <c r="AK1098" i="12"/>
  <c r="AJ1098" i="12"/>
  <c r="AI1098" i="12"/>
  <c r="AH1098" i="12"/>
  <c r="AG1098" i="12"/>
  <c r="AF1098" i="12"/>
  <c r="AC1098" i="12"/>
  <c r="AE1098" i="12" s="1"/>
  <c r="AB1098" i="12"/>
  <c r="Z1098" i="12"/>
  <c r="X1098" i="12"/>
  <c r="W1098" i="12"/>
  <c r="V1098" i="12"/>
  <c r="U1098" i="12"/>
  <c r="T1098" i="12"/>
  <c r="S1098" i="12"/>
  <c r="AL1097" i="12"/>
  <c r="AK1097" i="12"/>
  <c r="AJ1097" i="12"/>
  <c r="AI1097" i="12"/>
  <c r="AH1097" i="12"/>
  <c r="AG1097" i="12"/>
  <c r="AF1097" i="12"/>
  <c r="AC1097" i="12"/>
  <c r="AE1097" i="12" s="1"/>
  <c r="AB1097" i="12"/>
  <c r="Z1097" i="12"/>
  <c r="X1097" i="12"/>
  <c r="W1097" i="12"/>
  <c r="V1097" i="12"/>
  <c r="U1097" i="12"/>
  <c r="T1097" i="12"/>
  <c r="S1097" i="12"/>
  <c r="AL1096" i="12"/>
  <c r="AK1096" i="12"/>
  <c r="AJ1096" i="12"/>
  <c r="AI1096" i="12"/>
  <c r="AH1096" i="12"/>
  <c r="AG1096" i="12"/>
  <c r="AF1096" i="12"/>
  <c r="AE1096" i="12"/>
  <c r="AC1096" i="12"/>
  <c r="AB1096" i="12"/>
  <c r="Z1096" i="12"/>
  <c r="X1096" i="12"/>
  <c r="W1096" i="12"/>
  <c r="V1096" i="12"/>
  <c r="U1096" i="12"/>
  <c r="T1096" i="12"/>
  <c r="S1096" i="12"/>
  <c r="AL1095" i="12"/>
  <c r="AK1095" i="12"/>
  <c r="AJ1095" i="12"/>
  <c r="AI1095" i="12"/>
  <c r="AH1095" i="12"/>
  <c r="AG1095" i="12"/>
  <c r="AF1095" i="12"/>
  <c r="AC1095" i="12"/>
  <c r="AE1095" i="12" s="1"/>
  <c r="AB1095" i="12"/>
  <c r="Z1095" i="12"/>
  <c r="X1095" i="12"/>
  <c r="W1095" i="12"/>
  <c r="V1095" i="12"/>
  <c r="U1095" i="12"/>
  <c r="T1095" i="12"/>
  <c r="S1095" i="12"/>
  <c r="AL1094" i="12"/>
  <c r="AK1094" i="12"/>
  <c r="AJ1094" i="12"/>
  <c r="AI1094" i="12"/>
  <c r="AH1094" i="12"/>
  <c r="AG1094" i="12"/>
  <c r="AF1094" i="12"/>
  <c r="AC1094" i="12"/>
  <c r="AE1094" i="12" s="1"/>
  <c r="AB1094" i="12"/>
  <c r="Z1094" i="12"/>
  <c r="X1094" i="12"/>
  <c r="W1094" i="12"/>
  <c r="V1094" i="12"/>
  <c r="U1094" i="12"/>
  <c r="T1094" i="12"/>
  <c r="S1094" i="12"/>
  <c r="AL1093" i="12"/>
  <c r="AK1093" i="12"/>
  <c r="AJ1093" i="12"/>
  <c r="AI1093" i="12"/>
  <c r="AH1093" i="12"/>
  <c r="AG1093" i="12"/>
  <c r="AF1093" i="12"/>
  <c r="AC1093" i="12"/>
  <c r="AE1093" i="12" s="1"/>
  <c r="AB1093" i="12"/>
  <c r="Z1093" i="12"/>
  <c r="X1093" i="12"/>
  <c r="W1093" i="12"/>
  <c r="V1093" i="12"/>
  <c r="U1093" i="12"/>
  <c r="T1093" i="12"/>
  <c r="S1093" i="12"/>
  <c r="AL1092" i="12"/>
  <c r="AK1092" i="12"/>
  <c r="AJ1092" i="12"/>
  <c r="AI1092" i="12"/>
  <c r="AH1092" i="12"/>
  <c r="AG1092" i="12"/>
  <c r="AF1092" i="12"/>
  <c r="AE1092" i="12"/>
  <c r="AC1092" i="12"/>
  <c r="AB1092" i="12"/>
  <c r="Z1092" i="12"/>
  <c r="X1092" i="12"/>
  <c r="W1092" i="12"/>
  <c r="V1092" i="12"/>
  <c r="U1092" i="12"/>
  <c r="T1092" i="12"/>
  <c r="S1092" i="12"/>
  <c r="AL1091" i="12"/>
  <c r="AK1091" i="12"/>
  <c r="AJ1091" i="12"/>
  <c r="AI1091" i="12"/>
  <c r="AH1091" i="12"/>
  <c r="AG1091" i="12"/>
  <c r="AF1091" i="12"/>
  <c r="AE1091" i="12"/>
  <c r="AC1091" i="12"/>
  <c r="AB1091" i="12"/>
  <c r="Z1091" i="12"/>
  <c r="X1091" i="12"/>
  <c r="W1091" i="12"/>
  <c r="V1091" i="12"/>
  <c r="U1091" i="12"/>
  <c r="T1091" i="12"/>
  <c r="S1091" i="12"/>
  <c r="AL1090" i="12"/>
  <c r="AK1090" i="12"/>
  <c r="AJ1090" i="12"/>
  <c r="AI1090" i="12"/>
  <c r="AH1090" i="12"/>
  <c r="AG1090" i="12"/>
  <c r="AF1090" i="12"/>
  <c r="AE1090" i="12"/>
  <c r="AC1090" i="12"/>
  <c r="AB1090" i="12"/>
  <c r="Z1090" i="12"/>
  <c r="X1090" i="12"/>
  <c r="W1090" i="12"/>
  <c r="V1090" i="12"/>
  <c r="U1090" i="12"/>
  <c r="T1090" i="12"/>
  <c r="S1090" i="12"/>
  <c r="AL1089" i="12"/>
  <c r="AK1089" i="12"/>
  <c r="AJ1089" i="12"/>
  <c r="AI1089" i="12"/>
  <c r="AH1089" i="12"/>
  <c r="AG1089" i="12"/>
  <c r="AF1089" i="12"/>
  <c r="AC1089" i="12"/>
  <c r="AE1089" i="12" s="1"/>
  <c r="AB1089" i="12"/>
  <c r="Z1089" i="12"/>
  <c r="X1089" i="12"/>
  <c r="W1089" i="12"/>
  <c r="V1089" i="12"/>
  <c r="U1089" i="12"/>
  <c r="T1089" i="12"/>
  <c r="S1089" i="12"/>
  <c r="AL1088" i="12"/>
  <c r="AK1088" i="12"/>
  <c r="AJ1088" i="12"/>
  <c r="AI1088" i="12"/>
  <c r="AH1088" i="12"/>
  <c r="AG1088" i="12"/>
  <c r="AF1088" i="12"/>
  <c r="AE1088" i="12"/>
  <c r="AC1088" i="12"/>
  <c r="AB1088" i="12"/>
  <c r="Z1088" i="12"/>
  <c r="X1088" i="12"/>
  <c r="W1088" i="12"/>
  <c r="V1088" i="12"/>
  <c r="U1088" i="12"/>
  <c r="T1088" i="12"/>
  <c r="S1088" i="12"/>
  <c r="AL1087" i="12"/>
  <c r="AK1087" i="12"/>
  <c r="AJ1087" i="12"/>
  <c r="AI1087" i="12"/>
  <c r="AH1087" i="12"/>
  <c r="AG1087" i="12"/>
  <c r="AF1087" i="12"/>
  <c r="AC1087" i="12"/>
  <c r="AE1087" i="12" s="1"/>
  <c r="AB1087" i="12"/>
  <c r="Z1087" i="12"/>
  <c r="X1087" i="12"/>
  <c r="W1087" i="12"/>
  <c r="V1087" i="12"/>
  <c r="U1087" i="12"/>
  <c r="T1087" i="12"/>
  <c r="S1087" i="12"/>
  <c r="AL1086" i="12"/>
  <c r="AK1086" i="12"/>
  <c r="AJ1086" i="12"/>
  <c r="AI1086" i="12"/>
  <c r="AH1086" i="12"/>
  <c r="AG1086" i="12"/>
  <c r="AF1086" i="12"/>
  <c r="AE1086" i="12"/>
  <c r="AC1086" i="12"/>
  <c r="AB1086" i="12"/>
  <c r="Z1086" i="12"/>
  <c r="X1086" i="12"/>
  <c r="W1086" i="12"/>
  <c r="V1086" i="12"/>
  <c r="U1086" i="12"/>
  <c r="T1086" i="12"/>
  <c r="S1086" i="12"/>
  <c r="AL1085" i="12"/>
  <c r="AK1085" i="12"/>
  <c r="AJ1085" i="12"/>
  <c r="AI1085" i="12"/>
  <c r="AH1085" i="12"/>
  <c r="AG1085" i="12"/>
  <c r="AF1085" i="12"/>
  <c r="AC1085" i="12"/>
  <c r="AE1085" i="12" s="1"/>
  <c r="AB1085" i="12"/>
  <c r="Z1085" i="12"/>
  <c r="X1085" i="12"/>
  <c r="W1085" i="12"/>
  <c r="V1085" i="12"/>
  <c r="U1085" i="12"/>
  <c r="T1085" i="12"/>
  <c r="S1085" i="12"/>
  <c r="AL1084" i="12"/>
  <c r="AK1084" i="12"/>
  <c r="AJ1084" i="12"/>
  <c r="AI1084" i="12"/>
  <c r="AH1084" i="12"/>
  <c r="AG1084" i="12"/>
  <c r="AF1084" i="12"/>
  <c r="AC1084" i="12"/>
  <c r="AE1084" i="12" s="1"/>
  <c r="AB1084" i="12"/>
  <c r="Z1084" i="12"/>
  <c r="X1084" i="12"/>
  <c r="W1084" i="12"/>
  <c r="V1084" i="12"/>
  <c r="U1084" i="12"/>
  <c r="T1084" i="12"/>
  <c r="S1084" i="12"/>
  <c r="AL1083" i="12"/>
  <c r="AK1083" i="12"/>
  <c r="AJ1083" i="12"/>
  <c r="AI1083" i="12"/>
  <c r="AH1083" i="12"/>
  <c r="AG1083" i="12"/>
  <c r="AF1083" i="12"/>
  <c r="AE1083" i="12"/>
  <c r="AC1083" i="12"/>
  <c r="AB1083" i="12"/>
  <c r="Z1083" i="12"/>
  <c r="X1083" i="12"/>
  <c r="W1083" i="12"/>
  <c r="V1083" i="12"/>
  <c r="U1083" i="12"/>
  <c r="T1083" i="12"/>
  <c r="S1083" i="12"/>
  <c r="AL1082" i="12"/>
  <c r="AK1082" i="12"/>
  <c r="AJ1082" i="12"/>
  <c r="AI1082" i="12"/>
  <c r="AH1082" i="12"/>
  <c r="AG1082" i="12"/>
  <c r="AF1082" i="12"/>
  <c r="AE1082" i="12"/>
  <c r="AC1082" i="12"/>
  <c r="AB1082" i="12"/>
  <c r="Z1082" i="12"/>
  <c r="X1082" i="12"/>
  <c r="W1082" i="12"/>
  <c r="V1082" i="12"/>
  <c r="U1082" i="12"/>
  <c r="T1082" i="12"/>
  <c r="S1082" i="12"/>
  <c r="AL1081" i="12"/>
  <c r="AK1081" i="12"/>
  <c r="AJ1081" i="12"/>
  <c r="AI1081" i="12"/>
  <c r="AH1081" i="12"/>
  <c r="AG1081" i="12"/>
  <c r="AF1081" i="12"/>
  <c r="AC1081" i="12"/>
  <c r="AE1081" i="12" s="1"/>
  <c r="AB1081" i="12"/>
  <c r="Z1081" i="12"/>
  <c r="X1081" i="12"/>
  <c r="W1081" i="12"/>
  <c r="V1081" i="12"/>
  <c r="U1081" i="12"/>
  <c r="T1081" i="12"/>
  <c r="S1081" i="12"/>
  <c r="AL1080" i="12"/>
  <c r="AK1080" i="12"/>
  <c r="AJ1080" i="12"/>
  <c r="AI1080" i="12"/>
  <c r="AH1080" i="12"/>
  <c r="AG1080" i="12"/>
  <c r="AF1080" i="12"/>
  <c r="AC1080" i="12"/>
  <c r="AE1080" i="12" s="1"/>
  <c r="AB1080" i="12"/>
  <c r="Z1080" i="12"/>
  <c r="X1080" i="12"/>
  <c r="W1080" i="12"/>
  <c r="V1080" i="12"/>
  <c r="U1080" i="12"/>
  <c r="T1080" i="12"/>
  <c r="S1080" i="12"/>
  <c r="AL1079" i="12"/>
  <c r="AK1079" i="12"/>
  <c r="AJ1079" i="12"/>
  <c r="AI1079" i="12"/>
  <c r="AH1079" i="12"/>
  <c r="AG1079" i="12"/>
  <c r="AF1079" i="12"/>
  <c r="AE1079" i="12"/>
  <c r="AC1079" i="12"/>
  <c r="AB1079" i="12"/>
  <c r="Z1079" i="12"/>
  <c r="X1079" i="12"/>
  <c r="W1079" i="12"/>
  <c r="V1079" i="12"/>
  <c r="U1079" i="12"/>
  <c r="T1079" i="12"/>
  <c r="S1079" i="12"/>
  <c r="AL1078" i="12"/>
  <c r="AK1078" i="12"/>
  <c r="AJ1078" i="12"/>
  <c r="AI1078" i="12"/>
  <c r="AH1078" i="12"/>
  <c r="AG1078" i="12"/>
  <c r="AF1078" i="12"/>
  <c r="AC1078" i="12"/>
  <c r="AE1078" i="12" s="1"/>
  <c r="AB1078" i="12"/>
  <c r="Z1078" i="12"/>
  <c r="X1078" i="12"/>
  <c r="W1078" i="12"/>
  <c r="V1078" i="12"/>
  <c r="U1078" i="12"/>
  <c r="T1078" i="12"/>
  <c r="S1078" i="12"/>
  <c r="AL1077" i="12"/>
  <c r="AK1077" i="12"/>
  <c r="AJ1077" i="12"/>
  <c r="AI1077" i="12"/>
  <c r="AH1077" i="12"/>
  <c r="AG1077" i="12"/>
  <c r="AF1077" i="12"/>
  <c r="AC1077" i="12"/>
  <c r="AE1077" i="12" s="1"/>
  <c r="AB1077" i="12"/>
  <c r="Z1077" i="12"/>
  <c r="X1077" i="12"/>
  <c r="W1077" i="12"/>
  <c r="V1077" i="12"/>
  <c r="U1077" i="12"/>
  <c r="T1077" i="12"/>
  <c r="S1077" i="12"/>
  <c r="AL1076" i="12"/>
  <c r="AK1076" i="12"/>
  <c r="AJ1076" i="12"/>
  <c r="AI1076" i="12"/>
  <c r="AH1076" i="12"/>
  <c r="AG1076" i="12"/>
  <c r="AF1076" i="12"/>
  <c r="AE1076" i="12"/>
  <c r="AC1076" i="12"/>
  <c r="AB1076" i="12"/>
  <c r="Z1076" i="12"/>
  <c r="X1076" i="12"/>
  <c r="W1076" i="12"/>
  <c r="V1076" i="12"/>
  <c r="U1076" i="12"/>
  <c r="T1076" i="12"/>
  <c r="S1076" i="12"/>
  <c r="AL1075" i="12"/>
  <c r="AK1075" i="12"/>
  <c r="AJ1075" i="12"/>
  <c r="AI1075" i="12"/>
  <c r="AH1075" i="12"/>
  <c r="AG1075" i="12"/>
  <c r="AF1075" i="12"/>
  <c r="AC1075" i="12"/>
  <c r="AE1075" i="12" s="1"/>
  <c r="AB1075" i="12"/>
  <c r="Z1075" i="12"/>
  <c r="X1075" i="12"/>
  <c r="W1075" i="12"/>
  <c r="V1075" i="12"/>
  <c r="U1075" i="12"/>
  <c r="T1075" i="12"/>
  <c r="S1075" i="12"/>
  <c r="AL1074" i="12"/>
  <c r="AK1074" i="12"/>
  <c r="AJ1074" i="12"/>
  <c r="AI1074" i="12"/>
  <c r="AH1074" i="12"/>
  <c r="AG1074" i="12"/>
  <c r="AF1074" i="12"/>
  <c r="AC1074" i="12"/>
  <c r="AE1074" i="12" s="1"/>
  <c r="AB1074" i="12"/>
  <c r="Z1074" i="12"/>
  <c r="X1074" i="12"/>
  <c r="W1074" i="12"/>
  <c r="V1074" i="12"/>
  <c r="U1074" i="12"/>
  <c r="T1074" i="12"/>
  <c r="S1074" i="12"/>
  <c r="AL1073" i="12"/>
  <c r="AK1073" i="12"/>
  <c r="AJ1073" i="12"/>
  <c r="AI1073" i="12"/>
  <c r="AH1073" i="12"/>
  <c r="AG1073" i="12"/>
  <c r="AF1073" i="12"/>
  <c r="AC1073" i="12"/>
  <c r="AE1073" i="12" s="1"/>
  <c r="AB1073" i="12"/>
  <c r="Z1073" i="12"/>
  <c r="X1073" i="12"/>
  <c r="W1073" i="12"/>
  <c r="V1073" i="12"/>
  <c r="U1073" i="12"/>
  <c r="T1073" i="12"/>
  <c r="S1073" i="12"/>
  <c r="AL1072" i="12"/>
  <c r="AK1072" i="12"/>
  <c r="AJ1072" i="12"/>
  <c r="AI1072" i="12"/>
  <c r="AH1072" i="12"/>
  <c r="AG1072" i="12"/>
  <c r="AF1072" i="12"/>
  <c r="AE1072" i="12"/>
  <c r="AC1072" i="12"/>
  <c r="AB1072" i="12"/>
  <c r="Z1072" i="12"/>
  <c r="X1072" i="12"/>
  <c r="W1072" i="12"/>
  <c r="V1072" i="12"/>
  <c r="U1072" i="12"/>
  <c r="T1072" i="12"/>
  <c r="S1072" i="12"/>
  <c r="AL1071" i="12"/>
  <c r="AK1071" i="12"/>
  <c r="AJ1071" i="12"/>
  <c r="AI1071" i="12"/>
  <c r="AH1071" i="12"/>
  <c r="AG1071" i="12"/>
  <c r="AF1071" i="12"/>
  <c r="AE1071" i="12"/>
  <c r="AC1071" i="12"/>
  <c r="AB1071" i="12"/>
  <c r="Z1071" i="12"/>
  <c r="X1071" i="12"/>
  <c r="W1071" i="12"/>
  <c r="V1071" i="12"/>
  <c r="U1071" i="12"/>
  <c r="T1071" i="12"/>
  <c r="S1071" i="12"/>
  <c r="AL1070" i="12"/>
  <c r="AK1070" i="12"/>
  <c r="AJ1070" i="12"/>
  <c r="AI1070" i="12"/>
  <c r="AH1070" i="12"/>
  <c r="AG1070" i="12"/>
  <c r="AF1070" i="12"/>
  <c r="AE1070" i="12"/>
  <c r="AC1070" i="12"/>
  <c r="AB1070" i="12"/>
  <c r="Z1070" i="12"/>
  <c r="X1070" i="12"/>
  <c r="W1070" i="12"/>
  <c r="V1070" i="12"/>
  <c r="U1070" i="12"/>
  <c r="T1070" i="12"/>
  <c r="S1070" i="12"/>
  <c r="AL1069" i="12"/>
  <c r="AK1069" i="12"/>
  <c r="AJ1069" i="12"/>
  <c r="AI1069" i="12"/>
  <c r="AH1069" i="12"/>
  <c r="AG1069" i="12"/>
  <c r="AF1069" i="12"/>
  <c r="AE1069" i="12"/>
  <c r="AC1069" i="12"/>
  <c r="AB1069" i="12"/>
  <c r="Z1069" i="12"/>
  <c r="X1069" i="12"/>
  <c r="W1069" i="12"/>
  <c r="V1069" i="12"/>
  <c r="U1069" i="12"/>
  <c r="T1069" i="12"/>
  <c r="S1069" i="12"/>
  <c r="AL1068" i="12"/>
  <c r="AK1068" i="12"/>
  <c r="AJ1068" i="12"/>
  <c r="AI1068" i="12"/>
  <c r="AH1068" i="12"/>
  <c r="AG1068" i="12"/>
  <c r="AF1068" i="12"/>
  <c r="AC1068" i="12"/>
  <c r="AE1068" i="12" s="1"/>
  <c r="AB1068" i="12"/>
  <c r="Z1068" i="12"/>
  <c r="X1068" i="12"/>
  <c r="W1068" i="12"/>
  <c r="V1068" i="12"/>
  <c r="U1068" i="12"/>
  <c r="T1068" i="12"/>
  <c r="S1068" i="12"/>
  <c r="AL1067" i="12"/>
  <c r="AK1067" i="12"/>
  <c r="AJ1067" i="12"/>
  <c r="AI1067" i="12"/>
  <c r="AH1067" i="12"/>
  <c r="AG1067" i="12"/>
  <c r="AF1067" i="12"/>
  <c r="AC1067" i="12"/>
  <c r="AE1067" i="12" s="1"/>
  <c r="AB1067" i="12"/>
  <c r="Z1067" i="12"/>
  <c r="X1067" i="12"/>
  <c r="W1067" i="12"/>
  <c r="V1067" i="12"/>
  <c r="U1067" i="12"/>
  <c r="T1067" i="12"/>
  <c r="S1067" i="12"/>
  <c r="AL1066" i="12"/>
  <c r="AK1066" i="12"/>
  <c r="AJ1066" i="12"/>
  <c r="AI1066" i="12"/>
  <c r="AH1066" i="12"/>
  <c r="AG1066" i="12"/>
  <c r="AF1066" i="12"/>
  <c r="AC1066" i="12"/>
  <c r="AE1066" i="12" s="1"/>
  <c r="AB1066" i="12"/>
  <c r="Z1066" i="12"/>
  <c r="X1066" i="12"/>
  <c r="W1066" i="12"/>
  <c r="V1066" i="12"/>
  <c r="U1066" i="12"/>
  <c r="T1066" i="12"/>
  <c r="S1066" i="12"/>
  <c r="AL1065" i="12"/>
  <c r="AK1065" i="12"/>
  <c r="AJ1065" i="12"/>
  <c r="AI1065" i="12"/>
  <c r="AH1065" i="12"/>
  <c r="AG1065" i="12"/>
  <c r="AF1065" i="12"/>
  <c r="AE1065" i="12"/>
  <c r="AC1065" i="12"/>
  <c r="AB1065" i="12"/>
  <c r="Z1065" i="12"/>
  <c r="X1065" i="12"/>
  <c r="W1065" i="12"/>
  <c r="V1065" i="12"/>
  <c r="U1065" i="12"/>
  <c r="T1065" i="12"/>
  <c r="S1065" i="12"/>
  <c r="AL1064" i="12"/>
  <c r="AK1064" i="12"/>
  <c r="AJ1064" i="12"/>
  <c r="AI1064" i="12"/>
  <c r="AH1064" i="12"/>
  <c r="AG1064" i="12"/>
  <c r="AF1064" i="12"/>
  <c r="AC1064" i="12"/>
  <c r="AE1064" i="12" s="1"/>
  <c r="AB1064" i="12"/>
  <c r="Z1064" i="12"/>
  <c r="X1064" i="12"/>
  <c r="W1064" i="12"/>
  <c r="V1064" i="12"/>
  <c r="U1064" i="12"/>
  <c r="T1064" i="12"/>
  <c r="S1064" i="12"/>
  <c r="AL1063" i="12"/>
  <c r="AK1063" i="12"/>
  <c r="AJ1063" i="12"/>
  <c r="AI1063" i="12"/>
  <c r="AH1063" i="12"/>
  <c r="AG1063" i="12"/>
  <c r="AF1063" i="12"/>
  <c r="AC1063" i="12"/>
  <c r="AE1063" i="12" s="1"/>
  <c r="AB1063" i="12"/>
  <c r="Z1063" i="12"/>
  <c r="X1063" i="12"/>
  <c r="W1063" i="12"/>
  <c r="V1063" i="12"/>
  <c r="U1063" i="12"/>
  <c r="T1063" i="12"/>
  <c r="S1063" i="12"/>
  <c r="AL1062" i="12"/>
  <c r="AK1062" i="12"/>
  <c r="AJ1062" i="12"/>
  <c r="AI1062" i="12"/>
  <c r="AH1062" i="12"/>
  <c r="AG1062" i="12"/>
  <c r="AF1062" i="12"/>
  <c r="AE1062" i="12"/>
  <c r="AC1062" i="12"/>
  <c r="AB1062" i="12"/>
  <c r="Z1062" i="12"/>
  <c r="X1062" i="12"/>
  <c r="W1062" i="12"/>
  <c r="V1062" i="12"/>
  <c r="U1062" i="12"/>
  <c r="T1062" i="12"/>
  <c r="S1062" i="12"/>
  <c r="AL1061" i="12"/>
  <c r="AK1061" i="12"/>
  <c r="AJ1061" i="12"/>
  <c r="AI1061" i="12"/>
  <c r="AH1061" i="12"/>
  <c r="AG1061" i="12"/>
  <c r="AF1061" i="12"/>
  <c r="AC1061" i="12"/>
  <c r="AE1061" i="12" s="1"/>
  <c r="AB1061" i="12"/>
  <c r="Z1061" i="12"/>
  <c r="X1061" i="12"/>
  <c r="W1061" i="12"/>
  <c r="V1061" i="12"/>
  <c r="U1061" i="12"/>
  <c r="T1061" i="12"/>
  <c r="S1061" i="12"/>
  <c r="AL1060" i="12"/>
  <c r="AK1060" i="12"/>
  <c r="AJ1060" i="12"/>
  <c r="AI1060" i="12"/>
  <c r="AH1060" i="12"/>
  <c r="AG1060" i="12"/>
  <c r="AF1060" i="12"/>
  <c r="AC1060" i="12"/>
  <c r="AE1060" i="12" s="1"/>
  <c r="AB1060" i="12"/>
  <c r="Z1060" i="12"/>
  <c r="X1060" i="12"/>
  <c r="W1060" i="12"/>
  <c r="V1060" i="12"/>
  <c r="U1060" i="12"/>
  <c r="T1060" i="12"/>
  <c r="S1060" i="12"/>
  <c r="AL1059" i="12"/>
  <c r="AK1059" i="12"/>
  <c r="AJ1059" i="12"/>
  <c r="AI1059" i="12"/>
  <c r="AH1059" i="12"/>
  <c r="AG1059" i="12"/>
  <c r="AF1059" i="12"/>
  <c r="AC1059" i="12"/>
  <c r="AE1059" i="12" s="1"/>
  <c r="AB1059" i="12"/>
  <c r="Z1059" i="12"/>
  <c r="X1059" i="12"/>
  <c r="W1059" i="12"/>
  <c r="V1059" i="12"/>
  <c r="U1059" i="12"/>
  <c r="T1059" i="12"/>
  <c r="S1059" i="12"/>
  <c r="AL1058" i="12"/>
  <c r="AK1058" i="12"/>
  <c r="AJ1058" i="12"/>
  <c r="AI1058" i="12"/>
  <c r="AH1058" i="12"/>
  <c r="AG1058" i="12"/>
  <c r="AF1058" i="12"/>
  <c r="AE1058" i="12"/>
  <c r="AC1058" i="12"/>
  <c r="AB1058" i="12"/>
  <c r="Z1058" i="12"/>
  <c r="X1058" i="12"/>
  <c r="W1058" i="12"/>
  <c r="V1058" i="12"/>
  <c r="U1058" i="12"/>
  <c r="T1058" i="12"/>
  <c r="S1058" i="12"/>
  <c r="AL1057" i="12"/>
  <c r="AK1057" i="12"/>
  <c r="AJ1057" i="12"/>
  <c r="AI1057" i="12"/>
  <c r="AH1057" i="12"/>
  <c r="AG1057" i="12"/>
  <c r="AF1057" i="12"/>
  <c r="AC1057" i="12"/>
  <c r="AE1057" i="12" s="1"/>
  <c r="AB1057" i="12"/>
  <c r="Z1057" i="12"/>
  <c r="X1057" i="12"/>
  <c r="W1057" i="12"/>
  <c r="V1057" i="12"/>
  <c r="U1057" i="12"/>
  <c r="T1057" i="12"/>
  <c r="S1057" i="12"/>
  <c r="AL1056" i="12"/>
  <c r="AK1056" i="12"/>
  <c r="AJ1056" i="12"/>
  <c r="AI1056" i="12"/>
  <c r="AH1056" i="12"/>
  <c r="AG1056" i="12"/>
  <c r="AF1056" i="12"/>
  <c r="AE1056" i="12"/>
  <c r="AC1056" i="12"/>
  <c r="AB1056" i="12"/>
  <c r="Z1056" i="12"/>
  <c r="X1056" i="12"/>
  <c r="W1056" i="12"/>
  <c r="V1056" i="12"/>
  <c r="U1056" i="12"/>
  <c r="T1056" i="12"/>
  <c r="S1056" i="12"/>
  <c r="AL1055" i="12"/>
  <c r="AK1055" i="12"/>
  <c r="AJ1055" i="12"/>
  <c r="AI1055" i="12"/>
  <c r="AH1055" i="12"/>
  <c r="AG1055" i="12"/>
  <c r="AF1055" i="12"/>
  <c r="AE1055" i="12"/>
  <c r="AC1055" i="12"/>
  <c r="AB1055" i="12"/>
  <c r="Z1055" i="12"/>
  <c r="X1055" i="12"/>
  <c r="W1055" i="12"/>
  <c r="V1055" i="12"/>
  <c r="U1055" i="12"/>
  <c r="T1055" i="12"/>
  <c r="S1055" i="12"/>
  <c r="AL1054" i="12"/>
  <c r="AK1054" i="12"/>
  <c r="AJ1054" i="12"/>
  <c r="AI1054" i="12"/>
  <c r="AH1054" i="12"/>
  <c r="AG1054" i="12"/>
  <c r="AF1054" i="12"/>
  <c r="AC1054" i="12"/>
  <c r="AE1054" i="12" s="1"/>
  <c r="AB1054" i="12"/>
  <c r="Z1054" i="12"/>
  <c r="X1054" i="12"/>
  <c r="W1054" i="12"/>
  <c r="V1054" i="12"/>
  <c r="U1054" i="12"/>
  <c r="T1054" i="12"/>
  <c r="S1054" i="12"/>
  <c r="AL1053" i="12"/>
  <c r="AK1053" i="12"/>
  <c r="AJ1053" i="12"/>
  <c r="AI1053" i="12"/>
  <c r="AH1053" i="12"/>
  <c r="AG1053" i="12"/>
  <c r="AF1053" i="12"/>
  <c r="AC1053" i="12"/>
  <c r="AE1053" i="12" s="1"/>
  <c r="AB1053" i="12"/>
  <c r="Z1053" i="12"/>
  <c r="X1053" i="12"/>
  <c r="W1053" i="12"/>
  <c r="V1053" i="12"/>
  <c r="U1053" i="12"/>
  <c r="T1053" i="12"/>
  <c r="S1053" i="12"/>
  <c r="AL1052" i="12"/>
  <c r="AK1052" i="12"/>
  <c r="AJ1052" i="12"/>
  <c r="AI1052" i="12"/>
  <c r="AH1052" i="12"/>
  <c r="AG1052" i="12"/>
  <c r="AF1052" i="12"/>
  <c r="AE1052" i="12"/>
  <c r="AC1052" i="12"/>
  <c r="AB1052" i="12"/>
  <c r="Z1052" i="12"/>
  <c r="X1052" i="12"/>
  <c r="W1052" i="12"/>
  <c r="V1052" i="12"/>
  <c r="U1052" i="12"/>
  <c r="T1052" i="12"/>
  <c r="S1052" i="12"/>
  <c r="AL1051" i="12"/>
  <c r="AK1051" i="12"/>
  <c r="AJ1051" i="12"/>
  <c r="AI1051" i="12"/>
  <c r="AH1051" i="12"/>
  <c r="AG1051" i="12"/>
  <c r="AF1051" i="12"/>
  <c r="AE1051" i="12"/>
  <c r="AC1051" i="12"/>
  <c r="AB1051" i="12"/>
  <c r="Z1051" i="12"/>
  <c r="X1051" i="12"/>
  <c r="W1051" i="12"/>
  <c r="V1051" i="12"/>
  <c r="U1051" i="12"/>
  <c r="T1051" i="12"/>
  <c r="S1051" i="12"/>
  <c r="AL1050" i="12"/>
  <c r="AK1050" i="12"/>
  <c r="AJ1050" i="12"/>
  <c r="AI1050" i="12"/>
  <c r="AH1050" i="12"/>
  <c r="AG1050" i="12"/>
  <c r="AF1050" i="12"/>
  <c r="AC1050" i="12"/>
  <c r="AE1050" i="12" s="1"/>
  <c r="AB1050" i="12"/>
  <c r="Z1050" i="12"/>
  <c r="X1050" i="12"/>
  <c r="W1050" i="12"/>
  <c r="V1050" i="12"/>
  <c r="U1050" i="12"/>
  <c r="T1050" i="12"/>
  <c r="S1050" i="12"/>
  <c r="AL1049" i="12"/>
  <c r="AK1049" i="12"/>
  <c r="AJ1049" i="12"/>
  <c r="AI1049" i="12"/>
  <c r="AH1049" i="12"/>
  <c r="AG1049" i="12"/>
  <c r="AF1049" i="12"/>
  <c r="AE1049" i="12"/>
  <c r="AC1049" i="12"/>
  <c r="AB1049" i="12"/>
  <c r="Z1049" i="12"/>
  <c r="X1049" i="12"/>
  <c r="W1049" i="12"/>
  <c r="V1049" i="12"/>
  <c r="U1049" i="12"/>
  <c r="T1049" i="12"/>
  <c r="S1049" i="12"/>
  <c r="AL1048" i="12"/>
  <c r="AK1048" i="12"/>
  <c r="AJ1048" i="12"/>
  <c r="AI1048" i="12"/>
  <c r="AH1048" i="12"/>
  <c r="AG1048" i="12"/>
  <c r="AF1048" i="12"/>
  <c r="AC1048" i="12"/>
  <c r="AE1048" i="12" s="1"/>
  <c r="AB1048" i="12"/>
  <c r="Z1048" i="12"/>
  <c r="X1048" i="12"/>
  <c r="W1048" i="12"/>
  <c r="V1048" i="12"/>
  <c r="U1048" i="12"/>
  <c r="T1048" i="12"/>
  <c r="S1048" i="12"/>
  <c r="AL1047" i="12"/>
  <c r="AK1047" i="12"/>
  <c r="AJ1047" i="12"/>
  <c r="AI1047" i="12"/>
  <c r="AH1047" i="12"/>
  <c r="AG1047" i="12"/>
  <c r="AF1047" i="12"/>
  <c r="AC1047" i="12"/>
  <c r="AE1047" i="12" s="1"/>
  <c r="AB1047" i="12"/>
  <c r="Z1047" i="12"/>
  <c r="X1047" i="12"/>
  <c r="W1047" i="12"/>
  <c r="V1047" i="12"/>
  <c r="U1047" i="12"/>
  <c r="T1047" i="12"/>
  <c r="S1047" i="12"/>
  <c r="AL1046" i="12"/>
  <c r="AK1046" i="12"/>
  <c r="AJ1046" i="12"/>
  <c r="AI1046" i="12"/>
  <c r="AH1046" i="12"/>
  <c r="AG1046" i="12"/>
  <c r="AF1046" i="12"/>
  <c r="AC1046" i="12"/>
  <c r="AE1046" i="12" s="1"/>
  <c r="AB1046" i="12"/>
  <c r="Z1046" i="12"/>
  <c r="X1046" i="12"/>
  <c r="W1046" i="12"/>
  <c r="V1046" i="12"/>
  <c r="U1046" i="12"/>
  <c r="T1046" i="12"/>
  <c r="S1046" i="12"/>
  <c r="AL1045" i="12"/>
  <c r="AK1045" i="12"/>
  <c r="AJ1045" i="12"/>
  <c r="AI1045" i="12"/>
  <c r="AH1045" i="12"/>
  <c r="AG1045" i="12"/>
  <c r="AF1045" i="12"/>
  <c r="AC1045" i="12"/>
  <c r="AE1045" i="12" s="1"/>
  <c r="AB1045" i="12"/>
  <c r="Z1045" i="12"/>
  <c r="X1045" i="12"/>
  <c r="W1045" i="12"/>
  <c r="V1045" i="12"/>
  <c r="U1045" i="12"/>
  <c r="T1045" i="12"/>
  <c r="S1045" i="12"/>
  <c r="AL1044" i="12"/>
  <c r="AK1044" i="12"/>
  <c r="AJ1044" i="12"/>
  <c r="AI1044" i="12"/>
  <c r="AH1044" i="12"/>
  <c r="AG1044" i="12"/>
  <c r="AF1044" i="12"/>
  <c r="AE1044" i="12"/>
  <c r="AC1044" i="12"/>
  <c r="AB1044" i="12"/>
  <c r="Z1044" i="12"/>
  <c r="X1044" i="12"/>
  <c r="W1044" i="12"/>
  <c r="V1044" i="12"/>
  <c r="U1044" i="12"/>
  <c r="T1044" i="12"/>
  <c r="S1044" i="12"/>
  <c r="AL1043" i="12"/>
  <c r="AK1043" i="12"/>
  <c r="AJ1043" i="12"/>
  <c r="AI1043" i="12"/>
  <c r="AH1043" i="12"/>
  <c r="AG1043" i="12"/>
  <c r="AF1043" i="12"/>
  <c r="AC1043" i="12"/>
  <c r="AE1043" i="12" s="1"/>
  <c r="AB1043" i="12"/>
  <c r="Z1043" i="12"/>
  <c r="X1043" i="12"/>
  <c r="W1043" i="12"/>
  <c r="V1043" i="12"/>
  <c r="U1043" i="12"/>
  <c r="T1043" i="12"/>
  <c r="S1043" i="12"/>
  <c r="AL1042" i="12"/>
  <c r="AK1042" i="12"/>
  <c r="AJ1042" i="12"/>
  <c r="AI1042" i="12"/>
  <c r="AH1042" i="12"/>
  <c r="AG1042" i="12"/>
  <c r="AF1042" i="12"/>
  <c r="AE1042" i="12"/>
  <c r="AC1042" i="12"/>
  <c r="AB1042" i="12"/>
  <c r="Z1042" i="12"/>
  <c r="X1042" i="12"/>
  <c r="W1042" i="12"/>
  <c r="V1042" i="12"/>
  <c r="U1042" i="12"/>
  <c r="T1042" i="12"/>
  <c r="S1042" i="12"/>
  <c r="AL1041" i="12"/>
  <c r="AK1041" i="12"/>
  <c r="AJ1041" i="12"/>
  <c r="AI1041" i="12"/>
  <c r="AH1041" i="12"/>
  <c r="AG1041" i="12"/>
  <c r="AF1041" i="12"/>
  <c r="AE1041" i="12"/>
  <c r="AC1041" i="12"/>
  <c r="AB1041" i="12"/>
  <c r="Z1041" i="12"/>
  <c r="X1041" i="12"/>
  <c r="W1041" i="12"/>
  <c r="V1041" i="12"/>
  <c r="U1041" i="12"/>
  <c r="T1041" i="12"/>
  <c r="S1041" i="12"/>
  <c r="AL1040" i="12"/>
  <c r="AK1040" i="12"/>
  <c r="AJ1040" i="12"/>
  <c r="AI1040" i="12"/>
  <c r="AH1040" i="12"/>
  <c r="AG1040" i="12"/>
  <c r="AF1040" i="12"/>
  <c r="AE1040" i="12"/>
  <c r="AC1040" i="12"/>
  <c r="AB1040" i="12"/>
  <c r="Z1040" i="12"/>
  <c r="X1040" i="12"/>
  <c r="W1040" i="12"/>
  <c r="V1040" i="12"/>
  <c r="U1040" i="12"/>
  <c r="T1040" i="12"/>
  <c r="S1040" i="12"/>
  <c r="AL1039" i="12"/>
  <c r="AK1039" i="12"/>
  <c r="AJ1039" i="12"/>
  <c r="AI1039" i="12"/>
  <c r="AH1039" i="12"/>
  <c r="AG1039" i="12"/>
  <c r="AF1039" i="12"/>
  <c r="AC1039" i="12"/>
  <c r="AE1039" i="12" s="1"/>
  <c r="AB1039" i="12"/>
  <c r="Z1039" i="12"/>
  <c r="X1039" i="12"/>
  <c r="W1039" i="12"/>
  <c r="V1039" i="12"/>
  <c r="U1039" i="12"/>
  <c r="T1039" i="12"/>
  <c r="S1039" i="12"/>
  <c r="AL1038" i="12"/>
  <c r="AK1038" i="12"/>
  <c r="AJ1038" i="12"/>
  <c r="AI1038" i="12"/>
  <c r="AH1038" i="12"/>
  <c r="AG1038" i="12"/>
  <c r="AF1038" i="12"/>
  <c r="AE1038" i="12"/>
  <c r="AC1038" i="12"/>
  <c r="AB1038" i="12"/>
  <c r="Z1038" i="12"/>
  <c r="X1038" i="12"/>
  <c r="W1038" i="12"/>
  <c r="V1038" i="12"/>
  <c r="U1038" i="12"/>
  <c r="T1038" i="12"/>
  <c r="S1038" i="12"/>
  <c r="AL1037" i="12"/>
  <c r="AK1037" i="12"/>
  <c r="AJ1037" i="12"/>
  <c r="AI1037" i="12"/>
  <c r="AH1037" i="12"/>
  <c r="AG1037" i="12"/>
  <c r="AF1037" i="12"/>
  <c r="AC1037" i="12"/>
  <c r="AE1037" i="12" s="1"/>
  <c r="AB1037" i="12"/>
  <c r="Z1037" i="12"/>
  <c r="X1037" i="12"/>
  <c r="W1037" i="12"/>
  <c r="V1037" i="12"/>
  <c r="U1037" i="12"/>
  <c r="T1037" i="12"/>
  <c r="S1037" i="12"/>
  <c r="AL1036" i="12"/>
  <c r="AK1036" i="12"/>
  <c r="AJ1036" i="12"/>
  <c r="AI1036" i="12"/>
  <c r="AH1036" i="12"/>
  <c r="AG1036" i="12"/>
  <c r="AF1036" i="12"/>
  <c r="AC1036" i="12"/>
  <c r="AE1036" i="12" s="1"/>
  <c r="AB1036" i="12"/>
  <c r="Z1036" i="12"/>
  <c r="X1036" i="12"/>
  <c r="W1036" i="12"/>
  <c r="V1036" i="12"/>
  <c r="U1036" i="12"/>
  <c r="T1036" i="12"/>
  <c r="S1036" i="12"/>
  <c r="AL1035" i="12"/>
  <c r="AK1035" i="12"/>
  <c r="AJ1035" i="12"/>
  <c r="AI1035" i="12"/>
  <c r="AH1035" i="12"/>
  <c r="AG1035" i="12"/>
  <c r="AF1035" i="12"/>
  <c r="AC1035" i="12"/>
  <c r="AE1035" i="12" s="1"/>
  <c r="AB1035" i="12"/>
  <c r="Z1035" i="12"/>
  <c r="X1035" i="12"/>
  <c r="W1035" i="12"/>
  <c r="V1035" i="12"/>
  <c r="U1035" i="12"/>
  <c r="T1035" i="12"/>
  <c r="S1035" i="12"/>
  <c r="AL1034" i="12"/>
  <c r="AK1034" i="12"/>
  <c r="AJ1034" i="12"/>
  <c r="AI1034" i="12"/>
  <c r="AH1034" i="12"/>
  <c r="AG1034" i="12"/>
  <c r="AF1034" i="12"/>
  <c r="AC1034" i="12"/>
  <c r="AE1034" i="12" s="1"/>
  <c r="AB1034" i="12"/>
  <c r="Z1034" i="12"/>
  <c r="X1034" i="12"/>
  <c r="W1034" i="12"/>
  <c r="V1034" i="12"/>
  <c r="U1034" i="12"/>
  <c r="T1034" i="12"/>
  <c r="S1034" i="12"/>
  <c r="AL1033" i="12"/>
  <c r="AK1033" i="12"/>
  <c r="AJ1033" i="12"/>
  <c r="AI1033" i="12"/>
  <c r="AH1033" i="12"/>
  <c r="AG1033" i="12"/>
  <c r="AF1033" i="12"/>
  <c r="AC1033" i="12"/>
  <c r="AE1033" i="12" s="1"/>
  <c r="AB1033" i="12"/>
  <c r="Z1033" i="12"/>
  <c r="X1033" i="12"/>
  <c r="W1033" i="12"/>
  <c r="V1033" i="12"/>
  <c r="U1033" i="12"/>
  <c r="T1033" i="12"/>
  <c r="S1033" i="12"/>
  <c r="AL1032" i="12"/>
  <c r="AK1032" i="12"/>
  <c r="AJ1032" i="12"/>
  <c r="AI1032" i="12"/>
  <c r="AH1032" i="12"/>
  <c r="AG1032" i="12"/>
  <c r="AF1032" i="12"/>
  <c r="AE1032" i="12"/>
  <c r="AC1032" i="12"/>
  <c r="AB1032" i="12"/>
  <c r="Z1032" i="12"/>
  <c r="X1032" i="12"/>
  <c r="W1032" i="12"/>
  <c r="V1032" i="12"/>
  <c r="U1032" i="12"/>
  <c r="T1032" i="12"/>
  <c r="S1032" i="12"/>
  <c r="AL1031" i="12"/>
  <c r="AK1031" i="12"/>
  <c r="AJ1031" i="12"/>
  <c r="AI1031" i="12"/>
  <c r="AH1031" i="12"/>
  <c r="AG1031" i="12"/>
  <c r="AF1031" i="12"/>
  <c r="AE1031" i="12"/>
  <c r="AC1031" i="12"/>
  <c r="AB1031" i="12"/>
  <c r="Z1031" i="12"/>
  <c r="X1031" i="12"/>
  <c r="W1031" i="12"/>
  <c r="V1031" i="12"/>
  <c r="U1031" i="12"/>
  <c r="T1031" i="12"/>
  <c r="S1031" i="12"/>
  <c r="AL1030" i="12"/>
  <c r="AK1030" i="12"/>
  <c r="AJ1030" i="12"/>
  <c r="AI1030" i="12"/>
  <c r="AH1030" i="12"/>
  <c r="AG1030" i="12"/>
  <c r="AF1030" i="12"/>
  <c r="AC1030" i="12"/>
  <c r="AE1030" i="12" s="1"/>
  <c r="AB1030" i="12"/>
  <c r="Z1030" i="12"/>
  <c r="X1030" i="12"/>
  <c r="W1030" i="12"/>
  <c r="V1030" i="12"/>
  <c r="U1030" i="12"/>
  <c r="T1030" i="12"/>
  <c r="S1030" i="12"/>
  <c r="AL1029" i="12"/>
  <c r="AK1029" i="12"/>
  <c r="AJ1029" i="12"/>
  <c r="AI1029" i="12"/>
  <c r="AH1029" i="12"/>
  <c r="AG1029" i="12"/>
  <c r="AF1029" i="12"/>
  <c r="AC1029" i="12"/>
  <c r="AE1029" i="12" s="1"/>
  <c r="AB1029" i="12"/>
  <c r="Z1029" i="12"/>
  <c r="X1029" i="12"/>
  <c r="W1029" i="12"/>
  <c r="V1029" i="12"/>
  <c r="U1029" i="12"/>
  <c r="T1029" i="12"/>
  <c r="S1029" i="12"/>
  <c r="AL1028" i="12"/>
  <c r="AK1028" i="12"/>
  <c r="AJ1028" i="12"/>
  <c r="AI1028" i="12"/>
  <c r="AH1028" i="12"/>
  <c r="AG1028" i="12"/>
  <c r="AF1028" i="12"/>
  <c r="AC1028" i="12"/>
  <c r="AE1028" i="12" s="1"/>
  <c r="AB1028" i="12"/>
  <c r="Z1028" i="12"/>
  <c r="X1028" i="12"/>
  <c r="W1028" i="12"/>
  <c r="V1028" i="12"/>
  <c r="U1028" i="12"/>
  <c r="T1028" i="12"/>
  <c r="S1028" i="12"/>
  <c r="AL1027" i="12"/>
  <c r="AK1027" i="12"/>
  <c r="AJ1027" i="12"/>
  <c r="AI1027" i="12"/>
  <c r="AH1027" i="12"/>
  <c r="AG1027" i="12"/>
  <c r="AF1027" i="12"/>
  <c r="AE1027" i="12"/>
  <c r="AC1027" i="12"/>
  <c r="AB1027" i="12"/>
  <c r="Z1027" i="12"/>
  <c r="X1027" i="12"/>
  <c r="W1027" i="12"/>
  <c r="V1027" i="12"/>
  <c r="U1027" i="12"/>
  <c r="T1027" i="12"/>
  <c r="S1027" i="12"/>
  <c r="AL1026" i="12"/>
  <c r="AK1026" i="12"/>
  <c r="AJ1026" i="12"/>
  <c r="AI1026" i="12"/>
  <c r="AH1026" i="12"/>
  <c r="AG1026" i="12"/>
  <c r="AF1026" i="12"/>
  <c r="AE1026" i="12"/>
  <c r="AC1026" i="12"/>
  <c r="AB1026" i="12"/>
  <c r="Z1026" i="12"/>
  <c r="X1026" i="12"/>
  <c r="W1026" i="12"/>
  <c r="V1026" i="12"/>
  <c r="U1026" i="12"/>
  <c r="T1026" i="12"/>
  <c r="S1026" i="12"/>
  <c r="AL1025" i="12"/>
  <c r="AK1025" i="12"/>
  <c r="AJ1025" i="12"/>
  <c r="AI1025" i="12"/>
  <c r="AH1025" i="12"/>
  <c r="AG1025" i="12"/>
  <c r="AF1025" i="12"/>
  <c r="AC1025" i="12"/>
  <c r="AE1025" i="12" s="1"/>
  <c r="AB1025" i="12"/>
  <c r="Z1025" i="12"/>
  <c r="X1025" i="12"/>
  <c r="W1025" i="12"/>
  <c r="V1025" i="12"/>
  <c r="U1025" i="12"/>
  <c r="T1025" i="12"/>
  <c r="S1025" i="12"/>
  <c r="AL1024" i="12"/>
  <c r="AK1024" i="12"/>
  <c r="AJ1024" i="12"/>
  <c r="AI1024" i="12"/>
  <c r="AH1024" i="12"/>
  <c r="AG1024" i="12"/>
  <c r="AF1024" i="12"/>
  <c r="AE1024" i="12"/>
  <c r="AC1024" i="12"/>
  <c r="AB1024" i="12"/>
  <c r="Z1024" i="12"/>
  <c r="X1024" i="12"/>
  <c r="W1024" i="12"/>
  <c r="V1024" i="12"/>
  <c r="U1024" i="12"/>
  <c r="T1024" i="12"/>
  <c r="S1024" i="12"/>
  <c r="AL1023" i="12"/>
  <c r="AK1023" i="12"/>
  <c r="AJ1023" i="12"/>
  <c r="AI1023" i="12"/>
  <c r="AH1023" i="12"/>
  <c r="AG1023" i="12"/>
  <c r="AF1023" i="12"/>
  <c r="AC1023" i="12"/>
  <c r="AE1023" i="12" s="1"/>
  <c r="AB1023" i="12"/>
  <c r="Z1023" i="12"/>
  <c r="X1023" i="12"/>
  <c r="W1023" i="12"/>
  <c r="V1023" i="12"/>
  <c r="U1023" i="12"/>
  <c r="T1023" i="12"/>
  <c r="S1023" i="12"/>
  <c r="AL1022" i="12"/>
  <c r="AK1022" i="12"/>
  <c r="AJ1022" i="12"/>
  <c r="AI1022" i="12"/>
  <c r="AH1022" i="12"/>
  <c r="AG1022" i="12"/>
  <c r="AF1022" i="12"/>
  <c r="AC1022" i="12"/>
  <c r="AE1022" i="12" s="1"/>
  <c r="AB1022" i="12"/>
  <c r="Z1022" i="12"/>
  <c r="X1022" i="12"/>
  <c r="W1022" i="12"/>
  <c r="V1022" i="12"/>
  <c r="U1022" i="12"/>
  <c r="T1022" i="12"/>
  <c r="S1022" i="12"/>
  <c r="AL1021" i="12"/>
  <c r="AK1021" i="12"/>
  <c r="AJ1021" i="12"/>
  <c r="AI1021" i="12"/>
  <c r="AH1021" i="12"/>
  <c r="AG1021" i="12"/>
  <c r="AF1021" i="12"/>
  <c r="AC1021" i="12"/>
  <c r="AE1021" i="12" s="1"/>
  <c r="AB1021" i="12"/>
  <c r="Z1021" i="12"/>
  <c r="X1021" i="12"/>
  <c r="W1021" i="12"/>
  <c r="V1021" i="12"/>
  <c r="U1021" i="12"/>
  <c r="T1021" i="12"/>
  <c r="S1021" i="12"/>
  <c r="AL1020" i="12"/>
  <c r="AK1020" i="12"/>
  <c r="AJ1020" i="12"/>
  <c r="AI1020" i="12"/>
  <c r="AH1020" i="12"/>
  <c r="AG1020" i="12"/>
  <c r="AF1020" i="12"/>
  <c r="AE1020" i="12"/>
  <c r="AC1020" i="12"/>
  <c r="AB1020" i="12"/>
  <c r="Z1020" i="12"/>
  <c r="X1020" i="12"/>
  <c r="W1020" i="12"/>
  <c r="V1020" i="12"/>
  <c r="U1020" i="12"/>
  <c r="T1020" i="12"/>
  <c r="S1020" i="12"/>
  <c r="AL1019" i="12"/>
  <c r="AK1019" i="12"/>
  <c r="AJ1019" i="12"/>
  <c r="AI1019" i="12"/>
  <c r="AH1019" i="12"/>
  <c r="AG1019" i="12"/>
  <c r="AF1019" i="12"/>
  <c r="AC1019" i="12"/>
  <c r="AE1019" i="12" s="1"/>
  <c r="AB1019" i="12"/>
  <c r="Z1019" i="12"/>
  <c r="X1019" i="12"/>
  <c r="W1019" i="12"/>
  <c r="V1019" i="12"/>
  <c r="U1019" i="12"/>
  <c r="T1019" i="12"/>
  <c r="S1019" i="12"/>
  <c r="AL1018" i="12"/>
  <c r="AK1018" i="12"/>
  <c r="AJ1018" i="12"/>
  <c r="AI1018" i="12"/>
  <c r="AH1018" i="12"/>
  <c r="AG1018" i="12"/>
  <c r="AF1018" i="12"/>
  <c r="AC1018" i="12"/>
  <c r="AE1018" i="12" s="1"/>
  <c r="AB1018" i="12"/>
  <c r="Z1018" i="12"/>
  <c r="X1018" i="12"/>
  <c r="W1018" i="12"/>
  <c r="V1018" i="12"/>
  <c r="U1018" i="12"/>
  <c r="T1018" i="12"/>
  <c r="S1018" i="12"/>
  <c r="AL1017" i="12"/>
  <c r="AK1017" i="12"/>
  <c r="AJ1017" i="12"/>
  <c r="AI1017" i="12"/>
  <c r="AH1017" i="12"/>
  <c r="AG1017" i="12"/>
  <c r="AF1017" i="12"/>
  <c r="AE1017" i="12"/>
  <c r="AC1017" i="12"/>
  <c r="AB1017" i="12"/>
  <c r="Z1017" i="12"/>
  <c r="X1017" i="12"/>
  <c r="W1017" i="12"/>
  <c r="V1017" i="12"/>
  <c r="U1017" i="12"/>
  <c r="T1017" i="12"/>
  <c r="S1017" i="12"/>
  <c r="AL1016" i="12"/>
  <c r="AK1016" i="12"/>
  <c r="AJ1016" i="12"/>
  <c r="AI1016" i="12"/>
  <c r="AH1016" i="12"/>
  <c r="AG1016" i="12"/>
  <c r="AF1016" i="12"/>
  <c r="AE1016" i="12"/>
  <c r="AC1016" i="12"/>
  <c r="AB1016" i="12"/>
  <c r="Z1016" i="12"/>
  <c r="X1016" i="12"/>
  <c r="W1016" i="12"/>
  <c r="V1016" i="12"/>
  <c r="U1016" i="12"/>
  <c r="T1016" i="12"/>
  <c r="S1016" i="12"/>
  <c r="AL1015" i="12"/>
  <c r="AK1015" i="12"/>
  <c r="AJ1015" i="12"/>
  <c r="AI1015" i="12"/>
  <c r="AH1015" i="12"/>
  <c r="AG1015" i="12"/>
  <c r="AF1015" i="12"/>
  <c r="AC1015" i="12"/>
  <c r="AE1015" i="12" s="1"/>
  <c r="AB1015" i="12"/>
  <c r="Z1015" i="12"/>
  <c r="X1015" i="12"/>
  <c r="W1015" i="12"/>
  <c r="V1015" i="12"/>
  <c r="U1015" i="12"/>
  <c r="T1015" i="12"/>
  <c r="S1015" i="12"/>
  <c r="AL1014" i="12"/>
  <c r="AK1014" i="12"/>
  <c r="AJ1014" i="12"/>
  <c r="AI1014" i="12"/>
  <c r="AH1014" i="12"/>
  <c r="AG1014" i="12"/>
  <c r="AF1014" i="12"/>
  <c r="AC1014" i="12"/>
  <c r="AE1014" i="12" s="1"/>
  <c r="AB1014" i="12"/>
  <c r="Z1014" i="12"/>
  <c r="X1014" i="12"/>
  <c r="W1014" i="12"/>
  <c r="V1014" i="12"/>
  <c r="U1014" i="12"/>
  <c r="T1014" i="12"/>
  <c r="S1014" i="12"/>
  <c r="AL1013" i="12"/>
  <c r="AK1013" i="12"/>
  <c r="AJ1013" i="12"/>
  <c r="AI1013" i="12"/>
  <c r="AH1013" i="12"/>
  <c r="AG1013" i="12"/>
  <c r="AF1013" i="12"/>
  <c r="AC1013" i="12"/>
  <c r="AE1013" i="12" s="1"/>
  <c r="AB1013" i="12"/>
  <c r="Z1013" i="12"/>
  <c r="X1013" i="12"/>
  <c r="W1013" i="12"/>
  <c r="V1013" i="12"/>
  <c r="U1013" i="12"/>
  <c r="T1013" i="12"/>
  <c r="S1013" i="12"/>
  <c r="AL1012" i="12"/>
  <c r="AK1012" i="12"/>
  <c r="AJ1012" i="12"/>
  <c r="AI1012" i="12"/>
  <c r="AH1012" i="12"/>
  <c r="AG1012" i="12"/>
  <c r="AF1012" i="12"/>
  <c r="AE1012" i="12"/>
  <c r="AC1012" i="12"/>
  <c r="AB1012" i="12"/>
  <c r="Z1012" i="12"/>
  <c r="X1012" i="12"/>
  <c r="W1012" i="12"/>
  <c r="V1012" i="12"/>
  <c r="U1012" i="12"/>
  <c r="T1012" i="12"/>
  <c r="S1012" i="12"/>
  <c r="AL1011" i="12"/>
  <c r="AK1011" i="12"/>
  <c r="AJ1011" i="12"/>
  <c r="AI1011" i="12"/>
  <c r="AH1011" i="12"/>
  <c r="AG1011" i="12"/>
  <c r="AF1011" i="12"/>
  <c r="AE1011" i="12"/>
  <c r="AC1011" i="12"/>
  <c r="AB1011" i="12"/>
  <c r="Z1011" i="12"/>
  <c r="X1011" i="12"/>
  <c r="W1011" i="12"/>
  <c r="V1011" i="12"/>
  <c r="U1011" i="12"/>
  <c r="T1011" i="12"/>
  <c r="S1011" i="12"/>
  <c r="AL1010" i="12"/>
  <c r="AK1010" i="12"/>
  <c r="AJ1010" i="12"/>
  <c r="AI1010" i="12"/>
  <c r="AH1010" i="12"/>
  <c r="AG1010" i="12"/>
  <c r="AF1010" i="12"/>
  <c r="AE1010" i="12"/>
  <c r="AC1010" i="12"/>
  <c r="AB1010" i="12"/>
  <c r="Z1010" i="12"/>
  <c r="X1010" i="12"/>
  <c r="W1010" i="12"/>
  <c r="V1010" i="12"/>
  <c r="U1010" i="12"/>
  <c r="T1010" i="12"/>
  <c r="S1010" i="12"/>
  <c r="AL1009" i="12"/>
  <c r="AK1009" i="12"/>
  <c r="AJ1009" i="12"/>
  <c r="AI1009" i="12"/>
  <c r="AH1009" i="12"/>
  <c r="AG1009" i="12"/>
  <c r="AF1009" i="12"/>
  <c r="AC1009" i="12"/>
  <c r="AE1009" i="12" s="1"/>
  <c r="AB1009" i="12"/>
  <c r="Z1009" i="12"/>
  <c r="X1009" i="12"/>
  <c r="W1009" i="12"/>
  <c r="V1009" i="12"/>
  <c r="U1009" i="12"/>
  <c r="T1009" i="12"/>
  <c r="S1009" i="12"/>
  <c r="AL1008" i="12"/>
  <c r="AK1008" i="12"/>
  <c r="AJ1008" i="12"/>
  <c r="AI1008" i="12"/>
  <c r="AH1008" i="12"/>
  <c r="AG1008" i="12"/>
  <c r="AF1008" i="12"/>
  <c r="AC1008" i="12"/>
  <c r="AE1008" i="12" s="1"/>
  <c r="AB1008" i="12"/>
  <c r="Z1008" i="12"/>
  <c r="X1008" i="12"/>
  <c r="W1008" i="12"/>
  <c r="V1008" i="12"/>
  <c r="U1008" i="12"/>
  <c r="T1008" i="12"/>
  <c r="S1008" i="12"/>
  <c r="AL1007" i="12"/>
  <c r="AK1007" i="12"/>
  <c r="AJ1007" i="12"/>
  <c r="AI1007" i="12"/>
  <c r="AH1007" i="12"/>
  <c r="AG1007" i="12"/>
  <c r="AF1007" i="12"/>
  <c r="AC1007" i="12"/>
  <c r="AE1007" i="12" s="1"/>
  <c r="AB1007" i="12"/>
  <c r="Z1007" i="12"/>
  <c r="X1007" i="12"/>
  <c r="W1007" i="12"/>
  <c r="V1007" i="12"/>
  <c r="U1007" i="12"/>
  <c r="T1007" i="12"/>
  <c r="S1007" i="12"/>
  <c r="AL1006" i="12"/>
  <c r="AK1006" i="12"/>
  <c r="AJ1006" i="12"/>
  <c r="AI1006" i="12"/>
  <c r="AH1006" i="12"/>
  <c r="AG1006" i="12"/>
  <c r="AF1006" i="12"/>
  <c r="AE1006" i="12"/>
  <c r="AC1006" i="12"/>
  <c r="AB1006" i="12"/>
  <c r="Z1006" i="12"/>
  <c r="X1006" i="12"/>
  <c r="W1006" i="12"/>
  <c r="V1006" i="12"/>
  <c r="U1006" i="12"/>
  <c r="T1006" i="12"/>
  <c r="S1006" i="12"/>
  <c r="AL1005" i="12"/>
  <c r="AK1005" i="12"/>
  <c r="AJ1005" i="12"/>
  <c r="AI1005" i="12"/>
  <c r="AH1005" i="12"/>
  <c r="AG1005" i="12"/>
  <c r="AF1005" i="12"/>
  <c r="AC1005" i="12"/>
  <c r="AE1005" i="12" s="1"/>
  <c r="AB1005" i="12"/>
  <c r="Z1005" i="12"/>
  <c r="X1005" i="12"/>
  <c r="W1005" i="12"/>
  <c r="V1005" i="12"/>
  <c r="U1005" i="12"/>
  <c r="T1005" i="12"/>
  <c r="S1005" i="12"/>
  <c r="AL1004" i="12"/>
  <c r="AK1004" i="12"/>
  <c r="AJ1004" i="12"/>
  <c r="AI1004" i="12"/>
  <c r="AH1004" i="12"/>
  <c r="AG1004" i="12"/>
  <c r="AF1004" i="12"/>
  <c r="AC1004" i="12"/>
  <c r="AE1004" i="12" s="1"/>
  <c r="AB1004" i="12"/>
  <c r="Z1004" i="12"/>
  <c r="X1004" i="12"/>
  <c r="W1004" i="12"/>
  <c r="V1004" i="12"/>
  <c r="U1004" i="12"/>
  <c r="T1004" i="12"/>
  <c r="S1004" i="12"/>
  <c r="AL1003" i="12"/>
  <c r="AK1003" i="12"/>
  <c r="AJ1003" i="12"/>
  <c r="AI1003" i="12"/>
  <c r="AH1003" i="12"/>
  <c r="AG1003" i="12"/>
  <c r="AF1003" i="12"/>
  <c r="AE1003" i="12"/>
  <c r="AC1003" i="12"/>
  <c r="AB1003" i="12"/>
  <c r="Z1003" i="12"/>
  <c r="X1003" i="12"/>
  <c r="W1003" i="12"/>
  <c r="V1003" i="12"/>
  <c r="U1003" i="12"/>
  <c r="T1003" i="12"/>
  <c r="S1003" i="12"/>
  <c r="AL1002" i="12"/>
  <c r="AK1002" i="12"/>
  <c r="AJ1002" i="12"/>
  <c r="AI1002" i="12"/>
  <c r="AH1002" i="12"/>
  <c r="AG1002" i="12"/>
  <c r="AF1002" i="12"/>
  <c r="AE1002" i="12"/>
  <c r="AC1002" i="12"/>
  <c r="AB1002" i="12"/>
  <c r="Z1002" i="12"/>
  <c r="X1002" i="12"/>
  <c r="W1002" i="12"/>
  <c r="V1002" i="12"/>
  <c r="U1002" i="12"/>
  <c r="T1002" i="12"/>
  <c r="S1002" i="12"/>
  <c r="AL1001" i="12"/>
  <c r="AK1001" i="12"/>
  <c r="AJ1001" i="12"/>
  <c r="AI1001" i="12"/>
  <c r="AH1001" i="12"/>
  <c r="AG1001" i="12"/>
  <c r="AF1001" i="12"/>
  <c r="AC1001" i="12"/>
  <c r="AE1001" i="12" s="1"/>
  <c r="AB1001" i="12"/>
  <c r="Z1001" i="12"/>
  <c r="X1001" i="12"/>
  <c r="W1001" i="12"/>
  <c r="V1001" i="12"/>
  <c r="U1001" i="12"/>
  <c r="T1001" i="12"/>
  <c r="S1001" i="12"/>
  <c r="AL1000" i="12"/>
  <c r="AK1000" i="12"/>
  <c r="AJ1000" i="12"/>
  <c r="AI1000" i="12"/>
  <c r="AH1000" i="12"/>
  <c r="AG1000" i="12"/>
  <c r="AF1000" i="12"/>
  <c r="AE1000" i="12"/>
  <c r="AC1000" i="12"/>
  <c r="AB1000" i="12"/>
  <c r="Z1000" i="12"/>
  <c r="X1000" i="12"/>
  <c r="W1000" i="12"/>
  <c r="V1000" i="12"/>
  <c r="U1000" i="12"/>
  <c r="T1000" i="12"/>
  <c r="S1000" i="12"/>
  <c r="AL999" i="12"/>
  <c r="AK999" i="12"/>
  <c r="AJ999" i="12"/>
  <c r="AI999" i="12"/>
  <c r="AH999" i="12"/>
  <c r="AG999" i="12"/>
  <c r="AF999" i="12"/>
  <c r="AC999" i="12"/>
  <c r="AE999" i="12" s="1"/>
  <c r="AB999" i="12"/>
  <c r="Z999" i="12"/>
  <c r="X999" i="12"/>
  <c r="W999" i="12"/>
  <c r="V999" i="12"/>
  <c r="U999" i="12"/>
  <c r="T999" i="12"/>
  <c r="S999" i="12"/>
  <c r="AL998" i="12"/>
  <c r="AK998" i="12"/>
  <c r="AJ998" i="12"/>
  <c r="AI998" i="12"/>
  <c r="AH998" i="12"/>
  <c r="AG998" i="12"/>
  <c r="AF998" i="12"/>
  <c r="AC998" i="12"/>
  <c r="AE998" i="12" s="1"/>
  <c r="AB998" i="12"/>
  <c r="Z998" i="12"/>
  <c r="X998" i="12"/>
  <c r="W998" i="12"/>
  <c r="V998" i="12"/>
  <c r="U998" i="12"/>
  <c r="T998" i="12"/>
  <c r="S998" i="12"/>
  <c r="AL997" i="12"/>
  <c r="AK997" i="12"/>
  <c r="AJ997" i="12"/>
  <c r="AI997" i="12"/>
  <c r="AH997" i="12"/>
  <c r="AG997" i="12"/>
  <c r="AF997" i="12"/>
  <c r="AC997" i="12"/>
  <c r="AE997" i="12" s="1"/>
  <c r="AB997" i="12"/>
  <c r="Z997" i="12"/>
  <c r="X997" i="12"/>
  <c r="W997" i="12"/>
  <c r="V997" i="12"/>
  <c r="U997" i="12"/>
  <c r="T997" i="12"/>
  <c r="S997" i="12"/>
  <c r="AL996" i="12"/>
  <c r="AK996" i="12"/>
  <c r="AJ996" i="12"/>
  <c r="AI996" i="12"/>
  <c r="AH996" i="12"/>
  <c r="AG996" i="12"/>
  <c r="AF996" i="12"/>
  <c r="AE996" i="12"/>
  <c r="AC996" i="12"/>
  <c r="AB996" i="12"/>
  <c r="Z996" i="12"/>
  <c r="X996" i="12"/>
  <c r="W996" i="12"/>
  <c r="V996" i="12"/>
  <c r="U996" i="12"/>
  <c r="T996" i="12"/>
  <c r="S996" i="12"/>
  <c r="AL995" i="12"/>
  <c r="AK995" i="12"/>
  <c r="AJ995" i="12"/>
  <c r="AI995" i="12"/>
  <c r="AH995" i="12"/>
  <c r="AG995" i="12"/>
  <c r="AF995" i="12"/>
  <c r="AC995" i="12"/>
  <c r="AE995" i="12" s="1"/>
  <c r="AB995" i="12"/>
  <c r="Z995" i="12"/>
  <c r="X995" i="12"/>
  <c r="W995" i="12"/>
  <c r="V995" i="12"/>
  <c r="U995" i="12"/>
  <c r="T995" i="12"/>
  <c r="S995" i="12"/>
  <c r="AL994" i="12"/>
  <c r="AK994" i="12"/>
  <c r="AJ994" i="12"/>
  <c r="AI994" i="12"/>
  <c r="AH994" i="12"/>
  <c r="AG994" i="12"/>
  <c r="AF994" i="12"/>
  <c r="AC994" i="12"/>
  <c r="AE994" i="12" s="1"/>
  <c r="AB994" i="12"/>
  <c r="Z994" i="12"/>
  <c r="X994" i="12"/>
  <c r="W994" i="12"/>
  <c r="V994" i="12"/>
  <c r="U994" i="12"/>
  <c r="T994" i="12"/>
  <c r="S994" i="12"/>
  <c r="AL993" i="12"/>
  <c r="AK993" i="12"/>
  <c r="AJ993" i="12"/>
  <c r="AI993" i="12"/>
  <c r="AH993" i="12"/>
  <c r="AG993" i="12"/>
  <c r="AF993" i="12"/>
  <c r="AC993" i="12"/>
  <c r="AE993" i="12" s="1"/>
  <c r="AB993" i="12"/>
  <c r="Z993" i="12"/>
  <c r="X993" i="12"/>
  <c r="W993" i="12"/>
  <c r="V993" i="12"/>
  <c r="U993" i="12"/>
  <c r="T993" i="12"/>
  <c r="S993" i="12"/>
  <c r="AL992" i="12"/>
  <c r="AK992" i="12"/>
  <c r="AJ992" i="12"/>
  <c r="AI992" i="12"/>
  <c r="AH992" i="12"/>
  <c r="AG992" i="12"/>
  <c r="AF992" i="12"/>
  <c r="AE992" i="12"/>
  <c r="AC992" i="12"/>
  <c r="AB992" i="12"/>
  <c r="Z992" i="12"/>
  <c r="X992" i="12"/>
  <c r="W992" i="12"/>
  <c r="V992" i="12"/>
  <c r="U992" i="12"/>
  <c r="T992" i="12"/>
  <c r="S992" i="12"/>
  <c r="AL991" i="12"/>
  <c r="AK991" i="12"/>
  <c r="AJ991" i="12"/>
  <c r="AI991" i="12"/>
  <c r="AH991" i="12"/>
  <c r="AG991" i="12"/>
  <c r="AF991" i="12"/>
  <c r="AE991" i="12"/>
  <c r="AC991" i="12"/>
  <c r="AB991" i="12"/>
  <c r="Z991" i="12"/>
  <c r="X991" i="12"/>
  <c r="W991" i="12"/>
  <c r="V991" i="12"/>
  <c r="U991" i="12"/>
  <c r="T991" i="12"/>
  <c r="S991" i="12"/>
  <c r="AL990" i="12"/>
  <c r="AK990" i="12"/>
  <c r="AJ990" i="12"/>
  <c r="AI990" i="12"/>
  <c r="AH990" i="12"/>
  <c r="AG990" i="12"/>
  <c r="AF990" i="12"/>
  <c r="AE990" i="12"/>
  <c r="AC990" i="12"/>
  <c r="AB990" i="12"/>
  <c r="Z990" i="12"/>
  <c r="X990" i="12"/>
  <c r="W990" i="12"/>
  <c r="V990" i="12"/>
  <c r="U990" i="12"/>
  <c r="T990" i="12"/>
  <c r="S990" i="12"/>
  <c r="AL989" i="12"/>
  <c r="AK989" i="12"/>
  <c r="AJ989" i="12"/>
  <c r="AI989" i="12"/>
  <c r="AH989" i="12"/>
  <c r="AG989" i="12"/>
  <c r="AF989" i="12"/>
  <c r="AC989" i="12"/>
  <c r="AE989" i="12" s="1"/>
  <c r="AB989" i="12"/>
  <c r="Z989" i="12"/>
  <c r="X989" i="12"/>
  <c r="W989" i="12"/>
  <c r="V989" i="12"/>
  <c r="U989" i="12"/>
  <c r="T989" i="12"/>
  <c r="S989" i="12"/>
  <c r="AL988" i="12"/>
  <c r="AK988" i="12"/>
  <c r="AJ988" i="12"/>
  <c r="AI988" i="12"/>
  <c r="AH988" i="12"/>
  <c r="AG988" i="12"/>
  <c r="AF988" i="12"/>
  <c r="AE988" i="12"/>
  <c r="AC988" i="12"/>
  <c r="AB988" i="12"/>
  <c r="Z988" i="12"/>
  <c r="X988" i="12"/>
  <c r="W988" i="12"/>
  <c r="V988" i="12"/>
  <c r="U988" i="12"/>
  <c r="T988" i="12"/>
  <c r="S988" i="12"/>
  <c r="AL987" i="12"/>
  <c r="AK987" i="12"/>
  <c r="AJ987" i="12"/>
  <c r="AI987" i="12"/>
  <c r="AH987" i="12"/>
  <c r="AG987" i="12"/>
  <c r="AF987" i="12"/>
  <c r="AC987" i="12"/>
  <c r="AE987" i="12" s="1"/>
  <c r="AB987" i="12"/>
  <c r="Z987" i="12"/>
  <c r="X987" i="12"/>
  <c r="W987" i="12"/>
  <c r="V987" i="12"/>
  <c r="U987" i="12"/>
  <c r="T987" i="12"/>
  <c r="S987" i="12"/>
  <c r="AL986" i="12"/>
  <c r="AK986" i="12"/>
  <c r="AJ986" i="12"/>
  <c r="AI986" i="12"/>
  <c r="AH986" i="12"/>
  <c r="AG986" i="12"/>
  <c r="AF986" i="12"/>
  <c r="AE986" i="12"/>
  <c r="AC986" i="12"/>
  <c r="AB986" i="12"/>
  <c r="Z986" i="12"/>
  <c r="X986" i="12"/>
  <c r="W986" i="12"/>
  <c r="V986" i="12"/>
  <c r="U986" i="12"/>
  <c r="T986" i="12"/>
  <c r="S986" i="12"/>
  <c r="AL985" i="12"/>
  <c r="AK985" i="12"/>
  <c r="AJ985" i="12"/>
  <c r="AI985" i="12"/>
  <c r="AH985" i="12"/>
  <c r="AG985" i="12"/>
  <c r="AF985" i="12"/>
  <c r="AC985" i="12"/>
  <c r="AE985" i="12" s="1"/>
  <c r="AB985" i="12"/>
  <c r="Z985" i="12"/>
  <c r="X985" i="12"/>
  <c r="W985" i="12"/>
  <c r="V985" i="12"/>
  <c r="U985" i="12"/>
  <c r="T985" i="12"/>
  <c r="S985" i="12"/>
  <c r="AL984" i="12"/>
  <c r="AK984" i="12"/>
  <c r="AJ984" i="12"/>
  <c r="AI984" i="12"/>
  <c r="AH984" i="12"/>
  <c r="AG984" i="12"/>
  <c r="AF984" i="12"/>
  <c r="AC984" i="12"/>
  <c r="AE984" i="12" s="1"/>
  <c r="AB984" i="12"/>
  <c r="Z984" i="12"/>
  <c r="X984" i="12"/>
  <c r="W984" i="12"/>
  <c r="V984" i="12"/>
  <c r="U984" i="12"/>
  <c r="T984" i="12"/>
  <c r="S984" i="12"/>
  <c r="AL983" i="12"/>
  <c r="AK983" i="12"/>
  <c r="AJ983" i="12"/>
  <c r="AI983" i="12"/>
  <c r="AH983" i="12"/>
  <c r="AG983" i="12"/>
  <c r="AF983" i="12"/>
  <c r="AC983" i="12"/>
  <c r="AE983" i="12" s="1"/>
  <c r="AB983" i="12"/>
  <c r="Z983" i="12"/>
  <c r="X983" i="12"/>
  <c r="W983" i="12"/>
  <c r="V983" i="12"/>
  <c r="U983" i="12"/>
  <c r="T983" i="12"/>
  <c r="S983" i="12"/>
  <c r="AL982" i="12"/>
  <c r="AK982" i="12"/>
  <c r="AJ982" i="12"/>
  <c r="AI982" i="12"/>
  <c r="AH982" i="12"/>
  <c r="AG982" i="12"/>
  <c r="AF982" i="12"/>
  <c r="AE982" i="12"/>
  <c r="AC982" i="12"/>
  <c r="AB982" i="12"/>
  <c r="Z982" i="12"/>
  <c r="X982" i="12"/>
  <c r="W982" i="12"/>
  <c r="V982" i="12"/>
  <c r="U982" i="12"/>
  <c r="T982" i="12"/>
  <c r="S982" i="12"/>
  <c r="AL981" i="12"/>
  <c r="AK981" i="12"/>
  <c r="AJ981" i="12"/>
  <c r="AI981" i="12"/>
  <c r="AH981" i="12"/>
  <c r="AG981" i="12"/>
  <c r="AF981" i="12"/>
  <c r="AC981" i="12"/>
  <c r="AE981" i="12" s="1"/>
  <c r="AB981" i="12"/>
  <c r="Z981" i="12"/>
  <c r="X981" i="12"/>
  <c r="W981" i="12"/>
  <c r="V981" i="12"/>
  <c r="U981" i="12"/>
  <c r="T981" i="12"/>
  <c r="S981" i="12"/>
  <c r="AL980" i="12"/>
  <c r="AK980" i="12"/>
  <c r="AJ980" i="12"/>
  <c r="AI980" i="12"/>
  <c r="AH980" i="12"/>
  <c r="AG980" i="12"/>
  <c r="AF980" i="12"/>
  <c r="AE980" i="12"/>
  <c r="AC980" i="12"/>
  <c r="AB980" i="12"/>
  <c r="Z980" i="12"/>
  <c r="X980" i="12"/>
  <c r="W980" i="12"/>
  <c r="V980" i="12"/>
  <c r="U980" i="12"/>
  <c r="T980" i="12"/>
  <c r="S980" i="12"/>
  <c r="AL979" i="12"/>
  <c r="AK979" i="12"/>
  <c r="AJ979" i="12"/>
  <c r="AI979" i="12"/>
  <c r="AH979" i="12"/>
  <c r="AG979" i="12"/>
  <c r="AF979" i="12"/>
  <c r="AE979" i="12"/>
  <c r="AC979" i="12"/>
  <c r="AB979" i="12"/>
  <c r="Z979" i="12"/>
  <c r="X979" i="12"/>
  <c r="W979" i="12"/>
  <c r="V979" i="12"/>
  <c r="U979" i="12"/>
  <c r="T979" i="12"/>
  <c r="S979" i="12"/>
  <c r="AL978" i="12"/>
  <c r="AK978" i="12"/>
  <c r="AJ978" i="12"/>
  <c r="AI978" i="12"/>
  <c r="AH978" i="12"/>
  <c r="AG978" i="12"/>
  <c r="AF978" i="12"/>
  <c r="AE978" i="12"/>
  <c r="AC978" i="12"/>
  <c r="AB978" i="12"/>
  <c r="Z978" i="12"/>
  <c r="X978" i="12"/>
  <c r="W978" i="12"/>
  <c r="V978" i="12"/>
  <c r="U978" i="12"/>
  <c r="T978" i="12"/>
  <c r="S978" i="12"/>
  <c r="AL977" i="12"/>
  <c r="AK977" i="12"/>
  <c r="AJ977" i="12"/>
  <c r="AI977" i="12"/>
  <c r="AH977" i="12"/>
  <c r="AG977" i="12"/>
  <c r="AF977" i="12"/>
  <c r="AC977" i="12"/>
  <c r="AE977" i="12" s="1"/>
  <c r="AB977" i="12"/>
  <c r="Z977" i="12"/>
  <c r="X977" i="12"/>
  <c r="W977" i="12"/>
  <c r="V977" i="12"/>
  <c r="U977" i="12"/>
  <c r="T977" i="12"/>
  <c r="S977" i="12"/>
  <c r="AL976" i="12"/>
  <c r="AK976" i="12"/>
  <c r="AJ976" i="12"/>
  <c r="AI976" i="12"/>
  <c r="AH976" i="12"/>
  <c r="AG976" i="12"/>
  <c r="AF976" i="12"/>
  <c r="AE976" i="12"/>
  <c r="AC976" i="12"/>
  <c r="AB976" i="12"/>
  <c r="Z976" i="12"/>
  <c r="X976" i="12"/>
  <c r="W976" i="12"/>
  <c r="V976" i="12"/>
  <c r="U976" i="12"/>
  <c r="T976" i="12"/>
  <c r="S976" i="12"/>
  <c r="AL975" i="12"/>
  <c r="AK975" i="12"/>
  <c r="AJ975" i="12"/>
  <c r="AI975" i="12"/>
  <c r="AH975" i="12"/>
  <c r="AG975" i="12"/>
  <c r="AF975" i="12"/>
  <c r="AC975" i="12"/>
  <c r="AE975" i="12" s="1"/>
  <c r="AB975" i="12"/>
  <c r="Z975" i="12"/>
  <c r="X975" i="12"/>
  <c r="W975" i="12"/>
  <c r="V975" i="12"/>
  <c r="U975" i="12"/>
  <c r="T975" i="12"/>
  <c r="S975" i="12"/>
  <c r="AL974" i="12"/>
  <c r="AK974" i="12"/>
  <c r="AJ974" i="12"/>
  <c r="AI974" i="12"/>
  <c r="AH974" i="12"/>
  <c r="AG974" i="12"/>
  <c r="AF974" i="12"/>
  <c r="AC974" i="12"/>
  <c r="AE974" i="12" s="1"/>
  <c r="AB974" i="12"/>
  <c r="Z974" i="12"/>
  <c r="X974" i="12"/>
  <c r="W974" i="12"/>
  <c r="V974" i="12"/>
  <c r="U974" i="12"/>
  <c r="T974" i="12"/>
  <c r="S974" i="12"/>
  <c r="AL973" i="12"/>
  <c r="AK973" i="12"/>
  <c r="AJ973" i="12"/>
  <c r="AI973" i="12"/>
  <c r="AH973" i="12"/>
  <c r="AG973" i="12"/>
  <c r="AF973" i="12"/>
  <c r="AC973" i="12"/>
  <c r="AE973" i="12" s="1"/>
  <c r="AB973" i="12"/>
  <c r="Z973" i="12"/>
  <c r="X973" i="12"/>
  <c r="W973" i="12"/>
  <c r="V973" i="12"/>
  <c r="U973" i="12"/>
  <c r="T973" i="12"/>
  <c r="S973" i="12"/>
  <c r="AL972" i="12"/>
  <c r="AK972" i="12"/>
  <c r="AJ972" i="12"/>
  <c r="AI972" i="12"/>
  <c r="AH972" i="12"/>
  <c r="AG972" i="12"/>
  <c r="AF972" i="12"/>
  <c r="AE972" i="12"/>
  <c r="AC972" i="12"/>
  <c r="AB972" i="12"/>
  <c r="Z972" i="12"/>
  <c r="X972" i="12"/>
  <c r="W972" i="12"/>
  <c r="V972" i="12"/>
  <c r="U972" i="12"/>
  <c r="T972" i="12"/>
  <c r="S972" i="12"/>
  <c r="AL971" i="12"/>
  <c r="AK971" i="12"/>
  <c r="AJ971" i="12"/>
  <c r="AI971" i="12"/>
  <c r="AH971" i="12"/>
  <c r="AG971" i="12"/>
  <c r="AF971" i="12"/>
  <c r="AE971" i="12"/>
  <c r="AC971" i="12"/>
  <c r="AB971" i="12"/>
  <c r="Z971" i="12"/>
  <c r="X971" i="12"/>
  <c r="W971" i="12"/>
  <c r="V971" i="12"/>
  <c r="U971" i="12"/>
  <c r="T971" i="12"/>
  <c r="S971" i="12"/>
  <c r="AL970" i="12"/>
  <c r="AK970" i="12"/>
  <c r="AJ970" i="12"/>
  <c r="AI970" i="12"/>
  <c r="AH970" i="12"/>
  <c r="AG970" i="12"/>
  <c r="AF970" i="12"/>
  <c r="AE970" i="12"/>
  <c r="AC970" i="12"/>
  <c r="AB970" i="12"/>
  <c r="Z970" i="12"/>
  <c r="X970" i="12"/>
  <c r="W970" i="12"/>
  <c r="V970" i="12"/>
  <c r="U970" i="12"/>
  <c r="T970" i="12"/>
  <c r="S970" i="12"/>
  <c r="AL969" i="12"/>
  <c r="AK969" i="12"/>
  <c r="AJ969" i="12"/>
  <c r="AI969" i="12"/>
  <c r="AH969" i="12"/>
  <c r="AG969" i="12"/>
  <c r="AF969" i="12"/>
  <c r="AC969" i="12"/>
  <c r="AE969" i="12" s="1"/>
  <c r="AB969" i="12"/>
  <c r="Z969" i="12"/>
  <c r="X969" i="12"/>
  <c r="W969" i="12"/>
  <c r="V969" i="12"/>
  <c r="U969" i="12"/>
  <c r="T969" i="12"/>
  <c r="S969" i="12"/>
  <c r="AL968" i="12"/>
  <c r="AK968" i="12"/>
  <c r="AJ968" i="12"/>
  <c r="AI968" i="12"/>
  <c r="AH968" i="12"/>
  <c r="AG968" i="12"/>
  <c r="AF968" i="12"/>
  <c r="AC968" i="12"/>
  <c r="AE968" i="12" s="1"/>
  <c r="AB968" i="12"/>
  <c r="Z968" i="12"/>
  <c r="X968" i="12"/>
  <c r="W968" i="12"/>
  <c r="V968" i="12"/>
  <c r="U968" i="12"/>
  <c r="T968" i="12"/>
  <c r="S968" i="12"/>
  <c r="AL967" i="12"/>
  <c r="AK967" i="12"/>
  <c r="AJ967" i="12"/>
  <c r="AI967" i="12"/>
  <c r="AH967" i="12"/>
  <c r="AG967" i="12"/>
  <c r="AF967" i="12"/>
  <c r="AC967" i="12"/>
  <c r="AE967" i="12" s="1"/>
  <c r="AB967" i="12"/>
  <c r="Z967" i="12"/>
  <c r="X967" i="12"/>
  <c r="W967" i="12"/>
  <c r="V967" i="12"/>
  <c r="U967" i="12"/>
  <c r="T967" i="12"/>
  <c r="S967" i="12"/>
  <c r="AL966" i="12"/>
  <c r="AK966" i="12"/>
  <c r="AJ966" i="12"/>
  <c r="AI966" i="12"/>
  <c r="AH966" i="12"/>
  <c r="AG966" i="12"/>
  <c r="AF966" i="12"/>
  <c r="AE966" i="12"/>
  <c r="AC966" i="12"/>
  <c r="AB966" i="12"/>
  <c r="Z966" i="12"/>
  <c r="X966" i="12"/>
  <c r="W966" i="12"/>
  <c r="V966" i="12"/>
  <c r="U966" i="12"/>
  <c r="T966" i="12"/>
  <c r="S966" i="12"/>
  <c r="AL965" i="12"/>
  <c r="AK965" i="12"/>
  <c r="AJ965" i="12"/>
  <c r="AI965" i="12"/>
  <c r="AH965" i="12"/>
  <c r="AG965" i="12"/>
  <c r="AF965" i="12"/>
  <c r="AE965" i="12"/>
  <c r="AC965" i="12"/>
  <c r="AB965" i="12"/>
  <c r="Z965" i="12"/>
  <c r="X965" i="12"/>
  <c r="W965" i="12"/>
  <c r="V965" i="12"/>
  <c r="U965" i="12"/>
  <c r="T965" i="12"/>
  <c r="S965" i="12"/>
  <c r="AL964" i="12"/>
  <c r="AK964" i="12"/>
  <c r="AJ964" i="12"/>
  <c r="AI964" i="12"/>
  <c r="AH964" i="12"/>
  <c r="AG964" i="12"/>
  <c r="AF964" i="12"/>
  <c r="AC964" i="12"/>
  <c r="AE964" i="12" s="1"/>
  <c r="AB964" i="12"/>
  <c r="Z964" i="12"/>
  <c r="X964" i="12"/>
  <c r="W964" i="12"/>
  <c r="V964" i="12"/>
  <c r="U964" i="12"/>
  <c r="T964" i="12"/>
  <c r="S964" i="12"/>
  <c r="AL963" i="12"/>
  <c r="AK963" i="12"/>
  <c r="AJ963" i="12"/>
  <c r="AI963" i="12"/>
  <c r="AH963" i="12"/>
  <c r="AG963" i="12"/>
  <c r="AF963" i="12"/>
  <c r="AC963" i="12"/>
  <c r="AE963" i="12" s="1"/>
  <c r="AB963" i="12"/>
  <c r="Z963" i="12"/>
  <c r="X963" i="12"/>
  <c r="W963" i="12"/>
  <c r="V963" i="12"/>
  <c r="U963" i="12"/>
  <c r="T963" i="12"/>
  <c r="S963" i="12"/>
  <c r="AL962" i="12"/>
  <c r="AK962" i="12"/>
  <c r="AJ962" i="12"/>
  <c r="AI962" i="12"/>
  <c r="AH962" i="12"/>
  <c r="AG962" i="12"/>
  <c r="AF962" i="12"/>
  <c r="AC962" i="12"/>
  <c r="AE962" i="12" s="1"/>
  <c r="AB962" i="12"/>
  <c r="Z962" i="12"/>
  <c r="X962" i="12"/>
  <c r="W962" i="12"/>
  <c r="V962" i="12"/>
  <c r="U962" i="12"/>
  <c r="T962" i="12"/>
  <c r="S962" i="12"/>
  <c r="AL961" i="12"/>
  <c r="AK961" i="12"/>
  <c r="AJ961" i="12"/>
  <c r="AI961" i="12"/>
  <c r="AH961" i="12"/>
  <c r="AG961" i="12"/>
  <c r="AF961" i="12"/>
  <c r="AE961" i="12"/>
  <c r="AC961" i="12"/>
  <c r="AB961" i="12"/>
  <c r="Z961" i="12"/>
  <c r="X961" i="12"/>
  <c r="W961" i="12"/>
  <c r="V961" i="12"/>
  <c r="U961" i="12"/>
  <c r="T961" i="12"/>
  <c r="S961" i="12"/>
  <c r="AL960" i="12"/>
  <c r="AK960" i="12"/>
  <c r="AJ960" i="12"/>
  <c r="AI960" i="12"/>
  <c r="AH960" i="12"/>
  <c r="AG960" i="12"/>
  <c r="AF960" i="12"/>
  <c r="AC960" i="12"/>
  <c r="AE960" i="12" s="1"/>
  <c r="AB960" i="12"/>
  <c r="Z960" i="12"/>
  <c r="X960" i="12"/>
  <c r="W960" i="12"/>
  <c r="V960" i="12"/>
  <c r="U960" i="12"/>
  <c r="T960" i="12"/>
  <c r="S960" i="12"/>
  <c r="AL959" i="12"/>
  <c r="AK959" i="12"/>
  <c r="AJ959" i="12"/>
  <c r="AI959" i="12"/>
  <c r="AH959" i="12"/>
  <c r="AG959" i="12"/>
  <c r="AF959" i="12"/>
  <c r="AC959" i="12"/>
  <c r="AE959" i="12" s="1"/>
  <c r="AB959" i="12"/>
  <c r="Z959" i="12"/>
  <c r="X959" i="12"/>
  <c r="W959" i="12"/>
  <c r="V959" i="12"/>
  <c r="U959" i="12"/>
  <c r="T959" i="12"/>
  <c r="S959" i="12"/>
  <c r="AL958" i="12"/>
  <c r="AK958" i="12"/>
  <c r="AJ958" i="12"/>
  <c r="AI958" i="12"/>
  <c r="AH958" i="12"/>
  <c r="AG958" i="12"/>
  <c r="AF958" i="12"/>
  <c r="AC958" i="12"/>
  <c r="AE958" i="12" s="1"/>
  <c r="AB958" i="12"/>
  <c r="Z958" i="12"/>
  <c r="X958" i="12"/>
  <c r="W958" i="12"/>
  <c r="V958" i="12"/>
  <c r="U958" i="12"/>
  <c r="T958" i="12"/>
  <c r="S958" i="12"/>
  <c r="AL957" i="12"/>
  <c r="AK957" i="12"/>
  <c r="AJ957" i="12"/>
  <c r="AI957" i="12"/>
  <c r="AH957" i="12"/>
  <c r="AG957" i="12"/>
  <c r="AF957" i="12"/>
  <c r="AC957" i="12"/>
  <c r="AE957" i="12" s="1"/>
  <c r="AB957" i="12"/>
  <c r="Z957" i="12"/>
  <c r="X957" i="12"/>
  <c r="W957" i="12"/>
  <c r="V957" i="12"/>
  <c r="U957" i="12"/>
  <c r="T957" i="12"/>
  <c r="S957" i="12"/>
  <c r="AL956" i="12"/>
  <c r="AK956" i="12"/>
  <c r="AJ956" i="12"/>
  <c r="AI956" i="12"/>
  <c r="AH956" i="12"/>
  <c r="AG956" i="12"/>
  <c r="AF956" i="12"/>
  <c r="AC956" i="12"/>
  <c r="AE956" i="12" s="1"/>
  <c r="AB956" i="12"/>
  <c r="Z956" i="12"/>
  <c r="X956" i="12"/>
  <c r="W956" i="12"/>
  <c r="V956" i="12"/>
  <c r="U956" i="12"/>
  <c r="T956" i="12"/>
  <c r="S956" i="12"/>
  <c r="AL955" i="12"/>
  <c r="AK955" i="12"/>
  <c r="AJ955" i="12"/>
  <c r="AI955" i="12"/>
  <c r="AH955" i="12"/>
  <c r="AG955" i="12"/>
  <c r="AF955" i="12"/>
  <c r="AE955" i="12"/>
  <c r="AC955" i="12"/>
  <c r="AB955" i="12"/>
  <c r="Z955" i="12"/>
  <c r="X955" i="12"/>
  <c r="W955" i="12"/>
  <c r="V955" i="12"/>
  <c r="U955" i="12"/>
  <c r="T955" i="12"/>
  <c r="S955" i="12"/>
  <c r="AL954" i="12"/>
  <c r="AK954" i="12"/>
  <c r="AJ954" i="12"/>
  <c r="AI954" i="12"/>
  <c r="AH954" i="12"/>
  <c r="AG954" i="12"/>
  <c r="AF954" i="12"/>
  <c r="AC954" i="12"/>
  <c r="AE954" i="12" s="1"/>
  <c r="AB954" i="12"/>
  <c r="Z954" i="12"/>
  <c r="X954" i="12"/>
  <c r="W954" i="12"/>
  <c r="V954" i="12"/>
  <c r="U954" i="12"/>
  <c r="T954" i="12"/>
  <c r="S954" i="12"/>
  <c r="AL953" i="12"/>
  <c r="AK953" i="12"/>
  <c r="AJ953" i="12"/>
  <c r="AI953" i="12"/>
  <c r="AH953" i="12"/>
  <c r="AG953" i="12"/>
  <c r="AF953" i="12"/>
  <c r="AC953" i="12"/>
  <c r="AE953" i="12" s="1"/>
  <c r="AB953" i="12"/>
  <c r="Z953" i="12"/>
  <c r="X953" i="12"/>
  <c r="W953" i="12"/>
  <c r="V953" i="12"/>
  <c r="U953" i="12"/>
  <c r="T953" i="12"/>
  <c r="S953" i="12"/>
  <c r="AL952" i="12"/>
  <c r="AK952" i="12"/>
  <c r="AJ952" i="12"/>
  <c r="AI952" i="12"/>
  <c r="AH952" i="12"/>
  <c r="AG952" i="12"/>
  <c r="AF952" i="12"/>
  <c r="AE952" i="12"/>
  <c r="AC952" i="12"/>
  <c r="AB952" i="12"/>
  <c r="Z952" i="12"/>
  <c r="X952" i="12"/>
  <c r="W952" i="12"/>
  <c r="V952" i="12"/>
  <c r="U952" i="12"/>
  <c r="T952" i="12"/>
  <c r="S952" i="12"/>
  <c r="AL951" i="12"/>
  <c r="AK951" i="12"/>
  <c r="AJ951" i="12"/>
  <c r="AI951" i="12"/>
  <c r="AH951" i="12"/>
  <c r="AG951" i="12"/>
  <c r="AF951" i="12"/>
  <c r="AE951" i="12"/>
  <c r="AC951" i="12"/>
  <c r="AB951" i="12"/>
  <c r="Z951" i="12"/>
  <c r="X951" i="12"/>
  <c r="W951" i="12"/>
  <c r="V951" i="12"/>
  <c r="U951" i="12"/>
  <c r="T951" i="12"/>
  <c r="S951" i="12"/>
  <c r="AL950" i="12"/>
  <c r="AK950" i="12"/>
  <c r="AJ950" i="12"/>
  <c r="AI950" i="12"/>
  <c r="AH950" i="12"/>
  <c r="AG950" i="12"/>
  <c r="AF950" i="12"/>
  <c r="AE950" i="12"/>
  <c r="AC950" i="12"/>
  <c r="AB950" i="12"/>
  <c r="Z950" i="12"/>
  <c r="X950" i="12"/>
  <c r="W950" i="12"/>
  <c r="V950" i="12"/>
  <c r="U950" i="12"/>
  <c r="T950" i="12"/>
  <c r="S950" i="12"/>
  <c r="AL949" i="12"/>
  <c r="AK949" i="12"/>
  <c r="AJ949" i="12"/>
  <c r="AI949" i="12"/>
  <c r="AH949" i="12"/>
  <c r="AG949" i="12"/>
  <c r="AF949" i="12"/>
  <c r="AE949" i="12"/>
  <c r="AC949" i="12"/>
  <c r="AB949" i="12"/>
  <c r="Z949" i="12"/>
  <c r="X949" i="12"/>
  <c r="W949" i="12"/>
  <c r="V949" i="12"/>
  <c r="U949" i="12"/>
  <c r="T949" i="12"/>
  <c r="S949" i="12"/>
  <c r="AL948" i="12"/>
  <c r="AK948" i="12"/>
  <c r="AJ948" i="12"/>
  <c r="AI948" i="12"/>
  <c r="AH948" i="12"/>
  <c r="AG948" i="12"/>
  <c r="AF948" i="12"/>
  <c r="AE948" i="12"/>
  <c r="AC948" i="12"/>
  <c r="AB948" i="12"/>
  <c r="Z948" i="12"/>
  <c r="X948" i="12"/>
  <c r="W948" i="12"/>
  <c r="V948" i="12"/>
  <c r="U948" i="12"/>
  <c r="T948" i="12"/>
  <c r="S948" i="12"/>
  <c r="AL947" i="12"/>
  <c r="AK947" i="12"/>
  <c r="AJ947" i="12"/>
  <c r="AI947" i="12"/>
  <c r="AH947" i="12"/>
  <c r="AG947" i="12"/>
  <c r="AF947" i="12"/>
  <c r="AC947" i="12"/>
  <c r="AE947" i="12" s="1"/>
  <c r="AB947" i="12"/>
  <c r="Z947" i="12"/>
  <c r="X947" i="12"/>
  <c r="W947" i="12"/>
  <c r="V947" i="12"/>
  <c r="U947" i="12"/>
  <c r="T947" i="12"/>
  <c r="S947" i="12"/>
  <c r="AL946" i="12"/>
  <c r="AK946" i="12"/>
  <c r="AJ946" i="12"/>
  <c r="AI946" i="12"/>
  <c r="AH946" i="12"/>
  <c r="AG946" i="12"/>
  <c r="AF946" i="12"/>
  <c r="AC946" i="12"/>
  <c r="AE946" i="12" s="1"/>
  <c r="AB946" i="12"/>
  <c r="Z946" i="12"/>
  <c r="X946" i="12"/>
  <c r="W946" i="12"/>
  <c r="V946" i="12"/>
  <c r="U946" i="12"/>
  <c r="T946" i="12"/>
  <c r="S946" i="12"/>
  <c r="AL945" i="12"/>
  <c r="AK945" i="12"/>
  <c r="AJ945" i="12"/>
  <c r="AI945" i="12"/>
  <c r="AH945" i="12"/>
  <c r="AG945" i="12"/>
  <c r="AF945" i="12"/>
  <c r="AC945" i="12"/>
  <c r="AE945" i="12" s="1"/>
  <c r="AB945" i="12"/>
  <c r="Z945" i="12"/>
  <c r="X945" i="12"/>
  <c r="W945" i="12"/>
  <c r="V945" i="12"/>
  <c r="U945" i="12"/>
  <c r="T945" i="12"/>
  <c r="S945" i="12"/>
  <c r="AL944" i="12"/>
  <c r="AK944" i="12"/>
  <c r="AJ944" i="12"/>
  <c r="AI944" i="12"/>
  <c r="AH944" i="12"/>
  <c r="AG944" i="12"/>
  <c r="AF944" i="12"/>
  <c r="AE944" i="12"/>
  <c r="AC944" i="12"/>
  <c r="AB944" i="12"/>
  <c r="Z944" i="12"/>
  <c r="X944" i="12"/>
  <c r="W944" i="12"/>
  <c r="V944" i="12"/>
  <c r="U944" i="12"/>
  <c r="T944" i="12"/>
  <c r="S944" i="12"/>
  <c r="AL943" i="12"/>
  <c r="AK943" i="12"/>
  <c r="AJ943" i="12"/>
  <c r="AI943" i="12"/>
  <c r="AH943" i="12"/>
  <c r="AG943" i="12"/>
  <c r="AF943" i="12"/>
  <c r="AC943" i="12"/>
  <c r="AE943" i="12" s="1"/>
  <c r="AB943" i="12"/>
  <c r="Z943" i="12"/>
  <c r="X943" i="12"/>
  <c r="W943" i="12"/>
  <c r="V943" i="12"/>
  <c r="U943" i="12"/>
  <c r="T943" i="12"/>
  <c r="S943" i="12"/>
  <c r="AL942" i="12"/>
  <c r="AK942" i="12"/>
  <c r="AJ942" i="12"/>
  <c r="AI942" i="12"/>
  <c r="AH942" i="12"/>
  <c r="AG942" i="12"/>
  <c r="AF942" i="12"/>
  <c r="AC942" i="12"/>
  <c r="AE942" i="12" s="1"/>
  <c r="AB942" i="12"/>
  <c r="Z942" i="12"/>
  <c r="X942" i="12"/>
  <c r="W942" i="12"/>
  <c r="V942" i="12"/>
  <c r="U942" i="12"/>
  <c r="T942" i="12"/>
  <c r="S942" i="12"/>
  <c r="AL941" i="12"/>
  <c r="AK941" i="12"/>
  <c r="AJ941" i="12"/>
  <c r="AI941" i="12"/>
  <c r="AH941" i="12"/>
  <c r="AG941" i="12"/>
  <c r="AF941" i="12"/>
  <c r="AE941" i="12"/>
  <c r="AC941" i="12"/>
  <c r="AB941" i="12"/>
  <c r="Z941" i="12"/>
  <c r="X941" i="12"/>
  <c r="W941" i="12"/>
  <c r="V941" i="12"/>
  <c r="U941" i="12"/>
  <c r="T941" i="12"/>
  <c r="S941" i="12"/>
  <c r="AL940" i="12"/>
  <c r="AK940" i="12"/>
  <c r="AJ940" i="12"/>
  <c r="AI940" i="12"/>
  <c r="AH940" i="12"/>
  <c r="AG940" i="12"/>
  <c r="AF940" i="12"/>
  <c r="AE940" i="12"/>
  <c r="AC940" i="12"/>
  <c r="AB940" i="12"/>
  <c r="Z940" i="12"/>
  <c r="X940" i="12"/>
  <c r="W940" i="12"/>
  <c r="V940" i="12"/>
  <c r="U940" i="12"/>
  <c r="T940" i="12"/>
  <c r="S940" i="12"/>
  <c r="AL939" i="12"/>
  <c r="AK939" i="12"/>
  <c r="AJ939" i="12"/>
  <c r="AI939" i="12"/>
  <c r="AH939" i="12"/>
  <c r="AG939" i="12"/>
  <c r="AF939" i="12"/>
  <c r="AC939" i="12"/>
  <c r="AE939" i="12" s="1"/>
  <c r="AB939" i="12"/>
  <c r="Z939" i="12"/>
  <c r="X939" i="12"/>
  <c r="W939" i="12"/>
  <c r="V939" i="12"/>
  <c r="U939" i="12"/>
  <c r="T939" i="12"/>
  <c r="S939" i="12"/>
  <c r="AL938" i="12"/>
  <c r="AK938" i="12"/>
  <c r="AJ938" i="12"/>
  <c r="AI938" i="12"/>
  <c r="AH938" i="12"/>
  <c r="AG938" i="12"/>
  <c r="AF938" i="12"/>
  <c r="AE938" i="12"/>
  <c r="AC938" i="12"/>
  <c r="AB938" i="12"/>
  <c r="Z938" i="12"/>
  <c r="X938" i="12"/>
  <c r="W938" i="12"/>
  <c r="V938" i="12"/>
  <c r="U938" i="12"/>
  <c r="T938" i="12"/>
  <c r="S938" i="12"/>
  <c r="AL937" i="12"/>
  <c r="AK937" i="12"/>
  <c r="AJ937" i="12"/>
  <c r="AI937" i="12"/>
  <c r="AH937" i="12"/>
  <c r="AG937" i="12"/>
  <c r="AF937" i="12"/>
  <c r="AC937" i="12"/>
  <c r="AE937" i="12" s="1"/>
  <c r="AB937" i="12"/>
  <c r="Z937" i="12"/>
  <c r="X937" i="12"/>
  <c r="W937" i="12"/>
  <c r="V937" i="12"/>
  <c r="U937" i="12"/>
  <c r="T937" i="12"/>
  <c r="S937" i="12"/>
  <c r="AL936" i="12"/>
  <c r="AK936" i="12"/>
  <c r="AJ936" i="12"/>
  <c r="AI936" i="12"/>
  <c r="AH936" i="12"/>
  <c r="AG936" i="12"/>
  <c r="AF936" i="12"/>
  <c r="AC936" i="12"/>
  <c r="AE936" i="12" s="1"/>
  <c r="AB936" i="12"/>
  <c r="Z936" i="12"/>
  <c r="X936" i="12"/>
  <c r="W936" i="12"/>
  <c r="V936" i="12"/>
  <c r="U936" i="12"/>
  <c r="T936" i="12"/>
  <c r="S936" i="12"/>
  <c r="AL935" i="12"/>
  <c r="AK935" i="12"/>
  <c r="AJ935" i="12"/>
  <c r="AI935" i="12"/>
  <c r="AH935" i="12"/>
  <c r="AG935" i="12"/>
  <c r="AF935" i="12"/>
  <c r="AC935" i="12"/>
  <c r="AE935" i="12" s="1"/>
  <c r="AB935" i="12"/>
  <c r="Z935" i="12"/>
  <c r="X935" i="12"/>
  <c r="W935" i="12"/>
  <c r="V935" i="12"/>
  <c r="U935" i="12"/>
  <c r="T935" i="12"/>
  <c r="S935" i="12"/>
  <c r="AL934" i="12"/>
  <c r="AK934" i="12"/>
  <c r="AJ934" i="12"/>
  <c r="AI934" i="12"/>
  <c r="AH934" i="12"/>
  <c r="AG934" i="12"/>
  <c r="AF934" i="12"/>
  <c r="AC934" i="12"/>
  <c r="AE934" i="12" s="1"/>
  <c r="AB934" i="12"/>
  <c r="Z934" i="12"/>
  <c r="X934" i="12"/>
  <c r="W934" i="12"/>
  <c r="V934" i="12"/>
  <c r="U934" i="12"/>
  <c r="T934" i="12"/>
  <c r="S934" i="12"/>
  <c r="AL933" i="12"/>
  <c r="AK933" i="12"/>
  <c r="AJ933" i="12"/>
  <c r="AI933" i="12"/>
  <c r="AH933" i="12"/>
  <c r="AG933" i="12"/>
  <c r="AF933" i="12"/>
  <c r="AC933" i="12"/>
  <c r="AE933" i="12" s="1"/>
  <c r="AB933" i="12"/>
  <c r="Z933" i="12"/>
  <c r="X933" i="12"/>
  <c r="W933" i="12"/>
  <c r="V933" i="12"/>
  <c r="U933" i="12"/>
  <c r="T933" i="12"/>
  <c r="S933" i="12"/>
  <c r="AL932" i="12"/>
  <c r="AK932" i="12"/>
  <c r="AJ932" i="12"/>
  <c r="AI932" i="12"/>
  <c r="AH932" i="12"/>
  <c r="AG932" i="12"/>
  <c r="AF932" i="12"/>
  <c r="AE932" i="12"/>
  <c r="AC932" i="12"/>
  <c r="AB932" i="12"/>
  <c r="Z932" i="12"/>
  <c r="X932" i="12"/>
  <c r="W932" i="12"/>
  <c r="V932" i="12"/>
  <c r="U932" i="12"/>
  <c r="T932" i="12"/>
  <c r="S932" i="12"/>
  <c r="AL931" i="12"/>
  <c r="AK931" i="12"/>
  <c r="AJ931" i="12"/>
  <c r="AI931" i="12"/>
  <c r="AH931" i="12"/>
  <c r="AG931" i="12"/>
  <c r="AF931" i="12"/>
  <c r="AC931" i="12"/>
  <c r="AE931" i="12" s="1"/>
  <c r="AB931" i="12"/>
  <c r="Z931" i="12"/>
  <c r="X931" i="12"/>
  <c r="W931" i="12"/>
  <c r="V931" i="12"/>
  <c r="U931" i="12"/>
  <c r="T931" i="12"/>
  <c r="S931" i="12"/>
  <c r="AL930" i="12"/>
  <c r="AK930" i="12"/>
  <c r="AJ930" i="12"/>
  <c r="AI930" i="12"/>
  <c r="AH930" i="12"/>
  <c r="AG930" i="12"/>
  <c r="AF930" i="12"/>
  <c r="AE930" i="12"/>
  <c r="AC930" i="12"/>
  <c r="AB930" i="12"/>
  <c r="Z930" i="12"/>
  <c r="X930" i="12"/>
  <c r="W930" i="12"/>
  <c r="V930" i="12"/>
  <c r="U930" i="12"/>
  <c r="T930" i="12"/>
  <c r="S930" i="12"/>
  <c r="AL929" i="12"/>
  <c r="AK929" i="12"/>
  <c r="AJ929" i="12"/>
  <c r="AI929" i="12"/>
  <c r="AH929" i="12"/>
  <c r="AG929" i="12"/>
  <c r="AF929" i="12"/>
  <c r="AE929" i="12"/>
  <c r="AC929" i="12"/>
  <c r="AB929" i="12"/>
  <c r="Z929" i="12"/>
  <c r="X929" i="12"/>
  <c r="W929" i="12"/>
  <c r="V929" i="12"/>
  <c r="U929" i="12"/>
  <c r="T929" i="12"/>
  <c r="S929" i="12"/>
  <c r="AL928" i="12"/>
  <c r="AK928" i="12"/>
  <c r="AJ928" i="12"/>
  <c r="AI928" i="12"/>
  <c r="AH928" i="12"/>
  <c r="AG928" i="12"/>
  <c r="AF928" i="12"/>
  <c r="AE928" i="12"/>
  <c r="AC928" i="12"/>
  <c r="AB928" i="12"/>
  <c r="Z928" i="12"/>
  <c r="X928" i="12"/>
  <c r="W928" i="12"/>
  <c r="V928" i="12"/>
  <c r="U928" i="12"/>
  <c r="T928" i="12"/>
  <c r="S928" i="12"/>
  <c r="AL927" i="12"/>
  <c r="AK927" i="12"/>
  <c r="AJ927" i="12"/>
  <c r="AI927" i="12"/>
  <c r="AH927" i="12"/>
  <c r="AG927" i="12"/>
  <c r="AF927" i="12"/>
  <c r="AC927" i="12"/>
  <c r="AE927" i="12" s="1"/>
  <c r="AB927" i="12"/>
  <c r="Z927" i="12"/>
  <c r="X927" i="12"/>
  <c r="W927" i="12"/>
  <c r="V927" i="12"/>
  <c r="U927" i="12"/>
  <c r="T927" i="12"/>
  <c r="S927" i="12"/>
  <c r="AL926" i="12"/>
  <c r="AK926" i="12"/>
  <c r="AJ926" i="12"/>
  <c r="AI926" i="12"/>
  <c r="AH926" i="12"/>
  <c r="AG926" i="12"/>
  <c r="AF926" i="12"/>
  <c r="AE926" i="12"/>
  <c r="AC926" i="12"/>
  <c r="AB926" i="12"/>
  <c r="Z926" i="12"/>
  <c r="X926" i="12"/>
  <c r="W926" i="12"/>
  <c r="V926" i="12"/>
  <c r="U926" i="12"/>
  <c r="T926" i="12"/>
  <c r="S926" i="12"/>
  <c r="AL925" i="12"/>
  <c r="AK925" i="12"/>
  <c r="AJ925" i="12"/>
  <c r="AI925" i="12"/>
  <c r="AH925" i="12"/>
  <c r="AG925" i="12"/>
  <c r="AF925" i="12"/>
  <c r="AC925" i="12"/>
  <c r="AE925" i="12" s="1"/>
  <c r="AB925" i="12"/>
  <c r="Z925" i="12"/>
  <c r="X925" i="12"/>
  <c r="W925" i="12"/>
  <c r="V925" i="12"/>
  <c r="U925" i="12"/>
  <c r="T925" i="12"/>
  <c r="S925" i="12"/>
  <c r="AL924" i="12"/>
  <c r="AK924" i="12"/>
  <c r="AJ924" i="12"/>
  <c r="AI924" i="12"/>
  <c r="AH924" i="12"/>
  <c r="AG924" i="12"/>
  <c r="AF924" i="12"/>
  <c r="AC924" i="12"/>
  <c r="AE924" i="12" s="1"/>
  <c r="AB924" i="12"/>
  <c r="Z924" i="12"/>
  <c r="X924" i="12"/>
  <c r="W924" i="12"/>
  <c r="V924" i="12"/>
  <c r="U924" i="12"/>
  <c r="T924" i="12"/>
  <c r="S924" i="12"/>
  <c r="AL923" i="12"/>
  <c r="AK923" i="12"/>
  <c r="AJ923" i="12"/>
  <c r="AI923" i="12"/>
  <c r="AH923" i="12"/>
  <c r="AG923" i="12"/>
  <c r="AF923" i="12"/>
  <c r="AE923" i="12"/>
  <c r="AC923" i="12"/>
  <c r="AB923" i="12"/>
  <c r="Z923" i="12"/>
  <c r="X923" i="12"/>
  <c r="W923" i="12"/>
  <c r="V923" i="12"/>
  <c r="U923" i="12"/>
  <c r="T923" i="12"/>
  <c r="S923" i="12"/>
  <c r="AL922" i="12"/>
  <c r="AK922" i="12"/>
  <c r="AJ922" i="12"/>
  <c r="AI922" i="12"/>
  <c r="AH922" i="12"/>
  <c r="AG922" i="12"/>
  <c r="AF922" i="12"/>
  <c r="AE922" i="12"/>
  <c r="AC922" i="12"/>
  <c r="AB922" i="12"/>
  <c r="Z922" i="12"/>
  <c r="X922" i="12"/>
  <c r="W922" i="12"/>
  <c r="V922" i="12"/>
  <c r="U922" i="12"/>
  <c r="T922" i="12"/>
  <c r="S922" i="12"/>
  <c r="AL921" i="12"/>
  <c r="AK921" i="12"/>
  <c r="AJ921" i="12"/>
  <c r="AI921" i="12"/>
  <c r="AH921" i="12"/>
  <c r="AG921" i="12"/>
  <c r="AF921" i="12"/>
  <c r="AC921" i="12"/>
  <c r="AE921" i="12" s="1"/>
  <c r="AB921" i="12"/>
  <c r="Z921" i="12"/>
  <c r="X921" i="12"/>
  <c r="W921" i="12"/>
  <c r="V921" i="12"/>
  <c r="U921" i="12"/>
  <c r="T921" i="12"/>
  <c r="S921" i="12"/>
  <c r="AL920" i="12"/>
  <c r="AK920" i="12"/>
  <c r="AJ920" i="12"/>
  <c r="AI920" i="12"/>
  <c r="AH920" i="12"/>
  <c r="AG920" i="12"/>
  <c r="AF920" i="12"/>
  <c r="AE920" i="12"/>
  <c r="AC920" i="12"/>
  <c r="AB920" i="12"/>
  <c r="Z920" i="12"/>
  <c r="X920" i="12"/>
  <c r="W920" i="12"/>
  <c r="V920" i="12"/>
  <c r="U920" i="12"/>
  <c r="T920" i="12"/>
  <c r="S920" i="12"/>
  <c r="AL919" i="12"/>
  <c r="AK919" i="12"/>
  <c r="AJ919" i="12"/>
  <c r="AI919" i="12"/>
  <c r="AH919" i="12"/>
  <c r="AG919" i="12"/>
  <c r="AF919" i="12"/>
  <c r="AC919" i="12"/>
  <c r="AE919" i="12" s="1"/>
  <c r="AB919" i="12"/>
  <c r="Z919" i="12"/>
  <c r="X919" i="12"/>
  <c r="W919" i="12"/>
  <c r="V919" i="12"/>
  <c r="U919" i="12"/>
  <c r="T919" i="12"/>
  <c r="S919" i="12"/>
  <c r="AL918" i="12"/>
  <c r="AK918" i="12"/>
  <c r="AJ918" i="12"/>
  <c r="AI918" i="12"/>
  <c r="AH918" i="12"/>
  <c r="AG918" i="12"/>
  <c r="AF918" i="12"/>
  <c r="AC918" i="12"/>
  <c r="AE918" i="12" s="1"/>
  <c r="AB918" i="12"/>
  <c r="Z918" i="12"/>
  <c r="X918" i="12"/>
  <c r="W918" i="12"/>
  <c r="V918" i="12"/>
  <c r="U918" i="12"/>
  <c r="T918" i="12"/>
  <c r="S918" i="12"/>
  <c r="AL917" i="12"/>
  <c r="AK917" i="12"/>
  <c r="AJ917" i="12"/>
  <c r="AI917" i="12"/>
  <c r="AH917" i="12"/>
  <c r="AG917" i="12"/>
  <c r="AF917" i="12"/>
  <c r="AC917" i="12"/>
  <c r="AE917" i="12" s="1"/>
  <c r="AB917" i="12"/>
  <c r="Z917" i="12"/>
  <c r="X917" i="12"/>
  <c r="W917" i="12"/>
  <c r="V917" i="12"/>
  <c r="U917" i="12"/>
  <c r="T917" i="12"/>
  <c r="S917" i="12"/>
  <c r="AL916" i="12"/>
  <c r="AK916" i="12"/>
  <c r="AJ916" i="12"/>
  <c r="AI916" i="12"/>
  <c r="AH916" i="12"/>
  <c r="AG916" i="12"/>
  <c r="AF916" i="12"/>
  <c r="AE916" i="12"/>
  <c r="AC916" i="12"/>
  <c r="AB916" i="12"/>
  <c r="Z916" i="12"/>
  <c r="X916" i="12"/>
  <c r="W916" i="12"/>
  <c r="V916" i="12"/>
  <c r="U916" i="12"/>
  <c r="T916" i="12"/>
  <c r="S916" i="12"/>
  <c r="AL915" i="12"/>
  <c r="AK915" i="12"/>
  <c r="AJ915" i="12"/>
  <c r="AI915" i="12"/>
  <c r="AH915" i="12"/>
  <c r="AG915" i="12"/>
  <c r="AF915" i="12"/>
  <c r="AC915" i="12"/>
  <c r="AE915" i="12" s="1"/>
  <c r="AB915" i="12"/>
  <c r="Z915" i="12"/>
  <c r="X915" i="12"/>
  <c r="W915" i="12"/>
  <c r="V915" i="12"/>
  <c r="U915" i="12"/>
  <c r="T915" i="12"/>
  <c r="S915" i="12"/>
  <c r="AL914" i="12"/>
  <c r="AK914" i="12"/>
  <c r="AJ914" i="12"/>
  <c r="AI914" i="12"/>
  <c r="AH914" i="12"/>
  <c r="AG914" i="12"/>
  <c r="AF914" i="12"/>
  <c r="AE914" i="12"/>
  <c r="AC914" i="12"/>
  <c r="AB914" i="12"/>
  <c r="Z914" i="12"/>
  <c r="X914" i="12"/>
  <c r="W914" i="12"/>
  <c r="V914" i="12"/>
  <c r="U914" i="12"/>
  <c r="T914" i="12"/>
  <c r="S914" i="12"/>
  <c r="AL913" i="12"/>
  <c r="AK913" i="12"/>
  <c r="AJ913" i="12"/>
  <c r="AI913" i="12"/>
  <c r="AH913" i="12"/>
  <c r="AG913" i="12"/>
  <c r="AF913" i="12"/>
  <c r="AE913" i="12"/>
  <c r="AC913" i="12"/>
  <c r="AB913" i="12"/>
  <c r="Z913" i="12"/>
  <c r="X913" i="12"/>
  <c r="W913" i="12"/>
  <c r="V913" i="12"/>
  <c r="U913" i="12"/>
  <c r="T913" i="12"/>
  <c r="S913" i="12"/>
  <c r="AL912" i="12"/>
  <c r="AK912" i="12"/>
  <c r="AJ912" i="12"/>
  <c r="AI912" i="12"/>
  <c r="AH912" i="12"/>
  <c r="AG912" i="12"/>
  <c r="AF912" i="12"/>
  <c r="AE912" i="12"/>
  <c r="AC912" i="12"/>
  <c r="AB912" i="12"/>
  <c r="Z912" i="12"/>
  <c r="X912" i="12"/>
  <c r="W912" i="12"/>
  <c r="V912" i="12"/>
  <c r="U912" i="12"/>
  <c r="T912" i="12"/>
  <c r="S912" i="12"/>
  <c r="AL911" i="12"/>
  <c r="AK911" i="12"/>
  <c r="AJ911" i="12"/>
  <c r="AI911" i="12"/>
  <c r="AH911" i="12"/>
  <c r="AG911" i="12"/>
  <c r="AF911" i="12"/>
  <c r="AE911" i="12"/>
  <c r="AC911" i="12"/>
  <c r="AB911" i="12"/>
  <c r="Z911" i="12"/>
  <c r="X911" i="12"/>
  <c r="W911" i="12"/>
  <c r="V911" i="12"/>
  <c r="U911" i="12"/>
  <c r="T911" i="12"/>
  <c r="S911" i="12"/>
  <c r="AL910" i="12"/>
  <c r="AK910" i="12"/>
  <c r="AJ910" i="12"/>
  <c r="AI910" i="12"/>
  <c r="AH910" i="12"/>
  <c r="AG910" i="12"/>
  <c r="AF910" i="12"/>
  <c r="AC910" i="12"/>
  <c r="AE910" i="12" s="1"/>
  <c r="AB910" i="12"/>
  <c r="Z910" i="12"/>
  <c r="X910" i="12"/>
  <c r="W910" i="12"/>
  <c r="V910" i="12"/>
  <c r="U910" i="12"/>
  <c r="T910" i="12"/>
  <c r="S910" i="12"/>
  <c r="AL909" i="12"/>
  <c r="AK909" i="12"/>
  <c r="AJ909" i="12"/>
  <c r="AI909" i="12"/>
  <c r="AH909" i="12"/>
  <c r="AG909" i="12"/>
  <c r="AF909" i="12"/>
  <c r="AE909" i="12"/>
  <c r="AC909" i="12"/>
  <c r="AB909" i="12"/>
  <c r="Z909" i="12"/>
  <c r="X909" i="12"/>
  <c r="W909" i="12"/>
  <c r="V909" i="12"/>
  <c r="U909" i="12"/>
  <c r="T909" i="12"/>
  <c r="S909" i="12"/>
  <c r="AL908" i="12"/>
  <c r="AK908" i="12"/>
  <c r="AJ908" i="12"/>
  <c r="AI908" i="12"/>
  <c r="AH908" i="12"/>
  <c r="AG908" i="12"/>
  <c r="AF908" i="12"/>
  <c r="AC908" i="12"/>
  <c r="AE908" i="12" s="1"/>
  <c r="AB908" i="12"/>
  <c r="Z908" i="12"/>
  <c r="X908" i="12"/>
  <c r="W908" i="12"/>
  <c r="V908" i="12"/>
  <c r="U908" i="12"/>
  <c r="T908" i="12"/>
  <c r="S908" i="12"/>
  <c r="AL907" i="12"/>
  <c r="AK907" i="12"/>
  <c r="AJ907" i="12"/>
  <c r="AI907" i="12"/>
  <c r="AH907" i="12"/>
  <c r="AG907" i="12"/>
  <c r="AF907" i="12"/>
  <c r="AC907" i="12"/>
  <c r="AE907" i="12" s="1"/>
  <c r="AB907" i="12"/>
  <c r="Z907" i="12"/>
  <c r="X907" i="12"/>
  <c r="W907" i="12"/>
  <c r="V907" i="12"/>
  <c r="U907" i="12"/>
  <c r="T907" i="12"/>
  <c r="S907" i="12"/>
  <c r="AL906" i="12"/>
  <c r="AK906" i="12"/>
  <c r="AJ906" i="12"/>
  <c r="AI906" i="12"/>
  <c r="AH906" i="12"/>
  <c r="AG906" i="12"/>
  <c r="AF906" i="12"/>
  <c r="AC906" i="12"/>
  <c r="AE906" i="12" s="1"/>
  <c r="AB906" i="12"/>
  <c r="Z906" i="12"/>
  <c r="X906" i="12"/>
  <c r="W906" i="12"/>
  <c r="V906" i="12"/>
  <c r="U906" i="12"/>
  <c r="T906" i="12"/>
  <c r="S906" i="12"/>
  <c r="AL905" i="12"/>
  <c r="AK905" i="12"/>
  <c r="AJ905" i="12"/>
  <c r="AI905" i="12"/>
  <c r="AH905" i="12"/>
  <c r="AG905" i="12"/>
  <c r="AF905" i="12"/>
  <c r="AC905" i="12"/>
  <c r="AE905" i="12" s="1"/>
  <c r="AB905" i="12"/>
  <c r="Z905" i="12"/>
  <c r="X905" i="12"/>
  <c r="W905" i="12"/>
  <c r="V905" i="12"/>
  <c r="U905" i="12"/>
  <c r="T905" i="12"/>
  <c r="S905" i="12"/>
  <c r="AL904" i="12"/>
  <c r="AK904" i="12"/>
  <c r="AJ904" i="12"/>
  <c r="AI904" i="12"/>
  <c r="AH904" i="12"/>
  <c r="AG904" i="12"/>
  <c r="AF904" i="12"/>
  <c r="AC904" i="12"/>
  <c r="AE904" i="12" s="1"/>
  <c r="AB904" i="12"/>
  <c r="Z904" i="12"/>
  <c r="X904" i="12"/>
  <c r="W904" i="12"/>
  <c r="V904" i="12"/>
  <c r="U904" i="12"/>
  <c r="T904" i="12"/>
  <c r="S904" i="12"/>
  <c r="AL903" i="12"/>
  <c r="AK903" i="12"/>
  <c r="AJ903" i="12"/>
  <c r="AI903" i="12"/>
  <c r="AH903" i="12"/>
  <c r="AG903" i="12"/>
  <c r="AF903" i="12"/>
  <c r="AE903" i="12"/>
  <c r="AC903" i="12"/>
  <c r="AB903" i="12"/>
  <c r="Z903" i="12"/>
  <c r="X903" i="12"/>
  <c r="W903" i="12"/>
  <c r="V903" i="12"/>
  <c r="U903" i="12"/>
  <c r="T903" i="12"/>
  <c r="S903" i="12"/>
  <c r="AL902" i="12"/>
  <c r="AK902" i="12"/>
  <c r="AJ902" i="12"/>
  <c r="AI902" i="12"/>
  <c r="AH902" i="12"/>
  <c r="AG902" i="12"/>
  <c r="AF902" i="12"/>
  <c r="AE902" i="12"/>
  <c r="AC902" i="12"/>
  <c r="AB902" i="12"/>
  <c r="Z902" i="12"/>
  <c r="X902" i="12"/>
  <c r="W902" i="12"/>
  <c r="V902" i="12"/>
  <c r="U902" i="12"/>
  <c r="T902" i="12"/>
  <c r="S902" i="12"/>
  <c r="AL901" i="12"/>
  <c r="AK901" i="12"/>
  <c r="AJ901" i="12"/>
  <c r="AI901" i="12"/>
  <c r="AH901" i="12"/>
  <c r="AG901" i="12"/>
  <c r="AF901" i="12"/>
  <c r="AE901" i="12"/>
  <c r="AC901" i="12"/>
  <c r="AB901" i="12"/>
  <c r="Z901" i="12"/>
  <c r="X901" i="12"/>
  <c r="W901" i="12"/>
  <c r="V901" i="12"/>
  <c r="U901" i="12"/>
  <c r="T901" i="12"/>
  <c r="S901" i="12"/>
  <c r="AL900" i="12"/>
  <c r="AK900" i="12"/>
  <c r="AJ900" i="12"/>
  <c r="AI900" i="12"/>
  <c r="AH900" i="12"/>
  <c r="AG900" i="12"/>
  <c r="AF900" i="12"/>
  <c r="AE900" i="12"/>
  <c r="AC900" i="12"/>
  <c r="AB900" i="12"/>
  <c r="Z900" i="12"/>
  <c r="X900" i="12"/>
  <c r="W900" i="12"/>
  <c r="V900" i="12"/>
  <c r="U900" i="12"/>
  <c r="T900" i="12"/>
  <c r="S900" i="12"/>
  <c r="AL899" i="12"/>
  <c r="AK899" i="12"/>
  <c r="AJ899" i="12"/>
  <c r="AI899" i="12"/>
  <c r="AH899" i="12"/>
  <c r="AG899" i="12"/>
  <c r="AF899" i="12"/>
  <c r="AC899" i="12"/>
  <c r="AE899" i="12" s="1"/>
  <c r="AB899" i="12"/>
  <c r="Z899" i="12"/>
  <c r="X899" i="12"/>
  <c r="W899" i="12"/>
  <c r="V899" i="12"/>
  <c r="U899" i="12"/>
  <c r="T899" i="12"/>
  <c r="S899" i="12"/>
  <c r="AL898" i="12"/>
  <c r="AK898" i="12"/>
  <c r="AJ898" i="12"/>
  <c r="AI898" i="12"/>
  <c r="AH898" i="12"/>
  <c r="AG898" i="12"/>
  <c r="AF898" i="12"/>
  <c r="AC898" i="12"/>
  <c r="AE898" i="12" s="1"/>
  <c r="AB898" i="12"/>
  <c r="Z898" i="12"/>
  <c r="X898" i="12"/>
  <c r="W898" i="12"/>
  <c r="V898" i="12"/>
  <c r="U898" i="12"/>
  <c r="T898" i="12"/>
  <c r="S898" i="12"/>
  <c r="AL897" i="12"/>
  <c r="AK897" i="12"/>
  <c r="AJ897" i="12"/>
  <c r="AI897" i="12"/>
  <c r="AH897" i="12"/>
  <c r="AG897" i="12"/>
  <c r="AF897" i="12"/>
  <c r="AC897" i="12"/>
  <c r="AE897" i="12" s="1"/>
  <c r="AB897" i="12"/>
  <c r="Z897" i="12"/>
  <c r="X897" i="12"/>
  <c r="W897" i="12"/>
  <c r="V897" i="12"/>
  <c r="U897" i="12"/>
  <c r="T897" i="12"/>
  <c r="S897" i="12"/>
  <c r="AL896" i="12"/>
  <c r="AK896" i="12"/>
  <c r="AJ896" i="12"/>
  <c r="AI896" i="12"/>
  <c r="AH896" i="12"/>
  <c r="AG896" i="12"/>
  <c r="AF896" i="12"/>
  <c r="AE896" i="12"/>
  <c r="AC896" i="12"/>
  <c r="AB896" i="12"/>
  <c r="Z896" i="12"/>
  <c r="X896" i="12"/>
  <c r="W896" i="12"/>
  <c r="V896" i="12"/>
  <c r="U896" i="12"/>
  <c r="T896" i="12"/>
  <c r="S896" i="12"/>
  <c r="AL895" i="12"/>
  <c r="AK895" i="12"/>
  <c r="AJ895" i="12"/>
  <c r="AI895" i="12"/>
  <c r="AH895" i="12"/>
  <c r="AG895" i="12"/>
  <c r="AF895" i="12"/>
  <c r="AC895" i="12"/>
  <c r="AE895" i="12" s="1"/>
  <c r="AB895" i="12"/>
  <c r="Z895" i="12"/>
  <c r="X895" i="12"/>
  <c r="W895" i="12"/>
  <c r="V895" i="12"/>
  <c r="U895" i="12"/>
  <c r="T895" i="12"/>
  <c r="S895" i="12"/>
  <c r="AL894" i="12"/>
  <c r="AK894" i="12"/>
  <c r="AJ894" i="12"/>
  <c r="AI894" i="12"/>
  <c r="AH894" i="12"/>
  <c r="AG894" i="12"/>
  <c r="AF894" i="12"/>
  <c r="AE894" i="12"/>
  <c r="AC894" i="12"/>
  <c r="AB894" i="12"/>
  <c r="Z894" i="12"/>
  <c r="X894" i="12"/>
  <c r="W894" i="12"/>
  <c r="V894" i="12"/>
  <c r="U894" i="12"/>
  <c r="T894" i="12"/>
  <c r="S894" i="12"/>
  <c r="AL893" i="12"/>
  <c r="AK893" i="12"/>
  <c r="AJ893" i="12"/>
  <c r="AI893" i="12"/>
  <c r="AH893" i="12"/>
  <c r="AG893" i="12"/>
  <c r="AF893" i="12"/>
  <c r="AE893" i="12"/>
  <c r="AC893" i="12"/>
  <c r="AB893" i="12"/>
  <c r="Z893" i="12"/>
  <c r="X893" i="12"/>
  <c r="W893" i="12"/>
  <c r="V893" i="12"/>
  <c r="U893" i="12"/>
  <c r="T893" i="12"/>
  <c r="S893" i="12"/>
  <c r="AL892" i="12"/>
  <c r="AK892" i="12"/>
  <c r="AJ892" i="12"/>
  <c r="AI892" i="12"/>
  <c r="AH892" i="12"/>
  <c r="AG892" i="12"/>
  <c r="AF892" i="12"/>
  <c r="AE892" i="12"/>
  <c r="AC892" i="12"/>
  <c r="AB892" i="12"/>
  <c r="Z892" i="12"/>
  <c r="X892" i="12"/>
  <c r="W892" i="12"/>
  <c r="V892" i="12"/>
  <c r="U892" i="12"/>
  <c r="T892" i="12"/>
  <c r="S892" i="12"/>
  <c r="AL891" i="12"/>
  <c r="AK891" i="12"/>
  <c r="AJ891" i="12"/>
  <c r="AI891" i="12"/>
  <c r="AH891" i="12"/>
  <c r="AG891" i="12"/>
  <c r="AF891" i="12"/>
  <c r="AC891" i="12"/>
  <c r="AE891" i="12" s="1"/>
  <c r="AB891" i="12"/>
  <c r="Z891" i="12"/>
  <c r="X891" i="12"/>
  <c r="W891" i="12"/>
  <c r="V891" i="12"/>
  <c r="U891" i="12"/>
  <c r="T891" i="12"/>
  <c r="S891" i="12"/>
  <c r="AL890" i="12"/>
  <c r="AK890" i="12"/>
  <c r="AJ890" i="12"/>
  <c r="AI890" i="12"/>
  <c r="AH890" i="12"/>
  <c r="AG890" i="12"/>
  <c r="AF890" i="12"/>
  <c r="AC890" i="12"/>
  <c r="AE890" i="12" s="1"/>
  <c r="AB890" i="12"/>
  <c r="Z890" i="12"/>
  <c r="X890" i="12"/>
  <c r="W890" i="12"/>
  <c r="V890" i="12"/>
  <c r="U890" i="12"/>
  <c r="T890" i="12"/>
  <c r="S890" i="12"/>
  <c r="AL889" i="12"/>
  <c r="AK889" i="12"/>
  <c r="AJ889" i="12"/>
  <c r="AI889" i="12"/>
  <c r="AH889" i="12"/>
  <c r="AG889" i="12"/>
  <c r="AF889" i="12"/>
  <c r="AE889" i="12"/>
  <c r="AC889" i="12"/>
  <c r="AB889" i="12"/>
  <c r="Z889" i="12"/>
  <c r="X889" i="12"/>
  <c r="W889" i="12"/>
  <c r="V889" i="12"/>
  <c r="U889" i="12"/>
  <c r="T889" i="12"/>
  <c r="S889" i="12"/>
  <c r="AL888" i="12"/>
  <c r="AK888" i="12"/>
  <c r="AJ888" i="12"/>
  <c r="AI888" i="12"/>
  <c r="AH888" i="12"/>
  <c r="AG888" i="12"/>
  <c r="AF888" i="12"/>
  <c r="AC888" i="12"/>
  <c r="AE888" i="12" s="1"/>
  <c r="AB888" i="12"/>
  <c r="Z888" i="12"/>
  <c r="X888" i="12"/>
  <c r="W888" i="12"/>
  <c r="V888" i="12"/>
  <c r="U888" i="12"/>
  <c r="T888" i="12"/>
  <c r="S888" i="12"/>
  <c r="AL887" i="12"/>
  <c r="AK887" i="12"/>
  <c r="AJ887" i="12"/>
  <c r="AI887" i="12"/>
  <c r="AH887" i="12"/>
  <c r="AG887" i="12"/>
  <c r="AF887" i="12"/>
  <c r="AC887" i="12"/>
  <c r="AE887" i="12" s="1"/>
  <c r="AB887" i="12"/>
  <c r="Z887" i="12"/>
  <c r="X887" i="12"/>
  <c r="W887" i="12"/>
  <c r="V887" i="12"/>
  <c r="U887" i="12"/>
  <c r="T887" i="12"/>
  <c r="S887" i="12"/>
  <c r="AL886" i="12"/>
  <c r="AK886" i="12"/>
  <c r="AJ886" i="12"/>
  <c r="AI886" i="12"/>
  <c r="AH886" i="12"/>
  <c r="AG886" i="12"/>
  <c r="AF886" i="12"/>
  <c r="AC886" i="12"/>
  <c r="AE886" i="12" s="1"/>
  <c r="AB886" i="12"/>
  <c r="Z886" i="12"/>
  <c r="X886" i="12"/>
  <c r="W886" i="12"/>
  <c r="V886" i="12"/>
  <c r="U886" i="12"/>
  <c r="T886" i="12"/>
  <c r="S886" i="12"/>
  <c r="AL885" i="12"/>
  <c r="AK885" i="12"/>
  <c r="AJ885" i="12"/>
  <c r="AI885" i="12"/>
  <c r="AH885" i="12"/>
  <c r="AG885" i="12"/>
  <c r="AF885" i="12"/>
  <c r="AC885" i="12"/>
  <c r="AE885" i="12" s="1"/>
  <c r="AB885" i="12"/>
  <c r="Z885" i="12"/>
  <c r="X885" i="12"/>
  <c r="W885" i="12"/>
  <c r="V885" i="12"/>
  <c r="U885" i="12"/>
  <c r="T885" i="12"/>
  <c r="S885" i="12"/>
  <c r="AL884" i="12"/>
  <c r="AK884" i="12"/>
  <c r="AJ884" i="12"/>
  <c r="AI884" i="12"/>
  <c r="AH884" i="12"/>
  <c r="AG884" i="12"/>
  <c r="AF884" i="12"/>
  <c r="AC884" i="12"/>
  <c r="AE884" i="12" s="1"/>
  <c r="AB884" i="12"/>
  <c r="Z884" i="12"/>
  <c r="X884" i="12"/>
  <c r="W884" i="12"/>
  <c r="V884" i="12"/>
  <c r="U884" i="12"/>
  <c r="T884" i="12"/>
  <c r="S884" i="12"/>
  <c r="AL883" i="12"/>
  <c r="AK883" i="12"/>
  <c r="AJ883" i="12"/>
  <c r="AI883" i="12"/>
  <c r="AH883" i="12"/>
  <c r="AG883" i="12"/>
  <c r="AF883" i="12"/>
  <c r="AE883" i="12"/>
  <c r="AC883" i="12"/>
  <c r="AB883" i="12"/>
  <c r="Z883" i="12"/>
  <c r="X883" i="12"/>
  <c r="W883" i="12"/>
  <c r="V883" i="12"/>
  <c r="U883" i="12"/>
  <c r="T883" i="12"/>
  <c r="S883" i="12"/>
  <c r="AL882" i="12"/>
  <c r="AK882" i="12"/>
  <c r="AJ882" i="12"/>
  <c r="AI882" i="12"/>
  <c r="AH882" i="12"/>
  <c r="AG882" i="12"/>
  <c r="AF882" i="12"/>
  <c r="AE882" i="12"/>
  <c r="AC882" i="12"/>
  <c r="AB882" i="12"/>
  <c r="Z882" i="12"/>
  <c r="X882" i="12"/>
  <c r="W882" i="12"/>
  <c r="V882" i="12"/>
  <c r="U882" i="12"/>
  <c r="T882" i="12"/>
  <c r="S882" i="12"/>
  <c r="AL881" i="12"/>
  <c r="AK881" i="12"/>
  <c r="AJ881" i="12"/>
  <c r="AI881" i="12"/>
  <c r="AH881" i="12"/>
  <c r="AG881" i="12"/>
  <c r="AF881" i="12"/>
  <c r="AE881" i="12"/>
  <c r="AC881" i="12"/>
  <c r="AB881" i="12"/>
  <c r="Z881" i="12"/>
  <c r="X881" i="12"/>
  <c r="W881" i="12"/>
  <c r="V881" i="12"/>
  <c r="U881" i="12"/>
  <c r="T881" i="12"/>
  <c r="S881" i="12"/>
  <c r="AL880" i="12"/>
  <c r="AK880" i="12"/>
  <c r="AJ880" i="12"/>
  <c r="AI880" i="12"/>
  <c r="AH880" i="12"/>
  <c r="AG880" i="12"/>
  <c r="AF880" i="12"/>
  <c r="AC880" i="12"/>
  <c r="AE880" i="12" s="1"/>
  <c r="AB880" i="12"/>
  <c r="Z880" i="12"/>
  <c r="X880" i="12"/>
  <c r="W880" i="12"/>
  <c r="V880" i="12"/>
  <c r="U880" i="12"/>
  <c r="T880" i="12"/>
  <c r="S880" i="12"/>
  <c r="AL879" i="12"/>
  <c r="AK879" i="12"/>
  <c r="AJ879" i="12"/>
  <c r="AI879" i="12"/>
  <c r="AH879" i="12"/>
  <c r="AG879" i="12"/>
  <c r="AF879" i="12"/>
  <c r="AC879" i="12"/>
  <c r="AE879" i="12" s="1"/>
  <c r="AB879" i="12"/>
  <c r="Z879" i="12"/>
  <c r="X879" i="12"/>
  <c r="W879" i="12"/>
  <c r="V879" i="12"/>
  <c r="U879" i="12"/>
  <c r="T879" i="12"/>
  <c r="S879" i="12"/>
  <c r="AL878" i="12"/>
  <c r="AK878" i="12"/>
  <c r="AJ878" i="12"/>
  <c r="AI878" i="12"/>
  <c r="AH878" i="12"/>
  <c r="AG878" i="12"/>
  <c r="AF878" i="12"/>
  <c r="AC878" i="12"/>
  <c r="AE878" i="12" s="1"/>
  <c r="AB878" i="12"/>
  <c r="Z878" i="12"/>
  <c r="X878" i="12"/>
  <c r="W878" i="12"/>
  <c r="V878" i="12"/>
  <c r="U878" i="12"/>
  <c r="T878" i="12"/>
  <c r="S878" i="12"/>
  <c r="AL877" i="12"/>
  <c r="AK877" i="12"/>
  <c r="AJ877" i="12"/>
  <c r="AI877" i="12"/>
  <c r="AH877" i="12"/>
  <c r="AG877" i="12"/>
  <c r="AF877" i="12"/>
  <c r="AC877" i="12"/>
  <c r="AE877" i="12" s="1"/>
  <c r="AB877" i="12"/>
  <c r="Z877" i="12"/>
  <c r="X877" i="12"/>
  <c r="W877" i="12"/>
  <c r="V877" i="12"/>
  <c r="U877" i="12"/>
  <c r="T877" i="12"/>
  <c r="S877" i="12"/>
  <c r="AL876" i="12"/>
  <c r="AK876" i="12"/>
  <c r="AJ876" i="12"/>
  <c r="AI876" i="12"/>
  <c r="AH876" i="12"/>
  <c r="AG876" i="12"/>
  <c r="AF876" i="12"/>
  <c r="AE876" i="12"/>
  <c r="AC876" i="12"/>
  <c r="AB876" i="12"/>
  <c r="Z876" i="12"/>
  <c r="X876" i="12"/>
  <c r="W876" i="12"/>
  <c r="V876" i="12"/>
  <c r="U876" i="12"/>
  <c r="T876" i="12"/>
  <c r="S876" i="12"/>
  <c r="AL875" i="12"/>
  <c r="AK875" i="12"/>
  <c r="AJ875" i="12"/>
  <c r="AI875" i="12"/>
  <c r="AH875" i="12"/>
  <c r="AG875" i="12"/>
  <c r="AF875" i="12"/>
  <c r="AC875" i="12"/>
  <c r="AE875" i="12" s="1"/>
  <c r="AB875" i="12"/>
  <c r="Z875" i="12"/>
  <c r="X875" i="12"/>
  <c r="W875" i="12"/>
  <c r="V875" i="12"/>
  <c r="U875" i="12"/>
  <c r="T875" i="12"/>
  <c r="S875" i="12"/>
  <c r="AL874" i="12"/>
  <c r="AK874" i="12"/>
  <c r="AJ874" i="12"/>
  <c r="AI874" i="12"/>
  <c r="AH874" i="12"/>
  <c r="AG874" i="12"/>
  <c r="AF874" i="12"/>
  <c r="AE874" i="12"/>
  <c r="AC874" i="12"/>
  <c r="AB874" i="12"/>
  <c r="Z874" i="12"/>
  <c r="X874" i="12"/>
  <c r="W874" i="12"/>
  <c r="V874" i="12"/>
  <c r="U874" i="12"/>
  <c r="T874" i="12"/>
  <c r="S874" i="12"/>
  <c r="AL873" i="12"/>
  <c r="AK873" i="12"/>
  <c r="AJ873" i="12"/>
  <c r="AI873" i="12"/>
  <c r="AH873" i="12"/>
  <c r="AG873" i="12"/>
  <c r="AF873" i="12"/>
  <c r="AE873" i="12"/>
  <c r="AC873" i="12"/>
  <c r="AB873" i="12"/>
  <c r="Z873" i="12"/>
  <c r="X873" i="12"/>
  <c r="W873" i="12"/>
  <c r="V873" i="12"/>
  <c r="U873" i="12"/>
  <c r="T873" i="12"/>
  <c r="S873" i="12"/>
  <c r="AL872" i="12"/>
  <c r="AK872" i="12"/>
  <c r="AJ872" i="12"/>
  <c r="AI872" i="12"/>
  <c r="AH872" i="12"/>
  <c r="AG872" i="12"/>
  <c r="AF872" i="12"/>
  <c r="AC872" i="12"/>
  <c r="AE872" i="12" s="1"/>
  <c r="AB872" i="12"/>
  <c r="Z872" i="12"/>
  <c r="X872" i="12"/>
  <c r="W872" i="12"/>
  <c r="V872" i="12"/>
  <c r="U872" i="12"/>
  <c r="T872" i="12"/>
  <c r="S872" i="12"/>
  <c r="AL871" i="12"/>
  <c r="AK871" i="12"/>
  <c r="AJ871" i="12"/>
  <c r="AI871" i="12"/>
  <c r="AH871" i="12"/>
  <c r="AG871" i="12"/>
  <c r="AF871" i="12"/>
  <c r="AC871" i="12"/>
  <c r="AE871" i="12" s="1"/>
  <c r="AB871" i="12"/>
  <c r="Z871" i="12"/>
  <c r="X871" i="12"/>
  <c r="W871" i="12"/>
  <c r="V871" i="12"/>
  <c r="U871" i="12"/>
  <c r="T871" i="12"/>
  <c r="S871" i="12"/>
  <c r="AL870" i="12"/>
  <c r="AK870" i="12"/>
  <c r="AJ870" i="12"/>
  <c r="AI870" i="12"/>
  <c r="AH870" i="12"/>
  <c r="AG870" i="12"/>
  <c r="AF870" i="12"/>
  <c r="AE870" i="12"/>
  <c r="AC870" i="12"/>
  <c r="AB870" i="12"/>
  <c r="Z870" i="12"/>
  <c r="X870" i="12"/>
  <c r="W870" i="12"/>
  <c r="V870" i="12"/>
  <c r="U870" i="12"/>
  <c r="T870" i="12"/>
  <c r="S870" i="12"/>
  <c r="AL869" i="12"/>
  <c r="AK869" i="12"/>
  <c r="AJ869" i="12"/>
  <c r="AI869" i="12"/>
  <c r="AH869" i="12"/>
  <c r="AG869" i="12"/>
  <c r="AF869" i="12"/>
  <c r="AC869" i="12"/>
  <c r="AE869" i="12" s="1"/>
  <c r="AB869" i="12"/>
  <c r="Z869" i="12"/>
  <c r="X869" i="12"/>
  <c r="W869" i="12"/>
  <c r="V869" i="12"/>
  <c r="U869" i="12"/>
  <c r="T869" i="12"/>
  <c r="S869" i="12"/>
  <c r="AL868" i="12"/>
  <c r="AK868" i="12"/>
  <c r="AJ868" i="12"/>
  <c r="AI868" i="12"/>
  <c r="AH868" i="12"/>
  <c r="AG868" i="12"/>
  <c r="AF868" i="12"/>
  <c r="AC868" i="12"/>
  <c r="AE868" i="12" s="1"/>
  <c r="AB868" i="12"/>
  <c r="Z868" i="12"/>
  <c r="X868" i="12"/>
  <c r="W868" i="12"/>
  <c r="V868" i="12"/>
  <c r="U868" i="12"/>
  <c r="T868" i="12"/>
  <c r="S868" i="12"/>
  <c r="AL867" i="12"/>
  <c r="AK867" i="12"/>
  <c r="AJ867" i="12"/>
  <c r="AI867" i="12"/>
  <c r="AH867" i="12"/>
  <c r="AG867" i="12"/>
  <c r="AF867" i="12"/>
  <c r="AC867" i="12"/>
  <c r="AE867" i="12" s="1"/>
  <c r="AB867" i="12"/>
  <c r="Z867" i="12"/>
  <c r="X867" i="12"/>
  <c r="W867" i="12"/>
  <c r="V867" i="12"/>
  <c r="U867" i="12"/>
  <c r="T867" i="12"/>
  <c r="S867" i="12"/>
  <c r="AL866" i="12"/>
  <c r="AK866" i="12"/>
  <c r="AJ866" i="12"/>
  <c r="AI866" i="12"/>
  <c r="AH866" i="12"/>
  <c r="AG866" i="12"/>
  <c r="AF866" i="12"/>
  <c r="AE866" i="12"/>
  <c r="AC866" i="12"/>
  <c r="AB866" i="12"/>
  <c r="Z866" i="12"/>
  <c r="X866" i="12"/>
  <c r="W866" i="12"/>
  <c r="V866" i="12"/>
  <c r="U866" i="12"/>
  <c r="T866" i="12"/>
  <c r="S866" i="12"/>
  <c r="AL865" i="12"/>
  <c r="AK865" i="12"/>
  <c r="AJ865" i="12"/>
  <c r="AI865" i="12"/>
  <c r="AH865" i="12"/>
  <c r="AG865" i="12"/>
  <c r="AF865" i="12"/>
  <c r="AC865" i="12"/>
  <c r="AE865" i="12" s="1"/>
  <c r="AB865" i="12"/>
  <c r="Z865" i="12"/>
  <c r="X865" i="12"/>
  <c r="W865" i="12"/>
  <c r="V865" i="12"/>
  <c r="U865" i="12"/>
  <c r="T865" i="12"/>
  <c r="S865" i="12"/>
  <c r="AL864" i="12"/>
  <c r="AK864" i="12"/>
  <c r="AJ864" i="12"/>
  <c r="AI864" i="12"/>
  <c r="AH864" i="12"/>
  <c r="AG864" i="12"/>
  <c r="AF864" i="12"/>
  <c r="AC864" i="12"/>
  <c r="AE864" i="12" s="1"/>
  <c r="AB864" i="12"/>
  <c r="Z864" i="12"/>
  <c r="X864" i="12"/>
  <c r="W864" i="12"/>
  <c r="V864" i="12"/>
  <c r="U864" i="12"/>
  <c r="T864" i="12"/>
  <c r="S864" i="12"/>
  <c r="AL863" i="12"/>
  <c r="AK863" i="12"/>
  <c r="AJ863" i="12"/>
  <c r="AI863" i="12"/>
  <c r="AH863" i="12"/>
  <c r="AG863" i="12"/>
  <c r="AF863" i="12"/>
  <c r="AE863" i="12"/>
  <c r="AC863" i="12"/>
  <c r="AB863" i="12"/>
  <c r="Z863" i="12"/>
  <c r="X863" i="12"/>
  <c r="W863" i="12"/>
  <c r="V863" i="12"/>
  <c r="U863" i="12"/>
  <c r="T863" i="12"/>
  <c r="S863" i="12"/>
  <c r="AL862" i="12"/>
  <c r="AK862" i="12"/>
  <c r="AJ862" i="12"/>
  <c r="AI862" i="12"/>
  <c r="AH862" i="12"/>
  <c r="AG862" i="12"/>
  <c r="AF862" i="12"/>
  <c r="AE862" i="12"/>
  <c r="AC862" i="12"/>
  <c r="AB862" i="12"/>
  <c r="Z862" i="12"/>
  <c r="X862" i="12"/>
  <c r="W862" i="12"/>
  <c r="V862" i="12"/>
  <c r="U862" i="12"/>
  <c r="T862" i="12"/>
  <c r="S862" i="12"/>
  <c r="AL861" i="12"/>
  <c r="AK861" i="12"/>
  <c r="AJ861" i="12"/>
  <c r="AI861" i="12"/>
  <c r="AH861" i="12"/>
  <c r="AG861" i="12"/>
  <c r="AF861" i="12"/>
  <c r="AE861" i="12"/>
  <c r="AC861" i="12"/>
  <c r="AB861" i="12"/>
  <c r="Z861" i="12"/>
  <c r="X861" i="12"/>
  <c r="W861" i="12"/>
  <c r="V861" i="12"/>
  <c r="U861" i="12"/>
  <c r="T861" i="12"/>
  <c r="S861" i="12"/>
  <c r="AL860" i="12"/>
  <c r="AK860" i="12"/>
  <c r="AJ860" i="12"/>
  <c r="AI860" i="12"/>
  <c r="AH860" i="12"/>
  <c r="AG860" i="12"/>
  <c r="AF860" i="12"/>
  <c r="AE860" i="12"/>
  <c r="AC860" i="12"/>
  <c r="AB860" i="12"/>
  <c r="Z860" i="12"/>
  <c r="X860" i="12"/>
  <c r="W860" i="12"/>
  <c r="V860" i="12"/>
  <c r="U860" i="12"/>
  <c r="T860" i="12"/>
  <c r="S860" i="12"/>
  <c r="AH859" i="12"/>
  <c r="AB859" i="12"/>
  <c r="AC859" i="12" s="1"/>
  <c r="AE859" i="12" s="1"/>
  <c r="X859" i="12"/>
  <c r="U859" i="12"/>
  <c r="V859" i="12" s="1"/>
  <c r="T859" i="12"/>
  <c r="S859" i="12"/>
  <c r="AH858" i="12"/>
  <c r="X858" i="12"/>
  <c r="U858" i="12"/>
  <c r="T858" i="12"/>
  <c r="S858" i="12"/>
  <c r="AH857" i="12"/>
  <c r="X857" i="12"/>
  <c r="U857" i="12"/>
  <c r="V857" i="12" s="1"/>
  <c r="T857" i="12"/>
  <c r="S857" i="12"/>
  <c r="AH856" i="12"/>
  <c r="X856" i="12"/>
  <c r="U856" i="12"/>
  <c r="T856" i="12"/>
  <c r="S856" i="12"/>
  <c r="AH855" i="12"/>
  <c r="X855" i="12"/>
  <c r="V855" i="12"/>
  <c r="U855" i="12"/>
  <c r="T855" i="12"/>
  <c r="S855" i="12"/>
  <c r="AH854" i="12"/>
  <c r="X854" i="12"/>
  <c r="V854" i="12"/>
  <c r="U854" i="12"/>
  <c r="T854" i="12"/>
  <c r="S854" i="12"/>
  <c r="AH853" i="12"/>
  <c r="AF853" i="12"/>
  <c r="AE853" i="12"/>
  <c r="X853" i="12"/>
  <c r="U853" i="12"/>
  <c r="T853" i="12"/>
  <c r="V853" i="12" s="1"/>
  <c r="S853" i="12"/>
  <c r="AB853" i="12" s="1"/>
  <c r="AC853" i="12" s="1"/>
  <c r="AH852" i="12"/>
  <c r="AF852" i="12"/>
  <c r="AC852" i="12"/>
  <c r="AE852" i="12" s="1"/>
  <c r="X852" i="12"/>
  <c r="V852" i="12"/>
  <c r="U852" i="12"/>
  <c r="T852" i="12"/>
  <c r="S852" i="12"/>
  <c r="AB852" i="12" s="1"/>
  <c r="AH851" i="12"/>
  <c r="X851" i="12"/>
  <c r="V851" i="12"/>
  <c r="U851" i="12"/>
  <c r="T851" i="12"/>
  <c r="S851" i="12"/>
  <c r="AH850" i="12"/>
  <c r="AF850" i="12"/>
  <c r="X850" i="12"/>
  <c r="U850" i="12"/>
  <c r="T850" i="12"/>
  <c r="S850" i="12"/>
  <c r="AH849" i="12"/>
  <c r="AB849" i="12"/>
  <c r="AC849" i="12" s="1"/>
  <c r="AE849" i="12" s="1"/>
  <c r="X849" i="12"/>
  <c r="V849" i="12"/>
  <c r="U849" i="12"/>
  <c r="T849" i="12"/>
  <c r="S849" i="12"/>
  <c r="AH848" i="12"/>
  <c r="X848" i="12"/>
  <c r="U848" i="12"/>
  <c r="V848" i="12" s="1"/>
  <c r="T848" i="12"/>
  <c r="S848" i="12"/>
  <c r="AH847" i="12"/>
  <c r="AF847" i="12"/>
  <c r="AE847" i="12"/>
  <c r="AB847" i="12"/>
  <c r="AC847" i="12" s="1"/>
  <c r="X847" i="12"/>
  <c r="V847" i="12"/>
  <c r="U847" i="12"/>
  <c r="T847" i="12"/>
  <c r="S847" i="12"/>
  <c r="AH846" i="12"/>
  <c r="AF846" i="12"/>
  <c r="X846" i="12"/>
  <c r="U846" i="12"/>
  <c r="V846" i="12" s="1"/>
  <c r="T846" i="12"/>
  <c r="S846" i="12"/>
  <c r="AB846" i="12" s="1"/>
  <c r="AC846" i="12" s="1"/>
  <c r="AE846" i="12" s="1"/>
  <c r="AH845" i="12"/>
  <c r="AF845" i="12"/>
  <c r="AE845" i="12"/>
  <c r="AC845" i="12"/>
  <c r="AB845" i="12"/>
  <c r="X845" i="12"/>
  <c r="U845" i="12"/>
  <c r="T845" i="12"/>
  <c r="S845" i="12"/>
  <c r="AH844" i="12"/>
  <c r="AF844" i="12"/>
  <c r="AE844" i="12"/>
  <c r="AB844" i="12"/>
  <c r="AC844" i="12" s="1"/>
  <c r="X844" i="12"/>
  <c r="U844" i="12"/>
  <c r="T844" i="12"/>
  <c r="V844" i="12" s="1"/>
  <c r="S844" i="12"/>
  <c r="AH843" i="12"/>
  <c r="AF843" i="12"/>
  <c r="AC843" i="12"/>
  <c r="AE843" i="12" s="1"/>
  <c r="AB843" i="12"/>
  <c r="X843" i="12"/>
  <c r="U843" i="12"/>
  <c r="V843" i="12" s="1"/>
  <c r="T843" i="12"/>
  <c r="S843" i="12"/>
  <c r="AH842" i="12"/>
  <c r="AF842" i="12"/>
  <c r="X842" i="12"/>
  <c r="V842" i="12"/>
  <c r="U842" i="12"/>
  <c r="T842" i="12"/>
  <c r="S842" i="12"/>
  <c r="AH841" i="12"/>
  <c r="X841" i="12"/>
  <c r="V841" i="12"/>
  <c r="U841" i="12"/>
  <c r="T841" i="12"/>
  <c r="S841" i="12"/>
  <c r="AH840" i="12"/>
  <c r="AB840" i="12"/>
  <c r="AC840" i="12" s="1"/>
  <c r="AE840" i="12" s="1"/>
  <c r="X840" i="12"/>
  <c r="U840" i="12"/>
  <c r="T840" i="12"/>
  <c r="V840" i="12" s="1"/>
  <c r="S840" i="12"/>
  <c r="AH839" i="12"/>
  <c r="AB839" i="12"/>
  <c r="AC839" i="12" s="1"/>
  <c r="AE839" i="12" s="1"/>
  <c r="X839" i="12"/>
  <c r="U839" i="12"/>
  <c r="V839" i="12" s="1"/>
  <c r="T839" i="12"/>
  <c r="S839" i="12"/>
  <c r="AH838" i="12"/>
  <c r="AF838" i="12"/>
  <c r="X838" i="12"/>
  <c r="U838" i="12"/>
  <c r="T838" i="12"/>
  <c r="V838" i="12" s="1"/>
  <c r="S838" i="12"/>
  <c r="AH837" i="12"/>
  <c r="X837" i="12"/>
  <c r="V837" i="12"/>
  <c r="U837" i="12"/>
  <c r="T837" i="12"/>
  <c r="S837" i="12"/>
  <c r="AH836" i="12"/>
  <c r="AF836" i="12"/>
  <c r="AB836" i="12"/>
  <c r="AC836" i="12" s="1"/>
  <c r="AE836" i="12" s="1"/>
  <c r="X836" i="12"/>
  <c r="V836" i="12"/>
  <c r="U836" i="12"/>
  <c r="T836" i="12"/>
  <c r="S836" i="12"/>
  <c r="AH835" i="12"/>
  <c r="X835" i="12"/>
  <c r="U835" i="12"/>
  <c r="T835" i="12"/>
  <c r="V835" i="12" s="1"/>
  <c r="S835" i="12"/>
  <c r="AH834" i="12"/>
  <c r="AF834" i="12"/>
  <c r="AE834" i="12"/>
  <c r="AB834" i="12"/>
  <c r="AC834" i="12" s="1"/>
  <c r="X834" i="12"/>
  <c r="U834" i="12"/>
  <c r="V834" i="12" s="1"/>
  <c r="T834" i="12"/>
  <c r="S834" i="12"/>
  <c r="AH833" i="12"/>
  <c r="AF833" i="12"/>
  <c r="AE833" i="12"/>
  <c r="AB833" i="12"/>
  <c r="AC833" i="12" s="1"/>
  <c r="X833" i="12"/>
  <c r="V833" i="12"/>
  <c r="U833" i="12"/>
  <c r="T833" i="12"/>
  <c r="S833" i="12"/>
  <c r="AH832" i="12"/>
  <c r="AF832" i="12"/>
  <c r="AE832" i="12"/>
  <c r="AB832" i="12"/>
  <c r="AC832" i="12" s="1"/>
  <c r="X832" i="12"/>
  <c r="V832" i="12"/>
  <c r="U832" i="12"/>
  <c r="T832" i="12"/>
  <c r="S832" i="12"/>
  <c r="AH831" i="12"/>
  <c r="AF831" i="12"/>
  <c r="AC831" i="12"/>
  <c r="AE831" i="12" s="1"/>
  <c r="AB831" i="12"/>
  <c r="X831" i="12"/>
  <c r="U831" i="12"/>
  <c r="T831" i="12"/>
  <c r="S831" i="12"/>
  <c r="AH830" i="12"/>
  <c r="AF830" i="12"/>
  <c r="AE830" i="12"/>
  <c r="AC830" i="12"/>
  <c r="AB830" i="12"/>
  <c r="X830" i="12"/>
  <c r="V830" i="12"/>
  <c r="U830" i="12"/>
  <c r="T830" i="12"/>
  <c r="S830" i="12"/>
  <c r="AH829" i="12"/>
  <c r="X829" i="12"/>
  <c r="U829" i="12"/>
  <c r="T829" i="12"/>
  <c r="V829" i="12" s="1"/>
  <c r="S829" i="12"/>
  <c r="AH828" i="12"/>
  <c r="AF828" i="12"/>
  <c r="AB828" i="12"/>
  <c r="AC828" i="12" s="1"/>
  <c r="AE828" i="12" s="1"/>
  <c r="X828" i="12"/>
  <c r="V828" i="12"/>
  <c r="U828" i="12"/>
  <c r="T828" i="12"/>
  <c r="S828" i="12"/>
  <c r="AH827" i="12"/>
  <c r="AF827" i="12"/>
  <c r="AB827" i="12"/>
  <c r="AC827" i="12" s="1"/>
  <c r="AE827" i="12" s="1"/>
  <c r="X827" i="12"/>
  <c r="U827" i="12"/>
  <c r="T827" i="12"/>
  <c r="V827" i="12" s="1"/>
  <c r="S827" i="12"/>
  <c r="AH826" i="12"/>
  <c r="X826" i="12"/>
  <c r="U826" i="12"/>
  <c r="T826" i="12"/>
  <c r="V826" i="12" s="1"/>
  <c r="S826" i="12"/>
  <c r="AH825" i="12"/>
  <c r="AB825" i="12"/>
  <c r="AC825" i="12" s="1"/>
  <c r="AE825" i="12" s="1"/>
  <c r="X825" i="12"/>
  <c r="U825" i="12"/>
  <c r="V825" i="12" s="1"/>
  <c r="T825" i="12"/>
  <c r="S825" i="12"/>
  <c r="AH824" i="12"/>
  <c r="AB824" i="12"/>
  <c r="AC824" i="12" s="1"/>
  <c r="AE824" i="12" s="1"/>
  <c r="X824" i="12"/>
  <c r="U824" i="12"/>
  <c r="T824" i="12"/>
  <c r="V824" i="12" s="1"/>
  <c r="S824" i="12"/>
  <c r="AH823" i="12"/>
  <c r="X823" i="12"/>
  <c r="U823" i="12"/>
  <c r="T823" i="12"/>
  <c r="V823" i="12" s="1"/>
  <c r="S823" i="12"/>
  <c r="AH822" i="12"/>
  <c r="X822" i="12"/>
  <c r="U822" i="12"/>
  <c r="T822" i="12"/>
  <c r="V822" i="12" s="1"/>
  <c r="S822" i="12"/>
  <c r="AB822" i="12" s="1"/>
  <c r="AC822" i="12" s="1"/>
  <c r="AE822" i="12" s="1"/>
  <c r="AH821" i="12"/>
  <c r="X821" i="12"/>
  <c r="V821" i="12"/>
  <c r="U821" i="12"/>
  <c r="T821" i="12"/>
  <c r="S821" i="12"/>
  <c r="AH820" i="12"/>
  <c r="AF820" i="12"/>
  <c r="X820" i="12"/>
  <c r="U820" i="12"/>
  <c r="V820" i="12" s="1"/>
  <c r="T820" i="12"/>
  <c r="S820" i="12"/>
  <c r="AH819" i="12"/>
  <c r="X819" i="12"/>
  <c r="V819" i="12"/>
  <c r="U819" i="12"/>
  <c r="T819" i="12"/>
  <c r="S819" i="12"/>
  <c r="AH818" i="12"/>
  <c r="X818" i="12"/>
  <c r="U818" i="12"/>
  <c r="V818" i="12" s="1"/>
  <c r="T818" i="12"/>
  <c r="S818" i="12"/>
  <c r="AH817" i="12"/>
  <c r="AF817" i="12"/>
  <c r="AE817" i="12"/>
  <c r="X817" i="12"/>
  <c r="U817" i="12"/>
  <c r="T817" i="12"/>
  <c r="V817" i="12" s="1"/>
  <c r="S817" i="12"/>
  <c r="AB817" i="12" s="1"/>
  <c r="AC817" i="12" s="1"/>
  <c r="AH816" i="12"/>
  <c r="AF816" i="12"/>
  <c r="AC816" i="12"/>
  <c r="AE816" i="12" s="1"/>
  <c r="AB816" i="12"/>
  <c r="X816" i="12"/>
  <c r="U816" i="12"/>
  <c r="T816" i="12"/>
  <c r="V816" i="12" s="1"/>
  <c r="S816" i="12"/>
  <c r="AH815" i="12"/>
  <c r="X815" i="12"/>
  <c r="U815" i="12"/>
  <c r="T815" i="12"/>
  <c r="V815" i="12" s="1"/>
  <c r="S815" i="12"/>
  <c r="AH814" i="12"/>
  <c r="AF814" i="12"/>
  <c r="AC814" i="12"/>
  <c r="AE814" i="12" s="1"/>
  <c r="AB814" i="12"/>
  <c r="X814" i="12"/>
  <c r="U814" i="12"/>
  <c r="V814" i="12" s="1"/>
  <c r="T814" i="12"/>
  <c r="S814" i="12"/>
  <c r="AH813" i="12"/>
  <c r="AF813" i="12"/>
  <c r="AC813" i="12"/>
  <c r="AE813" i="12" s="1"/>
  <c r="AB813" i="12"/>
  <c r="X813" i="12"/>
  <c r="V813" i="12"/>
  <c r="U813" i="12"/>
  <c r="T813" i="12"/>
  <c r="S813" i="12"/>
  <c r="AH812" i="12"/>
  <c r="AF812" i="12"/>
  <c r="AC812" i="12"/>
  <c r="AE812" i="12" s="1"/>
  <c r="AB812" i="12"/>
  <c r="X812" i="12"/>
  <c r="U812" i="12"/>
  <c r="V812" i="12" s="1"/>
  <c r="T812" i="12"/>
  <c r="S812" i="12"/>
  <c r="AH811" i="12"/>
  <c r="AF811" i="12"/>
  <c r="AE811" i="12"/>
  <c r="AC811" i="12"/>
  <c r="AB811" i="12"/>
  <c r="X811" i="12"/>
  <c r="U811" i="12"/>
  <c r="T811" i="12"/>
  <c r="S811" i="12"/>
  <c r="AH810" i="12"/>
  <c r="X810" i="12"/>
  <c r="U810" i="12"/>
  <c r="T810" i="12"/>
  <c r="S810" i="12"/>
  <c r="AH809" i="12"/>
  <c r="AF809" i="12"/>
  <c r="AE809" i="12"/>
  <c r="AB809" i="12"/>
  <c r="AC809" i="12" s="1"/>
  <c r="X809" i="12"/>
  <c r="V809" i="12"/>
  <c r="U809" i="12"/>
  <c r="T809" i="12"/>
  <c r="S809" i="12"/>
  <c r="AH808" i="12"/>
  <c r="AF808" i="12"/>
  <c r="AB808" i="12"/>
  <c r="AC808" i="12" s="1"/>
  <c r="AE808" i="12" s="1"/>
  <c r="X808" i="12"/>
  <c r="U808" i="12"/>
  <c r="T808" i="12"/>
  <c r="V808" i="12" s="1"/>
  <c r="S808" i="12"/>
  <c r="AH807" i="12"/>
  <c r="X807" i="12"/>
  <c r="U807" i="12"/>
  <c r="T807" i="12"/>
  <c r="V807" i="12" s="1"/>
  <c r="S807" i="12"/>
  <c r="AH806" i="12"/>
  <c r="X806" i="12"/>
  <c r="U806" i="12"/>
  <c r="V806" i="12" s="1"/>
  <c r="T806" i="12"/>
  <c r="S806" i="12"/>
  <c r="AH805" i="12"/>
  <c r="X805" i="12"/>
  <c r="V805" i="12"/>
  <c r="U805" i="12"/>
  <c r="T805" i="12"/>
  <c r="S805" i="12"/>
  <c r="AH804" i="12"/>
  <c r="AC804" i="12"/>
  <c r="AE804" i="12" s="1"/>
  <c r="AB804" i="12"/>
  <c r="X804" i="12"/>
  <c r="V804" i="12"/>
  <c r="U804" i="12"/>
  <c r="T804" i="12"/>
  <c r="S804" i="12"/>
  <c r="AH803" i="12"/>
  <c r="AC803" i="12"/>
  <c r="AE803" i="12" s="1"/>
  <c r="AB803" i="12"/>
  <c r="X803" i="12"/>
  <c r="U803" i="12"/>
  <c r="T803" i="12"/>
  <c r="S803" i="12"/>
  <c r="AF803" i="12" s="1"/>
  <c r="AH802" i="12"/>
  <c r="AB802" i="12"/>
  <c r="AC802" i="12" s="1"/>
  <c r="AE802" i="12" s="1"/>
  <c r="X802" i="12"/>
  <c r="V802" i="12"/>
  <c r="U802" i="12"/>
  <c r="T802" i="12"/>
  <c r="S802" i="12"/>
  <c r="AH801" i="12"/>
  <c r="X801" i="12"/>
  <c r="U801" i="12"/>
  <c r="T801" i="12"/>
  <c r="S801" i="12"/>
  <c r="AH800" i="12"/>
  <c r="AF800" i="12"/>
  <c r="X800" i="12"/>
  <c r="V800" i="12"/>
  <c r="U800" i="12"/>
  <c r="T800" i="12"/>
  <c r="S800" i="12"/>
  <c r="AH799" i="12"/>
  <c r="AF799" i="12"/>
  <c r="AC799" i="12"/>
  <c r="AE799" i="12" s="1"/>
  <c r="X799" i="12"/>
  <c r="V799" i="12"/>
  <c r="U799" i="12"/>
  <c r="T799" i="12"/>
  <c r="S799" i="12"/>
  <c r="AB799" i="12" s="1"/>
  <c r="AH798" i="12"/>
  <c r="AF798" i="12"/>
  <c r="AB798" i="12"/>
  <c r="AC798" i="12" s="1"/>
  <c r="AE798" i="12" s="1"/>
  <c r="X798" i="12"/>
  <c r="U798" i="12"/>
  <c r="V798" i="12" s="1"/>
  <c r="T798" i="12"/>
  <c r="S798" i="12"/>
  <c r="AH797" i="12"/>
  <c r="X797" i="12"/>
  <c r="U797" i="12"/>
  <c r="T797" i="12"/>
  <c r="V797" i="12" s="1"/>
  <c r="S797" i="12"/>
  <c r="AH796" i="12"/>
  <c r="AC796" i="12"/>
  <c r="AE796" i="12" s="1"/>
  <c r="AB796" i="12"/>
  <c r="X796" i="12"/>
  <c r="U796" i="12"/>
  <c r="T796" i="12"/>
  <c r="S796" i="12"/>
  <c r="AH795" i="12"/>
  <c r="AC795" i="12"/>
  <c r="AE795" i="12" s="1"/>
  <c r="AB795" i="12"/>
  <c r="X795" i="12"/>
  <c r="U795" i="12"/>
  <c r="T795" i="12"/>
  <c r="V795" i="12" s="1"/>
  <c r="S795" i="12"/>
  <c r="AH794" i="12"/>
  <c r="AF794" i="12"/>
  <c r="X794" i="12"/>
  <c r="U794" i="12"/>
  <c r="V794" i="12" s="1"/>
  <c r="T794" i="12"/>
  <c r="S794" i="12"/>
  <c r="AB794" i="12" s="1"/>
  <c r="AC794" i="12" s="1"/>
  <c r="AE794" i="12" s="1"/>
  <c r="AH793" i="12"/>
  <c r="AF793" i="12"/>
  <c r="AB793" i="12"/>
  <c r="AC793" i="12" s="1"/>
  <c r="AE793" i="12" s="1"/>
  <c r="X793" i="12"/>
  <c r="V793" i="12"/>
  <c r="U793" i="12"/>
  <c r="T793" i="12"/>
  <c r="S793" i="12"/>
  <c r="AH792" i="12"/>
  <c r="AF792" i="12"/>
  <c r="AE792" i="12"/>
  <c r="AC792" i="12"/>
  <c r="AB792" i="12"/>
  <c r="X792" i="12"/>
  <c r="U792" i="12"/>
  <c r="V792" i="12" s="1"/>
  <c r="T792" i="12"/>
  <c r="S792" i="12"/>
  <c r="AH791" i="12"/>
  <c r="AF791" i="12"/>
  <c r="AB791" i="12"/>
  <c r="AC791" i="12" s="1"/>
  <c r="AE791" i="12" s="1"/>
  <c r="X791" i="12"/>
  <c r="U791" i="12"/>
  <c r="T791" i="12"/>
  <c r="V791" i="12" s="1"/>
  <c r="S791" i="12"/>
  <c r="AH790" i="12"/>
  <c r="AF790" i="12"/>
  <c r="AB790" i="12"/>
  <c r="AC790" i="12" s="1"/>
  <c r="AE790" i="12" s="1"/>
  <c r="X790" i="12"/>
  <c r="U790" i="12"/>
  <c r="T790" i="12"/>
  <c r="S790" i="12"/>
  <c r="AH789" i="12"/>
  <c r="AF789" i="12"/>
  <c r="X789" i="12"/>
  <c r="U789" i="12"/>
  <c r="V789" i="12" s="1"/>
  <c r="T789" i="12"/>
  <c r="S789" i="12"/>
  <c r="AH788" i="12"/>
  <c r="AE788" i="12"/>
  <c r="AC788" i="12"/>
  <c r="AB788" i="12"/>
  <c r="X788" i="12"/>
  <c r="V788" i="12"/>
  <c r="U788" i="12"/>
  <c r="T788" i="12"/>
  <c r="S788" i="12"/>
  <c r="AH787" i="12"/>
  <c r="X787" i="12"/>
  <c r="U787" i="12"/>
  <c r="T787" i="12"/>
  <c r="S787" i="12"/>
  <c r="AH786" i="12"/>
  <c r="AF786" i="12"/>
  <c r="AE786" i="12"/>
  <c r="AB786" i="12"/>
  <c r="AC786" i="12" s="1"/>
  <c r="X786" i="12"/>
  <c r="U786" i="12"/>
  <c r="T786" i="12"/>
  <c r="V786" i="12" s="1"/>
  <c r="S786" i="12"/>
  <c r="AH785" i="12"/>
  <c r="AB785" i="12"/>
  <c r="AC785" i="12" s="1"/>
  <c r="AE785" i="12" s="1"/>
  <c r="X785" i="12"/>
  <c r="U785" i="12"/>
  <c r="T785" i="12"/>
  <c r="S785" i="12"/>
  <c r="AH784" i="12"/>
  <c r="AC784" i="12"/>
  <c r="AE784" i="12" s="1"/>
  <c r="AB784" i="12"/>
  <c r="X784" i="12"/>
  <c r="U784" i="12"/>
  <c r="T784" i="12"/>
  <c r="V784" i="12" s="1"/>
  <c r="S784" i="12"/>
  <c r="AH783" i="12"/>
  <c r="X783" i="12"/>
  <c r="U783" i="12"/>
  <c r="V783" i="12" s="1"/>
  <c r="T783" i="12"/>
  <c r="S783" i="12"/>
  <c r="AH782" i="12"/>
  <c r="AF782" i="12"/>
  <c r="AB782" i="12"/>
  <c r="AC782" i="12" s="1"/>
  <c r="AE782" i="12" s="1"/>
  <c r="X782" i="12"/>
  <c r="U782" i="12"/>
  <c r="V782" i="12" s="1"/>
  <c r="T782" i="12"/>
  <c r="S782" i="12"/>
  <c r="AH781" i="12"/>
  <c r="X781" i="12"/>
  <c r="V781" i="12"/>
  <c r="U781" i="12"/>
  <c r="T781" i="12"/>
  <c r="S781" i="12"/>
  <c r="AH780" i="12"/>
  <c r="X780" i="12"/>
  <c r="U780" i="12"/>
  <c r="T780" i="12"/>
  <c r="S780" i="12"/>
  <c r="AH779" i="12"/>
  <c r="AF779" i="12"/>
  <c r="AE779" i="12"/>
  <c r="AC779" i="12"/>
  <c r="X779" i="12"/>
  <c r="V779" i="12"/>
  <c r="U779" i="12"/>
  <c r="T779" i="12"/>
  <c r="S779" i="12"/>
  <c r="AB779" i="12" s="1"/>
  <c r="AH778" i="12"/>
  <c r="AF778" i="12"/>
  <c r="AB778" i="12"/>
  <c r="AC778" i="12" s="1"/>
  <c r="AE778" i="12" s="1"/>
  <c r="X778" i="12"/>
  <c r="U778" i="12"/>
  <c r="V778" i="12" s="1"/>
  <c r="T778" i="12"/>
  <c r="S778" i="12"/>
  <c r="AH777" i="12"/>
  <c r="X777" i="12"/>
  <c r="V777" i="12"/>
  <c r="U777" i="12"/>
  <c r="T777" i="12"/>
  <c r="S777" i="12"/>
  <c r="AH776" i="12"/>
  <c r="X776" i="12"/>
  <c r="U776" i="12"/>
  <c r="T776" i="12"/>
  <c r="S776" i="12"/>
  <c r="AH775" i="12"/>
  <c r="X775" i="12"/>
  <c r="U775" i="12"/>
  <c r="T775" i="12"/>
  <c r="V775" i="12" s="1"/>
  <c r="S775" i="12"/>
  <c r="AH774" i="12"/>
  <c r="AF774" i="12"/>
  <c r="X774" i="12"/>
  <c r="U774" i="12"/>
  <c r="V774" i="12" s="1"/>
  <c r="T774" i="12"/>
  <c r="S774" i="12"/>
  <c r="AH773" i="12"/>
  <c r="AF773" i="12"/>
  <c r="AC773" i="12"/>
  <c r="AE773" i="12" s="1"/>
  <c r="AB773" i="12"/>
  <c r="X773" i="12"/>
  <c r="V773" i="12"/>
  <c r="U773" i="12"/>
  <c r="T773" i="12"/>
  <c r="S773" i="12"/>
  <c r="AH772" i="12"/>
  <c r="AF772" i="12"/>
  <c r="AB772" i="12"/>
  <c r="AC772" i="12" s="1"/>
  <c r="AE772" i="12" s="1"/>
  <c r="X772" i="12"/>
  <c r="U772" i="12"/>
  <c r="V772" i="12" s="1"/>
  <c r="T772" i="12"/>
  <c r="S772" i="12"/>
  <c r="AH771" i="12"/>
  <c r="AF771" i="12"/>
  <c r="AE771" i="12"/>
  <c r="AC771" i="12"/>
  <c r="AB771" i="12"/>
  <c r="X771" i="12"/>
  <c r="V771" i="12"/>
  <c r="U771" i="12"/>
  <c r="T771" i="12"/>
  <c r="S771" i="12"/>
  <c r="AH770" i="12"/>
  <c r="AF770" i="12"/>
  <c r="AB770" i="12"/>
  <c r="AC770" i="12" s="1"/>
  <c r="AE770" i="12" s="1"/>
  <c r="X770" i="12"/>
  <c r="V770" i="12"/>
  <c r="U770" i="12"/>
  <c r="T770" i="12"/>
  <c r="S770" i="12"/>
  <c r="AH769" i="12"/>
  <c r="X769" i="12"/>
  <c r="U769" i="12"/>
  <c r="T769" i="12"/>
  <c r="V769" i="12" s="1"/>
  <c r="S769" i="12"/>
  <c r="AH768" i="12"/>
  <c r="AF768" i="12"/>
  <c r="X768" i="12"/>
  <c r="V768" i="12"/>
  <c r="U768" i="12"/>
  <c r="T768" i="12"/>
  <c r="S768" i="12"/>
  <c r="AH767" i="12"/>
  <c r="X767" i="12"/>
  <c r="V767" i="12"/>
  <c r="U767" i="12"/>
  <c r="T767" i="12"/>
  <c r="S767" i="12"/>
  <c r="AH766" i="12"/>
  <c r="X766" i="12"/>
  <c r="U766" i="12"/>
  <c r="V766" i="12" s="1"/>
  <c r="T766" i="12"/>
  <c r="S766" i="12"/>
  <c r="AH765" i="12"/>
  <c r="X765" i="12"/>
  <c r="U765" i="12"/>
  <c r="T765" i="12"/>
  <c r="V765" i="12" s="1"/>
  <c r="S765" i="12"/>
  <c r="AH764" i="12"/>
  <c r="X764" i="12"/>
  <c r="V764" i="12"/>
  <c r="U764" i="12"/>
  <c r="T764" i="12"/>
  <c r="S764" i="12"/>
  <c r="AH763" i="12"/>
  <c r="AF763" i="12"/>
  <c r="AC763" i="12"/>
  <c r="AE763" i="12" s="1"/>
  <c r="AB763" i="12"/>
  <c r="X763" i="12"/>
  <c r="U763" i="12"/>
  <c r="T763" i="12"/>
  <c r="S763" i="12"/>
  <c r="AH762" i="12"/>
  <c r="AF762" i="12"/>
  <c r="AE762" i="12"/>
  <c r="X762" i="12"/>
  <c r="V762" i="12"/>
  <c r="U762" i="12"/>
  <c r="T762" i="12"/>
  <c r="S762" i="12"/>
  <c r="AB762" i="12" s="1"/>
  <c r="AC762" i="12" s="1"/>
  <c r="AH761" i="12"/>
  <c r="AF761" i="12"/>
  <c r="AC761" i="12"/>
  <c r="AE761" i="12" s="1"/>
  <c r="X761" i="12"/>
  <c r="U761" i="12"/>
  <c r="T761" i="12"/>
  <c r="V761" i="12" s="1"/>
  <c r="S761" i="12"/>
  <c r="AB761" i="12" s="1"/>
  <c r="AH760" i="12"/>
  <c r="AF760" i="12"/>
  <c r="AE760" i="12"/>
  <c r="AC760" i="12"/>
  <c r="AB760" i="12"/>
  <c r="X760" i="12"/>
  <c r="U760" i="12"/>
  <c r="T760" i="12"/>
  <c r="V760" i="12" s="1"/>
  <c r="S760" i="12"/>
  <c r="AH759" i="12"/>
  <c r="X759" i="12"/>
  <c r="U759" i="12"/>
  <c r="T759" i="12"/>
  <c r="V759" i="12" s="1"/>
  <c r="S759" i="12"/>
  <c r="AH758" i="12"/>
  <c r="AF758" i="12"/>
  <c r="X758" i="12"/>
  <c r="U758" i="12"/>
  <c r="T758" i="12"/>
  <c r="V758" i="12" s="1"/>
  <c r="S758" i="12"/>
  <c r="AH757" i="12"/>
  <c r="AC757" i="12"/>
  <c r="AE757" i="12" s="1"/>
  <c r="AB757" i="12"/>
  <c r="X757" i="12"/>
  <c r="U757" i="12"/>
  <c r="T757" i="12"/>
  <c r="V757" i="12" s="1"/>
  <c r="S757" i="12"/>
  <c r="AH756" i="12"/>
  <c r="X756" i="12"/>
  <c r="V756" i="12"/>
  <c r="U756" i="12"/>
  <c r="T756" i="12"/>
  <c r="S756" i="12"/>
  <c r="AH755" i="12"/>
  <c r="X755" i="12"/>
  <c r="U755" i="12"/>
  <c r="T755" i="12"/>
  <c r="V755" i="12" s="1"/>
  <c r="S755" i="12"/>
  <c r="AH754" i="12"/>
  <c r="AB754" i="12"/>
  <c r="AC754" i="12" s="1"/>
  <c r="AE754" i="12" s="1"/>
  <c r="X754" i="12"/>
  <c r="U754" i="12"/>
  <c r="T754" i="12"/>
  <c r="V754" i="12" s="1"/>
  <c r="S754" i="12"/>
  <c r="AH753" i="12"/>
  <c r="AF753" i="12"/>
  <c r="X753" i="12"/>
  <c r="U753" i="12"/>
  <c r="V753" i="12" s="1"/>
  <c r="T753" i="12"/>
  <c r="S753" i="12"/>
  <c r="AH752" i="12"/>
  <c r="X752" i="12"/>
  <c r="U752" i="12"/>
  <c r="T752" i="12"/>
  <c r="V752" i="12" s="1"/>
  <c r="S752" i="12"/>
  <c r="AH751" i="12"/>
  <c r="AF751" i="12"/>
  <c r="AB751" i="12"/>
  <c r="AC751" i="12" s="1"/>
  <c r="AE751" i="12" s="1"/>
  <c r="X751" i="12"/>
  <c r="U751" i="12"/>
  <c r="T751" i="12"/>
  <c r="V751" i="12" s="1"/>
  <c r="S751" i="12"/>
  <c r="AH750" i="12"/>
  <c r="AF750" i="12"/>
  <c r="AB750" i="12"/>
  <c r="AC750" i="12" s="1"/>
  <c r="AE750" i="12" s="1"/>
  <c r="X750" i="12"/>
  <c r="V750" i="12"/>
  <c r="U750" i="12"/>
  <c r="T750" i="12"/>
  <c r="S750" i="12"/>
  <c r="AH749" i="12"/>
  <c r="X749" i="12"/>
  <c r="U749" i="12"/>
  <c r="V749" i="12" s="1"/>
  <c r="T749" i="12"/>
  <c r="S749" i="12"/>
  <c r="AH748" i="12"/>
  <c r="X748" i="12"/>
  <c r="V748" i="12"/>
  <c r="U748" i="12"/>
  <c r="T748" i="12"/>
  <c r="S748" i="12"/>
  <c r="AH747" i="12"/>
  <c r="X747" i="12"/>
  <c r="U747" i="12"/>
  <c r="T747" i="12"/>
  <c r="S747" i="12"/>
  <c r="AH746" i="12"/>
  <c r="AF746" i="12"/>
  <c r="AE746" i="12"/>
  <c r="AB746" i="12"/>
  <c r="AC746" i="12" s="1"/>
  <c r="X746" i="12"/>
  <c r="U746" i="12"/>
  <c r="T746" i="12"/>
  <c r="V746" i="12" s="1"/>
  <c r="S746" i="12"/>
  <c r="AH745" i="12"/>
  <c r="AF745" i="12"/>
  <c r="AC745" i="12"/>
  <c r="AE745" i="12" s="1"/>
  <c r="AB745" i="12"/>
  <c r="X745" i="12"/>
  <c r="U745" i="12"/>
  <c r="T745" i="12"/>
  <c r="S745" i="12"/>
  <c r="AH744" i="12"/>
  <c r="AF744" i="12"/>
  <c r="AB744" i="12"/>
  <c r="AC744" i="12" s="1"/>
  <c r="AE744" i="12" s="1"/>
  <c r="X744" i="12"/>
  <c r="U744" i="12"/>
  <c r="T744" i="12"/>
  <c r="S744" i="12"/>
  <c r="AH743" i="12"/>
  <c r="X743" i="12"/>
  <c r="U743" i="12"/>
  <c r="T743" i="12"/>
  <c r="S743" i="12"/>
  <c r="AH742" i="12"/>
  <c r="AF742" i="12"/>
  <c r="AE742" i="12"/>
  <c r="AC742" i="12"/>
  <c r="AB742" i="12"/>
  <c r="X742" i="12"/>
  <c r="V742" i="12"/>
  <c r="U742" i="12"/>
  <c r="T742" i="12"/>
  <c r="S742" i="12"/>
  <c r="AH741" i="12"/>
  <c r="AF741" i="12"/>
  <c r="AC741" i="12"/>
  <c r="AE741" i="12" s="1"/>
  <c r="AB741" i="12"/>
  <c r="X741" i="12"/>
  <c r="U741" i="12"/>
  <c r="V741" i="12" s="1"/>
  <c r="T741" i="12"/>
  <c r="S741" i="12"/>
  <c r="AH740" i="12"/>
  <c r="AF740" i="12"/>
  <c r="AB740" i="12"/>
  <c r="AC740" i="12" s="1"/>
  <c r="AE740" i="12" s="1"/>
  <c r="X740" i="12"/>
  <c r="V740" i="12"/>
  <c r="U740" i="12"/>
  <c r="T740" i="12"/>
  <c r="S740" i="12"/>
  <c r="AH739" i="12"/>
  <c r="X739" i="12"/>
  <c r="U739" i="12"/>
  <c r="T739" i="12"/>
  <c r="V739" i="12" s="1"/>
  <c r="S739" i="12"/>
  <c r="AH738" i="12"/>
  <c r="AB738" i="12"/>
  <c r="AC738" i="12" s="1"/>
  <c r="AE738" i="12" s="1"/>
  <c r="X738" i="12"/>
  <c r="U738" i="12"/>
  <c r="T738" i="12"/>
  <c r="S738" i="12"/>
  <c r="AH737" i="12"/>
  <c r="AF737" i="12"/>
  <c r="AB737" i="12"/>
  <c r="AC737" i="12" s="1"/>
  <c r="AE737" i="12" s="1"/>
  <c r="X737" i="12"/>
  <c r="V737" i="12"/>
  <c r="U737" i="12"/>
  <c r="T737" i="12"/>
  <c r="S737" i="12"/>
  <c r="AH736" i="12"/>
  <c r="AB736" i="12"/>
  <c r="AC736" i="12" s="1"/>
  <c r="AE736" i="12" s="1"/>
  <c r="X736" i="12"/>
  <c r="U736" i="12"/>
  <c r="T736" i="12"/>
  <c r="V736" i="12" s="1"/>
  <c r="S736" i="12"/>
  <c r="AH735" i="12"/>
  <c r="AF735" i="12"/>
  <c r="AE735" i="12"/>
  <c r="AB735" i="12"/>
  <c r="AC735" i="12" s="1"/>
  <c r="X735" i="12"/>
  <c r="U735" i="12"/>
  <c r="V735" i="12" s="1"/>
  <c r="T735" i="12"/>
  <c r="S735" i="12"/>
  <c r="AH734" i="12"/>
  <c r="AF734" i="12"/>
  <c r="X734" i="12"/>
  <c r="V734" i="12"/>
  <c r="U734" i="12"/>
  <c r="T734" i="12"/>
  <c r="S734" i="12"/>
  <c r="AH733" i="12"/>
  <c r="AF733" i="12"/>
  <c r="AC733" i="12"/>
  <c r="AE733" i="12" s="1"/>
  <c r="AB733" i="12"/>
  <c r="X733" i="12"/>
  <c r="U733" i="12"/>
  <c r="T733" i="12"/>
  <c r="V733" i="12" s="1"/>
  <c r="S733" i="12"/>
  <c r="AH732" i="12"/>
  <c r="AB732" i="12"/>
  <c r="AC732" i="12" s="1"/>
  <c r="AE732" i="12" s="1"/>
  <c r="X732" i="12"/>
  <c r="U732" i="12"/>
  <c r="V732" i="12" s="1"/>
  <c r="T732" i="12"/>
  <c r="S732" i="12"/>
  <c r="AH731" i="12"/>
  <c r="AF731" i="12"/>
  <c r="AE731" i="12"/>
  <c r="AB731" i="12"/>
  <c r="AC731" i="12" s="1"/>
  <c r="X731" i="12"/>
  <c r="V731" i="12"/>
  <c r="U731" i="12"/>
  <c r="T731" i="12"/>
  <c r="S731" i="12"/>
  <c r="AH730" i="12"/>
  <c r="X730" i="12"/>
  <c r="U730" i="12"/>
  <c r="T730" i="12"/>
  <c r="V730" i="12" s="1"/>
  <c r="S730" i="12"/>
  <c r="AH729" i="12"/>
  <c r="X729" i="12"/>
  <c r="U729" i="12"/>
  <c r="T729" i="12"/>
  <c r="V729" i="12" s="1"/>
  <c r="S729" i="12"/>
  <c r="AH728" i="12"/>
  <c r="X728" i="12"/>
  <c r="V728" i="12"/>
  <c r="U728" i="12"/>
  <c r="T728" i="12"/>
  <c r="S728" i="12"/>
  <c r="AH727" i="12"/>
  <c r="AF727" i="12"/>
  <c r="AC727" i="12"/>
  <c r="AE727" i="12" s="1"/>
  <c r="X727" i="12"/>
  <c r="U727" i="12"/>
  <c r="V727" i="12" s="1"/>
  <c r="T727" i="12"/>
  <c r="S727" i="12"/>
  <c r="AB727" i="12" s="1"/>
  <c r="AH726" i="12"/>
  <c r="AF726" i="12"/>
  <c r="AE726" i="12"/>
  <c r="AB726" i="12"/>
  <c r="AC726" i="12" s="1"/>
  <c r="X726" i="12"/>
  <c r="V726" i="12"/>
  <c r="U726" i="12"/>
  <c r="T726" i="12"/>
  <c r="S726" i="12"/>
  <c r="AH725" i="12"/>
  <c r="AF725" i="12"/>
  <c r="X725" i="12"/>
  <c r="V725" i="12"/>
  <c r="U725" i="12"/>
  <c r="T725" i="12"/>
  <c r="S725" i="12"/>
  <c r="AH724" i="12"/>
  <c r="AF724" i="12"/>
  <c r="X724" i="12"/>
  <c r="U724" i="12"/>
  <c r="T724" i="12"/>
  <c r="S724" i="12"/>
  <c r="AH723" i="12"/>
  <c r="AF723" i="12"/>
  <c r="AB723" i="12"/>
  <c r="AC723" i="12" s="1"/>
  <c r="AE723" i="12" s="1"/>
  <c r="X723" i="12"/>
  <c r="V723" i="12"/>
  <c r="U723" i="12"/>
  <c r="T723" i="12"/>
  <c r="S723" i="12"/>
  <c r="AH722" i="12"/>
  <c r="AF722" i="12"/>
  <c r="AC722" i="12"/>
  <c r="AE722" i="12" s="1"/>
  <c r="AB722" i="12"/>
  <c r="X722" i="12"/>
  <c r="U722" i="12"/>
  <c r="T722" i="12"/>
  <c r="V722" i="12" s="1"/>
  <c r="S722" i="12"/>
  <c r="AH721" i="12"/>
  <c r="AF721" i="12"/>
  <c r="AE721" i="12"/>
  <c r="AC721" i="12"/>
  <c r="AB721" i="12"/>
  <c r="X721" i="12"/>
  <c r="V721" i="12"/>
  <c r="U721" i="12"/>
  <c r="T721" i="12"/>
  <c r="S721" i="12"/>
  <c r="AH720" i="12"/>
  <c r="AF720" i="12"/>
  <c r="AB720" i="12"/>
  <c r="AC720" i="12" s="1"/>
  <c r="AE720" i="12" s="1"/>
  <c r="X720" i="12"/>
  <c r="U720" i="12"/>
  <c r="T720" i="12"/>
  <c r="V720" i="12" s="1"/>
  <c r="S720" i="12"/>
  <c r="AH719" i="12"/>
  <c r="AF719" i="12"/>
  <c r="X719" i="12"/>
  <c r="U719" i="12"/>
  <c r="T719" i="12"/>
  <c r="V719" i="12" s="1"/>
  <c r="S719" i="12"/>
  <c r="AH718" i="12"/>
  <c r="X718" i="12"/>
  <c r="U718" i="12"/>
  <c r="T718" i="12"/>
  <c r="S718" i="12"/>
  <c r="AH717" i="12"/>
  <c r="X717" i="12"/>
  <c r="V717" i="12"/>
  <c r="U717" i="12"/>
  <c r="T717" i="12"/>
  <c r="S717" i="12"/>
  <c r="AH716" i="12"/>
  <c r="AB716" i="12"/>
  <c r="AC716" i="12" s="1"/>
  <c r="AE716" i="12" s="1"/>
  <c r="X716" i="12"/>
  <c r="V716" i="12"/>
  <c r="U716" i="12"/>
  <c r="T716" i="12"/>
  <c r="S716" i="12"/>
  <c r="AH715" i="12"/>
  <c r="AF715" i="12"/>
  <c r="AE715" i="12"/>
  <c r="AB715" i="12"/>
  <c r="AC715" i="12" s="1"/>
  <c r="X715" i="12"/>
  <c r="V715" i="12"/>
  <c r="U715" i="12"/>
  <c r="T715" i="12"/>
  <c r="S715" i="12"/>
  <c r="AH714" i="12"/>
  <c r="X714" i="12"/>
  <c r="V714" i="12"/>
  <c r="U714" i="12"/>
  <c r="T714" i="12"/>
  <c r="S714" i="12"/>
  <c r="AH713" i="12"/>
  <c r="AF713" i="12"/>
  <c r="X713" i="12"/>
  <c r="U713" i="12"/>
  <c r="T713" i="12"/>
  <c r="V713" i="12" s="1"/>
  <c r="S713" i="12"/>
  <c r="AH712" i="12"/>
  <c r="X712" i="12"/>
  <c r="V712" i="12"/>
  <c r="U712" i="12"/>
  <c r="T712" i="12"/>
  <c r="S712" i="12"/>
  <c r="AH711" i="12"/>
  <c r="X711" i="12"/>
  <c r="U711" i="12"/>
  <c r="T711" i="12"/>
  <c r="V711" i="12" s="1"/>
  <c r="S711" i="12"/>
  <c r="AH710" i="12"/>
  <c r="AF710" i="12"/>
  <c r="X710" i="12"/>
  <c r="U710" i="12"/>
  <c r="T710" i="12"/>
  <c r="V710" i="12" s="1"/>
  <c r="S710" i="12"/>
  <c r="AB710" i="12" s="1"/>
  <c r="AC710" i="12" s="1"/>
  <c r="AE710" i="12" s="1"/>
  <c r="AH709" i="12"/>
  <c r="AF709" i="12"/>
  <c r="X709" i="12"/>
  <c r="U709" i="12"/>
  <c r="T709" i="12"/>
  <c r="V709" i="12" s="1"/>
  <c r="S709" i="12"/>
  <c r="AH708" i="12"/>
  <c r="AF708" i="12"/>
  <c r="AC708" i="12"/>
  <c r="AE708" i="12" s="1"/>
  <c r="AB708" i="12"/>
  <c r="X708" i="12"/>
  <c r="U708" i="12"/>
  <c r="T708" i="12"/>
  <c r="V708" i="12" s="1"/>
  <c r="S708" i="12"/>
  <c r="AH707" i="12"/>
  <c r="AF707" i="12"/>
  <c r="AC707" i="12"/>
  <c r="AE707" i="12" s="1"/>
  <c r="AB707" i="12"/>
  <c r="X707" i="12"/>
  <c r="V707" i="12"/>
  <c r="U707" i="12"/>
  <c r="T707" i="12"/>
  <c r="S707" i="12"/>
  <c r="AH706" i="12"/>
  <c r="AF706" i="12"/>
  <c r="AC706" i="12"/>
  <c r="AE706" i="12" s="1"/>
  <c r="AB706" i="12"/>
  <c r="X706" i="12"/>
  <c r="U706" i="12"/>
  <c r="V706" i="12" s="1"/>
  <c r="T706" i="12"/>
  <c r="S706" i="12"/>
  <c r="AH705" i="12"/>
  <c r="AF705" i="12"/>
  <c r="AC705" i="12"/>
  <c r="AE705" i="12" s="1"/>
  <c r="AB705" i="12"/>
  <c r="X705" i="12"/>
  <c r="U705" i="12"/>
  <c r="T705" i="12"/>
  <c r="V705" i="12" s="1"/>
  <c r="S705" i="12"/>
  <c r="AH704" i="12"/>
  <c r="X704" i="12"/>
  <c r="V704" i="12"/>
  <c r="U704" i="12"/>
  <c r="T704" i="12"/>
  <c r="S704" i="12"/>
  <c r="AH703" i="12"/>
  <c r="X703" i="12"/>
  <c r="U703" i="12"/>
  <c r="V703" i="12" s="1"/>
  <c r="T703" i="12"/>
  <c r="S703" i="12"/>
  <c r="AH702" i="12"/>
  <c r="AF702" i="12"/>
  <c r="AE702" i="12"/>
  <c r="AC702" i="12"/>
  <c r="AB702" i="12"/>
  <c r="X702" i="12"/>
  <c r="V702" i="12"/>
  <c r="U702" i="12"/>
  <c r="T702" i="12"/>
  <c r="S702" i="12"/>
  <c r="AH701" i="12"/>
  <c r="X701" i="12"/>
  <c r="U701" i="12"/>
  <c r="T701" i="12"/>
  <c r="V701" i="12" s="1"/>
  <c r="S701" i="12"/>
  <c r="AH700" i="12"/>
  <c r="AF700" i="12"/>
  <c r="AC700" i="12"/>
  <c r="AE700" i="12" s="1"/>
  <c r="AB700" i="12"/>
  <c r="X700" i="12"/>
  <c r="V700" i="12"/>
  <c r="U700" i="12"/>
  <c r="T700" i="12"/>
  <c r="S700" i="12"/>
  <c r="AH699" i="12"/>
  <c r="AF699" i="12"/>
  <c r="AB699" i="12"/>
  <c r="AC699" i="12" s="1"/>
  <c r="AE699" i="12" s="1"/>
  <c r="X699" i="12"/>
  <c r="V699" i="12"/>
  <c r="U699" i="12"/>
  <c r="T699" i="12"/>
  <c r="S699" i="12"/>
  <c r="AH698" i="12"/>
  <c r="AE698" i="12"/>
  <c r="AB698" i="12"/>
  <c r="AC698" i="12" s="1"/>
  <c r="X698" i="12"/>
  <c r="V698" i="12"/>
  <c r="U698" i="12"/>
  <c r="T698" i="12"/>
  <c r="S698" i="12"/>
  <c r="AH697" i="12"/>
  <c r="AB697" i="12"/>
  <c r="AC697" i="12" s="1"/>
  <c r="AE697" i="12" s="1"/>
  <c r="X697" i="12"/>
  <c r="U697" i="12"/>
  <c r="V697" i="12" s="1"/>
  <c r="T697" i="12"/>
  <c r="S697" i="12"/>
  <c r="AH696" i="12"/>
  <c r="AC696" i="12"/>
  <c r="AE696" i="12" s="1"/>
  <c r="X696" i="12"/>
  <c r="U696" i="12"/>
  <c r="T696" i="12"/>
  <c r="V696" i="12" s="1"/>
  <c r="S696" i="12"/>
  <c r="AB696" i="12" s="1"/>
  <c r="AH695" i="12"/>
  <c r="AF695" i="12"/>
  <c r="AE695" i="12"/>
  <c r="AB695" i="12"/>
  <c r="AC695" i="12" s="1"/>
  <c r="X695" i="12"/>
  <c r="U695" i="12"/>
  <c r="T695" i="12"/>
  <c r="V695" i="12" s="1"/>
  <c r="S695" i="12"/>
  <c r="AH694" i="12"/>
  <c r="X694" i="12"/>
  <c r="U694" i="12"/>
  <c r="V694" i="12" s="1"/>
  <c r="T694" i="12"/>
  <c r="S694" i="12"/>
  <c r="AH693" i="12"/>
  <c r="X693" i="12"/>
  <c r="U693" i="12"/>
  <c r="T693" i="12"/>
  <c r="V693" i="12" s="1"/>
  <c r="S693" i="12"/>
  <c r="AH692" i="12"/>
  <c r="AF692" i="12"/>
  <c r="X692" i="12"/>
  <c r="U692" i="12"/>
  <c r="T692" i="12"/>
  <c r="V692" i="12" s="1"/>
  <c r="S692" i="12"/>
  <c r="AH691" i="12"/>
  <c r="X691" i="12"/>
  <c r="U691" i="12"/>
  <c r="T691" i="12"/>
  <c r="S691" i="12"/>
  <c r="AH690" i="12"/>
  <c r="AF690" i="12"/>
  <c r="AC690" i="12"/>
  <c r="AE690" i="12" s="1"/>
  <c r="X690" i="12"/>
  <c r="U690" i="12"/>
  <c r="T690" i="12"/>
  <c r="S690" i="12"/>
  <c r="AB690" i="12" s="1"/>
  <c r="AH689" i="12"/>
  <c r="AF689" i="12"/>
  <c r="AB689" i="12"/>
  <c r="AC689" i="12" s="1"/>
  <c r="AE689" i="12" s="1"/>
  <c r="X689" i="12"/>
  <c r="U689" i="12"/>
  <c r="T689" i="12"/>
  <c r="S689" i="12"/>
  <c r="AH688" i="12"/>
  <c r="AF688" i="12"/>
  <c r="AB688" i="12"/>
  <c r="AC688" i="12" s="1"/>
  <c r="AE688" i="12" s="1"/>
  <c r="X688" i="12"/>
  <c r="U688" i="12"/>
  <c r="T688" i="12"/>
  <c r="V688" i="12" s="1"/>
  <c r="S688" i="12"/>
  <c r="AH687" i="12"/>
  <c r="AB687" i="12"/>
  <c r="AC687" i="12" s="1"/>
  <c r="AE687" i="12" s="1"/>
  <c r="X687" i="12"/>
  <c r="V687" i="12"/>
  <c r="U687" i="12"/>
  <c r="T687" i="12"/>
  <c r="S687" i="12"/>
  <c r="AH686" i="12"/>
  <c r="AF686" i="12"/>
  <c r="AB686" i="12"/>
  <c r="AC686" i="12" s="1"/>
  <c r="AE686" i="12" s="1"/>
  <c r="X686" i="12"/>
  <c r="U686" i="12"/>
  <c r="V686" i="12" s="1"/>
  <c r="T686" i="12"/>
  <c r="S686" i="12"/>
  <c r="AH685" i="12"/>
  <c r="AF685" i="12"/>
  <c r="AE685" i="12"/>
  <c r="AB685" i="12"/>
  <c r="AC685" i="12" s="1"/>
  <c r="X685" i="12"/>
  <c r="U685" i="12"/>
  <c r="T685" i="12"/>
  <c r="V685" i="12" s="1"/>
  <c r="S685" i="12"/>
  <c r="AH684" i="12"/>
  <c r="AB684" i="12"/>
  <c r="AC684" i="12" s="1"/>
  <c r="AE684" i="12" s="1"/>
  <c r="X684" i="12"/>
  <c r="V684" i="12"/>
  <c r="U684" i="12"/>
  <c r="T684" i="12"/>
  <c r="S684" i="12"/>
  <c r="AH683" i="12"/>
  <c r="X683" i="12"/>
  <c r="U683" i="12"/>
  <c r="V683" i="12" s="1"/>
  <c r="T683" i="12"/>
  <c r="S683" i="12"/>
  <c r="AH682" i="12"/>
  <c r="AF682" i="12"/>
  <c r="AB682" i="12"/>
  <c r="AC682" i="12" s="1"/>
  <c r="AE682" i="12" s="1"/>
  <c r="X682" i="12"/>
  <c r="V682" i="12"/>
  <c r="U682" i="12"/>
  <c r="T682" i="12"/>
  <c r="S682" i="12"/>
  <c r="AH681" i="12"/>
  <c r="AF681" i="12"/>
  <c r="AC681" i="12"/>
  <c r="AE681" i="12" s="1"/>
  <c r="AB681" i="12"/>
  <c r="X681" i="12"/>
  <c r="V681" i="12"/>
  <c r="U681" i="12"/>
  <c r="T681" i="12"/>
  <c r="S681" i="12"/>
  <c r="AH680" i="12"/>
  <c r="AF680" i="12"/>
  <c r="AB680" i="12"/>
  <c r="AC680" i="12" s="1"/>
  <c r="AE680" i="12" s="1"/>
  <c r="X680" i="12"/>
  <c r="U680" i="12"/>
  <c r="T680" i="12"/>
  <c r="V680" i="12" s="1"/>
  <c r="S680" i="12"/>
  <c r="AH679" i="12"/>
  <c r="AF679" i="12"/>
  <c r="AB679" i="12"/>
  <c r="AC679" i="12" s="1"/>
  <c r="AE679" i="12" s="1"/>
  <c r="X679" i="12"/>
  <c r="V679" i="12"/>
  <c r="U679" i="12"/>
  <c r="T679" i="12"/>
  <c r="S679" i="12"/>
  <c r="AH678" i="12"/>
  <c r="X678" i="12"/>
  <c r="U678" i="12"/>
  <c r="T678" i="12"/>
  <c r="V678" i="12" s="1"/>
  <c r="S678" i="12"/>
  <c r="AH677" i="12"/>
  <c r="X677" i="12"/>
  <c r="U677" i="12"/>
  <c r="T677" i="12"/>
  <c r="S677" i="12"/>
  <c r="AH676" i="12"/>
  <c r="AF676" i="12"/>
  <c r="AC676" i="12"/>
  <c r="AE676" i="12" s="1"/>
  <c r="AB676" i="12"/>
  <c r="X676" i="12"/>
  <c r="U676" i="12"/>
  <c r="V676" i="12" s="1"/>
  <c r="T676" i="12"/>
  <c r="S676" i="12"/>
  <c r="AH675" i="12"/>
  <c r="AF675" i="12"/>
  <c r="AB675" i="12"/>
  <c r="AC675" i="12" s="1"/>
  <c r="AE675" i="12" s="1"/>
  <c r="X675" i="12"/>
  <c r="V675" i="12"/>
  <c r="U675" i="12"/>
  <c r="T675" i="12"/>
  <c r="S675" i="12"/>
  <c r="AH674" i="12"/>
  <c r="X674" i="12"/>
  <c r="V674" i="12"/>
  <c r="U674" i="12"/>
  <c r="T674" i="12"/>
  <c r="S674" i="12"/>
  <c r="AH673" i="12"/>
  <c r="AF673" i="12"/>
  <c r="X673" i="12"/>
  <c r="V673" i="12"/>
  <c r="U673" i="12"/>
  <c r="T673" i="12"/>
  <c r="S673" i="12"/>
  <c r="AH672" i="12"/>
  <c r="AC672" i="12"/>
  <c r="AE672" i="12" s="1"/>
  <c r="AB672" i="12"/>
  <c r="X672" i="12"/>
  <c r="U672" i="12"/>
  <c r="V672" i="12" s="1"/>
  <c r="T672" i="12"/>
  <c r="S672" i="12"/>
  <c r="AH671" i="12"/>
  <c r="X671" i="12"/>
  <c r="U671" i="12"/>
  <c r="V671" i="12" s="1"/>
  <c r="T671" i="12"/>
  <c r="S671" i="12"/>
  <c r="AH670" i="12"/>
  <c r="AF670" i="12"/>
  <c r="AE670" i="12"/>
  <c r="AC670" i="12"/>
  <c r="X670" i="12"/>
  <c r="U670" i="12"/>
  <c r="T670" i="12"/>
  <c r="V670" i="12" s="1"/>
  <c r="S670" i="12"/>
  <c r="AB670" i="12" s="1"/>
  <c r="AH669" i="12"/>
  <c r="AF669" i="12"/>
  <c r="AB669" i="12"/>
  <c r="AC669" i="12" s="1"/>
  <c r="AE669" i="12" s="1"/>
  <c r="X669" i="12"/>
  <c r="U669" i="12"/>
  <c r="T669" i="12"/>
  <c r="S669" i="12"/>
  <c r="AH668" i="12"/>
  <c r="AB668" i="12"/>
  <c r="AC668" i="12" s="1"/>
  <c r="AE668" i="12" s="1"/>
  <c r="X668" i="12"/>
  <c r="U668" i="12"/>
  <c r="T668" i="12"/>
  <c r="V668" i="12" s="1"/>
  <c r="S668" i="12"/>
  <c r="AH667" i="12"/>
  <c r="X667" i="12"/>
  <c r="V667" i="12"/>
  <c r="U667" i="12"/>
  <c r="T667" i="12"/>
  <c r="S667" i="12"/>
  <c r="AH666" i="12"/>
  <c r="AF666" i="12"/>
  <c r="AB666" i="12"/>
  <c r="AC666" i="12" s="1"/>
  <c r="AE666" i="12" s="1"/>
  <c r="X666" i="12"/>
  <c r="V666" i="12"/>
  <c r="U666" i="12"/>
  <c r="T666" i="12"/>
  <c r="S666" i="12"/>
  <c r="AH665" i="12"/>
  <c r="AF665" i="12"/>
  <c r="AC665" i="12"/>
  <c r="AE665" i="12" s="1"/>
  <c r="AB665" i="12"/>
  <c r="X665" i="12"/>
  <c r="V665" i="12"/>
  <c r="U665" i="12"/>
  <c r="T665" i="12"/>
  <c r="S665" i="12"/>
  <c r="AH664" i="12"/>
  <c r="X664" i="12"/>
  <c r="W664" i="12"/>
  <c r="U664" i="12"/>
  <c r="T664" i="12"/>
  <c r="V664" i="12" s="1"/>
  <c r="S664" i="12"/>
  <c r="AH663" i="12"/>
  <c r="X663" i="12"/>
  <c r="U663" i="12"/>
  <c r="T663" i="12"/>
  <c r="S663" i="12"/>
  <c r="AH662" i="12"/>
  <c r="X662" i="12"/>
  <c r="V662" i="12"/>
  <c r="U662" i="12"/>
  <c r="T662" i="12"/>
  <c r="S662" i="12"/>
  <c r="AH661" i="12"/>
  <c r="AF661" i="12"/>
  <c r="AB661" i="12"/>
  <c r="AC661" i="12" s="1"/>
  <c r="AE661" i="12" s="1"/>
  <c r="X661" i="12"/>
  <c r="U661" i="12"/>
  <c r="T661" i="12"/>
  <c r="S661" i="12"/>
  <c r="AH660" i="12"/>
  <c r="AB660" i="12"/>
  <c r="AC660" i="12" s="1"/>
  <c r="AE660" i="12" s="1"/>
  <c r="X660" i="12"/>
  <c r="V660" i="12"/>
  <c r="U660" i="12"/>
  <c r="T660" i="12"/>
  <c r="S660" i="12"/>
  <c r="AH659" i="12"/>
  <c r="AF659" i="12"/>
  <c r="AC659" i="12"/>
  <c r="AE659" i="12" s="1"/>
  <c r="AB659" i="12"/>
  <c r="X659" i="12"/>
  <c r="V659" i="12"/>
  <c r="U659" i="12"/>
  <c r="T659" i="12"/>
  <c r="S659" i="12"/>
  <c r="AH658" i="12"/>
  <c r="X658" i="12"/>
  <c r="U658" i="12"/>
  <c r="T658" i="12"/>
  <c r="V658" i="12" s="1"/>
  <c r="S658" i="12"/>
  <c r="AH657" i="12"/>
  <c r="AB657" i="12"/>
  <c r="AC657" i="12" s="1"/>
  <c r="AE657" i="12" s="1"/>
  <c r="X657" i="12"/>
  <c r="U657" i="12"/>
  <c r="T657" i="12"/>
  <c r="V657" i="12" s="1"/>
  <c r="S657" i="12"/>
  <c r="AH656" i="12"/>
  <c r="AB656" i="12"/>
  <c r="AC656" i="12" s="1"/>
  <c r="AE656" i="12" s="1"/>
  <c r="X656" i="12"/>
  <c r="V656" i="12"/>
  <c r="U656" i="12"/>
  <c r="T656" i="12"/>
  <c r="S656" i="12"/>
  <c r="AH655" i="12"/>
  <c r="X655" i="12"/>
  <c r="U655" i="12"/>
  <c r="T655" i="12"/>
  <c r="V655" i="12" s="1"/>
  <c r="S655" i="12"/>
  <c r="AH654" i="12"/>
  <c r="AF654" i="12"/>
  <c r="AE654" i="12"/>
  <c r="X654" i="12"/>
  <c r="U654" i="12"/>
  <c r="T654" i="12"/>
  <c r="V654" i="12" s="1"/>
  <c r="S654" i="12"/>
  <c r="AB654" i="12" s="1"/>
  <c r="AC654" i="12" s="1"/>
  <c r="AH653" i="12"/>
  <c r="AF653" i="12"/>
  <c r="AE653" i="12"/>
  <c r="AC653" i="12"/>
  <c r="X653" i="12"/>
  <c r="V653" i="12"/>
  <c r="U653" i="12"/>
  <c r="T653" i="12"/>
  <c r="S653" i="12"/>
  <c r="AB653" i="12" s="1"/>
  <c r="AH652" i="12"/>
  <c r="AF652" i="12"/>
  <c r="AC652" i="12"/>
  <c r="AE652" i="12" s="1"/>
  <c r="AB652" i="12"/>
  <c r="X652" i="12"/>
  <c r="U652" i="12"/>
  <c r="V652" i="12" s="1"/>
  <c r="T652" i="12"/>
  <c r="S652" i="12"/>
  <c r="AH651" i="12"/>
  <c r="X651" i="12"/>
  <c r="V651" i="12"/>
  <c r="U651" i="12"/>
  <c r="T651" i="12"/>
  <c r="S651" i="12"/>
  <c r="AH650" i="12"/>
  <c r="X650" i="12"/>
  <c r="V650" i="12"/>
  <c r="U650" i="12"/>
  <c r="T650" i="12"/>
  <c r="S650" i="12"/>
  <c r="AH649" i="12"/>
  <c r="AF649" i="12"/>
  <c r="X649" i="12"/>
  <c r="U649" i="12"/>
  <c r="T649" i="12"/>
  <c r="S649" i="12"/>
  <c r="AH648" i="12"/>
  <c r="AF648" i="12"/>
  <c r="AB648" i="12"/>
  <c r="AC648" i="12" s="1"/>
  <c r="AE648" i="12" s="1"/>
  <c r="X648" i="12"/>
  <c r="U648" i="12"/>
  <c r="T648" i="12"/>
  <c r="V648" i="12" s="1"/>
  <c r="S648" i="12"/>
  <c r="AH647" i="12"/>
  <c r="X647" i="12"/>
  <c r="V647" i="12"/>
  <c r="U647" i="12"/>
  <c r="T647" i="12"/>
  <c r="S647" i="12"/>
  <c r="AH646" i="12"/>
  <c r="AF646" i="12"/>
  <c r="AE646" i="12"/>
  <c r="AC646" i="12"/>
  <c r="AB646" i="12"/>
  <c r="X646" i="12"/>
  <c r="V646" i="12"/>
  <c r="U646" i="12"/>
  <c r="T646" i="12"/>
  <c r="S646" i="12"/>
  <c r="AH645" i="12"/>
  <c r="AF645" i="12"/>
  <c r="AB645" i="12"/>
  <c r="AC645" i="12" s="1"/>
  <c r="AE645" i="12" s="1"/>
  <c r="X645" i="12"/>
  <c r="V645" i="12"/>
  <c r="U645" i="12"/>
  <c r="T645" i="12"/>
  <c r="S645" i="12"/>
  <c r="AH644" i="12"/>
  <c r="X644" i="12"/>
  <c r="V644" i="12"/>
  <c r="U644" i="12"/>
  <c r="T644" i="12"/>
  <c r="S644" i="12"/>
  <c r="AH643" i="12"/>
  <c r="X643" i="12"/>
  <c r="U643" i="12"/>
  <c r="T643" i="12"/>
  <c r="V643" i="12" s="1"/>
  <c r="S643" i="12"/>
  <c r="AH642" i="12"/>
  <c r="AF642" i="12"/>
  <c r="AE642" i="12"/>
  <c r="AC642" i="12"/>
  <c r="AB642" i="12"/>
  <c r="X642" i="12"/>
  <c r="U642" i="12"/>
  <c r="V642" i="12" s="1"/>
  <c r="T642" i="12"/>
  <c r="S642" i="12"/>
  <c r="AH641" i="12"/>
  <c r="AF641" i="12"/>
  <c r="AE641" i="12"/>
  <c r="AC641" i="12"/>
  <c r="AB641" i="12"/>
  <c r="X641" i="12"/>
  <c r="V641" i="12"/>
  <c r="U641" i="12"/>
  <c r="T641" i="12"/>
  <c r="S641" i="12"/>
  <c r="AH640" i="12"/>
  <c r="X640" i="12"/>
  <c r="V640" i="12"/>
  <c r="U640" i="12"/>
  <c r="T640" i="12"/>
  <c r="S640" i="12"/>
  <c r="AH639" i="12"/>
  <c r="X639" i="12"/>
  <c r="U639" i="12"/>
  <c r="T639" i="12"/>
  <c r="V639" i="12" s="1"/>
  <c r="S639" i="12"/>
  <c r="AH638" i="12"/>
  <c r="X638" i="12"/>
  <c r="V638" i="12"/>
  <c r="U638" i="12"/>
  <c r="T638" i="12"/>
  <c r="S638" i="12"/>
  <c r="AH637" i="12"/>
  <c r="X637" i="12"/>
  <c r="V637" i="12"/>
  <c r="U637" i="12"/>
  <c r="T637" i="12"/>
  <c r="S637" i="12"/>
  <c r="AH636" i="12"/>
  <c r="AF636" i="12"/>
  <c r="AB636" i="12"/>
  <c r="AC636" i="12" s="1"/>
  <c r="AE636" i="12" s="1"/>
  <c r="X636" i="12"/>
  <c r="U636" i="12"/>
  <c r="T636" i="12"/>
  <c r="V636" i="12" s="1"/>
  <c r="S636" i="12"/>
  <c r="AH635" i="12"/>
  <c r="AF635" i="12"/>
  <c r="AE635" i="12"/>
  <c r="X635" i="12"/>
  <c r="U635" i="12"/>
  <c r="T635" i="12"/>
  <c r="V635" i="12" s="1"/>
  <c r="S635" i="12"/>
  <c r="AB635" i="12" s="1"/>
  <c r="AC635" i="12" s="1"/>
  <c r="AH634" i="12"/>
  <c r="X634" i="12"/>
  <c r="V634" i="12"/>
  <c r="U634" i="12"/>
  <c r="T634" i="12"/>
  <c r="S634" i="12"/>
  <c r="AH633" i="12"/>
  <c r="X633" i="12"/>
  <c r="U633" i="12"/>
  <c r="T633" i="12"/>
  <c r="S633" i="12"/>
  <c r="AH632" i="12"/>
  <c r="X632" i="12"/>
  <c r="V632" i="12"/>
  <c r="U632" i="12"/>
  <c r="T632" i="12"/>
  <c r="S632" i="12"/>
  <c r="AH631" i="12"/>
  <c r="AF631" i="12"/>
  <c r="AE631" i="12"/>
  <c r="AB631" i="12"/>
  <c r="AC631" i="12" s="1"/>
  <c r="X631" i="12"/>
  <c r="V631" i="12"/>
  <c r="U631" i="12"/>
  <c r="T631" i="12"/>
  <c r="S631" i="12"/>
  <c r="AH630" i="12"/>
  <c r="AF630" i="12"/>
  <c r="AE630" i="12"/>
  <c r="X630" i="12"/>
  <c r="U630" i="12"/>
  <c r="T630" i="12"/>
  <c r="V630" i="12" s="1"/>
  <c r="S630" i="12"/>
  <c r="AB630" i="12" s="1"/>
  <c r="AC630" i="12" s="1"/>
  <c r="AH629" i="12"/>
  <c r="AF629" i="12"/>
  <c r="AE629" i="12"/>
  <c r="AB629" i="12"/>
  <c r="AC629" i="12" s="1"/>
  <c r="X629" i="12"/>
  <c r="U629" i="12"/>
  <c r="T629" i="12"/>
  <c r="S629" i="12"/>
  <c r="AH628" i="12"/>
  <c r="AF628" i="12"/>
  <c r="AC628" i="12"/>
  <c r="AE628" i="12" s="1"/>
  <c r="AB628" i="12"/>
  <c r="X628" i="12"/>
  <c r="V628" i="12"/>
  <c r="U628" i="12"/>
  <c r="T628" i="12"/>
  <c r="S628" i="12"/>
  <c r="AH627" i="12"/>
  <c r="AF627" i="12"/>
  <c r="X627" i="12"/>
  <c r="U627" i="12"/>
  <c r="V627" i="12" s="1"/>
  <c r="T627" i="12"/>
  <c r="S627" i="12"/>
  <c r="AH626" i="12"/>
  <c r="AF626" i="12"/>
  <c r="AB626" i="12"/>
  <c r="AC626" i="12" s="1"/>
  <c r="AE626" i="12" s="1"/>
  <c r="X626" i="12"/>
  <c r="U626" i="12"/>
  <c r="V626" i="12" s="1"/>
  <c r="T626" i="12"/>
  <c r="S626" i="12"/>
  <c r="AH625" i="12"/>
  <c r="AB625" i="12"/>
  <c r="AC625" i="12" s="1"/>
  <c r="AE625" i="12" s="1"/>
  <c r="X625" i="12"/>
  <c r="V625" i="12"/>
  <c r="U625" i="12"/>
  <c r="T625" i="12"/>
  <c r="S625" i="12"/>
  <c r="AH624" i="12"/>
  <c r="X624" i="12"/>
  <c r="V624" i="12"/>
  <c r="U624" i="12"/>
  <c r="T624" i="12"/>
  <c r="S624" i="12"/>
  <c r="AH623" i="12"/>
  <c r="AF623" i="12"/>
  <c r="X623" i="12"/>
  <c r="U623" i="12"/>
  <c r="T623" i="12"/>
  <c r="V623" i="12" s="1"/>
  <c r="S623" i="12"/>
  <c r="AH622" i="12"/>
  <c r="AF622" i="12"/>
  <c r="AB622" i="12"/>
  <c r="AC622" i="12" s="1"/>
  <c r="AE622" i="12" s="1"/>
  <c r="X622" i="12"/>
  <c r="V622" i="12"/>
  <c r="U622" i="12"/>
  <c r="T622" i="12"/>
  <c r="S622" i="12"/>
  <c r="AH621" i="12"/>
  <c r="X621" i="12"/>
  <c r="U621" i="12"/>
  <c r="T621" i="12"/>
  <c r="V621" i="12" s="1"/>
  <c r="S621" i="12"/>
  <c r="AH620" i="12"/>
  <c r="AF620" i="12"/>
  <c r="X620" i="12"/>
  <c r="U620" i="12"/>
  <c r="T620" i="12"/>
  <c r="V620" i="12" s="1"/>
  <c r="S620" i="12"/>
  <c r="AH619" i="12"/>
  <c r="X619" i="12"/>
  <c r="V619" i="12"/>
  <c r="U619" i="12"/>
  <c r="T619" i="12"/>
  <c r="S619" i="12"/>
  <c r="AH618" i="12"/>
  <c r="AC618" i="12"/>
  <c r="AE618" i="12" s="1"/>
  <c r="AB618" i="12"/>
  <c r="X618" i="12"/>
  <c r="V618" i="12"/>
  <c r="U618" i="12"/>
  <c r="T618" i="12"/>
  <c r="S618" i="12"/>
  <c r="AF618" i="12" s="1"/>
  <c r="AH617" i="12"/>
  <c r="AF617" i="12"/>
  <c r="X617" i="12"/>
  <c r="U617" i="12"/>
  <c r="V617" i="12" s="1"/>
  <c r="T617" i="12"/>
  <c r="S617" i="12"/>
  <c r="AH616" i="12"/>
  <c r="AC616" i="12"/>
  <c r="AE616" i="12" s="1"/>
  <c r="AB616" i="12"/>
  <c r="X616" i="12"/>
  <c r="V616" i="12"/>
  <c r="U616" i="12"/>
  <c r="T616" i="12"/>
  <c r="S616" i="12"/>
  <c r="AH615" i="12"/>
  <c r="AF615" i="12"/>
  <c r="AE615" i="12"/>
  <c r="AB615" i="12"/>
  <c r="AC615" i="12" s="1"/>
  <c r="X615" i="12"/>
  <c r="V615" i="12"/>
  <c r="U615" i="12"/>
  <c r="T615" i="12"/>
  <c r="S615" i="12"/>
  <c r="AH614" i="12"/>
  <c r="X614" i="12"/>
  <c r="V614" i="12"/>
  <c r="U614" i="12"/>
  <c r="T614" i="12"/>
  <c r="S614" i="12"/>
  <c r="AH613" i="12"/>
  <c r="AB613" i="12"/>
  <c r="AC613" i="12" s="1"/>
  <c r="AE613" i="12" s="1"/>
  <c r="X613" i="12"/>
  <c r="W613" i="12"/>
  <c r="Z613" i="12" s="1"/>
  <c r="U613" i="12"/>
  <c r="T613" i="12"/>
  <c r="V613" i="12" s="1"/>
  <c r="S613" i="12"/>
  <c r="AH612" i="12"/>
  <c r="X612" i="12"/>
  <c r="V612" i="12"/>
  <c r="U612" i="12"/>
  <c r="T612" i="12"/>
  <c r="S612" i="12"/>
  <c r="AH611" i="12"/>
  <c r="AF611" i="12"/>
  <c r="X611" i="12"/>
  <c r="U611" i="12"/>
  <c r="T611" i="12"/>
  <c r="S611" i="12"/>
  <c r="AH610" i="12"/>
  <c r="AF610" i="12"/>
  <c r="AC610" i="12"/>
  <c r="AE610" i="12" s="1"/>
  <c r="AB610" i="12"/>
  <c r="X610" i="12"/>
  <c r="U610" i="12"/>
  <c r="T610" i="12"/>
  <c r="V610" i="12" s="1"/>
  <c r="S610" i="12"/>
  <c r="AH609" i="12"/>
  <c r="AF609" i="12"/>
  <c r="AE609" i="12"/>
  <c r="AC609" i="12"/>
  <c r="AB609" i="12"/>
  <c r="X609" i="12"/>
  <c r="U609" i="12"/>
  <c r="T609" i="12"/>
  <c r="V609" i="12" s="1"/>
  <c r="S609" i="12"/>
  <c r="AH608" i="12"/>
  <c r="AB608" i="12"/>
  <c r="AC608" i="12" s="1"/>
  <c r="AE608" i="12" s="1"/>
  <c r="X608" i="12"/>
  <c r="V608" i="12"/>
  <c r="U608" i="12"/>
  <c r="T608" i="12"/>
  <c r="S608" i="12"/>
  <c r="AH607" i="12"/>
  <c r="AF607" i="12"/>
  <c r="AB607" i="12"/>
  <c r="AC607" i="12" s="1"/>
  <c r="AE607" i="12" s="1"/>
  <c r="X607" i="12"/>
  <c r="U607" i="12"/>
  <c r="V607" i="12" s="1"/>
  <c r="T607" i="12"/>
  <c r="S607" i="12"/>
  <c r="AH606" i="12"/>
  <c r="AF606" i="12"/>
  <c r="AE606" i="12"/>
  <c r="AC606" i="12"/>
  <c r="AB606" i="12"/>
  <c r="X606" i="12"/>
  <c r="U606" i="12"/>
  <c r="T606" i="12"/>
  <c r="S606" i="12"/>
  <c r="AH605" i="12"/>
  <c r="X605" i="12"/>
  <c r="V605" i="12"/>
  <c r="U605" i="12"/>
  <c r="T605" i="12"/>
  <c r="S605" i="12"/>
  <c r="AH604" i="12"/>
  <c r="X604" i="12"/>
  <c r="U604" i="12"/>
  <c r="T604" i="12"/>
  <c r="V604" i="12" s="1"/>
  <c r="S604" i="12"/>
  <c r="AH603" i="12"/>
  <c r="AF603" i="12"/>
  <c r="X603" i="12"/>
  <c r="U603" i="12"/>
  <c r="V603" i="12" s="1"/>
  <c r="T603" i="12"/>
  <c r="S603" i="12"/>
  <c r="AH602" i="12"/>
  <c r="AE602" i="12"/>
  <c r="AB602" i="12"/>
  <c r="AC602" i="12" s="1"/>
  <c r="X602" i="12"/>
  <c r="V602" i="12"/>
  <c r="U602" i="12"/>
  <c r="T602" i="12"/>
  <c r="S602" i="12"/>
  <c r="AH601" i="12"/>
  <c r="AF601" i="12"/>
  <c r="AB601" i="12"/>
  <c r="AC601" i="12" s="1"/>
  <c r="AE601" i="12" s="1"/>
  <c r="X601" i="12"/>
  <c r="V601" i="12"/>
  <c r="U601" i="12"/>
  <c r="T601" i="12"/>
  <c r="S601" i="12"/>
  <c r="AH600" i="12"/>
  <c r="X600" i="12"/>
  <c r="V600" i="12"/>
  <c r="U600" i="12"/>
  <c r="T600" i="12"/>
  <c r="S600" i="12"/>
  <c r="AH599" i="12"/>
  <c r="X599" i="12"/>
  <c r="W599" i="12"/>
  <c r="V599" i="12"/>
  <c r="U599" i="12"/>
  <c r="T599" i="12"/>
  <c r="S599" i="12"/>
  <c r="AH598" i="12"/>
  <c r="X598" i="12"/>
  <c r="U598" i="12"/>
  <c r="T598" i="12"/>
  <c r="S598" i="12"/>
  <c r="AH597" i="12"/>
  <c r="AF597" i="12"/>
  <c r="X597" i="12"/>
  <c r="U597" i="12"/>
  <c r="T597" i="12"/>
  <c r="V597" i="12" s="1"/>
  <c r="S597" i="12"/>
  <c r="AB597" i="12" s="1"/>
  <c r="AC597" i="12" s="1"/>
  <c r="AE597" i="12" s="1"/>
  <c r="AH596" i="12"/>
  <c r="AF596" i="12"/>
  <c r="AC596" i="12"/>
  <c r="AE596" i="12" s="1"/>
  <c r="AB596" i="12"/>
  <c r="X596" i="12"/>
  <c r="U596" i="12"/>
  <c r="T596" i="12"/>
  <c r="V596" i="12" s="1"/>
  <c r="S596" i="12"/>
  <c r="AH595" i="12"/>
  <c r="AF595" i="12"/>
  <c r="AE595" i="12"/>
  <c r="AB595" i="12"/>
  <c r="AC595" i="12" s="1"/>
  <c r="X595" i="12"/>
  <c r="U595" i="12"/>
  <c r="T595" i="12"/>
  <c r="S595" i="12"/>
  <c r="AH594" i="12"/>
  <c r="X594" i="12"/>
  <c r="V594" i="12"/>
  <c r="U594" i="12"/>
  <c r="T594" i="12"/>
  <c r="S594" i="12"/>
  <c r="AH593" i="12"/>
  <c r="AB593" i="12"/>
  <c r="AC593" i="12" s="1"/>
  <c r="AE593" i="12" s="1"/>
  <c r="X593" i="12"/>
  <c r="U593" i="12"/>
  <c r="T593" i="12"/>
  <c r="V593" i="12" s="1"/>
  <c r="S593" i="12"/>
  <c r="AH592" i="12"/>
  <c r="AF592" i="12"/>
  <c r="AB592" i="12"/>
  <c r="AC592" i="12" s="1"/>
  <c r="AE592" i="12" s="1"/>
  <c r="X592" i="12"/>
  <c r="V592" i="12"/>
  <c r="U592" i="12"/>
  <c r="T592" i="12"/>
  <c r="S592" i="12"/>
  <c r="AH591" i="12"/>
  <c r="AF591" i="12"/>
  <c r="X591" i="12"/>
  <c r="W591" i="12"/>
  <c r="Z591" i="12" s="1"/>
  <c r="V591" i="12"/>
  <c r="U591" i="12"/>
  <c r="T591" i="12"/>
  <c r="S591" i="12"/>
  <c r="AH590" i="12"/>
  <c r="X590" i="12"/>
  <c r="U590" i="12"/>
  <c r="T590" i="12"/>
  <c r="S590" i="12"/>
  <c r="AH589" i="12"/>
  <c r="AF589" i="12"/>
  <c r="AE589" i="12"/>
  <c r="X589" i="12"/>
  <c r="W589" i="12"/>
  <c r="U589" i="12"/>
  <c r="T589" i="12"/>
  <c r="S589" i="12"/>
  <c r="AB589" i="12" s="1"/>
  <c r="AC589" i="12" s="1"/>
  <c r="AH588" i="12"/>
  <c r="X588" i="12"/>
  <c r="U588" i="12"/>
  <c r="T588" i="12"/>
  <c r="V588" i="12" s="1"/>
  <c r="S588" i="12"/>
  <c r="AH587" i="12"/>
  <c r="AF587" i="12"/>
  <c r="AC587" i="12"/>
  <c r="AE587" i="12" s="1"/>
  <c r="AB587" i="12"/>
  <c r="X587" i="12"/>
  <c r="U587" i="12"/>
  <c r="V587" i="12" s="1"/>
  <c r="T587" i="12"/>
  <c r="S587" i="12"/>
  <c r="AH586" i="12"/>
  <c r="AF586" i="12"/>
  <c r="AE586" i="12"/>
  <c r="AC586" i="12"/>
  <c r="AB586" i="12"/>
  <c r="X586" i="12"/>
  <c r="V586" i="12"/>
  <c r="U586" i="12"/>
  <c r="T586" i="12"/>
  <c r="S586" i="12"/>
  <c r="AH585" i="12"/>
  <c r="AF585" i="12"/>
  <c r="AE585" i="12"/>
  <c r="AC585" i="12"/>
  <c r="AB585" i="12"/>
  <c r="X585" i="12"/>
  <c r="V585" i="12"/>
  <c r="U585" i="12"/>
  <c r="T585" i="12"/>
  <c r="S585" i="12"/>
  <c r="AH584" i="12"/>
  <c r="AF584" i="12"/>
  <c r="AC584" i="12"/>
  <c r="AE584" i="12" s="1"/>
  <c r="AB584" i="12"/>
  <c r="X584" i="12"/>
  <c r="U584" i="12"/>
  <c r="T584" i="12"/>
  <c r="S584" i="12"/>
  <c r="AH583" i="12"/>
  <c r="X583" i="12"/>
  <c r="U583" i="12"/>
  <c r="T583" i="12"/>
  <c r="V583" i="12" s="1"/>
  <c r="S583" i="12"/>
  <c r="AH582" i="12"/>
  <c r="X582" i="12"/>
  <c r="U582" i="12"/>
  <c r="V582" i="12" s="1"/>
  <c r="T582" i="12"/>
  <c r="S582" i="12"/>
  <c r="AH581" i="12"/>
  <c r="AF581" i="12"/>
  <c r="AC581" i="12"/>
  <c r="AE581" i="12" s="1"/>
  <c r="AB581" i="12"/>
  <c r="X581" i="12"/>
  <c r="V581" i="12"/>
  <c r="U581" i="12"/>
  <c r="T581" i="12"/>
  <c r="S581" i="12"/>
  <c r="AH580" i="12"/>
  <c r="X580" i="12"/>
  <c r="V580" i="12"/>
  <c r="U580" i="12"/>
  <c r="T580" i="12"/>
  <c r="S580" i="12"/>
  <c r="AH579" i="12"/>
  <c r="AB579" i="12"/>
  <c r="AC579" i="12" s="1"/>
  <c r="AE579" i="12" s="1"/>
  <c r="X579" i="12"/>
  <c r="V579" i="12"/>
  <c r="U579" i="12"/>
  <c r="T579" i="12"/>
  <c r="S579" i="12"/>
  <c r="AH578" i="12"/>
  <c r="X578" i="12"/>
  <c r="U578" i="12"/>
  <c r="T578" i="12"/>
  <c r="S578" i="12"/>
  <c r="AH577" i="12"/>
  <c r="AF577" i="12"/>
  <c r="AC577" i="12"/>
  <c r="AE577" i="12" s="1"/>
  <c r="X577" i="12"/>
  <c r="U577" i="12"/>
  <c r="T577" i="12"/>
  <c r="V577" i="12" s="1"/>
  <c r="S577" i="12"/>
  <c r="AB577" i="12" s="1"/>
  <c r="AH576" i="12"/>
  <c r="X576" i="12"/>
  <c r="U576" i="12"/>
  <c r="T576" i="12"/>
  <c r="V576" i="12" s="1"/>
  <c r="S576" i="12"/>
  <c r="AH575" i="12"/>
  <c r="X575" i="12"/>
  <c r="U575" i="12"/>
  <c r="V575" i="12" s="1"/>
  <c r="T575" i="12"/>
  <c r="S575" i="12"/>
  <c r="AH574" i="12"/>
  <c r="AF574" i="12"/>
  <c r="AE574" i="12"/>
  <c r="AC574" i="12"/>
  <c r="AB574" i="12"/>
  <c r="X574" i="12"/>
  <c r="U574" i="12"/>
  <c r="T574" i="12"/>
  <c r="V574" i="12" s="1"/>
  <c r="S574" i="12"/>
  <c r="AH573" i="12"/>
  <c r="AF573" i="12"/>
  <c r="AE573" i="12"/>
  <c r="AB573" i="12"/>
  <c r="AC573" i="12" s="1"/>
  <c r="X573" i="12"/>
  <c r="U573" i="12"/>
  <c r="T573" i="12"/>
  <c r="S573" i="12"/>
  <c r="AH572" i="12"/>
  <c r="X572" i="12"/>
  <c r="U572" i="12"/>
  <c r="T572" i="12"/>
  <c r="V572" i="12" s="1"/>
  <c r="S572" i="12"/>
  <c r="AH571" i="12"/>
  <c r="X571" i="12"/>
  <c r="V571" i="12"/>
  <c r="U571" i="12"/>
  <c r="T571" i="12"/>
  <c r="S571" i="12"/>
  <c r="AH570" i="12"/>
  <c r="AF570" i="12"/>
  <c r="AC570" i="12"/>
  <c r="AE570" i="12" s="1"/>
  <c r="AB570" i="12"/>
  <c r="X570" i="12"/>
  <c r="U570" i="12"/>
  <c r="T570" i="12"/>
  <c r="V570" i="12" s="1"/>
  <c r="S570" i="12"/>
  <c r="AH569" i="12"/>
  <c r="AF569" i="12"/>
  <c r="AE569" i="12"/>
  <c r="AC569" i="12"/>
  <c r="AB569" i="12"/>
  <c r="X569" i="12"/>
  <c r="U569" i="12"/>
  <c r="T569" i="12"/>
  <c r="V569" i="12" s="1"/>
  <c r="S569" i="12"/>
  <c r="AH568" i="12"/>
  <c r="AE568" i="12"/>
  <c r="AB568" i="12"/>
  <c r="AC568" i="12" s="1"/>
  <c r="X568" i="12"/>
  <c r="V568" i="12"/>
  <c r="U568" i="12"/>
  <c r="T568" i="12"/>
  <c r="S568" i="12"/>
  <c r="AH567" i="12"/>
  <c r="AF567" i="12"/>
  <c r="AE567" i="12"/>
  <c r="AC567" i="12"/>
  <c r="AB567" i="12"/>
  <c r="X567" i="12"/>
  <c r="V567" i="12"/>
  <c r="U567" i="12"/>
  <c r="T567" i="12"/>
  <c r="S567" i="12"/>
  <c r="AH566" i="12"/>
  <c r="AB566" i="12"/>
  <c r="AC566" i="12" s="1"/>
  <c r="AE566" i="12" s="1"/>
  <c r="X566" i="12"/>
  <c r="V566" i="12"/>
  <c r="U566" i="12"/>
  <c r="T566" i="12"/>
  <c r="S566" i="12"/>
  <c r="AH565" i="12"/>
  <c r="AC565" i="12"/>
  <c r="AE565" i="12" s="1"/>
  <c r="AB565" i="12"/>
  <c r="X565" i="12"/>
  <c r="U565" i="12"/>
  <c r="V565" i="12" s="1"/>
  <c r="T565" i="12"/>
  <c r="S565" i="12"/>
  <c r="AH564" i="12"/>
  <c r="X564" i="12"/>
  <c r="V564" i="12"/>
  <c r="U564" i="12"/>
  <c r="T564" i="12"/>
  <c r="S564" i="12"/>
  <c r="AH563" i="12"/>
  <c r="AF563" i="12"/>
  <c r="AB563" i="12"/>
  <c r="AC563" i="12" s="1"/>
  <c r="AE563" i="12" s="1"/>
  <c r="X563" i="12"/>
  <c r="U563" i="12"/>
  <c r="V563" i="12" s="1"/>
  <c r="T563" i="12"/>
  <c r="S563" i="12"/>
  <c r="AH562" i="12"/>
  <c r="X562" i="12"/>
  <c r="V562" i="12"/>
  <c r="U562" i="12"/>
  <c r="T562" i="12"/>
  <c r="S562" i="12"/>
  <c r="AH561" i="12"/>
  <c r="AF561" i="12"/>
  <c r="AC561" i="12"/>
  <c r="AE561" i="12" s="1"/>
  <c r="AB561" i="12"/>
  <c r="X561" i="12"/>
  <c r="U561" i="12"/>
  <c r="T561" i="12"/>
  <c r="V561" i="12" s="1"/>
  <c r="S561" i="12"/>
  <c r="AH560" i="12"/>
  <c r="AF560" i="12"/>
  <c r="AE560" i="12"/>
  <c r="AB560" i="12"/>
  <c r="AC560" i="12" s="1"/>
  <c r="X560" i="12"/>
  <c r="W560" i="12"/>
  <c r="AL560" i="12" s="1"/>
  <c r="V560" i="12"/>
  <c r="U560" i="12"/>
  <c r="T560" i="12"/>
  <c r="S560" i="12"/>
  <c r="AH559" i="12"/>
  <c r="X559" i="12"/>
  <c r="V559" i="12"/>
  <c r="U559" i="12"/>
  <c r="T559" i="12"/>
  <c r="S559" i="12"/>
  <c r="AH558" i="12"/>
  <c r="X558" i="12"/>
  <c r="U558" i="12"/>
  <c r="T558" i="12"/>
  <c r="V558" i="12" s="1"/>
  <c r="S558" i="12"/>
  <c r="AH557" i="12"/>
  <c r="AF557" i="12"/>
  <c r="AB557" i="12"/>
  <c r="AC557" i="12" s="1"/>
  <c r="AE557" i="12" s="1"/>
  <c r="X557" i="12"/>
  <c r="U557" i="12"/>
  <c r="T557" i="12"/>
  <c r="V557" i="12" s="1"/>
  <c r="S557" i="12"/>
  <c r="AH556" i="12"/>
  <c r="AB556" i="12"/>
  <c r="AC556" i="12" s="1"/>
  <c r="AE556" i="12" s="1"/>
  <c r="X556" i="12"/>
  <c r="V556" i="12"/>
  <c r="U556" i="12"/>
  <c r="T556" i="12"/>
  <c r="S556" i="12"/>
  <c r="AH555" i="12"/>
  <c r="X555" i="12"/>
  <c r="V555" i="12"/>
  <c r="U555" i="12"/>
  <c r="T555" i="12"/>
  <c r="S555" i="12"/>
  <c r="AH554" i="12"/>
  <c r="AF554" i="12"/>
  <c r="AC554" i="12"/>
  <c r="AE554" i="12" s="1"/>
  <c r="AB554" i="12"/>
  <c r="X554" i="12"/>
  <c r="U554" i="12"/>
  <c r="V554" i="12" s="1"/>
  <c r="T554" i="12"/>
  <c r="S554" i="12"/>
  <c r="AH553" i="12"/>
  <c r="AF553" i="12"/>
  <c r="AC553" i="12"/>
  <c r="AE553" i="12" s="1"/>
  <c r="AB553" i="12"/>
  <c r="X553" i="12"/>
  <c r="U553" i="12"/>
  <c r="T553" i="12"/>
  <c r="S553" i="12"/>
  <c r="AH552" i="12"/>
  <c r="X552" i="12"/>
  <c r="V552" i="12"/>
  <c r="U552" i="12"/>
  <c r="T552" i="12"/>
  <c r="S552" i="12"/>
  <c r="AH551" i="12"/>
  <c r="AF551" i="12"/>
  <c r="AB551" i="12"/>
  <c r="AC551" i="12" s="1"/>
  <c r="AE551" i="12" s="1"/>
  <c r="X551" i="12"/>
  <c r="V551" i="12"/>
  <c r="U551" i="12"/>
  <c r="T551" i="12"/>
  <c r="S551" i="12"/>
  <c r="AH550" i="12"/>
  <c r="AF550" i="12"/>
  <c r="AB550" i="12"/>
  <c r="AC550" i="12" s="1"/>
  <c r="AE550" i="12" s="1"/>
  <c r="X550" i="12"/>
  <c r="U550" i="12"/>
  <c r="T550" i="12"/>
  <c r="V550" i="12" s="1"/>
  <c r="S550" i="12"/>
  <c r="AH549" i="12"/>
  <c r="X549" i="12"/>
  <c r="U549" i="12"/>
  <c r="T549" i="12"/>
  <c r="V549" i="12" s="1"/>
  <c r="S549" i="12"/>
  <c r="AH548" i="12"/>
  <c r="X548" i="12"/>
  <c r="V548" i="12"/>
  <c r="U548" i="12"/>
  <c r="T548" i="12"/>
  <c r="S548" i="12"/>
  <c r="AH547" i="12"/>
  <c r="AF547" i="12"/>
  <c r="AC547" i="12"/>
  <c r="AE547" i="12" s="1"/>
  <c r="AB547" i="12"/>
  <c r="X547" i="12"/>
  <c r="V547" i="12"/>
  <c r="U547" i="12"/>
  <c r="T547" i="12"/>
  <c r="S547" i="12"/>
  <c r="AH546" i="12"/>
  <c r="AE546" i="12"/>
  <c r="AC546" i="12"/>
  <c r="AB546" i="12"/>
  <c r="X546" i="12"/>
  <c r="U546" i="12"/>
  <c r="T546" i="12"/>
  <c r="V546" i="12" s="1"/>
  <c r="S546" i="12"/>
  <c r="AH545" i="12"/>
  <c r="AF545" i="12"/>
  <c r="AB545" i="12"/>
  <c r="AC545" i="12" s="1"/>
  <c r="AE545" i="12" s="1"/>
  <c r="X545" i="12"/>
  <c r="U545" i="12"/>
  <c r="T545" i="12"/>
  <c r="S545" i="12"/>
  <c r="AH544" i="12"/>
  <c r="X544" i="12"/>
  <c r="U544" i="12"/>
  <c r="T544" i="12"/>
  <c r="V544" i="12" s="1"/>
  <c r="S544" i="12"/>
  <c r="AH543" i="12"/>
  <c r="AB543" i="12"/>
  <c r="AC543" i="12" s="1"/>
  <c r="AE543" i="12" s="1"/>
  <c r="X543" i="12"/>
  <c r="V543" i="12"/>
  <c r="U543" i="12"/>
  <c r="T543" i="12"/>
  <c r="S543" i="12"/>
  <c r="AH542" i="12"/>
  <c r="X542" i="12"/>
  <c r="U542" i="12"/>
  <c r="V542" i="12" s="1"/>
  <c r="T542" i="12"/>
  <c r="S542" i="12"/>
  <c r="AH541" i="12"/>
  <c r="AF541" i="12"/>
  <c r="AC541" i="12"/>
  <c r="AE541" i="12" s="1"/>
  <c r="AB541" i="12"/>
  <c r="X541" i="12"/>
  <c r="V541" i="12"/>
  <c r="U541" i="12"/>
  <c r="T541" i="12"/>
  <c r="S541" i="12"/>
  <c r="AH540" i="12"/>
  <c r="AF540" i="12"/>
  <c r="AB540" i="12"/>
  <c r="AC540" i="12" s="1"/>
  <c r="AE540" i="12" s="1"/>
  <c r="X540" i="12"/>
  <c r="U540" i="12"/>
  <c r="V540" i="12" s="1"/>
  <c r="T540" i="12"/>
  <c r="S540" i="12"/>
  <c r="AH539" i="12"/>
  <c r="X539" i="12"/>
  <c r="U539" i="12"/>
  <c r="V539" i="12" s="1"/>
  <c r="T539" i="12"/>
  <c r="S539" i="12"/>
  <c r="AH538" i="12"/>
  <c r="X538" i="12"/>
  <c r="U538" i="12"/>
  <c r="V538" i="12" s="1"/>
  <c r="T538" i="12"/>
  <c r="S538" i="12"/>
  <c r="AH537" i="12"/>
  <c r="X537" i="12"/>
  <c r="U537" i="12"/>
  <c r="T537" i="12"/>
  <c r="V537" i="12" s="1"/>
  <c r="S537" i="12"/>
  <c r="AH536" i="12"/>
  <c r="AF536" i="12"/>
  <c r="AB536" i="12"/>
  <c r="AC536" i="12" s="1"/>
  <c r="AE536" i="12" s="1"/>
  <c r="X536" i="12"/>
  <c r="U536" i="12"/>
  <c r="T536" i="12"/>
  <c r="V536" i="12" s="1"/>
  <c r="S536" i="12"/>
  <c r="AH535" i="12"/>
  <c r="AF535" i="12"/>
  <c r="AE535" i="12"/>
  <c r="X535" i="12"/>
  <c r="U535" i="12"/>
  <c r="V535" i="12" s="1"/>
  <c r="T535" i="12"/>
  <c r="S535" i="12"/>
  <c r="AB535" i="12" s="1"/>
  <c r="AC535" i="12" s="1"/>
  <c r="AH534" i="12"/>
  <c r="AF534" i="12"/>
  <c r="AC534" i="12"/>
  <c r="AE534" i="12" s="1"/>
  <c r="AB534" i="12"/>
  <c r="X534" i="12"/>
  <c r="V534" i="12"/>
  <c r="U534" i="12"/>
  <c r="T534" i="12"/>
  <c r="S534" i="12"/>
  <c r="AH533" i="12"/>
  <c r="X533" i="12"/>
  <c r="U533" i="12"/>
  <c r="T533" i="12"/>
  <c r="V533" i="12" s="1"/>
  <c r="S533" i="12"/>
  <c r="AH532" i="12"/>
  <c r="X532" i="12"/>
  <c r="V532" i="12"/>
  <c r="U532" i="12"/>
  <c r="T532" i="12"/>
  <c r="S532" i="12"/>
  <c r="AH531" i="12"/>
  <c r="AF531" i="12"/>
  <c r="AB531" i="12"/>
  <c r="AC531" i="12" s="1"/>
  <c r="AE531" i="12" s="1"/>
  <c r="X531" i="12"/>
  <c r="V531" i="12"/>
  <c r="U531" i="12"/>
  <c r="T531" i="12"/>
  <c r="S531" i="12"/>
  <c r="AH530" i="12"/>
  <c r="AF530" i="12"/>
  <c r="AC530" i="12"/>
  <c r="AE530" i="12" s="1"/>
  <c r="AB530" i="12"/>
  <c r="X530" i="12"/>
  <c r="U530" i="12"/>
  <c r="T530" i="12"/>
  <c r="V530" i="12" s="1"/>
  <c r="S530" i="12"/>
  <c r="AH529" i="12"/>
  <c r="AF529" i="12"/>
  <c r="AB529" i="12"/>
  <c r="AC529" i="12" s="1"/>
  <c r="AE529" i="12" s="1"/>
  <c r="X529" i="12"/>
  <c r="V529" i="12"/>
  <c r="U529" i="12"/>
  <c r="T529" i="12"/>
  <c r="S529" i="12"/>
  <c r="AH528" i="12"/>
  <c r="AF528" i="12"/>
  <c r="X528" i="12"/>
  <c r="V528" i="12"/>
  <c r="U528" i="12"/>
  <c r="T528" i="12"/>
  <c r="S528" i="12"/>
  <c r="AH527" i="12"/>
  <c r="AF527" i="12"/>
  <c r="AC527" i="12"/>
  <c r="AE527" i="12" s="1"/>
  <c r="AB527" i="12"/>
  <c r="X527" i="12"/>
  <c r="V527" i="12"/>
  <c r="U527" i="12"/>
  <c r="T527" i="12"/>
  <c r="S527" i="12"/>
  <c r="AH526" i="12"/>
  <c r="X526" i="12"/>
  <c r="U526" i="12"/>
  <c r="T526" i="12"/>
  <c r="V526" i="12" s="1"/>
  <c r="S526" i="12"/>
  <c r="AH525" i="12"/>
  <c r="X525" i="12"/>
  <c r="U525" i="12"/>
  <c r="T525" i="12"/>
  <c r="S525" i="12"/>
  <c r="AH524" i="12"/>
  <c r="AF524" i="12"/>
  <c r="AB524" i="12"/>
  <c r="AC524" i="12" s="1"/>
  <c r="AE524" i="12" s="1"/>
  <c r="X524" i="12"/>
  <c r="V524" i="12"/>
  <c r="U524" i="12"/>
  <c r="T524" i="12"/>
  <c r="S524" i="12"/>
  <c r="AH523" i="12"/>
  <c r="AF523" i="12"/>
  <c r="AE523" i="12"/>
  <c r="AB523" i="12"/>
  <c r="AC523" i="12" s="1"/>
  <c r="X523" i="12"/>
  <c r="V523" i="12"/>
  <c r="U523" i="12"/>
  <c r="T523" i="12"/>
  <c r="S523" i="12"/>
  <c r="AH522" i="12"/>
  <c r="X522" i="12"/>
  <c r="U522" i="12"/>
  <c r="V522" i="12" s="1"/>
  <c r="T522" i="12"/>
  <c r="S522" i="12"/>
  <c r="AH521" i="12"/>
  <c r="X521" i="12"/>
  <c r="U521" i="12"/>
  <c r="T521" i="12"/>
  <c r="S521" i="12"/>
  <c r="AH520" i="12"/>
  <c r="AC520" i="12"/>
  <c r="AE520" i="12" s="1"/>
  <c r="AB520" i="12"/>
  <c r="X520" i="12"/>
  <c r="U520" i="12"/>
  <c r="V520" i="12" s="1"/>
  <c r="T520" i="12"/>
  <c r="S520" i="12"/>
  <c r="AH519" i="12"/>
  <c r="X519" i="12"/>
  <c r="U519" i="12"/>
  <c r="T519" i="12"/>
  <c r="V519" i="12" s="1"/>
  <c r="S519" i="12"/>
  <c r="AH518" i="12"/>
  <c r="X518" i="12"/>
  <c r="U518" i="12"/>
  <c r="T518" i="12"/>
  <c r="S518" i="12"/>
  <c r="AH517" i="12"/>
  <c r="AF517" i="12"/>
  <c r="AC517" i="12"/>
  <c r="AE517" i="12" s="1"/>
  <c r="AB517" i="12"/>
  <c r="X517" i="12"/>
  <c r="U517" i="12"/>
  <c r="T517" i="12"/>
  <c r="S517" i="12"/>
  <c r="AH516" i="12"/>
  <c r="AF516" i="12"/>
  <c r="AB516" i="12"/>
  <c r="AC516" i="12" s="1"/>
  <c r="AE516" i="12" s="1"/>
  <c r="X516" i="12"/>
  <c r="U516" i="12"/>
  <c r="T516" i="12"/>
  <c r="V516" i="12" s="1"/>
  <c r="S516" i="12"/>
  <c r="AH515" i="12"/>
  <c r="X515" i="12"/>
  <c r="U515" i="12"/>
  <c r="V515" i="12" s="1"/>
  <c r="T515" i="12"/>
  <c r="S515" i="12"/>
  <c r="AH514" i="12"/>
  <c r="AF514" i="12"/>
  <c r="AE514" i="12"/>
  <c r="AB514" i="12"/>
  <c r="AC514" i="12" s="1"/>
  <c r="X514" i="12"/>
  <c r="V514" i="12"/>
  <c r="U514" i="12"/>
  <c r="T514" i="12"/>
  <c r="S514" i="12"/>
  <c r="AH513" i="12"/>
  <c r="X513" i="12"/>
  <c r="U513" i="12"/>
  <c r="T513" i="12"/>
  <c r="S513" i="12"/>
  <c r="AH512" i="12"/>
  <c r="X512" i="12"/>
  <c r="U512" i="12"/>
  <c r="T512" i="12"/>
  <c r="V512" i="12" s="1"/>
  <c r="S512" i="12"/>
  <c r="AH511" i="12"/>
  <c r="AF511" i="12"/>
  <c r="X511" i="12"/>
  <c r="U511" i="12"/>
  <c r="V511" i="12" s="1"/>
  <c r="T511" i="12"/>
  <c r="S511" i="12"/>
  <c r="AH510" i="12"/>
  <c r="AF510" i="12"/>
  <c r="AE510" i="12"/>
  <c r="AC510" i="12"/>
  <c r="AB510" i="12"/>
  <c r="X510" i="12"/>
  <c r="U510" i="12"/>
  <c r="T510" i="12"/>
  <c r="S510" i="12"/>
  <c r="AH509" i="12"/>
  <c r="X509" i="12"/>
  <c r="V509" i="12"/>
  <c r="U509" i="12"/>
  <c r="T509" i="12"/>
  <c r="S509" i="12"/>
  <c r="AH508" i="12"/>
  <c r="AF508" i="12"/>
  <c r="AC508" i="12"/>
  <c r="AE508" i="12" s="1"/>
  <c r="AB508" i="12"/>
  <c r="X508" i="12"/>
  <c r="V508" i="12"/>
  <c r="U508" i="12"/>
  <c r="T508" i="12"/>
  <c r="S508" i="12"/>
  <c r="AH507" i="12"/>
  <c r="AF507" i="12"/>
  <c r="AB507" i="12"/>
  <c r="AC507" i="12" s="1"/>
  <c r="AE507" i="12" s="1"/>
  <c r="X507" i="12"/>
  <c r="V507" i="12"/>
  <c r="U507" i="12"/>
  <c r="T507" i="12"/>
  <c r="S507" i="12"/>
  <c r="AH506" i="12"/>
  <c r="X506" i="12"/>
  <c r="V506" i="12"/>
  <c r="U506" i="12"/>
  <c r="T506" i="12"/>
  <c r="S506" i="12"/>
  <c r="AH505" i="12"/>
  <c r="AF505" i="12"/>
  <c r="X505" i="12"/>
  <c r="U505" i="12"/>
  <c r="V505" i="12" s="1"/>
  <c r="T505" i="12"/>
  <c r="S505" i="12"/>
  <c r="AJ504" i="12"/>
  <c r="AH504" i="12"/>
  <c r="AF504" i="12"/>
  <c r="X504" i="12"/>
  <c r="W504" i="12"/>
  <c r="U504" i="12"/>
  <c r="T504" i="12"/>
  <c r="V504" i="12" s="1"/>
  <c r="S504" i="12"/>
  <c r="AH503" i="12"/>
  <c r="AF503" i="12"/>
  <c r="X503" i="12"/>
  <c r="U503" i="12"/>
  <c r="T503" i="12"/>
  <c r="V503" i="12" s="1"/>
  <c r="S503" i="12"/>
  <c r="AH502" i="12"/>
  <c r="AB502" i="12"/>
  <c r="AC502" i="12" s="1"/>
  <c r="AE502" i="12" s="1"/>
  <c r="X502" i="12"/>
  <c r="V502" i="12"/>
  <c r="U502" i="12"/>
  <c r="T502" i="12"/>
  <c r="S502" i="12"/>
  <c r="AH501" i="12"/>
  <c r="AF501" i="12"/>
  <c r="AC501" i="12"/>
  <c r="AE501" i="12" s="1"/>
  <c r="AB501" i="12"/>
  <c r="X501" i="12"/>
  <c r="U501" i="12"/>
  <c r="T501" i="12"/>
  <c r="V501" i="12" s="1"/>
  <c r="S501" i="12"/>
  <c r="AH500" i="12"/>
  <c r="AF500" i="12"/>
  <c r="AB500" i="12"/>
  <c r="AC500" i="12" s="1"/>
  <c r="AE500" i="12" s="1"/>
  <c r="X500" i="12"/>
  <c r="U500" i="12"/>
  <c r="T500" i="12"/>
  <c r="V500" i="12" s="1"/>
  <c r="S500" i="12"/>
  <c r="AH499" i="12"/>
  <c r="AE499" i="12"/>
  <c r="AB499" i="12"/>
  <c r="AC499" i="12" s="1"/>
  <c r="X499" i="12"/>
  <c r="U499" i="12"/>
  <c r="V499" i="12" s="1"/>
  <c r="T499" i="12"/>
  <c r="S499" i="12"/>
  <c r="AH498" i="12"/>
  <c r="X498" i="12"/>
  <c r="U498" i="12"/>
  <c r="T498" i="12"/>
  <c r="V498" i="12" s="1"/>
  <c r="S498" i="12"/>
  <c r="AH497" i="12"/>
  <c r="AF497" i="12"/>
  <c r="X497" i="12"/>
  <c r="U497" i="12"/>
  <c r="T497" i="12"/>
  <c r="V497" i="12" s="1"/>
  <c r="S497" i="12"/>
  <c r="AH496" i="12"/>
  <c r="AF496" i="12"/>
  <c r="AE496" i="12"/>
  <c r="AC496" i="12"/>
  <c r="AB496" i="12"/>
  <c r="X496" i="12"/>
  <c r="V496" i="12"/>
  <c r="U496" i="12"/>
  <c r="T496" i="12"/>
  <c r="S496" i="12"/>
  <c r="AH495" i="12"/>
  <c r="AF495" i="12"/>
  <c r="X495" i="12"/>
  <c r="U495" i="12"/>
  <c r="T495" i="12"/>
  <c r="V495" i="12" s="1"/>
  <c r="S495" i="12"/>
  <c r="AB495" i="12" s="1"/>
  <c r="AC495" i="12" s="1"/>
  <c r="AE495" i="12" s="1"/>
  <c r="AH494" i="12"/>
  <c r="X494" i="12"/>
  <c r="U494" i="12"/>
  <c r="T494" i="12"/>
  <c r="V494" i="12" s="1"/>
  <c r="S494" i="12"/>
  <c r="AH493" i="12"/>
  <c r="AF493" i="12"/>
  <c r="AC493" i="12"/>
  <c r="AE493" i="12" s="1"/>
  <c r="AB493" i="12"/>
  <c r="X493" i="12"/>
  <c r="U493" i="12"/>
  <c r="T493" i="12"/>
  <c r="S493" i="12"/>
  <c r="AH492" i="12"/>
  <c r="AF492" i="12"/>
  <c r="AE492" i="12"/>
  <c r="AC492" i="12"/>
  <c r="AB492" i="12"/>
  <c r="X492" i="12"/>
  <c r="U492" i="12"/>
  <c r="T492" i="12"/>
  <c r="V492" i="12" s="1"/>
  <c r="S492" i="12"/>
  <c r="AH491" i="12"/>
  <c r="AF491" i="12"/>
  <c r="AC491" i="12"/>
  <c r="AE491" i="12" s="1"/>
  <c r="AB491" i="12"/>
  <c r="X491" i="12"/>
  <c r="V491" i="12"/>
  <c r="U491" i="12"/>
  <c r="T491" i="12"/>
  <c r="S491" i="12"/>
  <c r="AH490" i="12"/>
  <c r="AF490" i="12"/>
  <c r="AB490" i="12"/>
  <c r="AC490" i="12" s="1"/>
  <c r="AE490" i="12" s="1"/>
  <c r="X490" i="12"/>
  <c r="U490" i="12"/>
  <c r="V490" i="12" s="1"/>
  <c r="T490" i="12"/>
  <c r="S490" i="12"/>
  <c r="AH489" i="12"/>
  <c r="AF489" i="12"/>
  <c r="AB489" i="12"/>
  <c r="AC489" i="12" s="1"/>
  <c r="AE489" i="12" s="1"/>
  <c r="X489" i="12"/>
  <c r="U489" i="12"/>
  <c r="T489" i="12"/>
  <c r="V489" i="12" s="1"/>
  <c r="S489" i="12"/>
  <c r="AH488" i="12"/>
  <c r="X488" i="12"/>
  <c r="U488" i="12"/>
  <c r="T488" i="12"/>
  <c r="V488" i="12" s="1"/>
  <c r="S488" i="12"/>
  <c r="AH487" i="12"/>
  <c r="X487" i="12"/>
  <c r="U487" i="12"/>
  <c r="T487" i="12"/>
  <c r="S487" i="12"/>
  <c r="AH486" i="12"/>
  <c r="X486" i="12"/>
  <c r="U486" i="12"/>
  <c r="T486" i="12"/>
  <c r="V486" i="12" s="1"/>
  <c r="S486" i="12"/>
  <c r="AH485" i="12"/>
  <c r="X485" i="12"/>
  <c r="U485" i="12"/>
  <c r="T485" i="12"/>
  <c r="S485" i="12"/>
  <c r="AH484" i="12"/>
  <c r="X484" i="12"/>
  <c r="U484" i="12"/>
  <c r="T484" i="12"/>
  <c r="V484" i="12" s="1"/>
  <c r="S484" i="12"/>
  <c r="AH483" i="12"/>
  <c r="X483" i="12"/>
  <c r="U483" i="12"/>
  <c r="V483" i="12" s="1"/>
  <c r="T483" i="12"/>
  <c r="S483" i="12"/>
  <c r="AH482" i="12"/>
  <c r="X482" i="12"/>
  <c r="U482" i="12"/>
  <c r="T482" i="12"/>
  <c r="V482" i="12" s="1"/>
  <c r="S482" i="12"/>
  <c r="AH481" i="12"/>
  <c r="AF481" i="12"/>
  <c r="AB481" i="12"/>
  <c r="AC481" i="12" s="1"/>
  <c r="AE481" i="12" s="1"/>
  <c r="X481" i="12"/>
  <c r="W481" i="12"/>
  <c r="V481" i="12"/>
  <c r="U481" i="12"/>
  <c r="T481" i="12"/>
  <c r="S481" i="12"/>
  <c r="AH480" i="12"/>
  <c r="AF480" i="12"/>
  <c r="AB480" i="12"/>
  <c r="AC480" i="12" s="1"/>
  <c r="AE480" i="12" s="1"/>
  <c r="X480" i="12"/>
  <c r="U480" i="12"/>
  <c r="T480" i="12"/>
  <c r="S480" i="12"/>
  <c r="AH479" i="12"/>
  <c r="AF479" i="12"/>
  <c r="X479" i="12"/>
  <c r="U479" i="12"/>
  <c r="V479" i="12" s="1"/>
  <c r="T479" i="12"/>
  <c r="S479" i="12"/>
  <c r="AH478" i="12"/>
  <c r="X478" i="12"/>
  <c r="U478" i="12"/>
  <c r="T478" i="12"/>
  <c r="V478" i="12" s="1"/>
  <c r="S478" i="12"/>
  <c r="AH477" i="12"/>
  <c r="AF477" i="12"/>
  <c r="X477" i="12"/>
  <c r="U477" i="12"/>
  <c r="T477" i="12"/>
  <c r="V477" i="12" s="1"/>
  <c r="S477" i="12"/>
  <c r="AH476" i="12"/>
  <c r="X476" i="12"/>
  <c r="W476" i="12"/>
  <c r="V476" i="12"/>
  <c r="U476" i="12"/>
  <c r="T476" i="12"/>
  <c r="S476" i="12"/>
  <c r="AH475" i="12"/>
  <c r="AF475" i="12"/>
  <c r="AB475" i="12"/>
  <c r="AC475" i="12" s="1"/>
  <c r="AE475" i="12" s="1"/>
  <c r="X475" i="12"/>
  <c r="V475" i="12"/>
  <c r="U475" i="12"/>
  <c r="T475" i="12"/>
  <c r="S475" i="12"/>
  <c r="AH474" i="12"/>
  <c r="X474" i="12"/>
  <c r="V474" i="12"/>
  <c r="U474" i="12"/>
  <c r="T474" i="12"/>
  <c r="S474" i="12"/>
  <c r="AH473" i="12"/>
  <c r="AB473" i="12"/>
  <c r="AC473" i="12" s="1"/>
  <c r="AE473" i="12" s="1"/>
  <c r="X473" i="12"/>
  <c r="U473" i="12"/>
  <c r="T473" i="12"/>
  <c r="V473" i="12" s="1"/>
  <c r="S473" i="12"/>
  <c r="AH472" i="12"/>
  <c r="AF472" i="12"/>
  <c r="X472" i="12"/>
  <c r="V472" i="12"/>
  <c r="U472" i="12"/>
  <c r="T472" i="12"/>
  <c r="S472" i="12"/>
  <c r="AH471" i="12"/>
  <c r="AF471" i="12"/>
  <c r="X471" i="12"/>
  <c r="U471" i="12"/>
  <c r="V471" i="12" s="1"/>
  <c r="T471" i="12"/>
  <c r="S471" i="12"/>
  <c r="AB471" i="12" s="1"/>
  <c r="AC471" i="12" s="1"/>
  <c r="AE471" i="12" s="1"/>
  <c r="AH470" i="12"/>
  <c r="AF470" i="12"/>
  <c r="AB470" i="12"/>
  <c r="AC470" i="12" s="1"/>
  <c r="AE470" i="12" s="1"/>
  <c r="X470" i="12"/>
  <c r="U470" i="12"/>
  <c r="T470" i="12"/>
  <c r="S470" i="12"/>
  <c r="AH469" i="12"/>
  <c r="AF469" i="12"/>
  <c r="AB469" i="12"/>
  <c r="AC469" i="12" s="1"/>
  <c r="AE469" i="12" s="1"/>
  <c r="X469" i="12"/>
  <c r="U469" i="12"/>
  <c r="T469" i="12"/>
  <c r="V469" i="12" s="1"/>
  <c r="S469" i="12"/>
  <c r="AH468" i="12"/>
  <c r="AF468" i="12"/>
  <c r="AB468" i="12"/>
  <c r="AC468" i="12" s="1"/>
  <c r="AE468" i="12" s="1"/>
  <c r="X468" i="12"/>
  <c r="U468" i="12"/>
  <c r="T468" i="12"/>
  <c r="V468" i="12" s="1"/>
  <c r="S468" i="12"/>
  <c r="AH467" i="12"/>
  <c r="X467" i="12"/>
  <c r="V467" i="12"/>
  <c r="U467" i="12"/>
  <c r="T467" i="12"/>
  <c r="S467" i="12"/>
  <c r="AH466" i="12"/>
  <c r="AF466" i="12"/>
  <c r="AC466" i="12"/>
  <c r="AE466" i="12" s="1"/>
  <c r="AB466" i="12"/>
  <c r="X466" i="12"/>
  <c r="U466" i="12"/>
  <c r="V466" i="12" s="1"/>
  <c r="T466" i="12"/>
  <c r="S466" i="12"/>
  <c r="AH465" i="12"/>
  <c r="AF465" i="12"/>
  <c r="X465" i="12"/>
  <c r="V465" i="12"/>
  <c r="U465" i="12"/>
  <c r="T465" i="12"/>
  <c r="S465" i="12"/>
  <c r="AH464" i="12"/>
  <c r="X464" i="12"/>
  <c r="V464" i="12"/>
  <c r="U464" i="12"/>
  <c r="T464" i="12"/>
  <c r="S464" i="12"/>
  <c r="AH463" i="12"/>
  <c r="AF463" i="12"/>
  <c r="X463" i="12"/>
  <c r="U463" i="12"/>
  <c r="T463" i="12"/>
  <c r="S463" i="12"/>
  <c r="AH462" i="12"/>
  <c r="X462" i="12"/>
  <c r="U462" i="12"/>
  <c r="T462" i="12"/>
  <c r="V462" i="12" s="1"/>
  <c r="S462" i="12"/>
  <c r="AH461" i="12"/>
  <c r="AB461" i="12"/>
  <c r="AC461" i="12" s="1"/>
  <c r="AE461" i="12" s="1"/>
  <c r="X461" i="12"/>
  <c r="U461" i="12"/>
  <c r="T461" i="12"/>
  <c r="S461" i="12"/>
  <c r="AH460" i="12"/>
  <c r="X460" i="12"/>
  <c r="V460" i="12"/>
  <c r="U460" i="12"/>
  <c r="T460" i="12"/>
  <c r="S460" i="12"/>
  <c r="AH459" i="12"/>
  <c r="AF459" i="12"/>
  <c r="AB459" i="12"/>
  <c r="AC459" i="12" s="1"/>
  <c r="AE459" i="12" s="1"/>
  <c r="X459" i="12"/>
  <c r="U459" i="12"/>
  <c r="T459" i="12"/>
  <c r="S459" i="12"/>
  <c r="AH458" i="12"/>
  <c r="AF458" i="12"/>
  <c r="X458" i="12"/>
  <c r="U458" i="12"/>
  <c r="V458" i="12" s="1"/>
  <c r="T458" i="12"/>
  <c r="S458" i="12"/>
  <c r="AH457" i="12"/>
  <c r="X457" i="12"/>
  <c r="W457" i="12"/>
  <c r="Z457" i="12" s="1"/>
  <c r="U457" i="12"/>
  <c r="T457" i="12"/>
  <c r="S457" i="12"/>
  <c r="AH456" i="12"/>
  <c r="X456" i="12"/>
  <c r="V456" i="12"/>
  <c r="U456" i="12"/>
  <c r="T456" i="12"/>
  <c r="S456" i="12"/>
  <c r="AH455" i="12"/>
  <c r="AF455" i="12"/>
  <c r="AB455" i="12"/>
  <c r="AC455" i="12" s="1"/>
  <c r="AE455" i="12" s="1"/>
  <c r="X455" i="12"/>
  <c r="W455" i="12"/>
  <c r="V455" i="12"/>
  <c r="U455" i="12"/>
  <c r="T455" i="12"/>
  <c r="S455" i="12"/>
  <c r="AH454" i="12"/>
  <c r="AB454" i="12"/>
  <c r="AC454" i="12" s="1"/>
  <c r="AE454" i="12" s="1"/>
  <c r="X454" i="12"/>
  <c r="U454" i="12"/>
  <c r="V454" i="12" s="1"/>
  <c r="T454" i="12"/>
  <c r="S454" i="12"/>
  <c r="AH453" i="12"/>
  <c r="AF453" i="12"/>
  <c r="AE453" i="12"/>
  <c r="AB453" i="12"/>
  <c r="AC453" i="12" s="1"/>
  <c r="X453" i="12"/>
  <c r="U453" i="12"/>
  <c r="T453" i="12"/>
  <c r="S453" i="12"/>
  <c r="AH452" i="12"/>
  <c r="AF452" i="12"/>
  <c r="AB452" i="12"/>
  <c r="AC452" i="12" s="1"/>
  <c r="AE452" i="12" s="1"/>
  <c r="X452" i="12"/>
  <c r="V452" i="12"/>
  <c r="U452" i="12"/>
  <c r="T452" i="12"/>
  <c r="S452" i="12"/>
  <c r="AH451" i="12"/>
  <c r="AF451" i="12"/>
  <c r="AB451" i="12"/>
  <c r="AC451" i="12" s="1"/>
  <c r="AE451" i="12" s="1"/>
  <c r="X451" i="12"/>
  <c r="U451" i="12"/>
  <c r="V451" i="12" s="1"/>
  <c r="T451" i="12"/>
  <c r="S451" i="12"/>
  <c r="AH450" i="12"/>
  <c r="AF450" i="12"/>
  <c r="AB450" i="12"/>
  <c r="AC450" i="12" s="1"/>
  <c r="AE450" i="12" s="1"/>
  <c r="X450" i="12"/>
  <c r="U450" i="12"/>
  <c r="T450" i="12"/>
  <c r="V450" i="12" s="1"/>
  <c r="S450" i="12"/>
  <c r="AH449" i="12"/>
  <c r="X449" i="12"/>
  <c r="V449" i="12"/>
  <c r="U449" i="12"/>
  <c r="T449" i="12"/>
  <c r="S449" i="12"/>
  <c r="AH448" i="12"/>
  <c r="X448" i="12"/>
  <c r="U448" i="12"/>
  <c r="T448" i="12"/>
  <c r="V448" i="12" s="1"/>
  <c r="S448" i="12"/>
  <c r="AH447" i="12"/>
  <c r="AF447" i="12"/>
  <c r="X447" i="12"/>
  <c r="U447" i="12"/>
  <c r="V447" i="12" s="1"/>
  <c r="T447" i="12"/>
  <c r="S447" i="12"/>
  <c r="AH446" i="12"/>
  <c r="AC446" i="12"/>
  <c r="AE446" i="12" s="1"/>
  <c r="AB446" i="12"/>
  <c r="X446" i="12"/>
  <c r="V446" i="12"/>
  <c r="U446" i="12"/>
  <c r="T446" i="12"/>
  <c r="S446" i="12"/>
  <c r="AH445" i="12"/>
  <c r="AF445" i="12"/>
  <c r="AC445" i="12"/>
  <c r="AE445" i="12" s="1"/>
  <c r="AB445" i="12"/>
  <c r="X445" i="12"/>
  <c r="V445" i="12"/>
  <c r="U445" i="12"/>
  <c r="T445" i="12"/>
  <c r="S445" i="12"/>
  <c r="AH444" i="12"/>
  <c r="AB444" i="12"/>
  <c r="AC444" i="12" s="1"/>
  <c r="AE444" i="12" s="1"/>
  <c r="X444" i="12"/>
  <c r="U444" i="12"/>
  <c r="T444" i="12"/>
  <c r="S444" i="12"/>
  <c r="AH443" i="12"/>
  <c r="AF443" i="12"/>
  <c r="X443" i="12"/>
  <c r="V443" i="12"/>
  <c r="U443" i="12"/>
  <c r="T443" i="12"/>
  <c r="S443" i="12"/>
  <c r="AH442" i="12"/>
  <c r="AC442" i="12"/>
  <c r="AE442" i="12" s="1"/>
  <c r="AB442" i="12"/>
  <c r="X442" i="12"/>
  <c r="V442" i="12"/>
  <c r="U442" i="12"/>
  <c r="T442" i="12"/>
  <c r="S442" i="12"/>
  <c r="AH441" i="12"/>
  <c r="AF441" i="12"/>
  <c r="AB441" i="12"/>
  <c r="AC441" i="12" s="1"/>
  <c r="AE441" i="12" s="1"/>
  <c r="X441" i="12"/>
  <c r="U441" i="12"/>
  <c r="V441" i="12" s="1"/>
  <c r="T441" i="12"/>
  <c r="S441" i="12"/>
  <c r="AH440" i="12"/>
  <c r="X440" i="12"/>
  <c r="V440" i="12"/>
  <c r="U440" i="12"/>
  <c r="T440" i="12"/>
  <c r="S440" i="12"/>
  <c r="AH439" i="12"/>
  <c r="AB439" i="12"/>
  <c r="AC439" i="12" s="1"/>
  <c r="AE439" i="12" s="1"/>
  <c r="X439" i="12"/>
  <c r="V439" i="12"/>
  <c r="U439" i="12"/>
  <c r="T439" i="12"/>
  <c r="S439" i="12"/>
  <c r="AF439" i="12" s="1"/>
  <c r="AH438" i="12"/>
  <c r="X438" i="12"/>
  <c r="W438" i="12"/>
  <c r="U438" i="12"/>
  <c r="T438" i="12"/>
  <c r="V438" i="12" s="1"/>
  <c r="S438" i="12"/>
  <c r="AH437" i="12"/>
  <c r="AF437" i="12"/>
  <c r="X437" i="12"/>
  <c r="V437" i="12"/>
  <c r="U437" i="12"/>
  <c r="T437" i="12"/>
  <c r="S437" i="12"/>
  <c r="AH436" i="12"/>
  <c r="AF436" i="12"/>
  <c r="AE436" i="12"/>
  <c r="AC436" i="12"/>
  <c r="X436" i="12"/>
  <c r="W436" i="12"/>
  <c r="U436" i="12"/>
  <c r="T436" i="12"/>
  <c r="S436" i="12"/>
  <c r="AB436" i="12" s="1"/>
  <c r="AH435" i="12"/>
  <c r="AF435" i="12"/>
  <c r="AC435" i="12"/>
  <c r="AE435" i="12" s="1"/>
  <c r="AB435" i="12"/>
  <c r="X435" i="12"/>
  <c r="U435" i="12"/>
  <c r="T435" i="12"/>
  <c r="V435" i="12" s="1"/>
  <c r="S435" i="12"/>
  <c r="AH434" i="12"/>
  <c r="X434" i="12"/>
  <c r="U434" i="12"/>
  <c r="V434" i="12" s="1"/>
  <c r="T434" i="12"/>
  <c r="S434" i="12"/>
  <c r="AH433" i="12"/>
  <c r="AF433" i="12"/>
  <c r="AB433" i="12"/>
  <c r="AC433" i="12" s="1"/>
  <c r="AE433" i="12" s="1"/>
  <c r="X433" i="12"/>
  <c r="U433" i="12"/>
  <c r="T433" i="12"/>
  <c r="V433" i="12" s="1"/>
  <c r="S433" i="12"/>
  <c r="AH432" i="12"/>
  <c r="AF432" i="12"/>
  <c r="X432" i="12"/>
  <c r="U432" i="12"/>
  <c r="T432" i="12"/>
  <c r="V432" i="12" s="1"/>
  <c r="S432" i="12"/>
  <c r="AH431" i="12"/>
  <c r="AF431" i="12"/>
  <c r="AB431" i="12"/>
  <c r="AC431" i="12" s="1"/>
  <c r="AE431" i="12" s="1"/>
  <c r="X431" i="12"/>
  <c r="U431" i="12"/>
  <c r="T431" i="12"/>
  <c r="V431" i="12" s="1"/>
  <c r="S431" i="12"/>
  <c r="AH430" i="12"/>
  <c r="AF430" i="12"/>
  <c r="AB430" i="12"/>
  <c r="AC430" i="12" s="1"/>
  <c r="AE430" i="12" s="1"/>
  <c r="X430" i="12"/>
  <c r="V430" i="12"/>
  <c r="U430" i="12"/>
  <c r="T430" i="12"/>
  <c r="S430" i="12"/>
  <c r="AH429" i="12"/>
  <c r="AF429" i="12"/>
  <c r="AB429" i="12"/>
  <c r="AC429" i="12" s="1"/>
  <c r="AE429" i="12" s="1"/>
  <c r="X429" i="12"/>
  <c r="V429" i="12"/>
  <c r="U429" i="12"/>
  <c r="T429" i="12"/>
  <c r="S429" i="12"/>
  <c r="AH428" i="12"/>
  <c r="AF428" i="12"/>
  <c r="X428" i="12"/>
  <c r="U428" i="12"/>
  <c r="T428" i="12"/>
  <c r="V428" i="12" s="1"/>
  <c r="S428" i="12"/>
  <c r="AH427" i="12"/>
  <c r="AF427" i="12"/>
  <c r="AB427" i="12"/>
  <c r="AC427" i="12" s="1"/>
  <c r="AE427" i="12" s="1"/>
  <c r="X427" i="12"/>
  <c r="V427" i="12"/>
  <c r="U427" i="12"/>
  <c r="T427" i="12"/>
  <c r="S427" i="12"/>
  <c r="AH426" i="12"/>
  <c r="AF426" i="12"/>
  <c r="X426" i="12"/>
  <c r="U426" i="12"/>
  <c r="T426" i="12"/>
  <c r="V426" i="12" s="1"/>
  <c r="S426" i="12"/>
  <c r="AH425" i="12"/>
  <c r="X425" i="12"/>
  <c r="V425" i="12"/>
  <c r="U425" i="12"/>
  <c r="T425" i="12"/>
  <c r="S425" i="12"/>
  <c r="AH424" i="12"/>
  <c r="X424" i="12"/>
  <c r="V424" i="12"/>
  <c r="U424" i="12"/>
  <c r="T424" i="12"/>
  <c r="S424" i="12"/>
  <c r="AH423" i="12"/>
  <c r="AF423" i="12"/>
  <c r="AB423" i="12"/>
  <c r="AC423" i="12" s="1"/>
  <c r="AE423" i="12" s="1"/>
  <c r="X423" i="12"/>
  <c r="U423" i="12"/>
  <c r="V423" i="12" s="1"/>
  <c r="T423" i="12"/>
  <c r="S423" i="12"/>
  <c r="AH422" i="12"/>
  <c r="X422" i="12"/>
  <c r="W422" i="12"/>
  <c r="Z422" i="12" s="1"/>
  <c r="U422" i="12"/>
  <c r="T422" i="12"/>
  <c r="V422" i="12" s="1"/>
  <c r="S422" i="12"/>
  <c r="AH421" i="12"/>
  <c r="X421" i="12"/>
  <c r="U421" i="12"/>
  <c r="T421" i="12"/>
  <c r="V421" i="12" s="1"/>
  <c r="S421" i="12"/>
  <c r="AH420" i="12"/>
  <c r="AF420" i="12"/>
  <c r="AB420" i="12"/>
  <c r="AC420" i="12" s="1"/>
  <c r="AE420" i="12" s="1"/>
  <c r="X420" i="12"/>
  <c r="V420" i="12"/>
  <c r="U420" i="12"/>
  <c r="T420" i="12"/>
  <c r="S420" i="12"/>
  <c r="AH419" i="12"/>
  <c r="X419" i="12"/>
  <c r="U419" i="12"/>
  <c r="V419" i="12" s="1"/>
  <c r="T419" i="12"/>
  <c r="S419" i="12"/>
  <c r="AH418" i="12"/>
  <c r="AB418" i="12"/>
  <c r="AC418" i="12" s="1"/>
  <c r="AE418" i="12" s="1"/>
  <c r="X418" i="12"/>
  <c r="U418" i="12"/>
  <c r="T418" i="12"/>
  <c r="V418" i="12" s="1"/>
  <c r="S418" i="12"/>
  <c r="AH417" i="12"/>
  <c r="AF417" i="12"/>
  <c r="AE417" i="12"/>
  <c r="AC417" i="12"/>
  <c r="X417" i="12"/>
  <c r="U417" i="12"/>
  <c r="T417" i="12"/>
  <c r="V417" i="12" s="1"/>
  <c r="S417" i="12"/>
  <c r="AB417" i="12" s="1"/>
  <c r="AH416" i="12"/>
  <c r="AF416" i="12"/>
  <c r="AE416" i="12"/>
  <c r="AC416" i="12"/>
  <c r="AB416" i="12"/>
  <c r="X416" i="12"/>
  <c r="U416" i="12"/>
  <c r="T416" i="12"/>
  <c r="V416" i="12" s="1"/>
  <c r="S416" i="12"/>
  <c r="AH415" i="12"/>
  <c r="X415" i="12"/>
  <c r="U415" i="12"/>
  <c r="T415" i="12"/>
  <c r="V415" i="12" s="1"/>
  <c r="S415" i="12"/>
  <c r="AH414" i="12"/>
  <c r="Z414" i="12"/>
  <c r="X414" i="12"/>
  <c r="W414" i="12"/>
  <c r="U414" i="12"/>
  <c r="V414" i="12" s="1"/>
  <c r="T414" i="12"/>
  <c r="S414" i="12"/>
  <c r="AH413" i="12"/>
  <c r="AF413" i="12"/>
  <c r="AE413" i="12"/>
  <c r="AB413" i="12"/>
  <c r="AC413" i="12" s="1"/>
  <c r="X413" i="12"/>
  <c r="U413" i="12"/>
  <c r="T413" i="12"/>
  <c r="V413" i="12" s="1"/>
  <c r="S413" i="12"/>
  <c r="AH412" i="12"/>
  <c r="AC412" i="12"/>
  <c r="AE412" i="12" s="1"/>
  <c r="AB412" i="12"/>
  <c r="X412" i="12"/>
  <c r="U412" i="12"/>
  <c r="T412" i="12"/>
  <c r="V412" i="12" s="1"/>
  <c r="S412" i="12"/>
  <c r="AF412" i="12" s="1"/>
  <c r="AH411" i="12"/>
  <c r="X411" i="12"/>
  <c r="V411" i="12"/>
  <c r="U411" i="12"/>
  <c r="T411" i="12"/>
  <c r="S411" i="12"/>
  <c r="AH410" i="12"/>
  <c r="AB410" i="12"/>
  <c r="AC410" i="12" s="1"/>
  <c r="AE410" i="12" s="1"/>
  <c r="X410" i="12"/>
  <c r="V410" i="12"/>
  <c r="U410" i="12"/>
  <c r="T410" i="12"/>
  <c r="S410" i="12"/>
  <c r="AH409" i="12"/>
  <c r="AF409" i="12"/>
  <c r="AE409" i="12"/>
  <c r="AB409" i="12"/>
  <c r="AC409" i="12" s="1"/>
  <c r="X409" i="12"/>
  <c r="V409" i="12"/>
  <c r="U409" i="12"/>
  <c r="T409" i="12"/>
  <c r="S409" i="12"/>
  <c r="AH408" i="12"/>
  <c r="AF408" i="12"/>
  <c r="X408" i="12"/>
  <c r="U408" i="12"/>
  <c r="T408" i="12"/>
  <c r="V408" i="12" s="1"/>
  <c r="S408" i="12"/>
  <c r="AH407" i="12"/>
  <c r="AF407" i="12"/>
  <c r="AC407" i="12"/>
  <c r="AE407" i="12" s="1"/>
  <c r="AB407" i="12"/>
  <c r="X407" i="12"/>
  <c r="U407" i="12"/>
  <c r="T407" i="12"/>
  <c r="S407" i="12"/>
  <c r="AH406" i="12"/>
  <c r="AF406" i="12"/>
  <c r="AE406" i="12"/>
  <c r="AC406" i="12"/>
  <c r="AB406" i="12"/>
  <c r="X406" i="12"/>
  <c r="U406" i="12"/>
  <c r="T406" i="12"/>
  <c r="V406" i="12" s="1"/>
  <c r="S406" i="12"/>
  <c r="AH405" i="12"/>
  <c r="X405" i="12"/>
  <c r="U405" i="12"/>
  <c r="T405" i="12"/>
  <c r="V405" i="12" s="1"/>
  <c r="S405" i="12"/>
  <c r="AH404" i="12"/>
  <c r="AB404" i="12"/>
  <c r="AC404" i="12" s="1"/>
  <c r="AE404" i="12" s="1"/>
  <c r="X404" i="12"/>
  <c r="V404" i="12"/>
  <c r="U404" i="12"/>
  <c r="T404" i="12"/>
  <c r="S404" i="12"/>
  <c r="AK403" i="12"/>
  <c r="AH403" i="12"/>
  <c r="AF403" i="12"/>
  <c r="AB403" i="12"/>
  <c r="AC403" i="12" s="1"/>
  <c r="AE403" i="12" s="1"/>
  <c r="X403" i="12"/>
  <c r="W403" i="12"/>
  <c r="U403" i="12"/>
  <c r="T403" i="12"/>
  <c r="S403" i="12"/>
  <c r="AH402" i="12"/>
  <c r="AF402" i="12"/>
  <c r="X402" i="12"/>
  <c r="V402" i="12"/>
  <c r="U402" i="12"/>
  <c r="T402" i="12"/>
  <c r="S402" i="12"/>
  <c r="AH401" i="12"/>
  <c r="X401" i="12"/>
  <c r="U401" i="12"/>
  <c r="T401" i="12"/>
  <c r="S401" i="12"/>
  <c r="AH400" i="12"/>
  <c r="AF400" i="12"/>
  <c r="AB400" i="12"/>
  <c r="AC400" i="12" s="1"/>
  <c r="AE400" i="12" s="1"/>
  <c r="X400" i="12"/>
  <c r="V400" i="12"/>
  <c r="U400" i="12"/>
  <c r="T400" i="12"/>
  <c r="S400" i="12"/>
  <c r="AH399" i="12"/>
  <c r="AF399" i="12"/>
  <c r="AB399" i="12"/>
  <c r="AC399" i="12" s="1"/>
  <c r="AE399" i="12" s="1"/>
  <c r="X399" i="12"/>
  <c r="V399" i="12"/>
  <c r="U399" i="12"/>
  <c r="T399" i="12"/>
  <c r="S399" i="12"/>
  <c r="AH398" i="12"/>
  <c r="X398" i="12"/>
  <c r="V398" i="12"/>
  <c r="U398" i="12"/>
  <c r="T398" i="12"/>
  <c r="S398" i="12"/>
  <c r="AH397" i="12"/>
  <c r="X397" i="12"/>
  <c r="U397" i="12"/>
  <c r="T397" i="12"/>
  <c r="S397" i="12"/>
  <c r="AH396" i="12"/>
  <c r="AF396" i="12"/>
  <c r="AB396" i="12"/>
  <c r="AC396" i="12" s="1"/>
  <c r="AE396" i="12" s="1"/>
  <c r="X396" i="12"/>
  <c r="W396" i="12"/>
  <c r="U396" i="12"/>
  <c r="T396" i="12"/>
  <c r="V396" i="12" s="1"/>
  <c r="S396" i="12"/>
  <c r="AH395" i="12"/>
  <c r="AF395" i="12"/>
  <c r="AB395" i="12"/>
  <c r="AC395" i="12" s="1"/>
  <c r="AE395" i="12" s="1"/>
  <c r="X395" i="12"/>
  <c r="V395" i="12"/>
  <c r="U395" i="12"/>
  <c r="T395" i="12"/>
  <c r="S395" i="12"/>
  <c r="AH394" i="12"/>
  <c r="X394" i="12"/>
  <c r="U394" i="12"/>
  <c r="V394" i="12" s="1"/>
  <c r="T394" i="12"/>
  <c r="S394" i="12"/>
  <c r="AH393" i="12"/>
  <c r="AF393" i="12"/>
  <c r="AB393" i="12"/>
  <c r="AC393" i="12" s="1"/>
  <c r="AE393" i="12" s="1"/>
  <c r="X393" i="12"/>
  <c r="U393" i="12"/>
  <c r="T393" i="12"/>
  <c r="V393" i="12" s="1"/>
  <c r="S393" i="12"/>
  <c r="AH392" i="12"/>
  <c r="Z392" i="12"/>
  <c r="X392" i="12"/>
  <c r="W392" i="12"/>
  <c r="U392" i="12"/>
  <c r="T392" i="12"/>
  <c r="S392" i="12"/>
  <c r="AH391" i="12"/>
  <c r="AF391" i="12"/>
  <c r="X391" i="12"/>
  <c r="V391" i="12"/>
  <c r="U391" i="12"/>
  <c r="T391" i="12"/>
  <c r="S391" i="12"/>
  <c r="AH390" i="12"/>
  <c r="AG390" i="12"/>
  <c r="AF390" i="12"/>
  <c r="AB390" i="12"/>
  <c r="AC390" i="12" s="1"/>
  <c r="AE390" i="12" s="1"/>
  <c r="X390" i="12"/>
  <c r="W390" i="12"/>
  <c r="V390" i="12"/>
  <c r="U390" i="12"/>
  <c r="T390" i="12"/>
  <c r="S390" i="12"/>
  <c r="AH389" i="12"/>
  <c r="AF389" i="12"/>
  <c r="AB389" i="12"/>
  <c r="AC389" i="12" s="1"/>
  <c r="AE389" i="12" s="1"/>
  <c r="X389" i="12"/>
  <c r="U389" i="12"/>
  <c r="T389" i="12"/>
  <c r="V389" i="12" s="1"/>
  <c r="S389" i="12"/>
  <c r="AH388" i="12"/>
  <c r="AC388" i="12"/>
  <c r="AE388" i="12" s="1"/>
  <c r="AB388" i="12"/>
  <c r="X388" i="12"/>
  <c r="W388" i="12"/>
  <c r="U388" i="12"/>
  <c r="T388" i="12"/>
  <c r="V388" i="12" s="1"/>
  <c r="S388" i="12"/>
  <c r="AH387" i="12"/>
  <c r="X387" i="12"/>
  <c r="V387" i="12"/>
  <c r="U387" i="12"/>
  <c r="T387" i="12"/>
  <c r="S387" i="12"/>
  <c r="AH386" i="12"/>
  <c r="AF386" i="12"/>
  <c r="AE386" i="12"/>
  <c r="AC386" i="12"/>
  <c r="AB386" i="12"/>
  <c r="X386" i="12"/>
  <c r="U386" i="12"/>
  <c r="T386" i="12"/>
  <c r="V386" i="12" s="1"/>
  <c r="S386" i="12"/>
  <c r="AH385" i="12"/>
  <c r="AC385" i="12"/>
  <c r="AE385" i="12" s="1"/>
  <c r="AB385" i="12"/>
  <c r="X385" i="12"/>
  <c r="U385" i="12"/>
  <c r="V385" i="12" s="1"/>
  <c r="T385" i="12"/>
  <c r="S385" i="12"/>
  <c r="AF385" i="12" s="1"/>
  <c r="AH384" i="12"/>
  <c r="AF384" i="12"/>
  <c r="AC384" i="12"/>
  <c r="AE384" i="12" s="1"/>
  <c r="AB384" i="12"/>
  <c r="X384" i="12"/>
  <c r="U384" i="12"/>
  <c r="T384" i="12"/>
  <c r="V384" i="12" s="1"/>
  <c r="S384" i="12"/>
  <c r="AH383" i="12"/>
  <c r="X383" i="12"/>
  <c r="U383" i="12"/>
  <c r="T383" i="12"/>
  <c r="V383" i="12" s="1"/>
  <c r="S383" i="12"/>
  <c r="AH382" i="12"/>
  <c r="X382" i="12"/>
  <c r="U382" i="12"/>
  <c r="T382" i="12"/>
  <c r="V382" i="12" s="1"/>
  <c r="S382" i="12"/>
  <c r="AH381" i="12"/>
  <c r="X381" i="12"/>
  <c r="U381" i="12"/>
  <c r="T381" i="12"/>
  <c r="V381" i="12" s="1"/>
  <c r="S381" i="12"/>
  <c r="AH380" i="12"/>
  <c r="AF380" i="12"/>
  <c r="X380" i="12"/>
  <c r="V380" i="12"/>
  <c r="U380" i="12"/>
  <c r="T380" i="12"/>
  <c r="S380" i="12"/>
  <c r="AB380" i="12" s="1"/>
  <c r="AC380" i="12" s="1"/>
  <c r="AE380" i="12" s="1"/>
  <c r="AH379" i="12"/>
  <c r="X379" i="12"/>
  <c r="U379" i="12"/>
  <c r="T379" i="12"/>
  <c r="V379" i="12" s="1"/>
  <c r="S379" i="12"/>
  <c r="AH378" i="12"/>
  <c r="X378" i="12"/>
  <c r="U378" i="12"/>
  <c r="T378" i="12"/>
  <c r="V378" i="12" s="1"/>
  <c r="S378" i="12"/>
  <c r="AH377" i="12"/>
  <c r="AB377" i="12"/>
  <c r="AC377" i="12" s="1"/>
  <c r="AE377" i="12" s="1"/>
  <c r="X377" i="12"/>
  <c r="U377" i="12"/>
  <c r="T377" i="12"/>
  <c r="V377" i="12" s="1"/>
  <c r="S377" i="12"/>
  <c r="AH376" i="12"/>
  <c r="AF376" i="12"/>
  <c r="AB376" i="12"/>
  <c r="AC376" i="12" s="1"/>
  <c r="AE376" i="12" s="1"/>
  <c r="X376" i="12"/>
  <c r="U376" i="12"/>
  <c r="T376" i="12"/>
  <c r="S376" i="12"/>
  <c r="AH375" i="12"/>
  <c r="AF375" i="12"/>
  <c r="AE375" i="12"/>
  <c r="AC375" i="12"/>
  <c r="AB375" i="12"/>
  <c r="X375" i="12"/>
  <c r="U375" i="12"/>
  <c r="T375" i="12"/>
  <c r="V375" i="12" s="1"/>
  <c r="S375" i="12"/>
  <c r="AH374" i="12"/>
  <c r="AF374" i="12"/>
  <c r="AC374" i="12"/>
  <c r="AE374" i="12" s="1"/>
  <c r="AB374" i="12"/>
  <c r="X374" i="12"/>
  <c r="U374" i="12"/>
  <c r="V374" i="12" s="1"/>
  <c r="T374" i="12"/>
  <c r="S374" i="12"/>
  <c r="AH373" i="12"/>
  <c r="AF373" i="12"/>
  <c r="AB373" i="12"/>
  <c r="AC373" i="12" s="1"/>
  <c r="AE373" i="12" s="1"/>
  <c r="X373" i="12"/>
  <c r="V373" i="12"/>
  <c r="U373" i="12"/>
  <c r="T373" i="12"/>
  <c r="S373" i="12"/>
  <c r="AH372" i="12"/>
  <c r="X372" i="12"/>
  <c r="W372" i="12"/>
  <c r="Z372" i="12" s="1"/>
  <c r="U372" i="12"/>
  <c r="T372" i="12"/>
  <c r="S372" i="12"/>
  <c r="AH371" i="12"/>
  <c r="AC371" i="12"/>
  <c r="AE371" i="12" s="1"/>
  <c r="AB371" i="12"/>
  <c r="X371" i="12"/>
  <c r="V371" i="12"/>
  <c r="U371" i="12"/>
  <c r="T371" i="12"/>
  <c r="S371" i="12"/>
  <c r="AH370" i="12"/>
  <c r="X370" i="12"/>
  <c r="U370" i="12"/>
  <c r="V370" i="12" s="1"/>
  <c r="T370" i="12"/>
  <c r="S370" i="12"/>
  <c r="AH369" i="12"/>
  <c r="AF369" i="12"/>
  <c r="AC369" i="12"/>
  <c r="AE369" i="12" s="1"/>
  <c r="AB369" i="12"/>
  <c r="X369" i="12"/>
  <c r="U369" i="12"/>
  <c r="V369" i="12" s="1"/>
  <c r="T369" i="12"/>
  <c r="S369" i="12"/>
  <c r="AH368" i="12"/>
  <c r="AF368" i="12"/>
  <c r="X368" i="12"/>
  <c r="U368" i="12"/>
  <c r="V368" i="12" s="1"/>
  <c r="T368" i="12"/>
  <c r="S368" i="12"/>
  <c r="AH367" i="12"/>
  <c r="AF367" i="12"/>
  <c r="X367" i="12"/>
  <c r="U367" i="12"/>
  <c r="T367" i="12"/>
  <c r="V367" i="12" s="1"/>
  <c r="S367" i="12"/>
  <c r="AH366" i="12"/>
  <c r="X366" i="12"/>
  <c r="U366" i="12"/>
  <c r="T366" i="12"/>
  <c r="V366" i="12" s="1"/>
  <c r="S366" i="12"/>
  <c r="AH365" i="12"/>
  <c r="X365" i="12"/>
  <c r="U365" i="12"/>
  <c r="T365" i="12"/>
  <c r="V365" i="12" s="1"/>
  <c r="S365" i="12"/>
  <c r="AH364" i="12"/>
  <c r="AF364" i="12"/>
  <c r="AB364" i="12"/>
  <c r="AC364" i="12" s="1"/>
  <c r="AE364" i="12" s="1"/>
  <c r="X364" i="12"/>
  <c r="V364" i="12"/>
  <c r="U364" i="12"/>
  <c r="T364" i="12"/>
  <c r="S364" i="12"/>
  <c r="AH363" i="12"/>
  <c r="AF363" i="12"/>
  <c r="AC363" i="12"/>
  <c r="AE363" i="12" s="1"/>
  <c r="AB363" i="12"/>
  <c r="X363" i="12"/>
  <c r="V363" i="12"/>
  <c r="U363" i="12"/>
  <c r="T363" i="12"/>
  <c r="S363" i="12"/>
  <c r="AH362" i="12"/>
  <c r="AF362" i="12"/>
  <c r="AB362" i="12"/>
  <c r="AC362" i="12" s="1"/>
  <c r="AE362" i="12" s="1"/>
  <c r="X362" i="12"/>
  <c r="V362" i="12"/>
  <c r="U362" i="12"/>
  <c r="T362" i="12"/>
  <c r="S362" i="12"/>
  <c r="AH361" i="12"/>
  <c r="X361" i="12"/>
  <c r="V361" i="12"/>
  <c r="U361" i="12"/>
  <c r="T361" i="12"/>
  <c r="S361" i="12"/>
  <c r="AH360" i="12"/>
  <c r="AF360" i="12"/>
  <c r="X360" i="12"/>
  <c r="V360" i="12"/>
  <c r="U360" i="12"/>
  <c r="T360" i="12"/>
  <c r="S360" i="12"/>
  <c r="AH359" i="12"/>
  <c r="AB359" i="12"/>
  <c r="AC359" i="12" s="1"/>
  <c r="AE359" i="12" s="1"/>
  <c r="X359" i="12"/>
  <c r="V359" i="12"/>
  <c r="U359" i="12"/>
  <c r="T359" i="12"/>
  <c r="S359" i="12"/>
  <c r="AH358" i="12"/>
  <c r="AF358" i="12"/>
  <c r="AB358" i="12"/>
  <c r="AC358" i="12" s="1"/>
  <c r="AE358" i="12" s="1"/>
  <c r="X358" i="12"/>
  <c r="V358" i="12"/>
  <c r="U358" i="12"/>
  <c r="T358" i="12"/>
  <c r="S358" i="12"/>
  <c r="AH357" i="12"/>
  <c r="AB357" i="12"/>
  <c r="AC357" i="12" s="1"/>
  <c r="AE357" i="12" s="1"/>
  <c r="X357" i="12"/>
  <c r="V357" i="12"/>
  <c r="U357" i="12"/>
  <c r="T357" i="12"/>
  <c r="S357" i="12"/>
  <c r="AH356" i="12"/>
  <c r="X356" i="12"/>
  <c r="U356" i="12"/>
  <c r="T356" i="12"/>
  <c r="S356" i="12"/>
  <c r="AH355" i="12"/>
  <c r="AF355" i="12"/>
  <c r="AE355" i="12"/>
  <c r="AC355" i="12"/>
  <c r="X355" i="12"/>
  <c r="U355" i="12"/>
  <c r="T355" i="12"/>
  <c r="V355" i="12" s="1"/>
  <c r="S355" i="12"/>
  <c r="AB355" i="12" s="1"/>
  <c r="AH354" i="12"/>
  <c r="AF354" i="12"/>
  <c r="AB354" i="12"/>
  <c r="AC354" i="12" s="1"/>
  <c r="AE354" i="12" s="1"/>
  <c r="X354" i="12"/>
  <c r="V354" i="12"/>
  <c r="U354" i="12"/>
  <c r="T354" i="12"/>
  <c r="S354" i="12"/>
  <c r="AH353" i="12"/>
  <c r="AF353" i="12"/>
  <c r="AB353" i="12"/>
  <c r="AC353" i="12" s="1"/>
  <c r="AE353" i="12" s="1"/>
  <c r="X353" i="12"/>
  <c r="U353" i="12"/>
  <c r="T353" i="12"/>
  <c r="S353" i="12"/>
  <c r="AH352" i="12"/>
  <c r="AB352" i="12"/>
  <c r="AC352" i="12" s="1"/>
  <c r="AE352" i="12" s="1"/>
  <c r="X352" i="12"/>
  <c r="U352" i="12"/>
  <c r="T352" i="12"/>
  <c r="V352" i="12" s="1"/>
  <c r="S352" i="12"/>
  <c r="AH351" i="12"/>
  <c r="AF351" i="12"/>
  <c r="AB351" i="12"/>
  <c r="AC351" i="12" s="1"/>
  <c r="AE351" i="12" s="1"/>
  <c r="X351" i="12"/>
  <c r="U351" i="12"/>
  <c r="T351" i="12"/>
  <c r="V351" i="12" s="1"/>
  <c r="S351" i="12"/>
  <c r="AH350" i="12"/>
  <c r="X350" i="12"/>
  <c r="V350" i="12"/>
  <c r="U350" i="12"/>
  <c r="T350" i="12"/>
  <c r="S350" i="12"/>
  <c r="AH349" i="12"/>
  <c r="X349" i="12"/>
  <c r="W349" i="12"/>
  <c r="Z349" i="12" s="1"/>
  <c r="U349" i="12"/>
  <c r="T349" i="12"/>
  <c r="V349" i="12" s="1"/>
  <c r="S349" i="12"/>
  <c r="AH348" i="12"/>
  <c r="AF348" i="12"/>
  <c r="AB348" i="12"/>
  <c r="AC348" i="12" s="1"/>
  <c r="AE348" i="12" s="1"/>
  <c r="X348" i="12"/>
  <c r="U348" i="12"/>
  <c r="T348" i="12"/>
  <c r="V348" i="12" s="1"/>
  <c r="S348" i="12"/>
  <c r="AH347" i="12"/>
  <c r="AF347" i="12"/>
  <c r="AE347" i="12"/>
  <c r="AB347" i="12"/>
  <c r="AC347" i="12" s="1"/>
  <c r="X347" i="12"/>
  <c r="U347" i="12"/>
  <c r="T347" i="12"/>
  <c r="V347" i="12" s="1"/>
  <c r="S347" i="12"/>
  <c r="AH346" i="12"/>
  <c r="X346" i="12"/>
  <c r="U346" i="12"/>
  <c r="V346" i="12" s="1"/>
  <c r="T346" i="12"/>
  <c r="S346" i="12"/>
  <c r="AH345" i="12"/>
  <c r="AB345" i="12"/>
  <c r="AC345" i="12" s="1"/>
  <c r="AE345" i="12" s="1"/>
  <c r="X345" i="12"/>
  <c r="W345" i="12"/>
  <c r="U345" i="12"/>
  <c r="T345" i="12"/>
  <c r="V345" i="12" s="1"/>
  <c r="S345" i="12"/>
  <c r="AH344" i="12"/>
  <c r="X344" i="12"/>
  <c r="U344" i="12"/>
  <c r="T344" i="12"/>
  <c r="V344" i="12" s="1"/>
  <c r="S344" i="12"/>
  <c r="AH343" i="12"/>
  <c r="AF343" i="12"/>
  <c r="AE343" i="12"/>
  <c r="X343" i="12"/>
  <c r="U343" i="12"/>
  <c r="T343" i="12"/>
  <c r="V343" i="12" s="1"/>
  <c r="S343" i="12"/>
  <c r="AB343" i="12" s="1"/>
  <c r="AC343" i="12" s="1"/>
  <c r="AH342" i="12"/>
  <c r="AF342" i="12"/>
  <c r="AB342" i="12"/>
  <c r="AC342" i="12" s="1"/>
  <c r="AE342" i="12" s="1"/>
  <c r="X342" i="12"/>
  <c r="U342" i="12"/>
  <c r="T342" i="12"/>
  <c r="V342" i="12" s="1"/>
  <c r="S342" i="12"/>
  <c r="AH341" i="12"/>
  <c r="AF341" i="12"/>
  <c r="AC341" i="12"/>
  <c r="AE341" i="12" s="1"/>
  <c r="X341" i="12"/>
  <c r="U341" i="12"/>
  <c r="V341" i="12" s="1"/>
  <c r="T341" i="12"/>
  <c r="S341" i="12"/>
  <c r="AB341" i="12" s="1"/>
  <c r="AH340" i="12"/>
  <c r="AF340" i="12"/>
  <c r="X340" i="12"/>
  <c r="U340" i="12"/>
  <c r="T340" i="12"/>
  <c r="V340" i="12" s="1"/>
  <c r="S340" i="12"/>
  <c r="AH339" i="12"/>
  <c r="AF339" i="12"/>
  <c r="AE339" i="12"/>
  <c r="AC339" i="12"/>
  <c r="AB339" i="12"/>
  <c r="X339" i="12"/>
  <c r="U339" i="12"/>
  <c r="V339" i="12" s="1"/>
  <c r="T339" i="12"/>
  <c r="S339" i="12"/>
  <c r="AH338" i="12"/>
  <c r="AB338" i="12"/>
  <c r="AC338" i="12" s="1"/>
  <c r="AE338" i="12" s="1"/>
  <c r="X338" i="12"/>
  <c r="V338" i="12"/>
  <c r="U338" i="12"/>
  <c r="T338" i="12"/>
  <c r="S338" i="12"/>
  <c r="AH337" i="12"/>
  <c r="X337" i="12"/>
  <c r="U337" i="12"/>
  <c r="V337" i="12" s="1"/>
  <c r="T337" i="12"/>
  <c r="S337" i="12"/>
  <c r="AH336" i="12"/>
  <c r="AF336" i="12"/>
  <c r="AC336" i="12"/>
  <c r="AE336" i="12" s="1"/>
  <c r="AB336" i="12"/>
  <c r="X336" i="12"/>
  <c r="U336" i="12"/>
  <c r="T336" i="12"/>
  <c r="V336" i="12" s="1"/>
  <c r="S336" i="12"/>
  <c r="AK335" i="12"/>
  <c r="AH335" i="12"/>
  <c r="AF335" i="12"/>
  <c r="AC335" i="12"/>
  <c r="AE335" i="12" s="1"/>
  <c r="AB335" i="12"/>
  <c r="X335" i="12"/>
  <c r="W335" i="12"/>
  <c r="U335" i="12"/>
  <c r="T335" i="12"/>
  <c r="V335" i="12" s="1"/>
  <c r="S335" i="12"/>
  <c r="AH334" i="12"/>
  <c r="AF334" i="12"/>
  <c r="AB334" i="12"/>
  <c r="AC334" i="12" s="1"/>
  <c r="AE334" i="12" s="1"/>
  <c r="X334" i="12"/>
  <c r="U334" i="12"/>
  <c r="V334" i="12" s="1"/>
  <c r="T334" i="12"/>
  <c r="S334" i="12"/>
  <c r="AH333" i="12"/>
  <c r="AF333" i="12"/>
  <c r="AB333" i="12"/>
  <c r="AC333" i="12" s="1"/>
  <c r="AE333" i="12" s="1"/>
  <c r="X333" i="12"/>
  <c r="U333" i="12"/>
  <c r="T333" i="12"/>
  <c r="V333" i="12" s="1"/>
  <c r="S333" i="12"/>
  <c r="AH332" i="12"/>
  <c r="X332" i="12"/>
  <c r="U332" i="12"/>
  <c r="T332" i="12"/>
  <c r="V332" i="12" s="1"/>
  <c r="S332" i="12"/>
  <c r="AH331" i="12"/>
  <c r="X331" i="12"/>
  <c r="U331" i="12"/>
  <c r="T331" i="12"/>
  <c r="V331" i="12" s="1"/>
  <c r="S331" i="12"/>
  <c r="AH330" i="12"/>
  <c r="X330" i="12"/>
  <c r="U330" i="12"/>
  <c r="T330" i="12"/>
  <c r="V330" i="12" s="1"/>
  <c r="S330" i="12"/>
  <c r="AH329" i="12"/>
  <c r="X329" i="12"/>
  <c r="V329" i="12"/>
  <c r="U329" i="12"/>
  <c r="T329" i="12"/>
  <c r="S329" i="12"/>
  <c r="AH328" i="12"/>
  <c r="AF328" i="12"/>
  <c r="AC328" i="12"/>
  <c r="AE328" i="12" s="1"/>
  <c r="AB328" i="12"/>
  <c r="X328" i="12"/>
  <c r="U328" i="12"/>
  <c r="T328" i="12"/>
  <c r="V328" i="12" s="1"/>
  <c r="S328" i="12"/>
  <c r="AH327" i="12"/>
  <c r="AF327" i="12"/>
  <c r="AB327" i="12"/>
  <c r="AC327" i="12" s="1"/>
  <c r="AE327" i="12" s="1"/>
  <c r="Z327" i="12"/>
  <c r="X327" i="12"/>
  <c r="W327" i="12"/>
  <c r="U327" i="12"/>
  <c r="T327" i="12"/>
  <c r="V327" i="12" s="1"/>
  <c r="S327" i="12"/>
  <c r="AH326" i="12"/>
  <c r="AF326" i="12"/>
  <c r="AB326" i="12"/>
  <c r="AC326" i="12" s="1"/>
  <c r="AE326" i="12" s="1"/>
  <c r="X326" i="12"/>
  <c r="U326" i="12"/>
  <c r="T326" i="12"/>
  <c r="V326" i="12" s="1"/>
  <c r="S326" i="12"/>
  <c r="AH325" i="12"/>
  <c r="AB325" i="12"/>
  <c r="AC325" i="12" s="1"/>
  <c r="AE325" i="12" s="1"/>
  <c r="X325" i="12"/>
  <c r="U325" i="12"/>
  <c r="T325" i="12"/>
  <c r="V325" i="12" s="1"/>
  <c r="S325" i="12"/>
  <c r="AH324" i="12"/>
  <c r="X324" i="12"/>
  <c r="W324" i="12"/>
  <c r="V324" i="12"/>
  <c r="U324" i="12"/>
  <c r="T324" i="12"/>
  <c r="S324" i="12"/>
  <c r="AH323" i="12"/>
  <c r="X323" i="12"/>
  <c r="U323" i="12"/>
  <c r="T323" i="12"/>
  <c r="V323" i="12" s="1"/>
  <c r="S323" i="12"/>
  <c r="AH322" i="12"/>
  <c r="AF322" i="12"/>
  <c r="X322" i="12"/>
  <c r="U322" i="12"/>
  <c r="T322" i="12"/>
  <c r="V322" i="12" s="1"/>
  <c r="S322" i="12"/>
  <c r="AH321" i="12"/>
  <c r="X321" i="12"/>
  <c r="V321" i="12"/>
  <c r="U321" i="12"/>
  <c r="T321" i="12"/>
  <c r="S321" i="12"/>
  <c r="AH320" i="12"/>
  <c r="AF320" i="12"/>
  <c r="X320" i="12"/>
  <c r="U320" i="12"/>
  <c r="T320" i="12"/>
  <c r="S320" i="12"/>
  <c r="AH319" i="12"/>
  <c r="AF319" i="12"/>
  <c r="AB319" i="12"/>
  <c r="AC319" i="12" s="1"/>
  <c r="AE319" i="12" s="1"/>
  <c r="X319" i="12"/>
  <c r="U319" i="12"/>
  <c r="T319" i="12"/>
  <c r="S319" i="12"/>
  <c r="AH318" i="12"/>
  <c r="AF318" i="12"/>
  <c r="AB318" i="12"/>
  <c r="AC318" i="12" s="1"/>
  <c r="AE318" i="12" s="1"/>
  <c r="X318" i="12"/>
  <c r="U318" i="12"/>
  <c r="T318" i="12"/>
  <c r="V318" i="12" s="1"/>
  <c r="S318" i="12"/>
  <c r="AH317" i="12"/>
  <c r="AF317" i="12"/>
  <c r="AE317" i="12"/>
  <c r="AC317" i="12"/>
  <c r="AB317" i="12"/>
  <c r="X317" i="12"/>
  <c r="V317" i="12"/>
  <c r="U317" i="12"/>
  <c r="T317" i="12"/>
  <c r="S317" i="12"/>
  <c r="AH316" i="12"/>
  <c r="X316" i="12"/>
  <c r="U316" i="12"/>
  <c r="T316" i="12"/>
  <c r="S316" i="12"/>
  <c r="AH315" i="12"/>
  <c r="X315" i="12"/>
  <c r="U315" i="12"/>
  <c r="T315" i="12"/>
  <c r="V315" i="12" s="1"/>
  <c r="S315" i="12"/>
  <c r="AH314" i="12"/>
  <c r="AB314" i="12"/>
  <c r="AC314" i="12" s="1"/>
  <c r="AE314" i="12" s="1"/>
  <c r="X314" i="12"/>
  <c r="U314" i="12"/>
  <c r="V314" i="12" s="1"/>
  <c r="T314" i="12"/>
  <c r="S314" i="12"/>
  <c r="AH313" i="12"/>
  <c r="AF313" i="12"/>
  <c r="AE313" i="12"/>
  <c r="AB313" i="12"/>
  <c r="AC313" i="12" s="1"/>
  <c r="X313" i="12"/>
  <c r="U313" i="12"/>
  <c r="V313" i="12" s="1"/>
  <c r="T313" i="12"/>
  <c r="S313" i="12"/>
  <c r="AH312" i="12"/>
  <c r="X312" i="12"/>
  <c r="U312" i="12"/>
  <c r="T312" i="12"/>
  <c r="V312" i="12" s="1"/>
  <c r="S312" i="12"/>
  <c r="AH311" i="12"/>
  <c r="X311" i="12"/>
  <c r="U311" i="12"/>
  <c r="T311" i="12"/>
  <c r="V311" i="12" s="1"/>
  <c r="S311" i="12"/>
  <c r="AH310" i="12"/>
  <c r="AF310" i="12"/>
  <c r="X310" i="12"/>
  <c r="U310" i="12"/>
  <c r="T310" i="12"/>
  <c r="V310" i="12" s="1"/>
  <c r="S310" i="12"/>
  <c r="AH309" i="12"/>
  <c r="AF309" i="12"/>
  <c r="AE309" i="12"/>
  <c r="AC309" i="12"/>
  <c r="AB309" i="12"/>
  <c r="X309" i="12"/>
  <c r="U309" i="12"/>
  <c r="T309" i="12"/>
  <c r="V309" i="12" s="1"/>
  <c r="S309" i="12"/>
  <c r="AH308" i="12"/>
  <c r="AF308" i="12"/>
  <c r="AC308" i="12"/>
  <c r="AE308" i="12" s="1"/>
  <c r="AB308" i="12"/>
  <c r="X308" i="12"/>
  <c r="U308" i="12"/>
  <c r="V308" i="12" s="1"/>
  <c r="T308" i="12"/>
  <c r="S308" i="12"/>
  <c r="AH307" i="12"/>
  <c r="AF307" i="12"/>
  <c r="AE307" i="12"/>
  <c r="AB307" i="12"/>
  <c r="AC307" i="12" s="1"/>
  <c r="X307" i="12"/>
  <c r="U307" i="12"/>
  <c r="T307" i="12"/>
  <c r="V307" i="12" s="1"/>
  <c r="S307" i="12"/>
  <c r="AH306" i="12"/>
  <c r="AC306" i="12"/>
  <c r="AE306" i="12" s="1"/>
  <c r="AB306" i="12"/>
  <c r="X306" i="12"/>
  <c r="V306" i="12"/>
  <c r="U306" i="12"/>
  <c r="T306" i="12"/>
  <c r="S306" i="12"/>
  <c r="AH305" i="12"/>
  <c r="X305" i="12"/>
  <c r="W305" i="12"/>
  <c r="Z305" i="12" s="1"/>
  <c r="V305" i="12"/>
  <c r="U305" i="12"/>
  <c r="T305" i="12"/>
  <c r="S305" i="12"/>
  <c r="AH304" i="12"/>
  <c r="AF304" i="12"/>
  <c r="AB304" i="12"/>
  <c r="AC304" i="12" s="1"/>
  <c r="AE304" i="12" s="1"/>
  <c r="X304" i="12"/>
  <c r="U304" i="12"/>
  <c r="T304" i="12"/>
  <c r="V304" i="12" s="1"/>
  <c r="S304" i="12"/>
  <c r="AH303" i="12"/>
  <c r="AF303" i="12"/>
  <c r="AB303" i="12"/>
  <c r="AC303" i="12" s="1"/>
  <c r="AE303" i="12" s="1"/>
  <c r="X303" i="12"/>
  <c r="V303" i="12"/>
  <c r="U303" i="12"/>
  <c r="T303" i="12"/>
  <c r="S303" i="12"/>
  <c r="AH302" i="12"/>
  <c r="AB302" i="12"/>
  <c r="AC302" i="12" s="1"/>
  <c r="AE302" i="12" s="1"/>
  <c r="X302" i="12"/>
  <c r="W302" i="12"/>
  <c r="U302" i="12"/>
  <c r="T302" i="12"/>
  <c r="S302" i="12"/>
  <c r="AH301" i="12"/>
  <c r="X301" i="12"/>
  <c r="V301" i="12"/>
  <c r="U301" i="12"/>
  <c r="T301" i="12"/>
  <c r="S301" i="12"/>
  <c r="AH300" i="12"/>
  <c r="X300" i="12"/>
  <c r="U300" i="12"/>
  <c r="T300" i="12"/>
  <c r="V300" i="12" s="1"/>
  <c r="S300" i="12"/>
  <c r="AH299" i="12"/>
  <c r="AC299" i="12"/>
  <c r="AE299" i="12" s="1"/>
  <c r="AB299" i="12"/>
  <c r="X299" i="12"/>
  <c r="U299" i="12"/>
  <c r="T299" i="12"/>
  <c r="V299" i="12" s="1"/>
  <c r="S299" i="12"/>
  <c r="AH298" i="12"/>
  <c r="AF298" i="12"/>
  <c r="AB298" i="12"/>
  <c r="AC298" i="12" s="1"/>
  <c r="AE298" i="12" s="1"/>
  <c r="X298" i="12"/>
  <c r="U298" i="12"/>
  <c r="V298" i="12" s="1"/>
  <c r="T298" i="12"/>
  <c r="S298" i="12"/>
  <c r="AH297" i="12"/>
  <c r="AF297" i="12"/>
  <c r="AB297" i="12"/>
  <c r="AC297" i="12" s="1"/>
  <c r="AE297" i="12" s="1"/>
  <c r="X297" i="12"/>
  <c r="U297" i="12"/>
  <c r="V297" i="12" s="1"/>
  <c r="T297" i="12"/>
  <c r="S297" i="12"/>
  <c r="AH296" i="12"/>
  <c r="X296" i="12"/>
  <c r="U296" i="12"/>
  <c r="T296" i="12"/>
  <c r="S296" i="12"/>
  <c r="AH295" i="12"/>
  <c r="AF295" i="12"/>
  <c r="X295" i="12"/>
  <c r="U295" i="12"/>
  <c r="T295" i="12"/>
  <c r="S295" i="12"/>
  <c r="AB295" i="12" s="1"/>
  <c r="AC295" i="12" s="1"/>
  <c r="AE295" i="12" s="1"/>
  <c r="AH294" i="12"/>
  <c r="AF294" i="12"/>
  <c r="AC294" i="12"/>
  <c r="AE294" i="12" s="1"/>
  <c r="AB294" i="12"/>
  <c r="X294" i="12"/>
  <c r="W294" i="12"/>
  <c r="V294" i="12"/>
  <c r="U294" i="12"/>
  <c r="T294" i="12"/>
  <c r="S294" i="12"/>
  <c r="AH293" i="12"/>
  <c r="AF293" i="12"/>
  <c r="AE293" i="12"/>
  <c r="AB293" i="12"/>
  <c r="AC293" i="12" s="1"/>
  <c r="X293" i="12"/>
  <c r="U293" i="12"/>
  <c r="V293" i="12" s="1"/>
  <c r="T293" i="12"/>
  <c r="S293" i="12"/>
  <c r="AH292" i="12"/>
  <c r="AF292" i="12"/>
  <c r="AC292" i="12"/>
  <c r="AE292" i="12" s="1"/>
  <c r="X292" i="12"/>
  <c r="U292" i="12"/>
  <c r="T292" i="12"/>
  <c r="V292" i="12" s="1"/>
  <c r="S292" i="12"/>
  <c r="AB292" i="12" s="1"/>
  <c r="AH291" i="12"/>
  <c r="AF291" i="12"/>
  <c r="X291" i="12"/>
  <c r="U291" i="12"/>
  <c r="T291" i="12"/>
  <c r="V291" i="12" s="1"/>
  <c r="S291" i="12"/>
  <c r="AJ290" i="12"/>
  <c r="AH290" i="12"/>
  <c r="AG290" i="12"/>
  <c r="AF290" i="12"/>
  <c r="X290" i="12"/>
  <c r="W290" i="12"/>
  <c r="AK290" i="12" s="1"/>
  <c r="U290" i="12"/>
  <c r="T290" i="12"/>
  <c r="V290" i="12" s="1"/>
  <c r="S290" i="12"/>
  <c r="AH289" i="12"/>
  <c r="AC289" i="12"/>
  <c r="AE289" i="12" s="1"/>
  <c r="AB289" i="12"/>
  <c r="X289" i="12"/>
  <c r="V289" i="12"/>
  <c r="U289" i="12"/>
  <c r="T289" i="12"/>
  <c r="S289" i="12"/>
  <c r="AH288" i="12"/>
  <c r="AF288" i="12"/>
  <c r="AE288" i="12"/>
  <c r="AB288" i="12"/>
  <c r="AC288" i="12" s="1"/>
  <c r="X288" i="12"/>
  <c r="U288" i="12"/>
  <c r="V288" i="12" s="1"/>
  <c r="T288" i="12"/>
  <c r="S288" i="12"/>
  <c r="AH287" i="12"/>
  <c r="AF287" i="12"/>
  <c r="AC287" i="12"/>
  <c r="AE287" i="12" s="1"/>
  <c r="AB287" i="12"/>
  <c r="X287" i="12"/>
  <c r="U287" i="12"/>
  <c r="T287" i="12"/>
  <c r="S287" i="12"/>
  <c r="AH286" i="12"/>
  <c r="X286" i="12"/>
  <c r="U286" i="12"/>
  <c r="T286" i="12"/>
  <c r="V286" i="12" s="1"/>
  <c r="S286" i="12"/>
  <c r="AH285" i="12"/>
  <c r="X285" i="12"/>
  <c r="W285" i="12"/>
  <c r="U285" i="12"/>
  <c r="V285" i="12" s="1"/>
  <c r="T285" i="12"/>
  <c r="S285" i="12"/>
  <c r="AH284" i="12"/>
  <c r="AF284" i="12"/>
  <c r="AB284" i="12"/>
  <c r="AC284" i="12" s="1"/>
  <c r="AE284" i="12" s="1"/>
  <c r="X284" i="12"/>
  <c r="U284" i="12"/>
  <c r="V284" i="12" s="1"/>
  <c r="T284" i="12"/>
  <c r="S284" i="12"/>
  <c r="AK283" i="12"/>
  <c r="AH283" i="12"/>
  <c r="AF283" i="12"/>
  <c r="X283" i="12"/>
  <c r="W283" i="12"/>
  <c r="U283" i="12"/>
  <c r="T283" i="12"/>
  <c r="V283" i="12" s="1"/>
  <c r="S283" i="12"/>
  <c r="AH282" i="12"/>
  <c r="X282" i="12"/>
  <c r="U282" i="12"/>
  <c r="T282" i="12"/>
  <c r="V282" i="12" s="1"/>
  <c r="S282" i="12"/>
  <c r="AH281" i="12"/>
  <c r="AF281" i="12"/>
  <c r="AB281" i="12"/>
  <c r="AC281" i="12" s="1"/>
  <c r="AE281" i="12" s="1"/>
  <c r="X281" i="12"/>
  <c r="U281" i="12"/>
  <c r="T281" i="12"/>
  <c r="V281" i="12" s="1"/>
  <c r="S281" i="12"/>
  <c r="AH280" i="12"/>
  <c r="X280" i="12"/>
  <c r="U280" i="12"/>
  <c r="T280" i="12"/>
  <c r="V280" i="12" s="1"/>
  <c r="S280" i="12"/>
  <c r="AH279" i="12"/>
  <c r="X279" i="12"/>
  <c r="V279" i="12"/>
  <c r="U279" i="12"/>
  <c r="T279" i="12"/>
  <c r="S279" i="12"/>
  <c r="AH278" i="12"/>
  <c r="AF278" i="12"/>
  <c r="AC278" i="12"/>
  <c r="AE278" i="12" s="1"/>
  <c r="AB278" i="12"/>
  <c r="X278" i="12"/>
  <c r="U278" i="12"/>
  <c r="T278" i="12"/>
  <c r="V278" i="12" s="1"/>
  <c r="S278" i="12"/>
  <c r="AH277" i="12"/>
  <c r="AF277" i="12"/>
  <c r="AB277" i="12"/>
  <c r="AC277" i="12" s="1"/>
  <c r="AE277" i="12" s="1"/>
  <c r="X277" i="12"/>
  <c r="V277" i="12"/>
  <c r="U277" i="12"/>
  <c r="T277" i="12"/>
  <c r="S277" i="12"/>
  <c r="AH276" i="12"/>
  <c r="X276" i="12"/>
  <c r="V276" i="12"/>
  <c r="U276" i="12"/>
  <c r="T276" i="12"/>
  <c r="S276" i="12"/>
  <c r="AH275" i="12"/>
  <c r="AF275" i="12"/>
  <c r="X275" i="12"/>
  <c r="U275" i="12"/>
  <c r="T275" i="12"/>
  <c r="V275" i="12" s="1"/>
  <c r="S275" i="12"/>
  <c r="AH274" i="12"/>
  <c r="AG274" i="12"/>
  <c r="AF274" i="12"/>
  <c r="X274" i="12"/>
  <c r="W274" i="12"/>
  <c r="U274" i="12"/>
  <c r="T274" i="12"/>
  <c r="V274" i="12" s="1"/>
  <c r="S274" i="12"/>
  <c r="AB274" i="12" s="1"/>
  <c r="AC274" i="12" s="1"/>
  <c r="AE274" i="12" s="1"/>
  <c r="AH273" i="12"/>
  <c r="X273" i="12"/>
  <c r="U273" i="12"/>
  <c r="V273" i="12" s="1"/>
  <c r="T273" i="12"/>
  <c r="S273" i="12"/>
  <c r="AH272" i="12"/>
  <c r="AF272" i="12"/>
  <c r="AC272" i="12"/>
  <c r="AE272" i="12" s="1"/>
  <c r="X272" i="12"/>
  <c r="V272" i="12"/>
  <c r="U272" i="12"/>
  <c r="T272" i="12"/>
  <c r="S272" i="12"/>
  <c r="AB272" i="12" s="1"/>
  <c r="AH271" i="12"/>
  <c r="AF271" i="12"/>
  <c r="AC271" i="12"/>
  <c r="AE271" i="12" s="1"/>
  <c r="AB271" i="12"/>
  <c r="X271" i="12"/>
  <c r="U271" i="12"/>
  <c r="T271" i="12"/>
  <c r="S271" i="12"/>
  <c r="AH270" i="12"/>
  <c r="X270" i="12"/>
  <c r="W270" i="12"/>
  <c r="U270" i="12"/>
  <c r="T270" i="12"/>
  <c r="V270" i="12" s="1"/>
  <c r="S270" i="12"/>
  <c r="AH269" i="12"/>
  <c r="AB269" i="12"/>
  <c r="AC269" i="12" s="1"/>
  <c r="AE269" i="12" s="1"/>
  <c r="X269" i="12"/>
  <c r="V269" i="12"/>
  <c r="U269" i="12"/>
  <c r="T269" i="12"/>
  <c r="S269" i="12"/>
  <c r="AH268" i="12"/>
  <c r="AF268" i="12"/>
  <c r="AE268" i="12"/>
  <c r="AB268" i="12"/>
  <c r="AC268" i="12" s="1"/>
  <c r="X268" i="12"/>
  <c r="V268" i="12"/>
  <c r="U268" i="12"/>
  <c r="T268" i="12"/>
  <c r="S268" i="12"/>
  <c r="AH267" i="12"/>
  <c r="AF267" i="12"/>
  <c r="AC267" i="12"/>
  <c r="AE267" i="12" s="1"/>
  <c r="AB267" i="12"/>
  <c r="X267" i="12"/>
  <c r="U267" i="12"/>
  <c r="T267" i="12"/>
  <c r="V267" i="12" s="1"/>
  <c r="S267" i="12"/>
  <c r="AH266" i="12"/>
  <c r="X266" i="12"/>
  <c r="U266" i="12"/>
  <c r="T266" i="12"/>
  <c r="V266" i="12" s="1"/>
  <c r="S266" i="12"/>
  <c r="AH265" i="12"/>
  <c r="AF265" i="12"/>
  <c r="AB265" i="12"/>
  <c r="AC265" i="12" s="1"/>
  <c r="AE265" i="12" s="1"/>
  <c r="X265" i="12"/>
  <c r="U265" i="12"/>
  <c r="V265" i="12" s="1"/>
  <c r="T265" i="12"/>
  <c r="S265" i="12"/>
  <c r="AH264" i="12"/>
  <c r="AF264" i="12"/>
  <c r="AC264" i="12"/>
  <c r="AE264" i="12" s="1"/>
  <c r="AB264" i="12"/>
  <c r="Z264" i="12"/>
  <c r="X264" i="12"/>
  <c r="W264" i="12"/>
  <c r="U264" i="12"/>
  <c r="T264" i="12"/>
  <c r="V264" i="12" s="1"/>
  <c r="S264" i="12"/>
  <c r="AH263" i="12"/>
  <c r="X263" i="12"/>
  <c r="W263" i="12"/>
  <c r="U263" i="12"/>
  <c r="T263" i="12"/>
  <c r="V263" i="12" s="1"/>
  <c r="S263" i="12"/>
  <c r="AH262" i="12"/>
  <c r="AB262" i="12"/>
  <c r="AC262" i="12" s="1"/>
  <c r="AE262" i="12" s="1"/>
  <c r="X262" i="12"/>
  <c r="U262" i="12"/>
  <c r="T262" i="12"/>
  <c r="V262" i="12" s="1"/>
  <c r="S262" i="12"/>
  <c r="AH261" i="12"/>
  <c r="X261" i="12"/>
  <c r="V261" i="12"/>
  <c r="U261" i="12"/>
  <c r="T261" i="12"/>
  <c r="S261" i="12"/>
  <c r="AH260" i="12"/>
  <c r="X260" i="12"/>
  <c r="U260" i="12"/>
  <c r="T260" i="12"/>
  <c r="V260" i="12" s="1"/>
  <c r="S260" i="12"/>
  <c r="AH259" i="12"/>
  <c r="AC259" i="12"/>
  <c r="AE259" i="12" s="1"/>
  <c r="AB259" i="12"/>
  <c r="X259" i="12"/>
  <c r="V259" i="12"/>
  <c r="U259" i="12"/>
  <c r="T259" i="12"/>
  <c r="S259" i="12"/>
  <c r="AH258" i="12"/>
  <c r="AC258" i="12"/>
  <c r="AE258" i="12" s="1"/>
  <c r="AB258" i="12"/>
  <c r="X258" i="12"/>
  <c r="U258" i="12"/>
  <c r="T258" i="12"/>
  <c r="V258" i="12" s="1"/>
  <c r="S258" i="12"/>
  <c r="AH257" i="12"/>
  <c r="X257" i="12"/>
  <c r="V257" i="12"/>
  <c r="U257" i="12"/>
  <c r="T257" i="12"/>
  <c r="S257" i="12"/>
  <c r="AH256" i="12"/>
  <c r="X256" i="12"/>
  <c r="U256" i="12"/>
  <c r="T256" i="12"/>
  <c r="V256" i="12" s="1"/>
  <c r="S256" i="12"/>
  <c r="AH255" i="12"/>
  <c r="X255" i="12"/>
  <c r="U255" i="12"/>
  <c r="T255" i="12"/>
  <c r="S255" i="12"/>
  <c r="AH254" i="12"/>
  <c r="AF254" i="12"/>
  <c r="AB254" i="12"/>
  <c r="AC254" i="12" s="1"/>
  <c r="AE254" i="12" s="1"/>
  <c r="X254" i="12"/>
  <c r="V254" i="12"/>
  <c r="U254" i="12"/>
  <c r="T254" i="12"/>
  <c r="S254" i="12"/>
  <c r="AH253" i="12"/>
  <c r="X253" i="12"/>
  <c r="U253" i="12"/>
  <c r="T253" i="12"/>
  <c r="V253" i="12" s="1"/>
  <c r="S253" i="12"/>
  <c r="AH252" i="12"/>
  <c r="X252" i="12"/>
  <c r="U252" i="12"/>
  <c r="T252" i="12"/>
  <c r="V252" i="12" s="1"/>
  <c r="S252" i="12"/>
  <c r="AH251" i="12"/>
  <c r="X251" i="12"/>
  <c r="U251" i="12"/>
  <c r="T251" i="12"/>
  <c r="V251" i="12" s="1"/>
  <c r="S251" i="12"/>
  <c r="AH250" i="12"/>
  <c r="AF250" i="12"/>
  <c r="X250" i="12"/>
  <c r="U250" i="12"/>
  <c r="T250" i="12"/>
  <c r="V250" i="12" s="1"/>
  <c r="S250" i="12"/>
  <c r="AB250" i="12" s="1"/>
  <c r="AC250" i="12" s="1"/>
  <c r="AE250" i="12" s="1"/>
  <c r="AH249" i="12"/>
  <c r="AF249" i="12"/>
  <c r="X249" i="12"/>
  <c r="V249" i="12"/>
  <c r="U249" i="12"/>
  <c r="T249" i="12"/>
  <c r="S249" i="12"/>
  <c r="AB249" i="12" s="1"/>
  <c r="AC249" i="12" s="1"/>
  <c r="AE249" i="12" s="1"/>
  <c r="AH248" i="12"/>
  <c r="AF248" i="12"/>
  <c r="AE248" i="12"/>
  <c r="AC248" i="12"/>
  <c r="AB248" i="12"/>
  <c r="X248" i="12"/>
  <c r="U248" i="12"/>
  <c r="V248" i="12" s="1"/>
  <c r="T248" i="12"/>
  <c r="S248" i="12"/>
  <c r="AH247" i="12"/>
  <c r="AF247" i="12"/>
  <c r="AC247" i="12"/>
  <c r="AE247" i="12" s="1"/>
  <c r="AB247" i="12"/>
  <c r="X247" i="12"/>
  <c r="U247" i="12"/>
  <c r="T247" i="12"/>
  <c r="V247" i="12" s="1"/>
  <c r="S247" i="12"/>
  <c r="AH246" i="12"/>
  <c r="AF246" i="12"/>
  <c r="AE246" i="12"/>
  <c r="AC246" i="12"/>
  <c r="AB246" i="12"/>
  <c r="X246" i="12"/>
  <c r="V246" i="12"/>
  <c r="U246" i="12"/>
  <c r="T246" i="12"/>
  <c r="S246" i="12"/>
  <c r="AH245" i="12"/>
  <c r="AG245" i="12"/>
  <c r="AF245" i="12"/>
  <c r="AC245" i="12"/>
  <c r="AE245" i="12" s="1"/>
  <c r="AB245" i="12"/>
  <c r="Z245" i="12"/>
  <c r="X245" i="12"/>
  <c r="W245" i="12"/>
  <c r="U245" i="12"/>
  <c r="V245" i="12" s="1"/>
  <c r="T245" i="12"/>
  <c r="S245" i="12"/>
  <c r="AH244" i="12"/>
  <c r="AF244" i="12"/>
  <c r="AC244" i="12"/>
  <c r="AE244" i="12" s="1"/>
  <c r="AB244" i="12"/>
  <c r="X244" i="12"/>
  <c r="W244" i="12"/>
  <c r="U244" i="12"/>
  <c r="V244" i="12" s="1"/>
  <c r="T244" i="12"/>
  <c r="S244" i="12"/>
  <c r="AL243" i="12"/>
  <c r="AK243" i="12"/>
  <c r="AH243" i="12"/>
  <c r="X243" i="12"/>
  <c r="W243" i="12"/>
  <c r="Z243" i="12" s="1"/>
  <c r="U243" i="12"/>
  <c r="T243" i="12"/>
  <c r="V243" i="12" s="1"/>
  <c r="S243" i="12"/>
  <c r="AH242" i="12"/>
  <c r="AF242" i="12"/>
  <c r="X242" i="12"/>
  <c r="W242" i="12"/>
  <c r="U242" i="12"/>
  <c r="T242" i="12"/>
  <c r="V242" i="12" s="1"/>
  <c r="S242" i="12"/>
  <c r="AH241" i="12"/>
  <c r="AF241" i="12"/>
  <c r="AC241" i="12"/>
  <c r="AE241" i="12" s="1"/>
  <c r="AB241" i="12"/>
  <c r="X241" i="12"/>
  <c r="U241" i="12"/>
  <c r="V241" i="12" s="1"/>
  <c r="T241" i="12"/>
  <c r="S241" i="12"/>
  <c r="AH240" i="12"/>
  <c r="AB240" i="12"/>
  <c r="AC240" i="12" s="1"/>
  <c r="AE240" i="12" s="1"/>
  <c r="X240" i="12"/>
  <c r="W240" i="12"/>
  <c r="U240" i="12"/>
  <c r="T240" i="12"/>
  <c r="V240" i="12" s="1"/>
  <c r="S240" i="12"/>
  <c r="AH239" i="12"/>
  <c r="X239" i="12"/>
  <c r="U239" i="12"/>
  <c r="T239" i="12"/>
  <c r="S239" i="12"/>
  <c r="AH238" i="12"/>
  <c r="AF238" i="12"/>
  <c r="AB238" i="12"/>
  <c r="AC238" i="12" s="1"/>
  <c r="AE238" i="12" s="1"/>
  <c r="X238" i="12"/>
  <c r="U238" i="12"/>
  <c r="V238" i="12" s="1"/>
  <c r="T238" i="12"/>
  <c r="S238" i="12"/>
  <c r="AH237" i="12"/>
  <c r="AC237" i="12"/>
  <c r="AE237" i="12" s="1"/>
  <c r="AB237" i="12"/>
  <c r="X237" i="12"/>
  <c r="W237" i="12"/>
  <c r="Z237" i="12" s="1"/>
  <c r="U237" i="12"/>
  <c r="T237" i="12"/>
  <c r="V237" i="12" s="1"/>
  <c r="S237" i="12"/>
  <c r="AH236" i="12"/>
  <c r="X236" i="12"/>
  <c r="V236" i="12"/>
  <c r="U236" i="12"/>
  <c r="T236" i="12"/>
  <c r="S236" i="12"/>
  <c r="AH235" i="12"/>
  <c r="AF235" i="12"/>
  <c r="AC235" i="12"/>
  <c r="AE235" i="12" s="1"/>
  <c r="X235" i="12"/>
  <c r="V235" i="12"/>
  <c r="U235" i="12"/>
  <c r="T235" i="12"/>
  <c r="S235" i="12"/>
  <c r="AB235" i="12" s="1"/>
  <c r="AH234" i="12"/>
  <c r="AB234" i="12"/>
  <c r="AC234" i="12" s="1"/>
  <c r="AE234" i="12" s="1"/>
  <c r="X234" i="12"/>
  <c r="U234" i="12"/>
  <c r="T234" i="12"/>
  <c r="V234" i="12" s="1"/>
  <c r="S234" i="12"/>
  <c r="AH233" i="12"/>
  <c r="AF233" i="12"/>
  <c r="AE233" i="12"/>
  <c r="AB233" i="12"/>
  <c r="AC233" i="12" s="1"/>
  <c r="X233" i="12"/>
  <c r="V233" i="12"/>
  <c r="U233" i="12"/>
  <c r="T233" i="12"/>
  <c r="S233" i="12"/>
  <c r="AH232" i="12"/>
  <c r="AF232" i="12"/>
  <c r="AE232" i="12"/>
  <c r="AC232" i="12"/>
  <c r="X232" i="12"/>
  <c r="W232" i="12"/>
  <c r="V232" i="12"/>
  <c r="U232" i="12"/>
  <c r="T232" i="12"/>
  <c r="S232" i="12"/>
  <c r="AB232" i="12" s="1"/>
  <c r="AH231" i="12"/>
  <c r="X231" i="12"/>
  <c r="U231" i="12"/>
  <c r="T231" i="12"/>
  <c r="V231" i="12" s="1"/>
  <c r="S231" i="12"/>
  <c r="AH230" i="12"/>
  <c r="AF230" i="12"/>
  <c r="AE230" i="12"/>
  <c r="AC230" i="12"/>
  <c r="AB230" i="12"/>
  <c r="X230" i="12"/>
  <c r="V230" i="12"/>
  <c r="U230" i="12"/>
  <c r="T230" i="12"/>
  <c r="S230" i="12"/>
  <c r="AH229" i="12"/>
  <c r="AF229" i="12"/>
  <c r="AC229" i="12"/>
  <c r="AE229" i="12" s="1"/>
  <c r="AB229" i="12"/>
  <c r="Z229" i="12"/>
  <c r="X229" i="12"/>
  <c r="W229" i="12"/>
  <c r="AJ229" i="12" s="1"/>
  <c r="U229" i="12"/>
  <c r="T229" i="12"/>
  <c r="V229" i="12" s="1"/>
  <c r="S229" i="12"/>
  <c r="AH228" i="12"/>
  <c r="X228" i="12"/>
  <c r="U228" i="12"/>
  <c r="T228" i="12"/>
  <c r="V228" i="12" s="1"/>
  <c r="S228" i="12"/>
  <c r="AH227" i="12"/>
  <c r="X227" i="12"/>
  <c r="U227" i="12"/>
  <c r="T227" i="12"/>
  <c r="V227" i="12" s="1"/>
  <c r="S227" i="12"/>
  <c r="AH226" i="12"/>
  <c r="AF226" i="12"/>
  <c r="X226" i="12"/>
  <c r="U226" i="12"/>
  <c r="T226" i="12"/>
  <c r="V226" i="12" s="1"/>
  <c r="S226" i="12"/>
  <c r="AH225" i="12"/>
  <c r="AF225" i="12"/>
  <c r="AE225" i="12"/>
  <c r="X225" i="12"/>
  <c r="W225" i="12"/>
  <c r="V225" i="12"/>
  <c r="U225" i="12"/>
  <c r="T225" i="12"/>
  <c r="S225" i="12"/>
  <c r="AB225" i="12" s="1"/>
  <c r="AC225" i="12" s="1"/>
  <c r="AJ224" i="12"/>
  <c r="AH224" i="12"/>
  <c r="AF224" i="12"/>
  <c r="AC224" i="12"/>
  <c r="AE224" i="12" s="1"/>
  <c r="AB224" i="12"/>
  <c r="X224" i="12"/>
  <c r="W224" i="12"/>
  <c r="U224" i="12"/>
  <c r="T224" i="12"/>
  <c r="V224" i="12" s="1"/>
  <c r="S224" i="12"/>
  <c r="AH223" i="12"/>
  <c r="AF223" i="12"/>
  <c r="AE223" i="12"/>
  <c r="AB223" i="12"/>
  <c r="AC223" i="12" s="1"/>
  <c r="X223" i="12"/>
  <c r="W223" i="12"/>
  <c r="U223" i="12"/>
  <c r="T223" i="12"/>
  <c r="V223" i="12" s="1"/>
  <c r="S223" i="12"/>
  <c r="AH222" i="12"/>
  <c r="X222" i="12"/>
  <c r="U222" i="12"/>
  <c r="T222" i="12"/>
  <c r="S222" i="12"/>
  <c r="AH221" i="12"/>
  <c r="X221" i="12"/>
  <c r="U221" i="12"/>
  <c r="T221" i="12"/>
  <c r="V221" i="12" s="1"/>
  <c r="S221" i="12"/>
  <c r="AH220" i="12"/>
  <c r="AF220" i="12"/>
  <c r="AE220" i="12"/>
  <c r="AC220" i="12"/>
  <c r="AB220" i="12"/>
  <c r="X220" i="12"/>
  <c r="U220" i="12"/>
  <c r="V220" i="12" s="1"/>
  <c r="T220" i="12"/>
  <c r="S220" i="12"/>
  <c r="AH219" i="12"/>
  <c r="AF219" i="12"/>
  <c r="AC219" i="12"/>
  <c r="AE219" i="12" s="1"/>
  <c r="AB219" i="12"/>
  <c r="X219" i="12"/>
  <c r="U219" i="12"/>
  <c r="T219" i="12"/>
  <c r="V219" i="12" s="1"/>
  <c r="S219" i="12"/>
  <c r="AH218" i="12"/>
  <c r="AF218" i="12"/>
  <c r="AC218" i="12"/>
  <c r="AE218" i="12" s="1"/>
  <c r="AB218" i="12"/>
  <c r="X218" i="12"/>
  <c r="U218" i="12"/>
  <c r="V218" i="12" s="1"/>
  <c r="T218" i="12"/>
  <c r="S218" i="12"/>
  <c r="AH217" i="12"/>
  <c r="AC217" i="12"/>
  <c r="AE217" i="12" s="1"/>
  <c r="AB217" i="12"/>
  <c r="X217" i="12"/>
  <c r="U217" i="12"/>
  <c r="T217" i="12"/>
  <c r="V217" i="12" s="1"/>
  <c r="S217" i="12"/>
  <c r="AH216" i="12"/>
  <c r="X216" i="12"/>
  <c r="W216" i="12"/>
  <c r="U216" i="12"/>
  <c r="T216" i="12"/>
  <c r="V216" i="12" s="1"/>
  <c r="S216" i="12"/>
  <c r="AH215" i="12"/>
  <c r="X215" i="12"/>
  <c r="U215" i="12"/>
  <c r="T215" i="12"/>
  <c r="V215" i="12" s="1"/>
  <c r="S215" i="12"/>
  <c r="AK214" i="12"/>
  <c r="AJ214" i="12"/>
  <c r="AH214" i="12"/>
  <c r="AG214" i="12"/>
  <c r="AF214" i="12"/>
  <c r="Z214" i="12"/>
  <c r="X214" i="12"/>
  <c r="W214" i="12"/>
  <c r="V214" i="12"/>
  <c r="U214" i="12"/>
  <c r="T214" i="12"/>
  <c r="S214" i="12"/>
  <c r="AB214" i="12" s="1"/>
  <c r="AC214" i="12" s="1"/>
  <c r="AE214" i="12" s="1"/>
  <c r="AH213" i="12"/>
  <c r="X213" i="12"/>
  <c r="W213" i="12"/>
  <c r="Z213" i="12" s="1"/>
  <c r="V213" i="12"/>
  <c r="U213" i="12"/>
  <c r="T213" i="12"/>
  <c r="S213" i="12"/>
  <c r="AH212" i="12"/>
  <c r="X212" i="12"/>
  <c r="U212" i="12"/>
  <c r="T212" i="12"/>
  <c r="V212" i="12" s="1"/>
  <c r="S212" i="12"/>
  <c r="AH211" i="12"/>
  <c r="AF211" i="12"/>
  <c r="X211" i="12"/>
  <c r="U211" i="12"/>
  <c r="T211" i="12"/>
  <c r="V211" i="12" s="1"/>
  <c r="S211" i="12"/>
  <c r="AH210" i="12"/>
  <c r="AF210" i="12"/>
  <c r="AC210" i="12"/>
  <c r="AE210" i="12" s="1"/>
  <c r="AB210" i="12"/>
  <c r="X210" i="12"/>
  <c r="V210" i="12"/>
  <c r="U210" i="12"/>
  <c r="T210" i="12"/>
  <c r="S210" i="12"/>
  <c r="AH209" i="12"/>
  <c r="AF209" i="12"/>
  <c r="AC209" i="12"/>
  <c r="AE209" i="12" s="1"/>
  <c r="AB209" i="12"/>
  <c r="X209" i="12"/>
  <c r="V209" i="12"/>
  <c r="U209" i="12"/>
  <c r="T209" i="12"/>
  <c r="S209" i="12"/>
  <c r="AH208" i="12"/>
  <c r="AF208" i="12"/>
  <c r="AE208" i="12"/>
  <c r="AC208" i="12"/>
  <c r="AB208" i="12"/>
  <c r="X208" i="12"/>
  <c r="V208" i="12"/>
  <c r="U208" i="12"/>
  <c r="T208" i="12"/>
  <c r="S208" i="12"/>
  <c r="AH207" i="12"/>
  <c r="AF207" i="12"/>
  <c r="AE207" i="12"/>
  <c r="AC207" i="12"/>
  <c r="AB207" i="12"/>
  <c r="X207" i="12"/>
  <c r="W207" i="12"/>
  <c r="U207" i="12"/>
  <c r="T207" i="12"/>
  <c r="S207" i="12"/>
  <c r="AH206" i="12"/>
  <c r="X206" i="12"/>
  <c r="W206" i="12"/>
  <c r="V206" i="12"/>
  <c r="U206" i="12"/>
  <c r="T206" i="12"/>
  <c r="S206" i="12"/>
  <c r="AH205" i="12"/>
  <c r="X205" i="12"/>
  <c r="U205" i="12"/>
  <c r="V205" i="12" s="1"/>
  <c r="T205" i="12"/>
  <c r="S205" i="12"/>
  <c r="AK204" i="12"/>
  <c r="AJ204" i="12"/>
  <c r="AH204" i="12"/>
  <c r="AF204" i="12"/>
  <c r="AB204" i="12"/>
  <c r="AC204" i="12" s="1"/>
  <c r="AE204" i="12" s="1"/>
  <c r="X204" i="12"/>
  <c r="W204" i="12"/>
  <c r="V204" i="12"/>
  <c r="U204" i="12"/>
  <c r="T204" i="12"/>
  <c r="S204" i="12"/>
  <c r="AH203" i="12"/>
  <c r="X203" i="12"/>
  <c r="V203" i="12"/>
  <c r="U203" i="12"/>
  <c r="T203" i="12"/>
  <c r="S203" i="12"/>
  <c r="AK202" i="12"/>
  <c r="AJ202" i="12"/>
  <c r="AH202" i="12"/>
  <c r="AF202" i="12"/>
  <c r="AB202" i="12"/>
  <c r="AC202" i="12" s="1"/>
  <c r="AE202" i="12" s="1"/>
  <c r="Z202" i="12"/>
  <c r="X202" i="12"/>
  <c r="W202" i="12"/>
  <c r="V202" i="12"/>
  <c r="U202" i="12"/>
  <c r="T202" i="12"/>
  <c r="S202" i="12"/>
  <c r="AH201" i="12"/>
  <c r="AF201" i="12"/>
  <c r="X201" i="12"/>
  <c r="U201" i="12"/>
  <c r="T201" i="12"/>
  <c r="V201" i="12" s="1"/>
  <c r="S201" i="12"/>
  <c r="AH200" i="12"/>
  <c r="X200" i="12"/>
  <c r="W200" i="12"/>
  <c r="U200" i="12"/>
  <c r="T200" i="12"/>
  <c r="V200" i="12" s="1"/>
  <c r="S200" i="12"/>
  <c r="AH199" i="12"/>
  <c r="X199" i="12"/>
  <c r="U199" i="12"/>
  <c r="T199" i="12"/>
  <c r="V199" i="12" s="1"/>
  <c r="S199" i="12"/>
  <c r="AH198" i="12"/>
  <c r="AF198" i="12"/>
  <c r="AE198" i="12"/>
  <c r="X198" i="12"/>
  <c r="U198" i="12"/>
  <c r="T198" i="12"/>
  <c r="V198" i="12" s="1"/>
  <c r="S198" i="12"/>
  <c r="AB198" i="12" s="1"/>
  <c r="AC198" i="12" s="1"/>
  <c r="AH197" i="12"/>
  <c r="AF197" i="12"/>
  <c r="AE197" i="12"/>
  <c r="AB197" i="12"/>
  <c r="AC197" i="12" s="1"/>
  <c r="X197" i="12"/>
  <c r="U197" i="12"/>
  <c r="T197" i="12"/>
  <c r="V197" i="12" s="1"/>
  <c r="S197" i="12"/>
  <c r="AH196" i="12"/>
  <c r="AF196" i="12"/>
  <c r="AC196" i="12"/>
  <c r="AE196" i="12" s="1"/>
  <c r="AB196" i="12"/>
  <c r="X196" i="12"/>
  <c r="V196" i="12"/>
  <c r="U196" i="12"/>
  <c r="T196" i="12"/>
  <c r="S196" i="12"/>
  <c r="AL195" i="12"/>
  <c r="AK195" i="12"/>
  <c r="AH195" i="12"/>
  <c r="AF195" i="12"/>
  <c r="AC195" i="12"/>
  <c r="AE195" i="12" s="1"/>
  <c r="AB195" i="12"/>
  <c r="X195" i="12"/>
  <c r="W195" i="12"/>
  <c r="U195" i="12"/>
  <c r="V195" i="12" s="1"/>
  <c r="T195" i="12"/>
  <c r="S195" i="12"/>
  <c r="AK194" i="12"/>
  <c r="AJ194" i="12"/>
  <c r="AH194" i="12"/>
  <c r="AF194" i="12"/>
  <c r="AB194" i="12"/>
  <c r="AC194" i="12" s="1"/>
  <c r="AE194" i="12" s="1"/>
  <c r="Z194" i="12"/>
  <c r="X194" i="12"/>
  <c r="W194" i="12"/>
  <c r="V194" i="12"/>
  <c r="U194" i="12"/>
  <c r="T194" i="12"/>
  <c r="S194" i="12"/>
  <c r="AH193" i="12"/>
  <c r="AF193" i="12"/>
  <c r="AE193" i="12"/>
  <c r="AC193" i="12"/>
  <c r="AB193" i="12"/>
  <c r="X193" i="12"/>
  <c r="W193" i="12"/>
  <c r="V193" i="12"/>
  <c r="U193" i="12"/>
  <c r="T193" i="12"/>
  <c r="S193" i="12"/>
  <c r="AH192" i="12"/>
  <c r="AF192" i="12"/>
  <c r="AB192" i="12"/>
  <c r="AC192" i="12" s="1"/>
  <c r="AE192" i="12" s="1"/>
  <c r="Z192" i="12"/>
  <c r="X192" i="12"/>
  <c r="W192" i="12"/>
  <c r="U192" i="12"/>
  <c r="T192" i="12"/>
  <c r="V192" i="12" s="1"/>
  <c r="S192" i="12"/>
  <c r="AH191" i="12"/>
  <c r="X191" i="12"/>
  <c r="W191" i="12"/>
  <c r="V191" i="12"/>
  <c r="U191" i="12"/>
  <c r="T191" i="12"/>
  <c r="S191" i="12"/>
  <c r="AH190" i="12"/>
  <c r="X190" i="12"/>
  <c r="U190" i="12"/>
  <c r="T190" i="12"/>
  <c r="V190" i="12" s="1"/>
  <c r="S190" i="12"/>
  <c r="AL189" i="12"/>
  <c r="AK189" i="12"/>
  <c r="AJ189" i="12"/>
  <c r="AH189" i="12"/>
  <c r="AG189" i="12"/>
  <c r="AF189" i="12"/>
  <c r="X189" i="12"/>
  <c r="W189" i="12"/>
  <c r="Z189" i="12" s="1"/>
  <c r="V189" i="12"/>
  <c r="U189" i="12"/>
  <c r="T189" i="12"/>
  <c r="S189" i="12"/>
  <c r="AH188" i="12"/>
  <c r="AE188" i="12"/>
  <c r="AB188" i="12"/>
  <c r="AC188" i="12" s="1"/>
  <c r="X188" i="12"/>
  <c r="U188" i="12"/>
  <c r="T188" i="12"/>
  <c r="V188" i="12" s="1"/>
  <c r="S188" i="12"/>
  <c r="AH187" i="12"/>
  <c r="X187" i="12"/>
  <c r="V187" i="12"/>
  <c r="U187" i="12"/>
  <c r="T187" i="12"/>
  <c r="S187" i="12"/>
  <c r="AL186" i="12"/>
  <c r="AK186" i="12"/>
  <c r="AH186" i="12"/>
  <c r="AG186" i="12"/>
  <c r="AF186" i="12"/>
  <c r="AC186" i="12"/>
  <c r="AE186" i="12" s="1"/>
  <c r="AB186" i="12"/>
  <c r="X186" i="12"/>
  <c r="W186" i="12"/>
  <c r="U186" i="12"/>
  <c r="T186" i="12"/>
  <c r="V186" i="12" s="1"/>
  <c r="S186" i="12"/>
  <c r="AH185" i="12"/>
  <c r="AF185" i="12"/>
  <c r="AB185" i="12"/>
  <c r="AC185" i="12" s="1"/>
  <c r="AE185" i="12" s="1"/>
  <c r="X185" i="12"/>
  <c r="U185" i="12"/>
  <c r="V185" i="12" s="1"/>
  <c r="T185" i="12"/>
  <c r="S185" i="12"/>
  <c r="AH184" i="12"/>
  <c r="AG184" i="12"/>
  <c r="AF184" i="12"/>
  <c r="AE184" i="12"/>
  <c r="AB184" i="12"/>
  <c r="AC184" i="12" s="1"/>
  <c r="X184" i="12"/>
  <c r="W184" i="12"/>
  <c r="Z184" i="12" s="1"/>
  <c r="V184" i="12"/>
  <c r="U184" i="12"/>
  <c r="T184" i="12"/>
  <c r="S184" i="12"/>
  <c r="AH183" i="12"/>
  <c r="AF183" i="12"/>
  <c r="X183" i="12"/>
  <c r="W183" i="12"/>
  <c r="Z183" i="12" s="1"/>
  <c r="V183" i="12"/>
  <c r="U183" i="12"/>
  <c r="T183" i="12"/>
  <c r="S183" i="12"/>
  <c r="AH182" i="12"/>
  <c r="X182" i="12"/>
  <c r="W182" i="12"/>
  <c r="U182" i="12"/>
  <c r="T182" i="12"/>
  <c r="V182" i="12" s="1"/>
  <c r="S182" i="12"/>
  <c r="AH181" i="12"/>
  <c r="AB181" i="12"/>
  <c r="AC181" i="12" s="1"/>
  <c r="AE181" i="12" s="1"/>
  <c r="X181" i="12"/>
  <c r="U181" i="12"/>
  <c r="T181" i="12"/>
  <c r="V181" i="12" s="1"/>
  <c r="S181" i="12"/>
  <c r="AH180" i="12"/>
  <c r="X180" i="12"/>
  <c r="W180" i="12"/>
  <c r="V180" i="12"/>
  <c r="U180" i="12"/>
  <c r="T180" i="12"/>
  <c r="S180" i="12"/>
  <c r="AH179" i="12"/>
  <c r="AF179" i="12"/>
  <c r="X179" i="12"/>
  <c r="U179" i="12"/>
  <c r="T179" i="12"/>
  <c r="V179" i="12" s="1"/>
  <c r="S179" i="12"/>
  <c r="AH178" i="12"/>
  <c r="X178" i="12"/>
  <c r="U178" i="12"/>
  <c r="T178" i="12"/>
  <c r="S178" i="12"/>
  <c r="AH177" i="12"/>
  <c r="AF177" i="12"/>
  <c r="AB177" i="12"/>
  <c r="AC177" i="12" s="1"/>
  <c r="AE177" i="12" s="1"/>
  <c r="X177" i="12"/>
  <c r="U177" i="12"/>
  <c r="T177" i="12"/>
  <c r="V177" i="12" s="1"/>
  <c r="S177" i="12"/>
  <c r="AH176" i="12"/>
  <c r="AF176" i="12"/>
  <c r="AB176" i="12"/>
  <c r="AC176" i="12" s="1"/>
  <c r="AE176" i="12" s="1"/>
  <c r="X176" i="12"/>
  <c r="V176" i="12"/>
  <c r="U176" i="12"/>
  <c r="T176" i="12"/>
  <c r="S176" i="12"/>
  <c r="AH175" i="12"/>
  <c r="AF175" i="12"/>
  <c r="AC175" i="12"/>
  <c r="AE175" i="12" s="1"/>
  <c r="AB175" i="12"/>
  <c r="X175" i="12"/>
  <c r="V175" i="12"/>
  <c r="U175" i="12"/>
  <c r="T175" i="12"/>
  <c r="S175" i="12"/>
  <c r="AH174" i="12"/>
  <c r="AF174" i="12"/>
  <c r="AB174" i="12"/>
  <c r="AC174" i="12" s="1"/>
  <c r="AE174" i="12" s="1"/>
  <c r="X174" i="12"/>
  <c r="U174" i="12"/>
  <c r="V174" i="12" s="1"/>
  <c r="T174" i="12"/>
  <c r="S174" i="12"/>
  <c r="AJ173" i="12"/>
  <c r="AH173" i="12"/>
  <c r="AG173" i="12"/>
  <c r="AF173" i="12"/>
  <c r="AB173" i="12"/>
  <c r="AC173" i="12" s="1"/>
  <c r="AE173" i="12" s="1"/>
  <c r="X173" i="12"/>
  <c r="W173" i="12"/>
  <c r="V173" i="12"/>
  <c r="U173" i="12"/>
  <c r="T173" i="12"/>
  <c r="S173" i="12"/>
  <c r="AH172" i="12"/>
  <c r="AF172" i="12"/>
  <c r="AB172" i="12"/>
  <c r="AC172" i="12" s="1"/>
  <c r="AE172" i="12" s="1"/>
  <c r="X172" i="12"/>
  <c r="U172" i="12"/>
  <c r="T172" i="12"/>
  <c r="V172" i="12" s="1"/>
  <c r="S172" i="12"/>
  <c r="AH171" i="12"/>
  <c r="AF171" i="12"/>
  <c r="AE171" i="12"/>
  <c r="AB171" i="12"/>
  <c r="AC171" i="12" s="1"/>
  <c r="X171" i="12"/>
  <c r="W171" i="12"/>
  <c r="V171" i="12"/>
  <c r="U171" i="12"/>
  <c r="T171" i="12"/>
  <c r="S171" i="12"/>
  <c r="AH170" i="12"/>
  <c r="AB170" i="12"/>
  <c r="AC170" i="12" s="1"/>
  <c r="AE170" i="12" s="1"/>
  <c r="X170" i="12"/>
  <c r="W170" i="12"/>
  <c r="U170" i="12"/>
  <c r="V170" i="12" s="1"/>
  <c r="T170" i="12"/>
  <c r="S170" i="12"/>
  <c r="AH169" i="12"/>
  <c r="X169" i="12"/>
  <c r="W169" i="12"/>
  <c r="V169" i="12"/>
  <c r="U169" i="12"/>
  <c r="T169" i="12"/>
  <c r="S169" i="12"/>
  <c r="AH168" i="12"/>
  <c r="AB168" i="12"/>
  <c r="AC168" i="12" s="1"/>
  <c r="AE168" i="12" s="1"/>
  <c r="X168" i="12"/>
  <c r="U168" i="12"/>
  <c r="T168" i="12"/>
  <c r="V168" i="12" s="1"/>
  <c r="S168" i="12"/>
  <c r="AJ167" i="12"/>
  <c r="AH167" i="12"/>
  <c r="X167" i="12"/>
  <c r="W167" i="12"/>
  <c r="U167" i="12"/>
  <c r="AK167" i="12" s="1"/>
  <c r="T167" i="12"/>
  <c r="V167" i="12" s="1"/>
  <c r="S167" i="12"/>
  <c r="AL166" i="12"/>
  <c r="AK166" i="12"/>
  <c r="AH166" i="12"/>
  <c r="X166" i="12"/>
  <c r="W166" i="12"/>
  <c r="U166" i="12"/>
  <c r="T166" i="12"/>
  <c r="S166" i="12"/>
  <c r="AH165" i="12"/>
  <c r="X165" i="12"/>
  <c r="U165" i="12"/>
  <c r="T165" i="12"/>
  <c r="S165" i="12"/>
  <c r="AH164" i="12"/>
  <c r="AF164" i="12"/>
  <c r="AB164" i="12"/>
  <c r="AC164" i="12" s="1"/>
  <c r="AE164" i="12" s="1"/>
  <c r="X164" i="12"/>
  <c r="V164" i="12"/>
  <c r="U164" i="12"/>
  <c r="T164" i="12"/>
  <c r="S164" i="12"/>
  <c r="AJ163" i="12"/>
  <c r="AH163" i="12"/>
  <c r="AF163" i="12"/>
  <c r="AC163" i="12"/>
  <c r="AE163" i="12" s="1"/>
  <c r="X163" i="12"/>
  <c r="Z163" i="12" s="1"/>
  <c r="W163" i="12"/>
  <c r="U163" i="12"/>
  <c r="T163" i="12"/>
  <c r="V163" i="12" s="1"/>
  <c r="S163" i="12"/>
  <c r="AB163" i="12" s="1"/>
  <c r="AH162" i="12"/>
  <c r="AF162" i="12"/>
  <c r="AE162" i="12"/>
  <c r="AB162" i="12"/>
  <c r="AC162" i="12" s="1"/>
  <c r="X162" i="12"/>
  <c r="W162" i="12"/>
  <c r="V162" i="12"/>
  <c r="U162" i="12"/>
  <c r="T162" i="12"/>
  <c r="S162" i="12"/>
  <c r="AH161" i="12"/>
  <c r="X161" i="12"/>
  <c r="W161" i="12"/>
  <c r="U161" i="12"/>
  <c r="T161" i="12"/>
  <c r="V161" i="12" s="1"/>
  <c r="S161" i="12"/>
  <c r="AH160" i="12"/>
  <c r="AC160" i="12"/>
  <c r="AE160" i="12" s="1"/>
  <c r="AB160" i="12"/>
  <c r="X160" i="12"/>
  <c r="U160" i="12"/>
  <c r="T160" i="12"/>
  <c r="V160" i="12" s="1"/>
  <c r="S160" i="12"/>
  <c r="AH159" i="12"/>
  <c r="AF159" i="12"/>
  <c r="AB159" i="12"/>
  <c r="AC159" i="12" s="1"/>
  <c r="AE159" i="12" s="1"/>
  <c r="X159" i="12"/>
  <c r="U159" i="12"/>
  <c r="T159" i="12"/>
  <c r="S159" i="12"/>
  <c r="AH158" i="12"/>
  <c r="AB158" i="12"/>
  <c r="AC158" i="12" s="1"/>
  <c r="AE158" i="12" s="1"/>
  <c r="X158" i="12"/>
  <c r="W158" i="12"/>
  <c r="U158" i="12"/>
  <c r="T158" i="12"/>
  <c r="V158" i="12" s="1"/>
  <c r="S158" i="12"/>
  <c r="AH157" i="12"/>
  <c r="AB157" i="12"/>
  <c r="AC157" i="12" s="1"/>
  <c r="AE157" i="12" s="1"/>
  <c r="X157" i="12"/>
  <c r="U157" i="12"/>
  <c r="T157" i="12"/>
  <c r="V157" i="12" s="1"/>
  <c r="S157" i="12"/>
  <c r="AL156" i="12"/>
  <c r="AK156" i="12"/>
  <c r="AJ156" i="12"/>
  <c r="AI156" i="12"/>
  <c r="AH156" i="12"/>
  <c r="X156" i="12"/>
  <c r="W156" i="12"/>
  <c r="AG156" i="12" s="1"/>
  <c r="V156" i="12"/>
  <c r="U156" i="12"/>
  <c r="T156" i="12"/>
  <c r="S156" i="12"/>
  <c r="AH155" i="12"/>
  <c r="AF155" i="12"/>
  <c r="AC155" i="12"/>
  <c r="AE155" i="12" s="1"/>
  <c r="AB155" i="12"/>
  <c r="X155" i="12"/>
  <c r="W155" i="12"/>
  <c r="U155" i="12"/>
  <c r="V155" i="12" s="1"/>
  <c r="T155" i="12"/>
  <c r="S155" i="12"/>
  <c r="AH154" i="12"/>
  <c r="AF154" i="12"/>
  <c r="X154" i="12"/>
  <c r="V154" i="12"/>
  <c r="U154" i="12"/>
  <c r="T154" i="12"/>
  <c r="S154" i="12"/>
  <c r="AH153" i="12"/>
  <c r="AF153" i="12"/>
  <c r="X153" i="12"/>
  <c r="U153" i="12"/>
  <c r="T153" i="12"/>
  <c r="V153" i="12" s="1"/>
  <c r="S153" i="12"/>
  <c r="AH152" i="12"/>
  <c r="AF152" i="12"/>
  <c r="AC152" i="12"/>
  <c r="AE152" i="12" s="1"/>
  <c r="AB152" i="12"/>
  <c r="X152" i="12"/>
  <c r="U152" i="12"/>
  <c r="T152" i="12"/>
  <c r="V152" i="12" s="1"/>
  <c r="S152" i="12"/>
  <c r="AH151" i="12"/>
  <c r="AF151" i="12"/>
  <c r="AC151" i="12"/>
  <c r="AE151" i="12" s="1"/>
  <c r="AB151" i="12"/>
  <c r="X151" i="12"/>
  <c r="U151" i="12"/>
  <c r="V151" i="12" s="1"/>
  <c r="T151" i="12"/>
  <c r="S151" i="12"/>
  <c r="AH150" i="12"/>
  <c r="AF150" i="12"/>
  <c r="AB150" i="12"/>
  <c r="AC150" i="12" s="1"/>
  <c r="AE150" i="12" s="1"/>
  <c r="X150" i="12"/>
  <c r="W150" i="12"/>
  <c r="V150" i="12"/>
  <c r="U150" i="12"/>
  <c r="T150" i="12"/>
  <c r="S150" i="12"/>
  <c r="AH149" i="12"/>
  <c r="AF149" i="12"/>
  <c r="AC149" i="12"/>
  <c r="AE149" i="12" s="1"/>
  <c r="AB149" i="12"/>
  <c r="X149" i="12"/>
  <c r="U149" i="12"/>
  <c r="V149" i="12" s="1"/>
  <c r="T149" i="12"/>
  <c r="S149" i="12"/>
  <c r="AH148" i="12"/>
  <c r="X148" i="12"/>
  <c r="U148" i="12"/>
  <c r="T148" i="12"/>
  <c r="V148" i="12" s="1"/>
  <c r="S148" i="12"/>
  <c r="AH147" i="12"/>
  <c r="AG147" i="12"/>
  <c r="AC147" i="12"/>
  <c r="AE147" i="12" s="1"/>
  <c r="AB147" i="12"/>
  <c r="Z147" i="12"/>
  <c r="X147" i="12"/>
  <c r="W147" i="12"/>
  <c r="U147" i="12"/>
  <c r="V147" i="12" s="1"/>
  <c r="T147" i="12"/>
  <c r="S147" i="12"/>
  <c r="AH146" i="12"/>
  <c r="X146" i="12"/>
  <c r="W146" i="12"/>
  <c r="Z146" i="12" s="1"/>
  <c r="U146" i="12"/>
  <c r="V146" i="12" s="1"/>
  <c r="T146" i="12"/>
  <c r="S146" i="12"/>
  <c r="AL145" i="12"/>
  <c r="AK145" i="12"/>
  <c r="AJ145" i="12"/>
  <c r="AH145" i="12"/>
  <c r="X145" i="12"/>
  <c r="W145" i="12"/>
  <c r="Z145" i="12" s="1"/>
  <c r="V145" i="12"/>
  <c r="U145" i="12"/>
  <c r="T145" i="12"/>
  <c r="S145" i="12"/>
  <c r="AH144" i="12"/>
  <c r="X144" i="12"/>
  <c r="W144" i="12"/>
  <c r="V144" i="12"/>
  <c r="U144" i="12"/>
  <c r="T144" i="12"/>
  <c r="S144" i="12"/>
  <c r="AJ143" i="12"/>
  <c r="AH143" i="12"/>
  <c r="AF143" i="12"/>
  <c r="X143" i="12"/>
  <c r="W143" i="12"/>
  <c r="U143" i="12"/>
  <c r="T143" i="12"/>
  <c r="V143" i="12" s="1"/>
  <c r="S143" i="12"/>
  <c r="AH142" i="12"/>
  <c r="X142" i="12"/>
  <c r="U142" i="12"/>
  <c r="T142" i="12"/>
  <c r="V142" i="12" s="1"/>
  <c r="S142" i="12"/>
  <c r="AH141" i="12"/>
  <c r="AE141" i="12"/>
  <c r="X141" i="12"/>
  <c r="V141" i="12"/>
  <c r="U141" i="12"/>
  <c r="T141" i="12"/>
  <c r="S141" i="12"/>
  <c r="AB141" i="12" s="1"/>
  <c r="AC141" i="12" s="1"/>
  <c r="AH140" i="12"/>
  <c r="AF140" i="12"/>
  <c r="AC140" i="12"/>
  <c r="AE140" i="12" s="1"/>
  <c r="AB140" i="12"/>
  <c r="X140" i="12"/>
  <c r="U140" i="12"/>
  <c r="V140" i="12" s="1"/>
  <c r="T140" i="12"/>
  <c r="S140" i="12"/>
  <c r="AH139" i="12"/>
  <c r="AF139" i="12"/>
  <c r="AC139" i="12"/>
  <c r="AE139" i="12" s="1"/>
  <c r="AB139" i="12"/>
  <c r="X139" i="12"/>
  <c r="V139" i="12"/>
  <c r="U139" i="12"/>
  <c r="T139" i="12"/>
  <c r="S139" i="12"/>
  <c r="AH138" i="12"/>
  <c r="AF138" i="12"/>
  <c r="AC138" i="12"/>
  <c r="AE138" i="12" s="1"/>
  <c r="AB138" i="12"/>
  <c r="X138" i="12"/>
  <c r="W138" i="12"/>
  <c r="U138" i="12"/>
  <c r="T138" i="12"/>
  <c r="S138" i="12"/>
  <c r="AH137" i="12"/>
  <c r="Z137" i="12"/>
  <c r="X137" i="12"/>
  <c r="W137" i="12"/>
  <c r="V137" i="12"/>
  <c r="U137" i="12"/>
  <c r="T137" i="12"/>
  <c r="S137" i="12"/>
  <c r="AH136" i="12"/>
  <c r="AF136" i="12"/>
  <c r="AE136" i="12"/>
  <c r="AC136" i="12"/>
  <c r="AB136" i="12"/>
  <c r="X136" i="12"/>
  <c r="V136" i="12"/>
  <c r="U136" i="12"/>
  <c r="T136" i="12"/>
  <c r="S136" i="12"/>
  <c r="AH135" i="12"/>
  <c r="AF135" i="12"/>
  <c r="AB135" i="12"/>
  <c r="AC135" i="12" s="1"/>
  <c r="AE135" i="12" s="1"/>
  <c r="X135" i="12"/>
  <c r="W135" i="12"/>
  <c r="U135" i="12"/>
  <c r="T135" i="12"/>
  <c r="V135" i="12" s="1"/>
  <c r="S135" i="12"/>
  <c r="AK134" i="12"/>
  <c r="AH134" i="12"/>
  <c r="AC134" i="12"/>
  <c r="AE134" i="12" s="1"/>
  <c r="AB134" i="12"/>
  <c r="X134" i="12"/>
  <c r="Z134" i="12" s="1"/>
  <c r="W134" i="12"/>
  <c r="U134" i="12"/>
  <c r="T134" i="12"/>
  <c r="V134" i="12" s="1"/>
  <c r="S134" i="12"/>
  <c r="AH133" i="12"/>
  <c r="X133" i="12"/>
  <c r="U133" i="12"/>
  <c r="T133" i="12"/>
  <c r="S133" i="12"/>
  <c r="AH132" i="12"/>
  <c r="X132" i="12"/>
  <c r="V132" i="12"/>
  <c r="U132" i="12"/>
  <c r="T132" i="12"/>
  <c r="S132" i="12"/>
  <c r="AH131" i="12"/>
  <c r="X131" i="12"/>
  <c r="W131" i="12"/>
  <c r="V131" i="12"/>
  <c r="U131" i="12"/>
  <c r="T131" i="12"/>
  <c r="S131" i="12"/>
  <c r="AH130" i="12"/>
  <c r="X130" i="12"/>
  <c r="U130" i="12"/>
  <c r="T130" i="12"/>
  <c r="S130" i="12"/>
  <c r="AH129" i="12"/>
  <c r="X129" i="12"/>
  <c r="U129" i="12"/>
  <c r="T129" i="12"/>
  <c r="S129" i="12"/>
  <c r="AH128" i="12"/>
  <c r="AF128" i="12"/>
  <c r="AB128" i="12"/>
  <c r="AC128" i="12" s="1"/>
  <c r="AE128" i="12" s="1"/>
  <c r="X128" i="12"/>
  <c r="V128" i="12"/>
  <c r="U128" i="12"/>
  <c r="T128" i="12"/>
  <c r="S128" i="12"/>
  <c r="AH127" i="12"/>
  <c r="AC127" i="12"/>
  <c r="AE127" i="12" s="1"/>
  <c r="AB127" i="12"/>
  <c r="X127" i="12"/>
  <c r="W127" i="12"/>
  <c r="U127" i="12"/>
  <c r="T127" i="12"/>
  <c r="V127" i="12" s="1"/>
  <c r="S127" i="12"/>
  <c r="AF127" i="12" s="1"/>
  <c r="AH126" i="12"/>
  <c r="AF126" i="12"/>
  <c r="AB126" i="12"/>
  <c r="AC126" i="12" s="1"/>
  <c r="AE126" i="12" s="1"/>
  <c r="X126" i="12"/>
  <c r="W126" i="12"/>
  <c r="V126" i="12"/>
  <c r="U126" i="12"/>
  <c r="T126" i="12"/>
  <c r="S126" i="12"/>
  <c r="AH125" i="12"/>
  <c r="AB125" i="12"/>
  <c r="AC125" i="12" s="1"/>
  <c r="AE125" i="12" s="1"/>
  <c r="Z125" i="12"/>
  <c r="X125" i="12"/>
  <c r="W125" i="12"/>
  <c r="U125" i="12"/>
  <c r="V125" i="12" s="1"/>
  <c r="T125" i="12"/>
  <c r="S125" i="12"/>
  <c r="AH124" i="12"/>
  <c r="AF124" i="12"/>
  <c r="X124" i="12"/>
  <c r="U124" i="12"/>
  <c r="T124" i="12"/>
  <c r="S124" i="12"/>
  <c r="AH123" i="12"/>
  <c r="X123" i="12"/>
  <c r="W123" i="12"/>
  <c r="V123" i="12"/>
  <c r="U123" i="12"/>
  <c r="T123" i="12"/>
  <c r="S123" i="12"/>
  <c r="AH122" i="12"/>
  <c r="X122" i="12"/>
  <c r="W122" i="12"/>
  <c r="U122" i="12"/>
  <c r="T122" i="12"/>
  <c r="S122" i="12"/>
  <c r="AH121" i="12"/>
  <c r="X121" i="12"/>
  <c r="V121" i="12"/>
  <c r="U121" i="12"/>
  <c r="T121" i="12"/>
  <c r="S121" i="12"/>
  <c r="AL120" i="12"/>
  <c r="AH120" i="12"/>
  <c r="AF120" i="12"/>
  <c r="AE120" i="12"/>
  <c r="X120" i="12"/>
  <c r="W120" i="12"/>
  <c r="V120" i="12"/>
  <c r="U120" i="12"/>
  <c r="T120" i="12"/>
  <c r="S120" i="12"/>
  <c r="AB120" i="12" s="1"/>
  <c r="AC120" i="12" s="1"/>
  <c r="AH119" i="12"/>
  <c r="AF119" i="12"/>
  <c r="X119" i="12"/>
  <c r="V119" i="12"/>
  <c r="U119" i="12"/>
  <c r="T119" i="12"/>
  <c r="S119" i="12"/>
  <c r="AH118" i="12"/>
  <c r="AB118" i="12"/>
  <c r="AC118" i="12" s="1"/>
  <c r="AE118" i="12" s="1"/>
  <c r="X118" i="12"/>
  <c r="U118" i="12"/>
  <c r="T118" i="12"/>
  <c r="V118" i="12" s="1"/>
  <c r="S118" i="12"/>
  <c r="AH117" i="12"/>
  <c r="X117" i="12"/>
  <c r="V117" i="12"/>
  <c r="U117" i="12"/>
  <c r="T117" i="12"/>
  <c r="S117" i="12"/>
  <c r="AH116" i="12"/>
  <c r="AF116" i="12"/>
  <c r="AC116" i="12"/>
  <c r="AE116" i="12" s="1"/>
  <c r="AB116" i="12"/>
  <c r="X116" i="12"/>
  <c r="U116" i="12"/>
  <c r="V116" i="12" s="1"/>
  <c r="T116" i="12"/>
  <c r="S116" i="12"/>
  <c r="AH115" i="12"/>
  <c r="AF115" i="12"/>
  <c r="AE115" i="12"/>
  <c r="AB115" i="12"/>
  <c r="AC115" i="12" s="1"/>
  <c r="X115" i="12"/>
  <c r="U115" i="12"/>
  <c r="T115" i="12"/>
  <c r="V115" i="12" s="1"/>
  <c r="S115" i="12"/>
  <c r="AK114" i="12"/>
  <c r="AH114" i="12"/>
  <c r="AF114" i="12"/>
  <c r="AC114" i="12"/>
  <c r="AE114" i="12" s="1"/>
  <c r="AB114" i="12"/>
  <c r="Z114" i="12"/>
  <c r="X114" i="12"/>
  <c r="W114" i="12"/>
  <c r="V114" i="12"/>
  <c r="U114" i="12"/>
  <c r="T114" i="12"/>
  <c r="S114" i="12"/>
  <c r="AH113" i="12"/>
  <c r="AF113" i="12"/>
  <c r="AE113" i="12"/>
  <c r="AC113" i="12"/>
  <c r="AB113" i="12"/>
  <c r="X113" i="12"/>
  <c r="W113" i="12"/>
  <c r="V113" i="12"/>
  <c r="U113" i="12"/>
  <c r="T113" i="12"/>
  <c r="S113" i="12"/>
  <c r="AH112" i="12"/>
  <c r="AB112" i="12"/>
  <c r="AC112" i="12" s="1"/>
  <c r="AE112" i="12" s="1"/>
  <c r="X112" i="12"/>
  <c r="W112" i="12"/>
  <c r="Z112" i="12" s="1"/>
  <c r="U112" i="12"/>
  <c r="T112" i="12"/>
  <c r="V112" i="12" s="1"/>
  <c r="S112" i="12"/>
  <c r="AH111" i="12"/>
  <c r="X111" i="12"/>
  <c r="U111" i="12"/>
  <c r="T111" i="12"/>
  <c r="S111" i="12"/>
  <c r="AJ110" i="12"/>
  <c r="AH110" i="12"/>
  <c r="AB110" i="12"/>
  <c r="AC110" i="12" s="1"/>
  <c r="AE110" i="12" s="1"/>
  <c r="Z110" i="12"/>
  <c r="X110" i="12"/>
  <c r="W110" i="12"/>
  <c r="V110" i="12"/>
  <c r="U110" i="12"/>
  <c r="T110" i="12"/>
  <c r="S110" i="12"/>
  <c r="AH109" i="12"/>
  <c r="X109" i="12"/>
  <c r="W109" i="12"/>
  <c r="U109" i="12"/>
  <c r="T109" i="12"/>
  <c r="V109" i="12" s="1"/>
  <c r="S109" i="12"/>
  <c r="AH108" i="12"/>
  <c r="AF108" i="12"/>
  <c r="X108" i="12"/>
  <c r="U108" i="12"/>
  <c r="T108" i="12"/>
  <c r="V108" i="12" s="1"/>
  <c r="S108" i="12"/>
  <c r="AH107" i="12"/>
  <c r="AG107" i="12"/>
  <c r="X107" i="12"/>
  <c r="W107" i="12"/>
  <c r="V107" i="12"/>
  <c r="U107" i="12"/>
  <c r="T107" i="12"/>
  <c r="S107" i="12"/>
  <c r="AH106" i="12"/>
  <c r="X106" i="12"/>
  <c r="U106" i="12"/>
  <c r="T106" i="12"/>
  <c r="S106" i="12"/>
  <c r="AH105" i="12"/>
  <c r="AB105" i="12"/>
  <c r="AC105" i="12" s="1"/>
  <c r="AE105" i="12" s="1"/>
  <c r="X105" i="12"/>
  <c r="U105" i="12"/>
  <c r="T105" i="12"/>
  <c r="V105" i="12" s="1"/>
  <c r="S105" i="12"/>
  <c r="AH104" i="12"/>
  <c r="X104" i="12"/>
  <c r="V104" i="12"/>
  <c r="U104" i="12"/>
  <c r="T104" i="12"/>
  <c r="S104" i="12"/>
  <c r="AH103" i="12"/>
  <c r="AF103" i="12"/>
  <c r="AE103" i="12"/>
  <c r="AC103" i="12"/>
  <c r="AB103" i="12"/>
  <c r="X103" i="12"/>
  <c r="U103" i="12"/>
  <c r="T103" i="12"/>
  <c r="V103" i="12" s="1"/>
  <c r="S103" i="12"/>
  <c r="AH102" i="12"/>
  <c r="AF102" i="12"/>
  <c r="AE102" i="12"/>
  <c r="AC102" i="12"/>
  <c r="AB102" i="12"/>
  <c r="X102" i="12"/>
  <c r="U102" i="12"/>
  <c r="T102" i="12"/>
  <c r="V102" i="12" s="1"/>
  <c r="S102" i="12"/>
  <c r="AH101" i="12"/>
  <c r="AF101" i="12"/>
  <c r="AE101" i="12"/>
  <c r="AB101" i="12"/>
  <c r="AC101" i="12" s="1"/>
  <c r="X101" i="12"/>
  <c r="W101" i="12"/>
  <c r="V101" i="12"/>
  <c r="U101" i="12"/>
  <c r="T101" i="12"/>
  <c r="S101" i="12"/>
  <c r="AH100" i="12"/>
  <c r="AF100" i="12"/>
  <c r="AB100" i="12"/>
  <c r="AC100" i="12" s="1"/>
  <c r="AE100" i="12" s="1"/>
  <c r="Z100" i="12"/>
  <c r="X100" i="12"/>
  <c r="W100" i="12"/>
  <c r="V100" i="12"/>
  <c r="U100" i="12"/>
  <c r="T100" i="12"/>
  <c r="S100" i="12"/>
  <c r="AH99" i="12"/>
  <c r="AF99" i="12"/>
  <c r="AE99" i="12"/>
  <c r="AC99" i="12"/>
  <c r="AB99" i="12"/>
  <c r="X99" i="12"/>
  <c r="W99" i="12"/>
  <c r="U99" i="12"/>
  <c r="V99" i="12" s="1"/>
  <c r="T99" i="12"/>
  <c r="S99" i="12"/>
  <c r="AH98" i="12"/>
  <c r="X98" i="12"/>
  <c r="W98" i="12"/>
  <c r="U98" i="12"/>
  <c r="T98" i="12"/>
  <c r="V98" i="12" s="1"/>
  <c r="S98" i="12"/>
  <c r="AH97" i="12"/>
  <c r="AB97" i="12"/>
  <c r="AC97" i="12" s="1"/>
  <c r="AE97" i="12" s="1"/>
  <c r="X97" i="12"/>
  <c r="U97" i="12"/>
  <c r="T97" i="12"/>
  <c r="V97" i="12" s="1"/>
  <c r="S97" i="12"/>
  <c r="AL96" i="12"/>
  <c r="AH96" i="12"/>
  <c r="AF96" i="12"/>
  <c r="AE96" i="12"/>
  <c r="AC96" i="12"/>
  <c r="AB96" i="12"/>
  <c r="Z96" i="12"/>
  <c r="X96" i="12"/>
  <c r="W96" i="12"/>
  <c r="V96" i="12"/>
  <c r="U96" i="12"/>
  <c r="T96" i="12"/>
  <c r="S96" i="12"/>
  <c r="AH95" i="12"/>
  <c r="X95" i="12"/>
  <c r="W95" i="12"/>
  <c r="U95" i="12"/>
  <c r="T95" i="12"/>
  <c r="V95" i="12" s="1"/>
  <c r="S95" i="12"/>
  <c r="AH94" i="12"/>
  <c r="X94" i="12"/>
  <c r="W94" i="12"/>
  <c r="U94" i="12"/>
  <c r="T94" i="12"/>
  <c r="V94" i="12" s="1"/>
  <c r="S94" i="12"/>
  <c r="AH93" i="12"/>
  <c r="X93" i="12"/>
  <c r="U93" i="12"/>
  <c r="T93" i="12"/>
  <c r="V93" i="12" s="1"/>
  <c r="S93" i="12"/>
  <c r="AH92" i="12"/>
  <c r="AB92" i="12"/>
  <c r="AC92" i="12" s="1"/>
  <c r="AE92" i="12" s="1"/>
  <c r="X92" i="12"/>
  <c r="W92" i="12"/>
  <c r="U92" i="12"/>
  <c r="T92" i="12"/>
  <c r="V92" i="12" s="1"/>
  <c r="S92" i="12"/>
  <c r="AH91" i="12"/>
  <c r="AG91" i="12"/>
  <c r="Z91" i="12"/>
  <c r="X91" i="12"/>
  <c r="W91" i="12"/>
  <c r="U91" i="12"/>
  <c r="V91" i="12" s="1"/>
  <c r="T91" i="12"/>
  <c r="S91" i="12"/>
  <c r="AH90" i="12"/>
  <c r="AF90" i="12"/>
  <c r="X90" i="12"/>
  <c r="V90" i="12"/>
  <c r="U90" i="12"/>
  <c r="T90" i="12"/>
  <c r="S90" i="12"/>
  <c r="AB90" i="12" s="1"/>
  <c r="AC90" i="12" s="1"/>
  <c r="AE90" i="12" s="1"/>
  <c r="AL89" i="12"/>
  <c r="AK89" i="12"/>
  <c r="AJ89" i="12"/>
  <c r="AH89" i="12"/>
  <c r="AG89" i="12"/>
  <c r="AF89" i="12"/>
  <c r="AE89" i="12"/>
  <c r="X89" i="12"/>
  <c r="W89" i="12"/>
  <c r="Z89" i="12" s="1"/>
  <c r="V89" i="12"/>
  <c r="U89" i="12"/>
  <c r="T89" i="12"/>
  <c r="S89" i="12"/>
  <c r="AB89" i="12" s="1"/>
  <c r="AC89" i="12" s="1"/>
  <c r="AH88" i="12"/>
  <c r="X88" i="12"/>
  <c r="W88" i="12"/>
  <c r="Z88" i="12" s="1"/>
  <c r="U88" i="12"/>
  <c r="T88" i="12"/>
  <c r="V88" i="12" s="1"/>
  <c r="S88" i="12"/>
  <c r="AH87" i="12"/>
  <c r="X87" i="12"/>
  <c r="U87" i="12"/>
  <c r="V87" i="12" s="1"/>
  <c r="T87" i="12"/>
  <c r="S87" i="12"/>
  <c r="AH86" i="12"/>
  <c r="AF86" i="12"/>
  <c r="X86" i="12"/>
  <c r="U86" i="12"/>
  <c r="T86" i="12"/>
  <c r="V86" i="12" s="1"/>
  <c r="S86" i="12"/>
  <c r="AB86" i="12" s="1"/>
  <c r="AC86" i="12" s="1"/>
  <c r="AE86" i="12" s="1"/>
  <c r="AH85" i="12"/>
  <c r="AF85" i="12"/>
  <c r="AE85" i="12"/>
  <c r="AC85" i="12"/>
  <c r="AB85" i="12"/>
  <c r="X85" i="12"/>
  <c r="U85" i="12"/>
  <c r="T85" i="12"/>
  <c r="V85" i="12" s="1"/>
  <c r="S85" i="12"/>
  <c r="AH84" i="12"/>
  <c r="AF84" i="12"/>
  <c r="AB84" i="12"/>
  <c r="AC84" i="12" s="1"/>
  <c r="AE84" i="12" s="1"/>
  <c r="X84" i="12"/>
  <c r="V84" i="12"/>
  <c r="U84" i="12"/>
  <c r="T84" i="12"/>
  <c r="S84" i="12"/>
  <c r="AH83" i="12"/>
  <c r="AF83" i="12"/>
  <c r="AC83" i="12"/>
  <c r="AE83" i="12" s="1"/>
  <c r="AB83" i="12"/>
  <c r="X83" i="12"/>
  <c r="U83" i="12"/>
  <c r="T83" i="12"/>
  <c r="V83" i="12" s="1"/>
  <c r="S83" i="12"/>
  <c r="AL82" i="12"/>
  <c r="AH82" i="12"/>
  <c r="AF82" i="12"/>
  <c r="AB82" i="12"/>
  <c r="AC82" i="12" s="1"/>
  <c r="AE82" i="12" s="1"/>
  <c r="Z82" i="12"/>
  <c r="X82" i="12"/>
  <c r="W82" i="12"/>
  <c r="U82" i="12"/>
  <c r="T82" i="12"/>
  <c r="V82" i="12" s="1"/>
  <c r="S82" i="12"/>
  <c r="AH81" i="12"/>
  <c r="AF81" i="12"/>
  <c r="AC81" i="12"/>
  <c r="AE81" i="12" s="1"/>
  <c r="AB81" i="12"/>
  <c r="X81" i="12"/>
  <c r="W81" i="12"/>
  <c r="V81" i="12"/>
  <c r="U81" i="12"/>
  <c r="T81" i="12"/>
  <c r="S81" i="12"/>
  <c r="AJ80" i="12"/>
  <c r="AH80" i="12"/>
  <c r="AG80" i="12"/>
  <c r="AF80" i="12"/>
  <c r="AC80" i="12"/>
  <c r="AE80" i="12" s="1"/>
  <c r="AB80" i="12"/>
  <c r="X80" i="12"/>
  <c r="W80" i="12"/>
  <c r="U80" i="12"/>
  <c r="V80" i="12" s="1"/>
  <c r="T80" i="12"/>
  <c r="S80" i="12"/>
  <c r="AH79" i="12"/>
  <c r="AF79" i="12"/>
  <c r="AB79" i="12"/>
  <c r="AC79" i="12" s="1"/>
  <c r="AE79" i="12" s="1"/>
  <c r="X79" i="12"/>
  <c r="U79" i="12"/>
  <c r="T79" i="12"/>
  <c r="S79" i="12"/>
  <c r="AH78" i="12"/>
  <c r="AF78" i="12"/>
  <c r="AB78" i="12"/>
  <c r="AC78" i="12" s="1"/>
  <c r="AE78" i="12" s="1"/>
  <c r="X78" i="12"/>
  <c r="W78" i="12"/>
  <c r="V78" i="12"/>
  <c r="U78" i="12"/>
  <c r="T78" i="12"/>
  <c r="S78" i="12"/>
  <c r="AH77" i="12"/>
  <c r="AF77" i="12"/>
  <c r="AE77" i="12"/>
  <c r="AB77" i="12"/>
  <c r="AC77" i="12" s="1"/>
  <c r="Z77" i="12"/>
  <c r="X77" i="12"/>
  <c r="W77" i="12"/>
  <c r="U77" i="12"/>
  <c r="T77" i="12"/>
  <c r="V77" i="12" s="1"/>
  <c r="S77" i="12"/>
  <c r="AH76" i="12"/>
  <c r="X76" i="12"/>
  <c r="U76" i="12"/>
  <c r="V76" i="12" s="1"/>
  <c r="T76" i="12"/>
  <c r="S76" i="12"/>
  <c r="AH75" i="12"/>
  <c r="X75" i="12"/>
  <c r="U75" i="12"/>
  <c r="T75" i="12"/>
  <c r="V75" i="12" s="1"/>
  <c r="S75" i="12"/>
  <c r="AH74" i="12"/>
  <c r="AB74" i="12"/>
  <c r="AC74" i="12" s="1"/>
  <c r="AE74" i="12" s="1"/>
  <c r="X74" i="12"/>
  <c r="W74" i="12"/>
  <c r="V74" i="12"/>
  <c r="U74" i="12"/>
  <c r="T74" i="12"/>
  <c r="S74" i="12"/>
  <c r="AH73" i="12"/>
  <c r="X73" i="12"/>
  <c r="Z73" i="12" s="1"/>
  <c r="W73" i="12"/>
  <c r="V73" i="12"/>
  <c r="U73" i="12"/>
  <c r="T73" i="12"/>
  <c r="S73" i="12"/>
  <c r="AH72" i="12"/>
  <c r="X72" i="12"/>
  <c r="W72" i="12"/>
  <c r="U72" i="12"/>
  <c r="T72" i="12"/>
  <c r="S72" i="12"/>
  <c r="AH71" i="12"/>
  <c r="X71" i="12"/>
  <c r="V71" i="12"/>
  <c r="U71" i="12"/>
  <c r="T71" i="12"/>
  <c r="S71" i="12"/>
  <c r="AL70" i="12"/>
  <c r="AH70" i="12"/>
  <c r="AG70" i="12"/>
  <c r="X70" i="12"/>
  <c r="W70" i="12"/>
  <c r="U70" i="12"/>
  <c r="T70" i="12"/>
  <c r="V70" i="12" s="1"/>
  <c r="S70" i="12"/>
  <c r="AH69" i="12"/>
  <c r="X69" i="12"/>
  <c r="W69" i="12"/>
  <c r="U69" i="12"/>
  <c r="T69" i="12"/>
  <c r="S69" i="12"/>
  <c r="AL68" i="12"/>
  <c r="AK68" i="12"/>
  <c r="AH68" i="12"/>
  <c r="X68" i="12"/>
  <c r="W68" i="12"/>
  <c r="U68" i="12"/>
  <c r="T68" i="12"/>
  <c r="V68" i="12" s="1"/>
  <c r="S68" i="12"/>
  <c r="AH67" i="12"/>
  <c r="AF67" i="12"/>
  <c r="AE67" i="12"/>
  <c r="X67" i="12"/>
  <c r="U67" i="12"/>
  <c r="T67" i="12"/>
  <c r="V67" i="12" s="1"/>
  <c r="S67" i="12"/>
  <c r="AB67" i="12" s="1"/>
  <c r="AC67" i="12" s="1"/>
  <c r="AH66" i="12"/>
  <c r="AI61" i="12" s="1"/>
  <c r="AF66" i="12"/>
  <c r="AE66" i="12"/>
  <c r="AB66" i="12"/>
  <c r="AC66" i="12" s="1"/>
  <c r="X66" i="12"/>
  <c r="U66" i="12"/>
  <c r="T66" i="12"/>
  <c r="S66" i="12"/>
  <c r="AH65" i="12"/>
  <c r="X65" i="12"/>
  <c r="W65" i="12"/>
  <c r="U65" i="12"/>
  <c r="T65" i="12"/>
  <c r="V65" i="12" s="1"/>
  <c r="S65" i="12"/>
  <c r="AH64" i="12"/>
  <c r="AF64" i="12"/>
  <c r="AB64" i="12"/>
  <c r="AC64" i="12" s="1"/>
  <c r="AE64" i="12" s="1"/>
  <c r="X64" i="12"/>
  <c r="V64" i="12"/>
  <c r="U64" i="12"/>
  <c r="T64" i="12"/>
  <c r="S64" i="12"/>
  <c r="AH63" i="12"/>
  <c r="AF63" i="12"/>
  <c r="AB63" i="12"/>
  <c r="AC63" i="12" s="1"/>
  <c r="AE63" i="12" s="1"/>
  <c r="X63" i="12"/>
  <c r="U63" i="12"/>
  <c r="T63" i="12"/>
  <c r="V63" i="12" s="1"/>
  <c r="S63" i="12"/>
  <c r="AH62" i="12"/>
  <c r="AF62" i="12"/>
  <c r="AC62" i="12"/>
  <c r="AE62" i="12" s="1"/>
  <c r="AB62" i="12"/>
  <c r="X62" i="12"/>
  <c r="U62" i="12"/>
  <c r="T62" i="12"/>
  <c r="V62" i="12" s="1"/>
  <c r="S62" i="12"/>
  <c r="AJ61" i="12"/>
  <c r="AH61" i="12"/>
  <c r="AG61" i="12"/>
  <c r="AF61" i="12"/>
  <c r="X61" i="12"/>
  <c r="W61" i="12"/>
  <c r="V61" i="12"/>
  <c r="U61" i="12"/>
  <c r="T61" i="12"/>
  <c r="S61" i="12"/>
  <c r="AJ60" i="12"/>
  <c r="AH60" i="12"/>
  <c r="AG60" i="12"/>
  <c r="AF60" i="12"/>
  <c r="AB60" i="12"/>
  <c r="AC60" i="12" s="1"/>
  <c r="AE60" i="12" s="1"/>
  <c r="Z60" i="12"/>
  <c r="X60" i="12"/>
  <c r="W60" i="12"/>
  <c r="V60" i="12"/>
  <c r="U60" i="12"/>
  <c r="T60" i="12"/>
  <c r="S60" i="12"/>
  <c r="AH59" i="12"/>
  <c r="AF59" i="12"/>
  <c r="AB59" i="12"/>
  <c r="AC59" i="12" s="1"/>
  <c r="AE59" i="12" s="1"/>
  <c r="X59" i="12"/>
  <c r="W59" i="12"/>
  <c r="U59" i="12"/>
  <c r="T59" i="12"/>
  <c r="V59" i="12" s="1"/>
  <c r="S59" i="12"/>
  <c r="AH58" i="12"/>
  <c r="AG58" i="12"/>
  <c r="AF58" i="12"/>
  <c r="X58" i="12"/>
  <c r="W58" i="12"/>
  <c r="Z58" i="12" s="1"/>
  <c r="U58" i="12"/>
  <c r="T58" i="12"/>
  <c r="V58" i="12" s="1"/>
  <c r="S58" i="12"/>
  <c r="AH57" i="12"/>
  <c r="AB57" i="12"/>
  <c r="AC57" i="12" s="1"/>
  <c r="AE57" i="12" s="1"/>
  <c r="X57" i="12"/>
  <c r="W57" i="12"/>
  <c r="Z57" i="12" s="1"/>
  <c r="U57" i="12"/>
  <c r="T57" i="12"/>
  <c r="S57" i="12"/>
  <c r="AH56" i="12"/>
  <c r="X56" i="12"/>
  <c r="W56" i="12"/>
  <c r="U56" i="12"/>
  <c r="T56" i="12"/>
  <c r="S56" i="12"/>
  <c r="AK55" i="12"/>
  <c r="AH55" i="12"/>
  <c r="AB55" i="12"/>
  <c r="AC55" i="12" s="1"/>
  <c r="AE55" i="12" s="1"/>
  <c r="Z55" i="12"/>
  <c r="X55" i="12"/>
  <c r="W55" i="12"/>
  <c r="U55" i="12"/>
  <c r="T55" i="12"/>
  <c r="V55" i="12" s="1"/>
  <c r="S55" i="12"/>
  <c r="AL55" i="12" s="1"/>
  <c r="AH54" i="12"/>
  <c r="AG54" i="12"/>
  <c r="AC54" i="12"/>
  <c r="AE54" i="12" s="1"/>
  <c r="AB54" i="12"/>
  <c r="X54" i="12"/>
  <c r="W54" i="12"/>
  <c r="V54" i="12"/>
  <c r="U54" i="12"/>
  <c r="T54" i="12"/>
  <c r="S54" i="12"/>
  <c r="AH53" i="12"/>
  <c r="AB53" i="12"/>
  <c r="AC53" i="12" s="1"/>
  <c r="AE53" i="12" s="1"/>
  <c r="X53" i="12"/>
  <c r="W53" i="12"/>
  <c r="U53" i="12"/>
  <c r="V53" i="12" s="1"/>
  <c r="T53" i="12"/>
  <c r="S53" i="12"/>
  <c r="AL52" i="12"/>
  <c r="AH52" i="12"/>
  <c r="AB52" i="12"/>
  <c r="AC52" i="12" s="1"/>
  <c r="AE52" i="12" s="1"/>
  <c r="Z52" i="12"/>
  <c r="X52" i="12"/>
  <c r="W52" i="12"/>
  <c r="U52" i="12"/>
  <c r="V52" i="12" s="1"/>
  <c r="T52" i="12"/>
  <c r="S52" i="12"/>
  <c r="AH51" i="12"/>
  <c r="X51" i="12"/>
  <c r="U51" i="12"/>
  <c r="T51" i="12"/>
  <c r="V51" i="12" s="1"/>
  <c r="S51" i="12"/>
  <c r="AL50" i="12"/>
  <c r="AK50" i="12"/>
  <c r="AJ50" i="12"/>
  <c r="AH50" i="12"/>
  <c r="AI50" i="12" s="1"/>
  <c r="AG50" i="12"/>
  <c r="AF50" i="12"/>
  <c r="AC50" i="12"/>
  <c r="AE50" i="12" s="1"/>
  <c r="X50" i="12"/>
  <c r="W50" i="12"/>
  <c r="U50" i="12"/>
  <c r="T50" i="12"/>
  <c r="V50" i="12" s="1"/>
  <c r="S50" i="12"/>
  <c r="AB50" i="12" s="1"/>
  <c r="AH49" i="12"/>
  <c r="AG49" i="12"/>
  <c r="AF49" i="12"/>
  <c r="AB49" i="12"/>
  <c r="AC49" i="12" s="1"/>
  <c r="AE49" i="12" s="1"/>
  <c r="X49" i="12"/>
  <c r="W49" i="12"/>
  <c r="U49" i="12"/>
  <c r="T49" i="12"/>
  <c r="V49" i="12" s="1"/>
  <c r="S49" i="12"/>
  <c r="AH48" i="12"/>
  <c r="X48" i="12"/>
  <c r="W48" i="12"/>
  <c r="U48" i="12"/>
  <c r="V48" i="12" s="1"/>
  <c r="T48" i="12"/>
  <c r="S48" i="12"/>
  <c r="AH47" i="12"/>
  <c r="X47" i="12"/>
  <c r="V47" i="12"/>
  <c r="U47" i="12"/>
  <c r="T47" i="12"/>
  <c r="S47" i="12"/>
  <c r="AH46" i="12"/>
  <c r="AF46" i="12"/>
  <c r="X46" i="12"/>
  <c r="U46" i="12"/>
  <c r="T46" i="12"/>
  <c r="S46" i="12"/>
  <c r="AL45" i="12"/>
  <c r="AK45" i="12"/>
  <c r="AH45" i="12"/>
  <c r="AF45" i="12"/>
  <c r="AB45" i="12"/>
  <c r="AC45" i="12" s="1"/>
  <c r="AE45" i="12" s="1"/>
  <c r="Z45" i="12"/>
  <c r="X45" i="12"/>
  <c r="W45" i="12"/>
  <c r="AG45" i="12" s="1"/>
  <c r="U45" i="12"/>
  <c r="T45" i="12"/>
  <c r="V45" i="12" s="1"/>
  <c r="S45" i="12"/>
  <c r="AH44" i="12"/>
  <c r="AF44" i="12"/>
  <c r="AE44" i="12"/>
  <c r="AC44" i="12"/>
  <c r="AB44" i="12"/>
  <c r="X44" i="12"/>
  <c r="U44" i="12"/>
  <c r="T44" i="12"/>
  <c r="V44" i="12" s="1"/>
  <c r="S44" i="12"/>
  <c r="AH43" i="12"/>
  <c r="AF43" i="12"/>
  <c r="AB43" i="12"/>
  <c r="AC43" i="12" s="1"/>
  <c r="AE43" i="12" s="1"/>
  <c r="X43" i="12"/>
  <c r="U43" i="12"/>
  <c r="T43" i="12"/>
  <c r="V43" i="12" s="1"/>
  <c r="S43" i="12"/>
  <c r="AH42" i="12"/>
  <c r="AF42" i="12"/>
  <c r="AC42" i="12"/>
  <c r="AE42" i="12" s="1"/>
  <c r="AB42" i="12"/>
  <c r="X42" i="12"/>
  <c r="W42" i="12"/>
  <c r="U42" i="12"/>
  <c r="T42" i="12"/>
  <c r="V42" i="12" s="1"/>
  <c r="S42" i="12"/>
  <c r="AH41" i="12"/>
  <c r="X41" i="12"/>
  <c r="W41" i="12"/>
  <c r="V41" i="12"/>
  <c r="U41" i="12"/>
  <c r="T41" i="12"/>
  <c r="S41" i="12"/>
  <c r="AH40" i="12"/>
  <c r="AF40" i="12"/>
  <c r="AC40" i="12"/>
  <c r="AE40" i="12" s="1"/>
  <c r="AB40" i="12"/>
  <c r="X40" i="12"/>
  <c r="U40" i="12"/>
  <c r="V40" i="12" s="1"/>
  <c r="T40" i="12"/>
  <c r="S40" i="12"/>
  <c r="AH39" i="12"/>
  <c r="AG39" i="12"/>
  <c r="AF39" i="12"/>
  <c r="AB39" i="12"/>
  <c r="AC39" i="12" s="1"/>
  <c r="AE39" i="12" s="1"/>
  <c r="X39" i="12"/>
  <c r="W39" i="12"/>
  <c r="U39" i="12"/>
  <c r="T39" i="12"/>
  <c r="V39" i="12" s="1"/>
  <c r="S39" i="12"/>
  <c r="AH38" i="12"/>
  <c r="AC38" i="12"/>
  <c r="AE38" i="12" s="1"/>
  <c r="AB38" i="12"/>
  <c r="X38" i="12"/>
  <c r="U38" i="12"/>
  <c r="T38" i="12"/>
  <c r="S38" i="12"/>
  <c r="AH37" i="12"/>
  <c r="AG37" i="12"/>
  <c r="AF37" i="12"/>
  <c r="AB37" i="12"/>
  <c r="AC37" i="12" s="1"/>
  <c r="AE37" i="12" s="1"/>
  <c r="Z37" i="12"/>
  <c r="X37" i="12"/>
  <c r="W37" i="12"/>
  <c r="U37" i="12"/>
  <c r="T37" i="12"/>
  <c r="V37" i="12" s="1"/>
  <c r="S37" i="12"/>
  <c r="AJ37" i="12" s="1"/>
  <c r="AH36" i="12"/>
  <c r="AB36" i="12"/>
  <c r="AC36" i="12" s="1"/>
  <c r="AE36" i="12" s="1"/>
  <c r="X36" i="12"/>
  <c r="W36" i="12"/>
  <c r="U36" i="12"/>
  <c r="T36" i="12"/>
  <c r="V36" i="12" s="1"/>
  <c r="S36" i="12"/>
  <c r="AH35" i="12"/>
  <c r="X35" i="12"/>
  <c r="W35" i="12"/>
  <c r="Z35" i="12" s="1"/>
  <c r="U35" i="12"/>
  <c r="T35" i="12"/>
  <c r="V35" i="12" s="1"/>
  <c r="S35" i="12"/>
  <c r="AH34" i="12"/>
  <c r="AB34" i="12"/>
  <c r="AC34" i="12" s="1"/>
  <c r="AE34" i="12" s="1"/>
  <c r="X34" i="12"/>
  <c r="W34" i="12"/>
  <c r="U34" i="12"/>
  <c r="T34" i="12"/>
  <c r="S34" i="12"/>
  <c r="AI33" i="12"/>
  <c r="AH33" i="12"/>
  <c r="AF33" i="12"/>
  <c r="AB33" i="12"/>
  <c r="AC33" i="12" s="1"/>
  <c r="AE33" i="12" s="1"/>
  <c r="X33" i="12"/>
  <c r="W33" i="12"/>
  <c r="U33" i="12"/>
  <c r="T33" i="12"/>
  <c r="V33" i="12" s="1"/>
  <c r="S33" i="12"/>
  <c r="AH32" i="12"/>
  <c r="AB32" i="12"/>
  <c r="AC32" i="12" s="1"/>
  <c r="AE32" i="12" s="1"/>
  <c r="X32" i="12"/>
  <c r="W32" i="12"/>
  <c r="Z32" i="12" s="1"/>
  <c r="U32" i="12"/>
  <c r="T32" i="12"/>
  <c r="V32" i="12" s="1"/>
  <c r="S32" i="12"/>
  <c r="AL31" i="12"/>
  <c r="AJ31" i="12"/>
  <c r="AH31" i="12"/>
  <c r="AG31" i="12"/>
  <c r="X31" i="12"/>
  <c r="W31" i="12"/>
  <c r="Z31" i="12" s="1"/>
  <c r="V31" i="12"/>
  <c r="U31" i="12"/>
  <c r="T31" i="12"/>
  <c r="S31" i="12"/>
  <c r="AH30" i="12"/>
  <c r="AI30" i="12" s="1"/>
  <c r="AF30" i="12"/>
  <c r="Z30" i="12"/>
  <c r="X30" i="12"/>
  <c r="W30" i="12"/>
  <c r="V30" i="12"/>
  <c r="U30" i="12"/>
  <c r="T30" i="12"/>
  <c r="S30" i="12"/>
  <c r="AH29" i="12"/>
  <c r="X29" i="12"/>
  <c r="W29" i="12"/>
  <c r="U29" i="12"/>
  <c r="T29" i="12"/>
  <c r="V29" i="12" s="1"/>
  <c r="S29" i="12"/>
  <c r="AL28" i="12"/>
  <c r="AJ28" i="12"/>
  <c r="AH28" i="12"/>
  <c r="X28" i="12"/>
  <c r="W28" i="12"/>
  <c r="U28" i="12"/>
  <c r="T28" i="12"/>
  <c r="V28" i="12" s="1"/>
  <c r="S28" i="12"/>
  <c r="AH27" i="12"/>
  <c r="X27" i="12"/>
  <c r="U27" i="12"/>
  <c r="T27" i="12"/>
  <c r="V27" i="12" s="1"/>
  <c r="S27" i="12"/>
  <c r="AH26" i="12"/>
  <c r="AF26" i="12"/>
  <c r="AB26" i="12"/>
  <c r="AC26" i="12" s="1"/>
  <c r="AE26" i="12" s="1"/>
  <c r="X26" i="12"/>
  <c r="U26" i="12"/>
  <c r="T26" i="12"/>
  <c r="V26" i="12" s="1"/>
  <c r="S26" i="12"/>
  <c r="AK25" i="12"/>
  <c r="AH25" i="12"/>
  <c r="AG25" i="12"/>
  <c r="AF25" i="12"/>
  <c r="AC25" i="12"/>
  <c r="AE25" i="12" s="1"/>
  <c r="AB25" i="12"/>
  <c r="X25" i="12"/>
  <c r="W25" i="12"/>
  <c r="Z25" i="12" s="1"/>
  <c r="V25" i="12"/>
  <c r="U25" i="12"/>
  <c r="T25" i="12"/>
  <c r="S25" i="12"/>
  <c r="AH24" i="12"/>
  <c r="X24" i="12"/>
  <c r="V24" i="12"/>
  <c r="U24" i="12"/>
  <c r="T24" i="12"/>
  <c r="S24" i="12"/>
  <c r="AH23" i="12"/>
  <c r="X23" i="12"/>
  <c r="U23" i="12"/>
  <c r="T23" i="12"/>
  <c r="V23" i="12" s="1"/>
  <c r="S23" i="12"/>
  <c r="AH22" i="12"/>
  <c r="X22" i="12"/>
  <c r="W22" i="12"/>
  <c r="Z22" i="12" s="1"/>
  <c r="U22" i="12"/>
  <c r="T22" i="12"/>
  <c r="V22" i="12" s="1"/>
  <c r="S22" i="12"/>
  <c r="AL21" i="12"/>
  <c r="AK21" i="12"/>
  <c r="AJ21" i="12"/>
  <c r="AH21" i="12"/>
  <c r="AE21" i="12"/>
  <c r="AB21" i="12"/>
  <c r="AC21" i="12" s="1"/>
  <c r="X21" i="12"/>
  <c r="W21" i="12"/>
  <c r="V21" i="12"/>
  <c r="U21" i="12"/>
  <c r="T21" i="12"/>
  <c r="S21" i="12"/>
  <c r="AH20" i="12"/>
  <c r="AF20" i="12"/>
  <c r="AC20" i="12"/>
  <c r="AE20" i="12" s="1"/>
  <c r="AB20" i="12"/>
  <c r="X20" i="12"/>
  <c r="U20" i="12"/>
  <c r="V20" i="12" s="1"/>
  <c r="T20" i="12"/>
  <c r="S20" i="12"/>
  <c r="AL19" i="12"/>
  <c r="AH19" i="12"/>
  <c r="AF19" i="12"/>
  <c r="AC19" i="12"/>
  <c r="AE19" i="12" s="1"/>
  <c r="AB19" i="12"/>
  <c r="X19" i="12"/>
  <c r="W19" i="12"/>
  <c r="U19" i="12"/>
  <c r="T19" i="12"/>
  <c r="V19" i="12" s="1"/>
  <c r="S19" i="12"/>
  <c r="AH18" i="12"/>
  <c r="AF18" i="12"/>
  <c r="Z18" i="12"/>
  <c r="X18" i="12"/>
  <c r="W18" i="12"/>
  <c r="V18" i="12"/>
  <c r="U18" i="12"/>
  <c r="T18" i="12"/>
  <c r="S18" i="12"/>
  <c r="AH17" i="12"/>
  <c r="X17" i="12"/>
  <c r="W17" i="12"/>
  <c r="U17" i="12"/>
  <c r="T17" i="12"/>
  <c r="V17" i="12" s="1"/>
  <c r="S17" i="12"/>
  <c r="AL16" i="12"/>
  <c r="AH16" i="12"/>
  <c r="AG16" i="12"/>
  <c r="AF16" i="12"/>
  <c r="AC16" i="12"/>
  <c r="AE16" i="12" s="1"/>
  <c r="AB16" i="12"/>
  <c r="Z16" i="12"/>
  <c r="X16" i="12"/>
  <c r="W16" i="12"/>
  <c r="U16" i="12"/>
  <c r="T16" i="12"/>
  <c r="V16" i="12" s="1"/>
  <c r="S16" i="12"/>
  <c r="AK15" i="12"/>
  <c r="AH15" i="12"/>
  <c r="AG15" i="12"/>
  <c r="AB15" i="12"/>
  <c r="AC15" i="12" s="1"/>
  <c r="AE15" i="12" s="1"/>
  <c r="Z15" i="12"/>
  <c r="X15" i="12"/>
  <c r="W15" i="12"/>
  <c r="U15" i="12"/>
  <c r="T15" i="12"/>
  <c r="V15" i="12" s="1"/>
  <c r="S15" i="12"/>
  <c r="AH14" i="12"/>
  <c r="X14" i="12"/>
  <c r="W14" i="12"/>
  <c r="U14" i="12"/>
  <c r="T14" i="12"/>
  <c r="S14" i="12"/>
  <c r="AL13" i="12"/>
  <c r="AH13" i="12"/>
  <c r="AF13" i="12"/>
  <c r="X13" i="12"/>
  <c r="W13" i="12"/>
  <c r="Z13" i="12" s="1"/>
  <c r="V13" i="12"/>
  <c r="U13" i="12"/>
  <c r="T13" i="12"/>
  <c r="S13" i="12"/>
  <c r="AH12" i="12"/>
  <c r="AB12" i="12"/>
  <c r="AC12" i="12" s="1"/>
  <c r="AE12" i="12" s="1"/>
  <c r="X12" i="12"/>
  <c r="W12" i="12"/>
  <c r="V12" i="12"/>
  <c r="U12" i="12"/>
  <c r="T12" i="12"/>
  <c r="S12" i="12"/>
  <c r="AJ11" i="12"/>
  <c r="AH11" i="12"/>
  <c r="AB11" i="12"/>
  <c r="AC11" i="12" s="1"/>
  <c r="AE11" i="12" s="1"/>
  <c r="X11" i="12"/>
  <c r="W11" i="12"/>
  <c r="U11" i="12"/>
  <c r="T11" i="12"/>
  <c r="V11" i="12" s="1"/>
  <c r="S11" i="12"/>
  <c r="AH10" i="12"/>
  <c r="X10" i="12"/>
  <c r="AL10" i="12" s="1"/>
  <c r="W10" i="12"/>
  <c r="U10" i="12"/>
  <c r="T10" i="12"/>
  <c r="V10" i="12" s="1"/>
  <c r="S10" i="12"/>
  <c r="AL9" i="12"/>
  <c r="AK9" i="12"/>
  <c r="AJ9" i="12"/>
  <c r="AH9" i="12"/>
  <c r="X9" i="12"/>
  <c r="W9" i="12"/>
  <c r="V9" i="12"/>
  <c r="U9" i="12"/>
  <c r="T9" i="12"/>
  <c r="S9" i="12"/>
  <c r="AH8" i="12"/>
  <c r="AF8" i="12"/>
  <c r="AE8" i="12"/>
  <c r="AB8" i="12"/>
  <c r="AC8" i="12" s="1"/>
  <c r="X8" i="12"/>
  <c r="U8" i="12"/>
  <c r="T8" i="12"/>
  <c r="V8" i="12" s="1"/>
  <c r="S8" i="12"/>
  <c r="AH7" i="12"/>
  <c r="AF7" i="12"/>
  <c r="X7" i="12"/>
  <c r="V7" i="12"/>
  <c r="U7" i="12"/>
  <c r="T7" i="12"/>
  <c r="S7" i="12"/>
  <c r="AH6" i="12"/>
  <c r="AF6" i="12"/>
  <c r="AB6" i="12"/>
  <c r="AC6" i="12" s="1"/>
  <c r="AE6" i="12" s="1"/>
  <c r="X6" i="12"/>
  <c r="W6" i="12"/>
  <c r="U6" i="12"/>
  <c r="T6" i="12"/>
  <c r="V6" i="12" s="1"/>
  <c r="S6" i="12"/>
  <c r="AJ6" i="12" s="1"/>
  <c r="AK5" i="12"/>
  <c r="AJ5" i="12"/>
  <c r="AH5" i="12"/>
  <c r="AG5" i="12"/>
  <c r="AF5" i="12"/>
  <c r="AE5" i="12"/>
  <c r="AC5" i="12"/>
  <c r="AB5" i="12"/>
  <c r="Z5" i="12"/>
  <c r="X5" i="12"/>
  <c r="W5" i="12"/>
  <c r="V5" i="12"/>
  <c r="U5" i="12"/>
  <c r="T5" i="12"/>
  <c r="S5" i="12"/>
  <c r="AL5" i="12" s="1"/>
  <c r="AL4" i="12"/>
  <c r="AH4" i="12"/>
  <c r="AG4" i="12"/>
  <c r="AE4" i="12"/>
  <c r="AB4" i="12"/>
  <c r="AC4" i="12" s="1"/>
  <c r="Z4" i="12"/>
  <c r="X4" i="12"/>
  <c r="W4" i="12"/>
  <c r="U4" i="12"/>
  <c r="T4" i="12"/>
  <c r="S4" i="12"/>
  <c r="AJ4" i="12" s="1"/>
  <c r="AH3" i="12"/>
  <c r="X3" i="12"/>
  <c r="V3" i="12"/>
  <c r="U3" i="12"/>
  <c r="T3" i="12"/>
  <c r="S3" i="12"/>
  <c r="AL2" i="12"/>
  <c r="AH2" i="12"/>
  <c r="AF2" i="12"/>
  <c r="AB2" i="12"/>
  <c r="AC2" i="12" s="1"/>
  <c r="Z2" i="12"/>
  <c r="Y2" i="12"/>
  <c r="X2" i="12"/>
  <c r="W2" i="12"/>
  <c r="U2" i="12"/>
  <c r="T2" i="12"/>
  <c r="V2" i="12" s="1"/>
  <c r="S2" i="12"/>
  <c r="E105" i="11"/>
  <c r="E104" i="11"/>
  <c r="E103" i="11"/>
  <c r="E102" i="11"/>
  <c r="E101" i="11"/>
  <c r="E100" i="11"/>
  <c r="E99" i="11"/>
  <c r="E98" i="11"/>
  <c r="E97" i="11"/>
  <c r="E96" i="11"/>
  <c r="E95" i="11"/>
  <c r="E94" i="11"/>
  <c r="E93" i="11"/>
  <c r="E92" i="11"/>
  <c r="E91" i="11"/>
  <c r="E90" i="11"/>
  <c r="E89" i="11"/>
  <c r="E88" i="11"/>
  <c r="E87" i="11"/>
  <c r="E86" i="11"/>
  <c r="E85" i="11"/>
  <c r="E84" i="11"/>
  <c r="E83" i="11"/>
  <c r="E82" i="11"/>
  <c r="E81" i="11"/>
  <c r="E80" i="11"/>
  <c r="E79" i="11"/>
  <c r="E78" i="11"/>
  <c r="E77" i="11"/>
  <c r="E76" i="11"/>
  <c r="E75" i="11"/>
  <c r="E74" i="11"/>
  <c r="E73" i="11"/>
  <c r="E72" i="11"/>
  <c r="E71" i="11"/>
  <c r="E70" i="11"/>
  <c r="E69" i="11"/>
  <c r="E68" i="11"/>
  <c r="E67" i="11"/>
  <c r="E66" i="11"/>
  <c r="E65" i="11"/>
  <c r="E64" i="11"/>
  <c r="E63" i="11"/>
  <c r="E62" i="11"/>
  <c r="E61" i="11"/>
  <c r="E60" i="11"/>
  <c r="E59" i="11"/>
  <c r="E58" i="11"/>
  <c r="E57" i="11"/>
  <c r="E56" i="11"/>
  <c r="E55" i="11"/>
  <c r="E54" i="11"/>
  <c r="E53" i="11"/>
  <c r="E52" i="11"/>
  <c r="E51" i="11"/>
  <c r="E50" i="11"/>
  <c r="E49" i="11"/>
  <c r="E48" i="11"/>
  <c r="E47" i="11"/>
  <c r="E46" i="11"/>
  <c r="E45" i="11"/>
  <c r="E44" i="11"/>
  <c r="E43" i="11"/>
  <c r="D192" i="9" s="1"/>
  <c r="E42" i="11"/>
  <c r="E41" i="11"/>
  <c r="E40" i="11"/>
  <c r="D174" i="9" s="1"/>
  <c r="E39" i="11"/>
  <c r="E38" i="11"/>
  <c r="E37" i="11"/>
  <c r="E36" i="11"/>
  <c r="D155" i="9" s="1"/>
  <c r="E35" i="11"/>
  <c r="E34" i="11"/>
  <c r="E33" i="11"/>
  <c r="E32" i="11"/>
  <c r="E31" i="11"/>
  <c r="E30" i="11"/>
  <c r="E29" i="11"/>
  <c r="E28" i="11"/>
  <c r="E27" i="11"/>
  <c r="E26" i="11"/>
  <c r="E25" i="11"/>
  <c r="D99" i="9" s="1"/>
  <c r="E24" i="11"/>
  <c r="D98" i="9" s="1"/>
  <c r="E23" i="11"/>
  <c r="E22" i="11"/>
  <c r="E21" i="11"/>
  <c r="E20" i="11"/>
  <c r="E19" i="11"/>
  <c r="E18" i="11"/>
  <c r="E17" i="11"/>
  <c r="E16" i="11"/>
  <c r="D56" i="9" s="1"/>
  <c r="E15" i="11"/>
  <c r="E14" i="11"/>
  <c r="E13" i="11"/>
  <c r="E12" i="11"/>
  <c r="E11" i="11"/>
  <c r="D29" i="9" s="1"/>
  <c r="E10" i="11"/>
  <c r="E9" i="11"/>
  <c r="E8" i="11"/>
  <c r="E7" i="11"/>
  <c r="E6" i="11"/>
  <c r="C16" i="10"/>
  <c r="C15" i="10"/>
  <c r="C14" i="10"/>
  <c r="C11" i="10"/>
  <c r="C8" i="10"/>
  <c r="W475" i="12" s="1"/>
  <c r="L303" i="9"/>
  <c r="H303" i="9"/>
  <c r="G303" i="9"/>
  <c r="C303" i="9"/>
  <c r="O302" i="9"/>
  <c r="N302" i="9"/>
  <c r="C302" i="9"/>
  <c r="B302" i="9"/>
  <c r="L301" i="9"/>
  <c r="G301" i="9"/>
  <c r="C301" i="9"/>
  <c r="M300" i="9"/>
  <c r="L300" i="9"/>
  <c r="J300" i="9"/>
  <c r="I300" i="9"/>
  <c r="G300" i="9"/>
  <c r="F300" i="9"/>
  <c r="E300" i="9"/>
  <c r="D300" i="9"/>
  <c r="C300" i="9"/>
  <c r="C299" i="9"/>
  <c r="C298" i="9"/>
  <c r="F298" i="9" s="1"/>
  <c r="L297" i="9"/>
  <c r="G297" i="9"/>
  <c r="F297" i="9"/>
  <c r="C297" i="9"/>
  <c r="O296" i="9"/>
  <c r="N296" i="9"/>
  <c r="M296" i="9"/>
  <c r="L296" i="9"/>
  <c r="J296" i="9"/>
  <c r="I296" i="9"/>
  <c r="G296" i="9"/>
  <c r="F296" i="9"/>
  <c r="E296" i="9"/>
  <c r="C296" i="9"/>
  <c r="D296" i="9" s="1"/>
  <c r="B296" i="9"/>
  <c r="O295" i="9"/>
  <c r="L295" i="9"/>
  <c r="K295" i="9"/>
  <c r="J295" i="9"/>
  <c r="I295" i="9"/>
  <c r="H295" i="9"/>
  <c r="F295" i="9"/>
  <c r="C295" i="9"/>
  <c r="C294" i="9"/>
  <c r="O293" i="9"/>
  <c r="N293" i="9"/>
  <c r="M293" i="9"/>
  <c r="L293" i="9"/>
  <c r="J293" i="9"/>
  <c r="I293" i="9"/>
  <c r="G293" i="9"/>
  <c r="E293" i="9"/>
  <c r="D293" i="9"/>
  <c r="C293" i="9"/>
  <c r="F293" i="9" s="1"/>
  <c r="B293" i="9"/>
  <c r="C292" i="9"/>
  <c r="L291" i="9"/>
  <c r="K291" i="9"/>
  <c r="I291" i="9"/>
  <c r="G291" i="9"/>
  <c r="F291" i="9"/>
  <c r="E291" i="9"/>
  <c r="D291" i="9"/>
  <c r="C291" i="9"/>
  <c r="B291" i="9"/>
  <c r="O290" i="9"/>
  <c r="N290" i="9"/>
  <c r="M290" i="9"/>
  <c r="L290" i="9"/>
  <c r="J290" i="9"/>
  <c r="I290" i="9"/>
  <c r="F290" i="9"/>
  <c r="E290" i="9"/>
  <c r="D290" i="9"/>
  <c r="C290" i="9"/>
  <c r="H290" i="9" s="1"/>
  <c r="B290" i="9"/>
  <c r="O289" i="9"/>
  <c r="N289" i="9"/>
  <c r="L289" i="9"/>
  <c r="K289" i="9"/>
  <c r="J289" i="9"/>
  <c r="I289" i="9"/>
  <c r="H289" i="9"/>
  <c r="C289" i="9"/>
  <c r="M288" i="9"/>
  <c r="I288" i="9"/>
  <c r="E288" i="9"/>
  <c r="D288" i="9"/>
  <c r="C288" i="9"/>
  <c r="B288" i="9"/>
  <c r="O287" i="9"/>
  <c r="N287" i="9"/>
  <c r="M287" i="9"/>
  <c r="L287" i="9"/>
  <c r="I287" i="9"/>
  <c r="H287" i="9"/>
  <c r="F287" i="9"/>
  <c r="E287" i="9"/>
  <c r="D287" i="9"/>
  <c r="C287" i="9"/>
  <c r="J287" i="9" s="1"/>
  <c r="B287" i="9"/>
  <c r="O286" i="9"/>
  <c r="N286" i="9"/>
  <c r="M286" i="9"/>
  <c r="L286" i="9"/>
  <c r="K286" i="9"/>
  <c r="J286" i="9"/>
  <c r="I286" i="9"/>
  <c r="H286" i="9"/>
  <c r="G286" i="9"/>
  <c r="F286" i="9"/>
  <c r="E286" i="9"/>
  <c r="C286" i="9"/>
  <c r="D286" i="9" s="1"/>
  <c r="B286" i="9"/>
  <c r="M285" i="9"/>
  <c r="L285" i="9"/>
  <c r="K285" i="9"/>
  <c r="I285" i="9"/>
  <c r="H285" i="9"/>
  <c r="G285" i="9"/>
  <c r="F285" i="9"/>
  <c r="D285" i="9"/>
  <c r="C285" i="9"/>
  <c r="B285" i="9"/>
  <c r="O284" i="9"/>
  <c r="N284" i="9"/>
  <c r="M284" i="9"/>
  <c r="K284" i="9"/>
  <c r="I284" i="9"/>
  <c r="H284" i="9"/>
  <c r="F284" i="9"/>
  <c r="E284" i="9"/>
  <c r="D284" i="9"/>
  <c r="C284" i="9"/>
  <c r="L284" i="9" s="1"/>
  <c r="B284" i="9"/>
  <c r="O283" i="9"/>
  <c r="N283" i="9"/>
  <c r="M283" i="9"/>
  <c r="L283" i="9"/>
  <c r="K283" i="9"/>
  <c r="J283" i="9"/>
  <c r="I283" i="9"/>
  <c r="H283" i="9"/>
  <c r="G283" i="9"/>
  <c r="E283" i="9"/>
  <c r="D283" i="9"/>
  <c r="C283" i="9"/>
  <c r="F283" i="9" s="1"/>
  <c r="B283" i="9"/>
  <c r="K282" i="9"/>
  <c r="C282" i="9"/>
  <c r="O281" i="9"/>
  <c r="M281" i="9"/>
  <c r="L281" i="9"/>
  <c r="K281" i="9"/>
  <c r="I281" i="9"/>
  <c r="H281" i="9"/>
  <c r="F281" i="9"/>
  <c r="E281" i="9"/>
  <c r="D281" i="9"/>
  <c r="C281" i="9"/>
  <c r="N281" i="9" s="1"/>
  <c r="B281" i="9"/>
  <c r="O280" i="9"/>
  <c r="N280" i="9"/>
  <c r="M280" i="9"/>
  <c r="L280" i="9"/>
  <c r="K280" i="9"/>
  <c r="J280" i="9"/>
  <c r="I280" i="9"/>
  <c r="G280" i="9"/>
  <c r="F280" i="9"/>
  <c r="E280" i="9"/>
  <c r="D280" i="9"/>
  <c r="C280" i="9"/>
  <c r="H280" i="9" s="1"/>
  <c r="B280" i="9"/>
  <c r="L279" i="9"/>
  <c r="C279" i="9"/>
  <c r="O278" i="9"/>
  <c r="N278" i="9"/>
  <c r="M278" i="9"/>
  <c r="L278" i="9"/>
  <c r="K278" i="9"/>
  <c r="I278" i="9"/>
  <c r="H278" i="9"/>
  <c r="F278" i="9"/>
  <c r="E278" i="9"/>
  <c r="D278" i="9"/>
  <c r="C278" i="9"/>
  <c r="J278" i="9" s="1"/>
  <c r="B278" i="9"/>
  <c r="O277" i="9"/>
  <c r="N277" i="9"/>
  <c r="M277" i="9"/>
  <c r="L277" i="9"/>
  <c r="K277" i="9"/>
  <c r="I277" i="9"/>
  <c r="H277" i="9"/>
  <c r="G277" i="9"/>
  <c r="F277" i="9"/>
  <c r="E277" i="9"/>
  <c r="D277" i="9"/>
  <c r="C277" i="9"/>
  <c r="J277" i="9" s="1"/>
  <c r="B277" i="9"/>
  <c r="C276" i="9"/>
  <c r="B276" i="9" s="1"/>
  <c r="O275" i="9"/>
  <c r="N275" i="9"/>
  <c r="M275" i="9"/>
  <c r="L275" i="9"/>
  <c r="K275" i="9"/>
  <c r="I275" i="9"/>
  <c r="H275" i="9"/>
  <c r="F275" i="9"/>
  <c r="E275" i="9"/>
  <c r="D275" i="9"/>
  <c r="C275" i="9"/>
  <c r="J275" i="9" s="1"/>
  <c r="B275" i="9"/>
  <c r="O274" i="9"/>
  <c r="N274" i="9"/>
  <c r="M274" i="9"/>
  <c r="K274" i="9"/>
  <c r="J274" i="9"/>
  <c r="I274" i="9"/>
  <c r="H274" i="9"/>
  <c r="G274" i="9"/>
  <c r="F274" i="9"/>
  <c r="E274" i="9"/>
  <c r="D274" i="9"/>
  <c r="C274" i="9"/>
  <c r="L274" i="9" s="1"/>
  <c r="B274" i="9"/>
  <c r="L273" i="9"/>
  <c r="I273" i="9"/>
  <c r="H273" i="9"/>
  <c r="G273" i="9"/>
  <c r="C273" i="9"/>
  <c r="O272" i="9"/>
  <c r="N272" i="9"/>
  <c r="M272" i="9"/>
  <c r="L272" i="9"/>
  <c r="K272" i="9"/>
  <c r="I272" i="9"/>
  <c r="H272" i="9"/>
  <c r="F272" i="9"/>
  <c r="E272" i="9"/>
  <c r="D272" i="9"/>
  <c r="C272" i="9"/>
  <c r="J272" i="9" s="1"/>
  <c r="B272" i="9"/>
  <c r="O271" i="9"/>
  <c r="M271" i="9"/>
  <c r="L271" i="9"/>
  <c r="K271" i="9"/>
  <c r="J271" i="9"/>
  <c r="I271" i="9"/>
  <c r="H271" i="9"/>
  <c r="G271" i="9"/>
  <c r="F271" i="9"/>
  <c r="E271" i="9"/>
  <c r="D271" i="9"/>
  <c r="C271" i="9"/>
  <c r="N271" i="9" s="1"/>
  <c r="B271" i="9"/>
  <c r="M270" i="9"/>
  <c r="K270" i="9"/>
  <c r="I270" i="9"/>
  <c r="G270" i="9"/>
  <c r="F270" i="9"/>
  <c r="E270" i="9"/>
  <c r="D270" i="9"/>
  <c r="C270" i="9"/>
  <c r="B270" i="9"/>
  <c r="O269" i="9"/>
  <c r="N269" i="9"/>
  <c r="M269" i="9"/>
  <c r="L269" i="9"/>
  <c r="K269" i="9"/>
  <c r="I269" i="9"/>
  <c r="H269" i="9"/>
  <c r="F269" i="9"/>
  <c r="E269" i="9"/>
  <c r="D269" i="9"/>
  <c r="C269" i="9"/>
  <c r="B269" i="9" s="1"/>
  <c r="O268" i="9"/>
  <c r="N268" i="9"/>
  <c r="M268" i="9"/>
  <c r="L268" i="9"/>
  <c r="K268" i="9"/>
  <c r="J268" i="9"/>
  <c r="I268" i="9"/>
  <c r="H268" i="9"/>
  <c r="G268" i="9"/>
  <c r="F268" i="9"/>
  <c r="E268" i="9"/>
  <c r="D268" i="9"/>
  <c r="C268" i="9"/>
  <c r="B268" i="9"/>
  <c r="C267" i="9"/>
  <c r="O266" i="9"/>
  <c r="N266" i="9"/>
  <c r="M266" i="9"/>
  <c r="L266" i="9"/>
  <c r="I266" i="9"/>
  <c r="F266" i="9"/>
  <c r="E266" i="9"/>
  <c r="C266" i="9"/>
  <c r="O265" i="9"/>
  <c r="N265" i="9"/>
  <c r="M265" i="9"/>
  <c r="L265" i="9"/>
  <c r="K265" i="9"/>
  <c r="J265" i="9"/>
  <c r="I265" i="9"/>
  <c r="H265" i="9"/>
  <c r="G265" i="9"/>
  <c r="F265" i="9"/>
  <c r="E265" i="9"/>
  <c r="D265" i="9"/>
  <c r="C265" i="9"/>
  <c r="B265" i="9"/>
  <c r="M264" i="9"/>
  <c r="K264" i="9"/>
  <c r="J264" i="9"/>
  <c r="H264" i="9"/>
  <c r="E264" i="9"/>
  <c r="C264" i="9"/>
  <c r="B264" i="9"/>
  <c r="O263" i="9"/>
  <c r="N263" i="9"/>
  <c r="C263" i="9"/>
  <c r="O262" i="9"/>
  <c r="N262" i="9"/>
  <c r="M262" i="9"/>
  <c r="L262" i="9"/>
  <c r="K262" i="9"/>
  <c r="J262" i="9"/>
  <c r="I262" i="9"/>
  <c r="H262" i="9"/>
  <c r="G262" i="9"/>
  <c r="F262" i="9"/>
  <c r="E262" i="9"/>
  <c r="D262" i="9"/>
  <c r="C262" i="9"/>
  <c r="B262" i="9"/>
  <c r="C261" i="9"/>
  <c r="C260" i="9"/>
  <c r="O259" i="9"/>
  <c r="N259" i="9"/>
  <c r="M259" i="9"/>
  <c r="L259" i="9"/>
  <c r="K259" i="9"/>
  <c r="J259" i="9"/>
  <c r="I259" i="9"/>
  <c r="H259" i="9"/>
  <c r="G259" i="9"/>
  <c r="F259" i="9"/>
  <c r="E259" i="9"/>
  <c r="D259" i="9"/>
  <c r="C259" i="9"/>
  <c r="B259" i="9" s="1"/>
  <c r="O258" i="9"/>
  <c r="J258" i="9"/>
  <c r="E258" i="9"/>
  <c r="D258" i="9"/>
  <c r="C258" i="9"/>
  <c r="B258" i="9"/>
  <c r="N257" i="9"/>
  <c r="C257" i="9"/>
  <c r="O256" i="9"/>
  <c r="N256" i="9"/>
  <c r="M256" i="9"/>
  <c r="L256" i="9"/>
  <c r="K256" i="9"/>
  <c r="J256" i="9"/>
  <c r="I256" i="9"/>
  <c r="H256" i="9"/>
  <c r="G256" i="9"/>
  <c r="F256" i="9"/>
  <c r="E256" i="9"/>
  <c r="C256" i="9"/>
  <c r="D256" i="9" s="1"/>
  <c r="L255" i="9"/>
  <c r="D255" i="9"/>
  <c r="C255" i="9"/>
  <c r="C254" i="9"/>
  <c r="O253" i="9"/>
  <c r="N253" i="9"/>
  <c r="M253" i="9"/>
  <c r="L253" i="9"/>
  <c r="K253" i="9"/>
  <c r="J253" i="9"/>
  <c r="I253" i="9"/>
  <c r="H253" i="9"/>
  <c r="G253" i="9"/>
  <c r="E253" i="9"/>
  <c r="D253" i="9"/>
  <c r="C253" i="9"/>
  <c r="F253" i="9" s="1"/>
  <c r="L252" i="9"/>
  <c r="J252" i="9"/>
  <c r="H252" i="9"/>
  <c r="G252" i="9"/>
  <c r="F252" i="9"/>
  <c r="E252" i="9"/>
  <c r="D252" i="9"/>
  <c r="C252" i="9"/>
  <c r="B252" i="9"/>
  <c r="O251" i="9"/>
  <c r="M251" i="9"/>
  <c r="L251" i="9"/>
  <c r="K251" i="9"/>
  <c r="H251" i="9"/>
  <c r="E251" i="9"/>
  <c r="D251" i="9"/>
  <c r="C251" i="9"/>
  <c r="O250" i="9"/>
  <c r="N250" i="9"/>
  <c r="M250" i="9"/>
  <c r="L250" i="9"/>
  <c r="K250" i="9"/>
  <c r="J250" i="9"/>
  <c r="I250" i="9"/>
  <c r="G250" i="9"/>
  <c r="F250" i="9"/>
  <c r="E250" i="9"/>
  <c r="D250" i="9"/>
  <c r="C250" i="9"/>
  <c r="H250" i="9" s="1"/>
  <c r="O249" i="9"/>
  <c r="L249" i="9"/>
  <c r="K249" i="9"/>
  <c r="J249" i="9"/>
  <c r="H249" i="9"/>
  <c r="G249" i="9"/>
  <c r="F249" i="9"/>
  <c r="E249" i="9"/>
  <c r="D249" i="9"/>
  <c r="C249" i="9"/>
  <c r="O248" i="9"/>
  <c r="M248" i="9"/>
  <c r="L248" i="9"/>
  <c r="K248" i="9"/>
  <c r="H248" i="9"/>
  <c r="E248" i="9"/>
  <c r="D248" i="9"/>
  <c r="C248" i="9"/>
  <c r="O247" i="9"/>
  <c r="N247" i="9"/>
  <c r="M247" i="9"/>
  <c r="L247" i="9"/>
  <c r="K247" i="9"/>
  <c r="I247" i="9"/>
  <c r="H247" i="9"/>
  <c r="G247" i="9"/>
  <c r="F247" i="9"/>
  <c r="E247" i="9"/>
  <c r="D247" i="9"/>
  <c r="C247" i="9"/>
  <c r="J247" i="9" s="1"/>
  <c r="K246" i="9"/>
  <c r="H246" i="9"/>
  <c r="G246" i="9"/>
  <c r="F246" i="9"/>
  <c r="C246" i="9"/>
  <c r="B246" i="9"/>
  <c r="O245" i="9"/>
  <c r="N245" i="9"/>
  <c r="M245" i="9"/>
  <c r="L245" i="9"/>
  <c r="K245" i="9"/>
  <c r="H245" i="9"/>
  <c r="E245" i="9"/>
  <c r="D245" i="9"/>
  <c r="C245" i="9"/>
  <c r="O244" i="9"/>
  <c r="N244" i="9"/>
  <c r="M244" i="9"/>
  <c r="K244" i="9"/>
  <c r="J244" i="9"/>
  <c r="I244" i="9"/>
  <c r="H244" i="9"/>
  <c r="G244" i="9"/>
  <c r="F244" i="9"/>
  <c r="E244" i="9"/>
  <c r="D244" i="9"/>
  <c r="C244" i="9"/>
  <c r="L244" i="9" s="1"/>
  <c r="C243" i="9"/>
  <c r="J243" i="9" s="1"/>
  <c r="N242" i="9"/>
  <c r="M242" i="9"/>
  <c r="L242" i="9"/>
  <c r="H242" i="9"/>
  <c r="D242" i="9"/>
  <c r="C242" i="9"/>
  <c r="O241" i="9"/>
  <c r="M241" i="9"/>
  <c r="L241" i="9"/>
  <c r="K241" i="9"/>
  <c r="J241" i="9"/>
  <c r="I241" i="9"/>
  <c r="H241" i="9"/>
  <c r="G241" i="9"/>
  <c r="F241" i="9"/>
  <c r="E241" i="9"/>
  <c r="D241" i="9"/>
  <c r="C241" i="9"/>
  <c r="N241" i="9" s="1"/>
  <c r="O240" i="9"/>
  <c r="L240" i="9"/>
  <c r="K240" i="9"/>
  <c r="J240" i="9"/>
  <c r="E240" i="9"/>
  <c r="D240" i="9"/>
  <c r="C240" i="9"/>
  <c r="B240" i="9"/>
  <c r="O239" i="9"/>
  <c r="N239" i="9"/>
  <c r="M239" i="9"/>
  <c r="L239" i="9"/>
  <c r="K239" i="9"/>
  <c r="D239" i="9"/>
  <c r="C239" i="9"/>
  <c r="N238" i="9"/>
  <c r="M238" i="9"/>
  <c r="L238" i="9"/>
  <c r="K238" i="9"/>
  <c r="J238" i="9"/>
  <c r="I238" i="9"/>
  <c r="H238" i="9"/>
  <c r="G238" i="9"/>
  <c r="F238" i="9"/>
  <c r="E238" i="9"/>
  <c r="D238" i="9"/>
  <c r="C238" i="9"/>
  <c r="B238" i="9" s="1"/>
  <c r="O237" i="9"/>
  <c r="L237" i="9"/>
  <c r="K237" i="9"/>
  <c r="I237" i="9"/>
  <c r="E237" i="9"/>
  <c r="C237" i="9"/>
  <c r="B237" i="9"/>
  <c r="E236" i="9"/>
  <c r="C236" i="9"/>
  <c r="N235" i="9"/>
  <c r="M235" i="9"/>
  <c r="L235" i="9"/>
  <c r="K235" i="9"/>
  <c r="J235" i="9"/>
  <c r="I235" i="9"/>
  <c r="H235" i="9"/>
  <c r="G235" i="9"/>
  <c r="F235" i="9"/>
  <c r="E235" i="9"/>
  <c r="D235" i="9"/>
  <c r="C235" i="9"/>
  <c r="B235" i="9" s="1"/>
  <c r="E234" i="9"/>
  <c r="C234" i="9"/>
  <c r="O233" i="9"/>
  <c r="N233" i="9"/>
  <c r="M233" i="9"/>
  <c r="H233" i="9"/>
  <c r="C233" i="9"/>
  <c r="B233" i="9"/>
  <c r="N232" i="9"/>
  <c r="M232" i="9"/>
  <c r="L232" i="9"/>
  <c r="K232" i="9"/>
  <c r="J232" i="9"/>
  <c r="I232" i="9"/>
  <c r="H232" i="9"/>
  <c r="G232" i="9"/>
  <c r="F232" i="9"/>
  <c r="E232" i="9"/>
  <c r="D232" i="9"/>
  <c r="C232" i="9"/>
  <c r="B232" i="9" s="1"/>
  <c r="O231" i="9"/>
  <c r="C231" i="9"/>
  <c r="B231" i="9" s="1"/>
  <c r="O230" i="9"/>
  <c r="N230" i="9"/>
  <c r="L230" i="9"/>
  <c r="C230" i="9"/>
  <c r="B230" i="9"/>
  <c r="N229" i="9"/>
  <c r="M229" i="9"/>
  <c r="L229" i="9"/>
  <c r="K229" i="9"/>
  <c r="J229" i="9"/>
  <c r="I229" i="9"/>
  <c r="H229" i="9"/>
  <c r="G229" i="9"/>
  <c r="F229" i="9"/>
  <c r="E229" i="9"/>
  <c r="D229" i="9"/>
  <c r="C229" i="9"/>
  <c r="B229" i="9" s="1"/>
  <c r="N228" i="9"/>
  <c r="J228" i="9"/>
  <c r="I228" i="9"/>
  <c r="F228" i="9"/>
  <c r="C228" i="9"/>
  <c r="B228" i="9"/>
  <c r="O227" i="9"/>
  <c r="D227" i="9"/>
  <c r="C227" i="9"/>
  <c r="N226" i="9"/>
  <c r="I226" i="9"/>
  <c r="G226" i="9"/>
  <c r="F226" i="9"/>
  <c r="E226" i="9"/>
  <c r="C226" i="9"/>
  <c r="E225" i="9"/>
  <c r="C225" i="9"/>
  <c r="O224" i="9"/>
  <c r="M224" i="9"/>
  <c r="K224" i="9"/>
  <c r="J224" i="9"/>
  <c r="G224" i="9"/>
  <c r="C224" i="9"/>
  <c r="B224" i="9"/>
  <c r="H223" i="9"/>
  <c r="G223" i="9"/>
  <c r="C223" i="9"/>
  <c r="M222" i="9"/>
  <c r="K222" i="9"/>
  <c r="J222" i="9"/>
  <c r="I222" i="9"/>
  <c r="G222" i="9"/>
  <c r="F222" i="9"/>
  <c r="E222" i="9"/>
  <c r="C222" i="9"/>
  <c r="C221" i="9"/>
  <c r="N220" i="9"/>
  <c r="M220" i="9"/>
  <c r="L220" i="9"/>
  <c r="K220" i="9"/>
  <c r="J220" i="9"/>
  <c r="I220" i="9"/>
  <c r="G220" i="9"/>
  <c r="F220" i="9"/>
  <c r="E220" i="9"/>
  <c r="D220" i="9"/>
  <c r="C220" i="9"/>
  <c r="N219" i="9"/>
  <c r="J219" i="9"/>
  <c r="I219" i="9"/>
  <c r="C219" i="9"/>
  <c r="O218" i="9"/>
  <c r="N218" i="9"/>
  <c r="M218" i="9"/>
  <c r="L218" i="9"/>
  <c r="K218" i="9"/>
  <c r="J218" i="9"/>
  <c r="G218" i="9"/>
  <c r="F218" i="9"/>
  <c r="D218" i="9"/>
  <c r="C218" i="9"/>
  <c r="B218" i="9"/>
  <c r="L217" i="9"/>
  <c r="K217" i="9"/>
  <c r="I217" i="9"/>
  <c r="H217" i="9"/>
  <c r="G217" i="9"/>
  <c r="C217" i="9"/>
  <c r="C216" i="9"/>
  <c r="D215" i="9"/>
  <c r="C215" i="9"/>
  <c r="C214" i="9"/>
  <c r="B214" i="9"/>
  <c r="C213" i="9"/>
  <c r="J213" i="9" s="1"/>
  <c r="O212" i="9"/>
  <c r="N212" i="9"/>
  <c r="K212" i="9"/>
  <c r="C212" i="9"/>
  <c r="B212" i="9" s="1"/>
  <c r="M211" i="9"/>
  <c r="L211" i="9"/>
  <c r="K211" i="9"/>
  <c r="J211" i="9"/>
  <c r="I211" i="9"/>
  <c r="H211" i="9"/>
  <c r="G211" i="9"/>
  <c r="F211" i="9"/>
  <c r="E211" i="9"/>
  <c r="D211" i="9"/>
  <c r="C211" i="9"/>
  <c r="B211" i="9" s="1"/>
  <c r="N210" i="9"/>
  <c r="K210" i="9"/>
  <c r="J210" i="9"/>
  <c r="I210" i="9"/>
  <c r="F210" i="9"/>
  <c r="E210" i="9"/>
  <c r="D210" i="9"/>
  <c r="C210" i="9"/>
  <c r="B210" i="9"/>
  <c r="C209" i="9"/>
  <c r="K209" i="9" s="1"/>
  <c r="L208" i="9"/>
  <c r="K208" i="9"/>
  <c r="J208" i="9"/>
  <c r="I208" i="9"/>
  <c r="H208" i="9"/>
  <c r="F208" i="9"/>
  <c r="C208" i="9"/>
  <c r="B208" i="9"/>
  <c r="N207" i="9"/>
  <c r="M207" i="9"/>
  <c r="K207" i="9"/>
  <c r="I207" i="9"/>
  <c r="E207" i="9"/>
  <c r="C207" i="9"/>
  <c r="B207" i="9"/>
  <c r="L206" i="9"/>
  <c r="G206" i="9"/>
  <c r="F206" i="9"/>
  <c r="C206" i="9"/>
  <c r="L205" i="9"/>
  <c r="F205" i="9"/>
  <c r="E205" i="9"/>
  <c r="D205" i="9"/>
  <c r="C205" i="9"/>
  <c r="B205" i="9"/>
  <c r="I204" i="9"/>
  <c r="F204" i="9"/>
  <c r="C204" i="9"/>
  <c r="B204" i="9"/>
  <c r="M203" i="9"/>
  <c r="J203" i="9"/>
  <c r="G203" i="9"/>
  <c r="E203" i="9"/>
  <c r="C203" i="9"/>
  <c r="J202" i="9"/>
  <c r="C202" i="9"/>
  <c r="L201" i="9"/>
  <c r="J201" i="9"/>
  <c r="I201" i="9"/>
  <c r="H201" i="9"/>
  <c r="F201" i="9"/>
  <c r="D201" i="9"/>
  <c r="C201" i="9"/>
  <c r="B201" i="9"/>
  <c r="O200" i="9"/>
  <c r="N200" i="9"/>
  <c r="M200" i="9"/>
  <c r="L200" i="9"/>
  <c r="K200" i="9"/>
  <c r="J200" i="9"/>
  <c r="I200" i="9"/>
  <c r="E200" i="9"/>
  <c r="C200" i="9"/>
  <c r="B200" i="9"/>
  <c r="O199" i="9"/>
  <c r="M199" i="9"/>
  <c r="L199" i="9"/>
  <c r="K199" i="9"/>
  <c r="J199" i="9"/>
  <c r="H199" i="9"/>
  <c r="G199" i="9"/>
  <c r="C199" i="9"/>
  <c r="M198" i="9"/>
  <c r="C198" i="9"/>
  <c r="B198" i="9"/>
  <c r="N197" i="9"/>
  <c r="K197" i="9"/>
  <c r="C197" i="9"/>
  <c r="E196" i="9"/>
  <c r="C196" i="9"/>
  <c r="O195" i="9"/>
  <c r="M195" i="9"/>
  <c r="L195" i="9"/>
  <c r="J195" i="9"/>
  <c r="I195" i="9"/>
  <c r="H195" i="9"/>
  <c r="F195" i="9"/>
  <c r="E195" i="9"/>
  <c r="D195" i="9"/>
  <c r="C195" i="9"/>
  <c r="B195" i="9" s="1"/>
  <c r="O194" i="9"/>
  <c r="K194" i="9"/>
  <c r="J194" i="9"/>
  <c r="H194" i="9"/>
  <c r="F194" i="9"/>
  <c r="C194" i="9"/>
  <c r="B194" i="9"/>
  <c r="D193" i="9"/>
  <c r="C193" i="9"/>
  <c r="B193" i="9"/>
  <c r="E192" i="9"/>
  <c r="I192" i="9" s="1"/>
  <c r="C192" i="9"/>
  <c r="B192" i="9"/>
  <c r="C191" i="9"/>
  <c r="B191" i="9"/>
  <c r="F190" i="9"/>
  <c r="C190" i="9"/>
  <c r="B190" i="9"/>
  <c r="C189" i="9"/>
  <c r="F188" i="9"/>
  <c r="C188" i="9"/>
  <c r="C187" i="9"/>
  <c r="B187" i="9" s="1"/>
  <c r="I186" i="9"/>
  <c r="H186" i="9"/>
  <c r="J186" i="9" s="1"/>
  <c r="L186" i="9" s="1"/>
  <c r="F186" i="9"/>
  <c r="E186" i="9"/>
  <c r="C186" i="9"/>
  <c r="B186" i="9"/>
  <c r="C185" i="9"/>
  <c r="F184" i="9"/>
  <c r="C184" i="9"/>
  <c r="B184" i="9"/>
  <c r="C183" i="9"/>
  <c r="B183" i="9"/>
  <c r="C182" i="9"/>
  <c r="F181" i="9"/>
  <c r="E181" i="9"/>
  <c r="D181" i="9"/>
  <c r="C181" i="9"/>
  <c r="E180" i="9"/>
  <c r="D180" i="9"/>
  <c r="C180" i="9"/>
  <c r="I179" i="9"/>
  <c r="J179" i="9" s="1"/>
  <c r="H179" i="9"/>
  <c r="F179" i="9"/>
  <c r="E179" i="9"/>
  <c r="C179" i="9"/>
  <c r="C178" i="9"/>
  <c r="D177" i="9"/>
  <c r="C177" i="9"/>
  <c r="B177" i="9"/>
  <c r="F176" i="9"/>
  <c r="E176" i="9"/>
  <c r="C176" i="9"/>
  <c r="B176" i="9"/>
  <c r="C175" i="9"/>
  <c r="B175" i="9"/>
  <c r="I174" i="9"/>
  <c r="E174" i="9"/>
  <c r="H174" i="9" s="1"/>
  <c r="C174" i="9"/>
  <c r="B174" i="9"/>
  <c r="H173" i="9"/>
  <c r="E173" i="9"/>
  <c r="D173" i="9"/>
  <c r="C173" i="9"/>
  <c r="F173" i="9" s="1"/>
  <c r="B173" i="9"/>
  <c r="D172" i="9"/>
  <c r="C172" i="9"/>
  <c r="B172" i="9"/>
  <c r="C171" i="9"/>
  <c r="G170" i="9"/>
  <c r="F170" i="9"/>
  <c r="E170" i="9"/>
  <c r="I170" i="9" s="1"/>
  <c r="D170" i="9"/>
  <c r="C170" i="9"/>
  <c r="B170" i="9"/>
  <c r="E169" i="9"/>
  <c r="C169" i="9"/>
  <c r="E168" i="9"/>
  <c r="H168" i="9" s="1"/>
  <c r="C168" i="9"/>
  <c r="I167" i="9"/>
  <c r="G167" i="9"/>
  <c r="F167" i="9"/>
  <c r="E167" i="9"/>
  <c r="D167" i="9"/>
  <c r="C167" i="9"/>
  <c r="B167" i="9"/>
  <c r="C166" i="9"/>
  <c r="B166" i="9" s="1"/>
  <c r="C165" i="9"/>
  <c r="B165" i="9"/>
  <c r="I164" i="9"/>
  <c r="J164" i="9" s="1"/>
  <c r="K164" i="9" s="1"/>
  <c r="H164" i="9"/>
  <c r="G164" i="9"/>
  <c r="F164" i="9"/>
  <c r="E164" i="9"/>
  <c r="D164" i="9"/>
  <c r="C164" i="9"/>
  <c r="B164" i="9"/>
  <c r="I163" i="9"/>
  <c r="H163" i="9"/>
  <c r="J163" i="9" s="1"/>
  <c r="L163" i="9" s="1"/>
  <c r="G163" i="9"/>
  <c r="E163" i="9"/>
  <c r="D163" i="9"/>
  <c r="C163" i="9"/>
  <c r="B163" i="9"/>
  <c r="E162" i="9"/>
  <c r="D162" i="9"/>
  <c r="C162" i="9"/>
  <c r="B162" i="9"/>
  <c r="I161" i="9"/>
  <c r="F161" i="9"/>
  <c r="E161" i="9"/>
  <c r="G161" i="9" s="1"/>
  <c r="D161" i="9"/>
  <c r="C161" i="9"/>
  <c r="B161" i="9"/>
  <c r="D160" i="9"/>
  <c r="C160" i="9"/>
  <c r="C159" i="9"/>
  <c r="K158" i="9"/>
  <c r="H158" i="9"/>
  <c r="J158" i="9" s="1"/>
  <c r="L158" i="9" s="1"/>
  <c r="G158" i="9"/>
  <c r="F158" i="9"/>
  <c r="E158" i="9"/>
  <c r="I158" i="9" s="1"/>
  <c r="C158" i="9"/>
  <c r="B158" i="9"/>
  <c r="F157" i="9"/>
  <c r="C157" i="9"/>
  <c r="C156" i="9"/>
  <c r="B156" i="9"/>
  <c r="G155" i="9"/>
  <c r="F155" i="9"/>
  <c r="E155" i="9"/>
  <c r="I155" i="9" s="1"/>
  <c r="C155" i="9"/>
  <c r="B155" i="9"/>
  <c r="F154" i="9"/>
  <c r="C154" i="9"/>
  <c r="B154" i="9"/>
  <c r="C153" i="9"/>
  <c r="B153" i="9" s="1"/>
  <c r="I152" i="9"/>
  <c r="H152" i="9"/>
  <c r="J152" i="9" s="1"/>
  <c r="G152" i="9"/>
  <c r="F152" i="9"/>
  <c r="E152" i="9"/>
  <c r="D152" i="9"/>
  <c r="C152" i="9"/>
  <c r="B152" i="9"/>
  <c r="F151" i="9"/>
  <c r="C151" i="9"/>
  <c r="B151" i="9"/>
  <c r="F150" i="9"/>
  <c r="C150" i="9"/>
  <c r="B150" i="9"/>
  <c r="G149" i="9"/>
  <c r="F149" i="9"/>
  <c r="E149" i="9"/>
  <c r="D149" i="9"/>
  <c r="C149" i="9"/>
  <c r="B149" i="9" s="1"/>
  <c r="I148" i="9"/>
  <c r="F148" i="9"/>
  <c r="E148" i="9"/>
  <c r="H148" i="9" s="1"/>
  <c r="D148" i="9"/>
  <c r="C148" i="9"/>
  <c r="B148" i="9"/>
  <c r="F147" i="9"/>
  <c r="D147" i="9"/>
  <c r="C147" i="9"/>
  <c r="B147" i="9" s="1"/>
  <c r="C146" i="9"/>
  <c r="C145" i="9"/>
  <c r="B145" i="9"/>
  <c r="D144" i="9"/>
  <c r="C144" i="9"/>
  <c r="C143" i="9"/>
  <c r="B143" i="9"/>
  <c r="F142" i="9"/>
  <c r="E142" i="9"/>
  <c r="D142" i="9"/>
  <c r="C142" i="9"/>
  <c r="B142" i="9" s="1"/>
  <c r="C141" i="9"/>
  <c r="D140" i="9"/>
  <c r="C140" i="9"/>
  <c r="F139" i="9"/>
  <c r="E139" i="9"/>
  <c r="D139" i="9"/>
  <c r="C139" i="9"/>
  <c r="B139" i="9"/>
  <c r="I138" i="9"/>
  <c r="G138" i="9"/>
  <c r="F138" i="9"/>
  <c r="E138" i="9"/>
  <c r="D138" i="9"/>
  <c r="C138" i="9"/>
  <c r="B138" i="9"/>
  <c r="C137" i="9"/>
  <c r="C136" i="9"/>
  <c r="E135" i="9"/>
  <c r="I135" i="9" s="1"/>
  <c r="C135" i="9"/>
  <c r="B135" i="9"/>
  <c r="C134" i="9"/>
  <c r="B134" i="9"/>
  <c r="F133" i="9"/>
  <c r="E133" i="9"/>
  <c r="H133" i="9" s="1"/>
  <c r="C133" i="9"/>
  <c r="B133" i="9"/>
  <c r="J132" i="9"/>
  <c r="I132" i="9"/>
  <c r="H132" i="9"/>
  <c r="F132" i="9"/>
  <c r="E132" i="9"/>
  <c r="G132" i="9" s="1"/>
  <c r="C132" i="9"/>
  <c r="B132" i="9" s="1"/>
  <c r="C131" i="9"/>
  <c r="B131" i="9"/>
  <c r="C130" i="9"/>
  <c r="F129" i="9"/>
  <c r="E129" i="9"/>
  <c r="C129" i="9"/>
  <c r="B129" i="9"/>
  <c r="C128" i="9"/>
  <c r="B128" i="9"/>
  <c r="C127" i="9"/>
  <c r="F126" i="9"/>
  <c r="D126" i="9"/>
  <c r="C126" i="9"/>
  <c r="E125" i="9"/>
  <c r="I125" i="9" s="1"/>
  <c r="C125" i="9"/>
  <c r="B125" i="9"/>
  <c r="C124" i="9"/>
  <c r="F123" i="9"/>
  <c r="E123" i="9"/>
  <c r="H123" i="9" s="1"/>
  <c r="C123" i="9"/>
  <c r="B123" i="9"/>
  <c r="I122" i="9"/>
  <c r="H122" i="9"/>
  <c r="J122" i="9" s="1"/>
  <c r="L122" i="9" s="1"/>
  <c r="G122" i="9"/>
  <c r="M122" i="9" s="1"/>
  <c r="F122" i="9"/>
  <c r="E122" i="9"/>
  <c r="D122" i="9"/>
  <c r="C122" i="9"/>
  <c r="B122" i="9" s="1"/>
  <c r="C121" i="9"/>
  <c r="D120" i="9"/>
  <c r="C120" i="9"/>
  <c r="C119" i="9"/>
  <c r="B119" i="9"/>
  <c r="F118" i="9"/>
  <c r="C118" i="9"/>
  <c r="B118" i="9"/>
  <c r="F117" i="9"/>
  <c r="E117" i="9"/>
  <c r="I117" i="9" s="1"/>
  <c r="C117" i="9"/>
  <c r="B117" i="9" s="1"/>
  <c r="C116" i="9"/>
  <c r="E115" i="9"/>
  <c r="G115" i="9" s="1"/>
  <c r="D115" i="9"/>
  <c r="C115" i="9"/>
  <c r="B115" i="9"/>
  <c r="C114" i="9"/>
  <c r="F113" i="9"/>
  <c r="C113" i="9"/>
  <c r="B113" i="9"/>
  <c r="C112" i="9"/>
  <c r="F111" i="9"/>
  <c r="E111" i="9"/>
  <c r="D111" i="9"/>
  <c r="C111" i="9"/>
  <c r="E110" i="9"/>
  <c r="G110" i="9" s="1"/>
  <c r="C110" i="9"/>
  <c r="F109" i="9"/>
  <c r="C109" i="9"/>
  <c r="E108" i="9"/>
  <c r="G108" i="9" s="1"/>
  <c r="D108" i="9"/>
  <c r="C108" i="9"/>
  <c r="B108" i="9"/>
  <c r="F107" i="9"/>
  <c r="E107" i="9"/>
  <c r="I107" i="9" s="1"/>
  <c r="C107" i="9"/>
  <c r="B107" i="9"/>
  <c r="F106" i="9"/>
  <c r="E106" i="9"/>
  <c r="D106" i="9"/>
  <c r="C106" i="9"/>
  <c r="B106" i="9" s="1"/>
  <c r="I105" i="9"/>
  <c r="H105" i="9"/>
  <c r="J105" i="9" s="1"/>
  <c r="K105" i="9" s="1"/>
  <c r="F105" i="9"/>
  <c r="E105" i="9"/>
  <c r="G105" i="9" s="1"/>
  <c r="D105" i="9"/>
  <c r="C105" i="9"/>
  <c r="B105" i="9"/>
  <c r="C104" i="9"/>
  <c r="B104" i="9" s="1"/>
  <c r="C103" i="9"/>
  <c r="B103" i="9"/>
  <c r="F102" i="9"/>
  <c r="E102" i="9"/>
  <c r="I102" i="9" s="1"/>
  <c r="C102" i="9"/>
  <c r="B102" i="9"/>
  <c r="F101" i="9"/>
  <c r="C101" i="9"/>
  <c r="E100" i="9"/>
  <c r="C100" i="9"/>
  <c r="F99" i="9"/>
  <c r="E99" i="9"/>
  <c r="I99" i="9" s="1"/>
  <c r="C99" i="9"/>
  <c r="B99" i="9"/>
  <c r="H98" i="9"/>
  <c r="G98" i="9"/>
  <c r="F98" i="9"/>
  <c r="E98" i="9"/>
  <c r="I98" i="9" s="1"/>
  <c r="C98" i="9"/>
  <c r="B98" i="9" s="1"/>
  <c r="C97" i="9"/>
  <c r="G96" i="9"/>
  <c r="E96" i="9"/>
  <c r="C96" i="9"/>
  <c r="I95" i="9"/>
  <c r="G95" i="9"/>
  <c r="F95" i="9"/>
  <c r="E95" i="9"/>
  <c r="C95" i="9"/>
  <c r="B95" i="9" s="1"/>
  <c r="C94" i="9"/>
  <c r="B94" i="9"/>
  <c r="I93" i="9"/>
  <c r="E93" i="9"/>
  <c r="C93" i="9"/>
  <c r="B93" i="9"/>
  <c r="C92" i="9"/>
  <c r="B92" i="9"/>
  <c r="C91" i="9"/>
  <c r="B91" i="9"/>
  <c r="E90" i="9"/>
  <c r="C90" i="9"/>
  <c r="C89" i="9"/>
  <c r="F89" i="9" s="1"/>
  <c r="E88" i="9"/>
  <c r="G88" i="9" s="1"/>
  <c r="D88" i="9"/>
  <c r="C88" i="9"/>
  <c r="B88" i="9"/>
  <c r="I87" i="9"/>
  <c r="G87" i="9"/>
  <c r="F87" i="9"/>
  <c r="E87" i="9"/>
  <c r="C87" i="9"/>
  <c r="B87" i="9"/>
  <c r="C86" i="9"/>
  <c r="I85" i="9"/>
  <c r="H85" i="9"/>
  <c r="J85" i="9" s="1"/>
  <c r="K85" i="9" s="1"/>
  <c r="E85" i="9"/>
  <c r="C85" i="9"/>
  <c r="B85" i="9"/>
  <c r="E84" i="9"/>
  <c r="G84" i="9" s="1"/>
  <c r="D84" i="9"/>
  <c r="C84" i="9"/>
  <c r="C83" i="9"/>
  <c r="B83" i="9"/>
  <c r="C82" i="9"/>
  <c r="I81" i="9"/>
  <c r="F81" i="9"/>
  <c r="E81" i="9"/>
  <c r="G81" i="9" s="1"/>
  <c r="D81" i="9"/>
  <c r="C81" i="9"/>
  <c r="B81" i="9"/>
  <c r="C80" i="9"/>
  <c r="F79" i="9"/>
  <c r="E79" i="9"/>
  <c r="D79" i="9"/>
  <c r="C79" i="9"/>
  <c r="B79" i="9" s="1"/>
  <c r="F78" i="9"/>
  <c r="E78" i="9"/>
  <c r="I78" i="9" s="1"/>
  <c r="C78" i="9"/>
  <c r="B78" i="9"/>
  <c r="F77" i="9"/>
  <c r="C77" i="9"/>
  <c r="F76" i="9"/>
  <c r="E76" i="9"/>
  <c r="C76" i="9"/>
  <c r="B76" i="9" s="1"/>
  <c r="F75" i="9"/>
  <c r="C75" i="9"/>
  <c r="B75" i="9"/>
  <c r="C74" i="9"/>
  <c r="C73" i="9"/>
  <c r="F72" i="9"/>
  <c r="E72" i="9"/>
  <c r="I72" i="9" s="1"/>
  <c r="C72" i="9"/>
  <c r="B72" i="9"/>
  <c r="G71" i="9"/>
  <c r="F71" i="9"/>
  <c r="E71" i="9"/>
  <c r="I71" i="9" s="1"/>
  <c r="D71" i="9"/>
  <c r="C71" i="9"/>
  <c r="B71" i="9" s="1"/>
  <c r="I70" i="9"/>
  <c r="E70" i="9"/>
  <c r="H70" i="9" s="1"/>
  <c r="D70" i="9"/>
  <c r="C70" i="9"/>
  <c r="E69" i="9"/>
  <c r="G69" i="9" s="1"/>
  <c r="C69" i="9"/>
  <c r="B69" i="9"/>
  <c r="C68" i="9"/>
  <c r="B68" i="9"/>
  <c r="C67" i="9"/>
  <c r="B67" i="9"/>
  <c r="E66" i="9"/>
  <c r="I66" i="9" s="1"/>
  <c r="C66" i="9"/>
  <c r="F65" i="9"/>
  <c r="D65" i="9"/>
  <c r="C65" i="9"/>
  <c r="B65" i="9"/>
  <c r="E64" i="9"/>
  <c r="H64" i="9" s="1"/>
  <c r="C64" i="9"/>
  <c r="I63" i="9"/>
  <c r="H63" i="9"/>
  <c r="J63" i="9" s="1"/>
  <c r="G63" i="9"/>
  <c r="F63" i="9"/>
  <c r="E63" i="9"/>
  <c r="C63" i="9"/>
  <c r="D63" i="9" s="1"/>
  <c r="B63" i="9"/>
  <c r="C62" i="9"/>
  <c r="F62" i="9" s="1"/>
  <c r="E61" i="9"/>
  <c r="G61" i="9" s="1"/>
  <c r="C61" i="9"/>
  <c r="B61" i="9"/>
  <c r="E60" i="9"/>
  <c r="C60" i="9"/>
  <c r="I59" i="9"/>
  <c r="J59" i="9" s="1"/>
  <c r="H59" i="9"/>
  <c r="F59" i="9"/>
  <c r="E59" i="9"/>
  <c r="G59" i="9" s="1"/>
  <c r="D59" i="9"/>
  <c r="C59" i="9"/>
  <c r="B59" i="9"/>
  <c r="C58" i="9"/>
  <c r="B58" i="9"/>
  <c r="F57" i="9"/>
  <c r="C57" i="9"/>
  <c r="C56" i="9"/>
  <c r="F55" i="9"/>
  <c r="C55" i="9"/>
  <c r="C54" i="9"/>
  <c r="C53" i="9"/>
  <c r="I52" i="9"/>
  <c r="H52" i="9"/>
  <c r="J52" i="9" s="1"/>
  <c r="G52" i="9"/>
  <c r="F52" i="9"/>
  <c r="E52" i="9"/>
  <c r="D52" i="9"/>
  <c r="C52" i="9"/>
  <c r="B52" i="9" s="1"/>
  <c r="C51" i="9"/>
  <c r="B51" i="9" s="1"/>
  <c r="D50" i="9"/>
  <c r="C50" i="9"/>
  <c r="C49" i="9"/>
  <c r="F49" i="9" s="1"/>
  <c r="F48" i="9"/>
  <c r="C48" i="9"/>
  <c r="B48" i="9"/>
  <c r="C47" i="9"/>
  <c r="I46" i="9"/>
  <c r="E46" i="9"/>
  <c r="C46" i="9"/>
  <c r="I45" i="9"/>
  <c r="G45" i="9"/>
  <c r="F45" i="9"/>
  <c r="E45" i="9"/>
  <c r="D45" i="9"/>
  <c r="C45" i="9"/>
  <c r="B45" i="9"/>
  <c r="I44" i="9"/>
  <c r="H44" i="9"/>
  <c r="G44" i="9"/>
  <c r="E44" i="9"/>
  <c r="D44" i="9"/>
  <c r="C44" i="9"/>
  <c r="B44" i="9" s="1"/>
  <c r="F43" i="9"/>
  <c r="C43" i="9"/>
  <c r="B43" i="9"/>
  <c r="E42" i="9"/>
  <c r="C42" i="9"/>
  <c r="C41" i="9"/>
  <c r="F40" i="9"/>
  <c r="C40" i="9"/>
  <c r="G39" i="9"/>
  <c r="E39" i="9"/>
  <c r="C39" i="9"/>
  <c r="B39" i="9"/>
  <c r="C38" i="9"/>
  <c r="C37" i="9"/>
  <c r="E37" i="9" s="1"/>
  <c r="G36" i="9"/>
  <c r="F36" i="9"/>
  <c r="E36" i="9"/>
  <c r="I36" i="9" s="1"/>
  <c r="C36" i="9"/>
  <c r="C35" i="9"/>
  <c r="I34" i="9"/>
  <c r="F34" i="9"/>
  <c r="E34" i="9"/>
  <c r="C34" i="9"/>
  <c r="B34" i="9"/>
  <c r="F33" i="9"/>
  <c r="C33" i="9"/>
  <c r="B33" i="9"/>
  <c r="C32" i="9"/>
  <c r="C31" i="9"/>
  <c r="C30" i="9"/>
  <c r="B30" i="9"/>
  <c r="C29" i="9"/>
  <c r="F28" i="9"/>
  <c r="E28" i="9"/>
  <c r="C28" i="9"/>
  <c r="B28" i="9" s="1"/>
  <c r="F27" i="9"/>
  <c r="E27" i="9"/>
  <c r="I27" i="9" s="1"/>
  <c r="D27" i="9"/>
  <c r="C27" i="9"/>
  <c r="C26" i="9"/>
  <c r="F25" i="9"/>
  <c r="E25" i="9"/>
  <c r="C25" i="9"/>
  <c r="D24" i="9"/>
  <c r="C24" i="9"/>
  <c r="B24" i="9"/>
  <c r="C23" i="9"/>
  <c r="C22" i="9"/>
  <c r="E21" i="9"/>
  <c r="I21" i="9" s="1"/>
  <c r="C21" i="9"/>
  <c r="H20" i="9"/>
  <c r="F20" i="9"/>
  <c r="E20" i="9"/>
  <c r="G20" i="9" s="1"/>
  <c r="C20" i="9"/>
  <c r="B20" i="9"/>
  <c r="E19" i="9"/>
  <c r="G19" i="9" s="1"/>
  <c r="D19" i="9"/>
  <c r="C19" i="9"/>
  <c r="B19" i="9"/>
  <c r="C18" i="9"/>
  <c r="F17" i="9"/>
  <c r="C17" i="9"/>
  <c r="C16" i="9"/>
  <c r="I15" i="9"/>
  <c r="F15" i="9"/>
  <c r="E15" i="9"/>
  <c r="C15" i="9"/>
  <c r="G14" i="9"/>
  <c r="E14" i="9"/>
  <c r="H14" i="9" s="1"/>
  <c r="D14" i="9"/>
  <c r="C14" i="9"/>
  <c r="B14" i="9"/>
  <c r="F13" i="9"/>
  <c r="C13" i="9"/>
  <c r="B13" i="9"/>
  <c r="C12" i="9"/>
  <c r="B12" i="9"/>
  <c r="D11" i="9"/>
  <c r="C11" i="9"/>
  <c r="E10" i="9"/>
  <c r="H10" i="9" s="1"/>
  <c r="D10" i="9"/>
  <c r="C10" i="9"/>
  <c r="D9" i="9"/>
  <c r="C9" i="9"/>
  <c r="F8" i="9"/>
  <c r="E8" i="9"/>
  <c r="I8" i="9" s="1"/>
  <c r="D8" i="9"/>
  <c r="C8" i="9"/>
  <c r="C7" i="9"/>
  <c r="B7" i="9"/>
  <c r="F6" i="9"/>
  <c r="E6" i="9"/>
  <c r="D6" i="9"/>
  <c r="C6" i="9"/>
  <c r="B6" i="9"/>
  <c r="C5" i="9"/>
  <c r="D4" i="9"/>
  <c r="C4" i="9"/>
  <c r="AJ61" i="8"/>
  <c r="AI61" i="8"/>
  <c r="AH61" i="8"/>
  <c r="AG61" i="8"/>
  <c r="AF61" i="8"/>
  <c r="AE61" i="8"/>
  <c r="AD61" i="8"/>
  <c r="AC61" i="8"/>
  <c r="AB61" i="8"/>
  <c r="AA61" i="8"/>
  <c r="Z61" i="8"/>
  <c r="Y61" i="8"/>
  <c r="X61" i="8"/>
  <c r="W61" i="8"/>
  <c r="V61" i="8"/>
  <c r="U61" i="8"/>
  <c r="T61" i="8"/>
  <c r="S61" i="8"/>
  <c r="R61" i="8"/>
  <c r="Q61" i="8"/>
  <c r="P61" i="8"/>
  <c r="O61" i="8"/>
  <c r="N61" i="8"/>
  <c r="M61" i="8"/>
  <c r="L61" i="8"/>
  <c r="K61" i="8"/>
  <c r="J61" i="8"/>
  <c r="I61" i="8"/>
  <c r="H61" i="8"/>
  <c r="G61" i="8"/>
  <c r="F61" i="8"/>
  <c r="C61" i="8"/>
  <c r="AK40" i="8"/>
  <c r="D40" i="8" s="1"/>
  <c r="E40" i="8" s="1"/>
  <c r="D23" i="6"/>
  <c r="J23" i="6" s="1"/>
  <c r="J16" i="6"/>
  <c r="E16" i="6"/>
  <c r="D11" i="6"/>
  <c r="J11" i="6" s="1"/>
  <c r="E28" i="5"/>
  <c r="S3" i="4"/>
  <c r="S2" i="4"/>
  <c r="Q69" i="2"/>
  <c r="O69" i="2"/>
  <c r="L69" i="2"/>
  <c r="K69" i="2"/>
  <c r="J69" i="2"/>
  <c r="I69" i="2"/>
  <c r="H69" i="2"/>
  <c r="G69" i="2"/>
  <c r="F69" i="2"/>
  <c r="C69" i="2"/>
  <c r="J68" i="2"/>
  <c r="F68" i="2"/>
  <c r="E68" i="2"/>
  <c r="D68" i="2"/>
  <c r="C68" i="2"/>
  <c r="B68" i="2"/>
  <c r="R67" i="2"/>
  <c r="Q67" i="2"/>
  <c r="P67" i="2"/>
  <c r="O67" i="2"/>
  <c r="K67" i="2"/>
  <c r="I67" i="2"/>
  <c r="G67" i="2"/>
  <c r="E67" i="2"/>
  <c r="C67" i="2"/>
  <c r="B67" i="2"/>
  <c r="L66" i="2"/>
  <c r="K66" i="2"/>
  <c r="C66" i="2"/>
  <c r="B66" i="2" s="1"/>
  <c r="R65" i="2"/>
  <c r="Q65" i="2"/>
  <c r="P65" i="2"/>
  <c r="O65" i="2"/>
  <c r="N65" i="2"/>
  <c r="M65" i="2"/>
  <c r="L65" i="2"/>
  <c r="K65" i="2"/>
  <c r="J65" i="2"/>
  <c r="I65" i="2"/>
  <c r="H65" i="2"/>
  <c r="G65" i="2"/>
  <c r="E65" i="2"/>
  <c r="D65" i="2"/>
  <c r="C65" i="2"/>
  <c r="R64" i="2"/>
  <c r="Q64" i="2"/>
  <c r="P64" i="2"/>
  <c r="O64" i="2"/>
  <c r="N64" i="2"/>
  <c r="M64" i="2"/>
  <c r="L64" i="2"/>
  <c r="K64" i="2"/>
  <c r="J64" i="2"/>
  <c r="I64" i="2"/>
  <c r="H64" i="2"/>
  <c r="G64" i="2"/>
  <c r="F64" i="2"/>
  <c r="E64" i="2"/>
  <c r="D64" i="2"/>
  <c r="C64" i="2"/>
  <c r="B64" i="2"/>
  <c r="Q63" i="2"/>
  <c r="N63" i="2"/>
  <c r="L63" i="2"/>
  <c r="K63" i="2"/>
  <c r="C63" i="2"/>
  <c r="F62" i="2"/>
  <c r="D62" i="2"/>
  <c r="C62" i="2"/>
  <c r="B62" i="2"/>
  <c r="Q61" i="2"/>
  <c r="P61" i="2"/>
  <c r="O61" i="2"/>
  <c r="M61" i="2"/>
  <c r="L61" i="2"/>
  <c r="I61" i="2"/>
  <c r="C61" i="2"/>
  <c r="G61" i="2" s="1"/>
  <c r="P60" i="2"/>
  <c r="C60" i="2"/>
  <c r="L60" i="2" s="1"/>
  <c r="B60" i="2"/>
  <c r="C59" i="2"/>
  <c r="I59" i="2" s="1"/>
  <c r="R58" i="2"/>
  <c r="Q58" i="2"/>
  <c r="P58" i="2"/>
  <c r="N58" i="2"/>
  <c r="M58" i="2"/>
  <c r="K58" i="2"/>
  <c r="J58" i="2"/>
  <c r="I58" i="2"/>
  <c r="C58" i="2"/>
  <c r="B58" i="2" s="1"/>
  <c r="C57" i="2"/>
  <c r="P57" i="2" s="1"/>
  <c r="R56" i="2"/>
  <c r="Q56" i="2"/>
  <c r="P56" i="2"/>
  <c r="N56" i="2"/>
  <c r="M56" i="2"/>
  <c r="L56" i="2"/>
  <c r="K56" i="2"/>
  <c r="J56" i="2"/>
  <c r="I56" i="2"/>
  <c r="H56" i="2"/>
  <c r="G56" i="2"/>
  <c r="F56" i="2"/>
  <c r="E56" i="2"/>
  <c r="D56" i="2"/>
  <c r="C56" i="2"/>
  <c r="R55" i="2"/>
  <c r="Q55" i="2"/>
  <c r="O55" i="2"/>
  <c r="N55" i="2"/>
  <c r="M55" i="2"/>
  <c r="K55" i="2"/>
  <c r="J55" i="2"/>
  <c r="E55" i="2"/>
  <c r="C55" i="2"/>
  <c r="B55" i="2"/>
  <c r="R54" i="2"/>
  <c r="Q54" i="2"/>
  <c r="C54" i="2"/>
  <c r="G54" i="2" s="1"/>
  <c r="B54" i="2"/>
  <c r="N53" i="2"/>
  <c r="K53" i="2"/>
  <c r="I53" i="2"/>
  <c r="D53" i="2"/>
  <c r="C53" i="2"/>
  <c r="B53" i="2"/>
  <c r="R52" i="2"/>
  <c r="Q52" i="2"/>
  <c r="P52" i="2"/>
  <c r="O52" i="2"/>
  <c r="N52" i="2"/>
  <c r="M52" i="2"/>
  <c r="L52" i="2"/>
  <c r="K52" i="2"/>
  <c r="J52" i="2"/>
  <c r="I52" i="2"/>
  <c r="H52" i="2"/>
  <c r="F52" i="2"/>
  <c r="E52" i="2"/>
  <c r="D52" i="2"/>
  <c r="C52" i="2"/>
  <c r="G52" i="2" s="1"/>
  <c r="B52" i="2"/>
  <c r="P51" i="2"/>
  <c r="O51" i="2"/>
  <c r="N51" i="2"/>
  <c r="M51" i="2"/>
  <c r="L51" i="2"/>
  <c r="K51" i="2"/>
  <c r="J51" i="2"/>
  <c r="I51" i="2"/>
  <c r="H51" i="2"/>
  <c r="G51" i="2"/>
  <c r="F51" i="2"/>
  <c r="E51" i="2"/>
  <c r="C51" i="2"/>
  <c r="B51" i="2"/>
  <c r="E50" i="2"/>
  <c r="D50" i="2"/>
  <c r="C50" i="2"/>
  <c r="B50" i="2"/>
  <c r="Q49" i="2"/>
  <c r="P49" i="2"/>
  <c r="O49" i="2"/>
  <c r="M49" i="2"/>
  <c r="L49" i="2"/>
  <c r="K49" i="2"/>
  <c r="I49" i="2"/>
  <c r="H49" i="2"/>
  <c r="G49" i="2"/>
  <c r="E49" i="2"/>
  <c r="D49" i="2"/>
  <c r="C49" i="2"/>
  <c r="B49" i="2"/>
  <c r="R48" i="2"/>
  <c r="Q48" i="2"/>
  <c r="P48" i="2"/>
  <c r="N48" i="2"/>
  <c r="M48" i="2"/>
  <c r="L48" i="2"/>
  <c r="J48" i="2"/>
  <c r="I48" i="2"/>
  <c r="H48" i="2"/>
  <c r="G48" i="2"/>
  <c r="F48" i="2"/>
  <c r="D48" i="2"/>
  <c r="C48" i="2"/>
  <c r="B48" i="2"/>
  <c r="C47" i="2"/>
  <c r="B47" i="2"/>
  <c r="C46" i="2"/>
  <c r="B46" i="2"/>
  <c r="K45" i="2"/>
  <c r="C45" i="2"/>
  <c r="K44" i="2"/>
  <c r="D44" i="2"/>
  <c r="C44" i="2"/>
  <c r="B44" i="2"/>
  <c r="K43" i="2"/>
  <c r="D43" i="2"/>
  <c r="C43" i="2"/>
  <c r="B43" i="2"/>
  <c r="K42" i="2"/>
  <c r="E42" i="2"/>
  <c r="C42" i="2"/>
  <c r="C41" i="2"/>
  <c r="K41" i="2" s="1"/>
  <c r="B41" i="2"/>
  <c r="C40" i="2"/>
  <c r="B40" i="2"/>
  <c r="K39" i="2"/>
  <c r="C39" i="2"/>
  <c r="B39" i="2"/>
  <c r="C38" i="2"/>
  <c r="B38" i="2"/>
  <c r="C37" i="2"/>
  <c r="K36" i="2"/>
  <c r="C36" i="2"/>
  <c r="B36" i="2"/>
  <c r="C35" i="2"/>
  <c r="B35" i="2"/>
  <c r="C34" i="2"/>
  <c r="B34" i="2"/>
  <c r="K33" i="2"/>
  <c r="D33" i="2"/>
  <c r="C33" i="2"/>
  <c r="B33" i="2"/>
  <c r="K32" i="2"/>
  <c r="D32" i="2"/>
  <c r="C32" i="2"/>
  <c r="B32" i="2"/>
  <c r="C31" i="2"/>
  <c r="B31" i="2"/>
  <c r="K30" i="2"/>
  <c r="F30" i="2"/>
  <c r="D30" i="2"/>
  <c r="C30" i="2"/>
  <c r="B30" i="2"/>
  <c r="C29" i="2"/>
  <c r="C28" i="2"/>
  <c r="K27" i="2"/>
  <c r="C27" i="2"/>
  <c r="B27" i="2"/>
  <c r="K26" i="2"/>
  <c r="D26" i="2"/>
  <c r="C26" i="2"/>
  <c r="B26" i="2"/>
  <c r="D25" i="2"/>
  <c r="C25" i="2"/>
  <c r="K24" i="2"/>
  <c r="D24" i="2"/>
  <c r="C24" i="2"/>
  <c r="B24" i="2"/>
  <c r="D23" i="2"/>
  <c r="C23" i="2"/>
  <c r="B23" i="2"/>
  <c r="K22" i="2"/>
  <c r="D22" i="2"/>
  <c r="C22" i="2"/>
  <c r="B22" i="2"/>
  <c r="K21" i="2"/>
  <c r="I21" i="2"/>
  <c r="D21" i="2"/>
  <c r="C21" i="2"/>
  <c r="B21" i="2"/>
  <c r="C20" i="2"/>
  <c r="B20" i="2"/>
  <c r="C19" i="2"/>
  <c r="B19" i="2"/>
  <c r="K18" i="2"/>
  <c r="D18" i="2"/>
  <c r="C18" i="2"/>
  <c r="B18" i="2"/>
  <c r="K17" i="2"/>
  <c r="C17" i="2"/>
  <c r="D17" i="2" s="1"/>
  <c r="B17" i="2"/>
  <c r="C16" i="2"/>
  <c r="B16" i="2"/>
  <c r="C15" i="2"/>
  <c r="B15" i="2"/>
  <c r="C14" i="2"/>
  <c r="D14" i="2" s="1"/>
  <c r="K13" i="2"/>
  <c r="C13" i="2"/>
  <c r="B13" i="2"/>
  <c r="C12" i="2"/>
  <c r="K11" i="2"/>
  <c r="D11" i="2"/>
  <c r="C11" i="2"/>
  <c r="K10" i="2"/>
  <c r="D10" i="2"/>
  <c r="C10" i="2"/>
  <c r="B10" i="2"/>
  <c r="I9" i="2"/>
  <c r="H9" i="2"/>
  <c r="G9" i="2"/>
  <c r="F9" i="2"/>
  <c r="E9" i="2"/>
  <c r="B6" i="2"/>
  <c r="T3" i="2"/>
  <c r="T2" i="2"/>
  <c r="B4" i="1"/>
  <c r="F32" i="2" l="1"/>
  <c r="AF71" i="12"/>
  <c r="AB71" i="12"/>
  <c r="AC71" i="12" s="1"/>
  <c r="AE71" i="12" s="1"/>
  <c r="G128" i="9"/>
  <c r="K16" i="2"/>
  <c r="E58" i="9"/>
  <c r="H58" i="9" s="1"/>
  <c r="D129" i="9"/>
  <c r="D132" i="9"/>
  <c r="D131" i="9"/>
  <c r="D130" i="9"/>
  <c r="AG81" i="12"/>
  <c r="AK81" i="12"/>
  <c r="AJ81" i="12"/>
  <c r="AI81" i="12"/>
  <c r="K20" i="2"/>
  <c r="B37" i="2"/>
  <c r="D37" i="2"/>
  <c r="K37" i="2"/>
  <c r="I162" i="9"/>
  <c r="G162" i="9"/>
  <c r="H162" i="9"/>
  <c r="D12" i="2"/>
  <c r="D20" i="2"/>
  <c r="D28" i="2"/>
  <c r="H35" i="2"/>
  <c r="F59" i="2"/>
  <c r="D30" i="9"/>
  <c r="F30" i="9"/>
  <c r="D103" i="9"/>
  <c r="I103" i="9"/>
  <c r="H103" i="9"/>
  <c r="J103" i="9" s="1"/>
  <c r="G103" i="9"/>
  <c r="F103" i="9"/>
  <c r="F171" i="9"/>
  <c r="E171" i="9"/>
  <c r="D171" i="9"/>
  <c r="B171" i="9"/>
  <c r="Z81" i="12"/>
  <c r="E12" i="2"/>
  <c r="E20" i="2"/>
  <c r="D35" i="2"/>
  <c r="D57" i="2"/>
  <c r="G59" i="2"/>
  <c r="AK24" i="8"/>
  <c r="D24" i="8" s="1"/>
  <c r="E24" i="8" s="1"/>
  <c r="E30" i="9"/>
  <c r="I30" i="9" s="1"/>
  <c r="D35" i="9"/>
  <c r="B35" i="9"/>
  <c r="H35" i="9"/>
  <c r="I35" i="9"/>
  <c r="E35" i="9"/>
  <c r="G35" i="9"/>
  <c r="F35" i="9"/>
  <c r="G78" i="9"/>
  <c r="E103" i="9"/>
  <c r="D146" i="9"/>
  <c r="F146" i="9"/>
  <c r="B146" i="9"/>
  <c r="G146" i="9"/>
  <c r="E146" i="9"/>
  <c r="I146" i="9" s="1"/>
  <c r="D158" i="9"/>
  <c r="AK59" i="12"/>
  <c r="AJ59" i="12"/>
  <c r="AI59" i="12"/>
  <c r="AL59" i="12"/>
  <c r="AG59" i="12"/>
  <c r="Z59" i="12"/>
  <c r="AL69" i="12"/>
  <c r="AK69" i="12"/>
  <c r="AJ69" i="12"/>
  <c r="AI69" i="12"/>
  <c r="AB69" i="12"/>
  <c r="AC69" i="12" s="1"/>
  <c r="AE69" i="12" s="1"/>
  <c r="AF69" i="12"/>
  <c r="AG69" i="12"/>
  <c r="F12" i="2"/>
  <c r="B14" i="2"/>
  <c r="G16" i="2"/>
  <c r="Q50" i="2"/>
  <c r="O50" i="2"/>
  <c r="L50" i="2"/>
  <c r="J50" i="2"/>
  <c r="R50" i="2"/>
  <c r="P50" i="2"/>
  <c r="N50" i="2"/>
  <c r="M50" i="2"/>
  <c r="K50" i="2"/>
  <c r="F50" i="2"/>
  <c r="E57" i="2"/>
  <c r="Q62" i="2"/>
  <c r="M62" i="2"/>
  <c r="J62" i="2"/>
  <c r="R62" i="2"/>
  <c r="P62" i="2"/>
  <c r="N62" i="2"/>
  <c r="L62" i="2"/>
  <c r="H62" i="2"/>
  <c r="O62" i="2"/>
  <c r="K62" i="2"/>
  <c r="I62" i="2"/>
  <c r="E62" i="2"/>
  <c r="G8" i="9"/>
  <c r="I25" i="9"/>
  <c r="H25" i="9"/>
  <c r="J25" i="9" s="1"/>
  <c r="G25" i="9"/>
  <c r="G30" i="9"/>
  <c r="I40" i="9"/>
  <c r="E40" i="9"/>
  <c r="G40" i="9" s="1"/>
  <c r="B40" i="9"/>
  <c r="D40" i="9"/>
  <c r="B54" i="9"/>
  <c r="H78" i="9"/>
  <c r="G93" i="9"/>
  <c r="H93" i="9"/>
  <c r="J93" i="9" s="1"/>
  <c r="N202" i="9"/>
  <c r="E202" i="9"/>
  <c r="D202" i="9"/>
  <c r="B202" i="9"/>
  <c r="K202" i="9"/>
  <c r="I202" i="9"/>
  <c r="H202" i="9"/>
  <c r="G202" i="9"/>
  <c r="F202" i="9"/>
  <c r="M202" i="9"/>
  <c r="L202" i="9"/>
  <c r="O202" i="9"/>
  <c r="V69" i="12"/>
  <c r="AI274" i="12"/>
  <c r="H19" i="2"/>
  <c r="D19" i="2"/>
  <c r="K19" i="2"/>
  <c r="G25" i="2"/>
  <c r="G62" i="9"/>
  <c r="B62" i="9"/>
  <c r="J62" i="9"/>
  <c r="D62" i="9"/>
  <c r="Z98" i="12"/>
  <c r="AG98" i="12"/>
  <c r="F165" i="9"/>
  <c r="E165" i="9"/>
  <c r="I165" i="9" s="1"/>
  <c r="D165" i="9"/>
  <c r="G165" i="9"/>
  <c r="I41" i="2"/>
  <c r="I12" i="2"/>
  <c r="B12" i="2"/>
  <c r="D16" i="2"/>
  <c r="K28" i="2"/>
  <c r="B28" i="2"/>
  <c r="I20" i="9"/>
  <c r="J20" i="9" s="1"/>
  <c r="K20" i="9" s="1"/>
  <c r="K35" i="2"/>
  <c r="L214" i="9"/>
  <c r="O214" i="9"/>
  <c r="I214" i="9"/>
  <c r="H214" i="9"/>
  <c r="F214" i="9"/>
  <c r="E214" i="9"/>
  <c r="N214" i="9"/>
  <c r="M214" i="9"/>
  <c r="K214" i="9"/>
  <c r="J214" i="9"/>
  <c r="G214" i="9"/>
  <c r="H243" i="9"/>
  <c r="L254" i="9"/>
  <c r="J254" i="9"/>
  <c r="I254" i="9"/>
  <c r="G254" i="9"/>
  <c r="F254" i="9"/>
  <c r="B254" i="9"/>
  <c r="O254" i="9"/>
  <c r="M254" i="9"/>
  <c r="K254" i="9"/>
  <c r="H254" i="9"/>
  <c r="N254" i="9"/>
  <c r="D254" i="9"/>
  <c r="E254" i="9"/>
  <c r="AI127" i="12"/>
  <c r="Z127" i="12"/>
  <c r="AJ127" i="12"/>
  <c r="AL127" i="12"/>
  <c r="AG127" i="12"/>
  <c r="AK127" i="12"/>
  <c r="AK231" i="12"/>
  <c r="AB231" i="12"/>
  <c r="AC231" i="12" s="1"/>
  <c r="AE231" i="12" s="1"/>
  <c r="AF231" i="12"/>
  <c r="I6" i="9"/>
  <c r="G6" i="9"/>
  <c r="J26" i="9"/>
  <c r="H26" i="9"/>
  <c r="D26" i="9"/>
  <c r="E26" i="9"/>
  <c r="I26" i="9" s="1"/>
  <c r="B26" i="9"/>
  <c r="D214" i="9"/>
  <c r="B86" i="9"/>
  <c r="F86" i="9"/>
  <c r="E86" i="9"/>
  <c r="H86" i="9" s="1"/>
  <c r="J86" i="9" s="1"/>
  <c r="L86" i="9" s="1"/>
  <c r="L132" i="9"/>
  <c r="K132" i="9"/>
  <c r="K34" i="2"/>
  <c r="F34" i="2"/>
  <c r="D34" i="2"/>
  <c r="H11" i="5" s="1"/>
  <c r="D86" i="9"/>
  <c r="AF180" i="12"/>
  <c r="AB180" i="12"/>
  <c r="AC180" i="12" s="1"/>
  <c r="AE180" i="12" s="1"/>
  <c r="AI180" i="12"/>
  <c r="AL180" i="12"/>
  <c r="AK180" i="12"/>
  <c r="AG180" i="12"/>
  <c r="AJ180" i="12"/>
  <c r="D128" i="9"/>
  <c r="K14" i="2"/>
  <c r="F14" i="2"/>
  <c r="M158" i="9"/>
  <c r="N158" i="9"/>
  <c r="O158" i="9" s="1"/>
  <c r="J57" i="2"/>
  <c r="D31" i="9"/>
  <c r="N261" i="9"/>
  <c r="O261" i="9"/>
  <c r="M261" i="9"/>
  <c r="I261" i="9"/>
  <c r="J261" i="9"/>
  <c r="H261" i="9"/>
  <c r="G261" i="9"/>
  <c r="F261" i="9"/>
  <c r="E261" i="9"/>
  <c r="D261" i="9"/>
  <c r="B261" i="9"/>
  <c r="L261" i="9"/>
  <c r="K261" i="9"/>
  <c r="H50" i="2"/>
  <c r="P63" i="2"/>
  <c r="O63" i="2"/>
  <c r="H63" i="2"/>
  <c r="B63" i="2"/>
  <c r="R63" i="2"/>
  <c r="M63" i="2"/>
  <c r="E54" i="2"/>
  <c r="F60" i="2"/>
  <c r="D37" i="9"/>
  <c r="E21" i="2"/>
  <c r="K59" i="9"/>
  <c r="D31" i="2"/>
  <c r="H31" i="2"/>
  <c r="K31" i="2"/>
  <c r="B45" i="2"/>
  <c r="D45" i="2"/>
  <c r="K47" i="2"/>
  <c r="F54" i="2"/>
  <c r="O57" i="2"/>
  <c r="H60" i="2"/>
  <c r="E63" i="2"/>
  <c r="B18" i="9"/>
  <c r="F18" i="9"/>
  <c r="H18" i="9"/>
  <c r="J18" i="9" s="1"/>
  <c r="K18" i="9" s="1"/>
  <c r="G18" i="9"/>
  <c r="H32" i="9"/>
  <c r="J32" i="9" s="1"/>
  <c r="L32" i="9" s="1"/>
  <c r="D89" i="9"/>
  <c r="D141" i="9"/>
  <c r="I141" i="9"/>
  <c r="G141" i="9"/>
  <c r="F141" i="9"/>
  <c r="E141" i="9"/>
  <c r="H141" i="9" s="1"/>
  <c r="B141" i="9"/>
  <c r="J173" i="9"/>
  <c r="L179" i="9"/>
  <c r="K179" i="9"/>
  <c r="H215" i="9"/>
  <c r="E215" i="9"/>
  <c r="O215" i="9"/>
  <c r="I215" i="9"/>
  <c r="M215" i="9"/>
  <c r="L215" i="9"/>
  <c r="K215" i="9"/>
  <c r="J215" i="9"/>
  <c r="F215" i="9"/>
  <c r="B215" i="9"/>
  <c r="N215" i="9"/>
  <c r="G215" i="9"/>
  <c r="AI89" i="12"/>
  <c r="Y3" i="12"/>
  <c r="Y4" i="12" s="1"/>
  <c r="Y5" i="12" s="1"/>
  <c r="Y6" i="12" s="1"/>
  <c r="B41" i="9"/>
  <c r="F41" i="9"/>
  <c r="D41" i="9"/>
  <c r="AF239" i="12"/>
  <c r="AB239" i="12"/>
  <c r="AC239" i="12" s="1"/>
  <c r="AE239" i="12" s="1"/>
  <c r="AL239" i="12"/>
  <c r="K57" i="2"/>
  <c r="I37" i="9"/>
  <c r="J37" i="9" s="1"/>
  <c r="F37" i="9"/>
  <c r="B37" i="9"/>
  <c r="H37" i="9"/>
  <c r="I50" i="2"/>
  <c r="D63" i="2"/>
  <c r="K23" i="2"/>
  <c r="D47" i="2"/>
  <c r="I60" i="2"/>
  <c r="F63" i="2"/>
  <c r="D18" i="9"/>
  <c r="G21" i="9"/>
  <c r="G37" i="9"/>
  <c r="E89" i="9"/>
  <c r="G89" i="9" s="1"/>
  <c r="H121" i="9"/>
  <c r="E121" i="9"/>
  <c r="I121" i="9" s="1"/>
  <c r="G121" i="9"/>
  <c r="F121" i="9"/>
  <c r="B121" i="9"/>
  <c r="AI28" i="12"/>
  <c r="F58" i="9"/>
  <c r="D58" i="9"/>
  <c r="M54" i="2"/>
  <c r="I54" i="2"/>
  <c r="N54" i="2"/>
  <c r="L54" i="2"/>
  <c r="P54" i="2"/>
  <c r="O54" i="2"/>
  <c r="G62" i="2"/>
  <c r="K38" i="2"/>
  <c r="H54" i="2"/>
  <c r="G63" i="2"/>
  <c r="I66" i="2"/>
  <c r="E66" i="2"/>
  <c r="H66" i="2"/>
  <c r="G66" i="2"/>
  <c r="R66" i="2"/>
  <c r="Q66" i="2"/>
  <c r="P66" i="2"/>
  <c r="M66" i="2"/>
  <c r="O66" i="2"/>
  <c r="N66" i="2"/>
  <c r="J66" i="2"/>
  <c r="E18" i="9"/>
  <c r="I18" i="9" s="1"/>
  <c r="G27" i="9"/>
  <c r="E51" i="9"/>
  <c r="F51" i="9"/>
  <c r="B116" i="9"/>
  <c r="F116" i="9"/>
  <c r="E116" i="9"/>
  <c r="I116" i="9" s="1"/>
  <c r="D121" i="9"/>
  <c r="D216" i="9"/>
  <c r="O216" i="9"/>
  <c r="L216" i="9"/>
  <c r="H216" i="9"/>
  <c r="F216" i="9"/>
  <c r="E216" i="9"/>
  <c r="B216" i="9"/>
  <c r="N216" i="9"/>
  <c r="M216" i="9"/>
  <c r="G216" i="9"/>
  <c r="K216" i="9"/>
  <c r="I216" i="9"/>
  <c r="AL92" i="12"/>
  <c r="AJ92" i="12"/>
  <c r="AI92" i="12"/>
  <c r="Z92" i="12"/>
  <c r="D41" i="2"/>
  <c r="I28" i="9"/>
  <c r="H28" i="9"/>
  <c r="G28" i="9"/>
  <c r="I90" i="9"/>
  <c r="H90" i="9"/>
  <c r="J90" i="9" s="1"/>
  <c r="AL17" i="12"/>
  <c r="AK17" i="12"/>
  <c r="AB17" i="12"/>
  <c r="AC17" i="12" s="1"/>
  <c r="AE17" i="12" s="1"/>
  <c r="AJ17" i="12"/>
  <c r="AI17" i="12"/>
  <c r="AG17" i="12"/>
  <c r="AF17" i="12"/>
  <c r="G90" i="9"/>
  <c r="H102" i="9"/>
  <c r="J102" i="9" s="1"/>
  <c r="K102" i="9" s="1"/>
  <c r="G102" i="9"/>
  <c r="F128" i="9"/>
  <c r="E128" i="9"/>
  <c r="H128" i="9" s="1"/>
  <c r="I181" i="9"/>
  <c r="H181" i="9"/>
  <c r="J181" i="9" s="1"/>
  <c r="K181" i="9" s="1"/>
  <c r="G181" i="9"/>
  <c r="F41" i="2"/>
  <c r="E62" i="9"/>
  <c r="H62" i="9" s="1"/>
  <c r="I86" i="9"/>
  <c r="I62" i="9"/>
  <c r="F112" i="9"/>
  <c r="D112" i="9"/>
  <c r="I112" i="9"/>
  <c r="B112" i="9"/>
  <c r="E112" i="9"/>
  <c r="G112" i="9" s="1"/>
  <c r="H112" i="9"/>
  <c r="J112" i="9" s="1"/>
  <c r="B209" i="9"/>
  <c r="H209" i="9"/>
  <c r="E209" i="9"/>
  <c r="F209" i="9"/>
  <c r="D209" i="9"/>
  <c r="L209" i="9"/>
  <c r="N209" i="9"/>
  <c r="J209" i="9"/>
  <c r="M209" i="9"/>
  <c r="O209" i="9"/>
  <c r="I209" i="9"/>
  <c r="G209" i="9"/>
  <c r="H59" i="2"/>
  <c r="D59" i="2"/>
  <c r="Q59" i="2"/>
  <c r="B59" i="2"/>
  <c r="P59" i="2"/>
  <c r="O59" i="2"/>
  <c r="M59" i="2"/>
  <c r="N59" i="2"/>
  <c r="L59" i="2"/>
  <c r="K59" i="2"/>
  <c r="J59" i="2"/>
  <c r="E59" i="2"/>
  <c r="B57" i="2"/>
  <c r="R57" i="2"/>
  <c r="G57" i="2"/>
  <c r="I57" i="2"/>
  <c r="L57" i="2"/>
  <c r="Q57" i="2"/>
  <c r="M57" i="2"/>
  <c r="F57" i="2"/>
  <c r="R59" i="2"/>
  <c r="AK55" i="8"/>
  <c r="D55" i="8" s="1"/>
  <c r="E55" i="8" s="1"/>
  <c r="F54" i="9"/>
  <c r="I54" i="9"/>
  <c r="H54" i="9"/>
  <c r="J54" i="9" s="1"/>
  <c r="L54" i="9" s="1"/>
  <c r="G54" i="9"/>
  <c r="E54" i="9"/>
  <c r="F74" i="9"/>
  <c r="E74" i="9"/>
  <c r="D74" i="9"/>
  <c r="B74" i="9"/>
  <c r="H260" i="9"/>
  <c r="K260" i="9"/>
  <c r="J260" i="9"/>
  <c r="G260" i="9"/>
  <c r="F260" i="9"/>
  <c r="B260" i="9"/>
  <c r="M260" i="9"/>
  <c r="L260" i="9"/>
  <c r="E260" i="9"/>
  <c r="D260" i="9"/>
  <c r="I260" i="9"/>
  <c r="O260" i="9"/>
  <c r="D276" i="9"/>
  <c r="O276" i="9"/>
  <c r="N276" i="9"/>
  <c r="J276" i="9"/>
  <c r="L276" i="9"/>
  <c r="K276" i="9"/>
  <c r="H276" i="9"/>
  <c r="G276" i="9"/>
  <c r="I276" i="9"/>
  <c r="M276" i="9"/>
  <c r="F276" i="9"/>
  <c r="E276" i="9"/>
  <c r="H57" i="2"/>
  <c r="N260" i="9"/>
  <c r="AF3" i="12"/>
  <c r="AB3" i="12"/>
  <c r="AC3" i="12" s="1"/>
  <c r="AL42" i="12"/>
  <c r="Z42" i="12"/>
  <c r="Z155" i="12"/>
  <c r="AL155" i="12"/>
  <c r="AK155" i="12"/>
  <c r="AG155" i="12"/>
  <c r="AI155" i="12"/>
  <c r="AJ155" i="12"/>
  <c r="B29" i="2"/>
  <c r="G50" i="2"/>
  <c r="K60" i="2"/>
  <c r="G60" i="2"/>
  <c r="D60" i="2"/>
  <c r="J60" i="2"/>
  <c r="Q60" i="2"/>
  <c r="R60" i="2"/>
  <c r="N60" i="2"/>
  <c r="F243" i="9"/>
  <c r="N243" i="9"/>
  <c r="M243" i="9"/>
  <c r="I243" i="9"/>
  <c r="E243" i="9"/>
  <c r="D243" i="9"/>
  <c r="B243" i="9"/>
  <c r="O243" i="9"/>
  <c r="L243" i="9"/>
  <c r="G243" i="9"/>
  <c r="K243" i="9"/>
  <c r="E298" i="9"/>
  <c r="D298" i="9"/>
  <c r="B298" i="9"/>
  <c r="N298" i="9"/>
  <c r="M298" i="9"/>
  <c r="O298" i="9"/>
  <c r="K298" i="9"/>
  <c r="H298" i="9"/>
  <c r="G298" i="9"/>
  <c r="L298" i="9"/>
  <c r="J298" i="9"/>
  <c r="I298" i="9"/>
  <c r="AF415" i="12"/>
  <c r="AB415" i="12"/>
  <c r="AC415" i="12" s="1"/>
  <c r="AE415" i="12" s="1"/>
  <c r="D29" i="2"/>
  <c r="D54" i="2"/>
  <c r="N57" i="2"/>
  <c r="B89" i="9"/>
  <c r="I89" i="9"/>
  <c r="H89" i="9"/>
  <c r="J89" i="9" s="1"/>
  <c r="L89" i="9" s="1"/>
  <c r="K89" i="9"/>
  <c r="B11" i="2"/>
  <c r="K15" i="2"/>
  <c r="K29" i="2"/>
  <c r="H45" i="2"/>
  <c r="J54" i="2"/>
  <c r="M60" i="2"/>
  <c r="I63" i="2"/>
  <c r="D66" i="2"/>
  <c r="R69" i="2"/>
  <c r="N69" i="2"/>
  <c r="B69" i="2"/>
  <c r="P69" i="2"/>
  <c r="D69" i="2"/>
  <c r="M69" i="2"/>
  <c r="D51" i="9"/>
  <c r="D116" i="9"/>
  <c r="J216" i="9"/>
  <c r="D236" i="9"/>
  <c r="J236" i="9"/>
  <c r="I236" i="9"/>
  <c r="G236" i="9"/>
  <c r="F236" i="9"/>
  <c r="K236" i="9"/>
  <c r="N236" i="9"/>
  <c r="M236" i="9"/>
  <c r="L236" i="9"/>
  <c r="B236" i="9"/>
  <c r="H236" i="9"/>
  <c r="O236" i="9"/>
  <c r="Z12" i="12"/>
  <c r="AK12" i="12"/>
  <c r="AG78" i="12"/>
  <c r="Z78" i="12"/>
  <c r="F31" i="9"/>
  <c r="E31" i="9"/>
  <c r="B31" i="9"/>
  <c r="H31" i="9"/>
  <c r="J31" i="9" s="1"/>
  <c r="L31" i="9" s="1"/>
  <c r="K31" i="9"/>
  <c r="G31" i="9"/>
  <c r="I31" i="9"/>
  <c r="D54" i="9"/>
  <c r="H74" i="9"/>
  <c r="F26" i="9"/>
  <c r="AJ150" i="12"/>
  <c r="AG150" i="12"/>
  <c r="Z150" i="12"/>
  <c r="AL150" i="12"/>
  <c r="AK150" i="12"/>
  <c r="K12" i="2"/>
  <c r="D38" i="2"/>
  <c r="E60" i="2"/>
  <c r="AK56" i="8"/>
  <c r="D56" i="8" s="1"/>
  <c r="E56" i="8" s="1"/>
  <c r="E41" i="9"/>
  <c r="F11" i="2"/>
  <c r="AK54" i="8"/>
  <c r="D54" i="8" s="1"/>
  <c r="E54" i="8" s="1"/>
  <c r="AK20" i="8"/>
  <c r="D20" i="8" s="1"/>
  <c r="E20" i="8" s="1"/>
  <c r="AK47" i="8"/>
  <c r="D47" i="8" s="1"/>
  <c r="E47" i="8" s="1"/>
  <c r="AK11" i="8"/>
  <c r="D11" i="8" s="1"/>
  <c r="E11" i="8" s="1"/>
  <c r="AK7" i="8"/>
  <c r="D7" i="8" s="1"/>
  <c r="E7" i="8" s="1"/>
  <c r="AK33" i="8"/>
  <c r="D33" i="8" s="1"/>
  <c r="E33" i="8" s="1"/>
  <c r="AK22" i="8"/>
  <c r="D22" i="8" s="1"/>
  <c r="E22" i="8" s="1"/>
  <c r="AK34" i="8"/>
  <c r="D34" i="8" s="1"/>
  <c r="E34" i="8" s="1"/>
  <c r="D15" i="2"/>
  <c r="K54" i="2"/>
  <c r="O60" i="2"/>
  <c r="J63" i="2"/>
  <c r="F66" i="2"/>
  <c r="E69" i="2"/>
  <c r="G11" i="9"/>
  <c r="F11" i="9"/>
  <c r="E11" i="9"/>
  <c r="I11" i="9" s="1"/>
  <c r="B11" i="9"/>
  <c r="L18" i="9"/>
  <c r="G51" i="9"/>
  <c r="L111" i="9"/>
  <c r="N111" i="9" s="1"/>
  <c r="O111" i="9" s="1"/>
  <c r="H111" i="9"/>
  <c r="B111" i="9"/>
  <c r="I111" i="9"/>
  <c r="J111" i="9" s="1"/>
  <c r="K111" i="9" s="1"/>
  <c r="G111" i="9"/>
  <c r="AI5" i="12"/>
  <c r="AI245" i="12"/>
  <c r="AI60" i="12"/>
  <c r="AI88" i="12"/>
  <c r="AI31" i="12"/>
  <c r="AI36" i="12"/>
  <c r="AI9" i="12"/>
  <c r="AI204" i="12"/>
  <c r="AI11" i="12"/>
  <c r="AI232" i="12"/>
  <c r="AI145" i="12"/>
  <c r="AI45" i="12"/>
  <c r="Z19" i="12"/>
  <c r="AG19" i="12"/>
  <c r="AI19" i="12"/>
  <c r="AJ19" i="12"/>
  <c r="AK19" i="12"/>
  <c r="AI80" i="12"/>
  <c r="AK113" i="12"/>
  <c r="AJ113" i="12"/>
  <c r="AI113" i="12"/>
  <c r="Z113" i="12"/>
  <c r="AG113" i="12"/>
  <c r="AK15" i="8"/>
  <c r="D15" i="8" s="1"/>
  <c r="E15" i="8" s="1"/>
  <c r="B25" i="2"/>
  <c r="J53" i="2"/>
  <c r="F53" i="2"/>
  <c r="H53" i="2"/>
  <c r="E53" i="2"/>
  <c r="G53" i="2"/>
  <c r="O68" i="2"/>
  <c r="K68" i="2"/>
  <c r="R68" i="2"/>
  <c r="H68" i="2"/>
  <c r="P68" i="2"/>
  <c r="F9" i="9"/>
  <c r="B9" i="9"/>
  <c r="I9" i="9"/>
  <c r="G9" i="9"/>
  <c r="E9" i="9"/>
  <c r="H9" i="9" s="1"/>
  <c r="J9" i="9" s="1"/>
  <c r="H21" i="9"/>
  <c r="J21" i="9" s="1"/>
  <c r="D21" i="9"/>
  <c r="B21" i="9"/>
  <c r="F21" i="9"/>
  <c r="I142" i="9"/>
  <c r="H142" i="9"/>
  <c r="G142" i="9"/>
  <c r="D206" i="9"/>
  <c r="H206" i="9"/>
  <c r="E206" i="9"/>
  <c r="K206" i="9"/>
  <c r="B206" i="9"/>
  <c r="N206" i="9"/>
  <c r="O206" i="9"/>
  <c r="M206" i="9"/>
  <c r="J206" i="9"/>
  <c r="I206" i="9"/>
  <c r="Z6" i="12"/>
  <c r="AG6" i="12"/>
  <c r="AL6" i="12"/>
  <c r="AK6" i="12"/>
  <c r="Z74" i="12"/>
  <c r="AK74" i="12"/>
  <c r="AJ74" i="12"/>
  <c r="Z438" i="12"/>
  <c r="AJ438" i="12"/>
  <c r="AG438" i="12"/>
  <c r="AL438" i="12"/>
  <c r="AK438" i="12"/>
  <c r="AI438" i="12"/>
  <c r="AI94" i="12"/>
  <c r="AG94" i="12"/>
  <c r="AF94" i="12"/>
  <c r="AB94" i="12"/>
  <c r="AC94" i="12" s="1"/>
  <c r="AE94" i="12" s="1"/>
  <c r="AJ94" i="12"/>
  <c r="AL94" i="12"/>
  <c r="AK94" i="12"/>
  <c r="AG257" i="12"/>
  <c r="AJ257" i="12"/>
  <c r="AI257" i="12"/>
  <c r="AL257" i="12"/>
  <c r="AF257" i="12"/>
  <c r="AB257" i="12"/>
  <c r="AC257" i="12" s="1"/>
  <c r="AE257" i="12" s="1"/>
  <c r="K40" i="2"/>
  <c r="I40" i="2"/>
  <c r="L53" i="2"/>
  <c r="P55" i="2"/>
  <c r="L55" i="2"/>
  <c r="G68" i="2"/>
  <c r="E23" i="6"/>
  <c r="F22" i="9"/>
  <c r="D22" i="9"/>
  <c r="G22" i="9"/>
  <c r="H22" i="9"/>
  <c r="B22" i="9"/>
  <c r="G32" i="9"/>
  <c r="E38" i="9"/>
  <c r="F60" i="9"/>
  <c r="B60" i="9"/>
  <c r="F100" i="9"/>
  <c r="B100" i="9"/>
  <c r="H100" i="9"/>
  <c r="J100" i="9"/>
  <c r="L100" i="9" s="1"/>
  <c r="G100" i="9"/>
  <c r="F134" i="9"/>
  <c r="E134" i="9"/>
  <c r="I134" i="9" s="1"/>
  <c r="D134" i="9"/>
  <c r="L234" i="9"/>
  <c r="N234" i="9"/>
  <c r="M234" i="9"/>
  <c r="H234" i="9"/>
  <c r="I234" i="9"/>
  <c r="B234" i="9"/>
  <c r="K234" i="9"/>
  <c r="G234" i="9"/>
  <c r="F234" i="9"/>
  <c r="E292" i="9"/>
  <c r="D292" i="9"/>
  <c r="B292" i="9"/>
  <c r="J292" i="9"/>
  <c r="I292" i="9"/>
  <c r="G292" i="9"/>
  <c r="F292" i="9"/>
  <c r="O292" i="9"/>
  <c r="N292" i="9"/>
  <c r="M292" i="9"/>
  <c r="L292" i="9"/>
  <c r="K292" i="9"/>
  <c r="AL128" i="12"/>
  <c r="Z263" i="12"/>
  <c r="AL263" i="12"/>
  <c r="D40" i="2"/>
  <c r="K46" i="2"/>
  <c r="D46" i="2"/>
  <c r="M53" i="2"/>
  <c r="D55" i="2"/>
  <c r="B61" i="2"/>
  <c r="I68" i="2"/>
  <c r="E11" i="6"/>
  <c r="B16" i="9"/>
  <c r="E22" i="9"/>
  <c r="I22" i="9" s="1"/>
  <c r="F38" i="9"/>
  <c r="M52" i="9"/>
  <c r="H57" i="9"/>
  <c r="D57" i="9"/>
  <c r="J57" i="9"/>
  <c r="I57" i="9"/>
  <c r="E57" i="9"/>
  <c r="G57" i="9" s="1"/>
  <c r="B57" i="9"/>
  <c r="D60" i="9"/>
  <c r="K63" i="9"/>
  <c r="L63" i="9"/>
  <c r="N63" i="9" s="1"/>
  <c r="O63" i="9" s="1"/>
  <c r="D100" i="9"/>
  <c r="F144" i="9"/>
  <c r="H144" i="9"/>
  <c r="B144" i="9"/>
  <c r="E144" i="9"/>
  <c r="G188" i="9"/>
  <c r="I46" i="2" s="1"/>
  <c r="D188" i="9"/>
  <c r="B188" i="9"/>
  <c r="I188" i="9"/>
  <c r="E188" i="9"/>
  <c r="H188" i="9" s="1"/>
  <c r="J188" i="9" s="1"/>
  <c r="L188" i="9" s="1"/>
  <c r="M188" i="9" s="1"/>
  <c r="D234" i="9"/>
  <c r="H292" i="9"/>
  <c r="D78" i="9"/>
  <c r="D76" i="9"/>
  <c r="AI6" i="12"/>
  <c r="F32" i="9"/>
  <c r="D32" i="9"/>
  <c r="E32" i="9"/>
  <c r="B32" i="9"/>
  <c r="E58" i="2"/>
  <c r="L58" i="2"/>
  <c r="O58" i="2"/>
  <c r="L52" i="9"/>
  <c r="K52" i="9"/>
  <c r="AI475" i="12"/>
  <c r="AJ475" i="12"/>
  <c r="L68" i="2"/>
  <c r="E16" i="9"/>
  <c r="H16" i="9" s="1"/>
  <c r="J22" i="9"/>
  <c r="M152" i="9"/>
  <c r="G182" i="9"/>
  <c r="D182" i="9"/>
  <c r="I182" i="9"/>
  <c r="H182" i="9"/>
  <c r="J182" i="9" s="1"/>
  <c r="F182" i="9"/>
  <c r="E182" i="9"/>
  <c r="B182" i="9"/>
  <c r="D213" i="9"/>
  <c r="G55" i="2"/>
  <c r="F58" i="2"/>
  <c r="M68" i="2"/>
  <c r="H33" i="9"/>
  <c r="E49" i="9"/>
  <c r="D53" i="9"/>
  <c r="B53" i="9"/>
  <c r="H60" i="9"/>
  <c r="J60" i="9" s="1"/>
  <c r="L60" i="9" s="1"/>
  <c r="F127" i="9"/>
  <c r="K152" i="9"/>
  <c r="L152" i="9"/>
  <c r="N152" i="9" s="1"/>
  <c r="O152" i="9" s="1"/>
  <c r="B189" i="9"/>
  <c r="G189" i="9"/>
  <c r="I189" i="9"/>
  <c r="J189" i="9" s="1"/>
  <c r="H189" i="9"/>
  <c r="D189" i="9"/>
  <c r="F189" i="9"/>
  <c r="E213" i="9"/>
  <c r="O234" i="9"/>
  <c r="O282" i="9"/>
  <c r="N282" i="9"/>
  <c r="J282" i="9"/>
  <c r="L282" i="9"/>
  <c r="M282" i="9"/>
  <c r="G282" i="9"/>
  <c r="I282" i="9"/>
  <c r="D282" i="9"/>
  <c r="F282" i="9"/>
  <c r="B282" i="9"/>
  <c r="Z131" i="12"/>
  <c r="AK131" i="12"/>
  <c r="AL131" i="12"/>
  <c r="AI143" i="12"/>
  <c r="AJ200" i="12"/>
  <c r="AI200" i="12"/>
  <c r="AG200" i="12"/>
  <c r="AF200" i="12"/>
  <c r="AK200" i="12"/>
  <c r="AB200" i="12"/>
  <c r="AC200" i="12" s="1"/>
  <c r="AE200" i="12" s="1"/>
  <c r="AL200" i="12"/>
  <c r="D13" i="2"/>
  <c r="K25" i="2"/>
  <c r="J234" i="9"/>
  <c r="H55" i="2"/>
  <c r="N68" i="2"/>
  <c r="D7" i="9"/>
  <c r="F7" i="9"/>
  <c r="E7" i="9"/>
  <c r="H7" i="9" s="1"/>
  <c r="F23" i="9"/>
  <c r="E23" i="9"/>
  <c r="B23" i="9"/>
  <c r="D23" i="9"/>
  <c r="D33" i="9"/>
  <c r="E53" i="9"/>
  <c r="I60" i="9"/>
  <c r="N164" i="9"/>
  <c r="M164" i="9"/>
  <c r="E189" i="9"/>
  <c r="O225" i="9"/>
  <c r="M225" i="9"/>
  <c r="L225" i="9"/>
  <c r="H225" i="9"/>
  <c r="K225" i="9"/>
  <c r="J225" i="9"/>
  <c r="G225" i="9"/>
  <c r="F225" i="9"/>
  <c r="B225" i="9"/>
  <c r="I225" i="9"/>
  <c r="N225" i="9"/>
  <c r="E282" i="9"/>
  <c r="AL22" i="12"/>
  <c r="Z49" i="12"/>
  <c r="AI49" i="12"/>
  <c r="AK49" i="12"/>
  <c r="AJ49" i="12"/>
  <c r="AK92" i="12"/>
  <c r="Z223" i="12"/>
  <c r="AG223" i="12"/>
  <c r="AF251" i="12"/>
  <c r="AJ251" i="12"/>
  <c r="AL251" i="12"/>
  <c r="AB251" i="12"/>
  <c r="AC251" i="12" s="1"/>
  <c r="AE251" i="12" s="1"/>
  <c r="B38" i="9"/>
  <c r="I38" i="9"/>
  <c r="D38" i="9"/>
  <c r="H38" i="9"/>
  <c r="J38" i="9" s="1"/>
  <c r="H67" i="9"/>
  <c r="D67" i="9"/>
  <c r="F67" i="9"/>
  <c r="E67" i="9"/>
  <c r="N61" i="2"/>
  <c r="J61" i="2"/>
  <c r="E61" i="2"/>
  <c r="K61" i="2"/>
  <c r="R61" i="2"/>
  <c r="F16" i="9"/>
  <c r="D16" i="9"/>
  <c r="I32" i="9"/>
  <c r="G38" i="9"/>
  <c r="F213" i="9"/>
  <c r="O213" i="9"/>
  <c r="L213" i="9"/>
  <c r="H213" i="9"/>
  <c r="K213" i="9"/>
  <c r="N213" i="9"/>
  <c r="B213" i="9"/>
  <c r="I213" i="9"/>
  <c r="G213" i="9"/>
  <c r="AI14" i="12"/>
  <c r="AL14" i="12"/>
  <c r="AJ14" i="12"/>
  <c r="AK14" i="12"/>
  <c r="AG14" i="12"/>
  <c r="AF14" i="12"/>
  <c r="AB14" i="12"/>
  <c r="AC14" i="12" s="1"/>
  <c r="AE14" i="12" s="1"/>
  <c r="AG109" i="12"/>
  <c r="AF109" i="12"/>
  <c r="AL109" i="12"/>
  <c r="AK109" i="12"/>
  <c r="AJ109" i="12"/>
  <c r="AI109" i="12"/>
  <c r="AB109" i="12"/>
  <c r="AC109" i="12" s="1"/>
  <c r="AE109" i="12" s="1"/>
  <c r="O53" i="2"/>
  <c r="F55" i="2"/>
  <c r="D58" i="2"/>
  <c r="D61" i="2"/>
  <c r="D49" i="9"/>
  <c r="B49" i="9"/>
  <c r="G60" i="9"/>
  <c r="I100" i="9"/>
  <c r="I108" i="9"/>
  <c r="H108" i="9"/>
  <c r="J108" i="9" s="1"/>
  <c r="I30" i="2" s="1"/>
  <c r="H127" i="9"/>
  <c r="J127" i="9" s="1"/>
  <c r="H34" i="2" s="1"/>
  <c r="D127" i="9"/>
  <c r="B127" i="9"/>
  <c r="E127" i="9"/>
  <c r="G127" i="9" s="1"/>
  <c r="P53" i="2"/>
  <c r="F61" i="2"/>
  <c r="I27" i="2"/>
  <c r="B42" i="2"/>
  <c r="Q53" i="2"/>
  <c r="G58" i="2"/>
  <c r="L67" i="2"/>
  <c r="H67" i="2"/>
  <c r="N67" i="2"/>
  <c r="M67" i="2"/>
  <c r="J67" i="2"/>
  <c r="F67" i="2"/>
  <c r="D27" i="2"/>
  <c r="H33" i="2"/>
  <c r="D36" i="2"/>
  <c r="D42" i="2"/>
  <c r="O48" i="2"/>
  <c r="K48" i="2"/>
  <c r="E48" i="2"/>
  <c r="D51" i="2"/>
  <c r="R51" i="2"/>
  <c r="Q51" i="2"/>
  <c r="R53" i="2"/>
  <c r="I55" i="2"/>
  <c r="H58" i="2"/>
  <c r="H61" i="2"/>
  <c r="D67" i="2"/>
  <c r="Q68" i="2"/>
  <c r="F4" i="9"/>
  <c r="E4" i="9"/>
  <c r="B4" i="9"/>
  <c r="G23" i="9"/>
  <c r="E33" i="9"/>
  <c r="F53" i="9"/>
  <c r="I69" i="9"/>
  <c r="H69" i="9"/>
  <c r="F69" i="9"/>
  <c r="D69" i="9"/>
  <c r="G72" i="9"/>
  <c r="H77" i="9"/>
  <c r="J77" i="9" s="1"/>
  <c r="D77" i="9"/>
  <c r="I77" i="9"/>
  <c r="G77" i="9"/>
  <c r="E77" i="9"/>
  <c r="B77" i="9"/>
  <c r="H97" i="9"/>
  <c r="J97" i="9" s="1"/>
  <c r="K97" i="9" s="1"/>
  <c r="D97" i="9"/>
  <c r="L97" i="9"/>
  <c r="N97" i="9" s="1"/>
  <c r="O97" i="9" s="1"/>
  <c r="F97" i="9"/>
  <c r="B97" i="9"/>
  <c r="G97" i="9"/>
  <c r="E97" i="9"/>
  <c r="I97" i="9" s="1"/>
  <c r="I115" i="9"/>
  <c r="H115" i="9"/>
  <c r="J115" i="9" s="1"/>
  <c r="K115" i="9" s="1"/>
  <c r="F115" i="9"/>
  <c r="K122" i="9"/>
  <c r="I127" i="9"/>
  <c r="H161" i="9"/>
  <c r="J161" i="9" s="1"/>
  <c r="F178" i="9"/>
  <c r="I178" i="9"/>
  <c r="J178" i="9" s="1"/>
  <c r="H178" i="9"/>
  <c r="B178" i="9"/>
  <c r="D178" i="9"/>
  <c r="E178" i="9"/>
  <c r="G178" i="9" s="1"/>
  <c r="M213" i="9"/>
  <c r="D225" i="9"/>
  <c r="H282" i="9"/>
  <c r="AL23" i="12"/>
  <c r="AK23" i="12"/>
  <c r="AI23" i="12"/>
  <c r="AB23" i="12"/>
  <c r="AC23" i="12" s="1"/>
  <c r="AE23" i="12" s="1"/>
  <c r="AF23" i="12"/>
  <c r="AG131" i="12"/>
  <c r="E55" i="9"/>
  <c r="D55" i="9"/>
  <c r="B55" i="9"/>
  <c r="H101" i="9"/>
  <c r="E101" i="9"/>
  <c r="D101" i="9"/>
  <c r="B101" i="9"/>
  <c r="N105" i="9"/>
  <c r="O105" i="9" s="1"/>
  <c r="M132" i="9"/>
  <c r="AL26" i="12"/>
  <c r="AK56" i="12"/>
  <c r="AJ56" i="12"/>
  <c r="AG56" i="12"/>
  <c r="AB56" i="12"/>
  <c r="AC56" i="12" s="1"/>
  <c r="AE56" i="12" s="1"/>
  <c r="AL56" i="12"/>
  <c r="AI56" i="12"/>
  <c r="AF56" i="12"/>
  <c r="R49" i="2"/>
  <c r="N49" i="2"/>
  <c r="J49" i="2"/>
  <c r="F49" i="2"/>
  <c r="D5" i="9"/>
  <c r="B5" i="9"/>
  <c r="F5" i="9"/>
  <c r="E5" i="9"/>
  <c r="I14" i="9"/>
  <c r="J14" i="9"/>
  <c r="F14" i="9"/>
  <c r="N36" i="9"/>
  <c r="O36" i="9" s="1"/>
  <c r="I76" i="9"/>
  <c r="H76" i="9"/>
  <c r="G76" i="9"/>
  <c r="D113" i="9"/>
  <c r="G113" i="9"/>
  <c r="E113" i="9"/>
  <c r="I113" i="9" s="1"/>
  <c r="H184" i="9"/>
  <c r="E184" i="9"/>
  <c r="I184" i="9" s="1"/>
  <c r="D184" i="9"/>
  <c r="J184" i="9"/>
  <c r="D196" i="9"/>
  <c r="N196" i="9"/>
  <c r="M196" i="9"/>
  <c r="L196" i="9"/>
  <c r="J196" i="9"/>
  <c r="I196" i="9"/>
  <c r="B196" i="9"/>
  <c r="O196" i="9"/>
  <c r="K196" i="9"/>
  <c r="H196" i="9"/>
  <c r="G196" i="9"/>
  <c r="F196" i="9"/>
  <c r="J257" i="9"/>
  <c r="K257" i="9"/>
  <c r="I257" i="9"/>
  <c r="G257" i="9"/>
  <c r="F257" i="9"/>
  <c r="B257" i="9"/>
  <c r="O257" i="9"/>
  <c r="M257" i="9"/>
  <c r="L257" i="9"/>
  <c r="H257" i="9"/>
  <c r="E257" i="9"/>
  <c r="D257" i="9"/>
  <c r="AB7" i="12"/>
  <c r="AC7" i="12" s="1"/>
  <c r="AE7" i="12" s="1"/>
  <c r="AL7" i="12"/>
  <c r="AK7" i="12"/>
  <c r="AK29" i="12"/>
  <c r="AJ29" i="12"/>
  <c r="AG29" i="12"/>
  <c r="AL29" i="12"/>
  <c r="AI29" i="12"/>
  <c r="AB29" i="12"/>
  <c r="AC29" i="12" s="1"/>
  <c r="AE29" i="12" s="1"/>
  <c r="AF29" i="12"/>
  <c r="AF76" i="12"/>
  <c r="AB76" i="12"/>
  <c r="AC76" i="12" s="1"/>
  <c r="AE76" i="12" s="1"/>
  <c r="AB87" i="12"/>
  <c r="AC87" i="12" s="1"/>
  <c r="AE87" i="12" s="1"/>
  <c r="AF87" i="12"/>
  <c r="AF311" i="12"/>
  <c r="AI311" i="12"/>
  <c r="AB311" i="12"/>
  <c r="AC311" i="12" s="1"/>
  <c r="AE311" i="12" s="1"/>
  <c r="AI173" i="12"/>
  <c r="AI194" i="12"/>
  <c r="D73" i="9"/>
  <c r="G73" i="9"/>
  <c r="B73" i="9"/>
  <c r="I73" i="9"/>
  <c r="H73" i="9"/>
  <c r="J73" i="9" s="1"/>
  <c r="F73" i="9"/>
  <c r="I149" i="9"/>
  <c r="H149" i="9"/>
  <c r="J149" i="9" s="1"/>
  <c r="H180" i="9"/>
  <c r="F180" i="9"/>
  <c r="J180" i="9"/>
  <c r="K180" i="9" s="1"/>
  <c r="B180" i="9"/>
  <c r="I180" i="9"/>
  <c r="G180" i="9"/>
  <c r="V57" i="12"/>
  <c r="V159" i="12"/>
  <c r="H6" i="9"/>
  <c r="J6" i="9" s="1"/>
  <c r="B46" i="9"/>
  <c r="H46" i="9"/>
  <c r="J46" i="9" s="1"/>
  <c r="G46" i="9"/>
  <c r="F46" i="9"/>
  <c r="D46" i="9"/>
  <c r="L46" i="9"/>
  <c r="K46" i="9"/>
  <c r="B66" i="9"/>
  <c r="G66" i="9"/>
  <c r="F66" i="9"/>
  <c r="D66" i="9"/>
  <c r="L66" i="9"/>
  <c r="K66" i="9"/>
  <c r="J66" i="9"/>
  <c r="H66" i="9"/>
  <c r="E73" i="9"/>
  <c r="F84" i="9"/>
  <c r="H84" i="9"/>
  <c r="I84" i="9"/>
  <c r="B84" i="9"/>
  <c r="I106" i="9"/>
  <c r="H106" i="9"/>
  <c r="J106" i="9" s="1"/>
  <c r="G106" i="9"/>
  <c r="H125" i="9"/>
  <c r="G185" i="9"/>
  <c r="D185" i="9"/>
  <c r="I185" i="9"/>
  <c r="F185" i="9"/>
  <c r="E185" i="9"/>
  <c r="H185" i="9" s="1"/>
  <c r="J185" i="9" s="1"/>
  <c r="K185" i="9" s="1"/>
  <c r="B185" i="9"/>
  <c r="N255" i="9"/>
  <c r="M255" i="9"/>
  <c r="I255" i="9"/>
  <c r="B255" i="9"/>
  <c r="O255" i="9"/>
  <c r="J255" i="9"/>
  <c r="H255" i="9"/>
  <c r="G255" i="9"/>
  <c r="F255" i="9"/>
  <c r="E255" i="9"/>
  <c r="K255" i="9"/>
  <c r="AL12" i="12"/>
  <c r="AI101" i="12"/>
  <c r="AK101" i="12"/>
  <c r="AJ101" i="12"/>
  <c r="AG101" i="12"/>
  <c r="Z101" i="12"/>
  <c r="AG106" i="12"/>
  <c r="AF106" i="12"/>
  <c r="AB106" i="12"/>
  <c r="AC106" i="12" s="1"/>
  <c r="AE106" i="12" s="1"/>
  <c r="AJ106" i="12"/>
  <c r="Z207" i="12"/>
  <c r="AG207" i="12"/>
  <c r="AI224" i="12"/>
  <c r="Z270" i="12"/>
  <c r="J197" i="9"/>
  <c r="G197" i="9"/>
  <c r="D197" i="9"/>
  <c r="M197" i="9"/>
  <c r="B197" i="9"/>
  <c r="I197" i="9"/>
  <c r="H197" i="9"/>
  <c r="F197" i="9"/>
  <c r="E197" i="9"/>
  <c r="O197" i="9"/>
  <c r="AF132" i="12"/>
  <c r="AB132" i="12"/>
  <c r="AC132" i="12" s="1"/>
  <c r="AE132" i="12" s="1"/>
  <c r="AJ132" i="12"/>
  <c r="AI186" i="12"/>
  <c r="Z396" i="12"/>
  <c r="AK396" i="12"/>
  <c r="AG396" i="12"/>
  <c r="AJ405" i="12"/>
  <c r="AF405" i="12"/>
  <c r="AB405" i="12"/>
  <c r="AC405" i="12" s="1"/>
  <c r="AE405" i="12" s="1"/>
  <c r="AL405" i="12"/>
  <c r="L197" i="9"/>
  <c r="D90" i="9"/>
  <c r="D92" i="9"/>
  <c r="V56" i="12"/>
  <c r="AB383" i="12"/>
  <c r="AC383" i="12" s="1"/>
  <c r="AE383" i="12" s="1"/>
  <c r="AF383" i="12"/>
  <c r="AK388" i="12"/>
  <c r="AL388" i="12"/>
  <c r="AJ388" i="12"/>
  <c r="Z388" i="12"/>
  <c r="AI476" i="12"/>
  <c r="I91" i="9"/>
  <c r="D91" i="9"/>
  <c r="F91" i="9"/>
  <c r="G143" i="9"/>
  <c r="D143" i="9"/>
  <c r="K143" i="9"/>
  <c r="I143" i="9"/>
  <c r="J143" i="9"/>
  <c r="L143" i="9" s="1"/>
  <c r="H143" i="9"/>
  <c r="F143" i="9"/>
  <c r="E143" i="9"/>
  <c r="F175" i="9"/>
  <c r="J267" i="9"/>
  <c r="O267" i="9"/>
  <c r="N267" i="9"/>
  <c r="I267" i="9"/>
  <c r="M267" i="9"/>
  <c r="E267" i="9"/>
  <c r="L267" i="9"/>
  <c r="K267" i="9"/>
  <c r="H267" i="9"/>
  <c r="F267" i="9"/>
  <c r="B267" i="9"/>
  <c r="L294" i="9"/>
  <c r="O294" i="9"/>
  <c r="J294" i="9"/>
  <c r="E294" i="9"/>
  <c r="D294" i="9"/>
  <c r="B294" i="9"/>
  <c r="N294" i="9"/>
  <c r="M294" i="9"/>
  <c r="K294" i="9"/>
  <c r="F294" i="9"/>
  <c r="O56" i="2"/>
  <c r="B56" i="2"/>
  <c r="H29" i="9"/>
  <c r="J29" i="9" s="1"/>
  <c r="K29" i="9" s="1"/>
  <c r="F29" i="9"/>
  <c r="L29" i="9"/>
  <c r="G29" i="9"/>
  <c r="B29" i="9"/>
  <c r="B56" i="9"/>
  <c r="E56" i="9"/>
  <c r="J70" i="9"/>
  <c r="I79" i="9"/>
  <c r="H79" i="9"/>
  <c r="G79" i="9"/>
  <c r="N82" i="9"/>
  <c r="O82" i="9" s="1"/>
  <c r="E82" i="9"/>
  <c r="G82" i="9" s="1"/>
  <c r="D82" i="9"/>
  <c r="B82" i="9"/>
  <c r="I82" i="9"/>
  <c r="H82" i="9"/>
  <c r="J82" i="9" s="1"/>
  <c r="K82" i="9" s="1"/>
  <c r="F82" i="9"/>
  <c r="E91" i="9"/>
  <c r="H91" i="9" s="1"/>
  <c r="J91" i="9" s="1"/>
  <c r="E136" i="9"/>
  <c r="B136" i="9"/>
  <c r="F136" i="9"/>
  <c r="D136" i="9"/>
  <c r="I139" i="9"/>
  <c r="H139" i="9"/>
  <c r="J139" i="9" s="1"/>
  <c r="G139" i="9"/>
  <c r="E37" i="2" s="1"/>
  <c r="N143" i="9"/>
  <c r="O143" i="9" s="1"/>
  <c r="H160" i="9"/>
  <c r="J160" i="9" s="1"/>
  <c r="I160" i="9"/>
  <c r="F160" i="9"/>
  <c r="E160" i="9"/>
  <c r="B160" i="9"/>
  <c r="G168" i="9"/>
  <c r="D175" i="9"/>
  <c r="N198" i="9"/>
  <c r="K198" i="9"/>
  <c r="G198" i="9"/>
  <c r="J198" i="9"/>
  <c r="I198" i="9"/>
  <c r="F198" i="9"/>
  <c r="E198" i="9"/>
  <c r="O198" i="9"/>
  <c r="D198" i="9"/>
  <c r="D267" i="9"/>
  <c r="G294" i="9"/>
  <c r="AG41" i="12"/>
  <c r="AB41" i="12"/>
  <c r="AC41" i="12" s="1"/>
  <c r="AE41" i="12" s="1"/>
  <c r="Z41" i="12"/>
  <c r="AF41" i="12"/>
  <c r="AL41" i="12"/>
  <c r="AK41" i="12"/>
  <c r="AJ41" i="12"/>
  <c r="AI41" i="12"/>
  <c r="AL98" i="12"/>
  <c r="AK98" i="12"/>
  <c r="AJ98" i="12"/>
  <c r="AI98" i="12"/>
  <c r="AB98" i="12"/>
  <c r="AC98" i="12" s="1"/>
  <c r="AE98" i="12" s="1"/>
  <c r="AF98" i="12"/>
  <c r="AJ146" i="12"/>
  <c r="AI146" i="12"/>
  <c r="AG146" i="12"/>
  <c r="AF146" i="12"/>
  <c r="AL146" i="12"/>
  <c r="AK146" i="12"/>
  <c r="AB146" i="12"/>
  <c r="AC146" i="12" s="1"/>
  <c r="AE146" i="12" s="1"/>
  <c r="AF227" i="12"/>
  <c r="AB227" i="12"/>
  <c r="AC227" i="12" s="1"/>
  <c r="AE227" i="12" s="1"/>
  <c r="AJ227" i="12"/>
  <c r="D47" i="9"/>
  <c r="F47" i="9"/>
  <c r="E47" i="9"/>
  <c r="B47" i="9"/>
  <c r="J64" i="9"/>
  <c r="K64" i="9" s="1"/>
  <c r="F64" i="9"/>
  <c r="I64" i="9"/>
  <c r="G64" i="9"/>
  <c r="B64" i="9"/>
  <c r="G91" i="9"/>
  <c r="H95" i="9"/>
  <c r="J95" i="9" s="1"/>
  <c r="F104" i="9"/>
  <c r="H104" i="9"/>
  <c r="J104" i="9" s="1"/>
  <c r="G104" i="9"/>
  <c r="D104" i="9"/>
  <c r="I104" i="9"/>
  <c r="E104" i="9"/>
  <c r="G117" i="9"/>
  <c r="F153" i="9"/>
  <c r="E153" i="9"/>
  <c r="D153" i="9"/>
  <c r="E175" i="9"/>
  <c r="D187" i="9"/>
  <c r="I187" i="9"/>
  <c r="F187" i="9"/>
  <c r="H198" i="9"/>
  <c r="L204" i="9"/>
  <c r="O204" i="9"/>
  <c r="K204" i="9"/>
  <c r="G204" i="9"/>
  <c r="N204" i="9"/>
  <c r="M204" i="9"/>
  <c r="J204" i="9"/>
  <c r="H204" i="9"/>
  <c r="D204" i="9"/>
  <c r="F223" i="9"/>
  <c r="B223" i="9"/>
  <c r="O223" i="9"/>
  <c r="M223" i="9"/>
  <c r="L223" i="9"/>
  <c r="J223" i="9"/>
  <c r="I223" i="9"/>
  <c r="N223" i="9"/>
  <c r="E223" i="9"/>
  <c r="K223" i="9"/>
  <c r="G267" i="9"/>
  <c r="H294" i="9"/>
  <c r="N301" i="9"/>
  <c r="E301" i="9"/>
  <c r="D301" i="9"/>
  <c r="B301" i="9"/>
  <c r="O301" i="9"/>
  <c r="M301" i="9"/>
  <c r="K301" i="9"/>
  <c r="J301" i="9"/>
  <c r="I301" i="9"/>
  <c r="H301" i="9"/>
  <c r="AB48" i="12"/>
  <c r="AC48" i="12" s="1"/>
  <c r="AE48" i="12" s="1"/>
  <c r="AK48" i="12"/>
  <c r="AJ48" i="12"/>
  <c r="AI48" i="12"/>
  <c r="AG48" i="12"/>
  <c r="AL48" i="12"/>
  <c r="AF48" i="12"/>
  <c r="AB104" i="12"/>
  <c r="AC104" i="12" s="1"/>
  <c r="AE104" i="12" s="1"/>
  <c r="AF104" i="12"/>
  <c r="Z109" i="12"/>
  <c r="Z123" i="12"/>
  <c r="AK123" i="12"/>
  <c r="N10" i="9"/>
  <c r="O10" i="9" s="1"/>
  <c r="L10" i="9"/>
  <c r="J10" i="9"/>
  <c r="K10" i="9" s="1"/>
  <c r="I10" i="9"/>
  <c r="F10" i="9"/>
  <c r="B10" i="9"/>
  <c r="M10" i="9"/>
  <c r="G10" i="9"/>
  <c r="I19" i="9"/>
  <c r="L27" i="9"/>
  <c r="N27" i="9" s="1"/>
  <c r="O27" i="9" s="1"/>
  <c r="H27" i="9"/>
  <c r="J27" i="9" s="1"/>
  <c r="K27" i="9" s="1"/>
  <c r="B27" i="9"/>
  <c r="E29" i="9"/>
  <c r="I29" i="9" s="1"/>
  <c r="I42" i="9"/>
  <c r="H42" i="9"/>
  <c r="J42" i="9" s="1"/>
  <c r="F42" i="9"/>
  <c r="G42" i="9"/>
  <c r="B42" i="9"/>
  <c r="D42" i="9"/>
  <c r="F56" i="9"/>
  <c r="D64" i="9"/>
  <c r="L82" i="9"/>
  <c r="D95" i="9"/>
  <c r="F110" i="9"/>
  <c r="B110" i="9"/>
  <c r="I110" i="9"/>
  <c r="D110" i="9"/>
  <c r="H110" i="9"/>
  <c r="G160" i="9"/>
  <c r="B169" i="9"/>
  <c r="J169" i="9"/>
  <c r="L169" i="9" s="1"/>
  <c r="I169" i="9"/>
  <c r="H169" i="9"/>
  <c r="G169" i="9"/>
  <c r="F169" i="9"/>
  <c r="D169" i="9"/>
  <c r="K169" i="9"/>
  <c r="E187" i="9"/>
  <c r="L198" i="9"/>
  <c r="E204" i="9"/>
  <c r="D223" i="9"/>
  <c r="J227" i="9"/>
  <c r="I227" i="9"/>
  <c r="H227" i="9"/>
  <c r="F227" i="9"/>
  <c r="E227" i="9"/>
  <c r="N227" i="9"/>
  <c r="M227" i="9"/>
  <c r="K227" i="9"/>
  <c r="G227" i="9"/>
  <c r="L227" i="9"/>
  <c r="B227" i="9"/>
  <c r="I294" i="9"/>
  <c r="F301" i="9"/>
  <c r="AI13" i="12"/>
  <c r="AI21" i="12"/>
  <c r="AK39" i="12"/>
  <c r="Z39" i="12"/>
  <c r="AL39" i="12"/>
  <c r="AJ39" i="12"/>
  <c r="AI39" i="12"/>
  <c r="AL57" i="12"/>
  <c r="AK57" i="12"/>
  <c r="AI57" i="12"/>
  <c r="AJ57" i="12"/>
  <c r="AG57" i="12"/>
  <c r="AF57" i="12"/>
  <c r="AL100" i="12"/>
  <c r="AK100" i="12"/>
  <c r="AJ100" i="12"/>
  <c r="AI100" i="12"/>
  <c r="AG100" i="12"/>
  <c r="Z180" i="12"/>
  <c r="B8" i="9"/>
  <c r="L8" i="9"/>
  <c r="H8" i="9"/>
  <c r="J8" i="9" s="1"/>
  <c r="K8" i="9" s="1"/>
  <c r="F24" i="9"/>
  <c r="E24" i="9"/>
  <c r="J36" i="9"/>
  <c r="H36" i="9"/>
  <c r="B36" i="9"/>
  <c r="L36" i="9"/>
  <c r="M36" i="9" s="1"/>
  <c r="K36" i="9"/>
  <c r="D36" i="9"/>
  <c r="E65" i="9"/>
  <c r="H68" i="9"/>
  <c r="J68" i="9" s="1"/>
  <c r="E68" i="9"/>
  <c r="I68" i="9" s="1"/>
  <c r="F68" i="9"/>
  <c r="D68" i="9"/>
  <c r="H138" i="9"/>
  <c r="J138" i="9" s="1"/>
  <c r="I36" i="2" s="1"/>
  <c r="V14" i="12"/>
  <c r="AL54" i="12"/>
  <c r="AJ54" i="12"/>
  <c r="Z54" i="12"/>
  <c r="Z56" i="12"/>
  <c r="AB88" i="12"/>
  <c r="AC88" i="12" s="1"/>
  <c r="AE88" i="12" s="1"/>
  <c r="AL88" i="12"/>
  <c r="AK88" i="12"/>
  <c r="AG88" i="12"/>
  <c r="AF88" i="12"/>
  <c r="AJ88" i="12"/>
  <c r="AB555" i="12"/>
  <c r="AC555" i="12" s="1"/>
  <c r="AE555" i="12" s="1"/>
  <c r="AG555" i="12"/>
  <c r="AL555" i="12"/>
  <c r="AJ555" i="12"/>
  <c r="AF555" i="12"/>
  <c r="AG215" i="12"/>
  <c r="AF215" i="12"/>
  <c r="AB215" i="12"/>
  <c r="AC215" i="12" s="1"/>
  <c r="AE215" i="12" s="1"/>
  <c r="AK215" i="12"/>
  <c r="AJ215" i="12"/>
  <c r="AI215" i="12"/>
  <c r="AG73" i="12"/>
  <c r="AF73" i="12"/>
  <c r="AL73" i="12"/>
  <c r="AK73" i="12"/>
  <c r="AJ73" i="12"/>
  <c r="AI73" i="12"/>
  <c r="AB73" i="12"/>
  <c r="AC73" i="12" s="1"/>
  <c r="AE73" i="12" s="1"/>
  <c r="V106" i="12"/>
  <c r="AL138" i="12"/>
  <c r="AK138" i="12"/>
  <c r="AJ138" i="12"/>
  <c r="AI138" i="12"/>
  <c r="AG138" i="12"/>
  <c r="AB213" i="12"/>
  <c r="AC213" i="12" s="1"/>
  <c r="AE213" i="12" s="1"/>
  <c r="AL213" i="12"/>
  <c r="AK213" i="12"/>
  <c r="AJ213" i="12"/>
  <c r="AI213" i="12"/>
  <c r="AG213" i="12"/>
  <c r="AF213" i="12"/>
  <c r="Z274" i="12"/>
  <c r="AL274" i="12"/>
  <c r="AK274" i="12"/>
  <c r="AJ274" i="12"/>
  <c r="Z33" i="12"/>
  <c r="AJ33" i="12"/>
  <c r="AL33" i="12"/>
  <c r="AK33" i="12"/>
  <c r="AB129" i="12"/>
  <c r="AC129" i="12" s="1"/>
  <c r="AE129" i="12" s="1"/>
  <c r="AJ129" i="12"/>
  <c r="AL129" i="12"/>
  <c r="AK129" i="12"/>
  <c r="AF129" i="12"/>
  <c r="Z138" i="12"/>
  <c r="AF296" i="12"/>
  <c r="AB296" i="12"/>
  <c r="AC296" i="12" s="1"/>
  <c r="AE296" i="12" s="1"/>
  <c r="AJ111" i="12"/>
  <c r="AK111" i="12"/>
  <c r="AI111" i="12"/>
  <c r="AF111" i="12"/>
  <c r="AB111" i="12"/>
  <c r="AC111" i="12" s="1"/>
  <c r="AE111" i="12" s="1"/>
  <c r="V129" i="12"/>
  <c r="AL161" i="12"/>
  <c r="AK161" i="12"/>
  <c r="AJ161" i="12"/>
  <c r="AF161" i="12"/>
  <c r="AB161" i="12"/>
  <c r="AC161" i="12" s="1"/>
  <c r="AE161" i="12" s="1"/>
  <c r="AG161" i="12"/>
  <c r="Z161" i="12"/>
  <c r="AI161" i="12"/>
  <c r="AI191" i="12"/>
  <c r="Z191" i="12"/>
  <c r="H34" i="9"/>
  <c r="J34" i="9" s="1"/>
  <c r="G34" i="9"/>
  <c r="D34" i="9"/>
  <c r="L108" i="9"/>
  <c r="M108" i="9" s="1"/>
  <c r="K108" i="9"/>
  <c r="F108" i="9"/>
  <c r="E126" i="9"/>
  <c r="B126" i="9"/>
  <c r="H131" i="9"/>
  <c r="I131" i="9"/>
  <c r="J131" i="9" s="1"/>
  <c r="G131" i="9"/>
  <c r="F131" i="9"/>
  <c r="E131" i="9"/>
  <c r="H150" i="9"/>
  <c r="E150" i="9"/>
  <c r="I150" i="9"/>
  <c r="G150" i="9"/>
  <c r="D150" i="9"/>
  <c r="N258" i="9"/>
  <c r="M258" i="9"/>
  <c r="I258" i="9"/>
  <c r="L258" i="9"/>
  <c r="K258" i="9"/>
  <c r="H258" i="9"/>
  <c r="G258" i="9"/>
  <c r="V4" i="12"/>
  <c r="Z10" i="12"/>
  <c r="AK10" i="12"/>
  <c r="Z14" i="12"/>
  <c r="AL65" i="12"/>
  <c r="AK65" i="12"/>
  <c r="AJ65" i="12"/>
  <c r="AF65" i="12"/>
  <c r="AB65" i="12"/>
  <c r="AC65" i="12" s="1"/>
  <c r="AE65" i="12" s="1"/>
  <c r="Z69" i="12"/>
  <c r="AJ95" i="12"/>
  <c r="AI95" i="12"/>
  <c r="AG95" i="12"/>
  <c r="AF95" i="12"/>
  <c r="AL95" i="12"/>
  <c r="AK95" i="12"/>
  <c r="AB95" i="12"/>
  <c r="AC95" i="12" s="1"/>
  <c r="AE95" i="12" s="1"/>
  <c r="AB142" i="12"/>
  <c r="AC142" i="12" s="1"/>
  <c r="AE142" i="12" s="1"/>
  <c r="AI142" i="12"/>
  <c r="AG142" i="12"/>
  <c r="AF142" i="12"/>
  <c r="AL142" i="12"/>
  <c r="AK142" i="12"/>
  <c r="AJ142" i="12"/>
  <c r="Z144" i="12"/>
  <c r="AL144" i="12"/>
  <c r="AK144" i="12"/>
  <c r="AJ144" i="12"/>
  <c r="AI144" i="12"/>
  <c r="AG144" i="12"/>
  <c r="AG203" i="12"/>
  <c r="AF203" i="12"/>
  <c r="AL203" i="12"/>
  <c r="AK203" i="12"/>
  <c r="AJ203" i="12"/>
  <c r="AI203" i="12"/>
  <c r="AF216" i="12"/>
  <c r="AI216" i="12"/>
  <c r="AG216" i="12"/>
  <c r="AB216" i="12"/>
  <c r="AC216" i="12" s="1"/>
  <c r="AE216" i="12" s="1"/>
  <c r="AJ216" i="12"/>
  <c r="V239" i="12"/>
  <c r="V296" i="12"/>
  <c r="AL455" i="12"/>
  <c r="AK455" i="12"/>
  <c r="AI455" i="12"/>
  <c r="Z455" i="12"/>
  <c r="AG455" i="12"/>
  <c r="AB205" i="12"/>
  <c r="AC205" i="12" s="1"/>
  <c r="AE205" i="12" s="1"/>
  <c r="AF205" i="12"/>
  <c r="AJ205" i="12"/>
  <c r="AK372" i="12"/>
  <c r="AJ372" i="12"/>
  <c r="AL372" i="12"/>
  <c r="AI372" i="12"/>
  <c r="AF372" i="12"/>
  <c r="AB372" i="12"/>
  <c r="AC372" i="12" s="1"/>
  <c r="AE372" i="12" s="1"/>
  <c r="AG372" i="12"/>
  <c r="AL572" i="12"/>
  <c r="AF572" i="12"/>
  <c r="AB572" i="12"/>
  <c r="AC572" i="12" s="1"/>
  <c r="AE572" i="12" s="1"/>
  <c r="AL589" i="12"/>
  <c r="AK589" i="12"/>
  <c r="AJ589" i="12"/>
  <c r="AI589" i="12"/>
  <c r="Z589" i="12"/>
  <c r="AG589" i="12"/>
  <c r="Z225" i="12"/>
  <c r="AL225" i="12"/>
  <c r="AK225" i="12"/>
  <c r="AJ225" i="12"/>
  <c r="AI225" i="12"/>
  <c r="AG225" i="12"/>
  <c r="AB261" i="12"/>
  <c r="AC261" i="12" s="1"/>
  <c r="AE261" i="12" s="1"/>
  <c r="AI261" i="12"/>
  <c r="AF261" i="12"/>
  <c r="G173" i="9"/>
  <c r="I173" i="9"/>
  <c r="G176" i="9"/>
  <c r="I176" i="9"/>
  <c r="H176" i="9"/>
  <c r="G191" i="9"/>
  <c r="D191" i="9"/>
  <c r="I191" i="9"/>
  <c r="J191" i="9" s="1"/>
  <c r="F191" i="9"/>
  <c r="E191" i="9"/>
  <c r="H191" i="9" s="1"/>
  <c r="F258" i="9"/>
  <c r="L302" i="9"/>
  <c r="K302" i="9"/>
  <c r="I302" i="9"/>
  <c r="H302" i="9"/>
  <c r="D302" i="9"/>
  <c r="M302" i="9"/>
  <c r="J302" i="9"/>
  <c r="G302" i="9"/>
  <c r="F302" i="9"/>
  <c r="E302" i="9"/>
  <c r="Z53" i="12"/>
  <c r="AJ53" i="12"/>
  <c r="Z65" i="12"/>
  <c r="V79" i="12"/>
  <c r="AG122" i="12"/>
  <c r="AF122" i="12"/>
  <c r="AL122" i="12"/>
  <c r="AK122" i="12"/>
  <c r="AJ122" i="12"/>
  <c r="AB122" i="12"/>
  <c r="AC122" i="12" s="1"/>
  <c r="AE122" i="12" s="1"/>
  <c r="AI122" i="12"/>
  <c r="AL126" i="12"/>
  <c r="AK126" i="12"/>
  <c r="AJ126" i="12"/>
  <c r="AI126" i="12"/>
  <c r="AG126" i="12"/>
  <c r="Z126" i="12"/>
  <c r="AI163" i="12"/>
  <c r="Z170" i="12"/>
  <c r="AF187" i="12"/>
  <c r="AI187" i="12"/>
  <c r="AG187" i="12"/>
  <c r="AB187" i="12"/>
  <c r="AC187" i="12" s="1"/>
  <c r="AE187" i="12" s="1"/>
  <c r="AL187" i="12"/>
  <c r="AK244" i="12"/>
  <c r="AJ244" i="12"/>
  <c r="AL244" i="12"/>
  <c r="AI244" i="12"/>
  <c r="AG244" i="12"/>
  <c r="Z244" i="12"/>
  <c r="AF323" i="12"/>
  <c r="AK323" i="12"/>
  <c r="AJ323" i="12"/>
  <c r="AG323" i="12"/>
  <c r="AL323" i="12"/>
  <c r="AB323" i="12"/>
  <c r="AC323" i="12" s="1"/>
  <c r="AE323" i="12" s="1"/>
  <c r="AB515" i="12"/>
  <c r="AC515" i="12" s="1"/>
  <c r="AE515" i="12" s="1"/>
  <c r="AJ515" i="12"/>
  <c r="AL515" i="12"/>
  <c r="AK515" i="12"/>
  <c r="AF515" i="12"/>
  <c r="AG515" i="12"/>
  <c r="B17" i="9"/>
  <c r="F80" i="9"/>
  <c r="B80" i="9"/>
  <c r="H80" i="9"/>
  <c r="H119" i="9"/>
  <c r="F124" i="9"/>
  <c r="B124" i="9"/>
  <c r="I129" i="9"/>
  <c r="H129" i="9"/>
  <c r="J129" i="9" s="1"/>
  <c r="F145" i="9"/>
  <c r="D145" i="9"/>
  <c r="I145" i="9"/>
  <c r="F263" i="9"/>
  <c r="K263" i="9"/>
  <c r="J263" i="9"/>
  <c r="H263" i="9"/>
  <c r="G263" i="9"/>
  <c r="B263" i="9"/>
  <c r="I263" i="9"/>
  <c r="L263" i="9"/>
  <c r="AF11" i="12"/>
  <c r="AG11" i="12"/>
  <c r="AL11" i="12"/>
  <c r="AK11" i="12"/>
  <c r="AJ30" i="12"/>
  <c r="AL81" i="12"/>
  <c r="AG93" i="12"/>
  <c r="AF93" i="12"/>
  <c r="AJ93" i="12"/>
  <c r="AB93" i="12"/>
  <c r="AC93" i="12" s="1"/>
  <c r="AE93" i="12" s="1"/>
  <c r="AI105" i="12"/>
  <c r="AG105" i="12"/>
  <c r="AF105" i="12"/>
  <c r="AL105" i="12"/>
  <c r="AL137" i="12"/>
  <c r="AK137" i="12"/>
  <c r="AJ137" i="12"/>
  <c r="AI137" i="12"/>
  <c r="AG137" i="12"/>
  <c r="AF137" i="12"/>
  <c r="AB137" i="12"/>
  <c r="AC137" i="12" s="1"/>
  <c r="AE137" i="12" s="1"/>
  <c r="AB199" i="12"/>
  <c r="AC199" i="12" s="1"/>
  <c r="AE199" i="12" s="1"/>
  <c r="AJ199" i="12"/>
  <c r="AG199" i="12"/>
  <c r="AF199" i="12"/>
  <c r="AB221" i="12"/>
  <c r="AC221" i="12" s="1"/>
  <c r="AE221" i="12" s="1"/>
  <c r="AG221" i="12"/>
  <c r="AF221" i="12"/>
  <c r="AL221" i="12"/>
  <c r="AB518" i="12"/>
  <c r="AC518" i="12" s="1"/>
  <c r="AE518" i="12" s="1"/>
  <c r="AF518" i="12"/>
  <c r="AL518" i="12"/>
  <c r="AK518" i="12"/>
  <c r="D17" i="9"/>
  <c r="D43" i="9"/>
  <c r="K75" i="9"/>
  <c r="I75" i="9"/>
  <c r="H75" i="9"/>
  <c r="J75" i="9" s="1"/>
  <c r="L75" i="9" s="1"/>
  <c r="D75" i="9"/>
  <c r="D80" i="9"/>
  <c r="F114" i="9"/>
  <c r="G114" i="9"/>
  <c r="B114" i="9"/>
  <c r="D119" i="9"/>
  <c r="D124" i="9"/>
  <c r="E145" i="9"/>
  <c r="D156" i="9"/>
  <c r="F156" i="9"/>
  <c r="N221" i="9"/>
  <c r="I221" i="9"/>
  <c r="H221" i="9"/>
  <c r="E221" i="9"/>
  <c r="O221" i="9"/>
  <c r="L221" i="9"/>
  <c r="K221" i="9"/>
  <c r="B221" i="9"/>
  <c r="M221" i="9"/>
  <c r="J221" i="9"/>
  <c r="G221" i="9"/>
  <c r="F221" i="9"/>
  <c r="D221" i="9"/>
  <c r="O228" i="9"/>
  <c r="M228" i="9"/>
  <c r="L228" i="9"/>
  <c r="H228" i="9"/>
  <c r="K228" i="9"/>
  <c r="G228" i="9"/>
  <c r="H230" i="9"/>
  <c r="J230" i="9"/>
  <c r="I230" i="9"/>
  <c r="F230" i="9"/>
  <c r="E230" i="9"/>
  <c r="M230" i="9"/>
  <c r="K230" i="9"/>
  <c r="D263" i="9"/>
  <c r="B289" i="9"/>
  <c r="E289" i="9"/>
  <c r="D289" i="9"/>
  <c r="M289" i="9"/>
  <c r="B299" i="9"/>
  <c r="L299" i="9"/>
  <c r="K299" i="9"/>
  <c r="I299" i="9"/>
  <c r="H299" i="9"/>
  <c r="D299" i="9"/>
  <c r="O299" i="9"/>
  <c r="M299" i="9"/>
  <c r="J299" i="9"/>
  <c r="N299" i="9"/>
  <c r="G299" i="9"/>
  <c r="F299" i="9"/>
  <c r="F303" i="9"/>
  <c r="O303" i="9"/>
  <c r="K303" i="9"/>
  <c r="N303" i="9"/>
  <c r="M303" i="9"/>
  <c r="J303" i="9"/>
  <c r="I303" i="9"/>
  <c r="B303" i="9"/>
  <c r="AE2" i="12"/>
  <c r="AD2" i="12"/>
  <c r="AB9" i="12"/>
  <c r="AC9" i="12" s="1"/>
  <c r="AE9" i="12" s="1"/>
  <c r="AG9" i="12"/>
  <c r="AF9" i="12"/>
  <c r="Z9" i="12"/>
  <c r="AK24" i="12"/>
  <c r="AF24" i="12"/>
  <c r="AB24" i="12"/>
  <c r="AC24" i="12" s="1"/>
  <c r="AE24" i="12" s="1"/>
  <c r="AG65" i="12"/>
  <c r="Z72" i="12"/>
  <c r="AL72" i="12"/>
  <c r="AK72" i="12"/>
  <c r="AI114" i="12"/>
  <c r="AG114" i="12"/>
  <c r="AJ114" i="12"/>
  <c r="AJ131" i="12"/>
  <c r="AB131" i="12"/>
  <c r="AC131" i="12" s="1"/>
  <c r="AE131" i="12" s="1"/>
  <c r="AI131" i="12"/>
  <c r="AF131" i="12"/>
  <c r="AK216" i="12"/>
  <c r="AF279" i="12"/>
  <c r="AB279" i="12"/>
  <c r="AC279" i="12" s="1"/>
  <c r="AE279" i="12" s="1"/>
  <c r="V356" i="12"/>
  <c r="H167" i="9"/>
  <c r="D13" i="9"/>
  <c r="AK43" i="8"/>
  <c r="D43" i="8" s="1"/>
  <c r="E43" i="8" s="1"/>
  <c r="AK30" i="8"/>
  <c r="D30" i="8" s="1"/>
  <c r="E30" i="8" s="1"/>
  <c r="AK52" i="8"/>
  <c r="D52" i="8" s="1"/>
  <c r="E52" i="8" s="1"/>
  <c r="AK49" i="8"/>
  <c r="D49" i="8" s="1"/>
  <c r="E49" i="8" s="1"/>
  <c r="I26" i="2"/>
  <c r="H39" i="2"/>
  <c r="D39" i="2"/>
  <c r="H7" i="5" s="1"/>
  <c r="F65" i="2"/>
  <c r="B65" i="2"/>
  <c r="E13" i="9"/>
  <c r="H15" i="9"/>
  <c r="J15" i="9" s="1"/>
  <c r="G15" i="9"/>
  <c r="E17" i="9"/>
  <c r="H19" i="9"/>
  <c r="F19" i="9"/>
  <c r="J19" i="9"/>
  <c r="D25" i="9"/>
  <c r="B25" i="9"/>
  <c r="E43" i="9"/>
  <c r="H45" i="9"/>
  <c r="J45" i="9" s="1"/>
  <c r="L45" i="9" s="1"/>
  <c r="M45" i="9" s="1"/>
  <c r="E75" i="9"/>
  <c r="G75" i="9" s="1"/>
  <c r="J78" i="9"/>
  <c r="E80" i="9"/>
  <c r="H92" i="9"/>
  <c r="J92" i="9" s="1"/>
  <c r="G92" i="9"/>
  <c r="F92" i="9"/>
  <c r="E92" i="9"/>
  <c r="I92" i="9" s="1"/>
  <c r="M102" i="9"/>
  <c r="L102" i="9"/>
  <c r="D114" i="9"/>
  <c r="E119" i="9"/>
  <c r="E124" i="9"/>
  <c r="G129" i="9"/>
  <c r="H137" i="9"/>
  <c r="J137" i="9" s="1"/>
  <c r="D137" i="9"/>
  <c r="B137" i="9"/>
  <c r="I137" i="9"/>
  <c r="G137" i="9"/>
  <c r="F137" i="9"/>
  <c r="G148" i="9"/>
  <c r="G151" i="9"/>
  <c r="D151" i="9"/>
  <c r="D154" i="9"/>
  <c r="E156" i="9"/>
  <c r="B159" i="9"/>
  <c r="F159" i="9"/>
  <c r="D159" i="9"/>
  <c r="O222" i="9"/>
  <c r="L222" i="9"/>
  <c r="H222" i="9"/>
  <c r="B222" i="9"/>
  <c r="N222" i="9"/>
  <c r="D228" i="9"/>
  <c r="D230" i="9"/>
  <c r="E263" i="9"/>
  <c r="B279" i="9"/>
  <c r="O279" i="9"/>
  <c r="N279" i="9"/>
  <c r="J279" i="9"/>
  <c r="M279" i="9"/>
  <c r="F279" i="9"/>
  <c r="I279" i="9"/>
  <c r="H279" i="9"/>
  <c r="G279" i="9"/>
  <c r="E279" i="9"/>
  <c r="D279" i="9"/>
  <c r="F289" i="9"/>
  <c r="E299" i="9"/>
  <c r="D303" i="9"/>
  <c r="AG32" i="12"/>
  <c r="AF32" i="12"/>
  <c r="AL32" i="12"/>
  <c r="AK32" i="12"/>
  <c r="AJ32" i="12"/>
  <c r="AI32" i="12"/>
  <c r="AI34" i="12"/>
  <c r="AF34" i="12"/>
  <c r="AG34" i="12"/>
  <c r="Z34" i="12"/>
  <c r="AL34" i="12"/>
  <c r="AK34" i="12"/>
  <c r="AJ34" i="12"/>
  <c r="AG36" i="12"/>
  <c r="Z36" i="12"/>
  <c r="AI53" i="12"/>
  <c r="AI118" i="12"/>
  <c r="AG118" i="12"/>
  <c r="AF118" i="12"/>
  <c r="AL118" i="12"/>
  <c r="AK118" i="12"/>
  <c r="AF133" i="12"/>
  <c r="AB133" i="12"/>
  <c r="AC133" i="12" s="1"/>
  <c r="AE133" i="12" s="1"/>
  <c r="Z162" i="12"/>
  <c r="AK162" i="12"/>
  <c r="AJ162" i="12"/>
  <c r="AI162" i="12"/>
  <c r="AG162" i="12"/>
  <c r="AB203" i="12"/>
  <c r="AC203" i="12" s="1"/>
  <c r="AJ206" i="12"/>
  <c r="AI206" i="12"/>
  <c r="AG206" i="12"/>
  <c r="AF206" i="12"/>
  <c r="AL206" i="12"/>
  <c r="AK206" i="12"/>
  <c r="AB206" i="12"/>
  <c r="AC206" i="12" s="1"/>
  <c r="AE206" i="12" s="1"/>
  <c r="AL216" i="12"/>
  <c r="D102" i="9"/>
  <c r="E114" i="9"/>
  <c r="F119" i="9"/>
  <c r="G124" i="9"/>
  <c r="E137" i="9"/>
  <c r="E151" i="9"/>
  <c r="E154" i="9"/>
  <c r="E159" i="9"/>
  <c r="I159" i="9" s="1"/>
  <c r="D222" i="9"/>
  <c r="E228" i="9"/>
  <c r="G230" i="9"/>
  <c r="M263" i="9"/>
  <c r="K279" i="9"/>
  <c r="G289" i="9"/>
  <c r="N291" i="9"/>
  <c r="O291" i="9"/>
  <c r="J291" i="9"/>
  <c r="H291" i="9"/>
  <c r="M291" i="9"/>
  <c r="E303" i="9"/>
  <c r="AB28" i="12"/>
  <c r="AC28" i="12" s="1"/>
  <c r="AE28" i="12" s="1"/>
  <c r="AG28" i="12"/>
  <c r="AF28" i="12"/>
  <c r="AK28" i="12"/>
  <c r="V34" i="12"/>
  <c r="AI65" i="12"/>
  <c r="AB68" i="12"/>
  <c r="AC68" i="12" s="1"/>
  <c r="AE68" i="12" s="1"/>
  <c r="AG68" i="12"/>
  <c r="AF68" i="12"/>
  <c r="AJ68" i="12"/>
  <c r="AI68" i="12"/>
  <c r="AI75" i="12"/>
  <c r="AG75" i="12"/>
  <c r="AF75" i="12"/>
  <c r="AB75" i="12"/>
  <c r="AC75" i="12" s="1"/>
  <c r="AE75" i="12" s="1"/>
  <c r="AK110" i="12"/>
  <c r="Z120" i="12"/>
  <c r="AJ120" i="12"/>
  <c r="AI120" i="12"/>
  <c r="AG120" i="12"/>
  <c r="AK120" i="12"/>
  <c r="V133" i="12"/>
  <c r="AK135" i="12"/>
  <c r="AJ135" i="12"/>
  <c r="AI135" i="12"/>
  <c r="AG135" i="12"/>
  <c r="AL135" i="12"/>
  <c r="Z135" i="12"/>
  <c r="AK370" i="12"/>
  <c r="AI370" i="12"/>
  <c r="AF370" i="12"/>
  <c r="AB370" i="12"/>
  <c r="AC370" i="12" s="1"/>
  <c r="AE370" i="12" s="1"/>
  <c r="AG434" i="12"/>
  <c r="AF434" i="12"/>
  <c r="AB434" i="12"/>
  <c r="AC434" i="12" s="1"/>
  <c r="AE434" i="12" s="1"/>
  <c r="AL434" i="12"/>
  <c r="AJ434" i="12"/>
  <c r="AI664" i="12"/>
  <c r="Z664" i="12"/>
  <c r="J88" i="9"/>
  <c r="L88" i="9" s="1"/>
  <c r="N88" i="9" s="1"/>
  <c r="O88" i="9" s="1"/>
  <c r="I88" i="9"/>
  <c r="H88" i="9"/>
  <c r="F88" i="9"/>
  <c r="J99" i="9"/>
  <c r="H99" i="9"/>
  <c r="G123" i="9"/>
  <c r="D123" i="9"/>
  <c r="I123" i="9"/>
  <c r="L125" i="9"/>
  <c r="G125" i="9"/>
  <c r="F125" i="9"/>
  <c r="D125" i="9"/>
  <c r="E157" i="9"/>
  <c r="D157" i="9"/>
  <c r="B157" i="9"/>
  <c r="N205" i="9"/>
  <c r="K205" i="9"/>
  <c r="J205" i="9"/>
  <c r="H205" i="9"/>
  <c r="G205" i="9"/>
  <c r="D226" i="9"/>
  <c r="B226" i="9"/>
  <c r="O226" i="9"/>
  <c r="L226" i="9"/>
  <c r="D246" i="9"/>
  <c r="N246" i="9"/>
  <c r="M246" i="9"/>
  <c r="I246" i="9"/>
  <c r="O246" i="9"/>
  <c r="L246" i="9"/>
  <c r="E246" i="9"/>
  <c r="F273" i="9"/>
  <c r="O273" i="9"/>
  <c r="N273" i="9"/>
  <c r="J273" i="9"/>
  <c r="E273" i="9"/>
  <c r="D273" i="9"/>
  <c r="B273" i="9"/>
  <c r="AI4" i="12"/>
  <c r="Z17" i="12"/>
  <c r="AI22" i="12"/>
  <c r="AF22" i="12"/>
  <c r="AK22" i="12"/>
  <c r="AJ22" i="12"/>
  <c r="AG22" i="12"/>
  <c r="AB27" i="12"/>
  <c r="AC27" i="12" s="1"/>
  <c r="AE27" i="12" s="1"/>
  <c r="AB46" i="12"/>
  <c r="AC46" i="12" s="1"/>
  <c r="AE46" i="12" s="1"/>
  <c r="AL46" i="12"/>
  <c r="AK46" i="12"/>
  <c r="AK66" i="12"/>
  <c r="AB70" i="12"/>
  <c r="AC70" i="12" s="1"/>
  <c r="AE70" i="12" s="1"/>
  <c r="AJ70" i="12"/>
  <c r="AF70" i="12"/>
  <c r="Z107" i="12"/>
  <c r="AL107" i="12"/>
  <c r="V111" i="12"/>
  <c r="V122" i="12"/>
  <c r="AB148" i="12"/>
  <c r="AC148" i="12" s="1"/>
  <c r="AE148" i="12" s="1"/>
  <c r="AK193" i="12"/>
  <c r="AJ193" i="12"/>
  <c r="Z193" i="12"/>
  <c r="AF440" i="12"/>
  <c r="AK440" i="12"/>
  <c r="AG440" i="12"/>
  <c r="AB440" i="12"/>
  <c r="AC440" i="12" s="1"/>
  <c r="AE440" i="12" s="1"/>
  <c r="AL440" i="12"/>
  <c r="AL513" i="12"/>
  <c r="AK513" i="12"/>
  <c r="AF513" i="12"/>
  <c r="AB513" i="12"/>
  <c r="AC513" i="12" s="1"/>
  <c r="AE513" i="12" s="1"/>
  <c r="AI513" i="12"/>
  <c r="AB165" i="12"/>
  <c r="AC165" i="12" s="1"/>
  <c r="AE165" i="12" s="1"/>
  <c r="AF167" i="12"/>
  <c r="AB167" i="12"/>
  <c r="AC167" i="12" s="1"/>
  <c r="AE167" i="12" s="1"/>
  <c r="AI167" i="12"/>
  <c r="AL167" i="12"/>
  <c r="AB178" i="12"/>
  <c r="AC178" i="12" s="1"/>
  <c r="AE178" i="12" s="1"/>
  <c r="AF178" i="12"/>
  <c r="AI184" i="12"/>
  <c r="Z242" i="12"/>
  <c r="AK242" i="12"/>
  <c r="AJ242" i="12"/>
  <c r="AG242" i="12"/>
  <c r="AB255" i="12"/>
  <c r="AC255" i="12" s="1"/>
  <c r="AE255" i="12" s="1"/>
  <c r="V302" i="12"/>
  <c r="AL324" i="12"/>
  <c r="AJ324" i="12"/>
  <c r="AI324" i="12"/>
  <c r="AG324" i="12"/>
  <c r="AK324" i="12"/>
  <c r="AF324" i="12"/>
  <c r="AB324" i="12"/>
  <c r="AC324" i="12" s="1"/>
  <c r="AE324" i="12" s="1"/>
  <c r="AJ358" i="12"/>
  <c r="AI424" i="12"/>
  <c r="AG424" i="12"/>
  <c r="AF424" i="12"/>
  <c r="AL424" i="12"/>
  <c r="AK424" i="12"/>
  <c r="AJ424" i="12"/>
  <c r="AB424" i="12"/>
  <c r="AC424" i="12" s="1"/>
  <c r="AE424" i="12" s="1"/>
  <c r="AB494" i="12"/>
  <c r="AC494" i="12" s="1"/>
  <c r="AE494" i="12" s="1"/>
  <c r="AF494" i="12"/>
  <c r="AI504" i="12"/>
  <c r="AF222" i="12"/>
  <c r="AK222" i="12"/>
  <c r="AJ222" i="12"/>
  <c r="AI222" i="12"/>
  <c r="AI240" i="12"/>
  <c r="AL240" i="12"/>
  <c r="AK240" i="12"/>
  <c r="Z240" i="12"/>
  <c r="AF253" i="12"/>
  <c r="AL285" i="12"/>
  <c r="AK285" i="12"/>
  <c r="AG285" i="12"/>
  <c r="AJ285" i="12"/>
  <c r="AI285" i="12"/>
  <c r="AF285" i="12"/>
  <c r="AB285" i="12"/>
  <c r="AC285" i="12" s="1"/>
  <c r="AE285" i="12" s="1"/>
  <c r="AG204" i="12"/>
  <c r="Z204" i="12"/>
  <c r="AL204" i="12"/>
  <c r="Z206" i="12"/>
  <c r="Z294" i="12"/>
  <c r="AK294" i="12"/>
  <c r="AJ294" i="12"/>
  <c r="AI294" i="12"/>
  <c r="AG294" i="12"/>
  <c r="AJ302" i="12"/>
  <c r="AK302" i="12"/>
  <c r="AG302" i="12"/>
  <c r="Z302" i="12"/>
  <c r="AB398" i="12"/>
  <c r="AC398" i="12" s="1"/>
  <c r="AE398" i="12" s="1"/>
  <c r="AF398" i="12"/>
  <c r="AJ403" i="12"/>
  <c r="AI403" i="12"/>
  <c r="AL403" i="12"/>
  <c r="Z403" i="12"/>
  <c r="AF640" i="12"/>
  <c r="AB640" i="12"/>
  <c r="AC640" i="12" s="1"/>
  <c r="AE640" i="12" s="1"/>
  <c r="D15" i="9"/>
  <c r="B15" i="9"/>
  <c r="O59" i="9"/>
  <c r="N59" i="9"/>
  <c r="L59" i="9"/>
  <c r="M59" i="9" s="1"/>
  <c r="F70" i="9"/>
  <c r="B70" i="9"/>
  <c r="H81" i="9"/>
  <c r="J81" i="9" s="1"/>
  <c r="G99" i="9"/>
  <c r="L105" i="9"/>
  <c r="M105" i="9"/>
  <c r="J123" i="9"/>
  <c r="J125" i="9"/>
  <c r="K125" i="9" s="1"/>
  <c r="G133" i="9"/>
  <c r="D133" i="9"/>
  <c r="I133" i="9"/>
  <c r="J133" i="9" s="1"/>
  <c r="K133" i="9" s="1"/>
  <c r="L135" i="9"/>
  <c r="G135" i="9"/>
  <c r="F135" i="9"/>
  <c r="D135" i="9"/>
  <c r="J174" i="9"/>
  <c r="F174" i="9"/>
  <c r="G192" i="9"/>
  <c r="H192" i="9"/>
  <c r="J192" i="9" s="1"/>
  <c r="L192" i="9" s="1"/>
  <c r="L194" i="9"/>
  <c r="G194" i="9"/>
  <c r="D194" i="9"/>
  <c r="N194" i="9"/>
  <c r="M194" i="9"/>
  <c r="E194" i="9"/>
  <c r="F203" i="9"/>
  <c r="H203" i="9"/>
  <c r="D203" i="9"/>
  <c r="O203" i="9"/>
  <c r="N203" i="9"/>
  <c r="L203" i="9"/>
  <c r="K203" i="9"/>
  <c r="B203" i="9"/>
  <c r="I205" i="9"/>
  <c r="H226" i="9"/>
  <c r="H240" i="9"/>
  <c r="N240" i="9"/>
  <c r="M240" i="9"/>
  <c r="I240" i="9"/>
  <c r="F240" i="9"/>
  <c r="J242" i="9"/>
  <c r="I242" i="9"/>
  <c r="G242" i="9"/>
  <c r="F242" i="9"/>
  <c r="B242" i="9"/>
  <c r="O242" i="9"/>
  <c r="E242" i="9"/>
  <c r="J246" i="9"/>
  <c r="K273" i="9"/>
  <c r="O288" i="9"/>
  <c r="N288" i="9"/>
  <c r="J288" i="9"/>
  <c r="L288" i="9"/>
  <c r="K288" i="9"/>
  <c r="H288" i="9"/>
  <c r="G288" i="9"/>
  <c r="AK2" i="12"/>
  <c r="AJ2" i="12"/>
  <c r="AG2" i="12"/>
  <c r="AI2" i="12"/>
  <c r="AF31" i="12"/>
  <c r="AK31" i="12"/>
  <c r="AB31" i="12"/>
  <c r="AC31" i="12" s="1"/>
  <c r="AE31" i="12" s="1"/>
  <c r="AL38" i="12"/>
  <c r="AJ38" i="12"/>
  <c r="AI38" i="12"/>
  <c r="AG38" i="12"/>
  <c r="AF38" i="12"/>
  <c r="AI169" i="12"/>
  <c r="AG169" i="12"/>
  <c r="AF169" i="12"/>
  <c r="AB169" i="12"/>
  <c r="AC169" i="12" s="1"/>
  <c r="AE169" i="12" s="1"/>
  <c r="AL169" i="12"/>
  <c r="AK169" i="12"/>
  <c r="AJ169" i="12"/>
  <c r="AB226" i="12"/>
  <c r="AC226" i="12" s="1"/>
  <c r="AE226" i="12" s="1"/>
  <c r="AK226" i="12"/>
  <c r="V271" i="12"/>
  <c r="AJ329" i="12"/>
  <c r="AB329" i="12"/>
  <c r="AC329" i="12" s="1"/>
  <c r="AE329" i="12" s="1"/>
  <c r="AG329" i="12"/>
  <c r="AF329" i="12"/>
  <c r="AK523" i="12"/>
  <c r="D166" i="9"/>
  <c r="B199" i="9"/>
  <c r="N199" i="9"/>
  <c r="I199" i="9"/>
  <c r="H212" i="9"/>
  <c r="E212" i="9"/>
  <c r="M212" i="9"/>
  <c r="L212" i="9"/>
  <c r="J212" i="9"/>
  <c r="I212" i="9"/>
  <c r="B219" i="9"/>
  <c r="O219" i="9"/>
  <c r="L219" i="9"/>
  <c r="H219" i="9"/>
  <c r="M219" i="9"/>
  <c r="K219" i="9"/>
  <c r="D219" i="9"/>
  <c r="N231" i="9"/>
  <c r="M231" i="9"/>
  <c r="L231" i="9"/>
  <c r="H231" i="9"/>
  <c r="J231" i="9"/>
  <c r="I231" i="9"/>
  <c r="F231" i="9"/>
  <c r="E231" i="9"/>
  <c r="AI43" i="12"/>
  <c r="Z48" i="12"/>
  <c r="AK54" i="12"/>
  <c r="AL58" i="12"/>
  <c r="AJ58" i="12"/>
  <c r="AI58" i="12"/>
  <c r="AK58" i="12"/>
  <c r="AB58" i="12"/>
  <c r="AC58" i="12" s="1"/>
  <c r="AE58" i="12" s="1"/>
  <c r="Z95" i="12"/>
  <c r="AI107" i="12"/>
  <c r="AK112" i="12"/>
  <c r="AL112" i="12"/>
  <c r="AJ112" i="12"/>
  <c r="AI112" i="12"/>
  <c r="AG112" i="12"/>
  <c r="AF112" i="12"/>
  <c r="AF148" i="12"/>
  <c r="AL162" i="12"/>
  <c r="Z167" i="12"/>
  <c r="Z186" i="12"/>
  <c r="AJ186" i="12"/>
  <c r="AL188" i="12"/>
  <c r="AF188" i="12"/>
  <c r="Z285" i="12"/>
  <c r="Z324" i="12"/>
  <c r="AL345" i="12"/>
  <c r="Z345" i="12"/>
  <c r="D83" i="9"/>
  <c r="M88" i="9"/>
  <c r="F94" i="9"/>
  <c r="H118" i="9"/>
  <c r="H135" i="9"/>
  <c r="J135" i="9" s="1"/>
  <c r="K135" i="9" s="1"/>
  <c r="E166" i="9"/>
  <c r="F183" i="9"/>
  <c r="G183" i="9"/>
  <c r="D199" i="9"/>
  <c r="M205" i="9"/>
  <c r="N208" i="9"/>
  <c r="O208" i="9"/>
  <c r="M208" i="9"/>
  <c r="G208" i="9"/>
  <c r="D212" i="9"/>
  <c r="J217" i="9"/>
  <c r="B217" i="9"/>
  <c r="O217" i="9"/>
  <c r="N217" i="9"/>
  <c r="M217" i="9"/>
  <c r="F217" i="9"/>
  <c r="E219" i="9"/>
  <c r="L224" i="9"/>
  <c r="I224" i="9"/>
  <c r="H224" i="9"/>
  <c r="E224" i="9"/>
  <c r="N224" i="9"/>
  <c r="J226" i="9"/>
  <c r="D231" i="9"/>
  <c r="M273" i="9"/>
  <c r="J297" i="9"/>
  <c r="O297" i="9"/>
  <c r="K297" i="9"/>
  <c r="N297" i="9"/>
  <c r="M297" i="9"/>
  <c r="I297" i="9"/>
  <c r="H297" i="9"/>
  <c r="B297" i="9"/>
  <c r="Z11" i="12"/>
  <c r="AK13" i="12"/>
  <c r="AJ13" i="12"/>
  <c r="AG13" i="12"/>
  <c r="AB13" i="12"/>
  <c r="AC13" i="12" s="1"/>
  <c r="AE13" i="12" s="1"/>
  <c r="AB22" i="12"/>
  <c r="AC22" i="12" s="1"/>
  <c r="AE22" i="12" s="1"/>
  <c r="AF27" i="12"/>
  <c r="AG46" i="12"/>
  <c r="AJ107" i="12"/>
  <c r="AL123" i="12"/>
  <c r="AB130" i="12"/>
  <c r="AC130" i="12" s="1"/>
  <c r="AE130" i="12" s="1"/>
  <c r="AF130" i="12"/>
  <c r="AF165" i="12"/>
  <c r="AG171" i="12"/>
  <c r="Z171" i="12"/>
  <c r="AL182" i="12"/>
  <c r="AG193" i="12"/>
  <c r="AJ195" i="12"/>
  <c r="AI195" i="12"/>
  <c r="AG195" i="12"/>
  <c r="Z195" i="12"/>
  <c r="AI197" i="12"/>
  <c r="Z216" i="12"/>
  <c r="Z224" i="12"/>
  <c r="AL224" i="12"/>
  <c r="AK224" i="12"/>
  <c r="AG224" i="12"/>
  <c r="AB253" i="12"/>
  <c r="AC253" i="12" s="1"/>
  <c r="AE253" i="12" s="1"/>
  <c r="AF255" i="12"/>
  <c r="Z283" i="12"/>
  <c r="AL283" i="12"/>
  <c r="AG283" i="12"/>
  <c r="AL305" i="12"/>
  <c r="AK305" i="12"/>
  <c r="AG305" i="12"/>
  <c r="AB305" i="12"/>
  <c r="AC305" i="12" s="1"/>
  <c r="AE305" i="12" s="1"/>
  <c r="AJ305" i="12"/>
  <c r="AF305" i="12"/>
  <c r="AI305" i="12"/>
  <c r="Z599" i="12"/>
  <c r="AL599" i="12"/>
  <c r="F12" i="9"/>
  <c r="D12" i="9"/>
  <c r="L20" i="9"/>
  <c r="M20" i="9" s="1"/>
  <c r="I39" i="9"/>
  <c r="H39" i="9"/>
  <c r="F39" i="9"/>
  <c r="D48" i="9"/>
  <c r="H61" i="9"/>
  <c r="J61" i="9" s="1"/>
  <c r="I61" i="9"/>
  <c r="F61" i="9"/>
  <c r="G70" i="9"/>
  <c r="H72" i="9"/>
  <c r="J72" i="9" s="1"/>
  <c r="L72" i="9" s="1"/>
  <c r="N72" i="9" s="1"/>
  <c r="O72" i="9" s="1"/>
  <c r="E83" i="9"/>
  <c r="D94" i="9"/>
  <c r="B96" i="9"/>
  <c r="I96" i="9"/>
  <c r="H96" i="9"/>
  <c r="J96" i="9" s="1"/>
  <c r="F96" i="9"/>
  <c r="D118" i="9"/>
  <c r="F166" i="9"/>
  <c r="F168" i="9"/>
  <c r="N168" i="9"/>
  <c r="O168" i="9" s="1"/>
  <c r="K168" i="9"/>
  <c r="I168" i="9"/>
  <c r="J168" i="9" s="1"/>
  <c r="L168" i="9" s="1"/>
  <c r="B168" i="9"/>
  <c r="G174" i="9"/>
  <c r="B181" i="9"/>
  <c r="L181" i="9"/>
  <c r="D183" i="9"/>
  <c r="D190" i="9"/>
  <c r="F192" i="9"/>
  <c r="I194" i="9"/>
  <c r="E199" i="9"/>
  <c r="N201" i="9"/>
  <c r="O201" i="9"/>
  <c r="K201" i="9"/>
  <c r="G201" i="9"/>
  <c r="M201" i="9"/>
  <c r="E201" i="9"/>
  <c r="I203" i="9"/>
  <c r="O205" i="9"/>
  <c r="D208" i="9"/>
  <c r="F212" i="9"/>
  <c r="D217" i="9"/>
  <c r="F219" i="9"/>
  <c r="D224" i="9"/>
  <c r="K226" i="9"/>
  <c r="G231" i="9"/>
  <c r="G240" i="9"/>
  <c r="K242" i="9"/>
  <c r="H270" i="9"/>
  <c r="O270" i="9"/>
  <c r="N270" i="9"/>
  <c r="J270" i="9"/>
  <c r="L270" i="9"/>
  <c r="F288" i="9"/>
  <c r="E295" i="9"/>
  <c r="D295" i="9"/>
  <c r="B295" i="9"/>
  <c r="N295" i="9"/>
  <c r="M295" i="9"/>
  <c r="G295" i="9"/>
  <c r="D297" i="9"/>
  <c r="H300" i="9"/>
  <c r="O300" i="9"/>
  <c r="K300" i="9"/>
  <c r="B300" i="9"/>
  <c r="N300" i="9"/>
  <c r="AL18" i="12"/>
  <c r="AB18" i="12"/>
  <c r="AC18" i="12" s="1"/>
  <c r="AE18" i="12" s="1"/>
  <c r="AK18" i="12"/>
  <c r="AJ18" i="12"/>
  <c r="AI18" i="12"/>
  <c r="AG18" i="12"/>
  <c r="AG21" i="12"/>
  <c r="AF21" i="12"/>
  <c r="Z21" i="12"/>
  <c r="AI25" i="12"/>
  <c r="AG27" i="12"/>
  <c r="Z61" i="12"/>
  <c r="AK61" i="12"/>
  <c r="AI70" i="12"/>
  <c r="AL77" i="12"/>
  <c r="AK77" i="12"/>
  <c r="AJ77" i="12"/>
  <c r="AI77" i="12"/>
  <c r="AG77" i="12"/>
  <c r="AK82" i="12"/>
  <c r="AJ82" i="12"/>
  <c r="AI82" i="12"/>
  <c r="AG82" i="12"/>
  <c r="AL99" i="12"/>
  <c r="AK99" i="12"/>
  <c r="AJ99" i="12"/>
  <c r="AI99" i="12"/>
  <c r="AG99" i="12"/>
  <c r="Z99" i="12"/>
  <c r="AK107" i="12"/>
  <c r="AL125" i="12"/>
  <c r="AK125" i="12"/>
  <c r="AJ125" i="12"/>
  <c r="AG125" i="12"/>
  <c r="AF125" i="12"/>
  <c r="AI125" i="12"/>
  <c r="V130" i="12"/>
  <c r="V138" i="12"/>
  <c r="AL160" i="12"/>
  <c r="AK160" i="12"/>
  <c r="AJ160" i="12"/>
  <c r="AF160" i="12"/>
  <c r="Z173" i="12"/>
  <c r="AK173" i="12"/>
  <c r="AL214" i="12"/>
  <c r="AI214" i="12"/>
  <c r="AL232" i="12"/>
  <c r="AG232" i="12"/>
  <c r="AK232" i="12"/>
  <c r="AJ232" i="12"/>
  <c r="Z232" i="12"/>
  <c r="AF234" i="12"/>
  <c r="AF276" i="12"/>
  <c r="AB276" i="12"/>
  <c r="AC276" i="12" s="1"/>
  <c r="AE276" i="12" s="1"/>
  <c r="AJ335" i="12"/>
  <c r="AL335" i="12"/>
  <c r="AI335" i="12"/>
  <c r="AG335" i="12"/>
  <c r="Z335" i="12"/>
  <c r="AJ340" i="12"/>
  <c r="AI340" i="12"/>
  <c r="AB340" i="12"/>
  <c r="AC340" i="12" s="1"/>
  <c r="AE340" i="12" s="1"/>
  <c r="E12" i="9"/>
  <c r="D20" i="9"/>
  <c r="D28" i="9"/>
  <c r="D39" i="9"/>
  <c r="E48" i="9"/>
  <c r="F50" i="9"/>
  <c r="B50" i="9"/>
  <c r="E50" i="9"/>
  <c r="G50" i="9" s="1"/>
  <c r="D61" i="9"/>
  <c r="D72" i="9"/>
  <c r="F83" i="9"/>
  <c r="L85" i="9"/>
  <c r="G85" i="9"/>
  <c r="F85" i="9"/>
  <c r="D85" i="9"/>
  <c r="H87" i="9"/>
  <c r="J87" i="9" s="1"/>
  <c r="D87" i="9"/>
  <c r="E94" i="9"/>
  <c r="D96" i="9"/>
  <c r="H107" i="9"/>
  <c r="D107" i="9"/>
  <c r="J107" i="9"/>
  <c r="L107" i="9" s="1"/>
  <c r="G107" i="9"/>
  <c r="E109" i="9"/>
  <c r="D109" i="9"/>
  <c r="B109" i="9"/>
  <c r="E118" i="9"/>
  <c r="D168" i="9"/>
  <c r="E183" i="9"/>
  <c r="E190" i="9"/>
  <c r="F199" i="9"/>
  <c r="E208" i="9"/>
  <c r="G212" i="9"/>
  <c r="E217" i="9"/>
  <c r="G219" i="9"/>
  <c r="F224" i="9"/>
  <c r="M226" i="9"/>
  <c r="K231" i="9"/>
  <c r="N251" i="9"/>
  <c r="J251" i="9"/>
  <c r="I251" i="9"/>
  <c r="G251" i="9"/>
  <c r="F251" i="9"/>
  <c r="B251" i="9"/>
  <c r="E297" i="9"/>
  <c r="AL15" i="12"/>
  <c r="AJ25" i="12"/>
  <c r="AJ35" i="12"/>
  <c r="AI35" i="12"/>
  <c r="AG35" i="12"/>
  <c r="AL35" i="12"/>
  <c r="AF35" i="12"/>
  <c r="AB35" i="12"/>
  <c r="AC35" i="12" s="1"/>
  <c r="AE35" i="12" s="1"/>
  <c r="AK35" i="12"/>
  <c r="AJ45" i="12"/>
  <c r="AK70" i="12"/>
  <c r="AB117" i="12"/>
  <c r="AC117" i="12" s="1"/>
  <c r="AE117" i="12" s="1"/>
  <c r="AF117" i="12"/>
  <c r="AB143" i="12"/>
  <c r="AC143" i="12" s="1"/>
  <c r="AE143" i="12" s="1"/>
  <c r="AL143" i="12"/>
  <c r="AK143" i="12"/>
  <c r="AG143" i="12"/>
  <c r="AL149" i="12"/>
  <c r="AJ164" i="12"/>
  <c r="AG167" i="12"/>
  <c r="Z169" i="12"/>
  <c r="AI193" i="12"/>
  <c r="AK201" i="12"/>
  <c r="AB201" i="12"/>
  <c r="AC201" i="12" s="1"/>
  <c r="AE201" i="12" s="1"/>
  <c r="AL201" i="12"/>
  <c r="AJ201" i="12"/>
  <c r="AI201" i="12"/>
  <c r="AB222" i="12"/>
  <c r="AC222" i="12" s="1"/>
  <c r="AE222" i="12" s="1"/>
  <c r="AF286" i="12"/>
  <c r="AG286" i="12"/>
  <c r="AB286" i="12"/>
  <c r="AC286" i="12" s="1"/>
  <c r="AE286" i="12" s="1"/>
  <c r="Z290" i="12"/>
  <c r="Z390" i="12"/>
  <c r="AI390" i="12"/>
  <c r="AL390" i="12"/>
  <c r="AJ390" i="12"/>
  <c r="Z560" i="12"/>
  <c r="V403" i="12"/>
  <c r="AJ650" i="12"/>
  <c r="AI650" i="12"/>
  <c r="AF650" i="12"/>
  <c r="AB650" i="12"/>
  <c r="AC650" i="12" s="1"/>
  <c r="AE650" i="12" s="1"/>
  <c r="AG650" i="12"/>
  <c r="AL650" i="12"/>
  <c r="AK650" i="12"/>
  <c r="F163" i="9"/>
  <c r="M163" i="9"/>
  <c r="H210" i="9"/>
  <c r="O210" i="9"/>
  <c r="L210" i="9"/>
  <c r="G210" i="9"/>
  <c r="J248" i="9"/>
  <c r="I248" i="9"/>
  <c r="G248" i="9"/>
  <c r="F248" i="9"/>
  <c r="B248" i="9"/>
  <c r="N252" i="9"/>
  <c r="M252" i="9"/>
  <c r="I252" i="9"/>
  <c r="AF10" i="12"/>
  <c r="AB10" i="12"/>
  <c r="AC10" i="12" s="1"/>
  <c r="AE10" i="12" s="1"/>
  <c r="AL25" i="12"/>
  <c r="Z29" i="12"/>
  <c r="V38" i="12"/>
  <c r="AJ42" i="12"/>
  <c r="AI42" i="12"/>
  <c r="AG42" i="12"/>
  <c r="AG53" i="12"/>
  <c r="AL53" i="12"/>
  <c r="AK53" i="12"/>
  <c r="AF53" i="12"/>
  <c r="AL97" i="12"/>
  <c r="AB154" i="12"/>
  <c r="AC154" i="12" s="1"/>
  <c r="AE154" i="12" s="1"/>
  <c r="AI154" i="12"/>
  <c r="AJ182" i="12"/>
  <c r="AI182" i="12"/>
  <c r="AG182" i="12"/>
  <c r="AF182" i="12"/>
  <c r="AB182" i="12"/>
  <c r="AC182" i="12" s="1"/>
  <c r="AE182" i="12" s="1"/>
  <c r="AB211" i="12"/>
  <c r="AC211" i="12" s="1"/>
  <c r="AE211" i="12" s="1"/>
  <c r="V222" i="12"/>
  <c r="AF236" i="12"/>
  <c r="AB236" i="12"/>
  <c r="AC236" i="12" s="1"/>
  <c r="AE236" i="12" s="1"/>
  <c r="AG236" i="12"/>
  <c r="V255" i="12"/>
  <c r="AB321" i="12"/>
  <c r="AC321" i="12" s="1"/>
  <c r="AE321" i="12" s="1"/>
  <c r="AF321" i="12"/>
  <c r="AJ436" i="12"/>
  <c r="Z436" i="12"/>
  <c r="AK436" i="12"/>
  <c r="AL436" i="12"/>
  <c r="AI436" i="12"/>
  <c r="AG436" i="12"/>
  <c r="AL541" i="12"/>
  <c r="AJ501" i="12"/>
  <c r="AK315" i="12"/>
  <c r="AL315" i="12"/>
  <c r="AF315" i="12"/>
  <c r="AB315" i="12"/>
  <c r="AC315" i="12" s="1"/>
  <c r="AE315" i="12" s="1"/>
  <c r="AB332" i="12"/>
  <c r="AC332" i="12" s="1"/>
  <c r="AE332" i="12" s="1"/>
  <c r="AJ332" i="12"/>
  <c r="AG332" i="12"/>
  <c r="AF332" i="12"/>
  <c r="AB356" i="12"/>
  <c r="AC356" i="12" s="1"/>
  <c r="AE356" i="12" s="1"/>
  <c r="AI356" i="12"/>
  <c r="AG356" i="12"/>
  <c r="AF356" i="12"/>
  <c r="AL488" i="12"/>
  <c r="AI488" i="12"/>
  <c r="AK488" i="12"/>
  <c r="AJ488" i="12"/>
  <c r="AG488" i="12"/>
  <c r="AF488" i="12"/>
  <c r="AB488" i="12"/>
  <c r="AC488" i="12" s="1"/>
  <c r="AE488" i="12" s="1"/>
  <c r="J207" i="9"/>
  <c r="O207" i="9"/>
  <c r="L207" i="9"/>
  <c r="G207" i="9"/>
  <c r="F233" i="9"/>
  <c r="J233" i="9"/>
  <c r="I233" i="9"/>
  <c r="G233" i="9"/>
  <c r="E233" i="9"/>
  <c r="J237" i="9"/>
  <c r="N237" i="9"/>
  <c r="M237" i="9"/>
  <c r="H237" i="9"/>
  <c r="L264" i="9"/>
  <c r="O264" i="9"/>
  <c r="N264" i="9"/>
  <c r="I264" i="9"/>
  <c r="AI16" i="12"/>
  <c r="Z68" i="12"/>
  <c r="Z94" i="12"/>
  <c r="AJ134" i="12"/>
  <c r="AI134" i="12"/>
  <c r="AG134" i="12"/>
  <c r="AF134" i="12"/>
  <c r="AL134" i="12"/>
  <c r="AB166" i="12"/>
  <c r="AC166" i="12" s="1"/>
  <c r="AE166" i="12" s="1"/>
  <c r="AJ166" i="12"/>
  <c r="AI166" i="12"/>
  <c r="AG166" i="12"/>
  <c r="AF166" i="12"/>
  <c r="AG228" i="12"/>
  <c r="AF228" i="12"/>
  <c r="AL228" i="12"/>
  <c r="AK228" i="12"/>
  <c r="AJ228" i="12"/>
  <c r="AI228" i="12"/>
  <c r="AB228" i="12"/>
  <c r="AC228" i="12" s="1"/>
  <c r="AE228" i="12" s="1"/>
  <c r="AF280" i="12"/>
  <c r="AB280" i="12"/>
  <c r="AC280" i="12" s="1"/>
  <c r="AE280" i="12" s="1"/>
  <c r="AL282" i="12"/>
  <c r="AI282" i="12"/>
  <c r="AG282" i="12"/>
  <c r="AF282" i="12"/>
  <c r="AB282" i="12"/>
  <c r="AC282" i="12" s="1"/>
  <c r="AE282" i="12" s="1"/>
  <c r="AK282" i="12"/>
  <c r="D93" i="9"/>
  <c r="F120" i="9"/>
  <c r="B120" i="9"/>
  <c r="F130" i="9"/>
  <c r="B130" i="9"/>
  <c r="I140" i="9"/>
  <c r="F140" i="9"/>
  <c r="B140" i="9"/>
  <c r="J148" i="9"/>
  <c r="K148" i="9" s="1"/>
  <c r="K163" i="9"/>
  <c r="F177" i="9"/>
  <c r="F193" i="9"/>
  <c r="H200" i="9"/>
  <c r="G200" i="9"/>
  <c r="D200" i="9"/>
  <c r="D207" i="9"/>
  <c r="M210" i="9"/>
  <c r="D233" i="9"/>
  <c r="D237" i="9"/>
  <c r="B239" i="9"/>
  <c r="J239" i="9"/>
  <c r="I239" i="9"/>
  <c r="G239" i="9"/>
  <c r="F239" i="9"/>
  <c r="N248" i="9"/>
  <c r="K252" i="9"/>
  <c r="D264" i="9"/>
  <c r="O285" i="9"/>
  <c r="N285" i="9"/>
  <c r="J285" i="9"/>
  <c r="AG10" i="12"/>
  <c r="Z50" i="12"/>
  <c r="AL61" i="12"/>
  <c r="AB61" i="12"/>
  <c r="AC61" i="12" s="1"/>
  <c r="AE61" i="12" s="1"/>
  <c r="Z70" i="12"/>
  <c r="AL80" i="12"/>
  <c r="AK80" i="12"/>
  <c r="Z80" i="12"/>
  <c r="Z122" i="12"/>
  <c r="V124" i="12"/>
  <c r="AF141" i="12"/>
  <c r="AI158" i="12"/>
  <c r="AG158" i="12"/>
  <c r="AF158" i="12"/>
  <c r="AL158" i="12"/>
  <c r="AK158" i="12"/>
  <c r="AJ158" i="12"/>
  <c r="AL163" i="12"/>
  <c r="AK163" i="12"/>
  <c r="AG163" i="12"/>
  <c r="V166" i="12"/>
  <c r="AB179" i="12"/>
  <c r="AC179" i="12" s="1"/>
  <c r="AE179" i="12" s="1"/>
  <c r="AK179" i="12"/>
  <c r="AJ179" i="12"/>
  <c r="AI179" i="12"/>
  <c r="AG179" i="12"/>
  <c r="AK182" i="12"/>
  <c r="AF344" i="12"/>
  <c r="AB344" i="12"/>
  <c r="AC344" i="12" s="1"/>
  <c r="AE344" i="12" s="1"/>
  <c r="AL344" i="12"/>
  <c r="AK344" i="12"/>
  <c r="AJ344" i="12"/>
  <c r="AI344" i="12"/>
  <c r="AK476" i="12"/>
  <c r="AL476" i="12"/>
  <c r="AJ481" i="12"/>
  <c r="AK481" i="12"/>
  <c r="AI481" i="12"/>
  <c r="Z481" i="12"/>
  <c r="AG481" i="12"/>
  <c r="AG12" i="12"/>
  <c r="AJ12" i="12"/>
  <c r="AI12" i="12"/>
  <c r="AF12" i="12"/>
  <c r="Z28" i="12"/>
  <c r="AB30" i="12"/>
  <c r="AC30" i="12" s="1"/>
  <c r="AE30" i="12" s="1"/>
  <c r="AL30" i="12"/>
  <c r="AK30" i="12"/>
  <c r="AG30" i="12"/>
  <c r="AB47" i="12"/>
  <c r="AC47" i="12" s="1"/>
  <c r="AE47" i="12" s="1"/>
  <c r="AG47" i="12"/>
  <c r="AF47" i="12"/>
  <c r="AJ55" i="12"/>
  <c r="AI55" i="12"/>
  <c r="AG55" i="12"/>
  <c r="AF55" i="12"/>
  <c r="AL110" i="12"/>
  <c r="AB119" i="12"/>
  <c r="AC119" i="12" s="1"/>
  <c r="AE119" i="12" s="1"/>
  <c r="AL119" i="12"/>
  <c r="AK119" i="12"/>
  <c r="AG119" i="12"/>
  <c r="Z143" i="12"/>
  <c r="AG145" i="12"/>
  <c r="AF145" i="12"/>
  <c r="AB145" i="12"/>
  <c r="AC145" i="12" s="1"/>
  <c r="AE145" i="12" s="1"/>
  <c r="AK191" i="12"/>
  <c r="AJ191" i="12"/>
  <c r="AG191" i="12"/>
  <c r="AF191" i="12"/>
  <c r="AL191" i="12"/>
  <c r="AB191" i="12"/>
  <c r="AC191" i="12" s="1"/>
  <c r="AE191" i="12" s="1"/>
  <c r="Z200" i="12"/>
  <c r="AK289" i="12"/>
  <c r="AI289" i="12"/>
  <c r="AG289" i="12"/>
  <c r="AF289" i="12"/>
  <c r="AL289" i="12"/>
  <c r="AJ289" i="12"/>
  <c r="AB509" i="12"/>
  <c r="AC509" i="12" s="1"/>
  <c r="AE509" i="12" s="1"/>
  <c r="AF509" i="12"/>
  <c r="F90" i="9"/>
  <c r="B90" i="9"/>
  <c r="F93" i="9"/>
  <c r="E120" i="9"/>
  <c r="E130" i="9"/>
  <c r="E140" i="9"/>
  <c r="H155" i="9"/>
  <c r="J155" i="9" s="1"/>
  <c r="J162" i="9"/>
  <c r="H41" i="2" s="1"/>
  <c r="F162" i="9"/>
  <c r="N163" i="9"/>
  <c r="O163" i="9" s="1"/>
  <c r="E172" i="9"/>
  <c r="E177" i="9"/>
  <c r="B179" i="9"/>
  <c r="G179" i="9"/>
  <c r="D179" i="9"/>
  <c r="D186" i="9"/>
  <c r="K186" i="9"/>
  <c r="G186" i="9"/>
  <c r="E193" i="9"/>
  <c r="F200" i="9"/>
  <c r="F207" i="9"/>
  <c r="I218" i="9"/>
  <c r="H218" i="9"/>
  <c r="E218" i="9"/>
  <c r="H220" i="9"/>
  <c r="B220" i="9"/>
  <c r="O220" i="9"/>
  <c r="K233" i="9"/>
  <c r="F237" i="9"/>
  <c r="E239" i="9"/>
  <c r="J245" i="9"/>
  <c r="I245" i="9"/>
  <c r="G245" i="9"/>
  <c r="F245" i="9"/>
  <c r="B245" i="9"/>
  <c r="B249" i="9"/>
  <c r="N249" i="9"/>
  <c r="M249" i="9"/>
  <c r="I249" i="9"/>
  <c r="O252" i="9"/>
  <c r="F264" i="9"/>
  <c r="D266" i="9"/>
  <c r="K266" i="9"/>
  <c r="J266" i="9"/>
  <c r="H266" i="9"/>
  <c r="G266" i="9"/>
  <c r="B266" i="9"/>
  <c r="E285" i="9"/>
  <c r="AI10" i="12"/>
  <c r="AG52" i="12"/>
  <c r="AF52" i="12"/>
  <c r="AK52" i="12"/>
  <c r="AJ52" i="12"/>
  <c r="AI52" i="12"/>
  <c r="AG72" i="12"/>
  <c r="AF72" i="12"/>
  <c r="AJ72" i="12"/>
  <c r="AI72" i="12"/>
  <c r="AB72" i="12"/>
  <c r="AC72" i="12" s="1"/>
  <c r="AE72" i="12" s="1"/>
  <c r="AF91" i="12"/>
  <c r="AB91" i="12"/>
  <c r="AC91" i="12" s="1"/>
  <c r="AE91" i="12" s="1"/>
  <c r="AL91" i="12"/>
  <c r="AK91" i="12"/>
  <c r="AJ91" i="12"/>
  <c r="AI91" i="12"/>
  <c r="AF97" i="12"/>
  <c r="AB153" i="12"/>
  <c r="AC153" i="12" s="1"/>
  <c r="AE153" i="12" s="1"/>
  <c r="Z156" i="12"/>
  <c r="Z166" i="12"/>
  <c r="AI170" i="12"/>
  <c r="AK170" i="12"/>
  <c r="AJ170" i="12"/>
  <c r="AG170" i="12"/>
  <c r="AF170" i="12"/>
  <c r="AL170" i="12"/>
  <c r="AK176" i="12"/>
  <c r="AJ176" i="12"/>
  <c r="AI176" i="12"/>
  <c r="AB183" i="12"/>
  <c r="AC183" i="12" s="1"/>
  <c r="AE183" i="12" s="1"/>
  <c r="AL183" i="12"/>
  <c r="AK183" i="12"/>
  <c r="AJ183" i="12"/>
  <c r="AI183" i="12"/>
  <c r="AG183" i="12"/>
  <c r="AI202" i="12"/>
  <c r="AG202" i="12"/>
  <c r="AL236" i="12"/>
  <c r="AF260" i="12"/>
  <c r="AB260" i="12"/>
  <c r="AC260" i="12" s="1"/>
  <c r="AE260" i="12" s="1"/>
  <c r="AK260" i="12"/>
  <c r="AI315" i="12"/>
  <c r="AI349" i="12"/>
  <c r="AF379" i="12"/>
  <c r="AI379" i="12"/>
  <c r="AB379" i="12"/>
  <c r="AC379" i="12" s="1"/>
  <c r="AE379" i="12" s="1"/>
  <c r="AG392" i="12"/>
  <c r="AI392" i="12"/>
  <c r="AF392" i="12"/>
  <c r="AB392" i="12"/>
  <c r="AC392" i="12" s="1"/>
  <c r="AE392" i="12" s="1"/>
  <c r="AL392" i="12"/>
  <c r="AK392" i="12"/>
  <c r="AJ392" i="12"/>
  <c r="AJ455" i="12"/>
  <c r="Z504" i="12"/>
  <c r="AL504" i="12"/>
  <c r="AG504" i="12"/>
  <c r="J44" i="9"/>
  <c r="F44" i="9"/>
  <c r="N52" i="9"/>
  <c r="O52" i="9" s="1"/>
  <c r="H71" i="9"/>
  <c r="J71" i="9" s="1"/>
  <c r="J98" i="9"/>
  <c r="H117" i="9"/>
  <c r="J117" i="9" s="1"/>
  <c r="D117" i="9"/>
  <c r="N122" i="9"/>
  <c r="O122" i="9" s="1"/>
  <c r="N132" i="9"/>
  <c r="O132" i="9" s="1"/>
  <c r="I147" i="9"/>
  <c r="E147" i="9"/>
  <c r="F172" i="9"/>
  <c r="G193" i="9"/>
  <c r="N195" i="9"/>
  <c r="K195" i="9"/>
  <c r="G195" i="9"/>
  <c r="H207" i="9"/>
  <c r="N211" i="9"/>
  <c r="O211" i="9"/>
  <c r="L233" i="9"/>
  <c r="G237" i="9"/>
  <c r="H239" i="9"/>
  <c r="G264" i="9"/>
  <c r="AK4" i="12"/>
  <c r="AJ10" i="12"/>
  <c r="AG33" i="12"/>
  <c r="AL36" i="12"/>
  <c r="AK42" i="12"/>
  <c r="AL49" i="12"/>
  <c r="V72" i="12"/>
  <c r="AL74" i="12"/>
  <c r="AG97" i="12"/>
  <c r="AB124" i="12"/>
  <c r="AC124" i="12" s="1"/>
  <c r="AE124" i="12" s="1"/>
  <c r="AI141" i="12"/>
  <c r="Z158" i="12"/>
  <c r="AL194" i="12"/>
  <c r="AG194" i="12"/>
  <c r="AB212" i="12"/>
  <c r="AC212" i="12" s="1"/>
  <c r="AE212" i="12" s="1"/>
  <c r="AF212" i="12"/>
  <c r="AG237" i="12"/>
  <c r="AI237" i="12"/>
  <c r="AF237" i="12"/>
  <c r="AL237" i="12"/>
  <c r="AK237" i="12"/>
  <c r="AJ237" i="12"/>
  <c r="AB252" i="12"/>
  <c r="AC252" i="12" s="1"/>
  <c r="AE252" i="12" s="1"/>
  <c r="AI252" i="12"/>
  <c r="AG252" i="12"/>
  <c r="AF252" i="12"/>
  <c r="AK264" i="12"/>
  <c r="AJ264" i="12"/>
  <c r="AL264" i="12"/>
  <c r="AI264" i="12"/>
  <c r="AG264" i="12"/>
  <c r="AJ266" i="12"/>
  <c r="AB266" i="12"/>
  <c r="AC266" i="12" s="1"/>
  <c r="AE266" i="12" s="1"/>
  <c r="AG266" i="12"/>
  <c r="AF266" i="12"/>
  <c r="AJ315" i="12"/>
  <c r="AK350" i="12"/>
  <c r="AG350" i="12"/>
  <c r="AF350" i="12"/>
  <c r="AB350" i="12"/>
  <c r="AC350" i="12" s="1"/>
  <c r="AE350" i="12" s="1"/>
  <c r="AK387" i="12"/>
  <c r="AB387" i="12"/>
  <c r="AC387" i="12" s="1"/>
  <c r="AE387" i="12" s="1"/>
  <c r="AI387" i="12"/>
  <c r="AG387" i="12"/>
  <c r="AF387" i="12"/>
  <c r="AK430" i="12"/>
  <c r="AG476" i="12"/>
  <c r="W338" i="12"/>
  <c r="W528" i="12"/>
  <c r="AJ533" i="12"/>
  <c r="AF533" i="12"/>
  <c r="AB533" i="12"/>
  <c r="AC533" i="12" s="1"/>
  <c r="AE533" i="12" s="1"/>
  <c r="AI533" i="12"/>
  <c r="AB634" i="12"/>
  <c r="AC634" i="12" s="1"/>
  <c r="AE634" i="12" s="1"/>
  <c r="AJ634" i="12"/>
  <c r="AF634" i="12"/>
  <c r="O229" i="9"/>
  <c r="O232" i="9"/>
  <c r="O235" i="9"/>
  <c r="O238" i="9"/>
  <c r="AF4" i="12"/>
  <c r="AF15" i="12"/>
  <c r="W20" i="12"/>
  <c r="AF36" i="12"/>
  <c r="W40" i="12"/>
  <c r="AF51" i="12"/>
  <c r="AB51" i="12"/>
  <c r="AC51" i="12" s="1"/>
  <c r="AE51" i="12" s="1"/>
  <c r="W62" i="12"/>
  <c r="W76" i="12"/>
  <c r="AG76" i="12" s="1"/>
  <c r="AG108" i="12"/>
  <c r="AB108" i="12"/>
  <c r="AC108" i="12" s="1"/>
  <c r="AE108" i="12" s="1"/>
  <c r="AF121" i="12"/>
  <c r="AB121" i="12"/>
  <c r="AC121" i="12" s="1"/>
  <c r="AE121" i="12" s="1"/>
  <c r="W133" i="12"/>
  <c r="AJ133" i="12" s="1"/>
  <c r="W149" i="12"/>
  <c r="W154" i="12"/>
  <c r="AF157" i="12"/>
  <c r="AB190" i="12"/>
  <c r="AC190" i="12" s="1"/>
  <c r="AE190" i="12" s="1"/>
  <c r="W218" i="12"/>
  <c r="AK241" i="12"/>
  <c r="AG241" i="12"/>
  <c r="W257" i="12"/>
  <c r="W280" i="12"/>
  <c r="W298" i="12"/>
  <c r="W321" i="12"/>
  <c r="AG321" i="12" s="1"/>
  <c r="AB361" i="12"/>
  <c r="AC361" i="12" s="1"/>
  <c r="AE361" i="12" s="1"/>
  <c r="AK361" i="12"/>
  <c r="AJ361" i="12"/>
  <c r="AI361" i="12"/>
  <c r="AG361" i="12"/>
  <c r="AF361" i="12"/>
  <c r="AL361" i="12"/>
  <c r="V372" i="12"/>
  <c r="AF703" i="12"/>
  <c r="AB703" i="12"/>
  <c r="AC703" i="12" s="1"/>
  <c r="AE703" i="12" s="1"/>
  <c r="AG703" i="12"/>
  <c r="W286" i="12"/>
  <c r="AJ286" i="12" s="1"/>
  <c r="W293" i="12"/>
  <c r="W300" i="12"/>
  <c r="W311" i="12"/>
  <c r="W363" i="12"/>
  <c r="W441" i="12"/>
  <c r="AI485" i="12"/>
  <c r="AF485" i="12"/>
  <c r="AB485" i="12"/>
  <c r="AC485" i="12" s="1"/>
  <c r="AE485" i="12" s="1"/>
  <c r="AK485" i="12"/>
  <c r="AG485" i="12"/>
  <c r="AJ485" i="12"/>
  <c r="W553" i="12"/>
  <c r="AF558" i="12"/>
  <c r="AB558" i="12"/>
  <c r="AC558" i="12" s="1"/>
  <c r="AE558" i="12" s="1"/>
  <c r="AF576" i="12"/>
  <c r="AB576" i="12"/>
  <c r="AC576" i="12" s="1"/>
  <c r="AE576" i="12" s="1"/>
  <c r="W465" i="12"/>
  <c r="W498" i="12"/>
  <c r="AK527" i="12"/>
  <c r="L164" i="9"/>
  <c r="J167" i="9"/>
  <c r="H170" i="9"/>
  <c r="J170" i="9" s="1"/>
  <c r="D176" i="9"/>
  <c r="G269" i="9"/>
  <c r="G272" i="9"/>
  <c r="G275" i="9"/>
  <c r="G278" i="9"/>
  <c r="G281" i="9"/>
  <c r="G284" i="9"/>
  <c r="G287" i="9"/>
  <c r="G290" i="9"/>
  <c r="H293" i="9"/>
  <c r="H296" i="9"/>
  <c r="V46" i="12"/>
  <c r="W51" i="12"/>
  <c r="W90" i="12"/>
  <c r="W108" i="12"/>
  <c r="W121" i="12"/>
  <c r="W136" i="12"/>
  <c r="AK136" i="12" s="1"/>
  <c r="W157" i="12"/>
  <c r="V165" i="12"/>
  <c r="AF168" i="12"/>
  <c r="V178" i="12"/>
  <c r="AF181" i="12"/>
  <c r="W190" i="12"/>
  <c r="AF217" i="12"/>
  <c r="W221" i="12"/>
  <c r="W230" i="12"/>
  <c r="AI230" i="12" s="1"/>
  <c r="AF258" i="12"/>
  <c r="AG273" i="12"/>
  <c r="AF273" i="12"/>
  <c r="AB273" i="12"/>
  <c r="AC273" i="12" s="1"/>
  <c r="AE273" i="12" s="1"/>
  <c r="AF316" i="12"/>
  <c r="AB316" i="12"/>
  <c r="AC316" i="12" s="1"/>
  <c r="AE316" i="12" s="1"/>
  <c r="AG377" i="12"/>
  <c r="AF377" i="12"/>
  <c r="AK377" i="12"/>
  <c r="AB411" i="12"/>
  <c r="AC411" i="12" s="1"/>
  <c r="AE411" i="12" s="1"/>
  <c r="AK411" i="12"/>
  <c r="AG411" i="12"/>
  <c r="AF411" i="12"/>
  <c r="AJ411" i="12"/>
  <c r="AI411" i="12"/>
  <c r="W849" i="12"/>
  <c r="Z849" i="12" s="1"/>
  <c r="W851" i="12"/>
  <c r="W857" i="12"/>
  <c r="W858" i="12"/>
  <c r="Z858" i="12" s="1"/>
  <c r="W853" i="12"/>
  <c r="W844" i="12"/>
  <c r="W815" i="12"/>
  <c r="W795" i="12"/>
  <c r="W775" i="12"/>
  <c r="Z775" i="12" s="1"/>
  <c r="W835" i="12"/>
  <c r="AI835" i="12" s="1"/>
  <c r="W816" i="12"/>
  <c r="W796" i="12"/>
  <c r="W776" i="12"/>
  <c r="W845" i="12"/>
  <c r="W817" i="12"/>
  <c r="W797" i="12"/>
  <c r="Z797" i="12" s="1"/>
  <c r="W777" i="12"/>
  <c r="AJ777" i="12" s="1"/>
  <c r="W836" i="12"/>
  <c r="W818" i="12"/>
  <c r="AJ818" i="12" s="1"/>
  <c r="W804" i="12"/>
  <c r="AK804" i="12" s="1"/>
  <c r="W799" i="12"/>
  <c r="W771" i="12"/>
  <c r="W762" i="12"/>
  <c r="W744" i="12"/>
  <c r="W848" i="12"/>
  <c r="W831" i="12"/>
  <c r="W822" i="12"/>
  <c r="W810" i="12"/>
  <c r="AL810" i="12" s="1"/>
  <c r="W791" i="12"/>
  <c r="W785" i="12"/>
  <c r="AG785" i="12" s="1"/>
  <c r="W780" i="12"/>
  <c r="W772" i="12"/>
  <c r="W763" i="12"/>
  <c r="W837" i="12"/>
  <c r="W773" i="12"/>
  <c r="W855" i="12"/>
  <c r="W852" i="12"/>
  <c r="W841" i="12"/>
  <c r="W823" i="12"/>
  <c r="W806" i="12"/>
  <c r="AI806" i="12" s="1"/>
  <c r="W828" i="12"/>
  <c r="W859" i="12"/>
  <c r="W825" i="12"/>
  <c r="W820" i="12"/>
  <c r="W813" i="12"/>
  <c r="W790" i="12"/>
  <c r="W766" i="12"/>
  <c r="Z766" i="12" s="1"/>
  <c r="W754" i="12"/>
  <c r="W730" i="12"/>
  <c r="AI730" i="12" s="1"/>
  <c r="W854" i="12"/>
  <c r="W826" i="12"/>
  <c r="W814" i="12"/>
  <c r="W792" i="12"/>
  <c r="W735" i="12"/>
  <c r="W706" i="12"/>
  <c r="W686" i="12"/>
  <c r="W811" i="12"/>
  <c r="W800" i="12"/>
  <c r="W767" i="12"/>
  <c r="W723" i="12"/>
  <c r="W847" i="12"/>
  <c r="W824" i="12"/>
  <c r="W752" i="12"/>
  <c r="W786" i="12"/>
  <c r="W758" i="12"/>
  <c r="W745" i="12"/>
  <c r="W736" i="12"/>
  <c r="W724" i="12"/>
  <c r="AL724" i="12" s="1"/>
  <c r="W709" i="12"/>
  <c r="W689" i="12"/>
  <c r="W669" i="12"/>
  <c r="W649" i="12"/>
  <c r="W834" i="12"/>
  <c r="W803" i="12"/>
  <c r="W793" i="12"/>
  <c r="W789" i="12"/>
  <c r="W746" i="12"/>
  <c r="W710" i="12"/>
  <c r="W690" i="12"/>
  <c r="W670" i="12"/>
  <c r="AL670" i="12" s="1"/>
  <c r="W650" i="12"/>
  <c r="Z650" i="12" s="1"/>
  <c r="W630" i="12"/>
  <c r="W610" i="12"/>
  <c r="W590" i="12"/>
  <c r="W843" i="12"/>
  <c r="W809" i="12"/>
  <c r="W829" i="12"/>
  <c r="Z829" i="12" s="1"/>
  <c r="W827" i="12"/>
  <c r="AJ827" i="12" s="1"/>
  <c r="W759" i="12"/>
  <c r="W728" i="12"/>
  <c r="W856" i="12"/>
  <c r="W832" i="12"/>
  <c r="W774" i="12"/>
  <c r="Z774" i="12" s="1"/>
  <c r="W734" i="12"/>
  <c r="W788" i="12"/>
  <c r="Z788" i="12" s="1"/>
  <c r="W760" i="12"/>
  <c r="W741" i="12"/>
  <c r="W695" i="12"/>
  <c r="W838" i="12"/>
  <c r="W807" i="12"/>
  <c r="AI807" i="12" s="1"/>
  <c r="W779" i="12"/>
  <c r="W755" i="12"/>
  <c r="Z755" i="12" s="1"/>
  <c r="W738" i="12"/>
  <c r="Z738" i="12" s="1"/>
  <c r="W719" i="12"/>
  <c r="AL719" i="12" s="1"/>
  <c r="W701" i="12"/>
  <c r="W661" i="12"/>
  <c r="AJ661" i="12" s="1"/>
  <c r="W633" i="12"/>
  <c r="AG633" i="12" s="1"/>
  <c r="W620" i="12"/>
  <c r="W609" i="12"/>
  <c r="W597" i="12"/>
  <c r="W798" i="12"/>
  <c r="W731" i="12"/>
  <c r="W715" i="12"/>
  <c r="W682" i="12"/>
  <c r="W676" i="12"/>
  <c r="W654" i="12"/>
  <c r="W644" i="12"/>
  <c r="W621" i="12"/>
  <c r="W830" i="12"/>
  <c r="W840" i="12"/>
  <c r="W846" i="12"/>
  <c r="W842" i="12"/>
  <c r="W794" i="12"/>
  <c r="W769" i="12"/>
  <c r="W761" i="12"/>
  <c r="W716" i="12"/>
  <c r="W672" i="12"/>
  <c r="Z672" i="12" s="1"/>
  <c r="W802" i="12"/>
  <c r="AK802" i="12" s="1"/>
  <c r="W688" i="12"/>
  <c r="W653" i="12"/>
  <c r="W642" i="12"/>
  <c r="AJ642" i="12" s="1"/>
  <c r="W636" i="12"/>
  <c r="W595" i="12"/>
  <c r="W587" i="12"/>
  <c r="W570" i="12"/>
  <c r="W550" i="12"/>
  <c r="W850" i="12"/>
  <c r="W756" i="12"/>
  <c r="W662" i="12"/>
  <c r="W629" i="12"/>
  <c r="AK629" i="12" s="1"/>
  <c r="W616" i="12"/>
  <c r="W602" i="12"/>
  <c r="W571" i="12"/>
  <c r="W551" i="12"/>
  <c r="W531" i="12"/>
  <c r="W511" i="12"/>
  <c r="W765" i="12"/>
  <c r="AJ765" i="12" s="1"/>
  <c r="W725" i="12"/>
  <c r="AI725" i="12" s="1"/>
  <c r="W713" i="12"/>
  <c r="W681" i="12"/>
  <c r="AK681" i="12" s="1"/>
  <c r="W666" i="12"/>
  <c r="W623" i="12"/>
  <c r="W703" i="12"/>
  <c r="AI703" i="12" s="1"/>
  <c r="W671" i="12"/>
  <c r="W643" i="12"/>
  <c r="W611" i="12"/>
  <c r="W573" i="12"/>
  <c r="W819" i="12"/>
  <c r="AI819" i="12" s="1"/>
  <c r="W784" i="12"/>
  <c r="W782" i="12"/>
  <c r="W743" i="12"/>
  <c r="W722" i="12"/>
  <c r="W696" i="12"/>
  <c r="W685" i="12"/>
  <c r="W674" i="12"/>
  <c r="W637" i="12"/>
  <c r="W574" i="12"/>
  <c r="W554" i="12"/>
  <c r="W534" i="12"/>
  <c r="W514" i="12"/>
  <c r="W494" i="12"/>
  <c r="AG494" i="12" s="1"/>
  <c r="W474" i="12"/>
  <c r="W454" i="12"/>
  <c r="AI454" i="12" s="1"/>
  <c r="W839" i="12"/>
  <c r="W750" i="12"/>
  <c r="W748" i="12"/>
  <c r="W821" i="12"/>
  <c r="W812" i="12"/>
  <c r="W778" i="12"/>
  <c r="W733" i="12"/>
  <c r="W801" i="12"/>
  <c r="Z801" i="12" s="1"/>
  <c r="W707" i="12"/>
  <c r="AL707" i="12" s="1"/>
  <c r="W700" i="12"/>
  <c r="W655" i="12"/>
  <c r="W645" i="12"/>
  <c r="W638" i="12"/>
  <c r="W618" i="12"/>
  <c r="W604" i="12"/>
  <c r="AJ604" i="12" s="1"/>
  <c r="W578" i="12"/>
  <c r="W558" i="12"/>
  <c r="AL558" i="12" s="1"/>
  <c r="W538" i="12"/>
  <c r="W518" i="12"/>
  <c r="W781" i="12"/>
  <c r="W749" i="12"/>
  <c r="Z749" i="12" s="1"/>
  <c r="W729" i="12"/>
  <c r="W712" i="12"/>
  <c r="W751" i="12"/>
  <c r="W732" i="12"/>
  <c r="AL732" i="12" s="1"/>
  <c r="W697" i="12"/>
  <c r="W679" i="12"/>
  <c r="W624" i="12"/>
  <c r="W612" i="12"/>
  <c r="W605" i="12"/>
  <c r="W581" i="12"/>
  <c r="W562" i="12"/>
  <c r="W529" i="12"/>
  <c r="W517" i="12"/>
  <c r="W468" i="12"/>
  <c r="AL468" i="12" s="1"/>
  <c r="W445" i="12"/>
  <c r="W433" i="12"/>
  <c r="W413" i="12"/>
  <c r="W687" i="12"/>
  <c r="W651" i="12"/>
  <c r="Z651" i="12" s="1"/>
  <c r="W585" i="12"/>
  <c r="W702" i="12"/>
  <c r="W677" i="12"/>
  <c r="W659" i="12"/>
  <c r="W639" i="12"/>
  <c r="AK639" i="12" s="1"/>
  <c r="W783" i="12"/>
  <c r="AL783" i="12" s="1"/>
  <c r="W742" i="12"/>
  <c r="W603" i="12"/>
  <c r="AK603" i="12" s="1"/>
  <c r="W546" i="12"/>
  <c r="W530" i="12"/>
  <c r="W482" i="12"/>
  <c r="W740" i="12"/>
  <c r="W720" i="12"/>
  <c r="W718" i="12"/>
  <c r="W627" i="12"/>
  <c r="AK627" i="12" s="1"/>
  <c r="W593" i="12"/>
  <c r="AL593" i="12" s="1"/>
  <c r="W582" i="12"/>
  <c r="AJ582" i="12" s="1"/>
  <c r="W537" i="12"/>
  <c r="W503" i="12"/>
  <c r="W495" i="12"/>
  <c r="W471" i="12"/>
  <c r="W447" i="12"/>
  <c r="W417" i="12"/>
  <c r="W397" i="12"/>
  <c r="W377" i="12"/>
  <c r="Z377" i="12" s="1"/>
  <c r="W357" i="12"/>
  <c r="W337" i="12"/>
  <c r="AL337" i="12" s="1"/>
  <c r="W317" i="12"/>
  <c r="W757" i="12"/>
  <c r="W714" i="12"/>
  <c r="W833" i="12"/>
  <c r="W787" i="12"/>
  <c r="Z787" i="12" s="1"/>
  <c r="W768" i="12"/>
  <c r="W683" i="12"/>
  <c r="Z683" i="12" s="1"/>
  <c r="W622" i="12"/>
  <c r="AJ622" i="12" s="1"/>
  <c r="W569" i="12"/>
  <c r="W559" i="12"/>
  <c r="W532" i="12"/>
  <c r="W525" i="12"/>
  <c r="W485" i="12"/>
  <c r="Z485" i="12" s="1"/>
  <c r="W449" i="12"/>
  <c r="W421" i="12"/>
  <c r="W739" i="12"/>
  <c r="Z739" i="12" s="1"/>
  <c r="W721" i="12"/>
  <c r="W658" i="12"/>
  <c r="AG658" i="12" s="1"/>
  <c r="W694" i="12"/>
  <c r="W657" i="12"/>
  <c r="W547" i="12"/>
  <c r="W520" i="12"/>
  <c r="W646" i="12"/>
  <c r="W566" i="12"/>
  <c r="W541" i="12"/>
  <c r="W527" i="12"/>
  <c r="W508" i="12"/>
  <c r="W470" i="12"/>
  <c r="W464" i="12"/>
  <c r="AJ464" i="12" s="1"/>
  <c r="W453" i="12"/>
  <c r="AG453" i="12" s="1"/>
  <c r="W442" i="12"/>
  <c r="W437" i="12"/>
  <c r="W430" i="12"/>
  <c r="W424" i="12"/>
  <c r="Z424" i="12" s="1"/>
  <c r="W400" i="12"/>
  <c r="W387" i="12"/>
  <c r="Z387" i="12" s="1"/>
  <c r="W376" i="12"/>
  <c r="W364" i="12"/>
  <c r="W341" i="12"/>
  <c r="W641" i="12"/>
  <c r="W606" i="12"/>
  <c r="W555" i="12"/>
  <c r="Z555" i="12" s="1"/>
  <c r="W544" i="12"/>
  <c r="W524" i="12"/>
  <c r="W513" i="12"/>
  <c r="W486" i="12"/>
  <c r="Z486" i="12" s="1"/>
  <c r="W459" i="12"/>
  <c r="W764" i="12"/>
  <c r="Z764" i="12" s="1"/>
  <c r="W684" i="12"/>
  <c r="W678" i="12"/>
  <c r="AI678" i="12" s="1"/>
  <c r="W577" i="12"/>
  <c r="W535" i="12"/>
  <c r="W500" i="12"/>
  <c r="W418" i="12"/>
  <c r="W401" i="12"/>
  <c r="W365" i="12"/>
  <c r="W353" i="12"/>
  <c r="W727" i="12"/>
  <c r="W711" i="12"/>
  <c r="W680" i="12"/>
  <c r="W668" i="12"/>
  <c r="Z668" i="12" s="1"/>
  <c r="W619" i="12"/>
  <c r="W588" i="12"/>
  <c r="W497" i="12"/>
  <c r="W491" i="12"/>
  <c r="W477" i="12"/>
  <c r="W431" i="12"/>
  <c r="W409" i="12"/>
  <c r="W389" i="12"/>
  <c r="W378" i="12"/>
  <c r="AI378" i="12" s="1"/>
  <c r="W354" i="12"/>
  <c r="W330" i="12"/>
  <c r="W770" i="12"/>
  <c r="W753" i="12"/>
  <c r="Z753" i="12" s="1"/>
  <c r="W699" i="12"/>
  <c r="W691" i="12"/>
  <c r="W647" i="12"/>
  <c r="W539" i="12"/>
  <c r="W536" i="12"/>
  <c r="W510" i="12"/>
  <c r="W501" i="12"/>
  <c r="W478" i="12"/>
  <c r="W466" i="12"/>
  <c r="W420" i="12"/>
  <c r="W411" i="12"/>
  <c r="Z411" i="12" s="1"/>
  <c r="W391" i="12"/>
  <c r="W747" i="12"/>
  <c r="W667" i="12"/>
  <c r="W640" i="12"/>
  <c r="W634" i="12"/>
  <c r="Z634" i="12" s="1"/>
  <c r="W632" i="12"/>
  <c r="AL632" i="12" s="1"/>
  <c r="W656" i="12"/>
  <c r="W600" i="12"/>
  <c r="W596" i="12"/>
  <c r="W594" i="12"/>
  <c r="W592" i="12"/>
  <c r="W586" i="12"/>
  <c r="W565" i="12"/>
  <c r="AK565" i="12" s="1"/>
  <c r="W563" i="12"/>
  <c r="W502" i="12"/>
  <c r="W499" i="12"/>
  <c r="W490" i="12"/>
  <c r="W479" i="12"/>
  <c r="W473" i="12"/>
  <c r="W412" i="12"/>
  <c r="W395" i="12"/>
  <c r="AG395" i="12" s="1"/>
  <c r="W385" i="12"/>
  <c r="W374" i="12"/>
  <c r="AL374" i="12" s="1"/>
  <c r="W369" i="12"/>
  <c r="AJ369" i="12" s="1"/>
  <c r="W342" i="12"/>
  <c r="W308" i="12"/>
  <c r="W288" i="12"/>
  <c r="W268" i="12"/>
  <c r="W248" i="12"/>
  <c r="W228" i="12"/>
  <c r="Z228" i="12" s="1"/>
  <c r="W208" i="12"/>
  <c r="W704" i="12"/>
  <c r="AI704" i="12" s="1"/>
  <c r="W614" i="12"/>
  <c r="AL614" i="12" s="1"/>
  <c r="W460" i="12"/>
  <c r="W446" i="12"/>
  <c r="AK446" i="12" s="1"/>
  <c r="W439" i="12"/>
  <c r="W432" i="12"/>
  <c r="W404" i="12"/>
  <c r="W359" i="12"/>
  <c r="W319" i="12"/>
  <c r="W665" i="12"/>
  <c r="W408" i="12"/>
  <c r="AI408" i="12" s="1"/>
  <c r="W381" i="12"/>
  <c r="W375" i="12"/>
  <c r="W348" i="12"/>
  <c r="AL348" i="12" s="1"/>
  <c r="W708" i="12"/>
  <c r="W542" i="12"/>
  <c r="W522" i="12"/>
  <c r="W463" i="12"/>
  <c r="W386" i="12"/>
  <c r="W343" i="12"/>
  <c r="W328" i="12"/>
  <c r="W320" i="12"/>
  <c r="AK320" i="12" s="1"/>
  <c r="W291" i="12"/>
  <c r="AJ291" i="12" s="1"/>
  <c r="W271" i="12"/>
  <c r="AG271" i="12" s="1"/>
  <c r="W251" i="12"/>
  <c r="Z251" i="12" s="1"/>
  <c r="W692" i="12"/>
  <c r="W660" i="12"/>
  <c r="Z660" i="12" s="1"/>
  <c r="W580" i="12"/>
  <c r="W450" i="12"/>
  <c r="W443" i="12"/>
  <c r="W428" i="12"/>
  <c r="W355" i="12"/>
  <c r="W310" i="12"/>
  <c r="W292" i="12"/>
  <c r="W272" i="12"/>
  <c r="W252" i="12"/>
  <c r="AJ252" i="12" s="1"/>
  <c r="W805" i="12"/>
  <c r="W608" i="12"/>
  <c r="W628" i="12"/>
  <c r="W626" i="12"/>
  <c r="W564" i="12"/>
  <c r="W557" i="12"/>
  <c r="W533" i="12"/>
  <c r="W506" i="12"/>
  <c r="W488" i="12"/>
  <c r="Z488" i="12" s="1"/>
  <c r="W480" i="12"/>
  <c r="W461" i="12"/>
  <c r="Z461" i="12" s="1"/>
  <c r="W410" i="12"/>
  <c r="W405" i="12"/>
  <c r="W356" i="12"/>
  <c r="Z356" i="12" s="1"/>
  <c r="W322" i="12"/>
  <c r="W312" i="12"/>
  <c r="W296" i="12"/>
  <c r="AL296" i="12" s="1"/>
  <c r="W276" i="12"/>
  <c r="AL276" i="12" s="1"/>
  <c r="W737" i="12"/>
  <c r="AL737" i="12" s="1"/>
  <c r="W705" i="12"/>
  <c r="W698" i="12"/>
  <c r="Z698" i="12" s="1"/>
  <c r="W601" i="12"/>
  <c r="W567" i="12"/>
  <c r="W545" i="12"/>
  <c r="W631" i="12"/>
  <c r="W617" i="12"/>
  <c r="W615" i="12"/>
  <c r="W512" i="12"/>
  <c r="AL512" i="12" s="1"/>
  <c r="W434" i="12"/>
  <c r="Z434" i="12" s="1"/>
  <c r="W423" i="12"/>
  <c r="W407" i="12"/>
  <c r="W366" i="12"/>
  <c r="W309" i="12"/>
  <c r="W282" i="12"/>
  <c r="Z282" i="12" s="1"/>
  <c r="W266" i="12"/>
  <c r="W234" i="12"/>
  <c r="W211" i="12"/>
  <c r="AL211" i="12" s="1"/>
  <c r="W198" i="12"/>
  <c r="W483" i="12"/>
  <c r="AI483" i="12" s="1"/>
  <c r="W426" i="12"/>
  <c r="AK426" i="12" s="1"/>
  <c r="W351" i="12"/>
  <c r="W332" i="12"/>
  <c r="W329" i="12"/>
  <c r="W325" i="12"/>
  <c r="W299" i="12"/>
  <c r="W273" i="12"/>
  <c r="W260" i="12"/>
  <c r="W247" i="12"/>
  <c r="W222" i="12"/>
  <c r="Z222" i="12" s="1"/>
  <c r="W199" i="12"/>
  <c r="AK199" i="12" s="1"/>
  <c r="W179" i="12"/>
  <c r="W159" i="12"/>
  <c r="W139" i="12"/>
  <c r="W119" i="12"/>
  <c r="W648" i="12"/>
  <c r="W561" i="12"/>
  <c r="AI561" i="12" s="1"/>
  <c r="W526" i="12"/>
  <c r="AJ526" i="12" s="1"/>
  <c r="W505" i="12"/>
  <c r="AL505" i="12" s="1"/>
  <c r="W496" i="12"/>
  <c r="W383" i="12"/>
  <c r="W318" i="12"/>
  <c r="W314" i="12"/>
  <c r="W278" i="12"/>
  <c r="W255" i="12"/>
  <c r="W212" i="12"/>
  <c r="W507" i="12"/>
  <c r="W394" i="12"/>
  <c r="W340" i="12"/>
  <c r="AK340" i="12" s="1"/>
  <c r="W304" i="12"/>
  <c r="W289" i="12"/>
  <c r="Z289" i="12" s="1"/>
  <c r="W267" i="12"/>
  <c r="W241" i="12"/>
  <c r="AL241" i="12" s="1"/>
  <c r="W235" i="12"/>
  <c r="W663" i="12"/>
  <c r="W717" i="12"/>
  <c r="Z717" i="12" s="1"/>
  <c r="W556" i="12"/>
  <c r="Z556" i="12" s="1"/>
  <c r="W548" i="12"/>
  <c r="AL548" i="12" s="1"/>
  <c r="W540" i="12"/>
  <c r="W487" i="12"/>
  <c r="W673" i="12"/>
  <c r="W552" i="12"/>
  <c r="W607" i="12"/>
  <c r="W808" i="12"/>
  <c r="W693" i="12"/>
  <c r="W584" i="12"/>
  <c r="W579" i="12"/>
  <c r="W521" i="12"/>
  <c r="W367" i="12"/>
  <c r="W361" i="12"/>
  <c r="Z361" i="12" s="1"/>
  <c r="W358" i="12"/>
  <c r="W323" i="12"/>
  <c r="Z323" i="12" s="1"/>
  <c r="W315" i="12"/>
  <c r="Z315" i="12" s="1"/>
  <c r="W284" i="12"/>
  <c r="W269" i="12"/>
  <c r="W262" i="12"/>
  <c r="W635" i="12"/>
  <c r="W576" i="12"/>
  <c r="AI576" i="12" s="1"/>
  <c r="W572" i="12"/>
  <c r="W568" i="12"/>
  <c r="W472" i="12"/>
  <c r="W469" i="12"/>
  <c r="W462" i="12"/>
  <c r="W427" i="12"/>
  <c r="W384" i="12"/>
  <c r="W379" i="12"/>
  <c r="W399" i="12"/>
  <c r="W347" i="12"/>
  <c r="W306" i="12"/>
  <c r="AG306" i="12" s="1"/>
  <c r="W297" i="12"/>
  <c r="W265" i="12"/>
  <c r="W250" i="12"/>
  <c r="W219" i="12"/>
  <c r="AI219" i="12" s="1"/>
  <c r="W196" i="12"/>
  <c r="W174" i="12"/>
  <c r="W151" i="12"/>
  <c r="W140" i="12"/>
  <c r="W116" i="12"/>
  <c r="W103" i="12"/>
  <c r="W83" i="12"/>
  <c r="W63" i="12"/>
  <c r="W43" i="12"/>
  <c r="W23" i="12"/>
  <c r="W3" i="12"/>
  <c r="W519" i="12"/>
  <c r="W373" i="12"/>
  <c r="W371" i="12"/>
  <c r="W303" i="12"/>
  <c r="AL303" i="12" s="1"/>
  <c r="W287" i="12"/>
  <c r="W259" i="12"/>
  <c r="W209" i="12"/>
  <c r="W203" i="12"/>
  <c r="Z203" i="12" s="1"/>
  <c r="W187" i="12"/>
  <c r="W175" i="12"/>
  <c r="W164" i="12"/>
  <c r="W141" i="12"/>
  <c r="W128" i="12"/>
  <c r="AG128" i="12" s="1"/>
  <c r="W117" i="12"/>
  <c r="W104" i="12"/>
  <c r="W84" i="12"/>
  <c r="W64" i="12"/>
  <c r="W44" i="12"/>
  <c r="W24" i="12"/>
  <c r="W652" i="12"/>
  <c r="W575" i="12"/>
  <c r="W456" i="12"/>
  <c r="W435" i="12"/>
  <c r="W336" i="12"/>
  <c r="W253" i="12"/>
  <c r="AJ253" i="12" s="1"/>
  <c r="W226" i="12"/>
  <c r="W215" i="12"/>
  <c r="AL215" i="12" s="1"/>
  <c r="W210" i="12"/>
  <c r="W197" i="12"/>
  <c r="AL197" i="12" s="1"/>
  <c r="W176" i="12"/>
  <c r="W152" i="12"/>
  <c r="W105" i="12"/>
  <c r="Z105" i="12" s="1"/>
  <c r="W85" i="12"/>
  <c r="W726" i="12"/>
  <c r="W493" i="12"/>
  <c r="W484" i="12"/>
  <c r="AL484" i="12" s="1"/>
  <c r="W382" i="12"/>
  <c r="W352" i="12"/>
  <c r="W333" i="12"/>
  <c r="W281" i="12"/>
  <c r="W231" i="12"/>
  <c r="W220" i="12"/>
  <c r="W188" i="12"/>
  <c r="W177" i="12"/>
  <c r="AJ177" i="12" s="1"/>
  <c r="W165" i="12"/>
  <c r="W142" i="12"/>
  <c r="Z142" i="12" s="1"/>
  <c r="W129" i="12"/>
  <c r="W118" i="12"/>
  <c r="Z118" i="12" s="1"/>
  <c r="W106" i="12"/>
  <c r="AL106" i="12" s="1"/>
  <c r="W86" i="12"/>
  <c r="W66" i="12"/>
  <c r="W46" i="12"/>
  <c r="AI46" i="12" s="1"/>
  <c r="W26" i="12"/>
  <c r="W625" i="12"/>
  <c r="W598" i="12"/>
  <c r="Z598" i="12" s="1"/>
  <c r="W458" i="12"/>
  <c r="W425" i="12"/>
  <c r="AI425" i="12" s="1"/>
  <c r="W419" i="12"/>
  <c r="W380" i="12"/>
  <c r="W246" i="12"/>
  <c r="W239" i="12"/>
  <c r="W236" i="12"/>
  <c r="W153" i="12"/>
  <c r="W130" i="12"/>
  <c r="W87" i="12"/>
  <c r="AG87" i="12" s="1"/>
  <c r="W67" i="12"/>
  <c r="W47" i="12"/>
  <c r="W583" i="12"/>
  <c r="Z583" i="12" s="1"/>
  <c r="W402" i="12"/>
  <c r="Z402" i="12" s="1"/>
  <c r="W362" i="12"/>
  <c r="W360" i="12"/>
  <c r="AK360" i="12" s="1"/>
  <c r="W295" i="12"/>
  <c r="W279" i="12"/>
  <c r="AG279" i="12" s="1"/>
  <c r="W549" i="12"/>
  <c r="W452" i="12"/>
  <c r="W448" i="12"/>
  <c r="AK448" i="12" s="1"/>
  <c r="W444" i="12"/>
  <c r="Z444" i="12" s="1"/>
  <c r="W440" i="12"/>
  <c r="AI440" i="12" s="1"/>
  <c r="W429" i="12"/>
  <c r="W406" i="12"/>
  <c r="W350" i="12"/>
  <c r="W523" i="12"/>
  <c r="W516" i="12"/>
  <c r="W509" i="12"/>
  <c r="W489" i="12"/>
  <c r="AJ489" i="12" s="1"/>
  <c r="W393" i="12"/>
  <c r="W344" i="12"/>
  <c r="Z344" i="12" s="1"/>
  <c r="W339" i="12"/>
  <c r="W331" i="12"/>
  <c r="AI331" i="12" s="1"/>
  <c r="W313" i="12"/>
  <c r="W307" i="12"/>
  <c r="W346" i="12"/>
  <c r="Z346" i="12" s="1"/>
  <c r="W326" i="12"/>
  <c r="AL326" i="12" s="1"/>
  <c r="W301" i="12"/>
  <c r="Z301" i="12" s="1"/>
  <c r="W467" i="12"/>
  <c r="W415" i="12"/>
  <c r="W334" i="12"/>
  <c r="W543" i="12"/>
  <c r="W515" i="12"/>
  <c r="Z515" i="12" s="1"/>
  <c r="W492" i="12"/>
  <c r="W8" i="12"/>
  <c r="AK16" i="12"/>
  <c r="AJ16" i="12"/>
  <c r="W27" i="12"/>
  <c r="AL37" i="12"/>
  <c r="AK37" i="12"/>
  <c r="AI37" i="12"/>
  <c r="W38" i="12"/>
  <c r="W75" i="12"/>
  <c r="AJ75" i="12" s="1"/>
  <c r="W79" i="12"/>
  <c r="AL101" i="12"/>
  <c r="W111" i="12"/>
  <c r="W124" i="12"/>
  <c r="W148" i="12"/>
  <c r="AG148" i="12" s="1"/>
  <c r="W185" i="12"/>
  <c r="AL192" i="12"/>
  <c r="AK192" i="12"/>
  <c r="AJ192" i="12"/>
  <c r="AI192" i="12"/>
  <c r="AG192" i="12"/>
  <c r="W205" i="12"/>
  <c r="AK205" i="12" s="1"/>
  <c r="AL223" i="12"/>
  <c r="AK223" i="12"/>
  <c r="AJ223" i="12"/>
  <c r="AI223" i="12"/>
  <c r="W227" i="12"/>
  <c r="Z227" i="12" s="1"/>
  <c r="AI229" i="12"/>
  <c r="AG229" i="12"/>
  <c r="AL229" i="12"/>
  <c r="AK229" i="12"/>
  <c r="W233" i="12"/>
  <c r="AJ243" i="12"/>
  <c r="AI243" i="12"/>
  <c r="AG243" i="12"/>
  <c r="AF243" i="12"/>
  <c r="AB243" i="12"/>
  <c r="AC243" i="12" s="1"/>
  <c r="AE243" i="12" s="1"/>
  <c r="W254" i="12"/>
  <c r="AJ263" i="12"/>
  <c r="AI263" i="12"/>
  <c r="AK263" i="12"/>
  <c r="AG263" i="12"/>
  <c r="AF263" i="12"/>
  <c r="AB263" i="12"/>
  <c r="AC263" i="12" s="1"/>
  <c r="AE263" i="12" s="1"/>
  <c r="V316" i="12"/>
  <c r="AG322" i="12"/>
  <c r="AB322" i="12"/>
  <c r="AC322" i="12" s="1"/>
  <c r="AE322" i="12" s="1"/>
  <c r="AJ322" i="12"/>
  <c r="AF337" i="12"/>
  <c r="AB337" i="12"/>
  <c r="AC337" i="12" s="1"/>
  <c r="AE337" i="12" s="1"/>
  <c r="AJ337" i="12"/>
  <c r="AG346" i="12"/>
  <c r="AI346" i="12"/>
  <c r="AF346" i="12"/>
  <c r="AL346" i="12"/>
  <c r="AB346" i="12"/>
  <c r="AC346" i="12" s="1"/>
  <c r="AE346" i="12" s="1"/>
  <c r="W368" i="12"/>
  <c r="AI418" i="12"/>
  <c r="AG418" i="12"/>
  <c r="AF418" i="12"/>
  <c r="AI423" i="12"/>
  <c r="AF548" i="12"/>
  <c r="AB548" i="12"/>
  <c r="AC548" i="12" s="1"/>
  <c r="AE548" i="12" s="1"/>
  <c r="AI54" i="12"/>
  <c r="AF54" i="12"/>
  <c r="AL60" i="12"/>
  <c r="AK60" i="12"/>
  <c r="AI74" i="12"/>
  <c r="AG74" i="12"/>
  <c r="AF74" i="12"/>
  <c r="AL78" i="12"/>
  <c r="AK78" i="12"/>
  <c r="AJ78" i="12"/>
  <c r="AI78" i="12"/>
  <c r="W93" i="12"/>
  <c r="W97" i="12"/>
  <c r="W102" i="12"/>
  <c r="AF107" i="12"/>
  <c r="AB107" i="12"/>
  <c r="AC107" i="12" s="1"/>
  <c r="AE107" i="12" s="1"/>
  <c r="AL114" i="12"/>
  <c r="AF144" i="12"/>
  <c r="AB144" i="12"/>
  <c r="AC144" i="12" s="1"/>
  <c r="AE144" i="12" s="1"/>
  <c r="AF156" i="12"/>
  <c r="AB156" i="12"/>
  <c r="AC156" i="12" s="1"/>
  <c r="AE156" i="12" s="1"/>
  <c r="W160" i="12"/>
  <c r="W172" i="12"/>
  <c r="W178" i="12"/>
  <c r="AL184" i="12"/>
  <c r="AK184" i="12"/>
  <c r="AJ184" i="12"/>
  <c r="AI189" i="12"/>
  <c r="AB189" i="12"/>
  <c r="AC189" i="12" s="1"/>
  <c r="AE189" i="12" s="1"/>
  <c r="W201" i="12"/>
  <c r="AL207" i="12"/>
  <c r="AK207" i="12"/>
  <c r="AJ207" i="12"/>
  <c r="AI207" i="12"/>
  <c r="W249" i="12"/>
  <c r="W261" i="12"/>
  <c r="AL331" i="12"/>
  <c r="AF331" i="12"/>
  <c r="AJ331" i="12"/>
  <c r="AG331" i="12"/>
  <c r="AB331" i="12"/>
  <c r="AC331" i="12" s="1"/>
  <c r="AE331" i="12" s="1"/>
  <c r="W370" i="12"/>
  <c r="AL485" i="12"/>
  <c r="AK543" i="12"/>
  <c r="AJ543" i="12"/>
  <c r="AF543" i="12"/>
  <c r="W675" i="12"/>
  <c r="B241" i="9"/>
  <c r="B244" i="9"/>
  <c r="B247" i="9"/>
  <c r="B250" i="9"/>
  <c r="B253" i="9"/>
  <c r="B256" i="9"/>
  <c r="J269" i="9"/>
  <c r="J281" i="9"/>
  <c r="J284" i="9"/>
  <c r="K287" i="9"/>
  <c r="K290" i="9"/>
  <c r="K293" i="9"/>
  <c r="K296" i="9"/>
  <c r="W7" i="12"/>
  <c r="L6" i="4" s="1"/>
  <c r="W71" i="12"/>
  <c r="AK96" i="12"/>
  <c r="AJ96" i="12"/>
  <c r="AI96" i="12"/>
  <c r="AG96" i="12"/>
  <c r="AI110" i="12"/>
  <c r="AG110" i="12"/>
  <c r="AF110" i="12"/>
  <c r="W115" i="12"/>
  <c r="AG121" i="12"/>
  <c r="AB123" i="12"/>
  <c r="AC123" i="12" s="1"/>
  <c r="AE123" i="12" s="1"/>
  <c r="AJ123" i="12"/>
  <c r="AI123" i="12"/>
  <c r="AG123" i="12"/>
  <c r="AF123" i="12"/>
  <c r="W132" i="12"/>
  <c r="AL132" i="12" s="1"/>
  <c r="AF147" i="12"/>
  <c r="AL147" i="12"/>
  <c r="AK147" i="12"/>
  <c r="AJ147" i="12"/>
  <c r="AI147" i="12"/>
  <c r="AK152" i="12"/>
  <c r="AJ171" i="12"/>
  <c r="AL171" i="12"/>
  <c r="AK171" i="12"/>
  <c r="AI171" i="12"/>
  <c r="AF190" i="12"/>
  <c r="V207" i="12"/>
  <c r="W275" i="12"/>
  <c r="AL290" i="12"/>
  <c r="AB290" i="12"/>
  <c r="AC290" i="12" s="1"/>
  <c r="AE290" i="12" s="1"/>
  <c r="AI290" i="12"/>
  <c r="AJ314" i="12"/>
  <c r="AI314" i="12"/>
  <c r="AF314" i="12"/>
  <c r="AL314" i="12"/>
  <c r="AK314" i="12"/>
  <c r="W316" i="12"/>
  <c r="AB320" i="12"/>
  <c r="AC320" i="12" s="1"/>
  <c r="AE320" i="12" s="1"/>
  <c r="AL320" i="12"/>
  <c r="AJ320" i="12"/>
  <c r="AF394" i="12"/>
  <c r="AB394" i="12"/>
  <c r="AC394" i="12" s="1"/>
  <c r="AE394" i="12" s="1"/>
  <c r="AL394" i="12"/>
  <c r="AK394" i="12"/>
  <c r="W398" i="12"/>
  <c r="W416" i="12"/>
  <c r="AJ486" i="12"/>
  <c r="AL486" i="12"/>
  <c r="AK486" i="12"/>
  <c r="AF486" i="12"/>
  <c r="AB486" i="12"/>
  <c r="AC486" i="12" s="1"/>
  <c r="AE486" i="12" s="1"/>
  <c r="AJ15" i="12"/>
  <c r="AI15" i="12"/>
  <c r="AK36" i="12"/>
  <c r="AJ36" i="12"/>
  <c r="V66" i="12"/>
  <c r="AG92" i="12"/>
  <c r="AF92" i="12"/>
  <c r="AJ159" i="12"/>
  <c r="AI159" i="12"/>
  <c r="AG159" i="12"/>
  <c r="W168" i="12"/>
  <c r="W181" i="12"/>
  <c r="W217" i="12"/>
  <c r="Z217" i="12" s="1"/>
  <c r="W238" i="12"/>
  <c r="AL238" i="12" s="1"/>
  <c r="W256" i="12"/>
  <c r="W258" i="12"/>
  <c r="AL258" i="12" s="1"/>
  <c r="AL270" i="12"/>
  <c r="AJ270" i="12"/>
  <c r="AI270" i="12"/>
  <c r="AG270" i="12"/>
  <c r="AB270" i="12"/>
  <c r="AC270" i="12" s="1"/>
  <c r="AE270" i="12" s="1"/>
  <c r="AK270" i="12"/>
  <c r="AF270" i="12"/>
  <c r="W277" i="12"/>
  <c r="V295" i="12"/>
  <c r="AF299" i="12"/>
  <c r="AG299" i="12"/>
  <c r="AF301" i="12"/>
  <c r="AB301" i="12"/>
  <c r="AC301" i="12" s="1"/>
  <c r="AE301" i="12" s="1"/>
  <c r="V320" i="12"/>
  <c r="AL327" i="12"/>
  <c r="AK327" i="12"/>
  <c r="AJ327" i="12"/>
  <c r="AI327" i="12"/>
  <c r="AG327" i="12"/>
  <c r="AB426" i="12"/>
  <c r="AC426" i="12" s="1"/>
  <c r="AE426" i="12" s="1"/>
  <c r="W451" i="12"/>
  <c r="AJ546" i="12"/>
  <c r="AF467" i="12"/>
  <c r="AB467" i="12"/>
  <c r="AC467" i="12" s="1"/>
  <c r="AE467" i="12" s="1"/>
  <c r="AF365" i="12"/>
  <c r="AB365" i="12"/>
  <c r="AC365" i="12" s="1"/>
  <c r="AE365" i="12" s="1"/>
  <c r="AB367" i="12"/>
  <c r="AC367" i="12" s="1"/>
  <c r="AE367" i="12" s="1"/>
  <c r="AI404" i="12"/>
  <c r="AJ404" i="12"/>
  <c r="AG404" i="12"/>
  <c r="AF404" i="12"/>
  <c r="AJ425" i="12"/>
  <c r="AF425" i="12"/>
  <c r="AB425" i="12"/>
  <c r="AC425" i="12" s="1"/>
  <c r="AE425" i="12" s="1"/>
  <c r="AF446" i="12"/>
  <c r="AG446" i="12"/>
  <c r="AK583" i="12"/>
  <c r="AJ583" i="12"/>
  <c r="AG583" i="12"/>
  <c r="AL583" i="12"/>
  <c r="AI583" i="12"/>
  <c r="AF583" i="12"/>
  <c r="AB583" i="12"/>
  <c r="AC583" i="12" s="1"/>
  <c r="AE583" i="12" s="1"/>
  <c r="AF462" i="12"/>
  <c r="AL462" i="12"/>
  <c r="AK462" i="12"/>
  <c r="AJ462" i="12"/>
  <c r="AI462" i="12"/>
  <c r="AF464" i="12"/>
  <c r="AL525" i="12"/>
  <c r="AI525" i="12"/>
  <c r="AG525" i="12"/>
  <c r="AB525" i="12"/>
  <c r="AC525" i="12" s="1"/>
  <c r="AE525" i="12" s="1"/>
  <c r="AF525" i="12"/>
  <c r="AF352" i="12"/>
  <c r="AG352" i="12"/>
  <c r="AF378" i="12"/>
  <c r="AB378" i="12"/>
  <c r="AC378" i="12" s="1"/>
  <c r="AE378" i="12" s="1"/>
  <c r="AG382" i="12"/>
  <c r="AF382" i="12"/>
  <c r="AB382" i="12"/>
  <c r="AC382" i="12" s="1"/>
  <c r="AE382" i="12" s="1"/>
  <c r="AK382" i="12"/>
  <c r="AB484" i="12"/>
  <c r="AC484" i="12" s="1"/>
  <c r="AE484" i="12" s="1"/>
  <c r="AF521" i="12"/>
  <c r="AB521" i="12"/>
  <c r="AC521" i="12" s="1"/>
  <c r="AE521" i="12" s="1"/>
  <c r="AL521" i="12"/>
  <c r="AK269" i="12"/>
  <c r="AF269" i="12"/>
  <c r="AI291" i="12"/>
  <c r="AB291" i="12"/>
  <c r="AC291" i="12" s="1"/>
  <c r="AE291" i="12" s="1"/>
  <c r="AB693" i="12"/>
  <c r="AC693" i="12" s="1"/>
  <c r="AE693" i="12" s="1"/>
  <c r="AL693" i="12"/>
  <c r="AF693" i="12"/>
  <c r="AJ693" i="12"/>
  <c r="AI693" i="12"/>
  <c r="AK149" i="12"/>
  <c r="AL219" i="12"/>
  <c r="AG297" i="12"/>
  <c r="AL297" i="12"/>
  <c r="AK297" i="12"/>
  <c r="AF306" i="12"/>
  <c r="AG365" i="12"/>
  <c r="AB408" i="12"/>
  <c r="AC408" i="12" s="1"/>
  <c r="AE408" i="12" s="1"/>
  <c r="AB448" i="12"/>
  <c r="AC448" i="12" s="1"/>
  <c r="AE448" i="12" s="1"/>
  <c r="AB460" i="12"/>
  <c r="AC460" i="12" s="1"/>
  <c r="AE460" i="12" s="1"/>
  <c r="AF460" i="12"/>
  <c r="AI512" i="12"/>
  <c r="AG512" i="12"/>
  <c r="AF512" i="12"/>
  <c r="AB512" i="12"/>
  <c r="AC512" i="12" s="1"/>
  <c r="AE512" i="12" s="1"/>
  <c r="AF519" i="12"/>
  <c r="AB519" i="12"/>
  <c r="AC519" i="12" s="1"/>
  <c r="AE519" i="12" s="1"/>
  <c r="AK519" i="12"/>
  <c r="AB848" i="12"/>
  <c r="AC848" i="12" s="1"/>
  <c r="AE848" i="12" s="1"/>
  <c r="AF848" i="12"/>
  <c r="AL848" i="12"/>
  <c r="AK848" i="12"/>
  <c r="AJ848" i="12"/>
  <c r="AL242" i="12"/>
  <c r="AI242" i="12"/>
  <c r="AB242" i="12"/>
  <c r="AC242" i="12" s="1"/>
  <c r="AE242" i="12" s="1"/>
  <c r="AL245" i="12"/>
  <c r="AK245" i="12"/>
  <c r="AJ245" i="12"/>
  <c r="AF256" i="12"/>
  <c r="AB256" i="12"/>
  <c r="AC256" i="12" s="1"/>
  <c r="AE256" i="12" s="1"/>
  <c r="AI262" i="12"/>
  <c r="AF262" i="12"/>
  <c r="AL294" i="12"/>
  <c r="AJ300" i="12"/>
  <c r="AG300" i="12"/>
  <c r="AF300" i="12"/>
  <c r="AB300" i="12"/>
  <c r="AC300" i="12" s="1"/>
  <c r="AE300" i="12" s="1"/>
  <c r="AF312" i="12"/>
  <c r="AB312" i="12"/>
  <c r="AC312" i="12" s="1"/>
  <c r="AE312" i="12" s="1"/>
  <c r="AK397" i="12"/>
  <c r="AG397" i="12"/>
  <c r="AJ397" i="12"/>
  <c r="AI397" i="12"/>
  <c r="AF397" i="12"/>
  <c r="AB397" i="12"/>
  <c r="AC397" i="12" s="1"/>
  <c r="AE397" i="12" s="1"/>
  <c r="AK410" i="12"/>
  <c r="AI410" i="12"/>
  <c r="AG410" i="12"/>
  <c r="AF410" i="12"/>
  <c r="AL410" i="12"/>
  <c r="AF448" i="12"/>
  <c r="AB472" i="12"/>
  <c r="AC472" i="12" s="1"/>
  <c r="AE472" i="12" s="1"/>
  <c r="AL472" i="12"/>
  <c r="AK472" i="12"/>
  <c r="AJ472" i="12"/>
  <c r="AG474" i="12"/>
  <c r="AJ474" i="12"/>
  <c r="AF474" i="12"/>
  <c r="AB474" i="12"/>
  <c r="AC474" i="12" s="1"/>
  <c r="AE474" i="12" s="1"/>
  <c r="AJ542" i="12"/>
  <c r="AI542" i="12"/>
  <c r="AF542" i="12"/>
  <c r="AB542" i="12"/>
  <c r="AC542" i="12" s="1"/>
  <c r="AE542" i="12" s="1"/>
  <c r="AG542" i="12"/>
  <c r="AK542" i="12"/>
  <c r="AI150" i="12"/>
  <c r="AL173" i="12"/>
  <c r="AB275" i="12"/>
  <c r="AC275" i="12" s="1"/>
  <c r="AE275" i="12" s="1"/>
  <c r="AJ338" i="12"/>
  <c r="AG338" i="12"/>
  <c r="AF338" i="12"/>
  <c r="AI365" i="12"/>
  <c r="V397" i="12"/>
  <c r="AK437" i="12"/>
  <c r="AJ437" i="12"/>
  <c r="AI437" i="12"/>
  <c r="AG437" i="12"/>
  <c r="AB437" i="12"/>
  <c r="AC437" i="12" s="1"/>
  <c r="AE437" i="12" s="1"/>
  <c r="AF506" i="12"/>
  <c r="AB506" i="12"/>
  <c r="AC506" i="12" s="1"/>
  <c r="AE506" i="12" s="1"/>
  <c r="AJ508" i="12"/>
  <c r="AF537" i="12"/>
  <c r="AB537" i="12"/>
  <c r="AC537" i="12" s="1"/>
  <c r="AE537" i="12" s="1"/>
  <c r="AK564" i="12"/>
  <c r="AI564" i="12"/>
  <c r="AG564" i="12"/>
  <c r="AF564" i="12"/>
  <c r="AB564" i="12"/>
  <c r="AC564" i="12" s="1"/>
  <c r="AE564" i="12" s="1"/>
  <c r="AJ564" i="12"/>
  <c r="V578" i="12"/>
  <c r="AK623" i="12"/>
  <c r="AB623" i="12"/>
  <c r="AC623" i="12" s="1"/>
  <c r="AE623" i="12" s="1"/>
  <c r="AK729" i="12"/>
  <c r="AJ729" i="12"/>
  <c r="AI729" i="12"/>
  <c r="AF729" i="12"/>
  <c r="AB729" i="12"/>
  <c r="AC729" i="12" s="1"/>
  <c r="AE729" i="12" s="1"/>
  <c r="AL202" i="12"/>
  <c r="AL309" i="12"/>
  <c r="AI359" i="12"/>
  <c r="AG359" i="12"/>
  <c r="AF359" i="12"/>
  <c r="AJ365" i="12"/>
  <c r="AK414" i="12"/>
  <c r="AI414" i="12"/>
  <c r="AG414" i="12"/>
  <c r="AF414" i="12"/>
  <c r="AL414" i="12"/>
  <c r="AJ414" i="12"/>
  <c r="AB414" i="12"/>
  <c r="AC414" i="12" s="1"/>
  <c r="AE414" i="12" s="1"/>
  <c r="AB462" i="12"/>
  <c r="AC462" i="12" s="1"/>
  <c r="AE462" i="12" s="1"/>
  <c r="AB464" i="12"/>
  <c r="AC464" i="12" s="1"/>
  <c r="AE464" i="12" s="1"/>
  <c r="AL113" i="12"/>
  <c r="AL193" i="12"/>
  <c r="AJ218" i="12"/>
  <c r="AL271" i="12"/>
  <c r="AI295" i="12"/>
  <c r="AL302" i="12"/>
  <c r="AI302" i="12"/>
  <c r="AF302" i="12"/>
  <c r="AK330" i="12"/>
  <c r="AF330" i="12"/>
  <c r="AB330" i="12"/>
  <c r="AC330" i="12" s="1"/>
  <c r="AE330" i="12" s="1"/>
  <c r="AK365" i="12"/>
  <c r="AG422" i="12"/>
  <c r="AL422" i="12"/>
  <c r="AK422" i="12"/>
  <c r="AF422" i="12"/>
  <c r="AJ422" i="12"/>
  <c r="AI422" i="12"/>
  <c r="AB422" i="12"/>
  <c r="AC422" i="12" s="1"/>
  <c r="AE422" i="12" s="1"/>
  <c r="AL425" i="12"/>
  <c r="AF484" i="12"/>
  <c r="AI521" i="12"/>
  <c r="AI492" i="12"/>
  <c r="V521" i="12"/>
  <c r="V525" i="12"/>
  <c r="AL552" i="12"/>
  <c r="AG552" i="12"/>
  <c r="AF552" i="12"/>
  <c r="AB552" i="12"/>
  <c r="AC552" i="12" s="1"/>
  <c r="AE552" i="12" s="1"/>
  <c r="AJ283" i="12"/>
  <c r="AI283" i="12"/>
  <c r="AJ349" i="12"/>
  <c r="AL349" i="12"/>
  <c r="AK349" i="12"/>
  <c r="AB349" i="12"/>
  <c r="AC349" i="12" s="1"/>
  <c r="AE349" i="12" s="1"/>
  <c r="AB381" i="12"/>
  <c r="AC381" i="12" s="1"/>
  <c r="AE381" i="12" s="1"/>
  <c r="V392" i="12"/>
  <c r="V401" i="12"/>
  <c r="AL419" i="12"/>
  <c r="AK419" i="12"/>
  <c r="AJ419" i="12"/>
  <c r="AF419" i="12"/>
  <c r="AJ457" i="12"/>
  <c r="AL457" i="12"/>
  <c r="AK457" i="12"/>
  <c r="AF457" i="12"/>
  <c r="AB457" i="12"/>
  <c r="AC457" i="12" s="1"/>
  <c r="AE457" i="12" s="1"/>
  <c r="AL544" i="12"/>
  <c r="AK544" i="12"/>
  <c r="AJ544" i="12"/>
  <c r="AF544" i="12"/>
  <c r="AB544" i="12"/>
  <c r="AC544" i="12" s="1"/>
  <c r="AE544" i="12" s="1"/>
  <c r="AL712" i="12"/>
  <c r="AG712" i="12"/>
  <c r="AF712" i="12"/>
  <c r="AB712" i="12"/>
  <c r="AC712" i="12" s="1"/>
  <c r="AE712" i="12" s="1"/>
  <c r="AK567" i="12"/>
  <c r="V595" i="12"/>
  <c r="V485" i="12"/>
  <c r="AJ615" i="12"/>
  <c r="AL750" i="12"/>
  <c r="AJ240" i="12"/>
  <c r="AG240" i="12"/>
  <c r="AF240" i="12"/>
  <c r="AI303" i="12"/>
  <c r="AJ309" i="12"/>
  <c r="AF357" i="12"/>
  <c r="AL357" i="12"/>
  <c r="AK357" i="12"/>
  <c r="AJ357" i="12"/>
  <c r="AB360" i="12"/>
  <c r="AC360" i="12" s="1"/>
  <c r="AE360" i="12" s="1"/>
  <c r="AG366" i="12"/>
  <c r="AB366" i="12"/>
  <c r="AC366" i="12" s="1"/>
  <c r="AE366" i="12" s="1"/>
  <c r="AF366" i="12"/>
  <c r="AF454" i="12"/>
  <c r="AG457" i="12"/>
  <c r="AB478" i="12"/>
  <c r="AC478" i="12" s="1"/>
  <c r="AE478" i="12" s="1"/>
  <c r="AJ478" i="12"/>
  <c r="AF478" i="12"/>
  <c r="AG478" i="12"/>
  <c r="AB498" i="12"/>
  <c r="AC498" i="12" s="1"/>
  <c r="AE498" i="12" s="1"/>
  <c r="AJ498" i="12"/>
  <c r="AG498" i="12"/>
  <c r="AF498" i="12"/>
  <c r="AL498" i="12"/>
  <c r="AK498" i="12"/>
  <c r="AI522" i="12"/>
  <c r="AF522" i="12"/>
  <c r="AB522" i="12"/>
  <c r="AC522" i="12" s="1"/>
  <c r="AE522" i="12" s="1"/>
  <c r="AK522" i="12"/>
  <c r="AF559" i="12"/>
  <c r="AB559" i="12"/>
  <c r="AC559" i="12" s="1"/>
  <c r="AE559" i="12" s="1"/>
  <c r="AG591" i="12"/>
  <c r="AI591" i="12"/>
  <c r="AL591" i="12"/>
  <c r="AK591" i="12"/>
  <c r="AJ591" i="12"/>
  <c r="AB591" i="12"/>
  <c r="AC591" i="12" s="1"/>
  <c r="AE591" i="12" s="1"/>
  <c r="AL246" i="12"/>
  <c r="AG336" i="12"/>
  <c r="AI371" i="12"/>
  <c r="AG371" i="12"/>
  <c r="AF371" i="12"/>
  <c r="AF381" i="12"/>
  <c r="AL391" i="12"/>
  <c r="AB391" i="12"/>
  <c r="AC391" i="12" s="1"/>
  <c r="AE391" i="12" s="1"/>
  <c r="AB419" i="12"/>
  <c r="AC419" i="12" s="1"/>
  <c r="AE419" i="12" s="1"/>
  <c r="AG463" i="12"/>
  <c r="AJ463" i="12"/>
  <c r="AI463" i="12"/>
  <c r="AB463" i="12"/>
  <c r="AC463" i="12" s="1"/>
  <c r="AE463" i="12" s="1"/>
  <c r="AI465" i="12"/>
  <c r="AB465" i="12"/>
  <c r="AC465" i="12" s="1"/>
  <c r="AE465" i="12" s="1"/>
  <c r="AL475" i="12"/>
  <c r="AK475" i="12"/>
  <c r="AG475" i="12"/>
  <c r="AL536" i="12"/>
  <c r="AI544" i="12"/>
  <c r="AI603" i="12"/>
  <c r="AB603" i="12"/>
  <c r="AC603" i="12" s="1"/>
  <c r="AE603" i="12" s="1"/>
  <c r="AJ603" i="12"/>
  <c r="AL603" i="12"/>
  <c r="AG747" i="12"/>
  <c r="AF747" i="12"/>
  <c r="AB747" i="12"/>
  <c r="AC747" i="12" s="1"/>
  <c r="AE747" i="12" s="1"/>
  <c r="AL747" i="12"/>
  <c r="AK747" i="12"/>
  <c r="AJ747" i="12"/>
  <c r="AI259" i="12"/>
  <c r="AF259" i="12"/>
  <c r="AL265" i="12"/>
  <c r="AK265" i="12"/>
  <c r="AL339" i="12"/>
  <c r="AF349" i="12"/>
  <c r="AL362" i="12"/>
  <c r="AB368" i="12"/>
  <c r="AC368" i="12" s="1"/>
  <c r="AE368" i="12" s="1"/>
  <c r="AI444" i="12"/>
  <c r="AF444" i="12"/>
  <c r="AL444" i="12"/>
  <c r="AK444" i="12"/>
  <c r="AJ444" i="12"/>
  <c r="AG444" i="12"/>
  <c r="AI457" i="12"/>
  <c r="AF461" i="12"/>
  <c r="AI461" i="12"/>
  <c r="AG461" i="12"/>
  <c r="AL461" i="12"/>
  <c r="AK461" i="12"/>
  <c r="AJ461" i="12"/>
  <c r="V463" i="12"/>
  <c r="AJ480" i="12"/>
  <c r="AB575" i="12"/>
  <c r="AC575" i="12" s="1"/>
  <c r="AE575" i="12" s="1"/>
  <c r="AJ575" i="12"/>
  <c r="AF575" i="12"/>
  <c r="AK575" i="12"/>
  <c r="AI575" i="12"/>
  <c r="AK651" i="12"/>
  <c r="AG651" i="12"/>
  <c r="AJ651" i="12"/>
  <c r="AI651" i="12"/>
  <c r="AF651" i="12"/>
  <c r="AB651" i="12"/>
  <c r="AC651" i="12" s="1"/>
  <c r="AE651" i="12" s="1"/>
  <c r="AG281" i="12"/>
  <c r="AB283" i="12"/>
  <c r="AC283" i="12" s="1"/>
  <c r="AE283" i="12" s="1"/>
  <c r="V287" i="12"/>
  <c r="AF345" i="12"/>
  <c r="AG345" i="12"/>
  <c r="AK345" i="12"/>
  <c r="AJ345" i="12"/>
  <c r="AI345" i="12"/>
  <c r="AG349" i="12"/>
  <c r="AI388" i="12"/>
  <c r="AG388" i="12"/>
  <c r="AF388" i="12"/>
  <c r="AG402" i="12"/>
  <c r="AL402" i="12"/>
  <c r="AK402" i="12"/>
  <c r="AJ402" i="12"/>
  <c r="AI402" i="12"/>
  <c r="AB402" i="12"/>
  <c r="AC402" i="12" s="1"/>
  <c r="AE402" i="12" s="1"/>
  <c r="V444" i="12"/>
  <c r="AJ451" i="12"/>
  <c r="AI451" i="12"/>
  <c r="AK451" i="12"/>
  <c r="AB458" i="12"/>
  <c r="AC458" i="12" s="1"/>
  <c r="AE458" i="12" s="1"/>
  <c r="V461" i="12"/>
  <c r="V480" i="12"/>
  <c r="V545" i="12"/>
  <c r="V553" i="12"/>
  <c r="AK571" i="12"/>
  <c r="AL571" i="12"/>
  <c r="AJ571" i="12"/>
  <c r="AI571" i="12"/>
  <c r="AB571" i="12"/>
  <c r="AC571" i="12" s="1"/>
  <c r="AE571" i="12" s="1"/>
  <c r="AF571" i="12"/>
  <c r="AK613" i="12"/>
  <c r="AJ613" i="12"/>
  <c r="AI613" i="12"/>
  <c r="AG613" i="12"/>
  <c r="AL613" i="12"/>
  <c r="AF613" i="12"/>
  <c r="AL528" i="12"/>
  <c r="AB528" i="12"/>
  <c r="AC528" i="12" s="1"/>
  <c r="AE528" i="12" s="1"/>
  <c r="AF638" i="12"/>
  <c r="AI638" i="12"/>
  <c r="AG638" i="12"/>
  <c r="AB638" i="12"/>
  <c r="AC638" i="12" s="1"/>
  <c r="AE638" i="12" s="1"/>
  <c r="AK638" i="12"/>
  <c r="AL644" i="12"/>
  <c r="AB644" i="12"/>
  <c r="AC644" i="12" s="1"/>
  <c r="AE644" i="12" s="1"/>
  <c r="AK644" i="12"/>
  <c r="AJ644" i="12"/>
  <c r="AF644" i="12"/>
  <c r="AB691" i="12"/>
  <c r="AC691" i="12" s="1"/>
  <c r="AE691" i="12" s="1"/>
  <c r="AK691" i="12"/>
  <c r="AJ691" i="12"/>
  <c r="AF691" i="12"/>
  <c r="AG691" i="12"/>
  <c r="AI717" i="12"/>
  <c r="AF717" i="12"/>
  <c r="AK717" i="12"/>
  <c r="AJ717" i="12"/>
  <c r="AG717" i="12"/>
  <c r="AB717" i="12"/>
  <c r="AC717" i="12" s="1"/>
  <c r="AE717" i="12" s="1"/>
  <c r="AK380" i="12"/>
  <c r="AL396" i="12"/>
  <c r="AJ396" i="12"/>
  <c r="AI396" i="12"/>
  <c r="AF401" i="12"/>
  <c r="AB401" i="12"/>
  <c r="AC401" i="12" s="1"/>
  <c r="AE401" i="12" s="1"/>
  <c r="AF421" i="12"/>
  <c r="AB421" i="12"/>
  <c r="AC421" i="12" s="1"/>
  <c r="AE421" i="12" s="1"/>
  <c r="AK421" i="12"/>
  <c r="AL428" i="12"/>
  <c r="AG428" i="12"/>
  <c r="V436" i="12"/>
  <c r="AG443" i="12"/>
  <c r="AL443" i="12"/>
  <c r="AB443" i="12"/>
  <c r="AC443" i="12" s="1"/>
  <c r="AE443" i="12" s="1"/>
  <c r="V457" i="12"/>
  <c r="AG483" i="12"/>
  <c r="AF483" i="12"/>
  <c r="AB483" i="12"/>
  <c r="AC483" i="12" s="1"/>
  <c r="AE483" i="12" s="1"/>
  <c r="V518" i="12"/>
  <c r="AF549" i="12"/>
  <c r="AB549" i="12"/>
  <c r="AC549" i="12" s="1"/>
  <c r="AE549" i="12" s="1"/>
  <c r="AG580" i="12"/>
  <c r="AF580" i="12"/>
  <c r="AB580" i="12"/>
  <c r="AC580" i="12" s="1"/>
  <c r="AE580" i="12" s="1"/>
  <c r="AK662" i="12"/>
  <c r="AJ662" i="12"/>
  <c r="AB662" i="12"/>
  <c r="AC662" i="12" s="1"/>
  <c r="AE662" i="12" s="1"/>
  <c r="AL662" i="12"/>
  <c r="AI662" i="12"/>
  <c r="AF662" i="12"/>
  <c r="AB671" i="12"/>
  <c r="AC671" i="12" s="1"/>
  <c r="AE671" i="12" s="1"/>
  <c r="AL671" i="12"/>
  <c r="AK671" i="12"/>
  <c r="AJ671" i="12"/>
  <c r="AF671" i="12"/>
  <c r="AL687" i="12"/>
  <c r="AK687" i="12"/>
  <c r="AJ687" i="12"/>
  <c r="AF687" i="12"/>
  <c r="AF604" i="12"/>
  <c r="AB604" i="12"/>
  <c r="AC604" i="12" s="1"/>
  <c r="AE604" i="12" s="1"/>
  <c r="AF658" i="12"/>
  <c r="AB658" i="12"/>
  <c r="AC658" i="12" s="1"/>
  <c r="AE658" i="12" s="1"/>
  <c r="AJ658" i="12"/>
  <c r="AI658" i="12"/>
  <c r="AL733" i="12"/>
  <c r="AL602" i="12"/>
  <c r="AL620" i="12"/>
  <c r="AK620" i="12"/>
  <c r="AJ620" i="12"/>
  <c r="AB620" i="12"/>
  <c r="AC620" i="12" s="1"/>
  <c r="AE620" i="12" s="1"/>
  <c r="AJ395" i="12"/>
  <c r="AL400" i="12"/>
  <c r="AI432" i="12"/>
  <c r="AB432" i="12"/>
  <c r="AC432" i="12" s="1"/>
  <c r="AE432" i="12" s="1"/>
  <c r="AK466" i="12"/>
  <c r="AL479" i="12"/>
  <c r="AJ479" i="12"/>
  <c r="AI479" i="12"/>
  <c r="AG479" i="12"/>
  <c r="AB479" i="12"/>
  <c r="AC479" i="12" s="1"/>
  <c r="AE479" i="12" s="1"/>
  <c r="AF502" i="12"/>
  <c r="AF539" i="12"/>
  <c r="AL539" i="12"/>
  <c r="AB539" i="12"/>
  <c r="AC539" i="12" s="1"/>
  <c r="AE539" i="12" s="1"/>
  <c r="AF565" i="12"/>
  <c r="AB594" i="12"/>
  <c r="AC594" i="12" s="1"/>
  <c r="AE594" i="12" s="1"/>
  <c r="AI594" i="12"/>
  <c r="AJ594" i="12"/>
  <c r="AF594" i="12"/>
  <c r="AL594" i="12"/>
  <c r="AF600" i="12"/>
  <c r="AG600" i="12"/>
  <c r="AB600" i="12"/>
  <c r="AC600" i="12" s="1"/>
  <c r="AE600" i="12" s="1"/>
  <c r="AI600" i="12"/>
  <c r="AF632" i="12"/>
  <c r="AB632" i="12"/>
  <c r="AC632" i="12" s="1"/>
  <c r="AE632" i="12" s="1"/>
  <c r="AL638" i="12"/>
  <c r="AB647" i="12"/>
  <c r="AC647" i="12" s="1"/>
  <c r="AE647" i="12" s="1"/>
  <c r="AL647" i="12"/>
  <c r="AF647" i="12"/>
  <c r="AG671" i="12"/>
  <c r="AL683" i="12"/>
  <c r="AK683" i="12"/>
  <c r="AB683" i="12"/>
  <c r="AC683" i="12" s="1"/>
  <c r="AE683" i="12" s="1"/>
  <c r="AJ683" i="12"/>
  <c r="AI683" i="12"/>
  <c r="AG683" i="12"/>
  <c r="AF683" i="12"/>
  <c r="V319" i="12"/>
  <c r="AJ347" i="12"/>
  <c r="AJ435" i="12"/>
  <c r="AI435" i="12"/>
  <c r="AF442" i="12"/>
  <c r="AF473" i="12"/>
  <c r="AG497" i="12"/>
  <c r="AB497" i="12"/>
  <c r="AC497" i="12" s="1"/>
  <c r="AE497" i="12" s="1"/>
  <c r="AB505" i="12"/>
  <c r="AC505" i="12" s="1"/>
  <c r="AE505" i="12" s="1"/>
  <c r="AI551" i="12"/>
  <c r="AF568" i="12"/>
  <c r="AK596" i="12"/>
  <c r="AK427" i="12"/>
  <c r="AI427" i="12"/>
  <c r="AG456" i="12"/>
  <c r="AF456" i="12"/>
  <c r="AB456" i="12"/>
  <c r="AC456" i="12" s="1"/>
  <c r="AE456" i="12" s="1"/>
  <c r="AL517" i="12"/>
  <c r="AJ528" i="12"/>
  <c r="AI541" i="12"/>
  <c r="AB588" i="12"/>
  <c r="AC588" i="12" s="1"/>
  <c r="AE588" i="12" s="1"/>
  <c r="AL588" i="12"/>
  <c r="AK588" i="12"/>
  <c r="AJ588" i="12"/>
  <c r="AF588" i="12"/>
  <c r="AG358" i="12"/>
  <c r="AG420" i="12"/>
  <c r="AJ423" i="12"/>
  <c r="AF449" i="12"/>
  <c r="AB449" i="12"/>
  <c r="AC449" i="12" s="1"/>
  <c r="AE449" i="12" s="1"/>
  <c r="AF482" i="12"/>
  <c r="AB482" i="12"/>
  <c r="AC482" i="12" s="1"/>
  <c r="AE482" i="12" s="1"/>
  <c r="AF487" i="12"/>
  <c r="AB487" i="12"/>
  <c r="AC487" i="12" s="1"/>
  <c r="AE487" i="12" s="1"/>
  <c r="AK511" i="12"/>
  <c r="AB511" i="12"/>
  <c r="AC511" i="12" s="1"/>
  <c r="AE511" i="12" s="1"/>
  <c r="AJ511" i="12"/>
  <c r="AI511" i="12"/>
  <c r="AF556" i="12"/>
  <c r="AB310" i="12"/>
  <c r="AC310" i="12" s="1"/>
  <c r="AE310" i="12" s="1"/>
  <c r="AF325" i="12"/>
  <c r="AJ325" i="12"/>
  <c r="V353" i="12"/>
  <c r="AK384" i="12"/>
  <c r="AJ384" i="12"/>
  <c r="AK390" i="12"/>
  <c r="AG401" i="12"/>
  <c r="AG403" i="12"/>
  <c r="V407" i="12"/>
  <c r="AB428" i="12"/>
  <c r="AC428" i="12" s="1"/>
  <c r="AE428" i="12" s="1"/>
  <c r="V487" i="12"/>
  <c r="AK524" i="12"/>
  <c r="AF526" i="12"/>
  <c r="AB526" i="12"/>
  <c r="AC526" i="12" s="1"/>
  <c r="AE526" i="12" s="1"/>
  <c r="V598" i="12"/>
  <c r="V663" i="12"/>
  <c r="AJ787" i="12"/>
  <c r="AI787" i="12"/>
  <c r="AF787" i="12"/>
  <c r="AB787" i="12"/>
  <c r="AC787" i="12" s="1"/>
  <c r="AE787" i="12" s="1"/>
  <c r="AL787" i="12"/>
  <c r="AK787" i="12"/>
  <c r="AG787" i="12"/>
  <c r="AB617" i="12"/>
  <c r="AC617" i="12" s="1"/>
  <c r="AE617" i="12" s="1"/>
  <c r="AJ389" i="12"/>
  <c r="AL431" i="12"/>
  <c r="AB438" i="12"/>
  <c r="AC438" i="12" s="1"/>
  <c r="AE438" i="12" s="1"/>
  <c r="AF438" i="12"/>
  <c r="AL477" i="12"/>
  <c r="AF532" i="12"/>
  <c r="AB532" i="12"/>
  <c r="AC532" i="12" s="1"/>
  <c r="AE532" i="12" s="1"/>
  <c r="AK585" i="12"/>
  <c r="AF598" i="12"/>
  <c r="AB598" i="12"/>
  <c r="AC598" i="12" s="1"/>
  <c r="AE598" i="12" s="1"/>
  <c r="AG619" i="12"/>
  <c r="AI619" i="12"/>
  <c r="AF619" i="12"/>
  <c r="AK619" i="12"/>
  <c r="AJ619" i="12"/>
  <c r="AB619" i="12"/>
  <c r="AC619" i="12" s="1"/>
  <c r="AE619" i="12" s="1"/>
  <c r="AF621" i="12"/>
  <c r="AI701" i="12"/>
  <c r="AL701" i="12"/>
  <c r="AK701" i="12"/>
  <c r="AG701" i="12"/>
  <c r="AB801" i="12"/>
  <c r="AC801" i="12" s="1"/>
  <c r="AE801" i="12" s="1"/>
  <c r="AI801" i="12"/>
  <c r="AG801" i="12"/>
  <c r="AF801" i="12"/>
  <c r="AL801" i="12"/>
  <c r="AK801" i="12"/>
  <c r="AJ801" i="12"/>
  <c r="V858" i="12"/>
  <c r="AF711" i="12"/>
  <c r="AI711" i="12"/>
  <c r="AB711" i="12"/>
  <c r="AC711" i="12" s="1"/>
  <c r="AE711" i="12" s="1"/>
  <c r="V718" i="12"/>
  <c r="V801" i="12"/>
  <c r="AF639" i="12"/>
  <c r="AI328" i="12"/>
  <c r="AL351" i="12"/>
  <c r="AL385" i="12"/>
  <c r="AL407" i="12"/>
  <c r="V459" i="12"/>
  <c r="V513" i="12"/>
  <c r="V517" i="12"/>
  <c r="AG520" i="12"/>
  <c r="AK520" i="12"/>
  <c r="AF520" i="12"/>
  <c r="AF538" i="12"/>
  <c r="AB538" i="12"/>
  <c r="AC538" i="12" s="1"/>
  <c r="AE538" i="12" s="1"/>
  <c r="AJ538" i="12"/>
  <c r="AK547" i="12"/>
  <c r="V606" i="12"/>
  <c r="AB621" i="12"/>
  <c r="AC621" i="12" s="1"/>
  <c r="AE621" i="12" s="1"/>
  <c r="V661" i="12"/>
  <c r="AB701" i="12"/>
  <c r="AC701" i="12" s="1"/>
  <c r="AE701" i="12" s="1"/>
  <c r="V376" i="12"/>
  <c r="AG386" i="12"/>
  <c r="AJ429" i="12"/>
  <c r="V453" i="12"/>
  <c r="V470" i="12"/>
  <c r="AJ476" i="12"/>
  <c r="AF476" i="12"/>
  <c r="AB476" i="12"/>
  <c r="AC476" i="12" s="1"/>
  <c r="AE476" i="12" s="1"/>
  <c r="AL481" i="12"/>
  <c r="AK504" i="12"/>
  <c r="AB504" i="12"/>
  <c r="AC504" i="12" s="1"/>
  <c r="AE504" i="12" s="1"/>
  <c r="AG560" i="12"/>
  <c r="AK560" i="12"/>
  <c r="AJ560" i="12"/>
  <c r="AI560" i="12"/>
  <c r="AK616" i="12"/>
  <c r="AJ616" i="12"/>
  <c r="AI616" i="12"/>
  <c r="AG616" i="12"/>
  <c r="AF616" i="12"/>
  <c r="AJ617" i="12"/>
  <c r="AF625" i="12"/>
  <c r="AB655" i="12"/>
  <c r="AC655" i="12" s="1"/>
  <c r="AE655" i="12" s="1"/>
  <c r="AJ655" i="12"/>
  <c r="AI655" i="12"/>
  <c r="AG655" i="12"/>
  <c r="AF655" i="12"/>
  <c r="AK655" i="12"/>
  <c r="AL835" i="12"/>
  <c r="AK835" i="12"/>
  <c r="AB835" i="12"/>
  <c r="AC835" i="12" s="1"/>
  <c r="AE835" i="12" s="1"/>
  <c r="AF835" i="12"/>
  <c r="AG523" i="12"/>
  <c r="AK531" i="12"/>
  <c r="AF590" i="12"/>
  <c r="AG590" i="12"/>
  <c r="AB590" i="12"/>
  <c r="AC590" i="12" s="1"/>
  <c r="AE590" i="12" s="1"/>
  <c r="AK406" i="12"/>
  <c r="AG406" i="12"/>
  <c r="AB477" i="12"/>
  <c r="AC477" i="12" s="1"/>
  <c r="AE477" i="12" s="1"/>
  <c r="AF499" i="12"/>
  <c r="AJ499" i="12"/>
  <c r="AI499" i="12"/>
  <c r="AK507" i="12"/>
  <c r="AJ563" i="12"/>
  <c r="AG563" i="12"/>
  <c r="AF579" i="12"/>
  <c r="AL584" i="12"/>
  <c r="V590" i="12"/>
  <c r="AB611" i="12"/>
  <c r="AC611" i="12" s="1"/>
  <c r="AE611" i="12" s="1"/>
  <c r="AI611" i="12"/>
  <c r="AB639" i="12"/>
  <c r="AC639" i="12" s="1"/>
  <c r="AE639" i="12" s="1"/>
  <c r="AF701" i="12"/>
  <c r="AK711" i="12"/>
  <c r="AG719" i="12"/>
  <c r="AJ719" i="12"/>
  <c r="AI719" i="12"/>
  <c r="AB719" i="12"/>
  <c r="AC719" i="12" s="1"/>
  <c r="AE719" i="12" s="1"/>
  <c r="AG749" i="12"/>
  <c r="AL749" i="12"/>
  <c r="AK749" i="12"/>
  <c r="AJ749" i="12"/>
  <c r="AI749" i="12"/>
  <c r="AB749" i="12"/>
  <c r="AC749" i="12" s="1"/>
  <c r="AE749" i="12" s="1"/>
  <c r="AF749" i="12"/>
  <c r="V584" i="12"/>
  <c r="V611" i="12"/>
  <c r="AL663" i="12"/>
  <c r="AK663" i="12"/>
  <c r="AG663" i="12"/>
  <c r="AF663" i="12"/>
  <c r="AB663" i="12"/>
  <c r="AC663" i="12" s="1"/>
  <c r="AE663" i="12" s="1"/>
  <c r="AJ663" i="12"/>
  <c r="AI660" i="12"/>
  <c r="AL660" i="12"/>
  <c r="AK660" i="12"/>
  <c r="AJ660" i="12"/>
  <c r="AG660" i="12"/>
  <c r="AL668" i="12"/>
  <c r="AK668" i="12"/>
  <c r="AJ668" i="12"/>
  <c r="AI668" i="12"/>
  <c r="AF678" i="12"/>
  <c r="AB678" i="12"/>
  <c r="AC678" i="12" s="1"/>
  <c r="AE678" i="12" s="1"/>
  <c r="V691" i="12"/>
  <c r="AB725" i="12"/>
  <c r="AC725" i="12" s="1"/>
  <c r="AE725" i="12" s="1"/>
  <c r="V747" i="12"/>
  <c r="AI777" i="12"/>
  <c r="AG777" i="12"/>
  <c r="AK777" i="12"/>
  <c r="AF777" i="12"/>
  <c r="AB777" i="12"/>
  <c r="AC777" i="12" s="1"/>
  <c r="AE777" i="12" s="1"/>
  <c r="AJ841" i="12"/>
  <c r="AI841" i="12"/>
  <c r="AB841" i="12"/>
  <c r="AC841" i="12" s="1"/>
  <c r="AE841" i="12" s="1"/>
  <c r="AF841" i="12"/>
  <c r="AK447" i="12"/>
  <c r="AJ503" i="12"/>
  <c r="AG503" i="12"/>
  <c r="AF578" i="12"/>
  <c r="AB578" i="12"/>
  <c r="AC578" i="12" s="1"/>
  <c r="AE578" i="12" s="1"/>
  <c r="AF582" i="12"/>
  <c r="AB582" i="12"/>
  <c r="AC582" i="12" s="1"/>
  <c r="AE582" i="12" s="1"/>
  <c r="AF593" i="12"/>
  <c r="AG649" i="12"/>
  <c r="AL718" i="12"/>
  <c r="AK720" i="12"/>
  <c r="V787" i="12"/>
  <c r="AG766" i="12"/>
  <c r="AF766" i="12"/>
  <c r="AJ766" i="12"/>
  <c r="AB766" i="12"/>
  <c r="AC766" i="12" s="1"/>
  <c r="AE766" i="12" s="1"/>
  <c r="AF775" i="12"/>
  <c r="AB775" i="12"/>
  <c r="AC775" i="12" s="1"/>
  <c r="AE775" i="12" s="1"/>
  <c r="AJ807" i="12"/>
  <c r="AF807" i="12"/>
  <c r="AK807" i="12"/>
  <c r="AB807" i="12"/>
  <c r="AC807" i="12" s="1"/>
  <c r="AE807" i="12" s="1"/>
  <c r="AI529" i="12"/>
  <c r="AL535" i="12"/>
  <c r="AJ562" i="12"/>
  <c r="AI562" i="12"/>
  <c r="AF562" i="12"/>
  <c r="AB562" i="12"/>
  <c r="AC562" i="12" s="1"/>
  <c r="AE562" i="12" s="1"/>
  <c r="V573" i="12"/>
  <c r="AL605" i="12"/>
  <c r="AJ605" i="12"/>
  <c r="AI605" i="12"/>
  <c r="AG605" i="12"/>
  <c r="AF605" i="12"/>
  <c r="AB605" i="12"/>
  <c r="AC605" i="12" s="1"/>
  <c r="AE605" i="12" s="1"/>
  <c r="AB612" i="12"/>
  <c r="AC612" i="12" s="1"/>
  <c r="AE612" i="12" s="1"/>
  <c r="AG612" i="12"/>
  <c r="AF612" i="12"/>
  <c r="AL624" i="12"/>
  <c r="AF624" i="12"/>
  <c r="AB624" i="12"/>
  <c r="AC624" i="12" s="1"/>
  <c r="AE624" i="12" s="1"/>
  <c r="AB643" i="12"/>
  <c r="AC643" i="12" s="1"/>
  <c r="AE643" i="12" s="1"/>
  <c r="AB649" i="12"/>
  <c r="AC649" i="12" s="1"/>
  <c r="AE649" i="12" s="1"/>
  <c r="AK679" i="12"/>
  <c r="AG679" i="12"/>
  <c r="AL679" i="12"/>
  <c r="V690" i="12"/>
  <c r="AF697" i="12"/>
  <c r="AL734" i="12"/>
  <c r="AF823" i="12"/>
  <c r="AG823" i="12"/>
  <c r="AB823" i="12"/>
  <c r="AC823" i="12" s="1"/>
  <c r="AE823" i="12" s="1"/>
  <c r="AL823" i="12"/>
  <c r="AK823" i="12"/>
  <c r="AJ823" i="12"/>
  <c r="V493" i="12"/>
  <c r="V510" i="12"/>
  <c r="AL545" i="12"/>
  <c r="AJ608" i="12"/>
  <c r="AL664" i="12"/>
  <c r="AG664" i="12"/>
  <c r="AF664" i="12"/>
  <c r="AB664" i="12"/>
  <c r="AC664" i="12" s="1"/>
  <c r="AE664" i="12" s="1"/>
  <c r="AK664" i="12"/>
  <c r="AJ664" i="12"/>
  <c r="AF667" i="12"/>
  <c r="AB667" i="12"/>
  <c r="AC667" i="12" s="1"/>
  <c r="AE667" i="12" s="1"/>
  <c r="AF668" i="12"/>
  <c r="AL704" i="12"/>
  <c r="AG704" i="12"/>
  <c r="AF704" i="12"/>
  <c r="AB704" i="12"/>
  <c r="AC704" i="12" s="1"/>
  <c r="AE704" i="12" s="1"/>
  <c r="AK704" i="12"/>
  <c r="AL738" i="12"/>
  <c r="AI738" i="12"/>
  <c r="AG738" i="12"/>
  <c r="AF738" i="12"/>
  <c r="AK738" i="12"/>
  <c r="AJ738" i="12"/>
  <c r="AI755" i="12"/>
  <c r="AF755" i="12"/>
  <c r="AL755" i="12"/>
  <c r="AK755" i="12"/>
  <c r="AJ755" i="12"/>
  <c r="AG755" i="12"/>
  <c r="AB755" i="12"/>
  <c r="AC755" i="12" s="1"/>
  <c r="AE755" i="12" s="1"/>
  <c r="AL797" i="12"/>
  <c r="AK797" i="12"/>
  <c r="AI797" i="12"/>
  <c r="AG797" i="12"/>
  <c r="AF797" i="12"/>
  <c r="AJ797" i="12"/>
  <c r="AB797" i="12"/>
  <c r="AC797" i="12" s="1"/>
  <c r="AE797" i="12" s="1"/>
  <c r="AL829" i="12"/>
  <c r="AK829" i="12"/>
  <c r="AJ829" i="12"/>
  <c r="AI829" i="12"/>
  <c r="AB829" i="12"/>
  <c r="AC829" i="12" s="1"/>
  <c r="AE829" i="12" s="1"/>
  <c r="AG829" i="12"/>
  <c r="AF829" i="12"/>
  <c r="AK551" i="12"/>
  <c r="AJ566" i="12"/>
  <c r="AJ602" i="12"/>
  <c r="AG602" i="12"/>
  <c r="AF602" i="12"/>
  <c r="AB614" i="12"/>
  <c r="AC614" i="12" s="1"/>
  <c r="AE614" i="12" s="1"/>
  <c r="AG614" i="12"/>
  <c r="AF614" i="12"/>
  <c r="AK614" i="12"/>
  <c r="AG656" i="12"/>
  <c r="AF656" i="12"/>
  <c r="AF660" i="12"/>
  <c r="AJ736" i="12"/>
  <c r="AL736" i="12"/>
  <c r="AK736" i="12"/>
  <c r="AG736" i="12"/>
  <c r="AF736" i="12"/>
  <c r="AI766" i="12"/>
  <c r="AI592" i="12"/>
  <c r="AL592" i="12"/>
  <c r="AG599" i="12"/>
  <c r="AB599" i="12"/>
  <c r="AC599" i="12" s="1"/>
  <c r="AE599" i="12" s="1"/>
  <c r="AK599" i="12"/>
  <c r="AJ599" i="12"/>
  <c r="AI599" i="12"/>
  <c r="AF599" i="12"/>
  <c r="AJ633" i="12"/>
  <c r="AI633" i="12"/>
  <c r="AF633" i="12"/>
  <c r="AB633" i="12"/>
  <c r="AC633" i="12" s="1"/>
  <c r="AE633" i="12" s="1"/>
  <c r="AG672" i="12"/>
  <c r="AF672" i="12"/>
  <c r="AL672" i="12"/>
  <c r="AK672" i="12"/>
  <c r="AJ672" i="12"/>
  <c r="AI672" i="12"/>
  <c r="AK694" i="12"/>
  <c r="AB709" i="12"/>
  <c r="AC709" i="12" s="1"/>
  <c r="AE709" i="12" s="1"/>
  <c r="AK766" i="12"/>
  <c r="AB447" i="12"/>
  <c r="AC447" i="12" s="1"/>
  <c r="AE447" i="12" s="1"/>
  <c r="AJ466" i="12"/>
  <c r="AG500" i="12"/>
  <c r="AB503" i="12"/>
  <c r="AC503" i="12" s="1"/>
  <c r="AE503" i="12" s="1"/>
  <c r="AL508" i="12"/>
  <c r="V589" i="12"/>
  <c r="AB627" i="12"/>
  <c r="AC627" i="12" s="1"/>
  <c r="AE627" i="12" s="1"/>
  <c r="V633" i="12"/>
  <c r="AF643" i="12"/>
  <c r="AB713" i="12"/>
  <c r="AC713" i="12" s="1"/>
  <c r="AE713" i="12" s="1"/>
  <c r="V724" i="12"/>
  <c r="AF728" i="12"/>
  <c r="AB728" i="12"/>
  <c r="AC728" i="12" s="1"/>
  <c r="AE728" i="12" s="1"/>
  <c r="AI728" i="12"/>
  <c r="AG753" i="12"/>
  <c r="AB753" i="12"/>
  <c r="AC753" i="12" s="1"/>
  <c r="AE753" i="12" s="1"/>
  <c r="AL753" i="12"/>
  <c r="AK753" i="12"/>
  <c r="AJ753" i="12"/>
  <c r="AI753" i="12"/>
  <c r="AF759" i="12"/>
  <c r="AB759" i="12"/>
  <c r="AC759" i="12" s="1"/>
  <c r="AE759" i="12" s="1"/>
  <c r="AB764" i="12"/>
  <c r="AC764" i="12" s="1"/>
  <c r="AE764" i="12" s="1"/>
  <c r="AF764" i="12"/>
  <c r="AG764" i="12"/>
  <c r="AF546" i="12"/>
  <c r="AF566" i="12"/>
  <c r="AF608" i="12"/>
  <c r="AG637" i="12"/>
  <c r="AF637" i="12"/>
  <c r="AF674" i="12"/>
  <c r="AB674" i="12"/>
  <c r="AC674" i="12" s="1"/>
  <c r="AE674" i="12" s="1"/>
  <c r="AI674" i="12"/>
  <c r="V738" i="12"/>
  <c r="AB810" i="12"/>
  <c r="AC810" i="12" s="1"/>
  <c r="AE810" i="12" s="1"/>
  <c r="AF810" i="12"/>
  <c r="AI743" i="12"/>
  <c r="AG743" i="12"/>
  <c r="AF743" i="12"/>
  <c r="AF767" i="12"/>
  <c r="AL767" i="12"/>
  <c r="AK767" i="12"/>
  <c r="V810" i="12"/>
  <c r="AF765" i="12"/>
  <c r="AB765" i="12"/>
  <c r="AC765" i="12" s="1"/>
  <c r="AE765" i="12" s="1"/>
  <c r="AL765" i="12"/>
  <c r="AK765" i="12"/>
  <c r="AI765" i="12"/>
  <c r="AL769" i="12"/>
  <c r="AK769" i="12"/>
  <c r="AI769" i="12"/>
  <c r="AG769" i="12"/>
  <c r="AF769" i="12"/>
  <c r="AJ756" i="12"/>
  <c r="AG756" i="12"/>
  <c r="AL756" i="12"/>
  <c r="AF756" i="12"/>
  <c r="AI756" i="12"/>
  <c r="AB756" i="12"/>
  <c r="AC756" i="12" s="1"/>
  <c r="AE756" i="12" s="1"/>
  <c r="AB780" i="12"/>
  <c r="AC780" i="12" s="1"/>
  <c r="AE780" i="12" s="1"/>
  <c r="AF780" i="12"/>
  <c r="V649" i="12"/>
  <c r="AK745" i="12"/>
  <c r="V780" i="12"/>
  <c r="AG806" i="12"/>
  <c r="AB806" i="12"/>
  <c r="AC806" i="12" s="1"/>
  <c r="AE806" i="12" s="1"/>
  <c r="AF806" i="12"/>
  <c r="V629" i="12"/>
  <c r="AF657" i="12"/>
  <c r="AJ657" i="12"/>
  <c r="AI657" i="12"/>
  <c r="AI692" i="12"/>
  <c r="AG692" i="12"/>
  <c r="AB692" i="12"/>
  <c r="AC692" i="12" s="1"/>
  <c r="AE692" i="12" s="1"/>
  <c r="AF752" i="12"/>
  <c r="AB752" i="12"/>
  <c r="AC752" i="12" s="1"/>
  <c r="AE752" i="12" s="1"/>
  <c r="AF804" i="12"/>
  <c r="AI615" i="12"/>
  <c r="AI641" i="12"/>
  <c r="AI677" i="12"/>
  <c r="AF677" i="12"/>
  <c r="AB677" i="12"/>
  <c r="AC677" i="12" s="1"/>
  <c r="AE677" i="12" s="1"/>
  <c r="AG695" i="12"/>
  <c r="AK702" i="12"/>
  <c r="AG716" i="12"/>
  <c r="AF716" i="12"/>
  <c r="AI601" i="12"/>
  <c r="AJ628" i="12"/>
  <c r="AI628" i="12"/>
  <c r="V677" i="12"/>
  <c r="AF684" i="12"/>
  <c r="AF696" i="12"/>
  <c r="AF698" i="12"/>
  <c r="AL698" i="12"/>
  <c r="AK698" i="12"/>
  <c r="AI698" i="12"/>
  <c r="AL721" i="12"/>
  <c r="AI732" i="12"/>
  <c r="AK732" i="12"/>
  <c r="AG732" i="12"/>
  <c r="AF732" i="12"/>
  <c r="AB743" i="12"/>
  <c r="AC743" i="12" s="1"/>
  <c r="AE743" i="12" s="1"/>
  <c r="AB637" i="12"/>
  <c r="AC637" i="12" s="1"/>
  <c r="AE637" i="12" s="1"/>
  <c r="AJ652" i="12"/>
  <c r="AB673" i="12"/>
  <c r="AC673" i="12" s="1"/>
  <c r="AE673" i="12" s="1"/>
  <c r="AK673" i="12"/>
  <c r="AJ673" i="12"/>
  <c r="AI673" i="12"/>
  <c r="AG696" i="12"/>
  <c r="AK739" i="12"/>
  <c r="AJ739" i="12"/>
  <c r="AI739" i="12"/>
  <c r="AG739" i="12"/>
  <c r="AF739" i="12"/>
  <c r="AB739" i="12"/>
  <c r="AC739" i="12" s="1"/>
  <c r="AE739" i="12" s="1"/>
  <c r="AL739" i="12"/>
  <c r="AB767" i="12"/>
  <c r="AC767" i="12" s="1"/>
  <c r="AE767" i="12" s="1"/>
  <c r="AB769" i="12"/>
  <c r="AC769" i="12" s="1"/>
  <c r="AE769" i="12" s="1"/>
  <c r="AL815" i="12"/>
  <c r="AK815" i="12"/>
  <c r="AG815" i="12"/>
  <c r="AI815" i="12"/>
  <c r="AF815" i="12"/>
  <c r="AB815" i="12"/>
  <c r="AC815" i="12" s="1"/>
  <c r="AE815" i="12" s="1"/>
  <c r="AK682" i="12"/>
  <c r="AG715" i="12"/>
  <c r="AK731" i="12"/>
  <c r="AJ731" i="12"/>
  <c r="AG731" i="12"/>
  <c r="AL758" i="12"/>
  <c r="AJ758" i="12"/>
  <c r="AI758" i="12"/>
  <c r="AK758" i="12"/>
  <c r="V803" i="12"/>
  <c r="AG675" i="12"/>
  <c r="AL700" i="12"/>
  <c r="AI700" i="12"/>
  <c r="AF714" i="12"/>
  <c r="AB714" i="12"/>
  <c r="AC714" i="12" s="1"/>
  <c r="AE714" i="12" s="1"/>
  <c r="AK723" i="12"/>
  <c r="AB724" i="12"/>
  <c r="AC724" i="12" s="1"/>
  <c r="AE724" i="12" s="1"/>
  <c r="AB734" i="12"/>
  <c r="AC734" i="12" s="1"/>
  <c r="AE734" i="12" s="1"/>
  <c r="AI734" i="12"/>
  <c r="AB758" i="12"/>
  <c r="AC758" i="12" s="1"/>
  <c r="AE758" i="12" s="1"/>
  <c r="V689" i="12"/>
  <c r="AK774" i="12"/>
  <c r="AJ774" i="12"/>
  <c r="AI774" i="12"/>
  <c r="AG774" i="12"/>
  <c r="AB774" i="12"/>
  <c r="AC774" i="12" s="1"/>
  <c r="AE774" i="12" s="1"/>
  <c r="AB781" i="12"/>
  <c r="AC781" i="12" s="1"/>
  <c r="AE781" i="12" s="1"/>
  <c r="AG781" i="12"/>
  <c r="AL781" i="12"/>
  <c r="AK781" i="12"/>
  <c r="AF781" i="12"/>
  <c r="AB821" i="12"/>
  <c r="AC821" i="12" s="1"/>
  <c r="AE821" i="12" s="1"/>
  <c r="AL821" i="12"/>
  <c r="AI821" i="12"/>
  <c r="AF821" i="12"/>
  <c r="AK821" i="12"/>
  <c r="V669" i="12"/>
  <c r="AF694" i="12"/>
  <c r="AB694" i="12"/>
  <c r="AC694" i="12" s="1"/>
  <c r="AE694" i="12" s="1"/>
  <c r="AK768" i="12"/>
  <c r="AI768" i="12"/>
  <c r="AL768" i="12"/>
  <c r="AB768" i="12"/>
  <c r="AC768" i="12" s="1"/>
  <c r="AE768" i="12" s="1"/>
  <c r="AB819" i="12"/>
  <c r="AC819" i="12" s="1"/>
  <c r="AE819" i="12" s="1"/>
  <c r="AG819" i="12"/>
  <c r="AF819" i="12"/>
  <c r="AL819" i="12"/>
  <c r="AK699" i="12"/>
  <c r="AG699" i="12"/>
  <c r="AF718" i="12"/>
  <c r="AK718" i="12"/>
  <c r="AJ718" i="12"/>
  <c r="AG718" i="12"/>
  <c r="AB718" i="12"/>
  <c r="AC718" i="12" s="1"/>
  <c r="AE718" i="12" s="1"/>
  <c r="AF730" i="12"/>
  <c r="AB730" i="12"/>
  <c r="AC730" i="12" s="1"/>
  <c r="AE730" i="12" s="1"/>
  <c r="AB748" i="12"/>
  <c r="AC748" i="12" s="1"/>
  <c r="AE748" i="12" s="1"/>
  <c r="AI748" i="12"/>
  <c r="AG748" i="12"/>
  <c r="AF748" i="12"/>
  <c r="AI776" i="12"/>
  <c r="AG776" i="12"/>
  <c r="AF776" i="12"/>
  <c r="AB776" i="12"/>
  <c r="AC776" i="12" s="1"/>
  <c r="AE776" i="12" s="1"/>
  <c r="AL778" i="12"/>
  <c r="AF795" i="12"/>
  <c r="AI795" i="12"/>
  <c r="V745" i="12"/>
  <c r="AF754" i="12"/>
  <c r="AF783" i="12"/>
  <c r="AB783" i="12"/>
  <c r="AC783" i="12" s="1"/>
  <c r="AE783" i="12" s="1"/>
  <c r="V790" i="12"/>
  <c r="AL789" i="12"/>
  <c r="AK789" i="12"/>
  <c r="AJ789" i="12"/>
  <c r="AB818" i="12"/>
  <c r="AC818" i="12" s="1"/>
  <c r="AE818" i="12" s="1"/>
  <c r="AI818" i="12"/>
  <c r="AF818" i="12"/>
  <c r="AG824" i="12"/>
  <c r="AF824" i="12"/>
  <c r="AL824" i="12"/>
  <c r="AK824" i="12"/>
  <c r="AB800" i="12"/>
  <c r="AC800" i="12" s="1"/>
  <c r="AE800" i="12" s="1"/>
  <c r="AG800" i="12"/>
  <c r="AJ682" i="12"/>
  <c r="AJ702" i="12"/>
  <c r="AJ720" i="12"/>
  <c r="AI735" i="12"/>
  <c r="V776" i="12"/>
  <c r="AK796" i="12"/>
  <c r="AI796" i="12"/>
  <c r="AF796" i="12"/>
  <c r="AL811" i="12"/>
  <c r="AJ722" i="12"/>
  <c r="V744" i="12"/>
  <c r="AK757" i="12"/>
  <c r="AI757" i="12"/>
  <c r="AF757" i="12"/>
  <c r="V763" i="12"/>
  <c r="AK782" i="12"/>
  <c r="AI782" i="12"/>
  <c r="V796" i="12"/>
  <c r="AK808" i="12"/>
  <c r="AJ808" i="12"/>
  <c r="AL808" i="12"/>
  <c r="V811" i="12"/>
  <c r="AF826" i="12"/>
  <c r="AB826" i="12"/>
  <c r="AC826" i="12" s="1"/>
  <c r="AE826" i="12" s="1"/>
  <c r="AG805" i="12"/>
  <c r="AF805" i="12"/>
  <c r="AB805" i="12"/>
  <c r="AC805" i="12" s="1"/>
  <c r="AE805" i="12" s="1"/>
  <c r="AG849" i="12"/>
  <c r="AF849" i="12"/>
  <c r="AJ849" i="12"/>
  <c r="AL849" i="12"/>
  <c r="AK849" i="12"/>
  <c r="AI849" i="12"/>
  <c r="AL851" i="12"/>
  <c r="AK851" i="12"/>
  <c r="AF851" i="12"/>
  <c r="AG851" i="12"/>
  <c r="AB851" i="12"/>
  <c r="AC851" i="12" s="1"/>
  <c r="AE851" i="12" s="1"/>
  <c r="AL771" i="12"/>
  <c r="AF785" i="12"/>
  <c r="AK788" i="12"/>
  <c r="AJ788" i="12"/>
  <c r="AI788" i="12"/>
  <c r="AL788" i="12"/>
  <c r="AF788" i="12"/>
  <c r="AF802" i="12"/>
  <c r="AK818" i="12"/>
  <c r="AF822" i="12"/>
  <c r="AK828" i="12"/>
  <c r="AJ828" i="12"/>
  <c r="AI828" i="12"/>
  <c r="AG828" i="12"/>
  <c r="AG840" i="12"/>
  <c r="AF840" i="12"/>
  <c r="AI750" i="12"/>
  <c r="V785" i="12"/>
  <c r="AB789" i="12"/>
  <c r="AC789" i="12" s="1"/>
  <c r="AE789" i="12" s="1"/>
  <c r="AG822" i="12"/>
  <c r="AK842" i="12"/>
  <c r="AI842" i="12"/>
  <c r="AL842" i="12"/>
  <c r="AJ842" i="12"/>
  <c r="AB842" i="12"/>
  <c r="AC842" i="12" s="1"/>
  <c r="AE842" i="12" s="1"/>
  <c r="AG858" i="12"/>
  <c r="AF858" i="12"/>
  <c r="AL858" i="12"/>
  <c r="AK858" i="12"/>
  <c r="AJ858" i="12"/>
  <c r="AB858" i="12"/>
  <c r="AC858" i="12" s="1"/>
  <c r="AE858" i="12" s="1"/>
  <c r="AI858" i="12"/>
  <c r="AB838" i="12"/>
  <c r="AC838" i="12" s="1"/>
  <c r="AE838" i="12" s="1"/>
  <c r="AK838" i="12"/>
  <c r="AJ838" i="12"/>
  <c r="AB820" i="12"/>
  <c r="AC820" i="12" s="1"/>
  <c r="AE820" i="12" s="1"/>
  <c r="AL820" i="12"/>
  <c r="AK820" i="12"/>
  <c r="AG820" i="12"/>
  <c r="AG825" i="12"/>
  <c r="AF825" i="12"/>
  <c r="AK825" i="12"/>
  <c r="AI825" i="12"/>
  <c r="AL831" i="12"/>
  <c r="AL845" i="12"/>
  <c r="V743" i="12"/>
  <c r="AI786" i="12"/>
  <c r="AG786" i="12"/>
  <c r="AL809" i="12"/>
  <c r="AK809" i="12"/>
  <c r="AJ809" i="12"/>
  <c r="V831" i="12"/>
  <c r="V845" i="12"/>
  <c r="AJ850" i="12"/>
  <c r="AG850" i="12"/>
  <c r="AB850" i="12"/>
  <c r="AC850" i="12" s="1"/>
  <c r="AE850" i="12" s="1"/>
  <c r="AB855" i="12"/>
  <c r="AC855" i="12" s="1"/>
  <c r="AE855" i="12" s="1"/>
  <c r="AJ855" i="12"/>
  <c r="AF855" i="12"/>
  <c r="AI855" i="12"/>
  <c r="AI838" i="12"/>
  <c r="V850" i="12"/>
  <c r="AF837" i="12"/>
  <c r="AB837" i="12"/>
  <c r="AC837" i="12" s="1"/>
  <c r="AE837" i="12" s="1"/>
  <c r="AK844" i="12"/>
  <c r="AJ844" i="12"/>
  <c r="AL790" i="12"/>
  <c r="AK790" i="12"/>
  <c r="AK770" i="12"/>
  <c r="AG784" i="12"/>
  <c r="AF784" i="12"/>
  <c r="AB854" i="12"/>
  <c r="AC854" i="12" s="1"/>
  <c r="AE854" i="12" s="1"/>
  <c r="AF854" i="12"/>
  <c r="AG839" i="12"/>
  <c r="AF839" i="12"/>
  <c r="AG857" i="12"/>
  <c r="AF857" i="12"/>
  <c r="AL843" i="12"/>
  <c r="AJ843" i="12"/>
  <c r="AF856" i="12"/>
  <c r="AB856" i="12"/>
  <c r="AC856" i="12" s="1"/>
  <c r="AE856" i="12" s="1"/>
  <c r="AB857" i="12"/>
  <c r="AC857" i="12" s="1"/>
  <c r="AE857" i="12" s="1"/>
  <c r="AI859" i="12"/>
  <c r="AG859" i="12"/>
  <c r="AF859" i="12"/>
  <c r="V856" i="12"/>
  <c r="K131" i="9" l="1"/>
  <c r="L131" i="9"/>
  <c r="G35" i="2"/>
  <c r="K191" i="9"/>
  <c r="L191" i="9"/>
  <c r="M191" i="9" s="1"/>
  <c r="K103" i="9"/>
  <c r="L103" i="9"/>
  <c r="L178" i="9"/>
  <c r="M178" i="9" s="1"/>
  <c r="K178" i="9"/>
  <c r="N75" i="9"/>
  <c r="O75" i="9" s="1"/>
  <c r="M75" i="9"/>
  <c r="L37" i="9"/>
  <c r="K37" i="9"/>
  <c r="H16" i="2"/>
  <c r="L104" i="9"/>
  <c r="N104" i="9" s="1"/>
  <c r="K104" i="9"/>
  <c r="Z487" i="12"/>
  <c r="AL487" i="12"/>
  <c r="AI487" i="12"/>
  <c r="Z537" i="12"/>
  <c r="AJ537" i="12"/>
  <c r="AL537" i="12"/>
  <c r="AK537" i="12"/>
  <c r="Z780" i="12"/>
  <c r="AK780" i="12"/>
  <c r="AJ780" i="12"/>
  <c r="Z117" i="12"/>
  <c r="AL117" i="12"/>
  <c r="AK117" i="12"/>
  <c r="AI117" i="12"/>
  <c r="AJ117" i="12"/>
  <c r="AG117" i="12"/>
  <c r="AJ688" i="12"/>
  <c r="AG688" i="12"/>
  <c r="Z688" i="12"/>
  <c r="AK688" i="12"/>
  <c r="AL688" i="12"/>
  <c r="M143" i="9"/>
  <c r="I37" i="2"/>
  <c r="I5" i="9"/>
  <c r="H5" i="9"/>
  <c r="AI780" i="12"/>
  <c r="AG810" i="12"/>
  <c r="AK764" i="12"/>
  <c r="AL627" i="12"/>
  <c r="AJ598" i="12"/>
  <c r="AJ301" i="12"/>
  <c r="AJ168" i="12"/>
  <c r="AI168" i="12"/>
  <c r="Z168" i="12"/>
  <c r="AK168" i="12"/>
  <c r="AL168" i="12"/>
  <c r="AG168" i="12"/>
  <c r="AJ298" i="12"/>
  <c r="AG298" i="12"/>
  <c r="Z298" i="12"/>
  <c r="AL298" i="12"/>
  <c r="AK298" i="12"/>
  <c r="AI298" i="12"/>
  <c r="L133" i="9"/>
  <c r="I38" i="2"/>
  <c r="N34" i="9"/>
  <c r="E16" i="2"/>
  <c r="M34" i="9"/>
  <c r="G5" i="9"/>
  <c r="I101" i="9"/>
  <c r="G101" i="9"/>
  <c r="H13" i="5"/>
  <c r="H8" i="5"/>
  <c r="H15" i="5" s="1"/>
  <c r="C7" i="5"/>
  <c r="C14" i="5"/>
  <c r="H9" i="5"/>
  <c r="H10" i="5"/>
  <c r="C8" i="5"/>
  <c r="C10" i="5"/>
  <c r="C9" i="5"/>
  <c r="H12" i="5"/>
  <c r="C13" i="5"/>
  <c r="C12" i="5"/>
  <c r="Z448" i="12"/>
  <c r="AI448" i="12"/>
  <c r="Z568" i="12"/>
  <c r="AK568" i="12"/>
  <c r="AK308" i="12"/>
  <c r="AL308" i="12"/>
  <c r="AJ308" i="12"/>
  <c r="AG308" i="12"/>
  <c r="Z308" i="12"/>
  <c r="Z442" i="12"/>
  <c r="AK442" i="12"/>
  <c r="AI442" i="12"/>
  <c r="AG442" i="12"/>
  <c r="AL442" i="12"/>
  <c r="AJ442" i="12"/>
  <c r="AK669" i="12"/>
  <c r="AL669" i="12"/>
  <c r="AG669" i="12"/>
  <c r="AJ669" i="12"/>
  <c r="Z669" i="12"/>
  <c r="AI669" i="12"/>
  <c r="AG780" i="12"/>
  <c r="AK493" i="12"/>
  <c r="AG493" i="12"/>
  <c r="AI493" i="12"/>
  <c r="AL493" i="12"/>
  <c r="Z493" i="12"/>
  <c r="AJ493" i="12"/>
  <c r="M92" i="9"/>
  <c r="Z416" i="12"/>
  <c r="AI416" i="12"/>
  <c r="AK416" i="12"/>
  <c r="AL416" i="12"/>
  <c r="AJ416" i="12"/>
  <c r="AG416" i="12"/>
  <c r="Z625" i="12"/>
  <c r="AK625" i="12"/>
  <c r="Z296" i="12"/>
  <c r="AI296" i="12"/>
  <c r="AJ296" i="12"/>
  <c r="AG296" i="12"/>
  <c r="AL569" i="12"/>
  <c r="AG569" i="12"/>
  <c r="AK569" i="12"/>
  <c r="AJ569" i="12"/>
  <c r="Z569" i="12"/>
  <c r="AI569" i="12"/>
  <c r="AG759" i="12"/>
  <c r="Z759" i="12"/>
  <c r="AJ759" i="12"/>
  <c r="K62" i="9"/>
  <c r="L62" i="9"/>
  <c r="AK487" i="12"/>
  <c r="Z157" i="12"/>
  <c r="AL157" i="12"/>
  <c r="AK157" i="12"/>
  <c r="AJ157" i="12"/>
  <c r="AI157" i="12"/>
  <c r="AK296" i="12"/>
  <c r="I16" i="9"/>
  <c r="J16" i="9" s="1"/>
  <c r="G16" i="9"/>
  <c r="L87" i="9"/>
  <c r="K87" i="9"/>
  <c r="H26" i="2"/>
  <c r="L78" i="9"/>
  <c r="K78" i="9"/>
  <c r="Z121" i="12"/>
  <c r="AJ121" i="12"/>
  <c r="AL121" i="12"/>
  <c r="AI121" i="12"/>
  <c r="AK121" i="12"/>
  <c r="AI441" i="12"/>
  <c r="AK441" i="12"/>
  <c r="AJ441" i="12"/>
  <c r="AG441" i="12"/>
  <c r="Z441" i="12"/>
  <c r="AL441" i="12"/>
  <c r="Z280" i="12"/>
  <c r="AJ280" i="12"/>
  <c r="AG280" i="12"/>
  <c r="AL280" i="12"/>
  <c r="L155" i="9"/>
  <c r="K155" i="9"/>
  <c r="F40" i="2"/>
  <c r="I154" i="9"/>
  <c r="H154" i="9"/>
  <c r="J154" i="9" s="1"/>
  <c r="G154" i="9"/>
  <c r="J101" i="9"/>
  <c r="F29" i="2"/>
  <c r="N100" i="9"/>
  <c r="O100" i="9" s="1"/>
  <c r="M100" i="9"/>
  <c r="AE3" i="12"/>
  <c r="D14" i="6"/>
  <c r="K26" i="9"/>
  <c r="L26" i="9"/>
  <c r="AG827" i="12"/>
  <c r="AL806" i="12"/>
  <c r="AI810" i="12"/>
  <c r="AL764" i="12"/>
  <c r="AJ593" i="12"/>
  <c r="AL625" i="12"/>
  <c r="AL598" i="12"/>
  <c r="AG537" i="12"/>
  <c r="AG301" i="12"/>
  <c r="AL172" i="12"/>
  <c r="AJ172" i="12"/>
  <c r="AI172" i="12"/>
  <c r="AG172" i="12"/>
  <c r="Z172" i="12"/>
  <c r="Z108" i="12"/>
  <c r="AK108" i="12"/>
  <c r="AJ108" i="12"/>
  <c r="AL108" i="12"/>
  <c r="AI108" i="12"/>
  <c r="Z498" i="12"/>
  <c r="AI498" i="12"/>
  <c r="AL363" i="12"/>
  <c r="Z363" i="12"/>
  <c r="AK363" i="12"/>
  <c r="AJ363" i="12"/>
  <c r="AI363" i="12"/>
  <c r="AG363" i="12"/>
  <c r="Z528" i="12"/>
  <c r="AG528" i="12"/>
  <c r="AI528" i="12"/>
  <c r="I33" i="2"/>
  <c r="H36" i="2"/>
  <c r="K45" i="9"/>
  <c r="K95" i="9"/>
  <c r="F28" i="2"/>
  <c r="L95" i="9"/>
  <c r="M29" i="9"/>
  <c r="N29" i="9"/>
  <c r="E15" i="2"/>
  <c r="K184" i="9"/>
  <c r="L184" i="9"/>
  <c r="AI827" i="12"/>
  <c r="AJ802" i="12"/>
  <c r="AI625" i="12"/>
  <c r="AG568" i="12"/>
  <c r="AL651" i="12"/>
  <c r="AI238" i="12"/>
  <c r="AI537" i="12"/>
  <c r="AK301" i="12"/>
  <c r="Z71" i="12"/>
  <c r="AL71" i="12"/>
  <c r="AK71" i="12"/>
  <c r="AJ71" i="12"/>
  <c r="AG71" i="12"/>
  <c r="AI71" i="12"/>
  <c r="Z370" i="12"/>
  <c r="AJ370" i="12"/>
  <c r="AG370" i="12"/>
  <c r="AL370" i="12"/>
  <c r="Z160" i="12"/>
  <c r="AG160" i="12"/>
  <c r="AK258" i="12"/>
  <c r="Z90" i="12"/>
  <c r="AG90" i="12"/>
  <c r="AL90" i="12"/>
  <c r="AK90" i="12"/>
  <c r="AJ90" i="12"/>
  <c r="AI90" i="12"/>
  <c r="Z465" i="12"/>
  <c r="AK465" i="12"/>
  <c r="AL465" i="12"/>
  <c r="AJ465" i="12"/>
  <c r="AG465" i="12"/>
  <c r="Z338" i="12"/>
  <c r="AI338" i="12"/>
  <c r="AL338" i="12"/>
  <c r="AK338" i="12"/>
  <c r="G140" i="9"/>
  <c r="H140" i="9"/>
  <c r="J140" i="9" s="1"/>
  <c r="AI160" i="12"/>
  <c r="N169" i="9"/>
  <c r="E43" i="2"/>
  <c r="M169" i="9"/>
  <c r="K42" i="9"/>
  <c r="L42" i="9"/>
  <c r="N42" i="9" s="1"/>
  <c r="O42" i="9" s="1"/>
  <c r="N188" i="9"/>
  <c r="O188" i="9" s="1"/>
  <c r="K100" i="9"/>
  <c r="G15" i="2"/>
  <c r="N31" i="9"/>
  <c r="O31" i="9" s="1"/>
  <c r="M31" i="9"/>
  <c r="AL84" i="12"/>
  <c r="AG84" i="12"/>
  <c r="AK84" i="12"/>
  <c r="AI84" i="12"/>
  <c r="AJ84" i="12"/>
  <c r="Z84" i="12"/>
  <c r="Z354" i="12"/>
  <c r="AL354" i="12"/>
  <c r="AJ354" i="12"/>
  <c r="AK354" i="12"/>
  <c r="AI354" i="12"/>
  <c r="AG354" i="12"/>
  <c r="AL856" i="12"/>
  <c r="AK856" i="12"/>
  <c r="AJ856" i="12"/>
  <c r="AI856" i="12"/>
  <c r="AG856" i="12"/>
  <c r="Z856" i="12"/>
  <c r="Z185" i="12"/>
  <c r="AK185" i="12"/>
  <c r="AJ185" i="12"/>
  <c r="AI185" i="12"/>
  <c r="AG185" i="12"/>
  <c r="AL185" i="12"/>
  <c r="Z559" i="12"/>
  <c r="AL559" i="12"/>
  <c r="AK559" i="12"/>
  <c r="AJ559" i="12"/>
  <c r="Z620" i="12"/>
  <c r="AG620" i="12"/>
  <c r="AJ764" i="12"/>
  <c r="AI301" i="12"/>
  <c r="K72" i="9"/>
  <c r="Z509" i="12"/>
  <c r="AL509" i="12"/>
  <c r="AJ509" i="12"/>
  <c r="AK509" i="12"/>
  <c r="AG509" i="12"/>
  <c r="Z697" i="12"/>
  <c r="AL697" i="12"/>
  <c r="I114" i="9"/>
  <c r="H114" i="9"/>
  <c r="J114" i="9" s="1"/>
  <c r="G171" i="9"/>
  <c r="I171" i="9"/>
  <c r="AK364" i="12"/>
  <c r="AG364" i="12"/>
  <c r="AI364" i="12"/>
  <c r="AL364" i="12"/>
  <c r="AJ364" i="12"/>
  <c r="Z364" i="12"/>
  <c r="M70" i="9"/>
  <c r="N70" i="9"/>
  <c r="O70" i="9" s="1"/>
  <c r="F23" i="2"/>
  <c r="AI253" i="12"/>
  <c r="AL556" i="12"/>
  <c r="AL306" i="12"/>
  <c r="AL446" i="12"/>
  <c r="Z451" i="12"/>
  <c r="AG451" i="12"/>
  <c r="AL451" i="12"/>
  <c r="AL523" i="12"/>
  <c r="AI523" i="12"/>
  <c r="Z523" i="12"/>
  <c r="Z236" i="12"/>
  <c r="AK236" i="12"/>
  <c r="AI236" i="12"/>
  <c r="AJ236" i="12"/>
  <c r="Z220" i="12"/>
  <c r="AL220" i="12"/>
  <c r="AK220" i="12"/>
  <c r="AI220" i="12"/>
  <c r="AG220" i="12"/>
  <c r="AJ220" i="12"/>
  <c r="AJ456" i="12"/>
  <c r="Z456" i="12"/>
  <c r="AK456" i="12"/>
  <c r="AL456" i="12"/>
  <c r="AI456" i="12"/>
  <c r="AL373" i="12"/>
  <c r="AK373" i="12"/>
  <c r="AG373" i="12"/>
  <c r="AJ373" i="12"/>
  <c r="AI373" i="12"/>
  <c r="Z373" i="12"/>
  <c r="Z379" i="12"/>
  <c r="AL379" i="12"/>
  <c r="AK379" i="12"/>
  <c r="AJ379" i="12"/>
  <c r="Z584" i="12"/>
  <c r="AK584" i="12"/>
  <c r="AG584" i="12"/>
  <c r="AJ584" i="12"/>
  <c r="AI584" i="12"/>
  <c r="Z212" i="12"/>
  <c r="AL212" i="12"/>
  <c r="AK212" i="12"/>
  <c r="AJ212" i="12"/>
  <c r="AI212" i="12"/>
  <c r="AG212" i="12"/>
  <c r="Z299" i="12"/>
  <c r="AJ299" i="12"/>
  <c r="AI299" i="12"/>
  <c r="AL299" i="12"/>
  <c r="AK299" i="12"/>
  <c r="Z631" i="12"/>
  <c r="AG631" i="12"/>
  <c r="AJ631" i="12"/>
  <c r="AI631" i="12"/>
  <c r="AL631" i="12"/>
  <c r="AK631" i="12"/>
  <c r="Z564" i="12"/>
  <c r="AL564" i="12"/>
  <c r="Z328" i="12"/>
  <c r="AJ328" i="12"/>
  <c r="AK328" i="12"/>
  <c r="AG328" i="12"/>
  <c r="AL328" i="12"/>
  <c r="Z704" i="12"/>
  <c r="AJ704" i="12"/>
  <c r="AI586" i="12"/>
  <c r="Z586" i="12"/>
  <c r="AK586" i="12"/>
  <c r="AJ586" i="12"/>
  <c r="AG586" i="12"/>
  <c r="AL586" i="12"/>
  <c r="Z647" i="12"/>
  <c r="AI647" i="12"/>
  <c r="AG647" i="12"/>
  <c r="AJ353" i="12"/>
  <c r="AG353" i="12"/>
  <c r="AL353" i="12"/>
  <c r="AK353" i="12"/>
  <c r="AI353" i="12"/>
  <c r="Z353" i="12"/>
  <c r="Z376" i="12"/>
  <c r="AJ376" i="12"/>
  <c r="AI376" i="12"/>
  <c r="AG376" i="12"/>
  <c r="AL376" i="12"/>
  <c r="AK376" i="12"/>
  <c r="AG721" i="12"/>
  <c r="AK721" i="12"/>
  <c r="AJ721" i="12"/>
  <c r="Z721" i="12"/>
  <c r="Z397" i="12"/>
  <c r="AL397" i="12"/>
  <c r="AJ659" i="12"/>
  <c r="AI659" i="12"/>
  <c r="Z659" i="12"/>
  <c r="AL659" i="12"/>
  <c r="AK659" i="12"/>
  <c r="AJ751" i="12"/>
  <c r="AL751" i="12"/>
  <c r="AI751" i="12"/>
  <c r="AG751" i="12"/>
  <c r="Z751" i="12"/>
  <c r="AK751" i="12"/>
  <c r="Z821" i="12"/>
  <c r="AJ821" i="12"/>
  <c r="AG821" i="12"/>
  <c r="Z573" i="12"/>
  <c r="AL573" i="12"/>
  <c r="AK573" i="12"/>
  <c r="AJ573" i="12"/>
  <c r="AI573" i="12"/>
  <c r="AG573" i="12"/>
  <c r="AL850" i="12"/>
  <c r="AK850" i="12"/>
  <c r="Z850" i="12"/>
  <c r="Z644" i="12"/>
  <c r="AI644" i="12"/>
  <c r="AG644" i="12"/>
  <c r="AL741" i="12"/>
  <c r="AI741" i="12"/>
  <c r="Z741" i="12"/>
  <c r="AG741" i="12"/>
  <c r="AK741" i="12"/>
  <c r="Z746" i="12"/>
  <c r="AJ746" i="12"/>
  <c r="AI746" i="12"/>
  <c r="AG746" i="12"/>
  <c r="AL746" i="12"/>
  <c r="AK746" i="12"/>
  <c r="AK811" i="12"/>
  <c r="Z811" i="12"/>
  <c r="AI811" i="12"/>
  <c r="AG811" i="12"/>
  <c r="AJ811" i="12"/>
  <c r="Z852" i="12"/>
  <c r="AI852" i="12"/>
  <c r="AG852" i="12"/>
  <c r="AL852" i="12"/>
  <c r="AK852" i="12"/>
  <c r="AJ852" i="12"/>
  <c r="Z777" i="12"/>
  <c r="AL777" i="12"/>
  <c r="AL217" i="12"/>
  <c r="AK576" i="12"/>
  <c r="AG157" i="12"/>
  <c r="H50" i="9"/>
  <c r="E29" i="2"/>
  <c r="N131" i="9"/>
  <c r="O131" i="9" s="1"/>
  <c r="M131" i="9"/>
  <c r="G175" i="9"/>
  <c r="I175" i="9"/>
  <c r="H175" i="9"/>
  <c r="J175" i="9" s="1"/>
  <c r="M66" i="9"/>
  <c r="G22" i="2"/>
  <c r="N66" i="9"/>
  <c r="O66" i="9" s="1"/>
  <c r="K189" i="9"/>
  <c r="L189" i="9"/>
  <c r="M189" i="9" s="1"/>
  <c r="K32" i="9"/>
  <c r="L21" i="9"/>
  <c r="K21" i="9"/>
  <c r="AL292" i="12"/>
  <c r="AK292" i="12"/>
  <c r="AJ292" i="12"/>
  <c r="AI292" i="12"/>
  <c r="AG292" i="12"/>
  <c r="Z292" i="12"/>
  <c r="Z549" i="12"/>
  <c r="AJ549" i="12"/>
  <c r="AL549" i="12"/>
  <c r="Z310" i="12"/>
  <c r="AI310" i="12"/>
  <c r="AL310" i="12"/>
  <c r="AJ310" i="12"/>
  <c r="AG310" i="12"/>
  <c r="Z713" i="12"/>
  <c r="AG713" i="12"/>
  <c r="AL713" i="12"/>
  <c r="AJ713" i="12"/>
  <c r="I177" i="9"/>
  <c r="H177" i="9"/>
  <c r="J177" i="9" s="1"/>
  <c r="AI688" i="12"/>
  <c r="Z398" i="12"/>
  <c r="AI398" i="12"/>
  <c r="AG398" i="12"/>
  <c r="AL398" i="12"/>
  <c r="AK398" i="12"/>
  <c r="AJ398" i="12"/>
  <c r="AL140" i="12"/>
  <c r="Z140" i="12"/>
  <c r="AK140" i="12"/>
  <c r="AJ140" i="12"/>
  <c r="AI140" i="12"/>
  <c r="AG140" i="12"/>
  <c r="Z470" i="12"/>
  <c r="AL470" i="12"/>
  <c r="AI470" i="12"/>
  <c r="AG470" i="12"/>
  <c r="AK470" i="12"/>
  <c r="AJ470" i="12"/>
  <c r="K170" i="9"/>
  <c r="L170" i="9"/>
  <c r="I94" i="9"/>
  <c r="H94" i="9"/>
  <c r="J94" i="9" s="1"/>
  <c r="G94" i="9"/>
  <c r="L160" i="9"/>
  <c r="M160" i="9" s="1"/>
  <c r="K160" i="9"/>
  <c r="K6" i="9"/>
  <c r="L6" i="9"/>
  <c r="N6" i="9" s="1"/>
  <c r="O6" i="9" s="1"/>
  <c r="K57" i="9"/>
  <c r="L57" i="9"/>
  <c r="M57" i="9" s="1"/>
  <c r="AI713" i="12"/>
  <c r="AJ625" i="12"/>
  <c r="Z51" i="12"/>
  <c r="AL51" i="12"/>
  <c r="AK51" i="12"/>
  <c r="AJ51" i="12"/>
  <c r="AI51" i="12"/>
  <c r="AG51" i="12"/>
  <c r="G130" i="9"/>
  <c r="H130" i="9"/>
  <c r="I130" i="9"/>
  <c r="I190" i="9"/>
  <c r="G190" i="9"/>
  <c r="L68" i="9"/>
  <c r="K68" i="9"/>
  <c r="H55" i="9"/>
  <c r="I55" i="9"/>
  <c r="G55" i="9"/>
  <c r="Z253" i="12"/>
  <c r="AK253" i="12"/>
  <c r="Z367" i="12"/>
  <c r="AJ367" i="12"/>
  <c r="AI367" i="12"/>
  <c r="AG367" i="12"/>
  <c r="AL367" i="12"/>
  <c r="AK367" i="12"/>
  <c r="Z506" i="12"/>
  <c r="AL506" i="12"/>
  <c r="AI506" i="12"/>
  <c r="AJ506" i="12"/>
  <c r="AK506" i="12"/>
  <c r="AG506" i="12"/>
  <c r="AJ510" i="12"/>
  <c r="AL510" i="12"/>
  <c r="AK510" i="12"/>
  <c r="AI510" i="12"/>
  <c r="Z510" i="12"/>
  <c r="AG510" i="12"/>
  <c r="Z337" i="12"/>
  <c r="AG337" i="12"/>
  <c r="AI337" i="12"/>
  <c r="AK337" i="12"/>
  <c r="Z733" i="12"/>
  <c r="AG733" i="12"/>
  <c r="AJ733" i="12"/>
  <c r="AI733" i="12"/>
  <c r="AK733" i="12"/>
  <c r="Z840" i="12"/>
  <c r="AK840" i="12"/>
  <c r="AJ840" i="12"/>
  <c r="AL840" i="12"/>
  <c r="AI840" i="12"/>
  <c r="AG723" i="12"/>
  <c r="AJ723" i="12"/>
  <c r="AI723" i="12"/>
  <c r="Z723" i="12"/>
  <c r="AL723" i="12"/>
  <c r="Z230" i="12"/>
  <c r="AG230" i="12"/>
  <c r="AL230" i="12"/>
  <c r="AK230" i="12"/>
  <c r="AJ230" i="12"/>
  <c r="Z218" i="12"/>
  <c r="AI218" i="12"/>
  <c r="AG218" i="12"/>
  <c r="AL218" i="12"/>
  <c r="AK218" i="12"/>
  <c r="AK347" i="12"/>
  <c r="AL347" i="12"/>
  <c r="AI347" i="12"/>
  <c r="Z347" i="12"/>
  <c r="AG347" i="12"/>
  <c r="Z662" i="12"/>
  <c r="AG662" i="12"/>
  <c r="K137" i="9"/>
  <c r="L137" i="9"/>
  <c r="N137" i="9" s="1"/>
  <c r="O137" i="9" s="1"/>
  <c r="AK775" i="12"/>
  <c r="AK172" i="12"/>
  <c r="AG448" i="12"/>
  <c r="AJ371" i="12"/>
  <c r="Z371" i="12"/>
  <c r="AL371" i="12"/>
  <c r="AK371" i="12"/>
  <c r="Z273" i="12"/>
  <c r="AL273" i="12"/>
  <c r="AK273" i="12"/>
  <c r="AJ273" i="12"/>
  <c r="AI273" i="12"/>
  <c r="Z539" i="12"/>
  <c r="AG539" i="12"/>
  <c r="AL812" i="12"/>
  <c r="AG812" i="12"/>
  <c r="AI812" i="12"/>
  <c r="Z812" i="12"/>
  <c r="AK812" i="12"/>
  <c r="AJ812" i="12"/>
  <c r="Z841" i="12"/>
  <c r="AK841" i="12"/>
  <c r="AG841" i="12"/>
  <c r="H171" i="9"/>
  <c r="AJ697" i="12"/>
  <c r="AL774" i="12"/>
  <c r="AG698" i="12"/>
  <c r="AK697" i="12"/>
  <c r="AG484" i="12"/>
  <c r="AL464" i="12"/>
  <c r="AJ446" i="12"/>
  <c r="Z261" i="12"/>
  <c r="AK261" i="12"/>
  <c r="AG261" i="12"/>
  <c r="AL261" i="12"/>
  <c r="AJ261" i="12"/>
  <c r="Z205" i="12"/>
  <c r="AI205" i="12"/>
  <c r="AL205" i="12"/>
  <c r="AG205" i="12"/>
  <c r="Z8" i="12"/>
  <c r="AL8" i="12"/>
  <c r="AJ8" i="12"/>
  <c r="AG8" i="12"/>
  <c r="AI8" i="12"/>
  <c r="AK8" i="12"/>
  <c r="Z350" i="12"/>
  <c r="AJ350" i="12"/>
  <c r="AI350" i="12"/>
  <c r="AL350" i="12"/>
  <c r="Z239" i="12"/>
  <c r="AJ239" i="12"/>
  <c r="AI239" i="12"/>
  <c r="AK239" i="12"/>
  <c r="AG239" i="12"/>
  <c r="Z231" i="12"/>
  <c r="AL231" i="12"/>
  <c r="AG231" i="12"/>
  <c r="AJ231" i="12"/>
  <c r="AI231" i="12"/>
  <c r="Z575" i="12"/>
  <c r="AL575" i="12"/>
  <c r="AG575" i="12"/>
  <c r="Z519" i="12"/>
  <c r="AG519" i="12"/>
  <c r="AI519" i="12"/>
  <c r="AG384" i="12"/>
  <c r="AL384" i="12"/>
  <c r="AI384" i="12"/>
  <c r="Z384" i="12"/>
  <c r="Z693" i="12"/>
  <c r="AK693" i="12"/>
  <c r="AG693" i="12"/>
  <c r="Z255" i="12"/>
  <c r="AK255" i="12"/>
  <c r="AL255" i="12"/>
  <c r="AG255" i="12"/>
  <c r="AJ255" i="12"/>
  <c r="AI255" i="12"/>
  <c r="AL325" i="12"/>
  <c r="AG325" i="12"/>
  <c r="AK325" i="12"/>
  <c r="AI325" i="12"/>
  <c r="Z325" i="12"/>
  <c r="AG545" i="12"/>
  <c r="AJ545" i="12"/>
  <c r="Z545" i="12"/>
  <c r="AK545" i="12"/>
  <c r="AI545" i="12"/>
  <c r="AG626" i="12"/>
  <c r="AL626" i="12"/>
  <c r="AK626" i="12"/>
  <c r="AJ626" i="12"/>
  <c r="AI626" i="12"/>
  <c r="Z626" i="12"/>
  <c r="Z343" i="12"/>
  <c r="AK343" i="12"/>
  <c r="AJ343" i="12"/>
  <c r="AI343" i="12"/>
  <c r="AG343" i="12"/>
  <c r="AL343" i="12"/>
  <c r="Z208" i="12"/>
  <c r="AK208" i="12"/>
  <c r="AJ208" i="12"/>
  <c r="AI208" i="12"/>
  <c r="AG208" i="12"/>
  <c r="AL208" i="12"/>
  <c r="AJ592" i="12"/>
  <c r="Z592" i="12"/>
  <c r="AK592" i="12"/>
  <c r="AG592" i="12"/>
  <c r="Z691" i="12"/>
  <c r="AI691" i="12"/>
  <c r="AL691" i="12"/>
  <c r="Z365" i="12"/>
  <c r="AL365" i="12"/>
  <c r="AL417" i="12"/>
  <c r="Z417" i="12"/>
  <c r="AK417" i="12"/>
  <c r="AJ417" i="12"/>
  <c r="AI417" i="12"/>
  <c r="AG417" i="12"/>
  <c r="Z677" i="12"/>
  <c r="AL677" i="12"/>
  <c r="AG677" i="12"/>
  <c r="AJ677" i="12"/>
  <c r="AK677" i="12"/>
  <c r="Z712" i="12"/>
  <c r="AJ712" i="12"/>
  <c r="AI712" i="12"/>
  <c r="Z748" i="12"/>
  <c r="AK748" i="12"/>
  <c r="AL748" i="12"/>
  <c r="AJ748" i="12"/>
  <c r="Z611" i="12"/>
  <c r="AL611" i="12"/>
  <c r="AK611" i="12"/>
  <c r="AJ611" i="12"/>
  <c r="AG611" i="12"/>
  <c r="AJ550" i="12"/>
  <c r="AL550" i="12"/>
  <c r="AK550" i="12"/>
  <c r="AI550" i="12"/>
  <c r="AG550" i="12"/>
  <c r="Z550" i="12"/>
  <c r="AK654" i="12"/>
  <c r="AL654" i="12"/>
  <c r="AJ654" i="12"/>
  <c r="AG654" i="12"/>
  <c r="AI654" i="12"/>
  <c r="Z760" i="12"/>
  <c r="AL760" i="12"/>
  <c r="AJ760" i="12"/>
  <c r="AI760" i="12"/>
  <c r="AG760" i="12"/>
  <c r="AK760" i="12"/>
  <c r="Z789" i="12"/>
  <c r="AI789" i="12"/>
  <c r="AG789" i="12"/>
  <c r="AK686" i="12"/>
  <c r="AJ686" i="12"/>
  <c r="AI686" i="12"/>
  <c r="AG686" i="12"/>
  <c r="Z686" i="12"/>
  <c r="AL686" i="12"/>
  <c r="Z855" i="12"/>
  <c r="AG855" i="12"/>
  <c r="AL855" i="12"/>
  <c r="AK855" i="12"/>
  <c r="AI217" i="12"/>
  <c r="AL576" i="12"/>
  <c r="AJ387" i="12"/>
  <c r="I50" i="9"/>
  <c r="M192" i="9"/>
  <c r="N192" i="9"/>
  <c r="O192" i="9" s="1"/>
  <c r="K81" i="9"/>
  <c r="L81" i="9"/>
  <c r="AG253" i="12"/>
  <c r="G47" i="2"/>
  <c r="J110" i="9"/>
  <c r="F46" i="2"/>
  <c r="H27" i="2"/>
  <c r="L9" i="9"/>
  <c r="N9" i="9" s="1"/>
  <c r="K9" i="9"/>
  <c r="C11" i="5"/>
  <c r="H51" i="9"/>
  <c r="I51" i="9"/>
  <c r="G13" i="2"/>
  <c r="Z415" i="12"/>
  <c r="AK415" i="12"/>
  <c r="AL415" i="12"/>
  <c r="Z458" i="12"/>
  <c r="AK458" i="12"/>
  <c r="AJ458" i="12"/>
  <c r="AL83" i="12"/>
  <c r="AK83" i="12"/>
  <c r="AJ83" i="12"/>
  <c r="Z83" i="12"/>
  <c r="AI83" i="12"/>
  <c r="AG83" i="12"/>
  <c r="Z496" i="12"/>
  <c r="AL496" i="12"/>
  <c r="AK496" i="12"/>
  <c r="AG496" i="12"/>
  <c r="AJ496" i="12"/>
  <c r="AI496" i="12"/>
  <c r="AK708" i="12"/>
  <c r="AJ708" i="12"/>
  <c r="AI708" i="12"/>
  <c r="AG708" i="12"/>
  <c r="AL708" i="12"/>
  <c r="Z708" i="12"/>
  <c r="Z632" i="12"/>
  <c r="AI632" i="12"/>
  <c r="AG632" i="12"/>
  <c r="AK632" i="12"/>
  <c r="AJ632" i="12"/>
  <c r="Z577" i="12"/>
  <c r="AL577" i="12"/>
  <c r="AG577" i="12"/>
  <c r="AI577" i="12"/>
  <c r="AK577" i="12"/>
  <c r="AJ577" i="12"/>
  <c r="Z532" i="12"/>
  <c r="AJ532" i="12"/>
  <c r="AG532" i="12"/>
  <c r="AK532" i="12"/>
  <c r="AI532" i="12"/>
  <c r="AL532" i="12"/>
  <c r="Z494" i="12"/>
  <c r="AL494" i="12"/>
  <c r="AK494" i="12"/>
  <c r="AJ494" i="12"/>
  <c r="AI494" i="12"/>
  <c r="AK666" i="12"/>
  <c r="AJ666" i="12"/>
  <c r="AI666" i="12"/>
  <c r="AL666" i="12"/>
  <c r="Z666" i="12"/>
  <c r="AG666" i="12"/>
  <c r="AK642" i="12"/>
  <c r="Z642" i="12"/>
  <c r="AL642" i="12"/>
  <c r="AI642" i="12"/>
  <c r="AG642" i="12"/>
  <c r="Z798" i="12"/>
  <c r="AL798" i="12"/>
  <c r="AK798" i="12"/>
  <c r="AJ798" i="12"/>
  <c r="AI798" i="12"/>
  <c r="AG798" i="12"/>
  <c r="Z826" i="12"/>
  <c r="AL826" i="12"/>
  <c r="AK826" i="12"/>
  <c r="AJ826" i="12"/>
  <c r="AL816" i="12"/>
  <c r="AK816" i="12"/>
  <c r="AI816" i="12"/>
  <c r="AG816" i="12"/>
  <c r="Z816" i="12"/>
  <c r="AJ816" i="12"/>
  <c r="AG737" i="12"/>
  <c r="Z275" i="12"/>
  <c r="AL275" i="12"/>
  <c r="AK275" i="12"/>
  <c r="AI275" i="12"/>
  <c r="AG275" i="12"/>
  <c r="Z104" i="12"/>
  <c r="AL104" i="12"/>
  <c r="AK104" i="12"/>
  <c r="AJ104" i="12"/>
  <c r="AI104" i="12"/>
  <c r="AG104" i="12"/>
  <c r="Z198" i="12"/>
  <c r="AG198" i="12"/>
  <c r="AJ198" i="12"/>
  <c r="AI198" i="12"/>
  <c r="AK198" i="12"/>
  <c r="AL198" i="12"/>
  <c r="Z453" i="12"/>
  <c r="AL453" i="12"/>
  <c r="AJ453" i="12"/>
  <c r="AI453" i="12"/>
  <c r="Z514" i="12"/>
  <c r="AK514" i="12"/>
  <c r="AG514" i="12"/>
  <c r="AI514" i="12"/>
  <c r="AL514" i="12"/>
  <c r="AJ514" i="12"/>
  <c r="AL653" i="12"/>
  <c r="AK653" i="12"/>
  <c r="AG653" i="12"/>
  <c r="AJ653" i="12"/>
  <c r="AI653" i="12"/>
  <c r="Z728" i="12"/>
  <c r="AK728" i="12"/>
  <c r="AL728" i="12"/>
  <c r="AJ728" i="12"/>
  <c r="AG728" i="12"/>
  <c r="Z854" i="12"/>
  <c r="AL854" i="12"/>
  <c r="AK854" i="12"/>
  <c r="AJ854" i="12"/>
  <c r="AI854" i="12"/>
  <c r="AK634" i="12"/>
  <c r="AI415" i="12"/>
  <c r="AG487" i="12"/>
  <c r="Z148" i="12"/>
  <c r="AL148" i="12"/>
  <c r="AK148" i="12"/>
  <c r="Z548" i="12"/>
  <c r="AK548" i="12"/>
  <c r="AJ548" i="12"/>
  <c r="AI548" i="12"/>
  <c r="Z640" i="12"/>
  <c r="AK640" i="12"/>
  <c r="AJ640" i="12"/>
  <c r="AI640" i="12"/>
  <c r="AG640" i="12"/>
  <c r="AK445" i="12"/>
  <c r="AJ445" i="12"/>
  <c r="AG445" i="12"/>
  <c r="AL445" i="12"/>
  <c r="Z445" i="12"/>
  <c r="Z709" i="12"/>
  <c r="AL709" i="12"/>
  <c r="AK709" i="12"/>
  <c r="AJ709" i="12"/>
  <c r="AG709" i="12"/>
  <c r="AI709" i="12"/>
  <c r="N20" i="9"/>
  <c r="O20" i="9" s="1"/>
  <c r="AJ326" i="12"/>
  <c r="AK326" i="12"/>
  <c r="AI326" i="12"/>
  <c r="Z26" i="12"/>
  <c r="AK26" i="12"/>
  <c r="AJ26" i="12"/>
  <c r="AI26" i="12"/>
  <c r="AG26" i="12"/>
  <c r="AL635" i="12"/>
  <c r="AG635" i="12"/>
  <c r="AK635" i="12"/>
  <c r="AJ635" i="12"/>
  <c r="AI312" i="12"/>
  <c r="AJ312" i="12"/>
  <c r="AG312" i="12"/>
  <c r="Z312" i="12"/>
  <c r="AL312" i="12"/>
  <c r="AK312" i="12"/>
  <c r="Z667" i="12"/>
  <c r="AI667" i="12"/>
  <c r="AG667" i="12"/>
  <c r="AJ667" i="12"/>
  <c r="AG627" i="12"/>
  <c r="AI627" i="12"/>
  <c r="AJ627" i="12"/>
  <c r="Z554" i="12"/>
  <c r="AK554" i="12"/>
  <c r="AL554" i="12"/>
  <c r="AI554" i="12"/>
  <c r="AG554" i="12"/>
  <c r="AJ554" i="12"/>
  <c r="Z827" i="12"/>
  <c r="AL827" i="12"/>
  <c r="AK827" i="12"/>
  <c r="AJ810" i="12"/>
  <c r="L167" i="9"/>
  <c r="K167" i="9"/>
  <c r="H42" i="2"/>
  <c r="Z76" i="12"/>
  <c r="AK76" i="12"/>
  <c r="AJ76" i="12"/>
  <c r="AI76" i="12"/>
  <c r="AL76" i="12"/>
  <c r="K44" i="9"/>
  <c r="L44" i="9"/>
  <c r="E18" i="2"/>
  <c r="N108" i="9"/>
  <c r="O108" i="9" s="1"/>
  <c r="G24" i="9"/>
  <c r="I24" i="9"/>
  <c r="H24" i="9"/>
  <c r="J24" i="9" s="1"/>
  <c r="AK453" i="12"/>
  <c r="AJ20" i="12"/>
  <c r="AL20" i="12"/>
  <c r="AK20" i="12"/>
  <c r="AI20" i="12"/>
  <c r="Z20" i="12"/>
  <c r="AG20" i="12"/>
  <c r="L99" i="9"/>
  <c r="M99" i="9" s="1"/>
  <c r="K99" i="9"/>
  <c r="F27" i="2"/>
  <c r="AK489" i="12"/>
  <c r="AG489" i="12"/>
  <c r="AL489" i="12"/>
  <c r="AI489" i="12"/>
  <c r="Z489" i="12"/>
  <c r="AI287" i="12"/>
  <c r="AL287" i="12"/>
  <c r="AK287" i="12"/>
  <c r="AG287" i="12"/>
  <c r="Z287" i="12"/>
  <c r="AJ287" i="12"/>
  <c r="Z340" i="12"/>
  <c r="AG340" i="12"/>
  <c r="AL340" i="12"/>
  <c r="Z271" i="12"/>
  <c r="AJ271" i="12"/>
  <c r="AI271" i="12"/>
  <c r="AK271" i="12"/>
  <c r="Z502" i="12"/>
  <c r="AL502" i="12"/>
  <c r="AK502" i="12"/>
  <c r="AI502" i="12"/>
  <c r="AJ502" i="12"/>
  <c r="AG502" i="12"/>
  <c r="AL641" i="12"/>
  <c r="AG641" i="12"/>
  <c r="Z641" i="12"/>
  <c r="AK641" i="12"/>
  <c r="AJ641" i="12"/>
  <c r="AL742" i="12"/>
  <c r="AK742" i="12"/>
  <c r="AG742" i="12"/>
  <c r="Z742" i="12"/>
  <c r="AJ742" i="12"/>
  <c r="AI742" i="12"/>
  <c r="AL782" i="12"/>
  <c r="AJ782" i="12"/>
  <c r="AG782" i="12"/>
  <c r="Z782" i="12"/>
  <c r="Z807" i="12"/>
  <c r="AG807" i="12"/>
  <c r="AL807" i="12"/>
  <c r="Z804" i="12"/>
  <c r="AG804" i="12"/>
  <c r="G177" i="9"/>
  <c r="AL336" i="12"/>
  <c r="Z336" i="12"/>
  <c r="AK336" i="12"/>
  <c r="AI336" i="12"/>
  <c r="AJ336" i="12"/>
  <c r="Z394" i="12"/>
  <c r="AJ394" i="12"/>
  <c r="AI394" i="12"/>
  <c r="AG394" i="12"/>
  <c r="Z533" i="12"/>
  <c r="AG533" i="12"/>
  <c r="AL533" i="12"/>
  <c r="AK533" i="12"/>
  <c r="Z563" i="12"/>
  <c r="AL563" i="12"/>
  <c r="AI563" i="12"/>
  <c r="AK563" i="12"/>
  <c r="AL341" i="12"/>
  <c r="AJ341" i="12"/>
  <c r="AI341" i="12"/>
  <c r="AG341" i="12"/>
  <c r="Z341" i="12"/>
  <c r="AK341" i="12"/>
  <c r="Z357" i="12"/>
  <c r="AI357" i="12"/>
  <c r="AG357" i="12"/>
  <c r="Z778" i="12"/>
  <c r="AI778" i="12"/>
  <c r="AJ778" i="12"/>
  <c r="AK778" i="12"/>
  <c r="AG778" i="12"/>
  <c r="AI830" i="12"/>
  <c r="AG830" i="12"/>
  <c r="Z830" i="12"/>
  <c r="AK830" i="12"/>
  <c r="AJ830" i="12"/>
  <c r="Z690" i="12"/>
  <c r="AI690" i="12"/>
  <c r="AG690" i="12"/>
  <c r="AK690" i="12"/>
  <c r="AL690" i="12"/>
  <c r="AJ690" i="12"/>
  <c r="Z823" i="12"/>
  <c r="AI823" i="12"/>
  <c r="Z818" i="12"/>
  <c r="AG818" i="12"/>
  <c r="Z286" i="12"/>
  <c r="AL286" i="12"/>
  <c r="AK286" i="12"/>
  <c r="AI286" i="12"/>
  <c r="L77" i="9"/>
  <c r="K77" i="9"/>
  <c r="AJ804" i="12"/>
  <c r="AK759" i="12"/>
  <c r="AL725" i="12"/>
  <c r="AL526" i="12"/>
  <c r="AI604" i="12"/>
  <c r="AI516" i="12"/>
  <c r="AK516" i="12"/>
  <c r="AJ516" i="12"/>
  <c r="AG516" i="12"/>
  <c r="Z516" i="12"/>
  <c r="AL516" i="12"/>
  <c r="AK435" i="12"/>
  <c r="AG435" i="12"/>
  <c r="Z435" i="12"/>
  <c r="AL435" i="12"/>
  <c r="Z579" i="12"/>
  <c r="AK579" i="12"/>
  <c r="Z557" i="12"/>
  <c r="AJ557" i="12"/>
  <c r="AI557" i="12"/>
  <c r="AG557" i="12"/>
  <c r="AK557" i="12"/>
  <c r="AL557" i="12"/>
  <c r="Z614" i="12"/>
  <c r="AJ614" i="12"/>
  <c r="AI614" i="12"/>
  <c r="Z819" i="12"/>
  <c r="AJ819" i="12"/>
  <c r="AK819" i="12"/>
  <c r="Z621" i="12"/>
  <c r="AG621" i="12"/>
  <c r="AJ621" i="12"/>
  <c r="Z800" i="12"/>
  <c r="AK800" i="12"/>
  <c r="AL800" i="12"/>
  <c r="AI800" i="12"/>
  <c r="AJ800" i="12"/>
  <c r="AJ148" i="12"/>
  <c r="N45" i="9"/>
  <c r="O45" i="9" s="1"/>
  <c r="AK667" i="12"/>
  <c r="AJ565" i="12"/>
  <c r="AG369" i="12"/>
  <c r="AG549" i="12"/>
  <c r="AI348" i="12"/>
  <c r="AL667" i="12"/>
  <c r="AJ775" i="12"/>
  <c r="AI579" i="12"/>
  <c r="AJ523" i="12"/>
  <c r="AK528" i="12"/>
  <c r="AI505" i="12"/>
  <c r="AK549" i="12"/>
  <c r="AG854" i="12"/>
  <c r="AL818" i="12"/>
  <c r="AG826" i="12"/>
  <c r="AJ741" i="12"/>
  <c r="AG730" i="12"/>
  <c r="AJ698" i="12"/>
  <c r="AL804" i="12"/>
  <c r="AG697" i="12"/>
  <c r="AJ579" i="12"/>
  <c r="AJ639" i="12"/>
  <c r="AJ647" i="12"/>
  <c r="AI308" i="12"/>
  <c r="AI549" i="12"/>
  <c r="AG454" i="12"/>
  <c r="Z249" i="12"/>
  <c r="AL249" i="12"/>
  <c r="AG249" i="12"/>
  <c r="AK249" i="12"/>
  <c r="AJ249" i="12"/>
  <c r="AI249" i="12"/>
  <c r="AJ217" i="12"/>
  <c r="AL387" i="12"/>
  <c r="AG379" i="12"/>
  <c r="G109" i="9"/>
  <c r="I109" i="9"/>
  <c r="H109" i="9"/>
  <c r="J109" i="9" s="1"/>
  <c r="K61" i="9"/>
  <c r="L61" i="9"/>
  <c r="G21" i="2"/>
  <c r="K192" i="9"/>
  <c r="AL253" i="12"/>
  <c r="I17" i="9"/>
  <c r="H17" i="9"/>
  <c r="G17" i="9"/>
  <c r="N191" i="9"/>
  <c r="O191" i="9" s="1"/>
  <c r="J69" i="9"/>
  <c r="H15" i="2"/>
  <c r="N32" i="9"/>
  <c r="O32" i="9" s="1"/>
  <c r="M32" i="9"/>
  <c r="I29" i="2"/>
  <c r="M103" i="9"/>
  <c r="N103" i="9"/>
  <c r="O103" i="9" s="1"/>
  <c r="Z737" i="12"/>
  <c r="AJ737" i="12"/>
  <c r="AI737" i="12"/>
  <c r="I156" i="9"/>
  <c r="G156" i="9"/>
  <c r="H156" i="9"/>
  <c r="AK115" i="12"/>
  <c r="AL115" i="12"/>
  <c r="AJ115" i="12"/>
  <c r="AI115" i="12"/>
  <c r="Z115" i="12"/>
  <c r="AG115" i="12"/>
  <c r="Z467" i="12"/>
  <c r="AK467" i="12"/>
  <c r="AG467" i="12"/>
  <c r="Z572" i="12"/>
  <c r="AG572" i="12"/>
  <c r="AI572" i="12"/>
  <c r="AK572" i="12"/>
  <c r="Z276" i="12"/>
  <c r="AK276" i="12"/>
  <c r="AJ276" i="12"/>
  <c r="Z378" i="12"/>
  <c r="AL378" i="12"/>
  <c r="AK378" i="12"/>
  <c r="Z558" i="12"/>
  <c r="AG558" i="12"/>
  <c r="AI558" i="12"/>
  <c r="AK558" i="12"/>
  <c r="Z689" i="12"/>
  <c r="AJ689" i="12"/>
  <c r="AL689" i="12"/>
  <c r="AK689" i="12"/>
  <c r="AI689" i="12"/>
  <c r="AG689" i="12"/>
  <c r="AK737" i="12"/>
  <c r="Z256" i="12"/>
  <c r="AK256" i="12"/>
  <c r="AJ256" i="12"/>
  <c r="AI256" i="12"/>
  <c r="AL256" i="12"/>
  <c r="AG256" i="12"/>
  <c r="Z576" i="12"/>
  <c r="AJ576" i="12"/>
  <c r="AK684" i="12"/>
  <c r="Z684" i="12"/>
  <c r="AJ684" i="12"/>
  <c r="AI684" i="12"/>
  <c r="AG684" i="12"/>
  <c r="AL684" i="12"/>
  <c r="AI791" i="12"/>
  <c r="AG791" i="12"/>
  <c r="AK791" i="12"/>
  <c r="AJ791" i="12"/>
  <c r="AL791" i="12"/>
  <c r="Z124" i="12"/>
  <c r="AG124" i="12"/>
  <c r="AL124" i="12"/>
  <c r="AK124" i="12"/>
  <c r="AJ124" i="12"/>
  <c r="AI124" i="12"/>
  <c r="AJ128" i="12"/>
  <c r="AI128" i="12"/>
  <c r="Z128" i="12"/>
  <c r="AK128" i="12"/>
  <c r="Z234" i="12"/>
  <c r="AK234" i="12"/>
  <c r="AJ234" i="12"/>
  <c r="AI234" i="12"/>
  <c r="AG234" i="12"/>
  <c r="AJ374" i="12"/>
  <c r="AI374" i="12"/>
  <c r="AG374" i="12"/>
  <c r="AK374" i="12"/>
  <c r="Z374" i="12"/>
  <c r="Z604" i="12"/>
  <c r="AL604" i="12"/>
  <c r="AK604" i="12"/>
  <c r="AL795" i="12"/>
  <c r="AK795" i="12"/>
  <c r="AJ795" i="12"/>
  <c r="AG795" i="12"/>
  <c r="M97" i="9"/>
  <c r="AJ415" i="12"/>
  <c r="AG326" i="12"/>
  <c r="AJ378" i="12"/>
  <c r="AL301" i="12"/>
  <c r="AJ556" i="12"/>
  <c r="AJ568" i="12"/>
  <c r="Z87" i="12"/>
  <c r="AL87" i="12"/>
  <c r="AK87" i="12"/>
  <c r="AJ87" i="12"/>
  <c r="AI87" i="12"/>
  <c r="AK247" i="12"/>
  <c r="AI247" i="12"/>
  <c r="AG247" i="12"/>
  <c r="AL247" i="12"/>
  <c r="AJ247" i="12"/>
  <c r="Z247" i="12"/>
  <c r="AJ680" i="12"/>
  <c r="AG680" i="12"/>
  <c r="Z680" i="12"/>
  <c r="AK680" i="12"/>
  <c r="Z670" i="12"/>
  <c r="AK670" i="12"/>
  <c r="AJ670" i="12"/>
  <c r="AI670" i="12"/>
  <c r="AG670" i="12"/>
  <c r="L180" i="9"/>
  <c r="M180" i="9" s="1"/>
  <c r="AI775" i="12"/>
  <c r="AI598" i="12"/>
  <c r="AG625" i="12"/>
  <c r="AG556" i="12"/>
  <c r="AL568" i="12"/>
  <c r="Z316" i="12"/>
  <c r="AK316" i="12"/>
  <c r="AJ316" i="12"/>
  <c r="AL316" i="12"/>
  <c r="AI316" i="12"/>
  <c r="AG316" i="12"/>
  <c r="Z130" i="12"/>
  <c r="AL130" i="12"/>
  <c r="AI130" i="12"/>
  <c r="AK130" i="12"/>
  <c r="AJ130" i="12"/>
  <c r="AG130" i="12"/>
  <c r="Z521" i="12"/>
  <c r="AK521" i="12"/>
  <c r="AJ521" i="12"/>
  <c r="AG521" i="12"/>
  <c r="Z615" i="12"/>
  <c r="AL615" i="12"/>
  <c r="AK615" i="12"/>
  <c r="AG615" i="12"/>
  <c r="Z460" i="12"/>
  <c r="AG460" i="12"/>
  <c r="AI460" i="12"/>
  <c r="AJ460" i="12"/>
  <c r="AL460" i="12"/>
  <c r="AK460" i="12"/>
  <c r="Z711" i="12"/>
  <c r="AG711" i="12"/>
  <c r="AJ711" i="12"/>
  <c r="AL711" i="12"/>
  <c r="Z783" i="12"/>
  <c r="AI783" i="12"/>
  <c r="AK783" i="12"/>
  <c r="AJ783" i="12"/>
  <c r="AG783" i="12"/>
  <c r="Z838" i="12"/>
  <c r="AL838" i="12"/>
  <c r="AG838" i="12"/>
  <c r="G136" i="9"/>
  <c r="I136" i="9"/>
  <c r="H136" i="9"/>
  <c r="I35" i="2"/>
  <c r="F18" i="2"/>
  <c r="AK556" i="12"/>
  <c r="AK277" i="12"/>
  <c r="AL277" i="12"/>
  <c r="AJ277" i="12"/>
  <c r="AI277" i="12"/>
  <c r="Z277" i="12"/>
  <c r="AG277" i="12"/>
  <c r="Z188" i="12"/>
  <c r="AJ188" i="12"/>
  <c r="AI188" i="12"/>
  <c r="AK188" i="12"/>
  <c r="AG188" i="12"/>
  <c r="AJ399" i="12"/>
  <c r="AI399" i="12"/>
  <c r="AG399" i="12"/>
  <c r="AL399" i="12"/>
  <c r="Z399" i="12"/>
  <c r="AK399" i="12"/>
  <c r="AI507" i="12"/>
  <c r="Z507" i="12"/>
  <c r="AL507" i="12"/>
  <c r="AJ507" i="12"/>
  <c r="AG507" i="12"/>
  <c r="Z617" i="12"/>
  <c r="AG617" i="12"/>
  <c r="AL617" i="12"/>
  <c r="AK617" i="12"/>
  <c r="AI617" i="12"/>
  <c r="Z320" i="12"/>
  <c r="AG320" i="12"/>
  <c r="AI320" i="12"/>
  <c r="Z565" i="12"/>
  <c r="AG565" i="12"/>
  <c r="AL565" i="12"/>
  <c r="AI565" i="12"/>
  <c r="Z658" i="12"/>
  <c r="AL658" i="12"/>
  <c r="AK658" i="12"/>
  <c r="Z732" i="12"/>
  <c r="AJ732" i="12"/>
  <c r="Z756" i="12"/>
  <c r="AK756" i="12"/>
  <c r="Z695" i="12"/>
  <c r="AL695" i="12"/>
  <c r="AK695" i="12"/>
  <c r="AJ695" i="12"/>
  <c r="AI695" i="12"/>
  <c r="Z710" i="12"/>
  <c r="AK710" i="12"/>
  <c r="AJ710" i="12"/>
  <c r="AI710" i="12"/>
  <c r="AG710" i="12"/>
  <c r="AL710" i="12"/>
  <c r="Z836" i="12"/>
  <c r="AK836" i="12"/>
  <c r="AL836" i="12"/>
  <c r="AI836" i="12"/>
  <c r="AJ836" i="12"/>
  <c r="AG836" i="12"/>
  <c r="AG576" i="12"/>
  <c r="AG276" i="12"/>
  <c r="AI148" i="12"/>
  <c r="L91" i="9"/>
  <c r="K91" i="9"/>
  <c r="AI804" i="12"/>
  <c r="AL759" i="12"/>
  <c r="AL775" i="12"/>
  <c r="AI826" i="12"/>
  <c r="AI680" i="12"/>
  <c r="AG659" i="12"/>
  <c r="AG775" i="12"/>
  <c r="AL579" i="12"/>
  <c r="AK621" i="12"/>
  <c r="AK647" i="12"/>
  <c r="AI539" i="12"/>
  <c r="AK310" i="12"/>
  <c r="AG458" i="12"/>
  <c r="AI559" i="12"/>
  <c r="AJ519" i="12"/>
  <c r="AI464" i="12"/>
  <c r="AL102" i="12"/>
  <c r="AI102" i="12"/>
  <c r="Z102" i="12"/>
  <c r="AK102" i="12"/>
  <c r="AG102" i="12"/>
  <c r="AJ102" i="12"/>
  <c r="AJ377" i="12"/>
  <c r="AK217" i="12"/>
  <c r="AJ558" i="12"/>
  <c r="AI509" i="12"/>
  <c r="AI280" i="12"/>
  <c r="H30" i="2"/>
  <c r="N107" i="9"/>
  <c r="O107" i="9" s="1"/>
  <c r="M107" i="9"/>
  <c r="H145" i="9"/>
  <c r="J145" i="9" s="1"/>
  <c r="G145" i="9"/>
  <c r="I16" i="2"/>
  <c r="L38" i="9"/>
  <c r="K38" i="9"/>
  <c r="H47" i="2"/>
  <c r="H14" i="5"/>
  <c r="Z483" i="12"/>
  <c r="AL483" i="12"/>
  <c r="AK483" i="12"/>
  <c r="AJ483" i="12"/>
  <c r="Z538" i="12"/>
  <c r="AL538" i="12"/>
  <c r="AK538" i="12"/>
  <c r="AI538" i="12"/>
  <c r="L98" i="9"/>
  <c r="K98" i="9"/>
  <c r="I28" i="2"/>
  <c r="AG415" i="12"/>
  <c r="AL540" i="12"/>
  <c r="AK540" i="12"/>
  <c r="Z540" i="12"/>
  <c r="AG540" i="12"/>
  <c r="AJ540" i="12"/>
  <c r="AI540" i="12"/>
  <c r="AL342" i="12"/>
  <c r="AK342" i="12"/>
  <c r="AJ342" i="12"/>
  <c r="AI342" i="12"/>
  <c r="AG342" i="12"/>
  <c r="Z342" i="12"/>
  <c r="AJ433" i="12"/>
  <c r="AG433" i="12"/>
  <c r="AI433" i="12"/>
  <c r="Z433" i="12"/>
  <c r="AK433" i="12"/>
  <c r="AL433" i="12"/>
  <c r="Z835" i="12"/>
  <c r="AJ835" i="12"/>
  <c r="Z116" i="12"/>
  <c r="AI116" i="12"/>
  <c r="AL116" i="12"/>
  <c r="AK116" i="12"/>
  <c r="AJ116" i="12"/>
  <c r="AG116" i="12"/>
  <c r="AI526" i="12"/>
  <c r="AK526" i="12"/>
  <c r="Z526" i="12"/>
  <c r="AL375" i="12"/>
  <c r="Z375" i="12"/>
  <c r="AK375" i="12"/>
  <c r="AJ375" i="12"/>
  <c r="AI375" i="12"/>
  <c r="AG375" i="12"/>
  <c r="Z389" i="12"/>
  <c r="AL389" i="12"/>
  <c r="AK389" i="12"/>
  <c r="AI389" i="12"/>
  <c r="AG389" i="12"/>
  <c r="Z593" i="12"/>
  <c r="AI593" i="12"/>
  <c r="AG593" i="12"/>
  <c r="Z578" i="12"/>
  <c r="AL578" i="12"/>
  <c r="AK578" i="12"/>
  <c r="AJ578" i="12"/>
  <c r="AI578" i="12"/>
  <c r="AG578" i="12"/>
  <c r="AI609" i="12"/>
  <c r="Z609" i="12"/>
  <c r="AL609" i="12"/>
  <c r="AK609" i="12"/>
  <c r="AJ609" i="12"/>
  <c r="AG609" i="12"/>
  <c r="Z730" i="12"/>
  <c r="AL730" i="12"/>
  <c r="AK730" i="12"/>
  <c r="M135" i="9"/>
  <c r="N135" i="9"/>
  <c r="O135" i="9" s="1"/>
  <c r="F36" i="2"/>
  <c r="L92" i="9"/>
  <c r="N92" i="9" s="1"/>
  <c r="O92" i="9" s="1"/>
  <c r="K92" i="9"/>
  <c r="AJ487" i="12"/>
  <c r="AK85" i="12"/>
  <c r="AJ85" i="12"/>
  <c r="AI85" i="12"/>
  <c r="Z85" i="12"/>
  <c r="AG85" i="12"/>
  <c r="AL85" i="12"/>
  <c r="Z561" i="12"/>
  <c r="AG561" i="12"/>
  <c r="AK561" i="12"/>
  <c r="AJ561" i="12"/>
  <c r="AL561" i="12"/>
  <c r="AL381" i="12"/>
  <c r="AK381" i="12"/>
  <c r="AJ381" i="12"/>
  <c r="Z381" i="12"/>
  <c r="AG381" i="12"/>
  <c r="AI381" i="12"/>
  <c r="Z622" i="12"/>
  <c r="AG622" i="12"/>
  <c r="AI622" i="12"/>
  <c r="AL622" i="12"/>
  <c r="AK622" i="12"/>
  <c r="Z725" i="12"/>
  <c r="AK725" i="12"/>
  <c r="AK754" i="12"/>
  <c r="AJ754" i="12"/>
  <c r="AI754" i="12"/>
  <c r="Z754" i="12"/>
  <c r="AL754" i="12"/>
  <c r="G45" i="2"/>
  <c r="N181" i="9"/>
  <c r="O181" i="9" s="1"/>
  <c r="M181" i="9"/>
  <c r="AI764" i="12"/>
  <c r="AK713" i="12"/>
  <c r="AJ275" i="12"/>
  <c r="AL467" i="12"/>
  <c r="AG378" i="12"/>
  <c r="AL181" i="12"/>
  <c r="AK181" i="12"/>
  <c r="Z181" i="12"/>
  <c r="AI181" i="12"/>
  <c r="AJ181" i="12"/>
  <c r="AG181" i="12"/>
  <c r="Z136" i="12"/>
  <c r="AG136" i="12"/>
  <c r="AJ136" i="12"/>
  <c r="AI136" i="12"/>
  <c r="Z321" i="12"/>
  <c r="AJ321" i="12"/>
  <c r="AI321" i="12"/>
  <c r="AK321" i="12"/>
  <c r="L96" i="9"/>
  <c r="K96" i="9"/>
  <c r="G28" i="2"/>
  <c r="AL448" i="12"/>
  <c r="AK178" i="12"/>
  <c r="AJ178" i="12"/>
  <c r="AG178" i="12"/>
  <c r="AI178" i="12"/>
  <c r="AL178" i="12"/>
  <c r="AI759" i="12"/>
  <c r="AK593" i="12"/>
  <c r="AG604" i="12"/>
  <c r="AI467" i="12"/>
  <c r="Z165" i="12"/>
  <c r="AK165" i="12"/>
  <c r="AJ165" i="12"/>
  <c r="AL165" i="12"/>
  <c r="AI165" i="12"/>
  <c r="AG165" i="12"/>
  <c r="Z306" i="12"/>
  <c r="AJ306" i="12"/>
  <c r="AI306" i="12"/>
  <c r="AK306" i="12"/>
  <c r="Z512" i="12"/>
  <c r="AK512" i="12"/>
  <c r="AJ512" i="12"/>
  <c r="Z446" i="12"/>
  <c r="AI446" i="12"/>
  <c r="AG657" i="12"/>
  <c r="Z657" i="12"/>
  <c r="AL657" i="12"/>
  <c r="AK657" i="12"/>
  <c r="Z679" i="12"/>
  <c r="AJ679" i="12"/>
  <c r="AI679" i="12"/>
  <c r="AJ629" i="12"/>
  <c r="AI629" i="12"/>
  <c r="Z629" i="12"/>
  <c r="AG629" i="12"/>
  <c r="AK806" i="12"/>
  <c r="AJ806" i="12"/>
  <c r="AL293" i="12"/>
  <c r="AK293" i="12"/>
  <c r="AG293" i="12"/>
  <c r="Z293" i="12"/>
  <c r="AJ293" i="12"/>
  <c r="AI293" i="12"/>
  <c r="M64" i="9"/>
  <c r="E22" i="2"/>
  <c r="Z177" i="12"/>
  <c r="AG177" i="12"/>
  <c r="AL177" i="12"/>
  <c r="AK177" i="12"/>
  <c r="AI177" i="12"/>
  <c r="Z153" i="12"/>
  <c r="AK153" i="12"/>
  <c r="AJ153" i="12"/>
  <c r="AI153" i="12"/>
  <c r="AG153" i="12"/>
  <c r="AL153" i="12"/>
  <c r="Z639" i="12"/>
  <c r="AL639" i="12"/>
  <c r="AI639" i="12"/>
  <c r="AL830" i="12"/>
  <c r="AJ730" i="12"/>
  <c r="AL680" i="12"/>
  <c r="AL629" i="12"/>
  <c r="AG639" i="12"/>
  <c r="AL621" i="12"/>
  <c r="AI458" i="12"/>
  <c r="AJ467" i="12"/>
  <c r="Z97" i="12"/>
  <c r="AK97" i="12"/>
  <c r="AJ97" i="12"/>
  <c r="AI97" i="12"/>
  <c r="Z440" i="12"/>
  <c r="AJ440" i="12"/>
  <c r="AL44" i="12"/>
  <c r="Z44" i="12"/>
  <c r="AJ44" i="12"/>
  <c r="AI44" i="12"/>
  <c r="AG44" i="12"/>
  <c r="AK44" i="12"/>
  <c r="AJ469" i="12"/>
  <c r="AI469" i="12"/>
  <c r="AG469" i="12"/>
  <c r="Z469" i="12"/>
  <c r="AK469" i="12"/>
  <c r="AL469" i="12"/>
  <c r="AK351" i="12"/>
  <c r="AJ351" i="12"/>
  <c r="AI351" i="12"/>
  <c r="AG351" i="12"/>
  <c r="Z351" i="12"/>
  <c r="AJ268" i="12"/>
  <c r="Z268" i="12"/>
  <c r="AL268" i="12"/>
  <c r="AK268" i="12"/>
  <c r="AI268" i="12"/>
  <c r="AG268" i="12"/>
  <c r="AJ500" i="12"/>
  <c r="AI500" i="12"/>
  <c r="AK500" i="12"/>
  <c r="Z500" i="12"/>
  <c r="AL500" i="12"/>
  <c r="AL495" i="12"/>
  <c r="AJ495" i="12"/>
  <c r="AI495" i="12"/>
  <c r="AG495" i="12"/>
  <c r="Z495" i="12"/>
  <c r="AK495" i="12"/>
  <c r="Z703" i="12"/>
  <c r="AK703" i="12"/>
  <c r="AJ703" i="12"/>
  <c r="AL703" i="12"/>
  <c r="AI792" i="12"/>
  <c r="AG792" i="12"/>
  <c r="AL792" i="12"/>
  <c r="Z792" i="12"/>
  <c r="AK792" i="12"/>
  <c r="AJ792" i="12"/>
  <c r="Z776" i="12"/>
  <c r="AK776" i="12"/>
  <c r="AJ776" i="12"/>
  <c r="AL776" i="12"/>
  <c r="AL377" i="12"/>
  <c r="AL136" i="12"/>
  <c r="AG634" i="12"/>
  <c r="AK280" i="12"/>
  <c r="G48" i="9"/>
  <c r="I48" i="9"/>
  <c r="H48" i="9"/>
  <c r="J48" i="9" s="1"/>
  <c r="AL234" i="12"/>
  <c r="B6" i="4"/>
  <c r="H153" i="9"/>
  <c r="I153" i="9"/>
  <c r="G153" i="9"/>
  <c r="H47" i="9"/>
  <c r="I47" i="9"/>
  <c r="G47" i="9"/>
  <c r="L73" i="9"/>
  <c r="K73" i="9"/>
  <c r="K60" i="9"/>
  <c r="L182" i="9"/>
  <c r="N182" i="9" s="1"/>
  <c r="O182" i="9" s="1"/>
  <c r="K182" i="9"/>
  <c r="F43" i="2"/>
  <c r="J141" i="9"/>
  <c r="K86" i="9"/>
  <c r="Z484" i="12"/>
  <c r="AK484" i="12"/>
  <c r="AJ484" i="12"/>
  <c r="AI484" i="12"/>
  <c r="AJ272" i="12"/>
  <c r="Z272" i="12"/>
  <c r="AL272" i="12"/>
  <c r="AK272" i="12"/>
  <c r="AI272" i="12"/>
  <c r="AG272" i="12"/>
  <c r="AJ413" i="12"/>
  <c r="AG413" i="12"/>
  <c r="Z413" i="12"/>
  <c r="AL413" i="12"/>
  <c r="AK413" i="12"/>
  <c r="AI413" i="12"/>
  <c r="M179" i="9"/>
  <c r="N179" i="9"/>
  <c r="E45" i="2"/>
  <c r="Z258" i="12"/>
  <c r="AJ258" i="12"/>
  <c r="AG258" i="12"/>
  <c r="AI258" i="12"/>
  <c r="Z452" i="12"/>
  <c r="AJ452" i="12"/>
  <c r="AG452" i="12"/>
  <c r="AK452" i="12"/>
  <c r="AL452" i="12"/>
  <c r="AI452" i="12"/>
  <c r="Z103" i="12"/>
  <c r="AK103" i="12"/>
  <c r="AJ103" i="12"/>
  <c r="AI103" i="12"/>
  <c r="AG103" i="12"/>
  <c r="AL103" i="12"/>
  <c r="Z505" i="12"/>
  <c r="AK505" i="12"/>
  <c r="AJ505" i="12"/>
  <c r="AG505" i="12"/>
  <c r="AG348" i="12"/>
  <c r="Z348" i="12"/>
  <c r="AK348" i="12"/>
  <c r="AJ348" i="12"/>
  <c r="Z678" i="12"/>
  <c r="AK678" i="12"/>
  <c r="AL678" i="12"/>
  <c r="AJ678" i="12"/>
  <c r="AG678" i="12"/>
  <c r="Z582" i="12"/>
  <c r="AK582" i="12"/>
  <c r="AL582" i="12"/>
  <c r="AI582" i="12"/>
  <c r="AG582" i="12"/>
  <c r="Z681" i="12"/>
  <c r="AG681" i="12"/>
  <c r="AJ681" i="12"/>
  <c r="AI681" i="12"/>
  <c r="AL681" i="12"/>
  <c r="Z597" i="12"/>
  <c r="AL597" i="12"/>
  <c r="AK597" i="12"/>
  <c r="AJ597" i="12"/>
  <c r="AI597" i="12"/>
  <c r="AG597" i="12"/>
  <c r="AL785" i="12"/>
  <c r="AK785" i="12"/>
  <c r="AJ785" i="12"/>
  <c r="AI785" i="12"/>
  <c r="Z785" i="12"/>
  <c r="Z726" i="12"/>
  <c r="AL726" i="12"/>
  <c r="AK726" i="12"/>
  <c r="AJ726" i="12"/>
  <c r="AI726" i="12"/>
  <c r="AG726" i="12"/>
  <c r="Z211" i="12"/>
  <c r="AJ211" i="12"/>
  <c r="AG211" i="12"/>
  <c r="AI211" i="12"/>
  <c r="AK211" i="12"/>
  <c r="Z369" i="12"/>
  <c r="AK369" i="12"/>
  <c r="AI369" i="12"/>
  <c r="AL369" i="12"/>
  <c r="Z464" i="12"/>
  <c r="AK464" i="12"/>
  <c r="AG464" i="12"/>
  <c r="Z534" i="12"/>
  <c r="AJ534" i="12"/>
  <c r="AI534" i="12"/>
  <c r="AL534" i="12"/>
  <c r="AG534" i="12"/>
  <c r="AK534" i="12"/>
  <c r="AL634" i="12"/>
  <c r="AG238" i="12"/>
  <c r="Z238" i="12"/>
  <c r="AK238" i="12"/>
  <c r="AJ238" i="12"/>
  <c r="Z279" i="12"/>
  <c r="AL279" i="12"/>
  <c r="AK279" i="12"/>
  <c r="AI279" i="12"/>
  <c r="AJ279" i="12"/>
  <c r="Z355" i="12"/>
  <c r="AL355" i="12"/>
  <c r="AK355" i="12"/>
  <c r="AJ355" i="12"/>
  <c r="AI355" i="12"/>
  <c r="AG355" i="12"/>
  <c r="Z409" i="12"/>
  <c r="AL409" i="12"/>
  <c r="AK409" i="12"/>
  <c r="AI409" i="12"/>
  <c r="AG409" i="12"/>
  <c r="AJ468" i="12"/>
  <c r="AK468" i="12"/>
  <c r="AI468" i="12"/>
  <c r="Z468" i="12"/>
  <c r="AG468" i="12"/>
  <c r="AI802" i="12"/>
  <c r="Z802" i="12"/>
  <c r="AL802" i="12"/>
  <c r="AG802" i="12"/>
  <c r="Z724" i="12"/>
  <c r="AK724" i="12"/>
  <c r="AJ724" i="12"/>
  <c r="AG724" i="12"/>
  <c r="AI724" i="12"/>
  <c r="H172" i="9"/>
  <c r="J172" i="9" s="1"/>
  <c r="G172" i="9"/>
  <c r="I172" i="9"/>
  <c r="L127" i="9"/>
  <c r="K127" i="9"/>
  <c r="K22" i="9"/>
  <c r="L22" i="9"/>
  <c r="E30" i="2"/>
  <c r="M104" i="9"/>
  <c r="AI445" i="12"/>
  <c r="AJ448" i="12"/>
  <c r="AL321" i="12"/>
  <c r="AL640" i="12"/>
  <c r="AK598" i="12"/>
  <c r="AK810" i="12"/>
  <c r="AG598" i="12"/>
  <c r="AI556" i="12"/>
  <c r="AI568" i="12"/>
  <c r="Z7" i="12"/>
  <c r="AI7" i="12"/>
  <c r="D17" i="6" s="1"/>
  <c r="AJ7" i="12"/>
  <c r="AG7" i="12"/>
  <c r="AG725" i="12"/>
  <c r="AG526" i="12"/>
  <c r="Z27" i="12"/>
  <c r="AL27" i="12"/>
  <c r="AK27" i="12"/>
  <c r="AJ27" i="12"/>
  <c r="AI27" i="12"/>
  <c r="AG303" i="12"/>
  <c r="Z303" i="12"/>
  <c r="AK303" i="12"/>
  <c r="AJ303" i="12"/>
  <c r="AL260" i="12"/>
  <c r="AI260" i="12"/>
  <c r="Z260" i="12"/>
  <c r="AJ260" i="12"/>
  <c r="AG260" i="12"/>
  <c r="Z291" i="12"/>
  <c r="AL291" i="12"/>
  <c r="AK291" i="12"/>
  <c r="AG291" i="12"/>
  <c r="AI536" i="12"/>
  <c r="AG536" i="12"/>
  <c r="AK536" i="12"/>
  <c r="Z536" i="12"/>
  <c r="AJ536" i="12"/>
  <c r="AL694" i="12"/>
  <c r="AJ694" i="12"/>
  <c r="AI694" i="12"/>
  <c r="AG694" i="12"/>
  <c r="Z694" i="12"/>
  <c r="AI784" i="12"/>
  <c r="AL784" i="12"/>
  <c r="AK784" i="12"/>
  <c r="AJ784" i="12"/>
  <c r="Z784" i="12"/>
  <c r="Z767" i="12"/>
  <c r="AI767" i="12"/>
  <c r="AG767" i="12"/>
  <c r="AJ767" i="12"/>
  <c r="AI276" i="12"/>
  <c r="L19" i="9"/>
  <c r="K19" i="9"/>
  <c r="E13" i="2"/>
  <c r="AJ725" i="12"/>
  <c r="AG548" i="12"/>
  <c r="Z727" i="12"/>
  <c r="AL727" i="12"/>
  <c r="AK727" i="12"/>
  <c r="AJ727" i="12"/>
  <c r="AI727" i="12"/>
  <c r="AG727" i="12"/>
  <c r="I41" i="9"/>
  <c r="G41" i="9"/>
  <c r="H41" i="9"/>
  <c r="J41" i="9" s="1"/>
  <c r="AI697" i="12"/>
  <c r="AJ539" i="12"/>
  <c r="Z543" i="12"/>
  <c r="AI543" i="12"/>
  <c r="AG543" i="12"/>
  <c r="AL543" i="12"/>
  <c r="Z419" i="12"/>
  <c r="AI419" i="12"/>
  <c r="AG419" i="12"/>
  <c r="Z352" i="12"/>
  <c r="AI352" i="12"/>
  <c r="AL352" i="12"/>
  <c r="AK352" i="12"/>
  <c r="AJ352" i="12"/>
  <c r="AG43" i="12"/>
  <c r="Z43" i="12"/>
  <c r="AL43" i="12"/>
  <c r="AK43" i="12"/>
  <c r="AJ43" i="12"/>
  <c r="Z552" i="12"/>
  <c r="AK552" i="12"/>
  <c r="AJ552" i="12"/>
  <c r="AI552" i="12"/>
  <c r="AI318" i="12"/>
  <c r="Z318" i="12"/>
  <c r="AG318" i="12"/>
  <c r="AL318" i="12"/>
  <c r="AK318" i="12"/>
  <c r="AJ318" i="12"/>
  <c r="AL805" i="12"/>
  <c r="Z805" i="12"/>
  <c r="AK805" i="12"/>
  <c r="AJ805" i="12"/>
  <c r="AI805" i="12"/>
  <c r="Z522" i="12"/>
  <c r="AG522" i="12"/>
  <c r="AJ522" i="12"/>
  <c r="AL522" i="12"/>
  <c r="Z600" i="12"/>
  <c r="AL600" i="12"/>
  <c r="AK600" i="12"/>
  <c r="AJ600" i="12"/>
  <c r="AL770" i="12"/>
  <c r="AJ770" i="12"/>
  <c r="AI770" i="12"/>
  <c r="AG770" i="12"/>
  <c r="Z770" i="12"/>
  <c r="Z430" i="12"/>
  <c r="AG430" i="12"/>
  <c r="AL430" i="12"/>
  <c r="AJ430" i="12"/>
  <c r="AI430" i="12"/>
  <c r="Z781" i="12"/>
  <c r="AJ781" i="12"/>
  <c r="AI781" i="12"/>
  <c r="Z454" i="12"/>
  <c r="AL454" i="12"/>
  <c r="AK454" i="12"/>
  <c r="AJ454" i="12"/>
  <c r="AK595" i="12"/>
  <c r="AL595" i="12"/>
  <c r="AJ595" i="12"/>
  <c r="Z595" i="12"/>
  <c r="AI595" i="12"/>
  <c r="AG595" i="12"/>
  <c r="Z715" i="12"/>
  <c r="AL715" i="12"/>
  <c r="AK715" i="12"/>
  <c r="AI715" i="12"/>
  <c r="AJ715" i="12"/>
  <c r="AJ834" i="12"/>
  <c r="AI834" i="12"/>
  <c r="AG834" i="12"/>
  <c r="Z834" i="12"/>
  <c r="AK834" i="12"/>
  <c r="AL834" i="12"/>
  <c r="Z763" i="12"/>
  <c r="AL763" i="12"/>
  <c r="AK763" i="12"/>
  <c r="AJ763" i="12"/>
  <c r="AI763" i="12"/>
  <c r="AG763" i="12"/>
  <c r="AG217" i="12"/>
  <c r="AI850" i="12"/>
  <c r="AI721" i="12"/>
  <c r="AG754" i="12"/>
  <c r="AL780" i="12"/>
  <c r="AI635" i="12"/>
  <c r="AL841" i="12"/>
  <c r="AG579" i="12"/>
  <c r="AG835" i="12"/>
  <c r="AG538" i="12"/>
  <c r="AI621" i="12"/>
  <c r="AJ409" i="12"/>
  <c r="AK539" i="12"/>
  <c r="AI620" i="12"/>
  <c r="AL458" i="12"/>
  <c r="AG559" i="12"/>
  <c r="AK712" i="12"/>
  <c r="AL519" i="12"/>
  <c r="AK368" i="12"/>
  <c r="AL368" i="12"/>
  <c r="AJ368" i="12"/>
  <c r="AG368" i="12"/>
  <c r="Z368" i="12"/>
  <c r="AI368" i="12"/>
  <c r="Z254" i="12"/>
  <c r="AK254" i="12"/>
  <c r="AG254" i="12"/>
  <c r="AL254" i="12"/>
  <c r="AJ254" i="12"/>
  <c r="AI254" i="12"/>
  <c r="AJ334" i="12"/>
  <c r="AI334" i="12"/>
  <c r="AG334" i="12"/>
  <c r="Z334" i="12"/>
  <c r="AK334" i="12"/>
  <c r="AL334" i="12"/>
  <c r="Z425" i="12"/>
  <c r="AK425" i="12"/>
  <c r="AG425" i="12"/>
  <c r="Z382" i="12"/>
  <c r="AJ382" i="12"/>
  <c r="AL382" i="12"/>
  <c r="AI382" i="12"/>
  <c r="Z64" i="12"/>
  <c r="AL64" i="12"/>
  <c r="AK64" i="12"/>
  <c r="AJ64" i="12"/>
  <c r="AI64" i="12"/>
  <c r="AI63" i="12"/>
  <c r="AG63" i="12"/>
  <c r="Z63" i="12"/>
  <c r="AL63" i="12"/>
  <c r="AK63" i="12"/>
  <c r="AJ63" i="12"/>
  <c r="Z472" i="12"/>
  <c r="AI472" i="12"/>
  <c r="AG472" i="12"/>
  <c r="Z673" i="12"/>
  <c r="AL673" i="12"/>
  <c r="AG673" i="12"/>
  <c r="Z383" i="12"/>
  <c r="AJ383" i="12"/>
  <c r="AK383" i="12"/>
  <c r="AI383" i="12"/>
  <c r="AL383" i="12"/>
  <c r="AG383" i="12"/>
  <c r="AI426" i="12"/>
  <c r="Z426" i="12"/>
  <c r="AG426" i="12"/>
  <c r="AL426" i="12"/>
  <c r="AJ426" i="12"/>
  <c r="AL705" i="12"/>
  <c r="AK705" i="12"/>
  <c r="AJ705" i="12"/>
  <c r="AI705" i="12"/>
  <c r="AG705" i="12"/>
  <c r="Z705" i="12"/>
  <c r="Z252" i="12"/>
  <c r="AL252" i="12"/>
  <c r="AK252" i="12"/>
  <c r="Z542" i="12"/>
  <c r="AL542" i="12"/>
  <c r="AJ288" i="12"/>
  <c r="AL288" i="12"/>
  <c r="Z288" i="12"/>
  <c r="AI288" i="12"/>
  <c r="AK288" i="12"/>
  <c r="AG288" i="12"/>
  <c r="AK656" i="12"/>
  <c r="AJ656" i="12"/>
  <c r="AI656" i="12"/>
  <c r="Z656" i="12"/>
  <c r="AL656" i="12"/>
  <c r="AL330" i="12"/>
  <c r="Z330" i="12"/>
  <c r="AJ330" i="12"/>
  <c r="AI330" i="12"/>
  <c r="AG330" i="12"/>
  <c r="Z535" i="12"/>
  <c r="AI535" i="12"/>
  <c r="AG535" i="12"/>
  <c r="AK535" i="12"/>
  <c r="AJ535" i="12"/>
  <c r="Z437" i="12"/>
  <c r="AL437" i="12"/>
  <c r="Z525" i="12"/>
  <c r="AJ525" i="12"/>
  <c r="AK525" i="12"/>
  <c r="AL503" i="12"/>
  <c r="Z503" i="12"/>
  <c r="AK503" i="12"/>
  <c r="AI503" i="12"/>
  <c r="Z687" i="12"/>
  <c r="AG687" i="12"/>
  <c r="AI687" i="12"/>
  <c r="Z518" i="12"/>
  <c r="AJ518" i="12"/>
  <c r="AI518" i="12"/>
  <c r="AG518" i="12"/>
  <c r="Z474" i="12"/>
  <c r="AL474" i="12"/>
  <c r="AK474" i="12"/>
  <c r="AI474" i="12"/>
  <c r="Z623" i="12"/>
  <c r="AI623" i="12"/>
  <c r="AG623" i="12"/>
  <c r="AL623" i="12"/>
  <c r="AJ623" i="12"/>
  <c r="AL636" i="12"/>
  <c r="AK636" i="12"/>
  <c r="AJ636" i="12"/>
  <c r="AI636" i="12"/>
  <c r="AG636" i="12"/>
  <c r="Z731" i="12"/>
  <c r="AL731" i="12"/>
  <c r="AI731" i="12"/>
  <c r="AL832" i="12"/>
  <c r="AG832" i="12"/>
  <c r="Z832" i="12"/>
  <c r="AK832" i="12"/>
  <c r="AJ832" i="12"/>
  <c r="AI832" i="12"/>
  <c r="Z649" i="12"/>
  <c r="AL649" i="12"/>
  <c r="AK649" i="12"/>
  <c r="AJ649" i="12"/>
  <c r="AI649" i="12"/>
  <c r="AK814" i="12"/>
  <c r="AI814" i="12"/>
  <c r="Z814" i="12"/>
  <c r="AL814" i="12"/>
  <c r="AJ814" i="12"/>
  <c r="AG814" i="12"/>
  <c r="Z772" i="12"/>
  <c r="AI772" i="12"/>
  <c r="AG772" i="12"/>
  <c r="AK772" i="12"/>
  <c r="AJ772" i="12"/>
  <c r="AL772" i="12"/>
  <c r="AG796" i="12"/>
  <c r="Z796" i="12"/>
  <c r="AJ796" i="12"/>
  <c r="AL796" i="12"/>
  <c r="AI377" i="12"/>
  <c r="Z190" i="12"/>
  <c r="AG190" i="12"/>
  <c r="AL190" i="12"/>
  <c r="AK190" i="12"/>
  <c r="AJ190" i="12"/>
  <c r="AI190" i="12"/>
  <c r="AK133" i="12"/>
  <c r="Z133" i="12"/>
  <c r="AL133" i="12"/>
  <c r="AG133" i="12"/>
  <c r="AI133" i="12"/>
  <c r="AI634" i="12"/>
  <c r="K117" i="9"/>
  <c r="L117" i="9"/>
  <c r="N117" i="9" s="1"/>
  <c r="O117" i="9" s="1"/>
  <c r="AG64" i="12"/>
  <c r="K107" i="9"/>
  <c r="H190" i="9"/>
  <c r="J190" i="9" s="1"/>
  <c r="H157" i="9"/>
  <c r="J157" i="9" s="1"/>
  <c r="G157" i="9"/>
  <c r="I157" i="9"/>
  <c r="AJ572" i="12"/>
  <c r="H25" i="2"/>
  <c r="M82" i="9"/>
  <c r="J76" i="9"/>
  <c r="N127" i="9"/>
  <c r="O127" i="9" s="1"/>
  <c r="H13" i="2"/>
  <c r="N22" i="9"/>
  <c r="O22" i="9" s="1"/>
  <c r="M22" i="9"/>
  <c r="I74" i="9"/>
  <c r="J74" i="9" s="1"/>
  <c r="G74" i="9"/>
  <c r="Y7" i="12"/>
  <c r="Y8" i="12" s="1"/>
  <c r="Y9" i="12" s="1"/>
  <c r="Y10" i="12" s="1"/>
  <c r="Y11" i="12" s="1"/>
  <c r="Y12" i="12" s="1"/>
  <c r="Y13" i="12" s="1"/>
  <c r="Y14" i="12" s="1"/>
  <c r="Y15" i="12" s="1"/>
  <c r="Y16" i="12" s="1"/>
  <c r="Y17" i="12" s="1"/>
  <c r="Y18" i="12" s="1"/>
  <c r="Y19" i="12" s="1"/>
  <c r="Y20" i="12" s="1"/>
  <c r="Y21" i="12" s="1"/>
  <c r="Y22" i="12" s="1"/>
  <c r="Y23" i="12" s="1"/>
  <c r="Y24" i="12" s="1"/>
  <c r="Y25" i="12" s="1"/>
  <c r="Y26" i="12" s="1"/>
  <c r="Y27" i="12" s="1"/>
  <c r="Y28" i="12" s="1"/>
  <c r="Y29" i="12" s="1"/>
  <c r="Y30" i="12" s="1"/>
  <c r="Y31" i="12" s="1"/>
  <c r="Y32" i="12" s="1"/>
  <c r="Y33" i="12" s="1"/>
  <c r="Y34" i="12" s="1"/>
  <c r="Y35" i="12" s="1"/>
  <c r="Y36" i="12" s="1"/>
  <c r="Y37" i="12" s="1"/>
  <c r="Y38" i="12" s="1"/>
  <c r="Y39" i="12" s="1"/>
  <c r="Y40" i="12" s="1"/>
  <c r="Y41" i="12" s="1"/>
  <c r="Y42" i="12" s="1"/>
  <c r="Y43" i="12" s="1"/>
  <c r="Y44" i="12" s="1"/>
  <c r="Y45" i="12" s="1"/>
  <c r="Y46" i="12" s="1"/>
  <c r="Y47" i="12" s="1"/>
  <c r="Y48" i="12" s="1"/>
  <c r="Y49" i="12" s="1"/>
  <c r="Y50" i="12" s="1"/>
  <c r="Y51" i="12" s="1"/>
  <c r="Y52" i="12" s="1"/>
  <c r="Y53" i="12" s="1"/>
  <c r="Y54" i="12" s="1"/>
  <c r="Y55" i="12" s="1"/>
  <c r="Y56" i="12" s="1"/>
  <c r="Y57" i="12" s="1"/>
  <c r="Y58" i="12" s="1"/>
  <c r="Y59" i="12" s="1"/>
  <c r="Y60" i="12" s="1"/>
  <c r="Y61" i="12" s="1"/>
  <c r="Y62" i="12" s="1"/>
  <c r="Y63" i="12" s="1"/>
  <c r="Y64" i="12" s="1"/>
  <c r="Y65" i="12" s="1"/>
  <c r="Y66" i="12" s="1"/>
  <c r="Y67" i="12" s="1"/>
  <c r="Y68" i="12" s="1"/>
  <c r="Y69" i="12" s="1"/>
  <c r="Y70" i="12" s="1"/>
  <c r="Y71" i="12" s="1"/>
  <c r="Y72" i="12" s="1"/>
  <c r="Y73" i="12" s="1"/>
  <c r="Y74" i="12" s="1"/>
  <c r="Y75" i="12" s="1"/>
  <c r="Y76" i="12" s="1"/>
  <c r="Y77" i="12" s="1"/>
  <c r="Y78" i="12" s="1"/>
  <c r="Y79" i="12" s="1"/>
  <c r="Y80" i="12" s="1"/>
  <c r="Y81" i="12" s="1"/>
  <c r="Y82" i="12" s="1"/>
  <c r="Y83" i="12" s="1"/>
  <c r="Y84" i="12" s="1"/>
  <c r="Y85" i="12" s="1"/>
  <c r="Y86" i="12" s="1"/>
  <c r="Y87" i="12" s="1"/>
  <c r="Y88" i="12" s="1"/>
  <c r="Y89" i="12" s="1"/>
  <c r="Y90" i="12" s="1"/>
  <c r="Y91" i="12" s="1"/>
  <c r="Y92" i="12" s="1"/>
  <c r="Y93" i="12" s="1"/>
  <c r="Y94" i="12" s="1"/>
  <c r="Y95" i="12" s="1"/>
  <c r="Y96" i="12" s="1"/>
  <c r="Y97" i="12" s="1"/>
  <c r="Y98" i="12" s="1"/>
  <c r="Y99" i="12" s="1"/>
  <c r="Y100" i="12" s="1"/>
  <c r="Y101" i="12" s="1"/>
  <c r="Y102" i="12" s="1"/>
  <c r="Y103" i="12" s="1"/>
  <c r="Y104" i="12" s="1"/>
  <c r="Y105" i="12" s="1"/>
  <c r="Y106" i="12" s="1"/>
  <c r="Y107" i="12" s="1"/>
  <c r="Y108" i="12" s="1"/>
  <c r="Y109" i="12" s="1"/>
  <c r="Y110" i="12" s="1"/>
  <c r="Y111" i="12" s="1"/>
  <c r="Y112" i="12" s="1"/>
  <c r="Y113" i="12" s="1"/>
  <c r="Y114" i="12" s="1"/>
  <c r="Y115" i="12" s="1"/>
  <c r="Y116" i="12" s="1"/>
  <c r="Y117" i="12" s="1"/>
  <c r="Y118" i="12" s="1"/>
  <c r="Y119" i="12" s="1"/>
  <c r="Y120" i="12" s="1"/>
  <c r="Y121" i="12" s="1"/>
  <c r="Y122" i="12" s="1"/>
  <c r="Y123" i="12" s="1"/>
  <c r="Y124" i="12" s="1"/>
  <c r="Y125" i="12" s="1"/>
  <c r="Y126" i="12" s="1"/>
  <c r="Y127" i="12" s="1"/>
  <c r="Y128" i="12" s="1"/>
  <c r="Y129" i="12" s="1"/>
  <c r="Y130" i="12" s="1"/>
  <c r="Y131" i="12" s="1"/>
  <c r="Y132" i="12" s="1"/>
  <c r="Y133" i="12" s="1"/>
  <c r="Y134" i="12" s="1"/>
  <c r="Y135" i="12" s="1"/>
  <c r="Y136" i="12" s="1"/>
  <c r="Y137" i="12" s="1"/>
  <c r="Y138" i="12" s="1"/>
  <c r="Y139" i="12" s="1"/>
  <c r="Y140" i="12" s="1"/>
  <c r="Y141" i="12" s="1"/>
  <c r="Y142" i="12" s="1"/>
  <c r="Y143" i="12" s="1"/>
  <c r="Y144" i="12" s="1"/>
  <c r="Y145" i="12" s="1"/>
  <c r="Y146" i="12" s="1"/>
  <c r="Y147" i="12" s="1"/>
  <c r="Y148" i="12" s="1"/>
  <c r="Y149" i="12" s="1"/>
  <c r="Y150" i="12" s="1"/>
  <c r="Y151" i="12" s="1"/>
  <c r="Y152" i="12" s="1"/>
  <c r="Y153" i="12" s="1"/>
  <c r="Y154" i="12" s="1"/>
  <c r="Y155" i="12" s="1"/>
  <c r="Y156" i="12" s="1"/>
  <c r="Y157" i="12" s="1"/>
  <c r="Y158" i="12" s="1"/>
  <c r="Y159" i="12" s="1"/>
  <c r="Y160" i="12" s="1"/>
  <c r="Y161" i="12" s="1"/>
  <c r="Y162" i="12" s="1"/>
  <c r="Y163" i="12" s="1"/>
  <c r="Y164" i="12" s="1"/>
  <c r="Y165" i="12" s="1"/>
  <c r="Y166" i="12" s="1"/>
  <c r="Y167" i="12" s="1"/>
  <c r="Y168" i="12" s="1"/>
  <c r="Y169" i="12" s="1"/>
  <c r="Y170" i="12" s="1"/>
  <c r="Y171" i="12" s="1"/>
  <c r="Y172" i="12" s="1"/>
  <c r="Y173" i="12" s="1"/>
  <c r="Y174" i="12" s="1"/>
  <c r="Y175" i="12" s="1"/>
  <c r="Y176" i="12" s="1"/>
  <c r="Y177" i="12" s="1"/>
  <c r="Y178" i="12" s="1"/>
  <c r="Y179" i="12" s="1"/>
  <c r="Y180" i="12" s="1"/>
  <c r="Y181" i="12" s="1"/>
  <c r="Y182" i="12" s="1"/>
  <c r="M21" i="2"/>
  <c r="J58" i="9"/>
  <c r="M125" i="9"/>
  <c r="N15" i="9"/>
  <c r="O15" i="9" s="1"/>
  <c r="AJ105" i="12"/>
  <c r="J176" i="9"/>
  <c r="L34" i="9"/>
  <c r="K34" i="9"/>
  <c r="L161" i="9"/>
  <c r="K161" i="9"/>
  <c r="G144" i="9"/>
  <c r="I144" i="9"/>
  <c r="J144" i="9" s="1"/>
  <c r="F15" i="2"/>
  <c r="H83" i="9"/>
  <c r="J83" i="9" s="1"/>
  <c r="G83" i="9"/>
  <c r="I83" i="9"/>
  <c r="N133" i="9"/>
  <c r="O133" i="9" s="1"/>
  <c r="M133" i="9"/>
  <c r="K15" i="9"/>
  <c r="L15" i="9"/>
  <c r="M15" i="9" s="1"/>
  <c r="J150" i="9"/>
  <c r="F39" i="2" s="1"/>
  <c r="H17" i="2"/>
  <c r="G30" i="2"/>
  <c r="M63" i="9"/>
  <c r="G58" i="9"/>
  <c r="N25" i="9"/>
  <c r="O25" i="9" s="1"/>
  <c r="AJ346" i="12"/>
  <c r="AL406" i="12"/>
  <c r="AJ406" i="12"/>
  <c r="AI406" i="12"/>
  <c r="Z406" i="12"/>
  <c r="Z652" i="12"/>
  <c r="AK652" i="12"/>
  <c r="AI652" i="12"/>
  <c r="AG652" i="12"/>
  <c r="AL652" i="12"/>
  <c r="AJ427" i="12"/>
  <c r="AG427" i="12"/>
  <c r="Z427" i="12"/>
  <c r="Z278" i="12"/>
  <c r="AL278" i="12"/>
  <c r="AK278" i="12"/>
  <c r="AJ278" i="12"/>
  <c r="AI278" i="12"/>
  <c r="AG278" i="12"/>
  <c r="Z329" i="12"/>
  <c r="AK329" i="12"/>
  <c r="AG628" i="12"/>
  <c r="AK628" i="12"/>
  <c r="Z628" i="12"/>
  <c r="AL628" i="12"/>
  <c r="AJ386" i="12"/>
  <c r="Z386" i="12"/>
  <c r="AL386" i="12"/>
  <c r="AK386" i="12"/>
  <c r="AI386" i="12"/>
  <c r="AK594" i="12"/>
  <c r="Z594" i="12"/>
  <c r="AG594" i="12"/>
  <c r="Z401" i="12"/>
  <c r="AL401" i="12"/>
  <c r="AK401" i="12"/>
  <c r="AJ401" i="12"/>
  <c r="AI401" i="12"/>
  <c r="Z400" i="12"/>
  <c r="AK400" i="12"/>
  <c r="AJ400" i="12"/>
  <c r="AI400" i="12"/>
  <c r="AG400" i="12"/>
  <c r="Z421" i="12"/>
  <c r="AL421" i="12"/>
  <c r="AJ421" i="12"/>
  <c r="AG421" i="12"/>
  <c r="AI421" i="12"/>
  <c r="AJ447" i="12"/>
  <c r="AG447" i="12"/>
  <c r="Z447" i="12"/>
  <c r="AL447" i="12"/>
  <c r="AI447" i="12"/>
  <c r="Z702" i="12"/>
  <c r="AL702" i="12"/>
  <c r="AI702" i="12"/>
  <c r="AG702" i="12"/>
  <c r="Z729" i="12"/>
  <c r="AG729" i="12"/>
  <c r="AL729" i="12"/>
  <c r="AG750" i="12"/>
  <c r="AK750" i="12"/>
  <c r="AJ750" i="12"/>
  <c r="Z750" i="12"/>
  <c r="Z643" i="12"/>
  <c r="AJ643" i="12"/>
  <c r="AI643" i="12"/>
  <c r="AG643" i="12"/>
  <c r="AL643" i="12"/>
  <c r="AJ570" i="12"/>
  <c r="AK570" i="12"/>
  <c r="AG570" i="12"/>
  <c r="AL570" i="12"/>
  <c r="AI570" i="12"/>
  <c r="Z570" i="12"/>
  <c r="AL676" i="12"/>
  <c r="AK676" i="12"/>
  <c r="AG676" i="12"/>
  <c r="Z676" i="12"/>
  <c r="AJ676" i="12"/>
  <c r="AI676" i="12"/>
  <c r="Z793" i="12"/>
  <c r="AK793" i="12"/>
  <c r="AL793" i="12"/>
  <c r="AJ793" i="12"/>
  <c r="AI793" i="12"/>
  <c r="AG793" i="12"/>
  <c r="AL706" i="12"/>
  <c r="AK706" i="12"/>
  <c r="AG706" i="12"/>
  <c r="Z706" i="12"/>
  <c r="AJ706" i="12"/>
  <c r="AI706" i="12"/>
  <c r="Z773" i="12"/>
  <c r="AG773" i="12"/>
  <c r="AL773" i="12"/>
  <c r="AK773" i="12"/>
  <c r="AJ773" i="12"/>
  <c r="AI773" i="12"/>
  <c r="Z817" i="12"/>
  <c r="AL817" i="12"/>
  <c r="AG817" i="12"/>
  <c r="AK817" i="12"/>
  <c r="AJ817" i="12"/>
  <c r="AI817" i="12"/>
  <c r="Z221" i="12"/>
  <c r="AI221" i="12"/>
  <c r="Z311" i="12"/>
  <c r="AL311" i="12"/>
  <c r="AG311" i="12"/>
  <c r="AK311" i="12"/>
  <c r="AJ311" i="12"/>
  <c r="Z257" i="12"/>
  <c r="AK257" i="12"/>
  <c r="AG62" i="12"/>
  <c r="Z62" i="12"/>
  <c r="AL62" i="12"/>
  <c r="AK62" i="12"/>
  <c r="AJ62" i="12"/>
  <c r="AI62" i="12"/>
  <c r="M174" i="9"/>
  <c r="E44" i="2"/>
  <c r="I166" i="9"/>
  <c r="G166" i="9"/>
  <c r="H166" i="9"/>
  <c r="J166" i="9" s="1"/>
  <c r="AI329" i="12"/>
  <c r="I80" i="9"/>
  <c r="J80" i="9" s="1"/>
  <c r="G80" i="9"/>
  <c r="I13" i="9"/>
  <c r="G13" i="9"/>
  <c r="H13" i="9"/>
  <c r="AK105" i="12"/>
  <c r="L129" i="9"/>
  <c r="K129" i="9"/>
  <c r="E35" i="2"/>
  <c r="G44" i="2"/>
  <c r="K138" i="9"/>
  <c r="AI132" i="12"/>
  <c r="K106" i="9"/>
  <c r="L106" i="9"/>
  <c r="N106" i="9" s="1"/>
  <c r="O106" i="9" s="1"/>
  <c r="F21" i="2"/>
  <c r="J21" i="2" s="1"/>
  <c r="L21" i="2" s="1"/>
  <c r="M60" i="9"/>
  <c r="N60" i="9"/>
  <c r="O60" i="9" s="1"/>
  <c r="H49" i="9"/>
  <c r="I49" i="9"/>
  <c r="M182" i="9"/>
  <c r="M18" i="9"/>
  <c r="AI360" i="12"/>
  <c r="Z492" i="12"/>
  <c r="AK492" i="12"/>
  <c r="AJ492" i="12"/>
  <c r="AG492" i="12"/>
  <c r="AL492" i="12"/>
  <c r="Z246" i="12"/>
  <c r="AK246" i="12"/>
  <c r="AJ246" i="12"/>
  <c r="AI246" i="12"/>
  <c r="AG246" i="12"/>
  <c r="Z281" i="12"/>
  <c r="AJ281" i="12"/>
  <c r="AL281" i="12"/>
  <c r="AI281" i="12"/>
  <c r="G23" i="5"/>
  <c r="H23" i="5" s="1"/>
  <c r="C18" i="10"/>
  <c r="D13" i="6" s="1"/>
  <c r="C17" i="10"/>
  <c r="Z3" i="12"/>
  <c r="D21" i="6"/>
  <c r="H6" i="4"/>
  <c r="J6" i="4"/>
  <c r="F6" i="4"/>
  <c r="D22" i="6"/>
  <c r="AL3" i="12"/>
  <c r="AG808" i="12"/>
  <c r="Z808" i="12"/>
  <c r="AL567" i="12"/>
  <c r="AG567" i="12"/>
  <c r="Z567" i="12"/>
  <c r="AJ567" i="12"/>
  <c r="AI567" i="12"/>
  <c r="Z699" i="12"/>
  <c r="AL699" i="12"/>
  <c r="AJ699" i="12"/>
  <c r="AI699" i="12"/>
  <c r="L162" i="9"/>
  <c r="M162" i="9" s="1"/>
  <c r="K162" i="9"/>
  <c r="L148" i="9"/>
  <c r="M148" i="9" s="1"/>
  <c r="AG788" i="12"/>
  <c r="AL766" i="12"/>
  <c r="AL427" i="12"/>
  <c r="AL717" i="12"/>
  <c r="AK346" i="12"/>
  <c r="AI429" i="12"/>
  <c r="AG429" i="12"/>
  <c r="Z429" i="12"/>
  <c r="AL429" i="12"/>
  <c r="AK429" i="12"/>
  <c r="Z380" i="12"/>
  <c r="AJ380" i="12"/>
  <c r="AI380" i="12"/>
  <c r="AL380" i="12"/>
  <c r="AG380" i="12"/>
  <c r="AK333" i="12"/>
  <c r="AJ333" i="12"/>
  <c r="Z333" i="12"/>
  <c r="AG333" i="12"/>
  <c r="AI333" i="12"/>
  <c r="AL333" i="12"/>
  <c r="Z24" i="12"/>
  <c r="AL24" i="12"/>
  <c r="AG24" i="12"/>
  <c r="AI24" i="12"/>
  <c r="AJ24" i="12"/>
  <c r="Z23" i="12"/>
  <c r="AG23" i="12"/>
  <c r="AG462" i="12"/>
  <c r="AL607" i="12"/>
  <c r="AK607" i="12"/>
  <c r="AJ607" i="12"/>
  <c r="AI607" i="12"/>
  <c r="AG607" i="12"/>
  <c r="Z607" i="12"/>
  <c r="Z314" i="12"/>
  <c r="AG314" i="12"/>
  <c r="Z332" i="12"/>
  <c r="AL332" i="12"/>
  <c r="AK332" i="12"/>
  <c r="AI332" i="12"/>
  <c r="AJ601" i="12"/>
  <c r="AL601" i="12"/>
  <c r="AK601" i="12"/>
  <c r="AG601" i="12"/>
  <c r="Z601" i="12"/>
  <c r="AL608" i="12"/>
  <c r="AK608" i="12"/>
  <c r="AG608" i="12"/>
  <c r="Z608" i="12"/>
  <c r="AI608" i="12"/>
  <c r="Z463" i="12"/>
  <c r="AL463" i="12"/>
  <c r="AK463" i="12"/>
  <c r="Z248" i="12"/>
  <c r="AL248" i="12"/>
  <c r="AK248" i="12"/>
  <c r="AJ248" i="12"/>
  <c r="AI248" i="12"/>
  <c r="AG248" i="12"/>
  <c r="AL596" i="12"/>
  <c r="AJ596" i="12"/>
  <c r="AI596" i="12"/>
  <c r="AG596" i="12"/>
  <c r="Z596" i="12"/>
  <c r="AJ418" i="12"/>
  <c r="Z418" i="12"/>
  <c r="AK418" i="12"/>
  <c r="AL418" i="12"/>
  <c r="Z449" i="12"/>
  <c r="AL449" i="12"/>
  <c r="AK449" i="12"/>
  <c r="AI449" i="12"/>
  <c r="AJ449" i="12"/>
  <c r="AG449" i="12"/>
  <c r="AJ471" i="12"/>
  <c r="AI471" i="12"/>
  <c r="AG471" i="12"/>
  <c r="AL471" i="12"/>
  <c r="AK471" i="12"/>
  <c r="AL585" i="12"/>
  <c r="AG585" i="12"/>
  <c r="Z585" i="12"/>
  <c r="AJ585" i="12"/>
  <c r="AI585" i="12"/>
  <c r="AK839" i="12"/>
  <c r="AI839" i="12"/>
  <c r="AL839" i="12"/>
  <c r="AJ839" i="12"/>
  <c r="Z839" i="12"/>
  <c r="Z671" i="12"/>
  <c r="AI671" i="12"/>
  <c r="Z587" i="12"/>
  <c r="AK587" i="12"/>
  <c r="AI587" i="12"/>
  <c r="AG587" i="12"/>
  <c r="AL587" i="12"/>
  <c r="AJ587" i="12"/>
  <c r="Z682" i="12"/>
  <c r="AI682" i="12"/>
  <c r="AL682" i="12"/>
  <c r="AG682" i="12"/>
  <c r="AK734" i="12"/>
  <c r="AJ734" i="12"/>
  <c r="AG734" i="12"/>
  <c r="Z734" i="12"/>
  <c r="AJ803" i="12"/>
  <c r="Z803" i="12"/>
  <c r="AK803" i="12"/>
  <c r="AI803" i="12"/>
  <c r="AG803" i="12"/>
  <c r="AL803" i="12"/>
  <c r="AL735" i="12"/>
  <c r="Z735" i="12"/>
  <c r="AK735" i="12"/>
  <c r="AJ735" i="12"/>
  <c r="AG735" i="12"/>
  <c r="Z837" i="12"/>
  <c r="AL837" i="12"/>
  <c r="AK837" i="12"/>
  <c r="AJ837" i="12"/>
  <c r="AI837" i="12"/>
  <c r="AG837" i="12"/>
  <c r="AI845" i="12"/>
  <c r="AG845" i="12"/>
  <c r="Z845" i="12"/>
  <c r="AJ845" i="12"/>
  <c r="AK845" i="12"/>
  <c r="AL411" i="12"/>
  <c r="Z300" i="12"/>
  <c r="AL300" i="12"/>
  <c r="AK300" i="12"/>
  <c r="AI300" i="12"/>
  <c r="AG315" i="12"/>
  <c r="I12" i="9"/>
  <c r="H12" i="9"/>
  <c r="J12" i="9" s="1"/>
  <c r="G12" i="9"/>
  <c r="AL329" i="12"/>
  <c r="L123" i="9"/>
  <c r="M123" i="9" s="1"/>
  <c r="K123" i="9"/>
  <c r="AJ221" i="12"/>
  <c r="AI515" i="12"/>
  <c r="L138" i="9"/>
  <c r="L14" i="9"/>
  <c r="K14" i="9"/>
  <c r="AJ23" i="12"/>
  <c r="G49" i="9"/>
  <c r="N18" i="9"/>
  <c r="O18" i="9" s="1"/>
  <c r="H159" i="9"/>
  <c r="J159" i="9" s="1"/>
  <c r="G159" i="9"/>
  <c r="K139" i="9"/>
  <c r="L139" i="9"/>
  <c r="N139" i="9" s="1"/>
  <c r="E25" i="2"/>
  <c r="J84" i="9"/>
  <c r="M72" i="9"/>
  <c r="H23" i="2"/>
  <c r="G4" i="9"/>
  <c r="H4" i="9"/>
  <c r="J4" i="9" s="1"/>
  <c r="I4" i="9"/>
  <c r="D15" i="6"/>
  <c r="D6" i="4"/>
  <c r="J35" i="9"/>
  <c r="G120" i="9"/>
  <c r="H120" i="9"/>
  <c r="K88" i="9"/>
  <c r="AK221" i="12"/>
  <c r="J119" i="9"/>
  <c r="G68" i="9"/>
  <c r="L64" i="9"/>
  <c r="N64" i="9" s="1"/>
  <c r="J79" i="9"/>
  <c r="I23" i="2"/>
  <c r="N73" i="9"/>
  <c r="O73" i="9" s="1"/>
  <c r="G184" i="9"/>
  <c r="F13" i="2"/>
  <c r="M111" i="9"/>
  <c r="G31" i="2"/>
  <c r="AG3" i="12"/>
  <c r="D16" i="6" s="1"/>
  <c r="G10" i="2"/>
  <c r="I58" i="9"/>
  <c r="H28" i="2"/>
  <c r="E47" i="2"/>
  <c r="AK3" i="12"/>
  <c r="D19" i="6" s="1"/>
  <c r="G22" i="5"/>
  <c r="H22" i="5" s="1"/>
  <c r="Z132" i="12"/>
  <c r="AG132" i="12"/>
  <c r="Z111" i="12"/>
  <c r="AG111" i="12"/>
  <c r="AL111" i="12"/>
  <c r="Z295" i="12"/>
  <c r="AG295" i="12"/>
  <c r="AL295" i="12"/>
  <c r="AK295" i="12"/>
  <c r="AJ295" i="12"/>
  <c r="Z46" i="12"/>
  <c r="AJ46" i="12"/>
  <c r="Z141" i="12"/>
  <c r="AG141" i="12"/>
  <c r="AL141" i="12"/>
  <c r="AK141" i="12"/>
  <c r="AJ141" i="12"/>
  <c r="AL151" i="12"/>
  <c r="AK151" i="12"/>
  <c r="AI151" i="12"/>
  <c r="Z151" i="12"/>
  <c r="AG151" i="12"/>
  <c r="AK262" i="12"/>
  <c r="AG262" i="12"/>
  <c r="Z262" i="12"/>
  <c r="AJ262" i="12"/>
  <c r="AJ648" i="12"/>
  <c r="AG648" i="12"/>
  <c r="AL648" i="12"/>
  <c r="AK648" i="12"/>
  <c r="AI648" i="12"/>
  <c r="Z648" i="12"/>
  <c r="Z266" i="12"/>
  <c r="AK266" i="12"/>
  <c r="AI266" i="12"/>
  <c r="AI322" i="12"/>
  <c r="Z322" i="12"/>
  <c r="AL322" i="12"/>
  <c r="AK322" i="12"/>
  <c r="Z428" i="12"/>
  <c r="AK428" i="12"/>
  <c r="AJ428" i="12"/>
  <c r="AI428" i="12"/>
  <c r="Z408" i="12"/>
  <c r="AL408" i="12"/>
  <c r="AK408" i="12"/>
  <c r="AG408" i="12"/>
  <c r="AJ408" i="12"/>
  <c r="AK385" i="12"/>
  <c r="AJ385" i="12"/>
  <c r="AI385" i="12"/>
  <c r="AG385" i="12"/>
  <c r="Z385" i="12"/>
  <c r="Z747" i="12"/>
  <c r="AI747" i="12"/>
  <c r="Z431" i="12"/>
  <c r="AJ431" i="12"/>
  <c r="AK431" i="12"/>
  <c r="AI431" i="12"/>
  <c r="AG431" i="12"/>
  <c r="Z459" i="12"/>
  <c r="AJ459" i="12"/>
  <c r="AL459" i="12"/>
  <c r="AK459" i="12"/>
  <c r="AI459" i="12"/>
  <c r="AG459" i="12"/>
  <c r="AK508" i="12"/>
  <c r="AG508" i="12"/>
  <c r="Z508" i="12"/>
  <c r="AI508" i="12"/>
  <c r="Z718" i="12"/>
  <c r="AI718" i="12"/>
  <c r="Z517" i="12"/>
  <c r="AJ517" i="12"/>
  <c r="AI517" i="12"/>
  <c r="AG517" i="12"/>
  <c r="AK517" i="12"/>
  <c r="AG618" i="12"/>
  <c r="AK618" i="12"/>
  <c r="AL618" i="12"/>
  <c r="AJ618" i="12"/>
  <c r="AI618" i="12"/>
  <c r="Z618" i="12"/>
  <c r="Z574" i="12"/>
  <c r="AK574" i="12"/>
  <c r="AJ574" i="12"/>
  <c r="AI574" i="12"/>
  <c r="AG574" i="12"/>
  <c r="AL574" i="12"/>
  <c r="Z765" i="12"/>
  <c r="AG765" i="12"/>
  <c r="Z633" i="12"/>
  <c r="AL633" i="12"/>
  <c r="AK633" i="12"/>
  <c r="Z736" i="12"/>
  <c r="AI736" i="12"/>
  <c r="Z822" i="12"/>
  <c r="AL822" i="12"/>
  <c r="AK822" i="12"/>
  <c r="AJ822" i="12"/>
  <c r="AI822" i="12"/>
  <c r="Z815" i="12"/>
  <c r="AJ815" i="12"/>
  <c r="Z154" i="12"/>
  <c r="AL154" i="12"/>
  <c r="I120" i="9"/>
  <c r="AJ356" i="12"/>
  <c r="AG154" i="12"/>
  <c r="H183" i="9"/>
  <c r="I183" i="9"/>
  <c r="H151" i="9"/>
  <c r="J151" i="9" s="1"/>
  <c r="I151" i="9"/>
  <c r="I119" i="9"/>
  <c r="G119" i="9"/>
  <c r="L70" i="9"/>
  <c r="K70" i="9"/>
  <c r="AK106" i="12"/>
  <c r="L185" i="9"/>
  <c r="N185" i="9" s="1"/>
  <c r="O185" i="9" s="1"/>
  <c r="M73" i="9"/>
  <c r="I44" i="2"/>
  <c r="AI3" i="12"/>
  <c r="L112" i="9"/>
  <c r="N112" i="9" s="1"/>
  <c r="O112" i="9" s="1"/>
  <c r="K112" i="9"/>
  <c r="J121" i="9"/>
  <c r="AI395" i="12"/>
  <c r="Z395" i="12"/>
  <c r="AL395" i="12"/>
  <c r="AK395" i="12"/>
  <c r="K71" i="9"/>
  <c r="G23" i="2"/>
  <c r="N125" i="9"/>
  <c r="O125" i="9" s="1"/>
  <c r="K174" i="9"/>
  <c r="L174" i="9"/>
  <c r="I43" i="9"/>
  <c r="H43" i="9"/>
  <c r="J43" i="9" s="1"/>
  <c r="G43" i="9"/>
  <c r="I56" i="9"/>
  <c r="H56" i="9"/>
  <c r="J56" i="9" s="1"/>
  <c r="G56" i="9"/>
  <c r="AK132" i="12"/>
  <c r="AJ3" i="12"/>
  <c r="D18" i="6" s="1"/>
  <c r="N54" i="9"/>
  <c r="M54" i="9"/>
  <c r="M112" i="9"/>
  <c r="M27" i="9"/>
  <c r="K54" i="9"/>
  <c r="AJ233" i="12"/>
  <c r="AI233" i="12"/>
  <c r="AG233" i="12"/>
  <c r="Z233" i="12"/>
  <c r="AL233" i="12"/>
  <c r="AK233" i="12"/>
  <c r="AI307" i="12"/>
  <c r="AL307" i="12"/>
  <c r="AK307" i="12"/>
  <c r="AJ307" i="12"/>
  <c r="Z307" i="12"/>
  <c r="AG307" i="12"/>
  <c r="Z360" i="12"/>
  <c r="AJ360" i="12"/>
  <c r="AG360" i="12"/>
  <c r="AL360" i="12"/>
  <c r="Z66" i="12"/>
  <c r="AL66" i="12"/>
  <c r="AJ66" i="12"/>
  <c r="AI66" i="12"/>
  <c r="AG66" i="12"/>
  <c r="AJ152" i="12"/>
  <c r="AL152" i="12"/>
  <c r="AI152" i="12"/>
  <c r="Z152" i="12"/>
  <c r="AG152" i="12"/>
  <c r="AG164" i="12"/>
  <c r="AL164" i="12"/>
  <c r="AK164" i="12"/>
  <c r="AI164" i="12"/>
  <c r="Z164" i="12"/>
  <c r="AG174" i="12"/>
  <c r="AI174" i="12"/>
  <c r="AL174" i="12"/>
  <c r="AK174" i="12"/>
  <c r="AJ174" i="12"/>
  <c r="Z174" i="12"/>
  <c r="AL269" i="12"/>
  <c r="AJ269" i="12"/>
  <c r="AI269" i="12"/>
  <c r="AG269" i="12"/>
  <c r="Z269" i="12"/>
  <c r="Z663" i="12"/>
  <c r="AI663" i="12"/>
  <c r="Z119" i="12"/>
  <c r="AJ119" i="12"/>
  <c r="AI119" i="12"/>
  <c r="Z443" i="12"/>
  <c r="AK443" i="12"/>
  <c r="AJ443" i="12"/>
  <c r="AI443" i="12"/>
  <c r="AJ665" i="12"/>
  <c r="AI665" i="12"/>
  <c r="AK665" i="12"/>
  <c r="Z665" i="12"/>
  <c r="AL665" i="12"/>
  <c r="AG665" i="12"/>
  <c r="AK391" i="12"/>
  <c r="AI391" i="12"/>
  <c r="AG391" i="12"/>
  <c r="Z391" i="12"/>
  <c r="AJ391" i="12"/>
  <c r="Z477" i="12"/>
  <c r="AG477" i="12"/>
  <c r="AJ477" i="12"/>
  <c r="AK477" i="12"/>
  <c r="AI477" i="12"/>
  <c r="AG527" i="12"/>
  <c r="AL527" i="12"/>
  <c r="AJ527" i="12"/>
  <c r="Z527" i="12"/>
  <c r="AI527" i="12"/>
  <c r="Z768" i="12"/>
  <c r="AJ768" i="12"/>
  <c r="AL720" i="12"/>
  <c r="AI720" i="12"/>
  <c r="Z720" i="12"/>
  <c r="AG720" i="12"/>
  <c r="AK529" i="12"/>
  <c r="AG529" i="12"/>
  <c r="AL529" i="12"/>
  <c r="AJ529" i="12"/>
  <c r="Z529" i="12"/>
  <c r="AJ638" i="12"/>
  <c r="Z638" i="12"/>
  <c r="Z637" i="12"/>
  <c r="AJ637" i="12"/>
  <c r="AI637" i="12"/>
  <c r="AL637" i="12"/>
  <c r="AK637" i="12"/>
  <c r="Z511" i="12"/>
  <c r="AG511" i="12"/>
  <c r="AJ716" i="12"/>
  <c r="Z716" i="12"/>
  <c r="AL716" i="12"/>
  <c r="AK716" i="12"/>
  <c r="AI716" i="12"/>
  <c r="Z661" i="12"/>
  <c r="AK661" i="12"/>
  <c r="AL661" i="12"/>
  <c r="AG661" i="12"/>
  <c r="AI661" i="12"/>
  <c r="AG809" i="12"/>
  <c r="Z745" i="12"/>
  <c r="AI745" i="12"/>
  <c r="AL745" i="12"/>
  <c r="AJ745" i="12"/>
  <c r="AG745" i="12"/>
  <c r="AI790" i="12"/>
  <c r="AG790" i="12"/>
  <c r="Z790" i="12"/>
  <c r="AJ790" i="12"/>
  <c r="AK831" i="12"/>
  <c r="Z831" i="12"/>
  <c r="AJ831" i="12"/>
  <c r="AI831" i="12"/>
  <c r="AG831" i="12"/>
  <c r="Z844" i="12"/>
  <c r="AG844" i="12"/>
  <c r="AL844" i="12"/>
  <c r="AI844" i="12"/>
  <c r="AJ149" i="12"/>
  <c r="AI149" i="12"/>
  <c r="Z149" i="12"/>
  <c r="AG149" i="12"/>
  <c r="H193" i="9"/>
  <c r="J193" i="9" s="1"/>
  <c r="I47" i="2" s="1"/>
  <c r="I193" i="9"/>
  <c r="AK356" i="12"/>
  <c r="AI809" i="12"/>
  <c r="AI808" i="12"/>
  <c r="AG768" i="12"/>
  <c r="AK643" i="12"/>
  <c r="AL511" i="12"/>
  <c r="AK281" i="12"/>
  <c r="AL262" i="12"/>
  <c r="AG486" i="12"/>
  <c r="AL79" i="12"/>
  <c r="AK79" i="12"/>
  <c r="AJ79" i="12"/>
  <c r="Z79" i="12"/>
  <c r="AI79" i="12"/>
  <c r="AG79" i="12"/>
  <c r="AI313" i="12"/>
  <c r="AG313" i="12"/>
  <c r="AK313" i="12"/>
  <c r="AL313" i="12"/>
  <c r="AJ313" i="12"/>
  <c r="AK362" i="12"/>
  <c r="AJ362" i="12"/>
  <c r="AI362" i="12"/>
  <c r="AG362" i="12"/>
  <c r="Z362" i="12"/>
  <c r="Z86" i="12"/>
  <c r="AL86" i="12"/>
  <c r="AI86" i="12"/>
  <c r="AK86" i="12"/>
  <c r="AJ86" i="12"/>
  <c r="AG86" i="12"/>
  <c r="Z176" i="12"/>
  <c r="AG176" i="12"/>
  <c r="AJ175" i="12"/>
  <c r="AI175" i="12"/>
  <c r="AG175" i="12"/>
  <c r="AL175" i="12"/>
  <c r="AK175" i="12"/>
  <c r="Z175" i="12"/>
  <c r="AL196" i="12"/>
  <c r="AK196" i="12"/>
  <c r="AJ196" i="12"/>
  <c r="AI196" i="12"/>
  <c r="AG196" i="12"/>
  <c r="Z196" i="12"/>
  <c r="AK284" i="12"/>
  <c r="AJ284" i="12"/>
  <c r="AG284" i="12"/>
  <c r="Z284" i="12"/>
  <c r="AL284" i="12"/>
  <c r="AI284" i="12"/>
  <c r="Z235" i="12"/>
  <c r="AJ235" i="12"/>
  <c r="AL235" i="12"/>
  <c r="AK235" i="12"/>
  <c r="AI235" i="12"/>
  <c r="AG235" i="12"/>
  <c r="AI139" i="12"/>
  <c r="AG139" i="12"/>
  <c r="AL139" i="12"/>
  <c r="Z139" i="12"/>
  <c r="AJ139" i="12"/>
  <c r="AK139" i="12"/>
  <c r="AK309" i="12"/>
  <c r="AI309" i="12"/>
  <c r="AG309" i="12"/>
  <c r="Z309" i="12"/>
  <c r="Z405" i="12"/>
  <c r="AK405" i="12"/>
  <c r="AI405" i="12"/>
  <c r="AG405" i="12"/>
  <c r="AG450" i="12"/>
  <c r="AI450" i="12"/>
  <c r="Z450" i="12"/>
  <c r="AL450" i="12"/>
  <c r="AK450" i="12"/>
  <c r="AJ450" i="12"/>
  <c r="AL319" i="12"/>
  <c r="AK319" i="12"/>
  <c r="AJ319" i="12"/>
  <c r="AI319" i="12"/>
  <c r="AG319" i="12"/>
  <c r="Z319" i="12"/>
  <c r="Z412" i="12"/>
  <c r="AL412" i="12"/>
  <c r="AK412" i="12"/>
  <c r="AI412" i="12"/>
  <c r="AJ412" i="12"/>
  <c r="AG412" i="12"/>
  <c r="Z491" i="12"/>
  <c r="AG491" i="12"/>
  <c r="AK491" i="12"/>
  <c r="AJ491" i="12"/>
  <c r="AI491" i="12"/>
  <c r="AL491" i="12"/>
  <c r="Z513" i="12"/>
  <c r="AJ513" i="12"/>
  <c r="Z541" i="12"/>
  <c r="AK541" i="12"/>
  <c r="AG541" i="12"/>
  <c r="AJ541" i="12"/>
  <c r="AL740" i="12"/>
  <c r="AK740" i="12"/>
  <c r="AI740" i="12"/>
  <c r="Z740" i="12"/>
  <c r="AG740" i="12"/>
  <c r="AJ740" i="12"/>
  <c r="AL562" i="12"/>
  <c r="AK562" i="12"/>
  <c r="AG562" i="12"/>
  <c r="Z562" i="12"/>
  <c r="Z645" i="12"/>
  <c r="AG645" i="12"/>
  <c r="AI645" i="12"/>
  <c r="AJ645" i="12"/>
  <c r="AL645" i="12"/>
  <c r="AK645" i="12"/>
  <c r="Z674" i="12"/>
  <c r="AJ674" i="12"/>
  <c r="AL674" i="12"/>
  <c r="AK674" i="12"/>
  <c r="AG674" i="12"/>
  <c r="Z531" i="12"/>
  <c r="AL531" i="12"/>
  <c r="AJ531" i="12"/>
  <c r="AI531" i="12"/>
  <c r="AG531" i="12"/>
  <c r="AL761" i="12"/>
  <c r="AK761" i="12"/>
  <c r="AJ761" i="12"/>
  <c r="AI761" i="12"/>
  <c r="AG761" i="12"/>
  <c r="Z761" i="12"/>
  <c r="Z701" i="12"/>
  <c r="AJ701" i="12"/>
  <c r="AG843" i="12"/>
  <c r="AI843" i="12"/>
  <c r="Z843" i="12"/>
  <c r="AK843" i="12"/>
  <c r="Z758" i="12"/>
  <c r="AG758" i="12"/>
  <c r="AI813" i="12"/>
  <c r="AG813" i="12"/>
  <c r="Z813" i="12"/>
  <c r="AL813" i="12"/>
  <c r="AK813" i="12"/>
  <c r="AJ813" i="12"/>
  <c r="Z848" i="12"/>
  <c r="AI848" i="12"/>
  <c r="AG848" i="12"/>
  <c r="Z853" i="12"/>
  <c r="AL853" i="12"/>
  <c r="AJ853" i="12"/>
  <c r="AK853" i="12"/>
  <c r="AI853" i="12"/>
  <c r="AG853" i="12"/>
  <c r="AL266" i="12"/>
  <c r="L71" i="9"/>
  <c r="AL176" i="12"/>
  <c r="M186" i="9"/>
  <c r="G46" i="2"/>
  <c r="N186" i="9"/>
  <c r="O186" i="9" s="1"/>
  <c r="AL356" i="12"/>
  <c r="AJ154" i="12"/>
  <c r="N174" i="9"/>
  <c r="AG513" i="12"/>
  <c r="AD3" i="12"/>
  <c r="AD4" i="12" s="1"/>
  <c r="AD5" i="12" s="1"/>
  <c r="AD6" i="12" s="1"/>
  <c r="AD7" i="12" s="1"/>
  <c r="AD8" i="12" s="1"/>
  <c r="AD9" i="12" s="1"/>
  <c r="AD10" i="12" s="1"/>
  <c r="AD11" i="12" s="1"/>
  <c r="AD12" i="12" s="1"/>
  <c r="AD13" i="12" s="1"/>
  <c r="AD14" i="12" s="1"/>
  <c r="AD15" i="12" s="1"/>
  <c r="AD16" i="12" s="1"/>
  <c r="AD17" i="12" s="1"/>
  <c r="AD18" i="12" s="1"/>
  <c r="AD19" i="12" s="1"/>
  <c r="AD20" i="12" s="1"/>
  <c r="AD21" i="12" s="1"/>
  <c r="AD22" i="12" s="1"/>
  <c r="AD23" i="12" s="1"/>
  <c r="AD24" i="12" s="1"/>
  <c r="AD25" i="12" s="1"/>
  <c r="AD26" i="12" s="1"/>
  <c r="AD27" i="12" s="1"/>
  <c r="AD28" i="12" s="1"/>
  <c r="AD29" i="12" s="1"/>
  <c r="AD30" i="12" s="1"/>
  <c r="AD31" i="12" s="1"/>
  <c r="AD32" i="12" s="1"/>
  <c r="AD33" i="12" s="1"/>
  <c r="AD34" i="12" s="1"/>
  <c r="AD35" i="12" s="1"/>
  <c r="AD36" i="12" s="1"/>
  <c r="AD37" i="12" s="1"/>
  <c r="AD38" i="12" s="1"/>
  <c r="AD39" i="12" s="1"/>
  <c r="AD40" i="12" s="1"/>
  <c r="AD41" i="12" s="1"/>
  <c r="AD42" i="12" s="1"/>
  <c r="AD43" i="12" s="1"/>
  <c r="AD44" i="12" s="1"/>
  <c r="AD45" i="12" s="1"/>
  <c r="AD46" i="12" s="1"/>
  <c r="AD47" i="12" s="1"/>
  <c r="AD48" i="12" s="1"/>
  <c r="AD49" i="12" s="1"/>
  <c r="AD50" i="12" s="1"/>
  <c r="AD51" i="12" s="1"/>
  <c r="AD52" i="12" s="1"/>
  <c r="AD53" i="12" s="1"/>
  <c r="AD54" i="12" s="1"/>
  <c r="AD55" i="12" s="1"/>
  <c r="AD56" i="12" s="1"/>
  <c r="AD57" i="12" s="1"/>
  <c r="AD58" i="12" s="1"/>
  <c r="AD59" i="12" s="1"/>
  <c r="AD60" i="12" s="1"/>
  <c r="AD61" i="12" s="1"/>
  <c r="AD62" i="12" s="1"/>
  <c r="AD63" i="12" s="1"/>
  <c r="AD64" i="12" s="1"/>
  <c r="AD65" i="12" s="1"/>
  <c r="AD66" i="12" s="1"/>
  <c r="AD67" i="12" s="1"/>
  <c r="AD68" i="12" s="1"/>
  <c r="AD69" i="12" s="1"/>
  <c r="AD70" i="12" s="1"/>
  <c r="AD71" i="12" s="1"/>
  <c r="AD72" i="12" s="1"/>
  <c r="AD73" i="12" s="1"/>
  <c r="AD74" i="12" s="1"/>
  <c r="AD75" i="12" s="1"/>
  <c r="AD76" i="12" s="1"/>
  <c r="AD77" i="12" s="1"/>
  <c r="AD78" i="12" s="1"/>
  <c r="AD79" i="12" s="1"/>
  <c r="AD80" i="12" s="1"/>
  <c r="AD81" i="12" s="1"/>
  <c r="AD82" i="12" s="1"/>
  <c r="AD83" i="12" s="1"/>
  <c r="AD84" i="12" s="1"/>
  <c r="AD85" i="12" s="1"/>
  <c r="AD86" i="12" s="1"/>
  <c r="AD87" i="12" s="1"/>
  <c r="AD88" i="12" s="1"/>
  <c r="AD89" i="12" s="1"/>
  <c r="AD90" i="12" s="1"/>
  <c r="AD91" i="12" s="1"/>
  <c r="AD92" i="12" s="1"/>
  <c r="AD93" i="12" s="1"/>
  <c r="AD94" i="12" s="1"/>
  <c r="AD95" i="12" s="1"/>
  <c r="AD96" i="12" s="1"/>
  <c r="AD97" i="12" s="1"/>
  <c r="AD98" i="12" s="1"/>
  <c r="AD99" i="12" s="1"/>
  <c r="AD100" i="12" s="1"/>
  <c r="AD101" i="12" s="1"/>
  <c r="AD102" i="12" s="1"/>
  <c r="AD103" i="12" s="1"/>
  <c r="AD104" i="12" s="1"/>
  <c r="AD105" i="12" s="1"/>
  <c r="AD106" i="12" s="1"/>
  <c r="AD107" i="12" s="1"/>
  <c r="AD108" i="12" s="1"/>
  <c r="AD109" i="12" s="1"/>
  <c r="AD110" i="12" s="1"/>
  <c r="AD111" i="12" s="1"/>
  <c r="AD112" i="12" s="1"/>
  <c r="AD113" i="12" s="1"/>
  <c r="AD114" i="12" s="1"/>
  <c r="AD115" i="12" s="1"/>
  <c r="AD116" i="12" s="1"/>
  <c r="AD117" i="12" s="1"/>
  <c r="AD118" i="12" s="1"/>
  <c r="AD119" i="12" s="1"/>
  <c r="AD120" i="12" s="1"/>
  <c r="AD121" i="12" s="1"/>
  <c r="AD122" i="12" s="1"/>
  <c r="AD123" i="12" s="1"/>
  <c r="AD124" i="12" s="1"/>
  <c r="AD125" i="12" s="1"/>
  <c r="AD126" i="12" s="1"/>
  <c r="AD127" i="12" s="1"/>
  <c r="AD128" i="12" s="1"/>
  <c r="AD129" i="12" s="1"/>
  <c r="AD130" i="12" s="1"/>
  <c r="AD131" i="12" s="1"/>
  <c r="AD132" i="12" s="1"/>
  <c r="AD133" i="12" s="1"/>
  <c r="AD134" i="12" s="1"/>
  <c r="AD135" i="12" s="1"/>
  <c r="AD136" i="12" s="1"/>
  <c r="AD137" i="12" s="1"/>
  <c r="AD138" i="12" s="1"/>
  <c r="AD139" i="12" s="1"/>
  <c r="AD140" i="12" s="1"/>
  <c r="AD141" i="12" s="1"/>
  <c r="AD142" i="12" s="1"/>
  <c r="AD143" i="12" s="1"/>
  <c r="AD144" i="12" s="1"/>
  <c r="AD145" i="12" s="1"/>
  <c r="AD146" i="12" s="1"/>
  <c r="AD147" i="12" s="1"/>
  <c r="AD148" i="12" s="1"/>
  <c r="AD149" i="12" s="1"/>
  <c r="AD150" i="12" s="1"/>
  <c r="AD151" i="12" s="1"/>
  <c r="AD152" i="12" s="1"/>
  <c r="AD153" i="12" s="1"/>
  <c r="AD154" i="12" s="1"/>
  <c r="AD155" i="12" s="1"/>
  <c r="AD156" i="12" s="1"/>
  <c r="AD157" i="12" s="1"/>
  <c r="AD158" i="12" s="1"/>
  <c r="AD159" i="12" s="1"/>
  <c r="AD160" i="12" s="1"/>
  <c r="AD161" i="12" s="1"/>
  <c r="AD162" i="12" s="1"/>
  <c r="AD163" i="12" s="1"/>
  <c r="AD164" i="12" s="1"/>
  <c r="AD165" i="12" s="1"/>
  <c r="AD166" i="12" s="1"/>
  <c r="AD167" i="12" s="1"/>
  <c r="AD168" i="12" s="1"/>
  <c r="AD169" i="12" s="1"/>
  <c r="AD170" i="12" s="1"/>
  <c r="AD171" i="12" s="1"/>
  <c r="AD172" i="12" s="1"/>
  <c r="AD173" i="12" s="1"/>
  <c r="AD174" i="12" s="1"/>
  <c r="AD175" i="12" s="1"/>
  <c r="AD176" i="12" s="1"/>
  <c r="AD177" i="12" s="1"/>
  <c r="AD178" i="12" s="1"/>
  <c r="AD179" i="12" s="1"/>
  <c r="AD180" i="12" s="1"/>
  <c r="AD181" i="12" s="1"/>
  <c r="AD182" i="12" s="1"/>
  <c r="AD183" i="12" s="1"/>
  <c r="AD184" i="12" s="1"/>
  <c r="AD185" i="12" s="1"/>
  <c r="AD186" i="12" s="1"/>
  <c r="AD187" i="12" s="1"/>
  <c r="AD188" i="12" s="1"/>
  <c r="AD189" i="12" s="1"/>
  <c r="AD190" i="12" s="1"/>
  <c r="AD191" i="12" s="1"/>
  <c r="AD192" i="12" s="1"/>
  <c r="AD193" i="12" s="1"/>
  <c r="AD194" i="12" s="1"/>
  <c r="AD195" i="12" s="1"/>
  <c r="AD196" i="12" s="1"/>
  <c r="AD197" i="12" s="1"/>
  <c r="AD198" i="12" s="1"/>
  <c r="AD199" i="12" s="1"/>
  <c r="AD200" i="12" s="1"/>
  <c r="AD201" i="12" s="1"/>
  <c r="AD202" i="12" s="1"/>
  <c r="AD203" i="12" s="1"/>
  <c r="AD204" i="12" s="1"/>
  <c r="AD205" i="12" s="1"/>
  <c r="AD206" i="12" s="1"/>
  <c r="AD207" i="12" s="1"/>
  <c r="AD208" i="12" s="1"/>
  <c r="AD209" i="12" s="1"/>
  <c r="AD210" i="12" s="1"/>
  <c r="AD211" i="12" s="1"/>
  <c r="AD212" i="12" s="1"/>
  <c r="AD213" i="12" s="1"/>
  <c r="AD214" i="12" s="1"/>
  <c r="AD215" i="12" s="1"/>
  <c r="AD216" i="12" s="1"/>
  <c r="AD217" i="12" s="1"/>
  <c r="AD218" i="12" s="1"/>
  <c r="AD219" i="12" s="1"/>
  <c r="AD220" i="12" s="1"/>
  <c r="AD221" i="12" s="1"/>
  <c r="AD222" i="12" s="1"/>
  <c r="AD223" i="12" s="1"/>
  <c r="AD224" i="12" s="1"/>
  <c r="AD225" i="12" s="1"/>
  <c r="AD226" i="12" s="1"/>
  <c r="AD227" i="12" s="1"/>
  <c r="AD228" i="12" s="1"/>
  <c r="AD229" i="12" s="1"/>
  <c r="AD230" i="12" s="1"/>
  <c r="AD231" i="12" s="1"/>
  <c r="AD232" i="12" s="1"/>
  <c r="AD233" i="12" s="1"/>
  <c r="AD234" i="12" s="1"/>
  <c r="AD235" i="12" s="1"/>
  <c r="AD236" i="12" s="1"/>
  <c r="AD237" i="12" s="1"/>
  <c r="AD238" i="12" s="1"/>
  <c r="AD239" i="12" s="1"/>
  <c r="AD240" i="12" s="1"/>
  <c r="AD241" i="12" s="1"/>
  <c r="AD242" i="12" s="1"/>
  <c r="AD243" i="12" s="1"/>
  <c r="AD244" i="12" s="1"/>
  <c r="AD245" i="12" s="1"/>
  <c r="AD246" i="12" s="1"/>
  <c r="AD247" i="12" s="1"/>
  <c r="AD248" i="12" s="1"/>
  <c r="AD249" i="12" s="1"/>
  <c r="AD250" i="12" s="1"/>
  <c r="AD251" i="12" s="1"/>
  <c r="AD252" i="12" s="1"/>
  <c r="AD253" i="12" s="1"/>
  <c r="AD254" i="12" s="1"/>
  <c r="AD255" i="12" s="1"/>
  <c r="AD256" i="12" s="1"/>
  <c r="AD257" i="12" s="1"/>
  <c r="AD258" i="12" s="1"/>
  <c r="AD259" i="12" s="1"/>
  <c r="AD260" i="12" s="1"/>
  <c r="AD261" i="12" s="1"/>
  <c r="AD262" i="12" s="1"/>
  <c r="AD263" i="12" s="1"/>
  <c r="AD264" i="12" s="1"/>
  <c r="AD265" i="12" s="1"/>
  <c r="AD266" i="12" s="1"/>
  <c r="AD267" i="12" s="1"/>
  <c r="AD268" i="12" s="1"/>
  <c r="AD269" i="12" s="1"/>
  <c r="AD270" i="12" s="1"/>
  <c r="AD271" i="12" s="1"/>
  <c r="AD272" i="12" s="1"/>
  <c r="AD273" i="12" s="1"/>
  <c r="AD274" i="12" s="1"/>
  <c r="AD275" i="12" s="1"/>
  <c r="AD276" i="12" s="1"/>
  <c r="AD277" i="12" s="1"/>
  <c r="AD278" i="12" s="1"/>
  <c r="AD279" i="12" s="1"/>
  <c r="AD280" i="12" s="1"/>
  <c r="AD281" i="12" s="1"/>
  <c r="AD282" i="12" s="1"/>
  <c r="AD283" i="12" s="1"/>
  <c r="AD284" i="12" s="1"/>
  <c r="AD285" i="12" s="1"/>
  <c r="AD286" i="12" s="1"/>
  <c r="AD287" i="12" s="1"/>
  <c r="AD288" i="12" s="1"/>
  <c r="AD289" i="12" s="1"/>
  <c r="AD290" i="12" s="1"/>
  <c r="AD291" i="12" s="1"/>
  <c r="AD292" i="12" s="1"/>
  <c r="AD293" i="12" s="1"/>
  <c r="AD294" i="12" s="1"/>
  <c r="AD295" i="12" s="1"/>
  <c r="AD296" i="12" s="1"/>
  <c r="AD297" i="12" s="1"/>
  <c r="AD298" i="12" s="1"/>
  <c r="AD299" i="12" s="1"/>
  <c r="AD300" i="12" s="1"/>
  <c r="AD301" i="12" s="1"/>
  <c r="AD302" i="12" s="1"/>
  <c r="AD303" i="12" s="1"/>
  <c r="AD304" i="12" s="1"/>
  <c r="AD305" i="12" s="1"/>
  <c r="AD306" i="12" s="1"/>
  <c r="AD307" i="12" s="1"/>
  <c r="AD308" i="12" s="1"/>
  <c r="AD309" i="12" s="1"/>
  <c r="AD310" i="12" s="1"/>
  <c r="AD311" i="12" s="1"/>
  <c r="AD312" i="12" s="1"/>
  <c r="AD313" i="12" s="1"/>
  <c r="AD314" i="12" s="1"/>
  <c r="AD315" i="12" s="1"/>
  <c r="AD316" i="12" s="1"/>
  <c r="AD317" i="12" s="1"/>
  <c r="AD318" i="12" s="1"/>
  <c r="AD319" i="12" s="1"/>
  <c r="AD320" i="12" s="1"/>
  <c r="AD321" i="12" s="1"/>
  <c r="AD322" i="12" s="1"/>
  <c r="AD323" i="12" s="1"/>
  <c r="AD324" i="12" s="1"/>
  <c r="AD325" i="12" s="1"/>
  <c r="AD326" i="12" s="1"/>
  <c r="AD327" i="12" s="1"/>
  <c r="AD328" i="12" s="1"/>
  <c r="AD329" i="12" s="1"/>
  <c r="AD330" i="12" s="1"/>
  <c r="AD331" i="12" s="1"/>
  <c r="AD332" i="12" s="1"/>
  <c r="AD333" i="12" s="1"/>
  <c r="AD334" i="12" s="1"/>
  <c r="AD335" i="12" s="1"/>
  <c r="AD336" i="12" s="1"/>
  <c r="AD337" i="12" s="1"/>
  <c r="AD338" i="12" s="1"/>
  <c r="AD339" i="12" s="1"/>
  <c r="AD340" i="12" s="1"/>
  <c r="AD341" i="12" s="1"/>
  <c r="AD342" i="12" s="1"/>
  <c r="AD343" i="12" s="1"/>
  <c r="AD344" i="12" s="1"/>
  <c r="AD345" i="12" s="1"/>
  <c r="AD346" i="12" s="1"/>
  <c r="AD347" i="12" s="1"/>
  <c r="AD348" i="12" s="1"/>
  <c r="AD349" i="12" s="1"/>
  <c r="AD350" i="12" s="1"/>
  <c r="AD351" i="12" s="1"/>
  <c r="AD352" i="12" s="1"/>
  <c r="AD353" i="12" s="1"/>
  <c r="AD354" i="12" s="1"/>
  <c r="AD355" i="12" s="1"/>
  <c r="AD356" i="12" s="1"/>
  <c r="AD357" i="12" s="1"/>
  <c r="AD358" i="12" s="1"/>
  <c r="AD359" i="12" s="1"/>
  <c r="AD360" i="12" s="1"/>
  <c r="AD361" i="12" s="1"/>
  <c r="AD362" i="12" s="1"/>
  <c r="AD363" i="12" s="1"/>
  <c r="AD364" i="12" s="1"/>
  <c r="AD365" i="12" s="1"/>
  <c r="AD366" i="12" s="1"/>
  <c r="AD367" i="12" s="1"/>
  <c r="AD368" i="12" s="1"/>
  <c r="AD369" i="12" s="1"/>
  <c r="AD370" i="12" s="1"/>
  <c r="AD371" i="12" s="1"/>
  <c r="AD372" i="12" s="1"/>
  <c r="AD373" i="12" s="1"/>
  <c r="AD374" i="12" s="1"/>
  <c r="AD375" i="12" s="1"/>
  <c r="AD376" i="12" s="1"/>
  <c r="AD377" i="12" s="1"/>
  <c r="AD378" i="12" s="1"/>
  <c r="AD379" i="12" s="1"/>
  <c r="AD380" i="12" s="1"/>
  <c r="AD381" i="12" s="1"/>
  <c r="AD382" i="12" s="1"/>
  <c r="AD383" i="12" s="1"/>
  <c r="AD384" i="12" s="1"/>
  <c r="AD385" i="12" s="1"/>
  <c r="AD386" i="12" s="1"/>
  <c r="AD387" i="12" s="1"/>
  <c r="AD388" i="12" s="1"/>
  <c r="AD389" i="12" s="1"/>
  <c r="AD390" i="12" s="1"/>
  <c r="AD391" i="12" s="1"/>
  <c r="AD392" i="12" s="1"/>
  <c r="AD393" i="12" s="1"/>
  <c r="AD394" i="12" s="1"/>
  <c r="AD395" i="12" s="1"/>
  <c r="AD396" i="12" s="1"/>
  <c r="AD397" i="12" s="1"/>
  <c r="AD398" i="12" s="1"/>
  <c r="AD399" i="12" s="1"/>
  <c r="AD400" i="12" s="1"/>
  <c r="AD401" i="12" s="1"/>
  <c r="AD402" i="12" s="1"/>
  <c r="AD403" i="12" s="1"/>
  <c r="AD404" i="12" s="1"/>
  <c r="AD405" i="12" s="1"/>
  <c r="AD406" i="12" s="1"/>
  <c r="AD407" i="12" s="1"/>
  <c r="AD408" i="12" s="1"/>
  <c r="AD409" i="12" s="1"/>
  <c r="AD410" i="12" s="1"/>
  <c r="AD411" i="12" s="1"/>
  <c r="AD412" i="12" s="1"/>
  <c r="AD413" i="12" s="1"/>
  <c r="AD414" i="12" s="1"/>
  <c r="AD415" i="12" s="1"/>
  <c r="AD416" i="12" s="1"/>
  <c r="AD417" i="12" s="1"/>
  <c r="AD418" i="12" s="1"/>
  <c r="AD419" i="12" s="1"/>
  <c r="AD420" i="12" s="1"/>
  <c r="AD421" i="12" s="1"/>
  <c r="AD422" i="12" s="1"/>
  <c r="AD423" i="12" s="1"/>
  <c r="AD424" i="12" s="1"/>
  <c r="AD425" i="12" s="1"/>
  <c r="AD426" i="12" s="1"/>
  <c r="AD427" i="12" s="1"/>
  <c r="AD428" i="12" s="1"/>
  <c r="AD429" i="12" s="1"/>
  <c r="AD430" i="12" s="1"/>
  <c r="AD431" i="12" s="1"/>
  <c r="AD432" i="12" s="1"/>
  <c r="AD433" i="12" s="1"/>
  <c r="AD434" i="12" s="1"/>
  <c r="AD435" i="12" s="1"/>
  <c r="AD436" i="12" s="1"/>
  <c r="AD437" i="12" s="1"/>
  <c r="AD438" i="12" s="1"/>
  <c r="AD439" i="12" s="1"/>
  <c r="AD440" i="12" s="1"/>
  <c r="AD441" i="12" s="1"/>
  <c r="AD442" i="12" s="1"/>
  <c r="AD443" i="12" s="1"/>
  <c r="AD444" i="12" s="1"/>
  <c r="AD445" i="12" s="1"/>
  <c r="AD446" i="12" s="1"/>
  <c r="AD447" i="12" s="1"/>
  <c r="AD448" i="12" s="1"/>
  <c r="AD449" i="12" s="1"/>
  <c r="AD450" i="12" s="1"/>
  <c r="AD451" i="12" s="1"/>
  <c r="AD452" i="12" s="1"/>
  <c r="AD453" i="12" s="1"/>
  <c r="AD454" i="12" s="1"/>
  <c r="AD455" i="12" s="1"/>
  <c r="AD456" i="12" s="1"/>
  <c r="AD457" i="12" s="1"/>
  <c r="AD458" i="12" s="1"/>
  <c r="AD459" i="12" s="1"/>
  <c r="AD460" i="12" s="1"/>
  <c r="AD461" i="12" s="1"/>
  <c r="AD462" i="12" s="1"/>
  <c r="AD463" i="12" s="1"/>
  <c r="AD464" i="12" s="1"/>
  <c r="AD465" i="12" s="1"/>
  <c r="AD466" i="12" s="1"/>
  <c r="AD467" i="12" s="1"/>
  <c r="AD468" i="12" s="1"/>
  <c r="AD469" i="12" s="1"/>
  <c r="AD470" i="12" s="1"/>
  <c r="AD471" i="12" s="1"/>
  <c r="AD472" i="12" s="1"/>
  <c r="AD473" i="12" s="1"/>
  <c r="AD474" i="12" s="1"/>
  <c r="AD475" i="12" s="1"/>
  <c r="AD476" i="12" s="1"/>
  <c r="AD477" i="12" s="1"/>
  <c r="AD478" i="12" s="1"/>
  <c r="AD479" i="12" s="1"/>
  <c r="AD480" i="12" s="1"/>
  <c r="AD481" i="12" s="1"/>
  <c r="AD482" i="12" s="1"/>
  <c r="AD483" i="12" s="1"/>
  <c r="AD484" i="12" s="1"/>
  <c r="AD485" i="12" s="1"/>
  <c r="AD486" i="12" s="1"/>
  <c r="AD487" i="12" s="1"/>
  <c r="AD488" i="12" s="1"/>
  <c r="AD489" i="12" s="1"/>
  <c r="AD490" i="12" s="1"/>
  <c r="AD491" i="12" s="1"/>
  <c r="AD492" i="12" s="1"/>
  <c r="AD493" i="12" s="1"/>
  <c r="AD494" i="12" s="1"/>
  <c r="AD495" i="12" s="1"/>
  <c r="AD496" i="12" s="1"/>
  <c r="AD497" i="12" s="1"/>
  <c r="AD498" i="12" s="1"/>
  <c r="AD499" i="12" s="1"/>
  <c r="AD500" i="12" s="1"/>
  <c r="AD501" i="12" s="1"/>
  <c r="AD502" i="12" s="1"/>
  <c r="AD503" i="12" s="1"/>
  <c r="AD504" i="12" s="1"/>
  <c r="AD505" i="12" s="1"/>
  <c r="AD506" i="12" s="1"/>
  <c r="AD507" i="12" s="1"/>
  <c r="AD508" i="12" s="1"/>
  <c r="AD509" i="12" s="1"/>
  <c r="AD510" i="12" s="1"/>
  <c r="AD511" i="12" s="1"/>
  <c r="AD512" i="12" s="1"/>
  <c r="AD513" i="12" s="1"/>
  <c r="AD514" i="12" s="1"/>
  <c r="AD515" i="12" s="1"/>
  <c r="AD516" i="12" s="1"/>
  <c r="AD517" i="12" s="1"/>
  <c r="AD518" i="12" s="1"/>
  <c r="AD519" i="12" s="1"/>
  <c r="AD520" i="12" s="1"/>
  <c r="AD521" i="12" s="1"/>
  <c r="AD522" i="12" s="1"/>
  <c r="AD523" i="12" s="1"/>
  <c r="AD524" i="12" s="1"/>
  <c r="AD525" i="12" s="1"/>
  <c r="AD526" i="12" s="1"/>
  <c r="AD527" i="12" s="1"/>
  <c r="AD528" i="12" s="1"/>
  <c r="AD529" i="12" s="1"/>
  <c r="AD530" i="12" s="1"/>
  <c r="AD531" i="12" s="1"/>
  <c r="AD532" i="12" s="1"/>
  <c r="AD533" i="12" s="1"/>
  <c r="AD534" i="12" s="1"/>
  <c r="AD535" i="12" s="1"/>
  <c r="AD536" i="12" s="1"/>
  <c r="AD537" i="12" s="1"/>
  <c r="AD538" i="12" s="1"/>
  <c r="AD539" i="12" s="1"/>
  <c r="AD540" i="12" s="1"/>
  <c r="AD541" i="12" s="1"/>
  <c r="AD542" i="12" s="1"/>
  <c r="AD543" i="12" s="1"/>
  <c r="AD544" i="12" s="1"/>
  <c r="AD545" i="12" s="1"/>
  <c r="AD546" i="12" s="1"/>
  <c r="AD547" i="12" s="1"/>
  <c r="AD548" i="12" s="1"/>
  <c r="AD549" i="12" s="1"/>
  <c r="AD550" i="12" s="1"/>
  <c r="AD551" i="12" s="1"/>
  <c r="AD552" i="12" s="1"/>
  <c r="AD553" i="12" s="1"/>
  <c r="AD554" i="12" s="1"/>
  <c r="AD555" i="12" s="1"/>
  <c r="AD556" i="12" s="1"/>
  <c r="AD557" i="12" s="1"/>
  <c r="AD558" i="12" s="1"/>
  <c r="AD559" i="12" s="1"/>
  <c r="AD560" i="12" s="1"/>
  <c r="AD561" i="12" s="1"/>
  <c r="AD562" i="12" s="1"/>
  <c r="AD563" i="12" s="1"/>
  <c r="AD564" i="12" s="1"/>
  <c r="AD565" i="12" s="1"/>
  <c r="AD566" i="12" s="1"/>
  <c r="AD567" i="12" s="1"/>
  <c r="AD568" i="12" s="1"/>
  <c r="AD569" i="12" s="1"/>
  <c r="AD570" i="12" s="1"/>
  <c r="AD571" i="12" s="1"/>
  <c r="AD572" i="12" s="1"/>
  <c r="AD573" i="12" s="1"/>
  <c r="AD574" i="12" s="1"/>
  <c r="AD575" i="12" s="1"/>
  <c r="AD576" i="12" s="1"/>
  <c r="AD577" i="12" s="1"/>
  <c r="AD578" i="12" s="1"/>
  <c r="AD579" i="12" s="1"/>
  <c r="AD580" i="12" s="1"/>
  <c r="AD581" i="12" s="1"/>
  <c r="AD582" i="12" s="1"/>
  <c r="AD583" i="12" s="1"/>
  <c r="AD584" i="12" s="1"/>
  <c r="AD585" i="12" s="1"/>
  <c r="AD586" i="12" s="1"/>
  <c r="AD587" i="12" s="1"/>
  <c r="AD588" i="12" s="1"/>
  <c r="AD589" i="12" s="1"/>
  <c r="AD590" i="12" s="1"/>
  <c r="AD591" i="12" s="1"/>
  <c r="AD592" i="12" s="1"/>
  <c r="AD593" i="12" s="1"/>
  <c r="AD594" i="12" s="1"/>
  <c r="AD595" i="12" s="1"/>
  <c r="AD596" i="12" s="1"/>
  <c r="AD597" i="12" s="1"/>
  <c r="AD598" i="12" s="1"/>
  <c r="AD599" i="12" s="1"/>
  <c r="AD600" i="12" s="1"/>
  <c r="AD601" i="12" s="1"/>
  <c r="AD602" i="12" s="1"/>
  <c r="AD603" i="12" s="1"/>
  <c r="AD604" i="12" s="1"/>
  <c r="AD605" i="12" s="1"/>
  <c r="AD606" i="12" s="1"/>
  <c r="AD607" i="12" s="1"/>
  <c r="AD608" i="12" s="1"/>
  <c r="AD609" i="12" s="1"/>
  <c r="AD610" i="12" s="1"/>
  <c r="AD611" i="12" s="1"/>
  <c r="AD612" i="12" s="1"/>
  <c r="AD613" i="12" s="1"/>
  <c r="AD614" i="12" s="1"/>
  <c r="AD615" i="12" s="1"/>
  <c r="AD616" i="12" s="1"/>
  <c r="AD617" i="12" s="1"/>
  <c r="AD618" i="12" s="1"/>
  <c r="AD619" i="12" s="1"/>
  <c r="AD620" i="12" s="1"/>
  <c r="AD621" i="12" s="1"/>
  <c r="AD622" i="12" s="1"/>
  <c r="AD623" i="12" s="1"/>
  <c r="AD624" i="12" s="1"/>
  <c r="AD625" i="12" s="1"/>
  <c r="AD626" i="12" s="1"/>
  <c r="AD627" i="12" s="1"/>
  <c r="AD628" i="12" s="1"/>
  <c r="AD629" i="12" s="1"/>
  <c r="AD630" i="12" s="1"/>
  <c r="AD631" i="12" s="1"/>
  <c r="AD632" i="12" s="1"/>
  <c r="AD633" i="12" s="1"/>
  <c r="AD634" i="12" s="1"/>
  <c r="AD635" i="12" s="1"/>
  <c r="AD636" i="12" s="1"/>
  <c r="AD637" i="12" s="1"/>
  <c r="AD638" i="12" s="1"/>
  <c r="AD639" i="12" s="1"/>
  <c r="AD640" i="12" s="1"/>
  <c r="AD641" i="12" s="1"/>
  <c r="AD642" i="12" s="1"/>
  <c r="AD643" i="12" s="1"/>
  <c r="AD644" i="12" s="1"/>
  <c r="AD645" i="12" s="1"/>
  <c r="AD646" i="12" s="1"/>
  <c r="AD647" i="12" s="1"/>
  <c r="AD648" i="12" s="1"/>
  <c r="AD649" i="12" s="1"/>
  <c r="AD650" i="12" s="1"/>
  <c r="AD651" i="12" s="1"/>
  <c r="AD652" i="12" s="1"/>
  <c r="AD653" i="12" s="1"/>
  <c r="AD654" i="12" s="1"/>
  <c r="AD655" i="12" s="1"/>
  <c r="AD656" i="12" s="1"/>
  <c r="AD657" i="12" s="1"/>
  <c r="AD658" i="12" s="1"/>
  <c r="AD659" i="12" s="1"/>
  <c r="AD660" i="12" s="1"/>
  <c r="AD661" i="12" s="1"/>
  <c r="AD662" i="12" s="1"/>
  <c r="AD663" i="12" s="1"/>
  <c r="AD664" i="12" s="1"/>
  <c r="AD665" i="12" s="1"/>
  <c r="AD666" i="12" s="1"/>
  <c r="AD667" i="12" s="1"/>
  <c r="AD668" i="12" s="1"/>
  <c r="AD669" i="12" s="1"/>
  <c r="AD670" i="12" s="1"/>
  <c r="AD671" i="12" s="1"/>
  <c r="AD672" i="12" s="1"/>
  <c r="AD673" i="12" s="1"/>
  <c r="AD674" i="12" s="1"/>
  <c r="AD675" i="12" s="1"/>
  <c r="AD676" i="12" s="1"/>
  <c r="AD677" i="12" s="1"/>
  <c r="AD678" i="12" s="1"/>
  <c r="AD679" i="12" s="1"/>
  <c r="AD680" i="12" s="1"/>
  <c r="AD681" i="12" s="1"/>
  <c r="AD682" i="12" s="1"/>
  <c r="AD683" i="12" s="1"/>
  <c r="AD684" i="12" s="1"/>
  <c r="AD685" i="12" s="1"/>
  <c r="AD686" i="12" s="1"/>
  <c r="AD687" i="12" s="1"/>
  <c r="AD688" i="12" s="1"/>
  <c r="AD689" i="12" s="1"/>
  <c r="AD690" i="12" s="1"/>
  <c r="AD691" i="12" s="1"/>
  <c r="AD692" i="12" s="1"/>
  <c r="AD693" i="12" s="1"/>
  <c r="AD694" i="12" s="1"/>
  <c r="AD695" i="12" s="1"/>
  <c r="AD696" i="12" s="1"/>
  <c r="AD697" i="12" s="1"/>
  <c r="AD698" i="12" s="1"/>
  <c r="AD699" i="12" s="1"/>
  <c r="AD700" i="12" s="1"/>
  <c r="AD701" i="12" s="1"/>
  <c r="AD702" i="12" s="1"/>
  <c r="AD703" i="12" s="1"/>
  <c r="AD704" i="12" s="1"/>
  <c r="AD705" i="12" s="1"/>
  <c r="AD706" i="12" s="1"/>
  <c r="AD707" i="12" s="1"/>
  <c r="AD708" i="12" s="1"/>
  <c r="AD709" i="12" s="1"/>
  <c r="AD710" i="12" s="1"/>
  <c r="AD711" i="12" s="1"/>
  <c r="AD712" i="12" s="1"/>
  <c r="AD713" i="12" s="1"/>
  <c r="AD714" i="12" s="1"/>
  <c r="AD715" i="12" s="1"/>
  <c r="AD716" i="12" s="1"/>
  <c r="AD717" i="12" s="1"/>
  <c r="AD718" i="12" s="1"/>
  <c r="AD719" i="12" s="1"/>
  <c r="AD720" i="12" s="1"/>
  <c r="AD721" i="12" s="1"/>
  <c r="AD722" i="12" s="1"/>
  <c r="AD723" i="12" s="1"/>
  <c r="AD724" i="12" s="1"/>
  <c r="AD725" i="12" s="1"/>
  <c r="AD726" i="12" s="1"/>
  <c r="AD727" i="12" s="1"/>
  <c r="AD728" i="12" s="1"/>
  <c r="AD729" i="12" s="1"/>
  <c r="AD730" i="12" s="1"/>
  <c r="AD731" i="12" s="1"/>
  <c r="AD732" i="12" s="1"/>
  <c r="AD733" i="12" s="1"/>
  <c r="AD734" i="12" s="1"/>
  <c r="AD735" i="12" s="1"/>
  <c r="AD736" i="12" s="1"/>
  <c r="AD737" i="12" s="1"/>
  <c r="AD738" i="12" s="1"/>
  <c r="AD739" i="12" s="1"/>
  <c r="AD740" i="12" s="1"/>
  <c r="AD741" i="12" s="1"/>
  <c r="AD742" i="12" s="1"/>
  <c r="AD743" i="12" s="1"/>
  <c r="AD744" i="12" s="1"/>
  <c r="AD745" i="12" s="1"/>
  <c r="AD746" i="12" s="1"/>
  <c r="AD747" i="12" s="1"/>
  <c r="AD748" i="12" s="1"/>
  <c r="AD749" i="12" s="1"/>
  <c r="AD750" i="12" s="1"/>
  <c r="AD751" i="12" s="1"/>
  <c r="AD752" i="12" s="1"/>
  <c r="AD753" i="12" s="1"/>
  <c r="AD754" i="12" s="1"/>
  <c r="AD755" i="12" s="1"/>
  <c r="AD756" i="12" s="1"/>
  <c r="AD757" i="12" s="1"/>
  <c r="AD758" i="12" s="1"/>
  <c r="AD759" i="12" s="1"/>
  <c r="AD760" i="12" s="1"/>
  <c r="AD761" i="12" s="1"/>
  <c r="AD762" i="12" s="1"/>
  <c r="AD763" i="12" s="1"/>
  <c r="AD764" i="12" s="1"/>
  <c r="AD765" i="12" s="1"/>
  <c r="AD766" i="12" s="1"/>
  <c r="AD767" i="12" s="1"/>
  <c r="AD768" i="12" s="1"/>
  <c r="AD769" i="12" s="1"/>
  <c r="AD770" i="12" s="1"/>
  <c r="AD771" i="12" s="1"/>
  <c r="AD772" i="12" s="1"/>
  <c r="AD773" i="12" s="1"/>
  <c r="AD774" i="12" s="1"/>
  <c r="AD775" i="12" s="1"/>
  <c r="AD776" i="12" s="1"/>
  <c r="AD777" i="12" s="1"/>
  <c r="AD778" i="12" s="1"/>
  <c r="AD779" i="12" s="1"/>
  <c r="AD780" i="12" s="1"/>
  <c r="AD781" i="12" s="1"/>
  <c r="AD782" i="12" s="1"/>
  <c r="AD783" i="12" s="1"/>
  <c r="AD784" i="12" s="1"/>
  <c r="AD785" i="12" s="1"/>
  <c r="AD786" i="12" s="1"/>
  <c r="AD787" i="12" s="1"/>
  <c r="AD788" i="12" s="1"/>
  <c r="AD789" i="12" s="1"/>
  <c r="AD790" i="12" s="1"/>
  <c r="AD791" i="12" s="1"/>
  <c r="AD792" i="12" s="1"/>
  <c r="AD793" i="12" s="1"/>
  <c r="AD794" i="12" s="1"/>
  <c r="AD795" i="12" s="1"/>
  <c r="AD796" i="12" s="1"/>
  <c r="AD797" i="12" s="1"/>
  <c r="AD798" i="12" s="1"/>
  <c r="AD799" i="12" s="1"/>
  <c r="AD800" i="12" s="1"/>
  <c r="AD801" i="12" s="1"/>
  <c r="AD802" i="12" s="1"/>
  <c r="AD803" i="12" s="1"/>
  <c r="AD804" i="12" s="1"/>
  <c r="AD805" i="12" s="1"/>
  <c r="AD806" i="12" s="1"/>
  <c r="AD807" i="12" s="1"/>
  <c r="AD808" i="12" s="1"/>
  <c r="AD809" i="12" s="1"/>
  <c r="AD810" i="12" s="1"/>
  <c r="AD811" i="12" s="1"/>
  <c r="AD812" i="12" s="1"/>
  <c r="AD813" i="12" s="1"/>
  <c r="AD814" i="12" s="1"/>
  <c r="AD815" i="12" s="1"/>
  <c r="AD816" i="12" s="1"/>
  <c r="AD817" i="12" s="1"/>
  <c r="AD818" i="12" s="1"/>
  <c r="AD819" i="12" s="1"/>
  <c r="AD820" i="12" s="1"/>
  <c r="AD821" i="12" s="1"/>
  <c r="AD822" i="12" s="1"/>
  <c r="AD823" i="12" s="1"/>
  <c r="AD824" i="12" s="1"/>
  <c r="AD825" i="12" s="1"/>
  <c r="AD826" i="12" s="1"/>
  <c r="AD827" i="12" s="1"/>
  <c r="AD828" i="12" s="1"/>
  <c r="AD829" i="12" s="1"/>
  <c r="AD830" i="12" s="1"/>
  <c r="AD831" i="12" s="1"/>
  <c r="AD832" i="12" s="1"/>
  <c r="AD833" i="12" s="1"/>
  <c r="AD834" i="12" s="1"/>
  <c r="AD835" i="12" s="1"/>
  <c r="AD836" i="12" s="1"/>
  <c r="AD837" i="12" s="1"/>
  <c r="AD838" i="12" s="1"/>
  <c r="AD839" i="12" s="1"/>
  <c r="AD840" i="12" s="1"/>
  <c r="AD841" i="12" s="1"/>
  <c r="AD842" i="12" s="1"/>
  <c r="AD843" i="12" s="1"/>
  <c r="AD844" i="12" s="1"/>
  <c r="AD845" i="12" s="1"/>
  <c r="AD846" i="12" s="1"/>
  <c r="AD847" i="12" s="1"/>
  <c r="AD848" i="12" s="1"/>
  <c r="AD849" i="12" s="1"/>
  <c r="AD850" i="12" s="1"/>
  <c r="AD851" i="12" s="1"/>
  <c r="AD852" i="12" s="1"/>
  <c r="AD853" i="12" s="1"/>
  <c r="AD854" i="12" s="1"/>
  <c r="AD855" i="12" s="1"/>
  <c r="AD856" i="12" s="1"/>
  <c r="AD857" i="12" s="1"/>
  <c r="AD858" i="12" s="1"/>
  <c r="AD859" i="12" s="1"/>
  <c r="AD860" i="12" s="1"/>
  <c r="AD861" i="12" s="1"/>
  <c r="AD862" i="12" s="1"/>
  <c r="AD863" i="12" s="1"/>
  <c r="AD864" i="12" s="1"/>
  <c r="AD865" i="12" s="1"/>
  <c r="AD866" i="12" s="1"/>
  <c r="AD867" i="12" s="1"/>
  <c r="AD868" i="12" s="1"/>
  <c r="AD869" i="12" s="1"/>
  <c r="AD870" i="12" s="1"/>
  <c r="AD871" i="12" s="1"/>
  <c r="AD872" i="12" s="1"/>
  <c r="AD873" i="12" s="1"/>
  <c r="AD874" i="12" s="1"/>
  <c r="AD875" i="12" s="1"/>
  <c r="AD876" i="12" s="1"/>
  <c r="AD877" i="12" s="1"/>
  <c r="AD878" i="12" s="1"/>
  <c r="AD879" i="12" s="1"/>
  <c r="AD880" i="12" s="1"/>
  <c r="AD881" i="12" s="1"/>
  <c r="AD882" i="12" s="1"/>
  <c r="AD883" i="12" s="1"/>
  <c r="AD884" i="12" s="1"/>
  <c r="AD885" i="12" s="1"/>
  <c r="AD886" i="12" s="1"/>
  <c r="AD887" i="12" s="1"/>
  <c r="AD888" i="12" s="1"/>
  <c r="AD889" i="12" s="1"/>
  <c r="AD890" i="12" s="1"/>
  <c r="AD891" i="12" s="1"/>
  <c r="AD892" i="12" s="1"/>
  <c r="AD893" i="12" s="1"/>
  <c r="AD894" i="12" s="1"/>
  <c r="AD895" i="12" s="1"/>
  <c r="AD896" i="12" s="1"/>
  <c r="AD897" i="12" s="1"/>
  <c r="AD898" i="12" s="1"/>
  <c r="AD899" i="12" s="1"/>
  <c r="AD900" i="12" s="1"/>
  <c r="AD901" i="12" s="1"/>
  <c r="AD902" i="12" s="1"/>
  <c r="AD903" i="12" s="1"/>
  <c r="AD904" i="12" s="1"/>
  <c r="AD905" i="12" s="1"/>
  <c r="AD906" i="12" s="1"/>
  <c r="AD907" i="12" s="1"/>
  <c r="AD908" i="12" s="1"/>
  <c r="AD909" i="12" s="1"/>
  <c r="AD910" i="12" s="1"/>
  <c r="AD911" i="12" s="1"/>
  <c r="AD912" i="12" s="1"/>
  <c r="AD913" i="12" s="1"/>
  <c r="AD914" i="12" s="1"/>
  <c r="AD915" i="12" s="1"/>
  <c r="AD916" i="12" s="1"/>
  <c r="AD917" i="12" s="1"/>
  <c r="AD918" i="12" s="1"/>
  <c r="AD919" i="12" s="1"/>
  <c r="AD920" i="12" s="1"/>
  <c r="AD921" i="12" s="1"/>
  <c r="AD922" i="12" s="1"/>
  <c r="AD923" i="12" s="1"/>
  <c r="AD924" i="12" s="1"/>
  <c r="AD925" i="12" s="1"/>
  <c r="AD926" i="12" s="1"/>
  <c r="AD927" i="12" s="1"/>
  <c r="AD928" i="12" s="1"/>
  <c r="AD929" i="12" s="1"/>
  <c r="AD930" i="12" s="1"/>
  <c r="AD931" i="12" s="1"/>
  <c r="AD932" i="12" s="1"/>
  <c r="AD933" i="12" s="1"/>
  <c r="AD934" i="12" s="1"/>
  <c r="AD935" i="12" s="1"/>
  <c r="AD936" i="12" s="1"/>
  <c r="AD937" i="12" s="1"/>
  <c r="AD938" i="12" s="1"/>
  <c r="AD939" i="12" s="1"/>
  <c r="AD940" i="12" s="1"/>
  <c r="AD941" i="12" s="1"/>
  <c r="AD942" i="12" s="1"/>
  <c r="AD943" i="12" s="1"/>
  <c r="AD944" i="12" s="1"/>
  <c r="AD945" i="12" s="1"/>
  <c r="AD946" i="12" s="1"/>
  <c r="AD947" i="12" s="1"/>
  <c r="AD948" i="12" s="1"/>
  <c r="AD949" i="12" s="1"/>
  <c r="AD950" i="12" s="1"/>
  <c r="AD951" i="12" s="1"/>
  <c r="AD952" i="12" s="1"/>
  <c r="AD953" i="12" s="1"/>
  <c r="AD954" i="12" s="1"/>
  <c r="AD955" i="12" s="1"/>
  <c r="AD956" i="12" s="1"/>
  <c r="AD957" i="12" s="1"/>
  <c r="AD958" i="12" s="1"/>
  <c r="AD959" i="12" s="1"/>
  <c r="AD960" i="12" s="1"/>
  <c r="AD961" i="12" s="1"/>
  <c r="AD962" i="12" s="1"/>
  <c r="AD963" i="12" s="1"/>
  <c r="AD964" i="12" s="1"/>
  <c r="AD965" i="12" s="1"/>
  <c r="AD966" i="12" s="1"/>
  <c r="AD967" i="12" s="1"/>
  <c r="AD968" i="12" s="1"/>
  <c r="AD969" i="12" s="1"/>
  <c r="AD970" i="12" s="1"/>
  <c r="AD971" i="12" s="1"/>
  <c r="AD972" i="12" s="1"/>
  <c r="AD973" i="12" s="1"/>
  <c r="AD974" i="12" s="1"/>
  <c r="AD975" i="12" s="1"/>
  <c r="AD976" i="12" s="1"/>
  <c r="AD977" i="12" s="1"/>
  <c r="AD978" i="12" s="1"/>
  <c r="AD979" i="12" s="1"/>
  <c r="AD980" i="12" s="1"/>
  <c r="AD981" i="12" s="1"/>
  <c r="AD982" i="12" s="1"/>
  <c r="AD983" i="12" s="1"/>
  <c r="AD984" i="12" s="1"/>
  <c r="AD985" i="12" s="1"/>
  <c r="AD986" i="12" s="1"/>
  <c r="AD987" i="12" s="1"/>
  <c r="AD988" i="12" s="1"/>
  <c r="AD989" i="12" s="1"/>
  <c r="AD990" i="12" s="1"/>
  <c r="AD991" i="12" s="1"/>
  <c r="AD992" i="12" s="1"/>
  <c r="AD993" i="12" s="1"/>
  <c r="AD994" i="12" s="1"/>
  <c r="AD995" i="12" s="1"/>
  <c r="AD996" i="12" s="1"/>
  <c r="AD997" i="12" s="1"/>
  <c r="AD998" i="12" s="1"/>
  <c r="AD999" i="12" s="1"/>
  <c r="AD1000" i="12" s="1"/>
  <c r="AD1001" i="12" s="1"/>
  <c r="AD1002" i="12" s="1"/>
  <c r="AD1003" i="12" s="1"/>
  <c r="AD1004" i="12" s="1"/>
  <c r="AD1005" i="12" s="1"/>
  <c r="AD1006" i="12" s="1"/>
  <c r="AD1007" i="12" s="1"/>
  <c r="AD1008" i="12" s="1"/>
  <c r="AD1009" i="12" s="1"/>
  <c r="AD1010" i="12" s="1"/>
  <c r="AD1011" i="12" s="1"/>
  <c r="AD1012" i="12" s="1"/>
  <c r="AD1013" i="12" s="1"/>
  <c r="AD1014" i="12" s="1"/>
  <c r="AD1015" i="12" s="1"/>
  <c r="AD1016" i="12" s="1"/>
  <c r="AD1017" i="12" s="1"/>
  <c r="AD1018" i="12" s="1"/>
  <c r="AD1019" i="12" s="1"/>
  <c r="AD1020" i="12" s="1"/>
  <c r="AD1021" i="12" s="1"/>
  <c r="AD1022" i="12" s="1"/>
  <c r="AD1023" i="12" s="1"/>
  <c r="AD1024" i="12" s="1"/>
  <c r="AD1025" i="12" s="1"/>
  <c r="AD1026" i="12" s="1"/>
  <c r="AD1027" i="12" s="1"/>
  <c r="AD1028" i="12" s="1"/>
  <c r="AD1029" i="12" s="1"/>
  <c r="AD1030" i="12" s="1"/>
  <c r="AD1031" i="12" s="1"/>
  <c r="AD1032" i="12" s="1"/>
  <c r="AD1033" i="12" s="1"/>
  <c r="AD1034" i="12" s="1"/>
  <c r="AD1035" i="12" s="1"/>
  <c r="AD1036" i="12" s="1"/>
  <c r="AD1037" i="12" s="1"/>
  <c r="AD1038" i="12" s="1"/>
  <c r="AD1039" i="12" s="1"/>
  <c r="AD1040" i="12" s="1"/>
  <c r="AD1041" i="12" s="1"/>
  <c r="AD1042" i="12" s="1"/>
  <c r="AD1043" i="12" s="1"/>
  <c r="AD1044" i="12" s="1"/>
  <c r="AD1045" i="12" s="1"/>
  <c r="AD1046" i="12" s="1"/>
  <c r="AD1047" i="12" s="1"/>
  <c r="AD1048" i="12" s="1"/>
  <c r="AD1049" i="12" s="1"/>
  <c r="AD1050" i="12" s="1"/>
  <c r="AD1051" i="12" s="1"/>
  <c r="AD1052" i="12" s="1"/>
  <c r="AD1053" i="12" s="1"/>
  <c r="AD1054" i="12" s="1"/>
  <c r="AD1055" i="12" s="1"/>
  <c r="AD1056" i="12" s="1"/>
  <c r="AD1057" i="12" s="1"/>
  <c r="AD1058" i="12" s="1"/>
  <c r="AD1059" i="12" s="1"/>
  <c r="AD1060" i="12" s="1"/>
  <c r="AD1061" i="12" s="1"/>
  <c r="AD1062" i="12" s="1"/>
  <c r="AD1063" i="12" s="1"/>
  <c r="AD1064" i="12" s="1"/>
  <c r="AD1065" i="12" s="1"/>
  <c r="AD1066" i="12" s="1"/>
  <c r="AD1067" i="12" s="1"/>
  <c r="AD1068" i="12" s="1"/>
  <c r="AD1069" i="12" s="1"/>
  <c r="AD1070" i="12" s="1"/>
  <c r="AD1071" i="12" s="1"/>
  <c r="AD1072" i="12" s="1"/>
  <c r="AD1073" i="12" s="1"/>
  <c r="AD1074" i="12" s="1"/>
  <c r="AD1075" i="12" s="1"/>
  <c r="AD1076" i="12" s="1"/>
  <c r="AD1077" i="12" s="1"/>
  <c r="AD1078" i="12" s="1"/>
  <c r="AD1079" i="12" s="1"/>
  <c r="AD1080" i="12" s="1"/>
  <c r="AD1081" i="12" s="1"/>
  <c r="AD1082" i="12" s="1"/>
  <c r="AD1083" i="12" s="1"/>
  <c r="AD1084" i="12" s="1"/>
  <c r="AD1085" i="12" s="1"/>
  <c r="AD1086" i="12" s="1"/>
  <c r="AD1087" i="12" s="1"/>
  <c r="AD1088" i="12" s="1"/>
  <c r="AD1089" i="12" s="1"/>
  <c r="AD1090" i="12" s="1"/>
  <c r="AD1091" i="12" s="1"/>
  <c r="AD1092" i="12" s="1"/>
  <c r="AD1093" i="12" s="1"/>
  <c r="AD1094" i="12" s="1"/>
  <c r="AD1095" i="12" s="1"/>
  <c r="AD1096" i="12" s="1"/>
  <c r="AD1097" i="12" s="1"/>
  <c r="AD1098" i="12" s="1"/>
  <c r="AD1099" i="12" s="1"/>
  <c r="AD1100" i="12" s="1"/>
  <c r="AD1101" i="12" s="1"/>
  <c r="AD1102" i="12" s="1"/>
  <c r="AD1103" i="12" s="1"/>
  <c r="AD1104" i="12" s="1"/>
  <c r="AD1105" i="12" s="1"/>
  <c r="AD1106" i="12" s="1"/>
  <c r="AD1107" i="12" s="1"/>
  <c r="AD1108" i="12" s="1"/>
  <c r="AD1109" i="12" s="1"/>
  <c r="AD1110" i="12" s="1"/>
  <c r="AD1111" i="12" s="1"/>
  <c r="AD1112" i="12" s="1"/>
  <c r="AD1113" i="12" s="1"/>
  <c r="AD1114" i="12" s="1"/>
  <c r="AD1115" i="12" s="1"/>
  <c r="AD1116" i="12" s="1"/>
  <c r="AD1117" i="12" s="1"/>
  <c r="AD1118" i="12" s="1"/>
  <c r="AD1119" i="12" s="1"/>
  <c r="AD1120" i="12" s="1"/>
  <c r="AD1121" i="12" s="1"/>
  <c r="AD1122" i="12" s="1"/>
  <c r="AD1123" i="12" s="1"/>
  <c r="AD1124" i="12" s="1"/>
  <c r="AD1125" i="12" s="1"/>
  <c r="AD1126" i="12" s="1"/>
  <c r="AD1127" i="12" s="1"/>
  <c r="AD1128" i="12" s="1"/>
  <c r="AD1129" i="12" s="1"/>
  <c r="AD1130" i="12" s="1"/>
  <c r="AD1131" i="12" s="1"/>
  <c r="AD1132" i="12" s="1"/>
  <c r="AD1133" i="12" s="1"/>
  <c r="AD1134" i="12" s="1"/>
  <c r="AD1135" i="12" s="1"/>
  <c r="AD1136" i="12" s="1"/>
  <c r="AD1137" i="12" s="1"/>
  <c r="AD1138" i="12" s="1"/>
  <c r="AD1139" i="12" s="1"/>
  <c r="AD1140" i="12" s="1"/>
  <c r="AD1141" i="12" s="1"/>
  <c r="AD1142" i="12" s="1"/>
  <c r="AD1143" i="12" s="1"/>
  <c r="AD1144" i="12" s="1"/>
  <c r="AD1145" i="12" s="1"/>
  <c r="AD1146" i="12" s="1"/>
  <c r="AD1147" i="12" s="1"/>
  <c r="AD1148" i="12" s="1"/>
  <c r="AD1149" i="12" s="1"/>
  <c r="AD1150" i="12" s="1"/>
  <c r="AD1151" i="12" s="1"/>
  <c r="AD1152" i="12" s="1"/>
  <c r="AD1153" i="12" s="1"/>
  <c r="AD1154" i="12" s="1"/>
  <c r="AD1155" i="12" s="1"/>
  <c r="AD1156" i="12" s="1"/>
  <c r="AD1157" i="12" s="1"/>
  <c r="AD1158" i="12" s="1"/>
  <c r="AD1159" i="12" s="1"/>
  <c r="AD1160" i="12" s="1"/>
  <c r="AD1161" i="12" s="1"/>
  <c r="AD1162" i="12" s="1"/>
  <c r="AD1163" i="12" s="1"/>
  <c r="AD1164" i="12" s="1"/>
  <c r="AD1165" i="12" s="1"/>
  <c r="AD1166" i="12" s="1"/>
  <c r="AD1167" i="12" s="1"/>
  <c r="AD1168" i="12" s="1"/>
  <c r="AD1169" i="12" s="1"/>
  <c r="AD1170" i="12" s="1"/>
  <c r="AD1171" i="12" s="1"/>
  <c r="AD1172" i="12" s="1"/>
  <c r="AD1173" i="12" s="1"/>
  <c r="AD1174" i="12" s="1"/>
  <c r="AD1175" i="12" s="1"/>
  <c r="AD1176" i="12" s="1"/>
  <c r="AD1177" i="12" s="1"/>
  <c r="AD1178" i="12" s="1"/>
  <c r="AD1179" i="12" s="1"/>
  <c r="AD1180" i="12" s="1"/>
  <c r="AD1181" i="12" s="1"/>
  <c r="AD1182" i="12" s="1"/>
  <c r="AD1183" i="12" s="1"/>
  <c r="AD1184" i="12" s="1"/>
  <c r="AD1185" i="12" s="1"/>
  <c r="AD1186" i="12" s="1"/>
  <c r="AD1187" i="12" s="1"/>
  <c r="AD1188" i="12" s="1"/>
  <c r="AD1189" i="12" s="1"/>
  <c r="AD1190" i="12" s="1"/>
  <c r="AD1191" i="12" s="1"/>
  <c r="AD1192" i="12" s="1"/>
  <c r="AD1193" i="12" s="1"/>
  <c r="AD1194" i="12" s="1"/>
  <c r="AD1195" i="12" s="1"/>
  <c r="AD1196" i="12" s="1"/>
  <c r="AD1197" i="12" s="1"/>
  <c r="AD1198" i="12" s="1"/>
  <c r="AD1199" i="12" s="1"/>
  <c r="AD1200" i="12" s="1"/>
  <c r="AD1201" i="12" s="1"/>
  <c r="AD1202" i="12" s="1"/>
  <c r="AD1203" i="12" s="1"/>
  <c r="AD1204" i="12" s="1"/>
  <c r="AD1205" i="12" s="1"/>
  <c r="AD1206" i="12" s="1"/>
  <c r="AD1207" i="12" s="1"/>
  <c r="AD1208" i="12" s="1"/>
  <c r="AD1209" i="12" s="1"/>
  <c r="AD1210" i="12" s="1"/>
  <c r="AD1211" i="12" s="1"/>
  <c r="AD1212" i="12" s="1"/>
  <c r="AD1213" i="12" s="1"/>
  <c r="AD1214" i="12" s="1"/>
  <c r="AD1215" i="12" s="1"/>
  <c r="AD1216" i="12" s="1"/>
  <c r="AD1217" i="12" s="1"/>
  <c r="AD1218" i="12" s="1"/>
  <c r="AD1219" i="12" s="1"/>
  <c r="AD1220" i="12" s="1"/>
  <c r="AD1221" i="12" s="1"/>
  <c r="AD1222" i="12" s="1"/>
  <c r="AD1223" i="12" s="1"/>
  <c r="AD1224" i="12" s="1"/>
  <c r="AD1225" i="12" s="1"/>
  <c r="AD1226" i="12" s="1"/>
  <c r="AD1227" i="12" s="1"/>
  <c r="AD1228" i="12" s="1"/>
  <c r="AD1229" i="12" s="1"/>
  <c r="AD1230" i="12" s="1"/>
  <c r="AD1231" i="12" s="1"/>
  <c r="AD1232" i="12" s="1"/>
  <c r="AD1233" i="12" s="1"/>
  <c r="AD1234" i="12" s="1"/>
  <c r="AD1235" i="12" s="1"/>
  <c r="AD1236" i="12" s="1"/>
  <c r="AD1237" i="12" s="1"/>
  <c r="AD1238" i="12" s="1"/>
  <c r="AD1239" i="12" s="1"/>
  <c r="AD1240" i="12" s="1"/>
  <c r="AD1241" i="12" s="1"/>
  <c r="AD1242" i="12" s="1"/>
  <c r="AD1243" i="12" s="1"/>
  <c r="AD1244" i="12" s="1"/>
  <c r="AD1245" i="12" s="1"/>
  <c r="AD1246" i="12" s="1"/>
  <c r="AD1247" i="12" s="1"/>
  <c r="AD1248" i="12" s="1"/>
  <c r="AD1249" i="12" s="1"/>
  <c r="AD1250" i="12" s="1"/>
  <c r="AD1251" i="12" s="1"/>
  <c r="AD1252" i="12" s="1"/>
  <c r="AD1253" i="12" s="1"/>
  <c r="AD1254" i="12" s="1"/>
  <c r="AD1255" i="12" s="1"/>
  <c r="AD1256" i="12" s="1"/>
  <c r="AD1257" i="12" s="1"/>
  <c r="AD1258" i="12" s="1"/>
  <c r="AD1259" i="12" s="1"/>
  <c r="AD1260" i="12" s="1"/>
  <c r="AD1261" i="12" s="1"/>
  <c r="AD1262" i="12" s="1"/>
  <c r="AD1263" i="12" s="1"/>
  <c r="AD1264" i="12" s="1"/>
  <c r="AD1265" i="12" s="1"/>
  <c r="AD1266" i="12" s="1"/>
  <c r="AD1267" i="12" s="1"/>
  <c r="AD1268" i="12" s="1"/>
  <c r="AD1269" i="12" s="1"/>
  <c r="AD1270" i="12" s="1"/>
  <c r="AD1271" i="12" s="1"/>
  <c r="AD1272" i="12" s="1"/>
  <c r="AD1273" i="12" s="1"/>
  <c r="AD1274" i="12" s="1"/>
  <c r="AD1275" i="12" s="1"/>
  <c r="AD1276" i="12" s="1"/>
  <c r="AD1277" i="12" s="1"/>
  <c r="AD1278" i="12" s="1"/>
  <c r="AD1279" i="12" s="1"/>
  <c r="AD1280" i="12" s="1"/>
  <c r="AD1281" i="12" s="1"/>
  <c r="AD1282" i="12" s="1"/>
  <c r="AD1283" i="12" s="1"/>
  <c r="AD1284" i="12" s="1"/>
  <c r="AD1285" i="12" s="1"/>
  <c r="AD1286" i="12" s="1"/>
  <c r="AD1287" i="12" s="1"/>
  <c r="AD1288" i="12" s="1"/>
  <c r="AD1289" i="12" s="1"/>
  <c r="AD1290" i="12" s="1"/>
  <c r="AD1291" i="12" s="1"/>
  <c r="AD1292" i="12" s="1"/>
  <c r="AD1293" i="12" s="1"/>
  <c r="AD1294" i="12" s="1"/>
  <c r="AD1295" i="12" s="1"/>
  <c r="AD1296" i="12" s="1"/>
  <c r="AD1297" i="12" s="1"/>
  <c r="AD1298" i="12" s="1"/>
  <c r="AD1299" i="12" s="1"/>
  <c r="AD1300" i="12" s="1"/>
  <c r="AD1301" i="12" s="1"/>
  <c r="AD1302" i="12" s="1"/>
  <c r="AD1303" i="12" s="1"/>
  <c r="AD1304" i="12" s="1"/>
  <c r="AD1305" i="12" s="1"/>
  <c r="AD1306" i="12" s="1"/>
  <c r="AD1307" i="12" s="1"/>
  <c r="AD1308" i="12" s="1"/>
  <c r="AD1309" i="12" s="1"/>
  <c r="AD1310" i="12" s="1"/>
  <c r="AD1311" i="12" s="1"/>
  <c r="AD1312" i="12" s="1"/>
  <c r="AD1313" i="12" s="1"/>
  <c r="AD1314" i="12" s="1"/>
  <c r="AD1315" i="12" s="1"/>
  <c r="AD1316" i="12" s="1"/>
  <c r="AD1317" i="12" s="1"/>
  <c r="AD1318" i="12" s="1"/>
  <c r="AD1319" i="12" s="1"/>
  <c r="AD1320" i="12" s="1"/>
  <c r="AD1321" i="12" s="1"/>
  <c r="AD1322" i="12" s="1"/>
  <c r="AD1323" i="12" s="1"/>
  <c r="AD1324" i="12" s="1"/>
  <c r="AD1325" i="12" s="1"/>
  <c r="AD1326" i="12" s="1"/>
  <c r="AD1327" i="12" s="1"/>
  <c r="AD1328" i="12" s="1"/>
  <c r="AD1329" i="12" s="1"/>
  <c r="AD1330" i="12" s="1"/>
  <c r="AD1331" i="12" s="1"/>
  <c r="AD1332" i="12" s="1"/>
  <c r="AD1333" i="12" s="1"/>
  <c r="AD1334" i="12" s="1"/>
  <c r="AD1335" i="12" s="1"/>
  <c r="AD1336" i="12" s="1"/>
  <c r="AD1337" i="12" s="1"/>
  <c r="AD1338" i="12" s="1"/>
  <c r="AD1339" i="12" s="1"/>
  <c r="AD1340" i="12" s="1"/>
  <c r="AD1341" i="12" s="1"/>
  <c r="AD1342" i="12" s="1"/>
  <c r="AD1343" i="12" s="1"/>
  <c r="AD1344" i="12" s="1"/>
  <c r="AD1345" i="12" s="1"/>
  <c r="AD1346" i="12" s="1"/>
  <c r="AD1347" i="12" s="1"/>
  <c r="AD1348" i="12" s="1"/>
  <c r="AD1349" i="12" s="1"/>
  <c r="AD1350" i="12" s="1"/>
  <c r="AD1351" i="12" s="1"/>
  <c r="AD1352" i="12" s="1"/>
  <c r="AD1353" i="12" s="1"/>
  <c r="AD1354" i="12" s="1"/>
  <c r="AD1355" i="12" s="1"/>
  <c r="AD1356" i="12" s="1"/>
  <c r="AD1357" i="12" s="1"/>
  <c r="AD1358" i="12" s="1"/>
  <c r="AD1359" i="12" s="1"/>
  <c r="AD1360" i="12" s="1"/>
  <c r="AD1361" i="12" s="1"/>
  <c r="AD1362" i="12" s="1"/>
  <c r="AD1363" i="12" s="1"/>
  <c r="AD1364" i="12" s="1"/>
  <c r="AD1365" i="12" s="1"/>
  <c r="AD1366" i="12" s="1"/>
  <c r="AD1367" i="12" s="1"/>
  <c r="AD1368" i="12" s="1"/>
  <c r="AD1369" i="12" s="1"/>
  <c r="AD1370" i="12" s="1"/>
  <c r="AD1371" i="12" s="1"/>
  <c r="AD1372" i="12" s="1"/>
  <c r="AD1373" i="12" s="1"/>
  <c r="AD1374" i="12" s="1"/>
  <c r="AD1375" i="12" s="1"/>
  <c r="AD1376" i="12" s="1"/>
  <c r="AD1377" i="12" s="1"/>
  <c r="AD1378" i="12" s="1"/>
  <c r="AD1379" i="12" s="1"/>
  <c r="AD1380" i="12" s="1"/>
  <c r="AD1381" i="12" s="1"/>
  <c r="AD1382" i="12" s="1"/>
  <c r="AD1383" i="12" s="1"/>
  <c r="AD1384" i="12" s="1"/>
  <c r="AD1385" i="12" s="1"/>
  <c r="AD1386" i="12" s="1"/>
  <c r="AD1387" i="12" s="1"/>
  <c r="AD1388" i="12" s="1"/>
  <c r="AD1389" i="12" s="1"/>
  <c r="AD1390" i="12" s="1"/>
  <c r="AD1391" i="12" s="1"/>
  <c r="AD1392" i="12" s="1"/>
  <c r="AD1393" i="12" s="1"/>
  <c r="AD1394" i="12" s="1"/>
  <c r="AD1395" i="12" s="1"/>
  <c r="AD1396" i="12" s="1"/>
  <c r="AD1397" i="12" s="1"/>
  <c r="AD1398" i="12" s="1"/>
  <c r="AD1399" i="12" s="1"/>
  <c r="AD1400" i="12" s="1"/>
  <c r="AD1401" i="12" s="1"/>
  <c r="AD1402" i="12" s="1"/>
  <c r="AD1403" i="12" s="1"/>
  <c r="AD1404" i="12" s="1"/>
  <c r="AD1405" i="12" s="1"/>
  <c r="AD1406" i="12" s="1"/>
  <c r="AD1407" i="12" s="1"/>
  <c r="AD1408" i="12" s="1"/>
  <c r="AD1409" i="12" s="1"/>
  <c r="AD1410" i="12" s="1"/>
  <c r="AD1411" i="12" s="1"/>
  <c r="AD1412" i="12" s="1"/>
  <c r="AD1413" i="12" s="1"/>
  <c r="AD1414" i="12" s="1"/>
  <c r="AD1415" i="12" s="1"/>
  <c r="AD1416" i="12" s="1"/>
  <c r="AD1417" i="12" s="1"/>
  <c r="AD1418" i="12" s="1"/>
  <c r="AD1419" i="12" s="1"/>
  <c r="AD1420" i="12" s="1"/>
  <c r="AD1421" i="12" s="1"/>
  <c r="AD1422" i="12" s="1"/>
  <c r="AD1423" i="12" s="1"/>
  <c r="AD1424" i="12" s="1"/>
  <c r="AD1425" i="12" s="1"/>
  <c r="AD1426" i="12" s="1"/>
  <c r="AD1427" i="12" s="1"/>
  <c r="AD1428" i="12" s="1"/>
  <c r="AD1429" i="12" s="1"/>
  <c r="AD1430" i="12" s="1"/>
  <c r="AD1431" i="12" s="1"/>
  <c r="AD1432" i="12" s="1"/>
  <c r="AD1433" i="12" s="1"/>
  <c r="AD1434" i="12" s="1"/>
  <c r="AD1435" i="12" s="1"/>
  <c r="AD1436" i="12" s="1"/>
  <c r="AD1437" i="12" s="1"/>
  <c r="AD1438" i="12" s="1"/>
  <c r="AD1439" i="12" s="1"/>
  <c r="AD1440" i="12" s="1"/>
  <c r="AD1441" i="12" s="1"/>
  <c r="AD1442" i="12" s="1"/>
  <c r="AD1443" i="12" s="1"/>
  <c r="AD1444" i="12" s="1"/>
  <c r="AD1445" i="12" s="1"/>
  <c r="AD1446" i="12" s="1"/>
  <c r="AD1447" i="12" s="1"/>
  <c r="AD1448" i="12" s="1"/>
  <c r="AD1449" i="12" s="1"/>
  <c r="AD1450" i="12" s="1"/>
  <c r="AD1451" i="12" s="1"/>
  <c r="AD1452" i="12" s="1"/>
  <c r="AD1453" i="12" s="1"/>
  <c r="AD1454" i="12" s="1"/>
  <c r="AD1455" i="12" s="1"/>
  <c r="AD1456" i="12" s="1"/>
  <c r="AD1457" i="12" s="1"/>
  <c r="AD1458" i="12" s="1"/>
  <c r="AD1459" i="12" s="1"/>
  <c r="AD1460" i="12" s="1"/>
  <c r="AD1461" i="12" s="1"/>
  <c r="AD1462" i="12" s="1"/>
  <c r="AD1463" i="12" s="1"/>
  <c r="AD1464" i="12" s="1"/>
  <c r="AD1465" i="12" s="1"/>
  <c r="AD1466" i="12" s="1"/>
  <c r="AD1467" i="12" s="1"/>
  <c r="AD1468" i="12" s="1"/>
  <c r="AD1469" i="12" s="1"/>
  <c r="AD1470" i="12" s="1"/>
  <c r="AD1471" i="12" s="1"/>
  <c r="AD1472" i="12" s="1"/>
  <c r="AD1473" i="12" s="1"/>
  <c r="AD1474" i="12" s="1"/>
  <c r="AD1475" i="12" s="1"/>
  <c r="AD1476" i="12" s="1"/>
  <c r="AD1477" i="12" s="1"/>
  <c r="AD1478" i="12" s="1"/>
  <c r="AD1479" i="12" s="1"/>
  <c r="AD1480" i="12" s="1"/>
  <c r="AD1481" i="12" s="1"/>
  <c r="AD1482" i="12" s="1"/>
  <c r="AD1483" i="12" s="1"/>
  <c r="AD1484" i="12" s="1"/>
  <c r="AD1485" i="12" s="1"/>
  <c r="AD1486" i="12" s="1"/>
  <c r="AD1487" i="12" s="1"/>
  <c r="AD1488" i="12" s="1"/>
  <c r="AD1489" i="12" s="1"/>
  <c r="AD1490" i="12" s="1"/>
  <c r="AD1491" i="12" s="1"/>
  <c r="AD1492" i="12" s="1"/>
  <c r="AD1493" i="12" s="1"/>
  <c r="AD1494" i="12" s="1"/>
  <c r="AD1495" i="12" s="1"/>
  <c r="AD1496" i="12" s="1"/>
  <c r="AD1497" i="12" s="1"/>
  <c r="AD1498" i="12" s="1"/>
  <c r="AD1499" i="12" s="1"/>
  <c r="AD1500" i="12" s="1"/>
  <c r="H187" i="9"/>
  <c r="J187" i="9" s="1"/>
  <c r="G187" i="9"/>
  <c r="M127" i="9"/>
  <c r="K188" i="9"/>
  <c r="H20" i="2"/>
  <c r="G41" i="2"/>
  <c r="L173" i="9"/>
  <c r="M173" i="9" s="1"/>
  <c r="K173" i="9"/>
  <c r="H146" i="9"/>
  <c r="J146" i="9" s="1"/>
  <c r="G38" i="2" s="1"/>
  <c r="AJ151" i="12"/>
  <c r="AI486" i="12"/>
  <c r="Z75" i="12"/>
  <c r="AL75" i="12"/>
  <c r="AK75" i="12"/>
  <c r="Z331" i="12"/>
  <c r="AK331" i="12"/>
  <c r="Z106" i="12"/>
  <c r="AI106" i="12"/>
  <c r="Z197" i="12"/>
  <c r="AJ197" i="12"/>
  <c r="AG197" i="12"/>
  <c r="AK197" i="12"/>
  <c r="Z187" i="12"/>
  <c r="AJ187" i="12"/>
  <c r="AK187" i="12"/>
  <c r="AK219" i="12"/>
  <c r="AJ219" i="12"/>
  <c r="AG219" i="12"/>
  <c r="Z219" i="12"/>
  <c r="Z241" i="12"/>
  <c r="AJ241" i="12"/>
  <c r="AI241" i="12"/>
  <c r="AL159" i="12"/>
  <c r="Z159" i="12"/>
  <c r="AK159" i="12"/>
  <c r="AL366" i="12"/>
  <c r="Z366" i="12"/>
  <c r="AK366" i="12"/>
  <c r="AJ366" i="12"/>
  <c r="AI366" i="12"/>
  <c r="Z410" i="12"/>
  <c r="AJ410" i="12"/>
  <c r="Z580" i="12"/>
  <c r="AL580" i="12"/>
  <c r="AI580" i="12"/>
  <c r="AJ580" i="12"/>
  <c r="AK580" i="12"/>
  <c r="Z359" i="12"/>
  <c r="AK359" i="12"/>
  <c r="AL359" i="12"/>
  <c r="AJ359" i="12"/>
  <c r="Z473" i="12"/>
  <c r="AL473" i="12"/>
  <c r="AK473" i="12"/>
  <c r="AJ473" i="12"/>
  <c r="AI473" i="12"/>
  <c r="AG473" i="12"/>
  <c r="Z420" i="12"/>
  <c r="AI420" i="12"/>
  <c r="AL420" i="12"/>
  <c r="AJ420" i="12"/>
  <c r="AK420" i="12"/>
  <c r="Z497" i="12"/>
  <c r="AK497" i="12"/>
  <c r="AJ497" i="12"/>
  <c r="AI497" i="12"/>
  <c r="AL497" i="12"/>
  <c r="Z524" i="12"/>
  <c r="AL524" i="12"/>
  <c r="AJ524" i="12"/>
  <c r="AI524" i="12"/>
  <c r="AG524" i="12"/>
  <c r="AI566" i="12"/>
  <c r="AG566" i="12"/>
  <c r="AK566" i="12"/>
  <c r="Z566" i="12"/>
  <c r="AL566" i="12"/>
  <c r="AL833" i="12"/>
  <c r="AK833" i="12"/>
  <c r="AI833" i="12"/>
  <c r="AJ833" i="12"/>
  <c r="AG833" i="12"/>
  <c r="Z833" i="12"/>
  <c r="Z482" i="12"/>
  <c r="AL482" i="12"/>
  <c r="AI482" i="12"/>
  <c r="AG482" i="12"/>
  <c r="AJ482" i="12"/>
  <c r="AK482" i="12"/>
  <c r="AI581" i="12"/>
  <c r="Z581" i="12"/>
  <c r="AL581" i="12"/>
  <c r="AK581" i="12"/>
  <c r="AJ581" i="12"/>
  <c r="AG581" i="12"/>
  <c r="Z655" i="12"/>
  <c r="AL655" i="12"/>
  <c r="AI685" i="12"/>
  <c r="AG685" i="12"/>
  <c r="Z685" i="12"/>
  <c r="AL685" i="12"/>
  <c r="AK685" i="12"/>
  <c r="AJ685" i="12"/>
  <c r="Z551" i="12"/>
  <c r="AJ551" i="12"/>
  <c r="AL551" i="12"/>
  <c r="AG551" i="12"/>
  <c r="Z769" i="12"/>
  <c r="AJ769" i="12"/>
  <c r="Z719" i="12"/>
  <c r="AK719" i="12"/>
  <c r="Z590" i="12"/>
  <c r="AL590" i="12"/>
  <c r="AK590" i="12"/>
  <c r="AJ590" i="12"/>
  <c r="AI590" i="12"/>
  <c r="Z786" i="12"/>
  <c r="AL786" i="12"/>
  <c r="AK786" i="12"/>
  <c r="AJ786" i="12"/>
  <c r="Z820" i="12"/>
  <c r="AJ820" i="12"/>
  <c r="AI820" i="12"/>
  <c r="AL744" i="12"/>
  <c r="AK744" i="12"/>
  <c r="AJ744" i="12"/>
  <c r="AI744" i="12"/>
  <c r="Z744" i="12"/>
  <c r="AG744" i="12"/>
  <c r="Z553" i="12"/>
  <c r="AL553" i="12"/>
  <c r="AK553" i="12"/>
  <c r="AJ553" i="12"/>
  <c r="AI553" i="12"/>
  <c r="AG553" i="12"/>
  <c r="AJ282" i="12"/>
  <c r="AK154" i="12"/>
  <c r="G118" i="9"/>
  <c r="I118" i="9"/>
  <c r="J118" i="9" s="1"/>
  <c r="J39" i="9"/>
  <c r="I126" i="9"/>
  <c r="H126" i="9"/>
  <c r="J126" i="9" s="1"/>
  <c r="G126" i="9"/>
  <c r="N180" i="9"/>
  <c r="O180" i="9" s="1"/>
  <c r="F45" i="2"/>
  <c r="I67" i="9"/>
  <c r="J67" i="9" s="1"/>
  <c r="G67" i="9"/>
  <c r="I53" i="9"/>
  <c r="H53" i="9"/>
  <c r="J53" i="9" s="1"/>
  <c r="G53" i="9"/>
  <c r="H29" i="2"/>
  <c r="N102" i="9"/>
  <c r="O102" i="9" s="1"/>
  <c r="E27" i="2"/>
  <c r="N89" i="9"/>
  <c r="M89" i="9"/>
  <c r="H14" i="2"/>
  <c r="H40" i="9"/>
  <c r="J40" i="9" s="1"/>
  <c r="I65" i="9"/>
  <c r="G65" i="9"/>
  <c r="H65" i="9"/>
  <c r="J65" i="9" s="1"/>
  <c r="G24" i="2"/>
  <c r="H23" i="9"/>
  <c r="J23" i="9" s="1"/>
  <c r="I13" i="2" s="1"/>
  <c r="I23" i="9"/>
  <c r="N6" i="2"/>
  <c r="H30" i="9"/>
  <c r="J30" i="9" s="1"/>
  <c r="F42" i="2"/>
  <c r="K25" i="9"/>
  <c r="L25" i="9"/>
  <c r="M25" i="9" s="1"/>
  <c r="G27" i="2"/>
  <c r="AK251" i="12"/>
  <c r="AI227" i="12"/>
  <c r="I42" i="2"/>
  <c r="G33" i="9"/>
  <c r="I33" i="9"/>
  <c r="J33" i="9" s="1"/>
  <c r="N8" i="9"/>
  <c r="O8" i="9" s="1"/>
  <c r="I10" i="2"/>
  <c r="M8" i="9"/>
  <c r="G18" i="2"/>
  <c r="N46" i="9"/>
  <c r="O46" i="9" s="1"/>
  <c r="M46" i="9"/>
  <c r="AG251" i="12"/>
  <c r="I7" i="9"/>
  <c r="J7" i="9" s="1"/>
  <c r="M9" i="9"/>
  <c r="E11" i="2"/>
  <c r="G116" i="9"/>
  <c r="H21" i="2"/>
  <c r="K93" i="9"/>
  <c r="L93" i="9"/>
  <c r="M93" i="9" s="1"/>
  <c r="AK227" i="12"/>
  <c r="K149" i="9"/>
  <c r="L149" i="9"/>
  <c r="E39" i="2"/>
  <c r="H113" i="9"/>
  <c r="J113" i="9" s="1"/>
  <c r="AI251" i="12"/>
  <c r="G134" i="9"/>
  <c r="I128" i="9"/>
  <c r="J128" i="9" s="1"/>
  <c r="L90" i="9"/>
  <c r="M90" i="9" s="1"/>
  <c r="K90" i="9"/>
  <c r="H116" i="9"/>
  <c r="J116" i="9" s="1"/>
  <c r="AG668" i="12"/>
  <c r="AJ675" i="12"/>
  <c r="AI675" i="12"/>
  <c r="Z675" i="12"/>
  <c r="AL675" i="12"/>
  <c r="AK675" i="12"/>
  <c r="Z93" i="12"/>
  <c r="AL93" i="12"/>
  <c r="AK93" i="12"/>
  <c r="AI93" i="12"/>
  <c r="Z38" i="12"/>
  <c r="AK38" i="12"/>
  <c r="AJ339" i="12"/>
  <c r="AI339" i="12"/>
  <c r="AG339" i="12"/>
  <c r="AK339" i="12"/>
  <c r="Z339" i="12"/>
  <c r="Z210" i="12"/>
  <c r="AJ210" i="12"/>
  <c r="AI210" i="12"/>
  <c r="AG210" i="12"/>
  <c r="AK210" i="12"/>
  <c r="AL210" i="12"/>
  <c r="AL250" i="12"/>
  <c r="AK250" i="12"/>
  <c r="AJ250" i="12"/>
  <c r="AI250" i="12"/>
  <c r="AG250" i="12"/>
  <c r="Z250" i="12"/>
  <c r="AI267" i="12"/>
  <c r="Z267" i="12"/>
  <c r="AL267" i="12"/>
  <c r="AK267" i="12"/>
  <c r="AJ267" i="12"/>
  <c r="AG267" i="12"/>
  <c r="Z179" i="12"/>
  <c r="AL179" i="12"/>
  <c r="AJ407" i="12"/>
  <c r="AK407" i="12"/>
  <c r="AI407" i="12"/>
  <c r="AG407" i="12"/>
  <c r="Z407" i="12"/>
  <c r="Z404" i="12"/>
  <c r="AL404" i="12"/>
  <c r="AK404" i="12"/>
  <c r="AK479" i="12"/>
  <c r="Z479" i="12"/>
  <c r="Z466" i="12"/>
  <c r="AG466" i="12"/>
  <c r="AL466" i="12"/>
  <c r="AI466" i="12"/>
  <c r="Z588" i="12"/>
  <c r="AI588" i="12"/>
  <c r="AG588" i="12"/>
  <c r="Z544" i="12"/>
  <c r="AG544" i="12"/>
  <c r="Z646" i="12"/>
  <c r="AJ646" i="12"/>
  <c r="AI646" i="12"/>
  <c r="AG646" i="12"/>
  <c r="AL646" i="12"/>
  <c r="AK646" i="12"/>
  <c r="AG714" i="12"/>
  <c r="Z714" i="12"/>
  <c r="AJ714" i="12"/>
  <c r="AI714" i="12"/>
  <c r="AK714" i="12"/>
  <c r="AL714" i="12"/>
  <c r="AJ530" i="12"/>
  <c r="Z530" i="12"/>
  <c r="AL530" i="12"/>
  <c r="AK530" i="12"/>
  <c r="AI530" i="12"/>
  <c r="AG530" i="12"/>
  <c r="AK605" i="12"/>
  <c r="Z605" i="12"/>
  <c r="AK700" i="12"/>
  <c r="AG700" i="12"/>
  <c r="Z700" i="12"/>
  <c r="AJ700" i="12"/>
  <c r="Z696" i="12"/>
  <c r="AI696" i="12"/>
  <c r="AJ696" i="12"/>
  <c r="AL696" i="12"/>
  <c r="AK696" i="12"/>
  <c r="Z571" i="12"/>
  <c r="AG571" i="12"/>
  <c r="AK794" i="12"/>
  <c r="AJ794" i="12"/>
  <c r="AI794" i="12"/>
  <c r="AG794" i="12"/>
  <c r="AL794" i="12"/>
  <c r="AL610" i="12"/>
  <c r="AI610" i="12"/>
  <c r="AG610" i="12"/>
  <c r="AK610" i="12"/>
  <c r="AJ610" i="12"/>
  <c r="Z752" i="12"/>
  <c r="AL752" i="12"/>
  <c r="AK752" i="12"/>
  <c r="AJ752" i="12"/>
  <c r="AI752" i="12"/>
  <c r="AG752" i="12"/>
  <c r="AL825" i="12"/>
  <c r="AJ825" i="12"/>
  <c r="Z825" i="12"/>
  <c r="AI762" i="12"/>
  <c r="AL762" i="12"/>
  <c r="Z762" i="12"/>
  <c r="AK762" i="12"/>
  <c r="AG762" i="12"/>
  <c r="AJ762" i="12"/>
  <c r="Z857" i="12"/>
  <c r="AK857" i="12"/>
  <c r="AI857" i="12"/>
  <c r="AL857" i="12"/>
  <c r="AJ857" i="12"/>
  <c r="AG344" i="12"/>
  <c r="M85" i="9"/>
  <c r="N85" i="9"/>
  <c r="O85" i="9" s="1"/>
  <c r="F26" i="2"/>
  <c r="AG222" i="12"/>
  <c r="AI434" i="12"/>
  <c r="M129" i="9"/>
  <c r="N129" i="9"/>
  <c r="AI555" i="12"/>
  <c r="H32" i="2"/>
  <c r="AL227" i="12"/>
  <c r="L115" i="9"/>
  <c r="G7" i="9"/>
  <c r="H134" i="9"/>
  <c r="J134" i="9" s="1"/>
  <c r="H11" i="9"/>
  <c r="J11" i="9" s="1"/>
  <c r="G11" i="2" s="1"/>
  <c r="H165" i="9"/>
  <c r="J165" i="9" s="1"/>
  <c r="M62" i="9"/>
  <c r="I24" i="2"/>
  <c r="Z47" i="12"/>
  <c r="AL47" i="12"/>
  <c r="AK47" i="12"/>
  <c r="AJ47" i="12"/>
  <c r="AI47" i="12"/>
  <c r="Z129" i="12"/>
  <c r="AI129" i="12"/>
  <c r="AG129" i="12"/>
  <c r="AL209" i="12"/>
  <c r="AK209" i="12"/>
  <c r="AJ209" i="12"/>
  <c r="AI209" i="12"/>
  <c r="AG209" i="12"/>
  <c r="Z209" i="12"/>
  <c r="AG265" i="12"/>
  <c r="AI265" i="12"/>
  <c r="AJ265" i="12"/>
  <c r="Z265" i="12"/>
  <c r="AI358" i="12"/>
  <c r="AL358" i="12"/>
  <c r="AK358" i="12"/>
  <c r="Z358" i="12"/>
  <c r="Z199" i="12"/>
  <c r="AL199" i="12"/>
  <c r="AL423" i="12"/>
  <c r="AG423" i="12"/>
  <c r="Z423" i="12"/>
  <c r="AK423" i="12"/>
  <c r="AL480" i="12"/>
  <c r="AG480" i="12"/>
  <c r="Z480" i="12"/>
  <c r="AI480" i="12"/>
  <c r="AK480" i="12"/>
  <c r="Z692" i="12"/>
  <c r="AJ692" i="12"/>
  <c r="AK692" i="12"/>
  <c r="AL692" i="12"/>
  <c r="Z432" i="12"/>
  <c r="AG432" i="12"/>
  <c r="AL432" i="12"/>
  <c r="AK432" i="12"/>
  <c r="AJ432" i="12"/>
  <c r="AL490" i="12"/>
  <c r="AK490" i="12"/>
  <c r="AG490" i="12"/>
  <c r="AI490" i="12"/>
  <c r="AJ490" i="12"/>
  <c r="Z490" i="12"/>
  <c r="AK478" i="12"/>
  <c r="AL478" i="12"/>
  <c r="AI478" i="12"/>
  <c r="Z478" i="12"/>
  <c r="AL619" i="12"/>
  <c r="Z619" i="12"/>
  <c r="Z520" i="12"/>
  <c r="AL520" i="12"/>
  <c r="AJ520" i="12"/>
  <c r="AI520" i="12"/>
  <c r="AL757" i="12"/>
  <c r="AJ757" i="12"/>
  <c r="AG757" i="12"/>
  <c r="Z757" i="12"/>
  <c r="Z546" i="12"/>
  <c r="AK546" i="12"/>
  <c r="AL546" i="12"/>
  <c r="AI546" i="12"/>
  <c r="AG546" i="12"/>
  <c r="Z612" i="12"/>
  <c r="AL612" i="12"/>
  <c r="AK612" i="12"/>
  <c r="AJ612" i="12"/>
  <c r="AI612" i="12"/>
  <c r="Z707" i="12"/>
  <c r="AI707" i="12"/>
  <c r="AG707" i="12"/>
  <c r="AK707" i="12"/>
  <c r="AJ707" i="12"/>
  <c r="AI722" i="12"/>
  <c r="AG722" i="12"/>
  <c r="Z722" i="12"/>
  <c r="AL722" i="12"/>
  <c r="AK722" i="12"/>
  <c r="Z602" i="12"/>
  <c r="AK602" i="12"/>
  <c r="AI602" i="12"/>
  <c r="AG842" i="12"/>
  <c r="Z842" i="12"/>
  <c r="Z630" i="12"/>
  <c r="AK630" i="12"/>
  <c r="AG630" i="12"/>
  <c r="AL630" i="12"/>
  <c r="AJ630" i="12"/>
  <c r="AI630" i="12"/>
  <c r="Z824" i="12"/>
  <c r="AI824" i="12"/>
  <c r="AJ824" i="12"/>
  <c r="AL859" i="12"/>
  <c r="Z859" i="12"/>
  <c r="AK859" i="12"/>
  <c r="AJ859" i="12"/>
  <c r="Z771" i="12"/>
  <c r="AJ771" i="12"/>
  <c r="AK771" i="12"/>
  <c r="AI771" i="12"/>
  <c r="AG771" i="12"/>
  <c r="Z851" i="12"/>
  <c r="AJ851" i="12"/>
  <c r="AI851" i="12"/>
  <c r="AL40" i="12"/>
  <c r="AJ40" i="12"/>
  <c r="AK40" i="12"/>
  <c r="AI40" i="12"/>
  <c r="AG40" i="12"/>
  <c r="Z40" i="12"/>
  <c r="M168" i="9"/>
  <c r="AL222" i="12"/>
  <c r="AK434" i="12"/>
  <c r="F24" i="2"/>
  <c r="I43" i="2"/>
  <c r="AK555" i="12"/>
  <c r="H24" i="2"/>
  <c r="G86" i="9"/>
  <c r="G26" i="9"/>
  <c r="AG201" i="12"/>
  <c r="Z201" i="12"/>
  <c r="Z393" i="12"/>
  <c r="AL393" i="12"/>
  <c r="AK393" i="12"/>
  <c r="AJ393" i="12"/>
  <c r="AI393" i="12"/>
  <c r="AG393" i="12"/>
  <c r="Z67" i="12"/>
  <c r="AK67" i="12"/>
  <c r="AJ67" i="12"/>
  <c r="AL67" i="12"/>
  <c r="AI67" i="12"/>
  <c r="AG67" i="12"/>
  <c r="Z226" i="12"/>
  <c r="AL226" i="12"/>
  <c r="AI226" i="12"/>
  <c r="AG226" i="12"/>
  <c r="AJ226" i="12"/>
  <c r="AJ259" i="12"/>
  <c r="AG259" i="12"/>
  <c r="Z259" i="12"/>
  <c r="AL259" i="12"/>
  <c r="AK259" i="12"/>
  <c r="AI297" i="12"/>
  <c r="Z297" i="12"/>
  <c r="AJ297" i="12"/>
  <c r="AK304" i="12"/>
  <c r="AJ304" i="12"/>
  <c r="Z304" i="12"/>
  <c r="AG304" i="12"/>
  <c r="AL304" i="12"/>
  <c r="AI304" i="12"/>
  <c r="AL439" i="12"/>
  <c r="AG439" i="12"/>
  <c r="Z439" i="12"/>
  <c r="AK439" i="12"/>
  <c r="AJ439" i="12"/>
  <c r="AI439" i="12"/>
  <c r="AL499" i="12"/>
  <c r="AK499" i="12"/>
  <c r="AG499" i="12"/>
  <c r="Z499" i="12"/>
  <c r="AL501" i="12"/>
  <c r="AK501" i="12"/>
  <c r="AI501" i="12"/>
  <c r="Z501" i="12"/>
  <c r="AG501" i="12"/>
  <c r="AL606" i="12"/>
  <c r="AK606" i="12"/>
  <c r="AJ606" i="12"/>
  <c r="AI606" i="12"/>
  <c r="Z606" i="12"/>
  <c r="AG606" i="12"/>
  <c r="AG547" i="12"/>
  <c r="Z547" i="12"/>
  <c r="AJ547" i="12"/>
  <c r="AI547" i="12"/>
  <c r="AL547" i="12"/>
  <c r="AL317" i="12"/>
  <c r="AI317" i="12"/>
  <c r="AK317" i="12"/>
  <c r="AJ317" i="12"/>
  <c r="AG317" i="12"/>
  <c r="Z317" i="12"/>
  <c r="Z603" i="12"/>
  <c r="AG603" i="12"/>
  <c r="Z624" i="12"/>
  <c r="AK624" i="12"/>
  <c r="AG624" i="12"/>
  <c r="AJ624" i="12"/>
  <c r="AI624" i="12"/>
  <c r="Z743" i="12"/>
  <c r="AL743" i="12"/>
  <c r="AK743" i="12"/>
  <c r="AJ743" i="12"/>
  <c r="AL616" i="12"/>
  <c r="Z846" i="12"/>
  <c r="AL846" i="12"/>
  <c r="AK846" i="12"/>
  <c r="AG846" i="12"/>
  <c r="AJ846" i="12"/>
  <c r="AI846" i="12"/>
  <c r="AL779" i="12"/>
  <c r="AK779" i="12"/>
  <c r="AJ779" i="12"/>
  <c r="AI779" i="12"/>
  <c r="AG779" i="12"/>
  <c r="Z847" i="12"/>
  <c r="AK847" i="12"/>
  <c r="AI847" i="12"/>
  <c r="AL847" i="12"/>
  <c r="AG847" i="12"/>
  <c r="AJ847" i="12"/>
  <c r="Z828" i="12"/>
  <c r="AL828" i="12"/>
  <c r="Z799" i="12"/>
  <c r="AJ799" i="12"/>
  <c r="AL799" i="12"/>
  <c r="AK799" i="12"/>
  <c r="AI799" i="12"/>
  <c r="AG799" i="12"/>
  <c r="H147" i="9"/>
  <c r="J147" i="9" s="1"/>
  <c r="G147" i="9"/>
  <c r="AJ118" i="12"/>
  <c r="H124" i="9"/>
  <c r="I124" i="9"/>
  <c r="AI199" i="12"/>
  <c r="AI323" i="12"/>
  <c r="AG227" i="12"/>
  <c r="J142" i="9"/>
  <c r="J28" i="9"/>
  <c r="N62" i="9"/>
  <c r="O62" i="9" s="1"/>
  <c r="K7" i="9" l="1"/>
  <c r="L7" i="9"/>
  <c r="K16" i="9"/>
  <c r="L16" i="9"/>
  <c r="M16" i="9" s="1"/>
  <c r="J17" i="6"/>
  <c r="E17" i="6"/>
  <c r="J19" i="6"/>
  <c r="E19" i="6"/>
  <c r="L80" i="9"/>
  <c r="N80" i="9" s="1"/>
  <c r="O80" i="9" s="1"/>
  <c r="K80" i="9"/>
  <c r="K144" i="9"/>
  <c r="L144" i="9"/>
  <c r="L118" i="9"/>
  <c r="M118" i="9" s="1"/>
  <c r="K118" i="9"/>
  <c r="E18" i="6"/>
  <c r="J18" i="6"/>
  <c r="O139" i="9"/>
  <c r="L74" i="9"/>
  <c r="N74" i="9" s="1"/>
  <c r="K74" i="9"/>
  <c r="L128" i="9"/>
  <c r="K128" i="9"/>
  <c r="I34" i="2"/>
  <c r="L67" i="9"/>
  <c r="K67" i="9"/>
  <c r="O64" i="9"/>
  <c r="H43" i="2"/>
  <c r="N172" i="9"/>
  <c r="O172" i="9" s="1"/>
  <c r="M172" i="9"/>
  <c r="R9" i="4"/>
  <c r="R10" i="4"/>
  <c r="N96" i="9"/>
  <c r="O96" i="9" s="1"/>
  <c r="M96" i="9"/>
  <c r="H11" i="2"/>
  <c r="M11" i="2" s="1"/>
  <c r="G34" i="2"/>
  <c r="AE203" i="12"/>
  <c r="L175" i="9"/>
  <c r="K175" i="9"/>
  <c r="O169" i="9"/>
  <c r="M117" i="9"/>
  <c r="N149" i="9"/>
  <c r="M149" i="9"/>
  <c r="L33" i="9"/>
  <c r="N33" i="9" s="1"/>
  <c r="O33" i="9" s="1"/>
  <c r="K33" i="9"/>
  <c r="O174" i="9"/>
  <c r="N189" i="9"/>
  <c r="E24" i="2"/>
  <c r="G17" i="2"/>
  <c r="N155" i="9"/>
  <c r="O155" i="9" s="1"/>
  <c r="M155" i="9"/>
  <c r="N87" i="9"/>
  <c r="O87" i="9" s="1"/>
  <c r="M87" i="9"/>
  <c r="F10" i="2"/>
  <c r="N123" i="9"/>
  <c r="O123" i="9" s="1"/>
  <c r="L190" i="9"/>
  <c r="M190" i="9" s="1"/>
  <c r="K190" i="9"/>
  <c r="F38" i="2"/>
  <c r="M145" i="9"/>
  <c r="N115" i="9"/>
  <c r="O115" i="9" s="1"/>
  <c r="M115" i="9"/>
  <c r="K58" i="9"/>
  <c r="L58" i="9"/>
  <c r="M81" i="9"/>
  <c r="N81" i="9"/>
  <c r="O81" i="9" s="1"/>
  <c r="N78" i="9"/>
  <c r="O78" i="9" s="1"/>
  <c r="M78" i="9"/>
  <c r="M37" i="9"/>
  <c r="N37" i="9"/>
  <c r="O37" i="9" s="1"/>
  <c r="L166" i="9"/>
  <c r="M166" i="9" s="1"/>
  <c r="K166" i="9"/>
  <c r="Y183" i="12"/>
  <c r="Y184" i="12" s="1"/>
  <c r="Y185" i="12" s="1"/>
  <c r="Y186" i="12" s="1"/>
  <c r="Y187" i="12" s="1"/>
  <c r="Y188" i="12" s="1"/>
  <c r="Y189" i="12" s="1"/>
  <c r="Y190" i="12" s="1"/>
  <c r="Y191" i="12" s="1"/>
  <c r="Y192" i="12" s="1"/>
  <c r="Y193" i="12" s="1"/>
  <c r="Y194" i="12" s="1"/>
  <c r="Y195" i="12" s="1"/>
  <c r="Y196" i="12" s="1"/>
  <c r="Y197" i="12" s="1"/>
  <c r="Y198" i="12" s="1"/>
  <c r="Y199" i="12" s="1"/>
  <c r="Y200" i="12" s="1"/>
  <c r="Y201" i="12" s="1"/>
  <c r="Y202" i="12" s="1"/>
  <c r="Y203" i="12" s="1"/>
  <c r="Y204" i="12" s="1"/>
  <c r="Y205" i="12" s="1"/>
  <c r="Y206" i="12" s="1"/>
  <c r="Y207" i="12" s="1"/>
  <c r="Y208" i="12" s="1"/>
  <c r="Y209" i="12" s="1"/>
  <c r="Y210" i="12" s="1"/>
  <c r="Y211" i="12" s="1"/>
  <c r="Y212" i="12" s="1"/>
  <c r="Y213" i="12" s="1"/>
  <c r="Y214" i="12" s="1"/>
  <c r="Y215" i="12" s="1"/>
  <c r="Z182" i="12"/>
  <c r="K119" i="9"/>
  <c r="L119" i="9"/>
  <c r="E28" i="2"/>
  <c r="I18" i="2"/>
  <c r="N99" i="9"/>
  <c r="J120" i="9"/>
  <c r="F35" i="2"/>
  <c r="M35" i="2" s="1"/>
  <c r="N170" i="9"/>
  <c r="O170" i="9" s="1"/>
  <c r="M170" i="9"/>
  <c r="M29" i="2"/>
  <c r="J29" i="2"/>
  <c r="L29" i="2" s="1"/>
  <c r="L114" i="9"/>
  <c r="K114" i="9"/>
  <c r="N148" i="9"/>
  <c r="O148" i="9" s="1"/>
  <c r="N116" i="9"/>
  <c r="O116" i="9" s="1"/>
  <c r="M116" i="9"/>
  <c r="G32" i="2"/>
  <c r="J27" i="2"/>
  <c r="L27" i="2" s="1"/>
  <c r="M27" i="2"/>
  <c r="N57" i="9"/>
  <c r="O57" i="9" s="1"/>
  <c r="M144" i="9"/>
  <c r="E38" i="2"/>
  <c r="N144" i="9"/>
  <c r="O179" i="9"/>
  <c r="L141" i="9"/>
  <c r="K141" i="9"/>
  <c r="M24" i="9"/>
  <c r="E14" i="2"/>
  <c r="E32" i="2"/>
  <c r="J5" i="9"/>
  <c r="L101" i="9"/>
  <c r="K101" i="9"/>
  <c r="N184" i="9"/>
  <c r="E46" i="2"/>
  <c r="M184" i="9"/>
  <c r="J153" i="9"/>
  <c r="K121" i="9"/>
  <c r="L121" i="9"/>
  <c r="M68" i="9"/>
  <c r="I22" i="2"/>
  <c r="M22" i="2" s="1"/>
  <c r="N68" i="9"/>
  <c r="O68" i="9" s="1"/>
  <c r="K83" i="9"/>
  <c r="L83" i="9"/>
  <c r="G33" i="2"/>
  <c r="I20" i="2"/>
  <c r="N58" i="9"/>
  <c r="O58" i="9" s="1"/>
  <c r="M58" i="9"/>
  <c r="L76" i="9"/>
  <c r="K76" i="9"/>
  <c r="J17" i="9"/>
  <c r="M177" i="9"/>
  <c r="H44" i="2"/>
  <c r="N177" i="9"/>
  <c r="O177" i="9" s="1"/>
  <c r="O9" i="9"/>
  <c r="J50" i="9"/>
  <c r="J13" i="6"/>
  <c r="E13" i="6"/>
  <c r="K113" i="9"/>
  <c r="L113" i="9"/>
  <c r="K43" i="9"/>
  <c r="L43" i="9"/>
  <c r="M30" i="2"/>
  <c r="J30" i="2"/>
  <c r="L30" i="2" s="1"/>
  <c r="M91" i="9"/>
  <c r="N91" i="9"/>
  <c r="O91" i="9" s="1"/>
  <c r="N90" i="9"/>
  <c r="O90" i="9" s="1"/>
  <c r="K150" i="9"/>
  <c r="L150" i="9"/>
  <c r="N134" i="9"/>
  <c r="E36" i="2"/>
  <c r="M134" i="9"/>
  <c r="J25" i="2"/>
  <c r="L25" i="2" s="1"/>
  <c r="L154" i="9"/>
  <c r="K154" i="9"/>
  <c r="K12" i="9"/>
  <c r="L12" i="9"/>
  <c r="M12" i="9" s="1"/>
  <c r="E31" i="2"/>
  <c r="K126" i="9"/>
  <c r="L126" i="9"/>
  <c r="M126" i="9" s="1"/>
  <c r="O54" i="9"/>
  <c r="N101" i="9"/>
  <c r="O101" i="9" s="1"/>
  <c r="G29" i="2"/>
  <c r="M101" i="9"/>
  <c r="F47" i="2"/>
  <c r="M47" i="2" s="1"/>
  <c r="N16" i="9"/>
  <c r="O16" i="9" s="1"/>
  <c r="G12" i="2"/>
  <c r="K159" i="9"/>
  <c r="L159" i="9"/>
  <c r="N95" i="9"/>
  <c r="O95" i="9" s="1"/>
  <c r="M95" i="9"/>
  <c r="L56" i="9"/>
  <c r="M56" i="9" s="1"/>
  <c r="K56" i="9"/>
  <c r="N14" i="9"/>
  <c r="M14" i="9"/>
  <c r="M161" i="9"/>
  <c r="N161" i="9"/>
  <c r="O161" i="9" s="1"/>
  <c r="J124" i="9"/>
  <c r="N173" i="9"/>
  <c r="O173" i="9" s="1"/>
  <c r="N162" i="9"/>
  <c r="O162" i="9" s="1"/>
  <c r="J15" i="6"/>
  <c r="E15" i="6"/>
  <c r="M42" i="9"/>
  <c r="D20" i="6"/>
  <c r="N44" i="9"/>
  <c r="M44" i="9"/>
  <c r="L177" i="9"/>
  <c r="K177" i="9"/>
  <c r="G37" i="2"/>
  <c r="E14" i="6"/>
  <c r="J14" i="6"/>
  <c r="L134" i="9"/>
  <c r="K134" i="9"/>
  <c r="K151" i="9"/>
  <c r="L151" i="9"/>
  <c r="L84" i="9"/>
  <c r="E26" i="2"/>
  <c r="K84" i="9"/>
  <c r="K109" i="9"/>
  <c r="L109" i="9"/>
  <c r="N109" i="9" s="1"/>
  <c r="N77" i="9"/>
  <c r="O77" i="9" s="1"/>
  <c r="M77" i="9"/>
  <c r="H46" i="2"/>
  <c r="L145" i="9"/>
  <c r="N145" i="9" s="1"/>
  <c r="O145" i="9" s="1"/>
  <c r="K145" i="9"/>
  <c r="G42" i="2"/>
  <c r="L28" i="9"/>
  <c r="K28" i="9"/>
  <c r="I14" i="2"/>
  <c r="I31" i="2"/>
  <c r="N140" i="9"/>
  <c r="O140" i="9" s="1"/>
  <c r="M140" i="9"/>
  <c r="F37" i="2"/>
  <c r="O29" i="9"/>
  <c r="K94" i="9"/>
  <c r="L94" i="9"/>
  <c r="M94" i="9" s="1"/>
  <c r="K24" i="9"/>
  <c r="L24" i="9"/>
  <c r="N24" i="9" s="1"/>
  <c r="J130" i="9"/>
  <c r="L35" i="9"/>
  <c r="K35" i="9"/>
  <c r="F16" i="2"/>
  <c r="M16" i="2" s="1"/>
  <c r="M42" i="2"/>
  <c r="J42" i="2"/>
  <c r="L42" i="2" s="1"/>
  <c r="M138" i="9"/>
  <c r="N138" i="9"/>
  <c r="O138" i="9" s="1"/>
  <c r="J22" i="6"/>
  <c r="E22" i="6"/>
  <c r="M13" i="2"/>
  <c r="J13" i="2"/>
  <c r="G39" i="2"/>
  <c r="E21" i="6"/>
  <c r="J21" i="6"/>
  <c r="F31" i="2"/>
  <c r="L110" i="9"/>
  <c r="K110" i="9"/>
  <c r="H10" i="2"/>
  <c r="N7" i="9"/>
  <c r="O7" i="9" s="1"/>
  <c r="M7" i="9"/>
  <c r="M80" i="9"/>
  <c r="F25" i="2"/>
  <c r="M25" i="2" s="1"/>
  <c r="J47" i="9"/>
  <c r="J183" i="9"/>
  <c r="L146" i="9"/>
  <c r="K146" i="9"/>
  <c r="L48" i="9"/>
  <c r="M48" i="9" s="1"/>
  <c r="K48" i="9"/>
  <c r="L142" i="9"/>
  <c r="K142" i="9"/>
  <c r="H37" i="2"/>
  <c r="L40" i="9"/>
  <c r="K40" i="9"/>
  <c r="G20" i="2"/>
  <c r="N56" i="9"/>
  <c r="O56" i="9" s="1"/>
  <c r="M139" i="9"/>
  <c r="J51" i="9"/>
  <c r="N160" i="9"/>
  <c r="O160" i="9" s="1"/>
  <c r="N21" i="2"/>
  <c r="M71" i="9"/>
  <c r="N71" i="9"/>
  <c r="O71" i="9" s="1"/>
  <c r="I17" i="2"/>
  <c r="N43" i="9"/>
  <c r="O43" i="9" s="1"/>
  <c r="M43" i="9"/>
  <c r="J47" i="2"/>
  <c r="L47" i="2" s="1"/>
  <c r="I19" i="2"/>
  <c r="I32" i="2"/>
  <c r="N93" i="9"/>
  <c r="O93" i="9" s="1"/>
  <c r="L30" i="9"/>
  <c r="K30" i="9"/>
  <c r="L53" i="9"/>
  <c r="N53" i="9" s="1"/>
  <c r="O53" i="9" s="1"/>
  <c r="K53" i="9"/>
  <c r="E33" i="2"/>
  <c r="N119" i="9"/>
  <c r="M119" i="9"/>
  <c r="M6" i="9"/>
  <c r="K4" i="9"/>
  <c r="L4" i="9"/>
  <c r="L176" i="9"/>
  <c r="K176" i="9"/>
  <c r="Z178" i="12"/>
  <c r="M137" i="9"/>
  <c r="D12" i="6"/>
  <c r="B6" i="6"/>
  <c r="J55" i="9"/>
  <c r="F20" i="2" s="1"/>
  <c r="F22" i="2"/>
  <c r="K79" i="9"/>
  <c r="L79" i="9"/>
  <c r="K41" i="9"/>
  <c r="L41" i="9"/>
  <c r="M41" i="9" s="1"/>
  <c r="L140" i="9"/>
  <c r="K140" i="9"/>
  <c r="F17" i="2"/>
  <c r="N178" i="9"/>
  <c r="O178" i="9" s="1"/>
  <c r="J22" i="2"/>
  <c r="L22" i="2" s="1"/>
  <c r="E23" i="2"/>
  <c r="L69" i="9"/>
  <c r="K69" i="9"/>
  <c r="O89" i="9"/>
  <c r="L193" i="9"/>
  <c r="K193" i="9"/>
  <c r="H38" i="2"/>
  <c r="L147" i="9"/>
  <c r="N147" i="9" s="1"/>
  <c r="O147" i="9" s="1"/>
  <c r="K147" i="9"/>
  <c r="K165" i="9"/>
  <c r="L165" i="9"/>
  <c r="K116" i="9"/>
  <c r="L116" i="9"/>
  <c r="G19" i="5"/>
  <c r="H19" i="5" s="1"/>
  <c r="E10" i="2"/>
  <c r="J13" i="9"/>
  <c r="M106" i="9"/>
  <c r="H40" i="2"/>
  <c r="M19" i="9"/>
  <c r="N19" i="9"/>
  <c r="J156" i="9"/>
  <c r="G40" i="2" s="1"/>
  <c r="M185" i="9"/>
  <c r="J171" i="9"/>
  <c r="M21" i="9"/>
  <c r="N21" i="9"/>
  <c r="O21" i="9" s="1"/>
  <c r="K23" i="9"/>
  <c r="L23" i="9"/>
  <c r="L172" i="9"/>
  <c r="K172" i="9"/>
  <c r="G36" i="2"/>
  <c r="E40" i="2"/>
  <c r="N154" i="9"/>
  <c r="M154" i="9"/>
  <c r="N26" i="9"/>
  <c r="O26" i="9" s="1"/>
  <c r="M26" i="9"/>
  <c r="G14" i="2"/>
  <c r="L187" i="9"/>
  <c r="M187" i="9" s="1"/>
  <c r="K187" i="9"/>
  <c r="J49" i="9"/>
  <c r="E19" i="2" s="1"/>
  <c r="M98" i="9"/>
  <c r="N98" i="9"/>
  <c r="O98" i="9" s="1"/>
  <c r="G26" i="2"/>
  <c r="M86" i="9"/>
  <c r="N86" i="9"/>
  <c r="O86" i="9" s="1"/>
  <c r="L65" i="9"/>
  <c r="N65" i="9" s="1"/>
  <c r="K65" i="9"/>
  <c r="N167" i="9"/>
  <c r="O167" i="9" s="1"/>
  <c r="M167" i="9"/>
  <c r="I15" i="2"/>
  <c r="M15" i="2" s="1"/>
  <c r="M159" i="9"/>
  <c r="N159" i="9"/>
  <c r="E41" i="2"/>
  <c r="N83" i="9"/>
  <c r="O83" i="9" s="1"/>
  <c r="I25" i="2"/>
  <c r="M83" i="9"/>
  <c r="F44" i="2"/>
  <c r="M44" i="2" s="1"/>
  <c r="M175" i="9"/>
  <c r="N175" i="9"/>
  <c r="O175" i="9" s="1"/>
  <c r="O129" i="9"/>
  <c r="L39" i="9"/>
  <c r="K39" i="9"/>
  <c r="E17" i="2"/>
  <c r="L11" i="9"/>
  <c r="K11" i="9"/>
  <c r="H22" i="2"/>
  <c r="N67" i="9"/>
  <c r="O67" i="9" s="1"/>
  <c r="M67" i="9"/>
  <c r="I11" i="2"/>
  <c r="J11" i="2" s="1"/>
  <c r="L157" i="9"/>
  <c r="M157" i="9" s="1"/>
  <c r="K157" i="9"/>
  <c r="H18" i="2"/>
  <c r="J18" i="2" s="1"/>
  <c r="M38" i="9"/>
  <c r="N38" i="9"/>
  <c r="O38" i="9" s="1"/>
  <c r="J136" i="9"/>
  <c r="N61" i="9"/>
  <c r="M61" i="9"/>
  <c r="C15" i="5"/>
  <c r="O104" i="9"/>
  <c r="O30" i="2"/>
  <c r="N30" i="2"/>
  <c r="J20" i="2" l="1"/>
  <c r="L20" i="2" s="1"/>
  <c r="M20" i="2"/>
  <c r="L11" i="2"/>
  <c r="O109" i="9"/>
  <c r="N31" i="2"/>
  <c r="O74" i="9"/>
  <c r="L18" i="2"/>
  <c r="P16" i="2"/>
  <c r="Q16" i="2"/>
  <c r="O65" i="9"/>
  <c r="O22" i="2"/>
  <c r="N22" i="2"/>
  <c r="O24" i="9"/>
  <c r="N14" i="2"/>
  <c r="M39" i="2"/>
  <c r="N176" i="9"/>
  <c r="O176" i="9" s="1"/>
  <c r="M176" i="9"/>
  <c r="M18" i="2"/>
  <c r="L120" i="9"/>
  <c r="K120" i="9"/>
  <c r="N157" i="9"/>
  <c r="O157" i="9" s="1"/>
  <c r="R30" i="2"/>
  <c r="AK27" i="8"/>
  <c r="D27" i="8" s="1"/>
  <c r="E27" i="8" s="1"/>
  <c r="M33" i="9"/>
  <c r="N193" i="9"/>
  <c r="O193" i="9" s="1"/>
  <c r="M193" i="9"/>
  <c r="P42" i="2"/>
  <c r="Q42" i="2"/>
  <c r="O184" i="9"/>
  <c r="N48" i="9"/>
  <c r="O48" i="9" s="1"/>
  <c r="C34" i="6"/>
  <c r="C27" i="6"/>
  <c r="C28" i="6"/>
  <c r="C32" i="6"/>
  <c r="C33" i="6"/>
  <c r="C29" i="6"/>
  <c r="C31" i="6"/>
  <c r="C30" i="6"/>
  <c r="M79" i="9"/>
  <c r="N79" i="9"/>
  <c r="M76" i="9"/>
  <c r="N76" i="9"/>
  <c r="O76" i="9" s="1"/>
  <c r="N41" i="9"/>
  <c r="O41" i="9" s="1"/>
  <c r="J40" i="2"/>
  <c r="L40" i="2" s="1"/>
  <c r="M40" i="2"/>
  <c r="N4" i="9"/>
  <c r="M65" i="9"/>
  <c r="N35" i="9"/>
  <c r="M35" i="9"/>
  <c r="N166" i="9"/>
  <c r="O166" i="9" s="1"/>
  <c r="J31" i="2"/>
  <c r="L31" i="2" s="1"/>
  <c r="M31" i="2"/>
  <c r="P30" i="2"/>
  <c r="Q30" i="2"/>
  <c r="L5" i="9"/>
  <c r="K5" i="9"/>
  <c r="Q27" i="2"/>
  <c r="P27" i="2"/>
  <c r="M28" i="2"/>
  <c r="J28" i="2"/>
  <c r="L28" i="2" s="1"/>
  <c r="M74" i="9"/>
  <c r="N126" i="9"/>
  <c r="O126" i="9" s="1"/>
  <c r="N141" i="9"/>
  <c r="M141" i="9"/>
  <c r="J44" i="2"/>
  <c r="L44" i="2" s="1"/>
  <c r="L124" i="9"/>
  <c r="K124" i="9"/>
  <c r="E34" i="2"/>
  <c r="M26" i="2"/>
  <c r="J26" i="2"/>
  <c r="L26" i="2" s="1"/>
  <c r="M147" i="9"/>
  <c r="K153" i="9"/>
  <c r="L153" i="9"/>
  <c r="L183" i="9"/>
  <c r="K183" i="9"/>
  <c r="I45" i="2"/>
  <c r="K17" i="9"/>
  <c r="L17" i="9"/>
  <c r="M28" i="9"/>
  <c r="N28" i="9"/>
  <c r="O28" i="9" s="1"/>
  <c r="N30" i="9"/>
  <c r="M30" i="9"/>
  <c r="M11" i="9"/>
  <c r="N11" i="9"/>
  <c r="N27" i="2"/>
  <c r="N118" i="9"/>
  <c r="O118" i="9" s="1"/>
  <c r="M109" i="9"/>
  <c r="M32" i="2"/>
  <c r="J32" i="2"/>
  <c r="L32" i="2" s="1"/>
  <c r="N94" i="9"/>
  <c r="R11" i="4"/>
  <c r="N69" i="9"/>
  <c r="M69" i="9"/>
  <c r="N190" i="9"/>
  <c r="O190" i="9" s="1"/>
  <c r="E10" i="4"/>
  <c r="B10" i="4"/>
  <c r="M10" i="4"/>
  <c r="J10" i="4"/>
  <c r="I10" i="4"/>
  <c r="H10" i="4"/>
  <c r="C10" i="4"/>
  <c r="G10" i="4"/>
  <c r="O19" i="9"/>
  <c r="J46" i="2"/>
  <c r="L46" i="2" s="1"/>
  <c r="M46" i="2"/>
  <c r="I39" i="2"/>
  <c r="L47" i="9"/>
  <c r="K47" i="9"/>
  <c r="O154" i="9"/>
  <c r="K13" i="9"/>
  <c r="L13" i="9"/>
  <c r="O61" i="9"/>
  <c r="O21" i="2"/>
  <c r="M4" i="9"/>
  <c r="J17" i="2"/>
  <c r="M17" i="2"/>
  <c r="O27" i="2"/>
  <c r="N40" i="9"/>
  <c r="O40" i="9" s="1"/>
  <c r="M40" i="9"/>
  <c r="M14" i="2"/>
  <c r="J14" i="2"/>
  <c r="L14" i="2" s="1"/>
  <c r="M24" i="2"/>
  <c r="J24" i="2"/>
  <c r="L24" i="2" s="1"/>
  <c r="N12" i="9"/>
  <c r="O12" i="9" s="1"/>
  <c r="J37" i="2"/>
  <c r="L37" i="2" s="1"/>
  <c r="M37" i="2"/>
  <c r="K171" i="9"/>
  <c r="L171" i="9"/>
  <c r="L13" i="2"/>
  <c r="M36" i="2"/>
  <c r="J36" i="2"/>
  <c r="L36" i="2" s="1"/>
  <c r="N121" i="9"/>
  <c r="O121" i="9" s="1"/>
  <c r="M121" i="9"/>
  <c r="O41" i="2"/>
  <c r="O159" i="9"/>
  <c r="N41" i="2"/>
  <c r="F33" i="2"/>
  <c r="M33" i="2" s="1"/>
  <c r="K55" i="9"/>
  <c r="L55" i="9"/>
  <c r="E20" i="6"/>
  <c r="J20" i="6"/>
  <c r="J39" i="2"/>
  <c r="L39" i="2" s="1"/>
  <c r="J12" i="6"/>
  <c r="E12" i="6"/>
  <c r="M53" i="9"/>
  <c r="N142" i="9"/>
  <c r="O142" i="9" s="1"/>
  <c r="M142" i="9"/>
  <c r="M110" i="9"/>
  <c r="N110" i="9"/>
  <c r="O110" i="9" s="1"/>
  <c r="N113" i="9"/>
  <c r="O113" i="9" s="1"/>
  <c r="M113" i="9"/>
  <c r="J16" i="2"/>
  <c r="M23" i="2"/>
  <c r="J23" i="2"/>
  <c r="L23" i="2" s="1"/>
  <c r="Q29" i="2"/>
  <c r="P29" i="2"/>
  <c r="G9" i="4"/>
  <c r="C9" i="4"/>
  <c r="B9" i="4"/>
  <c r="M9" i="4"/>
  <c r="I9" i="4"/>
  <c r="J9" i="4"/>
  <c r="H9" i="4"/>
  <c r="E9" i="4"/>
  <c r="N84" i="9"/>
  <c r="M84" i="9"/>
  <c r="N146" i="9"/>
  <c r="O146" i="9" s="1"/>
  <c r="M146" i="9"/>
  <c r="N151" i="9"/>
  <c r="O151" i="9" s="1"/>
  <c r="M151" i="9"/>
  <c r="J41" i="2"/>
  <c r="L41" i="2" s="1"/>
  <c r="M41" i="2"/>
  <c r="J35" i="2"/>
  <c r="L35" i="2" s="1"/>
  <c r="N187" i="9"/>
  <c r="O187" i="9" s="1"/>
  <c r="O44" i="9"/>
  <c r="O47" i="2"/>
  <c r="O189" i="9"/>
  <c r="M39" i="9"/>
  <c r="N39" i="9"/>
  <c r="N23" i="9"/>
  <c r="O23" i="9" s="1"/>
  <c r="M23" i="9"/>
  <c r="G43" i="2"/>
  <c r="H12" i="2"/>
  <c r="Y216" i="12"/>
  <c r="Y217" i="12" s="1"/>
  <c r="Y218" i="12" s="1"/>
  <c r="Y219" i="12" s="1"/>
  <c r="Y220" i="12" s="1"/>
  <c r="Y221" i="12" s="1"/>
  <c r="Y222" i="12" s="1"/>
  <c r="Y223" i="12" s="1"/>
  <c r="Y224" i="12" s="1"/>
  <c r="Y225" i="12" s="1"/>
  <c r="Y226" i="12" s="1"/>
  <c r="Y227" i="12" s="1"/>
  <c r="Y228" i="12" s="1"/>
  <c r="Y229" i="12" s="1"/>
  <c r="Y230" i="12" s="1"/>
  <c r="Y231" i="12" s="1"/>
  <c r="Y232" i="12" s="1"/>
  <c r="Y233" i="12" s="1"/>
  <c r="Y234" i="12" s="1"/>
  <c r="Y235" i="12" s="1"/>
  <c r="Y236" i="12" s="1"/>
  <c r="Y237" i="12" s="1"/>
  <c r="Y238" i="12" s="1"/>
  <c r="Y239" i="12" s="1"/>
  <c r="Y240" i="12" s="1"/>
  <c r="Y241" i="12" s="1"/>
  <c r="Y242" i="12" s="1"/>
  <c r="Y243" i="12" s="1"/>
  <c r="Y244" i="12" s="1"/>
  <c r="Y245" i="12" s="1"/>
  <c r="Y246" i="12" s="1"/>
  <c r="Y247" i="12" s="1"/>
  <c r="Y248" i="12" s="1"/>
  <c r="Y249" i="12" s="1"/>
  <c r="Y250" i="12" s="1"/>
  <c r="Y251" i="12" s="1"/>
  <c r="Y252" i="12" s="1"/>
  <c r="Y253" i="12" s="1"/>
  <c r="Y254" i="12" s="1"/>
  <c r="Y255" i="12" s="1"/>
  <c r="Y256" i="12" s="1"/>
  <c r="Y257" i="12" s="1"/>
  <c r="Y258" i="12" s="1"/>
  <c r="Y259" i="12" s="1"/>
  <c r="Y260" i="12" s="1"/>
  <c r="Y261" i="12" s="1"/>
  <c r="Y262" i="12" s="1"/>
  <c r="Y263" i="12" s="1"/>
  <c r="Y264" i="12" s="1"/>
  <c r="Y265" i="12" s="1"/>
  <c r="Y266" i="12" s="1"/>
  <c r="Y267" i="12" s="1"/>
  <c r="Y268" i="12" s="1"/>
  <c r="Y269" i="12" s="1"/>
  <c r="Y270" i="12" s="1"/>
  <c r="Y271" i="12" s="1"/>
  <c r="Y272" i="12" s="1"/>
  <c r="Y273" i="12" s="1"/>
  <c r="Y274" i="12" s="1"/>
  <c r="Y275" i="12" s="1"/>
  <c r="Y276" i="12" s="1"/>
  <c r="Y277" i="12" s="1"/>
  <c r="Y278" i="12" s="1"/>
  <c r="Y279" i="12" s="1"/>
  <c r="Y280" i="12" s="1"/>
  <c r="Y281" i="12" s="1"/>
  <c r="Y282" i="12" s="1"/>
  <c r="Y283" i="12" s="1"/>
  <c r="Y284" i="12" s="1"/>
  <c r="Y285" i="12" s="1"/>
  <c r="Y286" i="12" s="1"/>
  <c r="Y287" i="12" s="1"/>
  <c r="Y288" i="12" s="1"/>
  <c r="Y289" i="12" s="1"/>
  <c r="Y290" i="12" s="1"/>
  <c r="Y291" i="12" s="1"/>
  <c r="Y292" i="12" s="1"/>
  <c r="Y293" i="12" s="1"/>
  <c r="Y294" i="12" s="1"/>
  <c r="Y295" i="12" s="1"/>
  <c r="Y296" i="12" s="1"/>
  <c r="Y297" i="12" s="1"/>
  <c r="Y298" i="12" s="1"/>
  <c r="Y299" i="12" s="1"/>
  <c r="Y300" i="12" s="1"/>
  <c r="Y301" i="12" s="1"/>
  <c r="Y302" i="12" s="1"/>
  <c r="Y303" i="12" s="1"/>
  <c r="Y304" i="12" s="1"/>
  <c r="Y305" i="12" s="1"/>
  <c r="Y306" i="12" s="1"/>
  <c r="Y307" i="12" s="1"/>
  <c r="Y308" i="12" s="1"/>
  <c r="Y309" i="12" s="1"/>
  <c r="Y310" i="12" s="1"/>
  <c r="Y311" i="12" s="1"/>
  <c r="Y312" i="12" s="1"/>
  <c r="Y313" i="12" s="1"/>
  <c r="Z215" i="12"/>
  <c r="M128" i="9"/>
  <c r="N128" i="9"/>
  <c r="O128" i="9" s="1"/>
  <c r="K49" i="9"/>
  <c r="L49" i="9"/>
  <c r="M165" i="9"/>
  <c r="N165" i="9"/>
  <c r="L50" i="9"/>
  <c r="K50" i="9"/>
  <c r="F19" i="2"/>
  <c r="M19" i="2" s="1"/>
  <c r="K156" i="9"/>
  <c r="L156" i="9"/>
  <c r="N150" i="9"/>
  <c r="M150" i="9"/>
  <c r="O38" i="2"/>
  <c r="N38" i="2"/>
  <c r="O144" i="9"/>
  <c r="O119" i="9"/>
  <c r="J38" i="2"/>
  <c r="L38" i="2" s="1"/>
  <c r="M38" i="2"/>
  <c r="L51" i="9"/>
  <c r="K51" i="9"/>
  <c r="G19" i="2"/>
  <c r="O14" i="9"/>
  <c r="O99" i="9"/>
  <c r="O29" i="2"/>
  <c r="N29" i="2"/>
  <c r="M10" i="2"/>
  <c r="J10" i="2"/>
  <c r="K130" i="9"/>
  <c r="L130" i="9"/>
  <c r="L136" i="9"/>
  <c r="K136" i="9"/>
  <c r="J15" i="2"/>
  <c r="J12" i="2"/>
  <c r="L12" i="2" s="1"/>
  <c r="M12" i="2"/>
  <c r="N114" i="9"/>
  <c r="M114" i="9"/>
  <c r="Q38" i="2" l="1"/>
  <c r="P38" i="2"/>
  <c r="N51" i="9"/>
  <c r="O51" i="9" s="1"/>
  <c r="M51" i="9"/>
  <c r="N13" i="9"/>
  <c r="O13" i="9" s="1"/>
  <c r="M13" i="9"/>
  <c r="R22" i="2"/>
  <c r="AK37" i="8"/>
  <c r="D37" i="8" s="1"/>
  <c r="E37" i="8" s="1"/>
  <c r="L15" i="2"/>
  <c r="G8" i="5"/>
  <c r="E11" i="4"/>
  <c r="M11" i="4"/>
  <c r="H11" i="4"/>
  <c r="J11" i="4"/>
  <c r="I11" i="4"/>
  <c r="G11" i="4"/>
  <c r="C11" i="4"/>
  <c r="B11" i="4"/>
  <c r="N44" i="2"/>
  <c r="D33" i="6"/>
  <c r="G33" i="6"/>
  <c r="F33" i="6"/>
  <c r="E33" i="6"/>
  <c r="B33" i="6"/>
  <c r="J33" i="2"/>
  <c r="L33" i="2" s="1"/>
  <c r="L10" i="2"/>
  <c r="L6" i="2"/>
  <c r="G14" i="5"/>
  <c r="O150" i="9"/>
  <c r="N28" i="2"/>
  <c r="O28" i="2"/>
  <c r="O94" i="9"/>
  <c r="F32" i="6"/>
  <c r="B32" i="6"/>
  <c r="E32" i="6"/>
  <c r="D32" i="6"/>
  <c r="G32" i="6"/>
  <c r="G12" i="5"/>
  <c r="R21" i="2"/>
  <c r="AK36" i="8"/>
  <c r="D36" i="8" s="1"/>
  <c r="E36" i="8" s="1"/>
  <c r="Q21" i="2"/>
  <c r="P21" i="2"/>
  <c r="N10" i="2"/>
  <c r="O4" i="9"/>
  <c r="O10" i="2"/>
  <c r="O14" i="2"/>
  <c r="G21" i="5"/>
  <c r="H21" i="5" s="1"/>
  <c r="M55" i="9"/>
  <c r="N55" i="9"/>
  <c r="N47" i="9"/>
  <c r="M47" i="9"/>
  <c r="M183" i="9"/>
  <c r="N183" i="9"/>
  <c r="N136" i="9"/>
  <c r="M136" i="9"/>
  <c r="P46" i="2"/>
  <c r="Q46" i="2"/>
  <c r="E28" i="6"/>
  <c r="B28" i="6"/>
  <c r="D28" i="6"/>
  <c r="F28" i="6"/>
  <c r="G28" i="6"/>
  <c r="AK59" i="8"/>
  <c r="D59" i="8" s="1"/>
  <c r="E59" i="8" s="1"/>
  <c r="R47" i="2"/>
  <c r="O114" i="9"/>
  <c r="O32" i="2"/>
  <c r="Q32" i="2" s="1"/>
  <c r="N32" i="2"/>
  <c r="K9" i="4"/>
  <c r="L9" i="4"/>
  <c r="D9" i="4"/>
  <c r="F9" i="4"/>
  <c r="M17" i="9"/>
  <c r="N17" i="9"/>
  <c r="G30" i="6"/>
  <c r="B30" i="6"/>
  <c r="F30" i="6"/>
  <c r="E30" i="6"/>
  <c r="D30" i="6"/>
  <c r="P22" i="2"/>
  <c r="R38" i="2"/>
  <c r="AK50" i="8"/>
  <c r="D50" i="8" s="1"/>
  <c r="E50" i="8" s="1"/>
  <c r="M5" i="9"/>
  <c r="N5" i="9"/>
  <c r="O5" i="9" s="1"/>
  <c r="G24" i="5"/>
  <c r="H24" i="5" s="1"/>
  <c r="N156" i="9"/>
  <c r="M156" i="9"/>
  <c r="M43" i="2"/>
  <c r="J43" i="2"/>
  <c r="L43" i="2" s="1"/>
  <c r="AK60" i="8"/>
  <c r="D60" i="8" s="1"/>
  <c r="E60" i="8" s="1"/>
  <c r="R41" i="2"/>
  <c r="J11" i="5"/>
  <c r="Q26" i="2"/>
  <c r="P26" i="2"/>
  <c r="N26" i="2"/>
  <c r="O84" i="9"/>
  <c r="O26" i="2"/>
  <c r="O44" i="2"/>
  <c r="M34" i="2"/>
  <c r="J34" i="2"/>
  <c r="L34" i="2" s="1"/>
  <c r="Q31" i="2"/>
  <c r="P31" i="2"/>
  <c r="E27" i="6"/>
  <c r="F27" i="6"/>
  <c r="G27" i="6"/>
  <c r="D27" i="6"/>
  <c r="B27" i="6"/>
  <c r="O30" i="9"/>
  <c r="N15" i="2"/>
  <c r="J8" i="5"/>
  <c r="O15" i="2"/>
  <c r="N25" i="2"/>
  <c r="O25" i="2"/>
  <c r="Y314" i="12"/>
  <c r="Y315" i="12" s="1"/>
  <c r="Y316" i="12" s="1"/>
  <c r="Y317" i="12" s="1"/>
  <c r="Y318" i="12" s="1"/>
  <c r="Y319" i="12" s="1"/>
  <c r="Y320" i="12" s="1"/>
  <c r="Y321" i="12" s="1"/>
  <c r="Y322" i="12" s="1"/>
  <c r="Y323" i="12" s="1"/>
  <c r="Y324" i="12" s="1"/>
  <c r="Y325" i="12" s="1"/>
  <c r="Y326" i="12" s="1"/>
  <c r="Z313" i="12"/>
  <c r="N24" i="2"/>
  <c r="Q47" i="2"/>
  <c r="N23" i="2"/>
  <c r="O69" i="9"/>
  <c r="O23" i="2"/>
  <c r="G31" i="6"/>
  <c r="B31" i="6"/>
  <c r="F31" i="6"/>
  <c r="E31" i="6"/>
  <c r="D31" i="6"/>
  <c r="M120" i="9"/>
  <c r="N120" i="9"/>
  <c r="N130" i="9"/>
  <c r="M130" i="9"/>
  <c r="F34" i="6"/>
  <c r="E34" i="6"/>
  <c r="G34" i="6"/>
  <c r="D34" i="6"/>
  <c r="B34" i="6"/>
  <c r="O39" i="2"/>
  <c r="P39" i="2" s="1"/>
  <c r="N50" i="9"/>
  <c r="O50" i="9" s="1"/>
  <c r="M50" i="9"/>
  <c r="O46" i="2"/>
  <c r="J19" i="2"/>
  <c r="P47" i="2"/>
  <c r="N49" i="9"/>
  <c r="O134" i="9" s="1"/>
  <c r="M49" i="9"/>
  <c r="M171" i="9"/>
  <c r="N171" i="9"/>
  <c r="J45" i="2"/>
  <c r="M45" i="2"/>
  <c r="Q41" i="2"/>
  <c r="P41" i="2"/>
  <c r="G29" i="6"/>
  <c r="F29" i="6"/>
  <c r="D29" i="6"/>
  <c r="B29" i="6"/>
  <c r="E29" i="6"/>
  <c r="R27" i="2"/>
  <c r="AK18" i="8"/>
  <c r="D18" i="8" s="1"/>
  <c r="E18" i="8" s="1"/>
  <c r="O13" i="2"/>
  <c r="N124" i="9"/>
  <c r="M124" i="9"/>
  <c r="O165" i="9"/>
  <c r="N42" i="2"/>
  <c r="O42" i="2"/>
  <c r="N47" i="2"/>
  <c r="L17" i="2"/>
  <c r="K10" i="4"/>
  <c r="L10" i="4" s="1"/>
  <c r="D10" i="4"/>
  <c r="F10" i="4"/>
  <c r="O11" i="9"/>
  <c r="O35" i="9"/>
  <c r="J10" i="5"/>
  <c r="N16" i="2"/>
  <c r="O16" i="2"/>
  <c r="N46" i="2"/>
  <c r="P28" i="2"/>
  <c r="Q28" i="2"/>
  <c r="N153" i="9"/>
  <c r="O153" i="9" s="1"/>
  <c r="M153" i="9"/>
  <c r="Q22" i="2"/>
  <c r="R12" i="4"/>
  <c r="R29" i="2"/>
  <c r="AK25" i="8"/>
  <c r="D25" i="8" s="1"/>
  <c r="E25" i="8" s="1"/>
  <c r="N39" i="2"/>
  <c r="L16" i="2"/>
  <c r="G10" i="5"/>
  <c r="N13" i="2"/>
  <c r="O24" i="2"/>
  <c r="P24" i="2" s="1"/>
  <c r="O39" i="9"/>
  <c r="N17" i="2"/>
  <c r="O17" i="2"/>
  <c r="P17" i="2" s="1"/>
  <c r="J9" i="5"/>
  <c r="G20" i="5"/>
  <c r="H20" i="5" s="1"/>
  <c r="O141" i="9"/>
  <c r="N37" i="2"/>
  <c r="O37" i="2"/>
  <c r="O31" i="2"/>
  <c r="R10" i="2" l="1"/>
  <c r="AK6" i="8"/>
  <c r="O120" i="9"/>
  <c r="N33" i="2"/>
  <c r="O33" i="2"/>
  <c r="N11" i="2"/>
  <c r="O17" i="9"/>
  <c r="R47" i="3" s="1"/>
  <c r="N12" i="2"/>
  <c r="O12" i="2"/>
  <c r="Q17" i="2"/>
  <c r="O11" i="2"/>
  <c r="J13" i="5"/>
  <c r="O183" i="9"/>
  <c r="N45" i="2"/>
  <c r="O45" i="2"/>
  <c r="N19" i="2"/>
  <c r="O19" i="2"/>
  <c r="O49" i="9"/>
  <c r="J7" i="5"/>
  <c r="J15" i="5" s="1"/>
  <c r="R46" i="2"/>
  <c r="AK58" i="8"/>
  <c r="D58" i="8" s="1"/>
  <c r="E58" i="8" s="1"/>
  <c r="R16" i="2"/>
  <c r="AK21" i="8"/>
  <c r="D21" i="8" s="1"/>
  <c r="E21" i="8" s="1"/>
  <c r="R23" i="2"/>
  <c r="AK41" i="8"/>
  <c r="D41" i="8" s="1"/>
  <c r="E41" i="8" s="1"/>
  <c r="Q10" i="2"/>
  <c r="Q39" i="2"/>
  <c r="AK29" i="8"/>
  <c r="D29" i="8" s="1"/>
  <c r="E29" i="8" s="1"/>
  <c r="R31" i="2"/>
  <c r="P45" i="2"/>
  <c r="Q45" i="2"/>
  <c r="Y327" i="12"/>
  <c r="Y328" i="12" s="1"/>
  <c r="Y329" i="12" s="1"/>
  <c r="Y330" i="12" s="1"/>
  <c r="Y331" i="12" s="1"/>
  <c r="Y332" i="12" s="1"/>
  <c r="Y333" i="12" s="1"/>
  <c r="Y334" i="12" s="1"/>
  <c r="Y335" i="12" s="1"/>
  <c r="Y336" i="12" s="1"/>
  <c r="Y337" i="12" s="1"/>
  <c r="Y338" i="12" s="1"/>
  <c r="Y339" i="12" s="1"/>
  <c r="Y340" i="12" s="1"/>
  <c r="Y341" i="12" s="1"/>
  <c r="Y342" i="12" s="1"/>
  <c r="Y343" i="12" s="1"/>
  <c r="Y344" i="12" s="1"/>
  <c r="Y345" i="12" s="1"/>
  <c r="Y346" i="12" s="1"/>
  <c r="Y347" i="12" s="1"/>
  <c r="Y348" i="12" s="1"/>
  <c r="Y349" i="12" s="1"/>
  <c r="Y350" i="12" s="1"/>
  <c r="Y351" i="12" s="1"/>
  <c r="Y352" i="12" s="1"/>
  <c r="Y353" i="12" s="1"/>
  <c r="Y354" i="12" s="1"/>
  <c r="Y355" i="12" s="1"/>
  <c r="Y356" i="12" s="1"/>
  <c r="Y357" i="12" s="1"/>
  <c r="Y358" i="12" s="1"/>
  <c r="Y359" i="12" s="1"/>
  <c r="Y360" i="12" s="1"/>
  <c r="Y361" i="12" s="1"/>
  <c r="Y362" i="12" s="1"/>
  <c r="Y363" i="12" s="1"/>
  <c r="Y364" i="12" s="1"/>
  <c r="Y365" i="12" s="1"/>
  <c r="Y366" i="12" s="1"/>
  <c r="Y367" i="12" s="1"/>
  <c r="Y368" i="12" s="1"/>
  <c r="Y369" i="12" s="1"/>
  <c r="Y370" i="12" s="1"/>
  <c r="Y371" i="12" s="1"/>
  <c r="Y372" i="12" s="1"/>
  <c r="Y373" i="12" s="1"/>
  <c r="Y374" i="12" s="1"/>
  <c r="Y375" i="12" s="1"/>
  <c r="Y376" i="12" s="1"/>
  <c r="Y377" i="12" s="1"/>
  <c r="Y378" i="12" s="1"/>
  <c r="Y379" i="12" s="1"/>
  <c r="Y380" i="12" s="1"/>
  <c r="Y381" i="12" s="1"/>
  <c r="Y382" i="12" s="1"/>
  <c r="Y383" i="12" s="1"/>
  <c r="Y384" i="12" s="1"/>
  <c r="Y385" i="12" s="1"/>
  <c r="Y386" i="12" s="1"/>
  <c r="Y387" i="12" s="1"/>
  <c r="Y388" i="12" s="1"/>
  <c r="Y389" i="12" s="1"/>
  <c r="Y390" i="12" s="1"/>
  <c r="Y391" i="12" s="1"/>
  <c r="Y392" i="12" s="1"/>
  <c r="Y393" i="12" s="1"/>
  <c r="Y394" i="12" s="1"/>
  <c r="Y395" i="12" s="1"/>
  <c r="Y396" i="12" s="1"/>
  <c r="Y397" i="12" s="1"/>
  <c r="Y398" i="12" s="1"/>
  <c r="Y399" i="12" s="1"/>
  <c r="Y400" i="12" s="1"/>
  <c r="Y401" i="12" s="1"/>
  <c r="Y402" i="12" s="1"/>
  <c r="Y403" i="12" s="1"/>
  <c r="Y404" i="12" s="1"/>
  <c r="Y405" i="12" s="1"/>
  <c r="Y406" i="12" s="1"/>
  <c r="Y407" i="12" s="1"/>
  <c r="Y408" i="12" s="1"/>
  <c r="Y409" i="12" s="1"/>
  <c r="Y410" i="12" s="1"/>
  <c r="Y411" i="12" s="1"/>
  <c r="Y412" i="12" s="1"/>
  <c r="Y413" i="12" s="1"/>
  <c r="Y414" i="12" s="1"/>
  <c r="Y415" i="12" s="1"/>
  <c r="Y416" i="12" s="1"/>
  <c r="Y417" i="12" s="1"/>
  <c r="Y418" i="12" s="1"/>
  <c r="Y419" i="12" s="1"/>
  <c r="Y420" i="12" s="1"/>
  <c r="Y421" i="12" s="1"/>
  <c r="Y422" i="12" s="1"/>
  <c r="Y423" i="12" s="1"/>
  <c r="Y424" i="12" s="1"/>
  <c r="Y425" i="12" s="1"/>
  <c r="Y426" i="12" s="1"/>
  <c r="Y427" i="12" s="1"/>
  <c r="Y428" i="12" s="1"/>
  <c r="Y429" i="12" s="1"/>
  <c r="Y430" i="12" s="1"/>
  <c r="Y431" i="12" s="1"/>
  <c r="Y432" i="12" s="1"/>
  <c r="Y433" i="12" s="1"/>
  <c r="Y434" i="12" s="1"/>
  <c r="Y435" i="12" s="1"/>
  <c r="Y436" i="12" s="1"/>
  <c r="Y437" i="12" s="1"/>
  <c r="Y438" i="12" s="1"/>
  <c r="Y439" i="12" s="1"/>
  <c r="Y440" i="12" s="1"/>
  <c r="Y441" i="12" s="1"/>
  <c r="Y442" i="12" s="1"/>
  <c r="Y443" i="12" s="1"/>
  <c r="Y444" i="12" s="1"/>
  <c r="Y445" i="12" s="1"/>
  <c r="Y446" i="12" s="1"/>
  <c r="Y447" i="12" s="1"/>
  <c r="Y448" i="12" s="1"/>
  <c r="Y449" i="12" s="1"/>
  <c r="Y450" i="12" s="1"/>
  <c r="Y451" i="12" s="1"/>
  <c r="Y452" i="12" s="1"/>
  <c r="Y453" i="12" s="1"/>
  <c r="Y454" i="12" s="1"/>
  <c r="Y455" i="12" s="1"/>
  <c r="Y456" i="12" s="1"/>
  <c r="Y457" i="12" s="1"/>
  <c r="Y458" i="12" s="1"/>
  <c r="Y459" i="12" s="1"/>
  <c r="Y460" i="12" s="1"/>
  <c r="Y461" i="12" s="1"/>
  <c r="Y462" i="12" s="1"/>
  <c r="Z326" i="12"/>
  <c r="P32" i="2"/>
  <c r="AK16" i="8"/>
  <c r="D16" i="8" s="1"/>
  <c r="E16" i="8" s="1"/>
  <c r="R14" i="2"/>
  <c r="K11" i="4"/>
  <c r="L11" i="4" s="1"/>
  <c r="D11" i="4"/>
  <c r="F11" i="4"/>
  <c r="R17" i="2"/>
  <c r="AK28" i="8"/>
  <c r="D28" i="8" s="1"/>
  <c r="E28" i="8" s="1"/>
  <c r="O124" i="9"/>
  <c r="O34" i="2"/>
  <c r="N34" i="2"/>
  <c r="L19" i="2"/>
  <c r="G7" i="5"/>
  <c r="O149" i="9"/>
  <c r="O156" i="9"/>
  <c r="O40" i="2"/>
  <c r="N40" i="2"/>
  <c r="R13" i="4"/>
  <c r="AK51" i="8"/>
  <c r="D51" i="8" s="1"/>
  <c r="E51" i="8" s="1"/>
  <c r="R37" i="2"/>
  <c r="R14" i="4"/>
  <c r="G11" i="5"/>
  <c r="L45" i="2"/>
  <c r="G13" i="5"/>
  <c r="R25" i="2"/>
  <c r="AK10" i="8"/>
  <c r="D10" i="8" s="1"/>
  <c r="E10" i="8" s="1"/>
  <c r="P25" i="2"/>
  <c r="Q25" i="2"/>
  <c r="R28" i="2"/>
  <c r="AK19" i="8"/>
  <c r="D19" i="8" s="1"/>
  <c r="E19" i="8" s="1"/>
  <c r="E5" i="3"/>
  <c r="F5" i="3" s="1"/>
  <c r="R13" i="2"/>
  <c r="AK12" i="8"/>
  <c r="D12" i="8" s="1"/>
  <c r="E12" i="8" s="1"/>
  <c r="P13" i="2"/>
  <c r="Q13" i="2"/>
  <c r="O136" i="9"/>
  <c r="N36" i="2"/>
  <c r="O36" i="2"/>
  <c r="P10" i="2"/>
  <c r="O47" i="9"/>
  <c r="N18" i="2"/>
  <c r="O18" i="2"/>
  <c r="J12" i="5"/>
  <c r="P23" i="2"/>
  <c r="R39" i="2"/>
  <c r="AK53" i="8"/>
  <c r="D53" i="8" s="1"/>
  <c r="E53" i="8" s="1"/>
  <c r="G9" i="5"/>
  <c r="R42" i="2"/>
  <c r="AK57" i="8"/>
  <c r="D57" i="8" s="1"/>
  <c r="E57" i="8" s="1"/>
  <c r="P37" i="2"/>
  <c r="O79" i="9"/>
  <c r="R26" i="2"/>
  <c r="AK13" i="8"/>
  <c r="D13" i="8" s="1"/>
  <c r="E13" i="8" s="1"/>
  <c r="O34" i="9"/>
  <c r="Q14" i="2"/>
  <c r="R24" i="2"/>
  <c r="AK42" i="8"/>
  <c r="D42" i="8" s="1"/>
  <c r="E42" i="8" s="1"/>
  <c r="Q23" i="2"/>
  <c r="R44" i="2"/>
  <c r="AK44" i="8"/>
  <c r="D44" i="8" s="1"/>
  <c r="E44" i="8" s="1"/>
  <c r="Q44" i="2"/>
  <c r="P44" i="2"/>
  <c r="O171" i="9"/>
  <c r="O43" i="2"/>
  <c r="Q43" i="2" s="1"/>
  <c r="N43" i="2"/>
  <c r="R15" i="2"/>
  <c r="AK17" i="8"/>
  <c r="D17" i="8" s="1"/>
  <c r="E17" i="8" s="1"/>
  <c r="Q15" i="2"/>
  <c r="P15" i="2"/>
  <c r="O164" i="9"/>
  <c r="R42" i="3" s="1"/>
  <c r="P14" i="2"/>
  <c r="O130" i="9"/>
  <c r="N35" i="2"/>
  <c r="O35" i="2"/>
  <c r="H12" i="4"/>
  <c r="I12" i="4"/>
  <c r="G12" i="4"/>
  <c r="B12" i="4"/>
  <c r="E12" i="4"/>
  <c r="C12" i="4"/>
  <c r="M12" i="4"/>
  <c r="J12" i="4"/>
  <c r="R32" i="2"/>
  <c r="AK31" i="8"/>
  <c r="D31" i="8" s="1"/>
  <c r="E31" i="8" s="1"/>
  <c r="O55" i="9"/>
  <c r="N20" i="2"/>
  <c r="O20" i="2"/>
  <c r="Q24" i="2"/>
  <c r="Q37" i="2"/>
  <c r="J14" i="5"/>
  <c r="F47" i="3" l="1"/>
  <c r="L47" i="3"/>
  <c r="C47" i="3"/>
  <c r="N47" i="3" s="1"/>
  <c r="B47" i="3"/>
  <c r="I47" i="3"/>
  <c r="H47" i="3"/>
  <c r="G47" i="3"/>
  <c r="E47" i="3"/>
  <c r="D47" i="3"/>
  <c r="M47" i="3"/>
  <c r="K47" i="3"/>
  <c r="J47" i="3"/>
  <c r="I42" i="3"/>
  <c r="E42" i="3"/>
  <c r="C42" i="3"/>
  <c r="N42" i="3" s="1"/>
  <c r="B42" i="3"/>
  <c r="K42" i="3"/>
  <c r="L42" i="3"/>
  <c r="J42" i="3"/>
  <c r="F42" i="3"/>
  <c r="G42" i="3"/>
  <c r="H42" i="3"/>
  <c r="D42" i="3"/>
  <c r="M42" i="3"/>
  <c r="R81" i="3"/>
  <c r="B14" i="4"/>
  <c r="E14" i="4"/>
  <c r="I14" i="4"/>
  <c r="C14" i="4"/>
  <c r="H14" i="4"/>
  <c r="J14" i="4"/>
  <c r="G14" i="4"/>
  <c r="M14" i="4"/>
  <c r="R36" i="3"/>
  <c r="R61" i="3"/>
  <c r="R91" i="3"/>
  <c r="R88" i="3"/>
  <c r="R87" i="3"/>
  <c r="R36" i="2"/>
  <c r="AK14" i="8"/>
  <c r="D14" i="8" s="1"/>
  <c r="E14" i="8" s="1"/>
  <c r="Q36" i="2"/>
  <c r="P36" i="2"/>
  <c r="R19" i="2"/>
  <c r="AK26" i="8"/>
  <c r="D26" i="8" s="1"/>
  <c r="E26" i="8" s="1"/>
  <c r="Q19" i="2"/>
  <c r="P19" i="2"/>
  <c r="R40" i="3"/>
  <c r="R69" i="3"/>
  <c r="R70" i="3"/>
  <c r="R16" i="3"/>
  <c r="R13" i="3"/>
  <c r="R44" i="3"/>
  <c r="R24" i="3"/>
  <c r="R58" i="3"/>
  <c r="R29" i="3"/>
  <c r="R23" i="3"/>
  <c r="Y463" i="12"/>
  <c r="Y464" i="12" s="1"/>
  <c r="Y465" i="12" s="1"/>
  <c r="Y466" i="12" s="1"/>
  <c r="Y467" i="12" s="1"/>
  <c r="Y468" i="12" s="1"/>
  <c r="Y469" i="12" s="1"/>
  <c r="Y470" i="12" s="1"/>
  <c r="Y471" i="12" s="1"/>
  <c r="Z462" i="12"/>
  <c r="R45" i="2"/>
  <c r="AK46" i="8"/>
  <c r="D46" i="8" s="1"/>
  <c r="E46" i="8" s="1"/>
  <c r="R48" i="3"/>
  <c r="R28" i="3"/>
  <c r="R8" i="3"/>
  <c r="R79" i="3"/>
  <c r="R33" i="3"/>
  <c r="R20" i="2"/>
  <c r="AK32" i="8"/>
  <c r="D32" i="8" s="1"/>
  <c r="E32" i="8" s="1"/>
  <c r="P20" i="2"/>
  <c r="Q20" i="2"/>
  <c r="D14" i="5" s="1"/>
  <c r="I14" i="5" s="1"/>
  <c r="R26" i="3"/>
  <c r="F12" i="4"/>
  <c r="D12" i="4"/>
  <c r="K12" i="4"/>
  <c r="L12" i="4" s="1"/>
  <c r="R59" i="3"/>
  <c r="R43" i="3"/>
  <c r="R12" i="3"/>
  <c r="R82" i="3"/>
  <c r="R64" i="3"/>
  <c r="R22" i="3"/>
  <c r="R9" i="3"/>
  <c r="R71" i="3"/>
  <c r="R56" i="3"/>
  <c r="R93" i="3"/>
  <c r="R80" i="3"/>
  <c r="R84" i="3"/>
  <c r="F14" i="5"/>
  <c r="E14" i="5"/>
  <c r="AK8" i="8"/>
  <c r="D8" i="8" s="1"/>
  <c r="E8" i="8" s="1"/>
  <c r="R11" i="2"/>
  <c r="Q11" i="2"/>
  <c r="D6" i="2" s="1"/>
  <c r="J6" i="2" s="1"/>
  <c r="P11" i="2"/>
  <c r="R78" i="3"/>
  <c r="R10" i="3"/>
  <c r="R54" i="3"/>
  <c r="R7" i="3"/>
  <c r="R18" i="2"/>
  <c r="AK23" i="8"/>
  <c r="D23" i="8" s="1"/>
  <c r="E23" i="8" s="1"/>
  <c r="Q18" i="2"/>
  <c r="P18" i="2"/>
  <c r="R57" i="3"/>
  <c r="R49" i="3"/>
  <c r="R43" i="2"/>
  <c r="AK45" i="8"/>
  <c r="D45" i="8" s="1"/>
  <c r="E45" i="8" s="1"/>
  <c r="F11" i="5"/>
  <c r="E11" i="5"/>
  <c r="D11" i="5"/>
  <c r="I11" i="5" s="1"/>
  <c r="R55" i="3"/>
  <c r="R30" i="3"/>
  <c r="R76" i="3"/>
  <c r="R32" i="3"/>
  <c r="R73" i="3"/>
  <c r="R89" i="3"/>
  <c r="R18" i="3"/>
  <c r="R51" i="3"/>
  <c r="R25" i="3"/>
  <c r="R35" i="2"/>
  <c r="AK35" i="8"/>
  <c r="D35" i="8" s="1"/>
  <c r="E35" i="8" s="1"/>
  <c r="Q35" i="2"/>
  <c r="P35" i="2"/>
  <c r="F10" i="5"/>
  <c r="D10" i="5"/>
  <c r="I10" i="5" s="1"/>
  <c r="R86" i="3"/>
  <c r="R35" i="3"/>
  <c r="R60" i="3"/>
  <c r="R17" i="3"/>
  <c r="D6" i="8"/>
  <c r="R67" i="3"/>
  <c r="R40" i="2"/>
  <c r="AK48" i="8"/>
  <c r="D48" i="8" s="1"/>
  <c r="E48" i="8" s="1"/>
  <c r="Q40" i="2"/>
  <c r="E10" i="5" s="1"/>
  <c r="P40" i="2"/>
  <c r="R31" i="3"/>
  <c r="R83" i="3"/>
  <c r="R65" i="3"/>
  <c r="R34" i="2"/>
  <c r="AK39" i="8"/>
  <c r="D39" i="8" s="1"/>
  <c r="E39" i="8" s="1"/>
  <c r="R14" i="3"/>
  <c r="R92" i="3"/>
  <c r="J13" i="4"/>
  <c r="M13" i="4"/>
  <c r="G13" i="4"/>
  <c r="I13" i="4"/>
  <c r="H13" i="4"/>
  <c r="E13" i="4"/>
  <c r="C13" i="4"/>
  <c r="B13" i="4"/>
  <c r="R75" i="3"/>
  <c r="R39" i="3"/>
  <c r="R21" i="3"/>
  <c r="R27" i="3"/>
  <c r="R66" i="3"/>
  <c r="R45" i="3"/>
  <c r="R62" i="3"/>
  <c r="R53" i="3"/>
  <c r="R95" i="3"/>
  <c r="Q34" i="2"/>
  <c r="R94" i="3"/>
  <c r="R41" i="3"/>
  <c r="R50" i="3"/>
  <c r="R37" i="3"/>
  <c r="R68" i="3"/>
  <c r="R85" i="3"/>
  <c r="F8" i="5"/>
  <c r="D8" i="5"/>
  <c r="I8" i="5" s="1"/>
  <c r="E8" i="5"/>
  <c r="R90" i="3"/>
  <c r="R77" i="3"/>
  <c r="R72" i="3"/>
  <c r="R11" i="3"/>
  <c r="P43" i="2"/>
  <c r="R20" i="3"/>
  <c r="R19" i="3"/>
  <c r="R63" i="3"/>
  <c r="R15" i="3"/>
  <c r="R38" i="3"/>
  <c r="G15" i="5"/>
  <c r="R96" i="3"/>
  <c r="R46" i="3"/>
  <c r="R33" i="2"/>
  <c r="AK38" i="8"/>
  <c r="D38" i="8" s="1"/>
  <c r="E38" i="8" s="1"/>
  <c r="P33" i="2"/>
  <c r="Q33" i="2"/>
  <c r="D9" i="5" s="1"/>
  <c r="I9" i="5" s="1"/>
  <c r="P34" i="2"/>
  <c r="AK9" i="8"/>
  <c r="D9" i="8" s="1"/>
  <c r="E9" i="8" s="1"/>
  <c r="R12" i="2"/>
  <c r="Q12" i="2"/>
  <c r="P12" i="2"/>
  <c r="R34" i="3"/>
  <c r="R74" i="3"/>
  <c r="R52" i="3"/>
  <c r="K73" i="3" l="1"/>
  <c r="M73" i="3"/>
  <c r="J73" i="3"/>
  <c r="H73" i="3"/>
  <c r="F73" i="3"/>
  <c r="E73" i="3"/>
  <c r="D73" i="3"/>
  <c r="G73" i="3"/>
  <c r="C73" i="3"/>
  <c r="N73" i="3" s="1"/>
  <c r="B73" i="3"/>
  <c r="L73" i="3"/>
  <c r="I73" i="3"/>
  <c r="G37" i="3"/>
  <c r="F37" i="3"/>
  <c r="E37" i="3"/>
  <c r="B37" i="3"/>
  <c r="M37" i="3"/>
  <c r="J37" i="3"/>
  <c r="L37" i="3"/>
  <c r="I37" i="3"/>
  <c r="H37" i="3"/>
  <c r="K37" i="3"/>
  <c r="D37" i="3"/>
  <c r="C37" i="3"/>
  <c r="N37" i="3" s="1"/>
  <c r="I12" i="3"/>
  <c r="E12" i="3"/>
  <c r="B12" i="3"/>
  <c r="L12" i="3"/>
  <c r="K12" i="3"/>
  <c r="J12" i="3"/>
  <c r="H12" i="3"/>
  <c r="G12" i="3"/>
  <c r="D12" i="3"/>
  <c r="F12" i="3"/>
  <c r="C12" i="3"/>
  <c r="M12" i="3"/>
  <c r="C91" i="3"/>
  <c r="N91" i="3" s="1"/>
  <c r="G91" i="3"/>
  <c r="F91" i="3"/>
  <c r="H91" i="3"/>
  <c r="B91" i="3"/>
  <c r="M91" i="3"/>
  <c r="L91" i="3"/>
  <c r="K91" i="3"/>
  <c r="J91" i="3"/>
  <c r="D91" i="3"/>
  <c r="I91" i="3"/>
  <c r="E91" i="3"/>
  <c r="M50" i="3"/>
  <c r="C50" i="3"/>
  <c r="N50" i="3" s="1"/>
  <c r="B50" i="3"/>
  <c r="L50" i="3"/>
  <c r="F50" i="3"/>
  <c r="J50" i="3"/>
  <c r="I50" i="3"/>
  <c r="E50" i="3"/>
  <c r="K50" i="3"/>
  <c r="H50" i="3"/>
  <c r="G50" i="3"/>
  <c r="D50" i="3"/>
  <c r="K13" i="4"/>
  <c r="L13" i="4" s="1"/>
  <c r="F13" i="4"/>
  <c r="D13" i="4"/>
  <c r="D61" i="8"/>
  <c r="E6" i="8"/>
  <c r="M30" i="3"/>
  <c r="F30" i="3"/>
  <c r="E30" i="3"/>
  <c r="D30" i="3"/>
  <c r="C30" i="3"/>
  <c r="N30" i="3" s="1"/>
  <c r="B30" i="3"/>
  <c r="H30" i="3"/>
  <c r="G30" i="3"/>
  <c r="L30" i="3"/>
  <c r="K30" i="3"/>
  <c r="J30" i="3"/>
  <c r="I30" i="3"/>
  <c r="K43" i="3"/>
  <c r="L43" i="3"/>
  <c r="J43" i="3"/>
  <c r="M43" i="3"/>
  <c r="I43" i="3"/>
  <c r="C43" i="3"/>
  <c r="N43" i="3" s="1"/>
  <c r="B43" i="3"/>
  <c r="F43" i="3"/>
  <c r="H43" i="3"/>
  <c r="G43" i="3"/>
  <c r="E43" i="3"/>
  <c r="D43" i="3"/>
  <c r="K23" i="3"/>
  <c r="C23" i="3"/>
  <c r="N23" i="3" s="1"/>
  <c r="B23" i="3"/>
  <c r="M23" i="3"/>
  <c r="G23" i="3"/>
  <c r="L23" i="3"/>
  <c r="J23" i="3"/>
  <c r="I23" i="3"/>
  <c r="H23" i="3"/>
  <c r="D23" i="3"/>
  <c r="F23" i="3"/>
  <c r="E23" i="3"/>
  <c r="C61" i="3"/>
  <c r="N61" i="3" s="1"/>
  <c r="E61" i="3"/>
  <c r="D61" i="3"/>
  <c r="H61" i="3"/>
  <c r="I61" i="3"/>
  <c r="B61" i="3"/>
  <c r="F61" i="3"/>
  <c r="M61" i="3"/>
  <c r="L61" i="3"/>
  <c r="K61" i="3"/>
  <c r="J61" i="3"/>
  <c r="G61" i="3"/>
  <c r="M46" i="3"/>
  <c r="I46" i="3"/>
  <c r="H46" i="3"/>
  <c r="E46" i="3"/>
  <c r="L46" i="3"/>
  <c r="F46" i="3"/>
  <c r="K46" i="3"/>
  <c r="J46" i="3"/>
  <c r="G46" i="3"/>
  <c r="D46" i="3"/>
  <c r="C46" i="3"/>
  <c r="N46" i="3" s="1"/>
  <c r="B46" i="3"/>
  <c r="C41" i="3"/>
  <c r="N41" i="3" s="1"/>
  <c r="B41" i="3"/>
  <c r="M41" i="3"/>
  <c r="J41" i="3"/>
  <c r="K41" i="3"/>
  <c r="H41" i="3"/>
  <c r="G41" i="3"/>
  <c r="F41" i="3"/>
  <c r="I41" i="3"/>
  <c r="L41" i="3"/>
  <c r="E41" i="3"/>
  <c r="D41" i="3"/>
  <c r="F17" i="3"/>
  <c r="M17" i="3"/>
  <c r="L17" i="3"/>
  <c r="K17" i="3"/>
  <c r="J17" i="3"/>
  <c r="E17" i="3"/>
  <c r="I17" i="3"/>
  <c r="H17" i="3"/>
  <c r="G17" i="3"/>
  <c r="B17" i="3"/>
  <c r="D17" i="3"/>
  <c r="C17" i="3"/>
  <c r="N17" i="3" s="1"/>
  <c r="G55" i="3"/>
  <c r="C55" i="3"/>
  <c r="N55" i="3" s="1"/>
  <c r="M55" i="3"/>
  <c r="J55" i="3"/>
  <c r="B55" i="3"/>
  <c r="I55" i="3"/>
  <c r="F55" i="3"/>
  <c r="H55" i="3"/>
  <c r="L55" i="3"/>
  <c r="K55" i="3"/>
  <c r="E55" i="3"/>
  <c r="D55" i="3"/>
  <c r="K59" i="3"/>
  <c r="G59" i="3"/>
  <c r="J59" i="3"/>
  <c r="I59" i="3"/>
  <c r="L59" i="3"/>
  <c r="H59" i="3"/>
  <c r="D59" i="3"/>
  <c r="B59" i="3"/>
  <c r="C59" i="3"/>
  <c r="N59" i="3" s="1"/>
  <c r="F59" i="3"/>
  <c r="M59" i="3"/>
  <c r="E59" i="3"/>
  <c r="K29" i="3"/>
  <c r="G29" i="3"/>
  <c r="H29" i="3"/>
  <c r="F29" i="3"/>
  <c r="L29" i="3"/>
  <c r="J29" i="3"/>
  <c r="I29" i="3"/>
  <c r="M29" i="3"/>
  <c r="C29" i="3"/>
  <c r="N29" i="3" s="1"/>
  <c r="E29" i="3"/>
  <c r="D29" i="3"/>
  <c r="B29" i="3"/>
  <c r="M36" i="3"/>
  <c r="I36" i="3"/>
  <c r="K36" i="3"/>
  <c r="G36" i="3"/>
  <c r="F36" i="3"/>
  <c r="D36" i="3"/>
  <c r="E36" i="3"/>
  <c r="C36" i="3"/>
  <c r="N36" i="3" s="1"/>
  <c r="B36" i="3"/>
  <c r="L36" i="3"/>
  <c r="J36" i="3"/>
  <c r="H36" i="3"/>
  <c r="K39" i="3"/>
  <c r="G39" i="3"/>
  <c r="D39" i="3"/>
  <c r="J39" i="3"/>
  <c r="E39" i="3"/>
  <c r="C39" i="3"/>
  <c r="N39" i="3" s="1"/>
  <c r="I39" i="3"/>
  <c r="B39" i="3"/>
  <c r="L39" i="3"/>
  <c r="H39" i="3"/>
  <c r="F39" i="3"/>
  <c r="M39" i="3"/>
  <c r="E58" i="3"/>
  <c r="B58" i="3"/>
  <c r="I58" i="3"/>
  <c r="M58" i="3"/>
  <c r="L58" i="3"/>
  <c r="K58" i="3"/>
  <c r="J58" i="3"/>
  <c r="F58" i="3"/>
  <c r="H58" i="3"/>
  <c r="G58" i="3"/>
  <c r="C58" i="3"/>
  <c r="N58" i="3" s="1"/>
  <c r="D58" i="3"/>
  <c r="E38" i="3"/>
  <c r="H38" i="3"/>
  <c r="M38" i="3"/>
  <c r="I38" i="3"/>
  <c r="G38" i="3"/>
  <c r="F38" i="3"/>
  <c r="C38" i="3"/>
  <c r="N38" i="3" s="1"/>
  <c r="D38" i="3"/>
  <c r="B38" i="3"/>
  <c r="J38" i="3"/>
  <c r="L38" i="3"/>
  <c r="K38" i="3"/>
  <c r="F9" i="5"/>
  <c r="M86" i="3"/>
  <c r="I86" i="3"/>
  <c r="J86" i="3"/>
  <c r="H86" i="3"/>
  <c r="B86" i="3"/>
  <c r="L86" i="3"/>
  <c r="G86" i="3"/>
  <c r="F86" i="3"/>
  <c r="K86" i="3"/>
  <c r="E86" i="3"/>
  <c r="D86" i="3"/>
  <c r="C86" i="3"/>
  <c r="N86" i="3" s="1"/>
  <c r="K44" i="3"/>
  <c r="H44" i="3"/>
  <c r="L44" i="3"/>
  <c r="J44" i="3"/>
  <c r="I44" i="3"/>
  <c r="G44" i="3"/>
  <c r="C44" i="3"/>
  <c r="N44" i="3" s="1"/>
  <c r="F44" i="3"/>
  <c r="E44" i="3"/>
  <c r="D44" i="3"/>
  <c r="M44" i="3"/>
  <c r="B44" i="3"/>
  <c r="K13" i="3"/>
  <c r="I13" i="3"/>
  <c r="H13" i="3"/>
  <c r="M13" i="3"/>
  <c r="C13" i="3"/>
  <c r="N13" i="3" s="1"/>
  <c r="L13" i="3"/>
  <c r="B13" i="3"/>
  <c r="G13" i="3"/>
  <c r="J13" i="3"/>
  <c r="F13" i="3"/>
  <c r="E13" i="3"/>
  <c r="D13" i="3"/>
  <c r="I32" i="3"/>
  <c r="E32" i="3"/>
  <c r="K32" i="3"/>
  <c r="J32" i="3"/>
  <c r="F32" i="3"/>
  <c r="D32" i="3"/>
  <c r="B32" i="3"/>
  <c r="C32" i="3"/>
  <c r="N32" i="3" s="1"/>
  <c r="H32" i="3"/>
  <c r="M32" i="3"/>
  <c r="L32" i="3"/>
  <c r="G32" i="3"/>
  <c r="E13" i="5"/>
  <c r="D13" i="5"/>
  <c r="I13" i="5" s="1"/>
  <c r="F13" i="5"/>
  <c r="M76" i="3"/>
  <c r="I76" i="3"/>
  <c r="E76" i="3"/>
  <c r="B76" i="3"/>
  <c r="K76" i="3"/>
  <c r="H76" i="3"/>
  <c r="G76" i="3"/>
  <c r="L76" i="3"/>
  <c r="F76" i="3"/>
  <c r="D76" i="3"/>
  <c r="C76" i="3"/>
  <c r="N76" i="3" s="1"/>
  <c r="J76" i="3"/>
  <c r="G35" i="3"/>
  <c r="C35" i="3"/>
  <c r="N35" i="3" s="1"/>
  <c r="M35" i="3"/>
  <c r="L35" i="3"/>
  <c r="H35" i="3"/>
  <c r="D35" i="3"/>
  <c r="I35" i="3"/>
  <c r="E35" i="3"/>
  <c r="B35" i="3"/>
  <c r="J35" i="3"/>
  <c r="F35" i="3"/>
  <c r="K35" i="3"/>
  <c r="E9" i="5"/>
  <c r="K63" i="3"/>
  <c r="D63" i="3"/>
  <c r="F63" i="3"/>
  <c r="B63" i="3"/>
  <c r="G63" i="3"/>
  <c r="E63" i="3"/>
  <c r="C63" i="3"/>
  <c r="N63" i="3" s="1"/>
  <c r="M63" i="3"/>
  <c r="H63" i="3"/>
  <c r="L63" i="3"/>
  <c r="J63" i="3"/>
  <c r="I63" i="3"/>
  <c r="K53" i="3"/>
  <c r="E53" i="3"/>
  <c r="D53" i="3"/>
  <c r="L53" i="3"/>
  <c r="M53" i="3"/>
  <c r="G53" i="3"/>
  <c r="C53" i="3"/>
  <c r="N53" i="3" s="1"/>
  <c r="B53" i="3"/>
  <c r="J53" i="3"/>
  <c r="I53" i="3"/>
  <c r="H53" i="3"/>
  <c r="F53" i="3"/>
  <c r="C81" i="3"/>
  <c r="N81" i="3" s="1"/>
  <c r="M81" i="3"/>
  <c r="L81" i="3"/>
  <c r="I81" i="3"/>
  <c r="K81" i="3"/>
  <c r="H81" i="3"/>
  <c r="G81" i="3"/>
  <c r="D81" i="3"/>
  <c r="J81" i="3"/>
  <c r="F81" i="3"/>
  <c r="E81" i="3"/>
  <c r="B81" i="3"/>
  <c r="I62" i="3"/>
  <c r="E62" i="3"/>
  <c r="M62" i="3"/>
  <c r="L62" i="3"/>
  <c r="H62" i="3"/>
  <c r="K62" i="3"/>
  <c r="J62" i="3"/>
  <c r="D62" i="3"/>
  <c r="G62" i="3"/>
  <c r="B62" i="3"/>
  <c r="F62" i="3"/>
  <c r="C62" i="3"/>
  <c r="N62" i="3" s="1"/>
  <c r="G65" i="3"/>
  <c r="C65" i="3"/>
  <c r="N65" i="3" s="1"/>
  <c r="D65" i="3"/>
  <c r="H65" i="3"/>
  <c r="F65" i="3"/>
  <c r="E65" i="3"/>
  <c r="B65" i="3"/>
  <c r="K65" i="3"/>
  <c r="J65" i="3"/>
  <c r="I65" i="3"/>
  <c r="M65" i="3"/>
  <c r="L65" i="3"/>
  <c r="M80" i="3"/>
  <c r="E80" i="3"/>
  <c r="D80" i="3"/>
  <c r="L80" i="3"/>
  <c r="H80" i="3"/>
  <c r="G80" i="3"/>
  <c r="J80" i="3"/>
  <c r="F80" i="3"/>
  <c r="C80" i="3"/>
  <c r="N80" i="3" s="1"/>
  <c r="B80" i="3"/>
  <c r="K80" i="3"/>
  <c r="I80" i="3"/>
  <c r="K33" i="3"/>
  <c r="D33" i="3"/>
  <c r="I33" i="3"/>
  <c r="F33" i="3"/>
  <c r="L33" i="3"/>
  <c r="M33" i="3"/>
  <c r="G33" i="3"/>
  <c r="J33" i="3"/>
  <c r="H33" i="3"/>
  <c r="E33" i="3"/>
  <c r="C33" i="3"/>
  <c r="N33" i="3" s="1"/>
  <c r="B33" i="3"/>
  <c r="I22" i="3"/>
  <c r="E22" i="3"/>
  <c r="J22" i="3"/>
  <c r="G22" i="3"/>
  <c r="C22" i="3"/>
  <c r="N22" i="3" s="1"/>
  <c r="L22" i="3"/>
  <c r="K22" i="3"/>
  <c r="M22" i="3"/>
  <c r="B22" i="3"/>
  <c r="H22" i="3"/>
  <c r="F22" i="3"/>
  <c r="D22" i="3"/>
  <c r="G85" i="3"/>
  <c r="C85" i="3"/>
  <c r="N85" i="3" s="1"/>
  <c r="J85" i="3"/>
  <c r="F85" i="3"/>
  <c r="M85" i="3"/>
  <c r="E85" i="3"/>
  <c r="L85" i="3"/>
  <c r="K85" i="3"/>
  <c r="I85" i="3"/>
  <c r="H85" i="3"/>
  <c r="D85" i="3"/>
  <c r="B85" i="3"/>
  <c r="E68" i="3"/>
  <c r="H68" i="3"/>
  <c r="M68" i="3"/>
  <c r="J68" i="3"/>
  <c r="L68" i="3"/>
  <c r="G68" i="3"/>
  <c r="K68" i="3"/>
  <c r="C68" i="3"/>
  <c r="N68" i="3" s="1"/>
  <c r="B68" i="3"/>
  <c r="I68" i="3"/>
  <c r="F68" i="3"/>
  <c r="D68" i="3"/>
  <c r="E88" i="3"/>
  <c r="D88" i="3"/>
  <c r="C88" i="3"/>
  <c r="N88" i="3" s="1"/>
  <c r="B88" i="3"/>
  <c r="G88" i="3"/>
  <c r="F88" i="3"/>
  <c r="L88" i="3"/>
  <c r="J88" i="3"/>
  <c r="I88" i="3"/>
  <c r="K88" i="3"/>
  <c r="H88" i="3"/>
  <c r="M88" i="3"/>
  <c r="K24" i="3"/>
  <c r="J24" i="3"/>
  <c r="F24" i="3"/>
  <c r="E24" i="3"/>
  <c r="B24" i="3"/>
  <c r="C24" i="3"/>
  <c r="N24" i="3" s="1"/>
  <c r="H24" i="3"/>
  <c r="G24" i="3"/>
  <c r="M24" i="3"/>
  <c r="D24" i="3"/>
  <c r="L24" i="3"/>
  <c r="I24" i="3"/>
  <c r="K49" i="3"/>
  <c r="G49" i="3"/>
  <c r="B49" i="3"/>
  <c r="M49" i="3"/>
  <c r="D49" i="3"/>
  <c r="C49" i="3"/>
  <c r="N49" i="3" s="1"/>
  <c r="L49" i="3"/>
  <c r="J49" i="3"/>
  <c r="F49" i="3"/>
  <c r="I49" i="3"/>
  <c r="H49" i="3"/>
  <c r="E49" i="3"/>
  <c r="H6" i="2"/>
  <c r="K14" i="3"/>
  <c r="L14" i="3"/>
  <c r="M14" i="3"/>
  <c r="J14" i="3"/>
  <c r="F14" i="3"/>
  <c r="D14" i="3"/>
  <c r="C14" i="3"/>
  <c r="N14" i="3" s="1"/>
  <c r="B14" i="3"/>
  <c r="I14" i="3"/>
  <c r="H14" i="3"/>
  <c r="G14" i="3"/>
  <c r="E14" i="3"/>
  <c r="G95" i="3"/>
  <c r="C95" i="3"/>
  <c r="N95" i="3" s="1"/>
  <c r="J95" i="3"/>
  <c r="M95" i="3"/>
  <c r="L95" i="3"/>
  <c r="K95" i="3"/>
  <c r="F95" i="3"/>
  <c r="E95" i="3"/>
  <c r="D95" i="3"/>
  <c r="B95" i="3"/>
  <c r="H95" i="3"/>
  <c r="I95" i="3"/>
  <c r="E34" i="3"/>
  <c r="D34" i="3"/>
  <c r="H34" i="3"/>
  <c r="F34" i="3"/>
  <c r="G34" i="3"/>
  <c r="C34" i="3"/>
  <c r="N34" i="3" s="1"/>
  <c r="B34" i="3"/>
  <c r="I34" i="3"/>
  <c r="M34" i="3"/>
  <c r="K34" i="3"/>
  <c r="J34" i="3"/>
  <c r="L34" i="3"/>
  <c r="F84" i="3"/>
  <c r="B84" i="3"/>
  <c r="M84" i="3"/>
  <c r="G84" i="3"/>
  <c r="E84" i="3"/>
  <c r="J84" i="3"/>
  <c r="I84" i="3"/>
  <c r="D84" i="3"/>
  <c r="C84" i="3"/>
  <c r="N84" i="3" s="1"/>
  <c r="K84" i="3"/>
  <c r="H84" i="3"/>
  <c r="L84" i="3"/>
  <c r="F7" i="5"/>
  <c r="F15" i="5" s="1"/>
  <c r="D7" i="5"/>
  <c r="E7" i="5"/>
  <c r="I72" i="3"/>
  <c r="E72" i="3"/>
  <c r="F72" i="3"/>
  <c r="D72" i="3"/>
  <c r="K72" i="3"/>
  <c r="G72" i="3"/>
  <c r="L72" i="3"/>
  <c r="M72" i="3"/>
  <c r="J72" i="3"/>
  <c r="H72" i="3"/>
  <c r="C72" i="3"/>
  <c r="N72" i="3" s="1"/>
  <c r="B72" i="3"/>
  <c r="C77" i="3"/>
  <c r="N77" i="3" s="1"/>
  <c r="B77" i="3"/>
  <c r="F77" i="3"/>
  <c r="M77" i="3"/>
  <c r="K77" i="3"/>
  <c r="J77" i="3"/>
  <c r="I77" i="3"/>
  <c r="G77" i="3"/>
  <c r="H77" i="3"/>
  <c r="E77" i="3"/>
  <c r="D77" i="3"/>
  <c r="L77" i="3"/>
  <c r="G45" i="3"/>
  <c r="C45" i="3"/>
  <c r="N45" i="3" s="1"/>
  <c r="F45" i="3"/>
  <c r="E45" i="3"/>
  <c r="J45" i="3"/>
  <c r="M45" i="3"/>
  <c r="K45" i="3"/>
  <c r="I45" i="3"/>
  <c r="H45" i="3"/>
  <c r="D45" i="3"/>
  <c r="B45" i="3"/>
  <c r="L45" i="3"/>
  <c r="K83" i="3"/>
  <c r="G83" i="3"/>
  <c r="F83" i="3"/>
  <c r="L83" i="3"/>
  <c r="H83" i="3"/>
  <c r="M83" i="3"/>
  <c r="C83" i="3"/>
  <c r="N83" i="3" s="1"/>
  <c r="J83" i="3"/>
  <c r="I83" i="3"/>
  <c r="E83" i="3"/>
  <c r="D83" i="3"/>
  <c r="B83" i="3"/>
  <c r="K93" i="3"/>
  <c r="D93" i="3"/>
  <c r="B93" i="3"/>
  <c r="M93" i="3"/>
  <c r="I93" i="3"/>
  <c r="L93" i="3"/>
  <c r="J93" i="3"/>
  <c r="F93" i="3"/>
  <c r="H93" i="3"/>
  <c r="C93" i="3"/>
  <c r="N93" i="3" s="1"/>
  <c r="G93" i="3"/>
  <c r="E93" i="3"/>
  <c r="K79" i="3"/>
  <c r="G79" i="3"/>
  <c r="B79" i="3"/>
  <c r="L79" i="3"/>
  <c r="M79" i="3"/>
  <c r="J79" i="3"/>
  <c r="I79" i="3"/>
  <c r="H79" i="3"/>
  <c r="F79" i="3"/>
  <c r="E79" i="3"/>
  <c r="D79" i="3"/>
  <c r="C79" i="3"/>
  <c r="N79" i="3" s="1"/>
  <c r="K89" i="3"/>
  <c r="G89" i="3"/>
  <c r="M89" i="3"/>
  <c r="L89" i="3"/>
  <c r="I89" i="3"/>
  <c r="D89" i="3"/>
  <c r="F89" i="3"/>
  <c r="J89" i="3"/>
  <c r="H89" i="3"/>
  <c r="B89" i="3"/>
  <c r="E89" i="3"/>
  <c r="C89" i="3"/>
  <c r="N89" i="3" s="1"/>
  <c r="G75" i="3"/>
  <c r="C75" i="3"/>
  <c r="N75" i="3" s="1"/>
  <c r="I75" i="3"/>
  <c r="H75" i="3"/>
  <c r="J75" i="3"/>
  <c r="L75" i="3"/>
  <c r="K75" i="3"/>
  <c r="F75" i="3"/>
  <c r="E75" i="3"/>
  <c r="D75" i="3"/>
  <c r="B75" i="3"/>
  <c r="M75" i="3"/>
  <c r="L87" i="3"/>
  <c r="G87" i="3"/>
  <c r="D87" i="3"/>
  <c r="M87" i="3"/>
  <c r="J87" i="3"/>
  <c r="F87" i="3"/>
  <c r="K87" i="3"/>
  <c r="I87" i="3"/>
  <c r="H87" i="3"/>
  <c r="B87" i="3"/>
  <c r="E87" i="3"/>
  <c r="C87" i="3"/>
  <c r="N87" i="3" s="1"/>
  <c r="I82" i="3"/>
  <c r="E82" i="3"/>
  <c r="J82" i="3"/>
  <c r="L82" i="3"/>
  <c r="K82" i="3"/>
  <c r="H82" i="3"/>
  <c r="B82" i="3"/>
  <c r="M82" i="3"/>
  <c r="C82" i="3"/>
  <c r="N82" i="3" s="1"/>
  <c r="G82" i="3"/>
  <c r="F82" i="3"/>
  <c r="D82" i="3"/>
  <c r="AK61" i="8"/>
  <c r="I94" i="3"/>
  <c r="H94" i="3"/>
  <c r="M94" i="3"/>
  <c r="J94" i="3"/>
  <c r="D94" i="3"/>
  <c r="C94" i="3"/>
  <c r="N94" i="3" s="1"/>
  <c r="B94" i="3"/>
  <c r="K94" i="3"/>
  <c r="G94" i="3"/>
  <c r="E94" i="3"/>
  <c r="L94" i="3"/>
  <c r="F94" i="3"/>
  <c r="G25" i="5"/>
  <c r="H25" i="5" s="1"/>
  <c r="M70" i="3"/>
  <c r="K70" i="3"/>
  <c r="J70" i="3"/>
  <c r="D70" i="3"/>
  <c r="L70" i="3"/>
  <c r="G70" i="3"/>
  <c r="H70" i="3"/>
  <c r="C70" i="3"/>
  <c r="N70" i="3" s="1"/>
  <c r="B70" i="3"/>
  <c r="E70" i="3"/>
  <c r="I70" i="3"/>
  <c r="F70" i="3"/>
  <c r="L57" i="3"/>
  <c r="J57" i="3"/>
  <c r="G57" i="3"/>
  <c r="C57" i="3"/>
  <c r="N57" i="3" s="1"/>
  <c r="B57" i="3"/>
  <c r="M57" i="3"/>
  <c r="K57" i="3"/>
  <c r="I57" i="3"/>
  <c r="H57" i="3"/>
  <c r="E57" i="3"/>
  <c r="D57" i="3"/>
  <c r="F57" i="3"/>
  <c r="H74" i="3"/>
  <c r="E74" i="3"/>
  <c r="K74" i="3"/>
  <c r="M74" i="3"/>
  <c r="L74" i="3"/>
  <c r="F74" i="3"/>
  <c r="D74" i="3"/>
  <c r="C74" i="3"/>
  <c r="N74" i="3" s="1"/>
  <c r="B74" i="3"/>
  <c r="J74" i="3"/>
  <c r="I74" i="3"/>
  <c r="G74" i="3"/>
  <c r="M90" i="3"/>
  <c r="L90" i="3"/>
  <c r="D90" i="3"/>
  <c r="C90" i="3"/>
  <c r="N90" i="3" s="1"/>
  <c r="B90" i="3"/>
  <c r="H90" i="3"/>
  <c r="J90" i="3"/>
  <c r="G90" i="3"/>
  <c r="F90" i="3"/>
  <c r="I90" i="3"/>
  <c r="K90" i="3"/>
  <c r="E90" i="3"/>
  <c r="M66" i="3"/>
  <c r="I66" i="3"/>
  <c r="K66" i="3"/>
  <c r="L66" i="3"/>
  <c r="J66" i="3"/>
  <c r="F66" i="3"/>
  <c r="G66" i="3"/>
  <c r="D66" i="3"/>
  <c r="B66" i="3"/>
  <c r="C66" i="3"/>
  <c r="N66" i="3" s="1"/>
  <c r="H66" i="3"/>
  <c r="E66" i="3"/>
  <c r="C31" i="3"/>
  <c r="N31" i="3" s="1"/>
  <c r="B31" i="3"/>
  <c r="H31" i="3"/>
  <c r="L31" i="3"/>
  <c r="I31" i="3"/>
  <c r="K31" i="3"/>
  <c r="M31" i="3"/>
  <c r="F31" i="3"/>
  <c r="G31" i="3"/>
  <c r="E31" i="3"/>
  <c r="D31" i="3"/>
  <c r="J31" i="3"/>
  <c r="G25" i="3"/>
  <c r="C25" i="3"/>
  <c r="N25" i="3" s="1"/>
  <c r="M25" i="3"/>
  <c r="L25" i="3"/>
  <c r="K25" i="3"/>
  <c r="H25" i="3"/>
  <c r="J25" i="3"/>
  <c r="I25" i="3"/>
  <c r="D25" i="3"/>
  <c r="E25" i="3"/>
  <c r="F25" i="3"/>
  <c r="B25" i="3"/>
  <c r="E7" i="3"/>
  <c r="D7" i="3"/>
  <c r="J7" i="3"/>
  <c r="G7" i="3"/>
  <c r="K7" i="3"/>
  <c r="I7" i="3"/>
  <c r="H7" i="3"/>
  <c r="F7" i="3"/>
  <c r="C7" i="3"/>
  <c r="N7" i="3" s="1"/>
  <c r="B7" i="3"/>
  <c r="M7" i="3"/>
  <c r="L7" i="3"/>
  <c r="M56" i="3"/>
  <c r="I56" i="3"/>
  <c r="G56" i="3"/>
  <c r="F56" i="3"/>
  <c r="B56" i="3"/>
  <c r="L56" i="3"/>
  <c r="H56" i="3"/>
  <c r="K56" i="3"/>
  <c r="J56" i="3"/>
  <c r="C56" i="3"/>
  <c r="N56" i="3" s="1"/>
  <c r="D56" i="3"/>
  <c r="E56" i="3"/>
  <c r="E8" i="3"/>
  <c r="M8" i="3"/>
  <c r="L8" i="3"/>
  <c r="H8" i="3"/>
  <c r="J8" i="3"/>
  <c r="K8" i="3"/>
  <c r="B8" i="3"/>
  <c r="I8" i="3"/>
  <c r="G8" i="3"/>
  <c r="C8" i="3"/>
  <c r="F8" i="3"/>
  <c r="D8" i="3"/>
  <c r="E78" i="3"/>
  <c r="K78" i="3"/>
  <c r="J78" i="3"/>
  <c r="C78" i="3"/>
  <c r="N78" i="3" s="1"/>
  <c r="M78" i="3"/>
  <c r="L78" i="3"/>
  <c r="I78" i="3"/>
  <c r="D78" i="3"/>
  <c r="H78" i="3"/>
  <c r="G78" i="3"/>
  <c r="F78" i="3"/>
  <c r="B78" i="3"/>
  <c r="G64" i="3"/>
  <c r="F64" i="3"/>
  <c r="M64" i="3"/>
  <c r="L64" i="3"/>
  <c r="K64" i="3"/>
  <c r="J64" i="3"/>
  <c r="E64" i="3"/>
  <c r="B64" i="3"/>
  <c r="I64" i="3"/>
  <c r="C64" i="3"/>
  <c r="N64" i="3" s="1"/>
  <c r="H64" i="3"/>
  <c r="D64" i="3"/>
  <c r="Y472" i="12"/>
  <c r="Y473" i="12" s="1"/>
  <c r="Y474" i="12" s="1"/>
  <c r="Y475" i="12" s="1"/>
  <c r="Z471" i="12"/>
  <c r="M60" i="3"/>
  <c r="L60" i="3"/>
  <c r="K60" i="3"/>
  <c r="J60" i="3"/>
  <c r="I60" i="3"/>
  <c r="H60" i="3"/>
  <c r="E60" i="3"/>
  <c r="F60" i="3"/>
  <c r="G60" i="3"/>
  <c r="C60" i="3"/>
  <c r="N60" i="3" s="1"/>
  <c r="B60" i="3"/>
  <c r="D60" i="3"/>
  <c r="F6" i="2"/>
  <c r="M26" i="3"/>
  <c r="I26" i="3"/>
  <c r="E26" i="3"/>
  <c r="D26" i="3"/>
  <c r="B26" i="3"/>
  <c r="C26" i="3"/>
  <c r="N26" i="3" s="1"/>
  <c r="F26" i="3"/>
  <c r="L26" i="3"/>
  <c r="K26" i="3"/>
  <c r="J26" i="3"/>
  <c r="H26" i="3"/>
  <c r="G26" i="3"/>
  <c r="F14" i="4"/>
  <c r="D14" i="4"/>
  <c r="K14" i="4"/>
  <c r="L14" i="4" s="1"/>
  <c r="I92" i="3"/>
  <c r="E92" i="3"/>
  <c r="K92" i="3"/>
  <c r="C92" i="3"/>
  <c r="N92" i="3" s="1"/>
  <c r="B92" i="3"/>
  <c r="M92" i="3"/>
  <c r="J92" i="3"/>
  <c r="G92" i="3"/>
  <c r="F92" i="3"/>
  <c r="H92" i="3"/>
  <c r="D92" i="3"/>
  <c r="L92" i="3"/>
  <c r="K69" i="3"/>
  <c r="G69" i="3"/>
  <c r="C69" i="3"/>
  <c r="N69" i="3" s="1"/>
  <c r="B69" i="3"/>
  <c r="I69" i="3"/>
  <c r="H69" i="3"/>
  <c r="F69" i="3"/>
  <c r="D69" i="3"/>
  <c r="E69" i="3"/>
  <c r="J69" i="3"/>
  <c r="M69" i="3"/>
  <c r="L69" i="3"/>
  <c r="M20" i="3"/>
  <c r="L20" i="3"/>
  <c r="I20" i="3"/>
  <c r="F20" i="3"/>
  <c r="B20" i="3"/>
  <c r="H20" i="3"/>
  <c r="G20" i="3"/>
  <c r="E20" i="3"/>
  <c r="D20" i="3"/>
  <c r="C20" i="3"/>
  <c r="N20" i="3" s="1"/>
  <c r="K20" i="3"/>
  <c r="J20" i="3"/>
  <c r="M40" i="3"/>
  <c r="I40" i="3"/>
  <c r="H40" i="3"/>
  <c r="D40" i="3"/>
  <c r="L40" i="3"/>
  <c r="J40" i="3"/>
  <c r="G40" i="3"/>
  <c r="E40" i="3"/>
  <c r="F40" i="3"/>
  <c r="C40" i="3"/>
  <c r="N40" i="3" s="1"/>
  <c r="B40" i="3"/>
  <c r="K40" i="3"/>
  <c r="C11" i="3"/>
  <c r="F11" i="3"/>
  <c r="B11" i="3"/>
  <c r="K11" i="3"/>
  <c r="J11" i="3"/>
  <c r="I11" i="3"/>
  <c r="H11" i="3"/>
  <c r="G11" i="3"/>
  <c r="E11" i="3"/>
  <c r="D11" i="3"/>
  <c r="L11" i="3"/>
  <c r="M11" i="3"/>
  <c r="E12" i="5"/>
  <c r="D12" i="5"/>
  <c r="I12" i="5" s="1"/>
  <c r="F12" i="5"/>
  <c r="M27" i="3"/>
  <c r="L27" i="3"/>
  <c r="J27" i="3"/>
  <c r="K27" i="3"/>
  <c r="I27" i="3"/>
  <c r="H27" i="3"/>
  <c r="G27" i="3"/>
  <c r="D27" i="3"/>
  <c r="F27" i="3"/>
  <c r="E27" i="3"/>
  <c r="C27" i="3"/>
  <c r="N27" i="3" s="1"/>
  <c r="B27" i="3"/>
  <c r="C51" i="3"/>
  <c r="N51" i="3" s="1"/>
  <c r="K51" i="3"/>
  <c r="J51" i="3"/>
  <c r="H51" i="3"/>
  <c r="E51" i="3"/>
  <c r="D51" i="3"/>
  <c r="I51" i="3"/>
  <c r="F51" i="3"/>
  <c r="G51" i="3"/>
  <c r="B51" i="3"/>
  <c r="M51" i="3"/>
  <c r="L51" i="3"/>
  <c r="M54" i="3"/>
  <c r="L54" i="3"/>
  <c r="F54" i="3"/>
  <c r="B54" i="3"/>
  <c r="G54" i="3"/>
  <c r="K54" i="3"/>
  <c r="J54" i="3"/>
  <c r="I54" i="3"/>
  <c r="H54" i="3"/>
  <c r="C54" i="3"/>
  <c r="N54" i="3" s="1"/>
  <c r="D54" i="3"/>
  <c r="E54" i="3"/>
  <c r="C71" i="3"/>
  <c r="N71" i="3" s="1"/>
  <c r="I71" i="3"/>
  <c r="H71" i="3"/>
  <c r="G71" i="3"/>
  <c r="F71" i="3"/>
  <c r="E71" i="3"/>
  <c r="D71" i="3"/>
  <c r="B71" i="3"/>
  <c r="K71" i="3"/>
  <c r="J71" i="3"/>
  <c r="L71" i="3"/>
  <c r="M71" i="3"/>
  <c r="E28" i="3"/>
  <c r="C28" i="3"/>
  <c r="N28" i="3" s="1"/>
  <c r="G28" i="3"/>
  <c r="F28" i="3"/>
  <c r="D28" i="3"/>
  <c r="B28" i="3"/>
  <c r="H28" i="3"/>
  <c r="J28" i="3"/>
  <c r="L28" i="3"/>
  <c r="K28" i="3"/>
  <c r="I28" i="3"/>
  <c r="M28" i="3"/>
  <c r="I67" i="3"/>
  <c r="H67" i="3"/>
  <c r="B67" i="3"/>
  <c r="G67" i="3"/>
  <c r="F67" i="3"/>
  <c r="E67" i="3"/>
  <c r="D67" i="3"/>
  <c r="C67" i="3"/>
  <c r="N67" i="3" s="1"/>
  <c r="L67" i="3"/>
  <c r="M67" i="3"/>
  <c r="K67" i="3"/>
  <c r="J67" i="3"/>
  <c r="R16" i="4"/>
  <c r="R15" i="4"/>
  <c r="M96" i="3"/>
  <c r="I96" i="3"/>
  <c r="C96" i="3"/>
  <c r="N96" i="3" s="1"/>
  <c r="B96" i="3"/>
  <c r="K96" i="3"/>
  <c r="L96" i="3"/>
  <c r="G96" i="3"/>
  <c r="E96" i="3"/>
  <c r="D96" i="3"/>
  <c r="H96" i="3"/>
  <c r="F96" i="3"/>
  <c r="J96" i="3"/>
  <c r="G15" i="3"/>
  <c r="C15" i="3"/>
  <c r="N15" i="3" s="1"/>
  <c r="D15" i="3"/>
  <c r="B15" i="3"/>
  <c r="J15" i="3"/>
  <c r="L15" i="3"/>
  <c r="I15" i="3"/>
  <c r="M15" i="3"/>
  <c r="K15" i="3"/>
  <c r="H15" i="3"/>
  <c r="F15" i="3"/>
  <c r="E15" i="3"/>
  <c r="M16" i="3"/>
  <c r="I16" i="3"/>
  <c r="L16" i="3"/>
  <c r="K16" i="3"/>
  <c r="H16" i="3"/>
  <c r="G16" i="3"/>
  <c r="F16" i="3"/>
  <c r="B16" i="3"/>
  <c r="E16" i="3"/>
  <c r="D16" i="3"/>
  <c r="C16" i="3"/>
  <c r="N16" i="3" s="1"/>
  <c r="J16" i="3"/>
  <c r="K19" i="3"/>
  <c r="G19" i="3"/>
  <c r="B19" i="3"/>
  <c r="M19" i="3"/>
  <c r="I19" i="3"/>
  <c r="L19" i="3"/>
  <c r="J19" i="3"/>
  <c r="H19" i="3"/>
  <c r="F19" i="3"/>
  <c r="E19" i="3"/>
  <c r="C19" i="3"/>
  <c r="N19" i="3" s="1"/>
  <c r="D19" i="3"/>
  <c r="I52" i="3"/>
  <c r="E52" i="3"/>
  <c r="J52" i="3"/>
  <c r="C52" i="3"/>
  <c r="N52" i="3" s="1"/>
  <c r="M52" i="3"/>
  <c r="L52" i="3"/>
  <c r="K52" i="3"/>
  <c r="H52" i="3"/>
  <c r="G52" i="3"/>
  <c r="F52" i="3"/>
  <c r="D52" i="3"/>
  <c r="B52" i="3"/>
  <c r="C21" i="3"/>
  <c r="N21" i="3" s="1"/>
  <c r="I21" i="3"/>
  <c r="H21" i="3"/>
  <c r="M21" i="3"/>
  <c r="L21" i="3"/>
  <c r="F21" i="3"/>
  <c r="K21" i="3"/>
  <c r="J21" i="3"/>
  <c r="G21" i="3"/>
  <c r="B21" i="3"/>
  <c r="E21" i="3"/>
  <c r="D21" i="3"/>
  <c r="E18" i="3"/>
  <c r="G18" i="3"/>
  <c r="F18" i="3"/>
  <c r="L18" i="3"/>
  <c r="I18" i="3"/>
  <c r="M18" i="3"/>
  <c r="K18" i="3"/>
  <c r="C18" i="3"/>
  <c r="N18" i="3" s="1"/>
  <c r="B18" i="3"/>
  <c r="D18" i="3"/>
  <c r="J18" i="3"/>
  <c r="H18" i="3"/>
  <c r="M10" i="3"/>
  <c r="G10" i="3"/>
  <c r="F10" i="3"/>
  <c r="D10" i="3"/>
  <c r="K10" i="3"/>
  <c r="H10" i="3"/>
  <c r="B10" i="3"/>
  <c r="I10" i="3"/>
  <c r="E10" i="3"/>
  <c r="C10" i="3"/>
  <c r="N10" i="3" s="1"/>
  <c r="L10" i="3"/>
  <c r="J10" i="3"/>
  <c r="K9" i="3"/>
  <c r="G9" i="3"/>
  <c r="H9" i="3"/>
  <c r="D9" i="3"/>
  <c r="L9" i="3"/>
  <c r="J9" i="3"/>
  <c r="I9" i="3"/>
  <c r="F9" i="3"/>
  <c r="E9" i="3"/>
  <c r="C9" i="3"/>
  <c r="B9" i="3"/>
  <c r="M9" i="3"/>
  <c r="E48" i="3"/>
  <c r="I48" i="3"/>
  <c r="H48" i="3"/>
  <c r="G48" i="3"/>
  <c r="C48" i="3"/>
  <c r="N48" i="3" s="1"/>
  <c r="M48" i="3"/>
  <c r="K48" i="3"/>
  <c r="B48" i="3"/>
  <c r="L48" i="3"/>
  <c r="J48" i="3"/>
  <c r="F48" i="3"/>
  <c r="D48" i="3"/>
  <c r="B16" i="4" l="1"/>
  <c r="I16" i="4"/>
  <c r="M16" i="4"/>
  <c r="E16" i="4"/>
  <c r="J16" i="4"/>
  <c r="H16" i="4"/>
  <c r="G16" i="4"/>
  <c r="C16" i="4"/>
  <c r="N12" i="3"/>
  <c r="N8" i="3"/>
  <c r="E15" i="5"/>
  <c r="D15" i="5"/>
  <c r="I15" i="5" s="1"/>
  <c r="I7" i="5"/>
  <c r="N11" i="3"/>
  <c r="M15" i="4"/>
  <c r="I15" i="4"/>
  <c r="C15" i="4"/>
  <c r="G15" i="4"/>
  <c r="B15" i="4"/>
  <c r="J15" i="4"/>
  <c r="H15" i="4"/>
  <c r="E15" i="4"/>
  <c r="Y476" i="12"/>
  <c r="Z475" i="12"/>
  <c r="N9" i="3"/>
  <c r="Y477" i="12" l="1"/>
  <c r="Y478" i="12" s="1"/>
  <c r="Y479" i="12" s="1"/>
  <c r="Y480" i="12" s="1"/>
  <c r="Y481" i="12" s="1"/>
  <c r="Y482" i="12" s="1"/>
  <c r="Y483" i="12" s="1"/>
  <c r="Y484" i="12" s="1"/>
  <c r="Y485" i="12" s="1"/>
  <c r="Y486" i="12" s="1"/>
  <c r="Y487" i="12" s="1"/>
  <c r="Y488" i="12" s="1"/>
  <c r="Y489" i="12" s="1"/>
  <c r="Y490" i="12" s="1"/>
  <c r="Y491" i="12" s="1"/>
  <c r="Y492" i="12" s="1"/>
  <c r="Y493" i="12" s="1"/>
  <c r="Y494" i="12" s="1"/>
  <c r="Y495" i="12" s="1"/>
  <c r="Y496" i="12" s="1"/>
  <c r="Y497" i="12" s="1"/>
  <c r="Y498" i="12" s="1"/>
  <c r="Y499" i="12" s="1"/>
  <c r="Y500" i="12" s="1"/>
  <c r="Y501" i="12" s="1"/>
  <c r="Y502" i="12" s="1"/>
  <c r="Y503" i="12" s="1"/>
  <c r="Y504" i="12" s="1"/>
  <c r="Y505" i="12" s="1"/>
  <c r="Y506" i="12" s="1"/>
  <c r="Y507" i="12" s="1"/>
  <c r="Y508" i="12" s="1"/>
  <c r="Y509" i="12" s="1"/>
  <c r="Y510" i="12" s="1"/>
  <c r="Y511" i="12" s="1"/>
  <c r="Y512" i="12" s="1"/>
  <c r="Y513" i="12" s="1"/>
  <c r="Y514" i="12" s="1"/>
  <c r="Y515" i="12" s="1"/>
  <c r="Y516" i="12" s="1"/>
  <c r="Y517" i="12" s="1"/>
  <c r="Y518" i="12" s="1"/>
  <c r="Y519" i="12" s="1"/>
  <c r="Y520" i="12" s="1"/>
  <c r="Y521" i="12" s="1"/>
  <c r="Y522" i="12" s="1"/>
  <c r="Y523" i="12" s="1"/>
  <c r="Y524" i="12" s="1"/>
  <c r="Y525" i="12" s="1"/>
  <c r="Y526" i="12" s="1"/>
  <c r="Y527" i="12" s="1"/>
  <c r="Y528" i="12" s="1"/>
  <c r="Y529" i="12" s="1"/>
  <c r="Y530" i="12" s="1"/>
  <c r="Y531" i="12" s="1"/>
  <c r="Y532" i="12" s="1"/>
  <c r="Y533" i="12" s="1"/>
  <c r="Y534" i="12" s="1"/>
  <c r="Y535" i="12" s="1"/>
  <c r="Y536" i="12" s="1"/>
  <c r="Y537" i="12" s="1"/>
  <c r="Y538" i="12" s="1"/>
  <c r="Y539" i="12" s="1"/>
  <c r="Y540" i="12" s="1"/>
  <c r="Y541" i="12" s="1"/>
  <c r="Y542" i="12" s="1"/>
  <c r="Y543" i="12" s="1"/>
  <c r="Y544" i="12" s="1"/>
  <c r="Y545" i="12" s="1"/>
  <c r="Y546" i="12" s="1"/>
  <c r="Y547" i="12" s="1"/>
  <c r="Y548" i="12" s="1"/>
  <c r="Y549" i="12" s="1"/>
  <c r="Y550" i="12" s="1"/>
  <c r="Y551" i="12" s="1"/>
  <c r="Y552" i="12" s="1"/>
  <c r="Y553" i="12" s="1"/>
  <c r="Y554" i="12" s="1"/>
  <c r="Y555" i="12" s="1"/>
  <c r="Y556" i="12" s="1"/>
  <c r="Y557" i="12" s="1"/>
  <c r="Y558" i="12" s="1"/>
  <c r="Y559" i="12" s="1"/>
  <c r="Y560" i="12" s="1"/>
  <c r="Y561" i="12" s="1"/>
  <c r="Y562" i="12" s="1"/>
  <c r="Y563" i="12" s="1"/>
  <c r="Y564" i="12" s="1"/>
  <c r="Y565" i="12" s="1"/>
  <c r="Y566" i="12" s="1"/>
  <c r="Y567" i="12" s="1"/>
  <c r="Y568" i="12" s="1"/>
  <c r="Y569" i="12" s="1"/>
  <c r="Y570" i="12" s="1"/>
  <c r="Y571" i="12" s="1"/>
  <c r="Y572" i="12" s="1"/>
  <c r="Y573" i="12" s="1"/>
  <c r="Y574" i="12" s="1"/>
  <c r="Y575" i="12" s="1"/>
  <c r="Y576" i="12" s="1"/>
  <c r="Y577" i="12" s="1"/>
  <c r="Y578" i="12" s="1"/>
  <c r="Y579" i="12" s="1"/>
  <c r="Y580" i="12" s="1"/>
  <c r="Y581" i="12" s="1"/>
  <c r="Y582" i="12" s="1"/>
  <c r="Y583" i="12" s="1"/>
  <c r="Y584" i="12" s="1"/>
  <c r="Y585" i="12" s="1"/>
  <c r="Y586" i="12" s="1"/>
  <c r="Y587" i="12" s="1"/>
  <c r="Y588" i="12" s="1"/>
  <c r="Y589" i="12" s="1"/>
  <c r="Y590" i="12" s="1"/>
  <c r="Y591" i="12" s="1"/>
  <c r="Y592" i="12" s="1"/>
  <c r="Y593" i="12" s="1"/>
  <c r="Y594" i="12" s="1"/>
  <c r="Y595" i="12" s="1"/>
  <c r="Y596" i="12" s="1"/>
  <c r="Y597" i="12" s="1"/>
  <c r="Y598" i="12" s="1"/>
  <c r="Y599" i="12" s="1"/>
  <c r="Y600" i="12" s="1"/>
  <c r="Y601" i="12" s="1"/>
  <c r="Y602" i="12" s="1"/>
  <c r="Y603" i="12" s="1"/>
  <c r="Y604" i="12" s="1"/>
  <c r="Y605" i="12" s="1"/>
  <c r="Y606" i="12" s="1"/>
  <c r="Y607" i="12" s="1"/>
  <c r="Y608" i="12" s="1"/>
  <c r="Y609" i="12" s="1"/>
  <c r="Y610" i="12" s="1"/>
  <c r="Z476" i="12"/>
  <c r="R17" i="4"/>
  <c r="D16" i="4"/>
  <c r="F16" i="4"/>
  <c r="K16" i="4"/>
  <c r="L16" i="4" s="1"/>
  <c r="F15" i="4"/>
  <c r="K15" i="4"/>
  <c r="L15" i="4" s="1"/>
  <c r="D15" i="4"/>
  <c r="G17" i="4" l="1"/>
  <c r="C17" i="4"/>
  <c r="J17" i="4"/>
  <c r="B17" i="4"/>
  <c r="M17" i="4"/>
  <c r="I17" i="4"/>
  <c r="H17" i="4"/>
  <c r="E17" i="4"/>
  <c r="Y611" i="12"/>
  <c r="Y612" i="12" s="1"/>
  <c r="Y613" i="12" s="1"/>
  <c r="Y614" i="12" s="1"/>
  <c r="Y615" i="12" s="1"/>
  <c r="Y616" i="12" s="1"/>
  <c r="Z610" i="12"/>
  <c r="Y617" i="12" l="1"/>
  <c r="Y618" i="12" s="1"/>
  <c r="Y619" i="12" s="1"/>
  <c r="Y620" i="12" s="1"/>
  <c r="Y621" i="12" s="1"/>
  <c r="Y622" i="12" s="1"/>
  <c r="Y623" i="12" s="1"/>
  <c r="Y624" i="12" s="1"/>
  <c r="Y625" i="12" s="1"/>
  <c r="Y626" i="12" s="1"/>
  <c r="Y627" i="12" s="1"/>
  <c r="Z616" i="12"/>
  <c r="K17" i="4"/>
  <c r="L17" i="4" s="1"/>
  <c r="D17" i="4"/>
  <c r="F17" i="4"/>
  <c r="Y628" i="12" l="1"/>
  <c r="Y629" i="12" s="1"/>
  <c r="Y630" i="12" s="1"/>
  <c r="Y631" i="12" s="1"/>
  <c r="Y632" i="12" s="1"/>
  <c r="Y633" i="12" s="1"/>
  <c r="Y634" i="12" s="1"/>
  <c r="Y635" i="12" s="1"/>
  <c r="Z627" i="12"/>
  <c r="Y636" i="12" l="1"/>
  <c r="Z635" i="12"/>
  <c r="Y637" i="12" l="1"/>
  <c r="Y638" i="12" s="1"/>
  <c r="Y639" i="12" s="1"/>
  <c r="Y640" i="12" s="1"/>
  <c r="Y641" i="12" s="1"/>
  <c r="Y642" i="12" s="1"/>
  <c r="Y643" i="12" s="1"/>
  <c r="Y644" i="12" s="1"/>
  <c r="Y645" i="12" s="1"/>
  <c r="Y646" i="12" s="1"/>
  <c r="Y647" i="12" s="1"/>
  <c r="Y648" i="12" s="1"/>
  <c r="Y649" i="12" s="1"/>
  <c r="Y650" i="12" s="1"/>
  <c r="Y651" i="12" s="1"/>
  <c r="Y652" i="12" s="1"/>
  <c r="Y653" i="12" s="1"/>
  <c r="Z636" i="12"/>
  <c r="Y654" i="12" l="1"/>
  <c r="Z653" i="12"/>
  <c r="Y655" i="12" l="1"/>
  <c r="Y656" i="12" s="1"/>
  <c r="Y657" i="12" s="1"/>
  <c r="Y658" i="12" s="1"/>
  <c r="Y659" i="12" s="1"/>
  <c r="Y660" i="12" s="1"/>
  <c r="Y661" i="12" s="1"/>
  <c r="Y662" i="12" s="1"/>
  <c r="Y663" i="12" s="1"/>
  <c r="Y664" i="12" s="1"/>
  <c r="Y665" i="12" s="1"/>
  <c r="Y666" i="12" s="1"/>
  <c r="Y667" i="12" s="1"/>
  <c r="Y668" i="12" s="1"/>
  <c r="Y669" i="12" s="1"/>
  <c r="Y670" i="12" s="1"/>
  <c r="Y671" i="12" s="1"/>
  <c r="Y672" i="12" s="1"/>
  <c r="Y673" i="12" s="1"/>
  <c r="Y674" i="12" s="1"/>
  <c r="Y675" i="12" s="1"/>
  <c r="Y676" i="12" s="1"/>
  <c r="Y677" i="12" s="1"/>
  <c r="Y678" i="12" s="1"/>
  <c r="Y679" i="12" s="1"/>
  <c r="Y680" i="12" s="1"/>
  <c r="Y681" i="12" s="1"/>
  <c r="Y682" i="12" s="1"/>
  <c r="Y683" i="12" s="1"/>
  <c r="Y684" i="12" s="1"/>
  <c r="Y685" i="12" s="1"/>
  <c r="Y686" i="12" s="1"/>
  <c r="Y687" i="12" s="1"/>
  <c r="Y688" i="12" s="1"/>
  <c r="Y689" i="12" s="1"/>
  <c r="Y690" i="12" s="1"/>
  <c r="Y691" i="12" s="1"/>
  <c r="Y692" i="12" s="1"/>
  <c r="Y693" i="12" s="1"/>
  <c r="Y694" i="12" s="1"/>
  <c r="Y695" i="12" s="1"/>
  <c r="Y696" i="12" s="1"/>
  <c r="Y697" i="12" s="1"/>
  <c r="Y698" i="12" s="1"/>
  <c r="Y699" i="12" s="1"/>
  <c r="Y700" i="12" s="1"/>
  <c r="Y701" i="12" s="1"/>
  <c r="Y702" i="12" s="1"/>
  <c r="Y703" i="12" s="1"/>
  <c r="Y704" i="12" s="1"/>
  <c r="Y705" i="12" s="1"/>
  <c r="Y706" i="12" s="1"/>
  <c r="Y707" i="12" s="1"/>
  <c r="Y708" i="12" s="1"/>
  <c r="Y709" i="12" s="1"/>
  <c r="Y710" i="12" s="1"/>
  <c r="Y711" i="12" s="1"/>
  <c r="Y712" i="12" s="1"/>
  <c r="Y713" i="12" s="1"/>
  <c r="Y714" i="12" s="1"/>
  <c r="Y715" i="12" s="1"/>
  <c r="Y716" i="12" s="1"/>
  <c r="Y717" i="12" s="1"/>
  <c r="Y718" i="12" s="1"/>
  <c r="Y719" i="12" s="1"/>
  <c r="Y720" i="12" s="1"/>
  <c r="Y721" i="12" s="1"/>
  <c r="Y722" i="12" s="1"/>
  <c r="Y723" i="12" s="1"/>
  <c r="Y724" i="12" s="1"/>
  <c r="Y725" i="12" s="1"/>
  <c r="Y726" i="12" s="1"/>
  <c r="Y727" i="12" s="1"/>
  <c r="Y728" i="12" s="1"/>
  <c r="Y729" i="12" s="1"/>
  <c r="Y730" i="12" s="1"/>
  <c r="Y731" i="12" s="1"/>
  <c r="Y732" i="12" s="1"/>
  <c r="Y733" i="12" s="1"/>
  <c r="Y734" i="12" s="1"/>
  <c r="Y735" i="12" s="1"/>
  <c r="Y736" i="12" s="1"/>
  <c r="Y737" i="12" s="1"/>
  <c r="Y738" i="12" s="1"/>
  <c r="Y739" i="12" s="1"/>
  <c r="Y740" i="12" s="1"/>
  <c r="Y741" i="12" s="1"/>
  <c r="Y742" i="12" s="1"/>
  <c r="Y743" i="12" s="1"/>
  <c r="Y744" i="12" s="1"/>
  <c r="Y745" i="12" s="1"/>
  <c r="Y746" i="12" s="1"/>
  <c r="Y747" i="12" s="1"/>
  <c r="Y748" i="12" s="1"/>
  <c r="Y749" i="12" s="1"/>
  <c r="Y750" i="12" s="1"/>
  <c r="Y751" i="12" s="1"/>
  <c r="Y752" i="12" s="1"/>
  <c r="Y753" i="12" s="1"/>
  <c r="Y754" i="12" s="1"/>
  <c r="Y755" i="12" s="1"/>
  <c r="Y756" i="12" s="1"/>
  <c r="Y757" i="12" s="1"/>
  <c r="Y758" i="12" s="1"/>
  <c r="Y759" i="12" s="1"/>
  <c r="Y760" i="12" s="1"/>
  <c r="Y761" i="12" s="1"/>
  <c r="Y762" i="12" s="1"/>
  <c r="Y763" i="12" s="1"/>
  <c r="Y764" i="12" s="1"/>
  <c r="Y765" i="12" s="1"/>
  <c r="Y766" i="12" s="1"/>
  <c r="Y767" i="12" s="1"/>
  <c r="Y768" i="12" s="1"/>
  <c r="Y769" i="12" s="1"/>
  <c r="Y770" i="12" s="1"/>
  <c r="Y771" i="12" s="1"/>
  <c r="Y772" i="12" s="1"/>
  <c r="Y773" i="12" s="1"/>
  <c r="Y774" i="12" s="1"/>
  <c r="Y775" i="12" s="1"/>
  <c r="Y776" i="12" s="1"/>
  <c r="Y777" i="12" s="1"/>
  <c r="Y778" i="12" s="1"/>
  <c r="Y779" i="12" s="1"/>
  <c r="Z654" i="12"/>
  <c r="Y780" i="12" l="1"/>
  <c r="Y781" i="12" s="1"/>
  <c r="Y782" i="12" s="1"/>
  <c r="Y783" i="12" s="1"/>
  <c r="Y784" i="12" s="1"/>
  <c r="Y785" i="12" s="1"/>
  <c r="Y786" i="12" s="1"/>
  <c r="Y787" i="12" s="1"/>
  <c r="Y788" i="12" s="1"/>
  <c r="Y789" i="12" s="1"/>
  <c r="Y790" i="12" s="1"/>
  <c r="Y791" i="12" s="1"/>
  <c r="Z779" i="12"/>
  <c r="Y792" i="12" l="1"/>
  <c r="Y793" i="12" s="1"/>
  <c r="Y794" i="12" s="1"/>
  <c r="Z791" i="12"/>
  <c r="Y795" i="12" l="1"/>
  <c r="Z794" i="12"/>
  <c r="Y796" i="12" l="1"/>
  <c r="Y797" i="12" s="1"/>
  <c r="Y798" i="12" s="1"/>
  <c r="Y799" i="12" s="1"/>
  <c r="Y800" i="12" s="1"/>
  <c r="Y801" i="12" s="1"/>
  <c r="Y802" i="12" s="1"/>
  <c r="Y803" i="12" s="1"/>
  <c r="Y804" i="12" s="1"/>
  <c r="Y805" i="12" s="1"/>
  <c r="Y806" i="12" s="1"/>
  <c r="Z795" i="12"/>
  <c r="Y807" i="12" l="1"/>
  <c r="Y808" i="12" s="1"/>
  <c r="Y809" i="12" s="1"/>
  <c r="Z806" i="12"/>
  <c r="Y810" i="12" l="1"/>
  <c r="Z809" i="12"/>
  <c r="Y811" i="12" l="1"/>
  <c r="Y812" i="12" s="1"/>
  <c r="Y813" i="12" s="1"/>
  <c r="Y814" i="12" s="1"/>
  <c r="Y815" i="12" s="1"/>
  <c r="Y816" i="12" s="1"/>
  <c r="Y817" i="12" s="1"/>
  <c r="Y818" i="12" s="1"/>
  <c r="Y819" i="12" s="1"/>
  <c r="Y820" i="12" s="1"/>
  <c r="Y821" i="12" s="1"/>
  <c r="Y822" i="12" s="1"/>
  <c r="Y823" i="12" s="1"/>
  <c r="Y824" i="12" s="1"/>
  <c r="Y825" i="12" s="1"/>
  <c r="Y826" i="12" s="1"/>
  <c r="Y827" i="12" s="1"/>
  <c r="Y828" i="12" s="1"/>
  <c r="Y829" i="12" s="1"/>
  <c r="Y830" i="12" s="1"/>
  <c r="Y831" i="12" s="1"/>
  <c r="Y832" i="12" s="1"/>
  <c r="Y833" i="12" s="1"/>
  <c r="Y834" i="12" s="1"/>
  <c r="Y835" i="12" s="1"/>
  <c r="Y836" i="12" s="1"/>
  <c r="Y837" i="12" s="1"/>
  <c r="Y838" i="12" s="1"/>
  <c r="Y839" i="12" s="1"/>
  <c r="Y840" i="12" s="1"/>
  <c r="Y841" i="12" s="1"/>
  <c r="Y842" i="12" s="1"/>
  <c r="Y843" i="12" s="1"/>
  <c r="Y844" i="12" s="1"/>
  <c r="Y845" i="12" s="1"/>
  <c r="Y846" i="12" s="1"/>
  <c r="Y847" i="12" s="1"/>
  <c r="Y848" i="12" s="1"/>
  <c r="Y849" i="12" s="1"/>
  <c r="Y850" i="12" s="1"/>
  <c r="Y851" i="12" s="1"/>
  <c r="Y852" i="12" s="1"/>
  <c r="Y853" i="12" s="1"/>
  <c r="Y854" i="12" s="1"/>
  <c r="Y855" i="12" s="1"/>
  <c r="Y856" i="12" s="1"/>
  <c r="Y857" i="12" s="1"/>
  <c r="Y858" i="12" s="1"/>
  <c r="Y859" i="12" s="1"/>
  <c r="Y860" i="12" s="1"/>
  <c r="Y861" i="12" s="1"/>
  <c r="Y862" i="12" s="1"/>
  <c r="Y863" i="12" s="1"/>
  <c r="Y864" i="12" s="1"/>
  <c r="Y865" i="12" s="1"/>
  <c r="Y866" i="12" s="1"/>
  <c r="Y867" i="12" s="1"/>
  <c r="Y868" i="12" s="1"/>
  <c r="Y869" i="12" s="1"/>
  <c r="Y870" i="12" s="1"/>
  <c r="Y871" i="12" s="1"/>
  <c r="Y872" i="12" s="1"/>
  <c r="Y873" i="12" s="1"/>
  <c r="Y874" i="12" s="1"/>
  <c r="Y875" i="12" s="1"/>
  <c r="Y876" i="12" s="1"/>
  <c r="Y877" i="12" s="1"/>
  <c r="Y878" i="12" s="1"/>
  <c r="Y879" i="12" s="1"/>
  <c r="Y880" i="12" s="1"/>
  <c r="Y881" i="12" s="1"/>
  <c r="Y882" i="12" s="1"/>
  <c r="Y883" i="12" s="1"/>
  <c r="Y884" i="12" s="1"/>
  <c r="Y885" i="12" s="1"/>
  <c r="Y886" i="12" s="1"/>
  <c r="Y887" i="12" s="1"/>
  <c r="Y888" i="12" s="1"/>
  <c r="Y889" i="12" s="1"/>
  <c r="Y890" i="12" s="1"/>
  <c r="Y891" i="12" s="1"/>
  <c r="Y892" i="12" s="1"/>
  <c r="Y893" i="12" s="1"/>
  <c r="Y894" i="12" s="1"/>
  <c r="Y895" i="12" s="1"/>
  <c r="Y896" i="12" s="1"/>
  <c r="Y897" i="12" s="1"/>
  <c r="Y898" i="12" s="1"/>
  <c r="Y899" i="12" s="1"/>
  <c r="Y900" i="12" s="1"/>
  <c r="Y901" i="12" s="1"/>
  <c r="Y902" i="12" s="1"/>
  <c r="Y903" i="12" s="1"/>
  <c r="Y904" i="12" s="1"/>
  <c r="Y905" i="12" s="1"/>
  <c r="Y906" i="12" s="1"/>
  <c r="Y907" i="12" s="1"/>
  <c r="Y908" i="12" s="1"/>
  <c r="Y909" i="12" s="1"/>
  <c r="Y910" i="12" s="1"/>
  <c r="Y911" i="12" s="1"/>
  <c r="Y912" i="12" s="1"/>
  <c r="Y913" i="12" s="1"/>
  <c r="Y914" i="12" s="1"/>
  <c r="Y915" i="12" s="1"/>
  <c r="Y916" i="12" s="1"/>
  <c r="Y917" i="12" s="1"/>
  <c r="Y918" i="12" s="1"/>
  <c r="Y919" i="12" s="1"/>
  <c r="Y920" i="12" s="1"/>
  <c r="Y921" i="12" s="1"/>
  <c r="Y922" i="12" s="1"/>
  <c r="Y923" i="12" s="1"/>
  <c r="Y924" i="12" s="1"/>
  <c r="Y925" i="12" s="1"/>
  <c r="Y926" i="12" s="1"/>
  <c r="Y927" i="12" s="1"/>
  <c r="Y928" i="12" s="1"/>
  <c r="Y929" i="12" s="1"/>
  <c r="Y930" i="12" s="1"/>
  <c r="Y931" i="12" s="1"/>
  <c r="Y932" i="12" s="1"/>
  <c r="Y933" i="12" s="1"/>
  <c r="Y934" i="12" s="1"/>
  <c r="Y935" i="12" s="1"/>
  <c r="Y936" i="12" s="1"/>
  <c r="Y937" i="12" s="1"/>
  <c r="Y938" i="12" s="1"/>
  <c r="Y939" i="12" s="1"/>
  <c r="Y940" i="12" s="1"/>
  <c r="Y941" i="12" s="1"/>
  <c r="Y942" i="12" s="1"/>
  <c r="Y943" i="12" s="1"/>
  <c r="Y944" i="12" s="1"/>
  <c r="Y945" i="12" s="1"/>
  <c r="Y946" i="12" s="1"/>
  <c r="Y947" i="12" s="1"/>
  <c r="Y948" i="12" s="1"/>
  <c r="Y949" i="12" s="1"/>
  <c r="Y950" i="12" s="1"/>
  <c r="Y951" i="12" s="1"/>
  <c r="Y952" i="12" s="1"/>
  <c r="Y953" i="12" s="1"/>
  <c r="Y954" i="12" s="1"/>
  <c r="Y955" i="12" s="1"/>
  <c r="Y956" i="12" s="1"/>
  <c r="Y957" i="12" s="1"/>
  <c r="Y958" i="12" s="1"/>
  <c r="Y959" i="12" s="1"/>
  <c r="Y960" i="12" s="1"/>
  <c r="Y961" i="12" s="1"/>
  <c r="Y962" i="12" s="1"/>
  <c r="Y963" i="12" s="1"/>
  <c r="Y964" i="12" s="1"/>
  <c r="Y965" i="12" s="1"/>
  <c r="Y966" i="12" s="1"/>
  <c r="Y967" i="12" s="1"/>
  <c r="Y968" i="12" s="1"/>
  <c r="Y969" i="12" s="1"/>
  <c r="Y970" i="12" s="1"/>
  <c r="Y971" i="12" s="1"/>
  <c r="Y972" i="12" s="1"/>
  <c r="Y973" i="12" s="1"/>
  <c r="Y974" i="12" s="1"/>
  <c r="Y975" i="12" s="1"/>
  <c r="Y976" i="12" s="1"/>
  <c r="Y977" i="12" s="1"/>
  <c r="Y978" i="12" s="1"/>
  <c r="Y979" i="12" s="1"/>
  <c r="Y980" i="12" s="1"/>
  <c r="Y981" i="12" s="1"/>
  <c r="Y982" i="12" s="1"/>
  <c r="Y983" i="12" s="1"/>
  <c r="Y984" i="12" s="1"/>
  <c r="Y985" i="12" s="1"/>
  <c r="Y986" i="12" s="1"/>
  <c r="Y987" i="12" s="1"/>
  <c r="Y988" i="12" s="1"/>
  <c r="Y989" i="12" s="1"/>
  <c r="Y990" i="12" s="1"/>
  <c r="Y991" i="12" s="1"/>
  <c r="Y992" i="12" s="1"/>
  <c r="Y993" i="12" s="1"/>
  <c r="Y994" i="12" s="1"/>
  <c r="Y995" i="12" s="1"/>
  <c r="Y996" i="12" s="1"/>
  <c r="Y997" i="12" s="1"/>
  <c r="Y998" i="12" s="1"/>
  <c r="Y999" i="12" s="1"/>
  <c r="Y1000" i="12" s="1"/>
  <c r="Y1001" i="12" s="1"/>
  <c r="Y1002" i="12" s="1"/>
  <c r="Y1003" i="12" s="1"/>
  <c r="Y1004" i="12" s="1"/>
  <c r="Y1005" i="12" s="1"/>
  <c r="Y1006" i="12" s="1"/>
  <c r="Y1007" i="12" s="1"/>
  <c r="Y1008" i="12" s="1"/>
  <c r="Y1009" i="12" s="1"/>
  <c r="Y1010" i="12" s="1"/>
  <c r="Y1011" i="12" s="1"/>
  <c r="Y1012" i="12" s="1"/>
  <c r="Y1013" i="12" s="1"/>
  <c r="Y1014" i="12" s="1"/>
  <c r="Y1015" i="12" s="1"/>
  <c r="Y1016" i="12" s="1"/>
  <c r="Y1017" i="12" s="1"/>
  <c r="Y1018" i="12" s="1"/>
  <c r="Y1019" i="12" s="1"/>
  <c r="Y1020" i="12" s="1"/>
  <c r="Y1021" i="12" s="1"/>
  <c r="Y1022" i="12" s="1"/>
  <c r="Y1023" i="12" s="1"/>
  <c r="Y1024" i="12" s="1"/>
  <c r="Y1025" i="12" s="1"/>
  <c r="Y1026" i="12" s="1"/>
  <c r="Y1027" i="12" s="1"/>
  <c r="Y1028" i="12" s="1"/>
  <c r="Y1029" i="12" s="1"/>
  <c r="Y1030" i="12" s="1"/>
  <c r="Y1031" i="12" s="1"/>
  <c r="Y1032" i="12" s="1"/>
  <c r="Y1033" i="12" s="1"/>
  <c r="Y1034" i="12" s="1"/>
  <c r="Y1035" i="12" s="1"/>
  <c r="Y1036" i="12" s="1"/>
  <c r="Y1037" i="12" s="1"/>
  <c r="Y1038" i="12" s="1"/>
  <c r="Y1039" i="12" s="1"/>
  <c r="Y1040" i="12" s="1"/>
  <c r="Y1041" i="12" s="1"/>
  <c r="Y1042" i="12" s="1"/>
  <c r="Y1043" i="12" s="1"/>
  <c r="Y1044" i="12" s="1"/>
  <c r="Y1045" i="12" s="1"/>
  <c r="Y1046" i="12" s="1"/>
  <c r="Y1047" i="12" s="1"/>
  <c r="Y1048" i="12" s="1"/>
  <c r="Y1049" i="12" s="1"/>
  <c r="Y1050" i="12" s="1"/>
  <c r="Y1051" i="12" s="1"/>
  <c r="Y1052" i="12" s="1"/>
  <c r="Y1053" i="12" s="1"/>
  <c r="Y1054" i="12" s="1"/>
  <c r="Y1055" i="12" s="1"/>
  <c r="Y1056" i="12" s="1"/>
  <c r="Y1057" i="12" s="1"/>
  <c r="Y1058" i="12" s="1"/>
  <c r="Y1059" i="12" s="1"/>
  <c r="Y1060" i="12" s="1"/>
  <c r="Y1061" i="12" s="1"/>
  <c r="Y1062" i="12" s="1"/>
  <c r="Y1063" i="12" s="1"/>
  <c r="Y1064" i="12" s="1"/>
  <c r="Y1065" i="12" s="1"/>
  <c r="Y1066" i="12" s="1"/>
  <c r="Y1067" i="12" s="1"/>
  <c r="Y1068" i="12" s="1"/>
  <c r="Y1069" i="12" s="1"/>
  <c r="Y1070" i="12" s="1"/>
  <c r="Y1071" i="12" s="1"/>
  <c r="Y1072" i="12" s="1"/>
  <c r="Y1073" i="12" s="1"/>
  <c r="Y1074" i="12" s="1"/>
  <c r="Y1075" i="12" s="1"/>
  <c r="Y1076" i="12" s="1"/>
  <c r="Y1077" i="12" s="1"/>
  <c r="Y1078" i="12" s="1"/>
  <c r="Y1079" i="12" s="1"/>
  <c r="Y1080" i="12" s="1"/>
  <c r="Y1081" i="12" s="1"/>
  <c r="Y1082" i="12" s="1"/>
  <c r="Y1083" i="12" s="1"/>
  <c r="Y1084" i="12" s="1"/>
  <c r="Y1085" i="12" s="1"/>
  <c r="Y1086" i="12" s="1"/>
  <c r="Y1087" i="12" s="1"/>
  <c r="Y1088" i="12" s="1"/>
  <c r="Y1089" i="12" s="1"/>
  <c r="Y1090" i="12" s="1"/>
  <c r="Y1091" i="12" s="1"/>
  <c r="Y1092" i="12" s="1"/>
  <c r="Y1093" i="12" s="1"/>
  <c r="Y1094" i="12" s="1"/>
  <c r="Y1095" i="12" s="1"/>
  <c r="Y1096" i="12" s="1"/>
  <c r="Y1097" i="12" s="1"/>
  <c r="Y1098" i="12" s="1"/>
  <c r="Y1099" i="12" s="1"/>
  <c r="Y1100" i="12" s="1"/>
  <c r="Y1101" i="12" s="1"/>
  <c r="Y1102" i="12" s="1"/>
  <c r="Y1103" i="12" s="1"/>
  <c r="Y1104" i="12" s="1"/>
  <c r="Y1105" i="12" s="1"/>
  <c r="Y1106" i="12" s="1"/>
  <c r="Y1107" i="12" s="1"/>
  <c r="Y1108" i="12" s="1"/>
  <c r="Y1109" i="12" s="1"/>
  <c r="Y1110" i="12" s="1"/>
  <c r="Y1111" i="12" s="1"/>
  <c r="Y1112" i="12" s="1"/>
  <c r="Y1113" i="12" s="1"/>
  <c r="Y1114" i="12" s="1"/>
  <c r="Y1115" i="12" s="1"/>
  <c r="Y1116" i="12" s="1"/>
  <c r="Y1117" i="12" s="1"/>
  <c r="Y1118" i="12" s="1"/>
  <c r="Y1119" i="12" s="1"/>
  <c r="Y1120" i="12" s="1"/>
  <c r="Y1121" i="12" s="1"/>
  <c r="Y1122" i="12" s="1"/>
  <c r="Y1123" i="12" s="1"/>
  <c r="Y1124" i="12" s="1"/>
  <c r="Y1125" i="12" s="1"/>
  <c r="Y1126" i="12" s="1"/>
  <c r="Y1127" i="12" s="1"/>
  <c r="Y1128" i="12" s="1"/>
  <c r="Y1129" i="12" s="1"/>
  <c r="Y1130" i="12" s="1"/>
  <c r="Y1131" i="12" s="1"/>
  <c r="Y1132" i="12" s="1"/>
  <c r="Y1133" i="12" s="1"/>
  <c r="Y1134" i="12" s="1"/>
  <c r="Y1135" i="12" s="1"/>
  <c r="Y1136" i="12" s="1"/>
  <c r="Y1137" i="12" s="1"/>
  <c r="Y1138" i="12" s="1"/>
  <c r="Y1139" i="12" s="1"/>
  <c r="Y1140" i="12" s="1"/>
  <c r="Y1141" i="12" s="1"/>
  <c r="Y1142" i="12" s="1"/>
  <c r="Y1143" i="12" s="1"/>
  <c r="Y1144" i="12" s="1"/>
  <c r="Y1145" i="12" s="1"/>
  <c r="Y1146" i="12" s="1"/>
  <c r="Y1147" i="12" s="1"/>
  <c r="Y1148" i="12" s="1"/>
  <c r="Y1149" i="12" s="1"/>
  <c r="Y1150" i="12" s="1"/>
  <c r="Y1151" i="12" s="1"/>
  <c r="Y1152" i="12" s="1"/>
  <c r="Y1153" i="12" s="1"/>
  <c r="Y1154" i="12" s="1"/>
  <c r="Y1155" i="12" s="1"/>
  <c r="Y1156" i="12" s="1"/>
  <c r="Y1157" i="12" s="1"/>
  <c r="Y1158" i="12" s="1"/>
  <c r="Y1159" i="12" s="1"/>
  <c r="Y1160" i="12" s="1"/>
  <c r="Y1161" i="12" s="1"/>
  <c r="Y1162" i="12" s="1"/>
  <c r="Y1163" i="12" s="1"/>
  <c r="Y1164" i="12" s="1"/>
  <c r="Y1165" i="12" s="1"/>
  <c r="Y1166" i="12" s="1"/>
  <c r="Y1167" i="12" s="1"/>
  <c r="Y1168" i="12" s="1"/>
  <c r="Y1169" i="12" s="1"/>
  <c r="Y1170" i="12" s="1"/>
  <c r="Y1171" i="12" s="1"/>
  <c r="Y1172" i="12" s="1"/>
  <c r="Y1173" i="12" s="1"/>
  <c r="Y1174" i="12" s="1"/>
  <c r="Y1175" i="12" s="1"/>
  <c r="Y1176" i="12" s="1"/>
  <c r="Y1177" i="12" s="1"/>
  <c r="Y1178" i="12" s="1"/>
  <c r="Y1179" i="12" s="1"/>
  <c r="Y1180" i="12" s="1"/>
  <c r="Y1181" i="12" s="1"/>
  <c r="Y1182" i="12" s="1"/>
  <c r="Y1183" i="12" s="1"/>
  <c r="Y1184" i="12" s="1"/>
  <c r="Y1185" i="12" s="1"/>
  <c r="Y1186" i="12" s="1"/>
  <c r="Y1187" i="12" s="1"/>
  <c r="Y1188" i="12" s="1"/>
  <c r="Y1189" i="12" s="1"/>
  <c r="Y1190" i="12" s="1"/>
  <c r="Y1191" i="12" s="1"/>
  <c r="Y1192" i="12" s="1"/>
  <c r="Y1193" i="12" s="1"/>
  <c r="Y1194" i="12" s="1"/>
  <c r="Y1195" i="12" s="1"/>
  <c r="Y1196" i="12" s="1"/>
  <c r="Y1197" i="12" s="1"/>
  <c r="Y1198" i="12" s="1"/>
  <c r="Y1199" i="12" s="1"/>
  <c r="Y1200" i="12" s="1"/>
  <c r="Y1201" i="12" s="1"/>
  <c r="Y1202" i="12" s="1"/>
  <c r="Y1203" i="12" s="1"/>
  <c r="Y1204" i="12" s="1"/>
  <c r="Y1205" i="12" s="1"/>
  <c r="Y1206" i="12" s="1"/>
  <c r="Y1207" i="12" s="1"/>
  <c r="Y1208" i="12" s="1"/>
  <c r="Y1209" i="12" s="1"/>
  <c r="Y1210" i="12" s="1"/>
  <c r="Y1211" i="12" s="1"/>
  <c r="Y1212" i="12" s="1"/>
  <c r="Y1213" i="12" s="1"/>
  <c r="Y1214" i="12" s="1"/>
  <c r="Y1215" i="12" s="1"/>
  <c r="Y1216" i="12" s="1"/>
  <c r="Y1217" i="12" s="1"/>
  <c r="Y1218" i="12" s="1"/>
  <c r="Y1219" i="12" s="1"/>
  <c r="Y1220" i="12" s="1"/>
  <c r="Y1221" i="12" s="1"/>
  <c r="Y1222" i="12" s="1"/>
  <c r="Y1223" i="12" s="1"/>
  <c r="Y1224" i="12" s="1"/>
  <c r="Y1225" i="12" s="1"/>
  <c r="Y1226" i="12" s="1"/>
  <c r="Y1227" i="12" s="1"/>
  <c r="Y1228" i="12" s="1"/>
  <c r="Y1229" i="12" s="1"/>
  <c r="Y1230" i="12" s="1"/>
  <c r="Y1231" i="12" s="1"/>
  <c r="Y1232" i="12" s="1"/>
  <c r="Y1233" i="12" s="1"/>
  <c r="Y1234" i="12" s="1"/>
  <c r="Y1235" i="12" s="1"/>
  <c r="Y1236" i="12" s="1"/>
  <c r="Y1237" i="12" s="1"/>
  <c r="Y1238" i="12" s="1"/>
  <c r="Y1239" i="12" s="1"/>
  <c r="Y1240" i="12" s="1"/>
  <c r="Y1241" i="12" s="1"/>
  <c r="Y1242" i="12" s="1"/>
  <c r="Y1243" i="12" s="1"/>
  <c r="Y1244" i="12" s="1"/>
  <c r="Y1245" i="12" s="1"/>
  <c r="Y1246" i="12" s="1"/>
  <c r="Y1247" i="12" s="1"/>
  <c r="Y1248" i="12" s="1"/>
  <c r="Y1249" i="12" s="1"/>
  <c r="Y1250" i="12" s="1"/>
  <c r="Y1251" i="12" s="1"/>
  <c r="Y1252" i="12" s="1"/>
  <c r="Y1253" i="12" s="1"/>
  <c r="Y1254" i="12" s="1"/>
  <c r="Y1255" i="12" s="1"/>
  <c r="Y1256" i="12" s="1"/>
  <c r="Y1257" i="12" s="1"/>
  <c r="Y1258" i="12" s="1"/>
  <c r="Y1259" i="12" s="1"/>
  <c r="Y1260" i="12" s="1"/>
  <c r="Y1261" i="12" s="1"/>
  <c r="Y1262" i="12" s="1"/>
  <c r="Y1263" i="12" s="1"/>
  <c r="Y1264" i="12" s="1"/>
  <c r="Y1265" i="12" s="1"/>
  <c r="Y1266" i="12" s="1"/>
  <c r="Y1267" i="12" s="1"/>
  <c r="Y1268" i="12" s="1"/>
  <c r="Y1269" i="12" s="1"/>
  <c r="Y1270" i="12" s="1"/>
  <c r="Y1271" i="12" s="1"/>
  <c r="Y1272" i="12" s="1"/>
  <c r="Y1273" i="12" s="1"/>
  <c r="Y1274" i="12" s="1"/>
  <c r="Y1275" i="12" s="1"/>
  <c r="Y1276" i="12" s="1"/>
  <c r="Y1277" i="12" s="1"/>
  <c r="Y1278" i="12" s="1"/>
  <c r="Y1279" i="12" s="1"/>
  <c r="Y1280" i="12" s="1"/>
  <c r="Y1281" i="12" s="1"/>
  <c r="Y1282" i="12" s="1"/>
  <c r="Y1283" i="12" s="1"/>
  <c r="Y1284" i="12" s="1"/>
  <c r="Y1285" i="12" s="1"/>
  <c r="Y1286" i="12" s="1"/>
  <c r="Y1287" i="12" s="1"/>
  <c r="Y1288" i="12" s="1"/>
  <c r="Y1289" i="12" s="1"/>
  <c r="Y1290" i="12" s="1"/>
  <c r="Y1291" i="12" s="1"/>
  <c r="Y1292" i="12" s="1"/>
  <c r="Y1293" i="12" s="1"/>
  <c r="Y1294" i="12" s="1"/>
  <c r="Y1295" i="12" s="1"/>
  <c r="Y1296" i="12" s="1"/>
  <c r="Y1297" i="12" s="1"/>
  <c r="Y1298" i="12" s="1"/>
  <c r="Y1299" i="12" s="1"/>
  <c r="Y1300" i="12" s="1"/>
  <c r="Y1301" i="12" s="1"/>
  <c r="Y1302" i="12" s="1"/>
  <c r="Y1303" i="12" s="1"/>
  <c r="Y1304" i="12" s="1"/>
  <c r="Y1305" i="12" s="1"/>
  <c r="Y1306" i="12" s="1"/>
  <c r="Y1307" i="12" s="1"/>
  <c r="Y1308" i="12" s="1"/>
  <c r="Y1309" i="12" s="1"/>
  <c r="Y1310" i="12" s="1"/>
  <c r="Y1311" i="12" s="1"/>
  <c r="Y1312" i="12" s="1"/>
  <c r="Y1313" i="12" s="1"/>
  <c r="Y1314" i="12" s="1"/>
  <c r="Y1315" i="12" s="1"/>
  <c r="Y1316" i="12" s="1"/>
  <c r="Y1317" i="12" s="1"/>
  <c r="Y1318" i="12" s="1"/>
  <c r="Y1319" i="12" s="1"/>
  <c r="Y1320" i="12" s="1"/>
  <c r="Y1321" i="12" s="1"/>
  <c r="Y1322" i="12" s="1"/>
  <c r="Y1323" i="12" s="1"/>
  <c r="Y1324" i="12" s="1"/>
  <c r="Y1325" i="12" s="1"/>
  <c r="Y1326" i="12" s="1"/>
  <c r="Y1327" i="12" s="1"/>
  <c r="Y1328" i="12" s="1"/>
  <c r="Y1329" i="12" s="1"/>
  <c r="Y1330" i="12" s="1"/>
  <c r="Y1331" i="12" s="1"/>
  <c r="Y1332" i="12" s="1"/>
  <c r="Y1333" i="12" s="1"/>
  <c r="Y1334" i="12" s="1"/>
  <c r="Y1335" i="12" s="1"/>
  <c r="Y1336" i="12" s="1"/>
  <c r="Y1337" i="12" s="1"/>
  <c r="Y1338" i="12" s="1"/>
  <c r="Y1339" i="12" s="1"/>
  <c r="Y1340" i="12" s="1"/>
  <c r="Y1341" i="12" s="1"/>
  <c r="Y1342" i="12" s="1"/>
  <c r="Y1343" i="12" s="1"/>
  <c r="Y1344" i="12" s="1"/>
  <c r="Y1345" i="12" s="1"/>
  <c r="Y1346" i="12" s="1"/>
  <c r="Y1347" i="12" s="1"/>
  <c r="Y1348" i="12" s="1"/>
  <c r="Y1349" i="12" s="1"/>
  <c r="Y1350" i="12" s="1"/>
  <c r="Y1351" i="12" s="1"/>
  <c r="Y1352" i="12" s="1"/>
  <c r="Y1353" i="12" s="1"/>
  <c r="Y1354" i="12" s="1"/>
  <c r="Y1355" i="12" s="1"/>
  <c r="Y1356" i="12" s="1"/>
  <c r="Y1357" i="12" s="1"/>
  <c r="Y1358" i="12" s="1"/>
  <c r="Y1359" i="12" s="1"/>
  <c r="Y1360" i="12" s="1"/>
  <c r="Y1361" i="12" s="1"/>
  <c r="Y1362" i="12" s="1"/>
  <c r="Y1363" i="12" s="1"/>
  <c r="Y1364" i="12" s="1"/>
  <c r="Y1365" i="12" s="1"/>
  <c r="Y1366" i="12" s="1"/>
  <c r="Y1367" i="12" s="1"/>
  <c r="Y1368" i="12" s="1"/>
  <c r="Y1369" i="12" s="1"/>
  <c r="Y1370" i="12" s="1"/>
  <c r="Y1371" i="12" s="1"/>
  <c r="Y1372" i="12" s="1"/>
  <c r="Y1373" i="12" s="1"/>
  <c r="Y1374" i="12" s="1"/>
  <c r="Y1375" i="12" s="1"/>
  <c r="Y1376" i="12" s="1"/>
  <c r="Y1377" i="12" s="1"/>
  <c r="Y1378" i="12" s="1"/>
  <c r="Y1379" i="12" s="1"/>
  <c r="Y1380" i="12" s="1"/>
  <c r="Y1381" i="12" s="1"/>
  <c r="Y1382" i="12" s="1"/>
  <c r="Y1383" i="12" s="1"/>
  <c r="Y1384" i="12" s="1"/>
  <c r="Y1385" i="12" s="1"/>
  <c r="Y1386" i="12" s="1"/>
  <c r="Y1387" i="12" s="1"/>
  <c r="Y1388" i="12" s="1"/>
  <c r="Y1389" i="12" s="1"/>
  <c r="Y1390" i="12" s="1"/>
  <c r="Y1391" i="12" s="1"/>
  <c r="Y1392" i="12" s="1"/>
  <c r="Y1393" i="12" s="1"/>
  <c r="Y1394" i="12" s="1"/>
  <c r="Y1395" i="12" s="1"/>
  <c r="Y1396" i="12" s="1"/>
  <c r="Y1397" i="12" s="1"/>
  <c r="Y1398" i="12" s="1"/>
  <c r="Y1399" i="12" s="1"/>
  <c r="Y1400" i="12" s="1"/>
  <c r="Y1401" i="12" s="1"/>
  <c r="Y1402" i="12" s="1"/>
  <c r="Y1403" i="12" s="1"/>
  <c r="Y1404" i="12" s="1"/>
  <c r="Y1405" i="12" s="1"/>
  <c r="Y1406" i="12" s="1"/>
  <c r="Y1407" i="12" s="1"/>
  <c r="Y1408" i="12" s="1"/>
  <c r="Y1409" i="12" s="1"/>
  <c r="Y1410" i="12" s="1"/>
  <c r="Y1411" i="12" s="1"/>
  <c r="Y1412" i="12" s="1"/>
  <c r="Y1413" i="12" s="1"/>
  <c r="Y1414" i="12" s="1"/>
  <c r="Y1415" i="12" s="1"/>
  <c r="Y1416" i="12" s="1"/>
  <c r="Y1417" i="12" s="1"/>
  <c r="Y1418" i="12" s="1"/>
  <c r="Y1419" i="12" s="1"/>
  <c r="Y1420" i="12" s="1"/>
  <c r="Y1421" i="12" s="1"/>
  <c r="Y1422" i="12" s="1"/>
  <c r="Y1423" i="12" s="1"/>
  <c r="Y1424" i="12" s="1"/>
  <c r="Y1425" i="12" s="1"/>
  <c r="Y1426" i="12" s="1"/>
  <c r="Y1427" i="12" s="1"/>
  <c r="Y1428" i="12" s="1"/>
  <c r="Y1429" i="12" s="1"/>
  <c r="Y1430" i="12" s="1"/>
  <c r="Y1431" i="12" s="1"/>
  <c r="Y1432" i="12" s="1"/>
  <c r="Y1433" i="12" s="1"/>
  <c r="Y1434" i="12" s="1"/>
  <c r="Y1435" i="12" s="1"/>
  <c r="Y1436" i="12" s="1"/>
  <c r="Y1437" i="12" s="1"/>
  <c r="Y1438" i="12" s="1"/>
  <c r="Y1439" i="12" s="1"/>
  <c r="Y1440" i="12" s="1"/>
  <c r="Y1441" i="12" s="1"/>
  <c r="Y1442" i="12" s="1"/>
  <c r="Y1443" i="12" s="1"/>
  <c r="Y1444" i="12" s="1"/>
  <c r="Y1445" i="12" s="1"/>
  <c r="Y1446" i="12" s="1"/>
  <c r="Y1447" i="12" s="1"/>
  <c r="Y1448" i="12" s="1"/>
  <c r="Y1449" i="12" s="1"/>
  <c r="Y1450" i="12" s="1"/>
  <c r="Y1451" i="12" s="1"/>
  <c r="Y1452" i="12" s="1"/>
  <c r="Y1453" i="12" s="1"/>
  <c r="Y1454" i="12" s="1"/>
  <c r="Y1455" i="12" s="1"/>
  <c r="Y1456" i="12" s="1"/>
  <c r="Y1457" i="12" s="1"/>
  <c r="Y1458" i="12" s="1"/>
  <c r="Y1459" i="12" s="1"/>
  <c r="Y1460" i="12" s="1"/>
  <c r="Y1461" i="12" s="1"/>
  <c r="Y1462" i="12" s="1"/>
  <c r="Y1463" i="12" s="1"/>
  <c r="Y1464" i="12" s="1"/>
  <c r="Y1465" i="12" s="1"/>
  <c r="Y1466" i="12" s="1"/>
  <c r="Y1467" i="12" s="1"/>
  <c r="Y1468" i="12" s="1"/>
  <c r="Y1469" i="12" s="1"/>
  <c r="Y1470" i="12" s="1"/>
  <c r="Y1471" i="12" s="1"/>
  <c r="Y1472" i="12" s="1"/>
  <c r="Y1473" i="12" s="1"/>
  <c r="Y1474" i="12" s="1"/>
  <c r="Y1475" i="12" s="1"/>
  <c r="Y1476" i="12" s="1"/>
  <c r="Y1477" i="12" s="1"/>
  <c r="Y1478" i="12" s="1"/>
  <c r="Y1479" i="12" s="1"/>
  <c r="Y1480" i="12" s="1"/>
  <c r="Y1481" i="12" s="1"/>
  <c r="Y1482" i="12" s="1"/>
  <c r="Y1483" i="12" s="1"/>
  <c r="Y1484" i="12" s="1"/>
  <c r="Y1485" i="12" s="1"/>
  <c r="Y1486" i="12" s="1"/>
  <c r="Y1487" i="12" s="1"/>
  <c r="Y1488" i="12" s="1"/>
  <c r="Y1489" i="12" s="1"/>
  <c r="Y1490" i="12" s="1"/>
  <c r="Y1491" i="12" s="1"/>
  <c r="Y1492" i="12" s="1"/>
  <c r="Y1493" i="12" s="1"/>
  <c r="Y1494" i="12" s="1"/>
  <c r="Y1495" i="12" s="1"/>
  <c r="Y1496" i="12" s="1"/>
  <c r="Y1497" i="12" s="1"/>
  <c r="Y1498" i="12" s="1"/>
  <c r="Y1499" i="12" s="1"/>
  <c r="Y1500" i="12" s="1"/>
  <c r="Z810" i="12"/>
  <c r="R65" i="4" l="1"/>
  <c r="R32" i="4"/>
  <c r="R29" i="4"/>
  <c r="R67" i="4"/>
  <c r="R42" i="4"/>
  <c r="R44" i="4"/>
  <c r="R50" i="4"/>
  <c r="R40" i="4"/>
  <c r="R30" i="4"/>
  <c r="R47" i="4"/>
  <c r="R37" i="4"/>
  <c r="R51" i="4"/>
  <c r="R18" i="4"/>
  <c r="R48" i="4"/>
  <c r="R78" i="4"/>
  <c r="R98" i="4"/>
  <c r="R88" i="4"/>
  <c r="R38" i="4"/>
  <c r="R31" i="4"/>
  <c r="R25" i="4"/>
  <c r="R70" i="4"/>
  <c r="R23" i="4"/>
  <c r="R58" i="4"/>
  <c r="R61" i="4"/>
  <c r="R52" i="4"/>
  <c r="R90" i="4"/>
  <c r="R39" i="4"/>
  <c r="R97" i="4"/>
  <c r="R22" i="4"/>
  <c r="R80" i="4"/>
  <c r="R57" i="4"/>
  <c r="R24" i="4"/>
  <c r="R82" i="4"/>
  <c r="R92" i="4"/>
  <c r="R43" i="4"/>
  <c r="R63" i="4"/>
  <c r="R60" i="4"/>
  <c r="R72" i="4"/>
  <c r="R28" i="4"/>
  <c r="R55" i="4"/>
  <c r="R56" i="4"/>
  <c r="R59" i="4"/>
  <c r="R83" i="4"/>
  <c r="R66" i="4"/>
  <c r="R62" i="4"/>
  <c r="R87" i="4"/>
  <c r="R68" i="4"/>
  <c r="R91" i="4"/>
  <c r="R85" i="4"/>
  <c r="R96" i="4"/>
  <c r="R33" i="4"/>
  <c r="R34" i="4"/>
  <c r="R41" i="4"/>
  <c r="R71" i="4"/>
  <c r="R35" i="4"/>
  <c r="R95" i="4"/>
  <c r="R45" i="4"/>
  <c r="R21" i="4"/>
  <c r="R69" i="4"/>
  <c r="R89" i="4"/>
  <c r="R84" i="4"/>
  <c r="R77" i="4"/>
  <c r="R26" i="4"/>
  <c r="R46" i="4"/>
  <c r="R73" i="4"/>
  <c r="R49" i="4"/>
  <c r="R93" i="4"/>
  <c r="R74" i="4"/>
  <c r="R86" i="4"/>
  <c r="R53" i="4"/>
  <c r="R27" i="4"/>
  <c r="R20" i="4"/>
  <c r="R36" i="4"/>
  <c r="R81" i="4"/>
  <c r="R75" i="4"/>
  <c r="R94" i="4"/>
  <c r="R76" i="4"/>
  <c r="R64" i="4"/>
  <c r="R19" i="4"/>
  <c r="R54" i="4"/>
  <c r="R79" i="4"/>
  <c r="C45" i="4" l="1"/>
  <c r="B45" i="4"/>
  <c r="E45" i="4"/>
  <c r="H45" i="4"/>
  <c r="G45" i="4"/>
  <c r="J45" i="4"/>
  <c r="M45" i="4"/>
  <c r="I45" i="4"/>
  <c r="H48" i="4"/>
  <c r="G48" i="4"/>
  <c r="E48" i="4"/>
  <c r="M48" i="4"/>
  <c r="B48" i="4"/>
  <c r="J48" i="4"/>
  <c r="I48" i="4"/>
  <c r="C48" i="4"/>
  <c r="B82" i="4"/>
  <c r="J82" i="4"/>
  <c r="I82" i="4"/>
  <c r="C82" i="4"/>
  <c r="G82" i="4"/>
  <c r="M82" i="4"/>
  <c r="H82" i="4"/>
  <c r="E82" i="4"/>
  <c r="J18" i="4"/>
  <c r="C18" i="4"/>
  <c r="I18" i="4"/>
  <c r="H18" i="4"/>
  <c r="M18" i="4"/>
  <c r="G18" i="4"/>
  <c r="B18" i="4"/>
  <c r="E18" i="4"/>
  <c r="B54" i="4"/>
  <c r="E54" i="4"/>
  <c r="J54" i="4"/>
  <c r="G54" i="4"/>
  <c r="I54" i="4"/>
  <c r="H54" i="4"/>
  <c r="C54" i="4"/>
  <c r="M54" i="4"/>
  <c r="M35" i="4"/>
  <c r="I35" i="4"/>
  <c r="H35" i="4"/>
  <c r="E35" i="4"/>
  <c r="G35" i="4"/>
  <c r="B35" i="4"/>
  <c r="J35" i="4"/>
  <c r="C35" i="4"/>
  <c r="E51" i="4"/>
  <c r="M51" i="4"/>
  <c r="H51" i="4"/>
  <c r="J51" i="4"/>
  <c r="I51" i="4"/>
  <c r="C51" i="4"/>
  <c r="G51" i="4"/>
  <c r="B51" i="4"/>
  <c r="M64" i="4"/>
  <c r="C64" i="4"/>
  <c r="B64" i="4"/>
  <c r="E64" i="4"/>
  <c r="J64" i="4"/>
  <c r="I64" i="4"/>
  <c r="H64" i="4"/>
  <c r="G64" i="4"/>
  <c r="C33" i="4"/>
  <c r="B33" i="4"/>
  <c r="H33" i="4"/>
  <c r="E33" i="4"/>
  <c r="I33" i="4"/>
  <c r="G33" i="4"/>
  <c r="J33" i="4"/>
  <c r="M33" i="4"/>
  <c r="G57" i="4"/>
  <c r="C57" i="4"/>
  <c r="B57" i="4"/>
  <c r="E57" i="4"/>
  <c r="J57" i="4"/>
  <c r="I57" i="4"/>
  <c r="H57" i="4"/>
  <c r="M57" i="4"/>
  <c r="G37" i="4"/>
  <c r="C37" i="4"/>
  <c r="J37" i="4"/>
  <c r="M37" i="4"/>
  <c r="E37" i="4"/>
  <c r="I37" i="4"/>
  <c r="H37" i="4"/>
  <c r="B37" i="4"/>
  <c r="C21" i="4"/>
  <c r="B21" i="4"/>
  <c r="J21" i="4"/>
  <c r="I21" i="4"/>
  <c r="G21" i="4"/>
  <c r="H21" i="4"/>
  <c r="E21" i="4"/>
  <c r="M21" i="4"/>
  <c r="E96" i="4"/>
  <c r="I96" i="4"/>
  <c r="M96" i="4"/>
  <c r="B96" i="4"/>
  <c r="J96" i="4"/>
  <c r="H96" i="4"/>
  <c r="G96" i="4"/>
  <c r="C96" i="4"/>
  <c r="H80" i="4"/>
  <c r="M80" i="4"/>
  <c r="G80" i="4"/>
  <c r="J80" i="4"/>
  <c r="I80" i="4"/>
  <c r="E80" i="4"/>
  <c r="C80" i="4"/>
  <c r="B80" i="4"/>
  <c r="M47" i="4"/>
  <c r="H47" i="4"/>
  <c r="E47" i="4"/>
  <c r="G47" i="4"/>
  <c r="C47" i="4"/>
  <c r="B47" i="4"/>
  <c r="J47" i="4"/>
  <c r="I47" i="4"/>
  <c r="J78" i="4"/>
  <c r="I78" i="4"/>
  <c r="B78" i="4"/>
  <c r="C78" i="4"/>
  <c r="H78" i="4"/>
  <c r="G78" i="4"/>
  <c r="M78" i="4"/>
  <c r="E78" i="4"/>
  <c r="M27" i="4"/>
  <c r="C27" i="4"/>
  <c r="I27" i="4"/>
  <c r="J27" i="4"/>
  <c r="H27" i="4"/>
  <c r="G27" i="4"/>
  <c r="E27" i="4"/>
  <c r="B27" i="4"/>
  <c r="M39" i="4"/>
  <c r="H39" i="4"/>
  <c r="J39" i="4"/>
  <c r="E39" i="4"/>
  <c r="G39" i="4"/>
  <c r="C39" i="4"/>
  <c r="I39" i="4"/>
  <c r="B39" i="4"/>
  <c r="C50" i="4"/>
  <c r="H50" i="4"/>
  <c r="B50" i="4"/>
  <c r="E50" i="4"/>
  <c r="I50" i="4"/>
  <c r="G50" i="4"/>
  <c r="J50" i="4"/>
  <c r="M50" i="4"/>
  <c r="J38" i="4"/>
  <c r="C38" i="4"/>
  <c r="E38" i="4"/>
  <c r="B38" i="4"/>
  <c r="M38" i="4"/>
  <c r="H38" i="4"/>
  <c r="G38" i="4"/>
  <c r="I38" i="4"/>
  <c r="C85" i="4"/>
  <c r="H85" i="4"/>
  <c r="E85" i="4"/>
  <c r="B85" i="4"/>
  <c r="G85" i="4"/>
  <c r="M85" i="4"/>
  <c r="J85" i="4"/>
  <c r="I85" i="4"/>
  <c r="I90" i="4"/>
  <c r="G90" i="4"/>
  <c r="B90" i="4"/>
  <c r="J90" i="4"/>
  <c r="M90" i="4"/>
  <c r="H90" i="4"/>
  <c r="E90" i="4"/>
  <c r="C90" i="4"/>
  <c r="G44" i="4"/>
  <c r="B44" i="4"/>
  <c r="M44" i="4"/>
  <c r="H44" i="4"/>
  <c r="J44" i="4"/>
  <c r="I44" i="4"/>
  <c r="C44" i="4"/>
  <c r="E44" i="4"/>
  <c r="G19" i="4"/>
  <c r="H19" i="4"/>
  <c r="C19" i="4"/>
  <c r="E19" i="4"/>
  <c r="B19" i="4"/>
  <c r="J19" i="4"/>
  <c r="M19" i="4"/>
  <c r="I19" i="4"/>
  <c r="M76" i="4"/>
  <c r="G76" i="4"/>
  <c r="B76" i="4"/>
  <c r="H76" i="4"/>
  <c r="C76" i="4"/>
  <c r="E76" i="4"/>
  <c r="I76" i="4"/>
  <c r="J76" i="4"/>
  <c r="I63" i="4"/>
  <c r="E63" i="4"/>
  <c r="M63" i="4"/>
  <c r="B63" i="4"/>
  <c r="J63" i="4"/>
  <c r="H63" i="4"/>
  <c r="G63" i="4"/>
  <c r="C63" i="4"/>
  <c r="E71" i="4"/>
  <c r="I71" i="4"/>
  <c r="C71" i="4"/>
  <c r="B71" i="4"/>
  <c r="M71" i="4"/>
  <c r="H71" i="4"/>
  <c r="G71" i="4"/>
  <c r="J71" i="4"/>
  <c r="H20" i="4"/>
  <c r="I20" i="4"/>
  <c r="B20" i="4"/>
  <c r="G20" i="4"/>
  <c r="J20" i="4"/>
  <c r="C20" i="4"/>
  <c r="E20" i="4"/>
  <c r="M20" i="4"/>
  <c r="B74" i="4"/>
  <c r="C74" i="4"/>
  <c r="H74" i="4"/>
  <c r="J74" i="4"/>
  <c r="I74" i="4"/>
  <c r="G74" i="4"/>
  <c r="E74" i="4"/>
  <c r="M74" i="4"/>
  <c r="M68" i="4"/>
  <c r="G68" i="4"/>
  <c r="I68" i="4"/>
  <c r="J68" i="4"/>
  <c r="H68" i="4"/>
  <c r="E68" i="4"/>
  <c r="C68" i="4"/>
  <c r="B68" i="4"/>
  <c r="B42" i="4"/>
  <c r="E42" i="4"/>
  <c r="M42" i="4"/>
  <c r="J42" i="4"/>
  <c r="H42" i="4"/>
  <c r="I42" i="4"/>
  <c r="G42" i="4"/>
  <c r="C42" i="4"/>
  <c r="M55" i="4"/>
  <c r="I55" i="4"/>
  <c r="E55" i="4"/>
  <c r="B55" i="4"/>
  <c r="J55" i="4"/>
  <c r="H55" i="4"/>
  <c r="G55" i="4"/>
  <c r="C55" i="4"/>
  <c r="E31" i="4"/>
  <c r="G31" i="4"/>
  <c r="H31" i="4"/>
  <c r="B31" i="4"/>
  <c r="C31" i="4"/>
  <c r="J31" i="4"/>
  <c r="I31" i="4"/>
  <c r="M31" i="4"/>
  <c r="B94" i="4"/>
  <c r="J94" i="4"/>
  <c r="I94" i="4"/>
  <c r="H94" i="4"/>
  <c r="G94" i="4"/>
  <c r="M94" i="4"/>
  <c r="E94" i="4"/>
  <c r="C94" i="4"/>
  <c r="M75" i="4"/>
  <c r="I75" i="4"/>
  <c r="G75" i="4"/>
  <c r="H75" i="4"/>
  <c r="E75" i="4"/>
  <c r="J75" i="4"/>
  <c r="C75" i="4"/>
  <c r="B75" i="4"/>
  <c r="I41" i="4"/>
  <c r="H41" i="4"/>
  <c r="B41" i="4"/>
  <c r="J41" i="4"/>
  <c r="G41" i="4"/>
  <c r="M41" i="4"/>
  <c r="C41" i="4"/>
  <c r="E41" i="4"/>
  <c r="J86" i="4"/>
  <c r="B86" i="4"/>
  <c r="H86" i="4"/>
  <c r="G86" i="4"/>
  <c r="C86" i="4"/>
  <c r="M86" i="4"/>
  <c r="I86" i="4"/>
  <c r="E86" i="4"/>
  <c r="G97" i="4"/>
  <c r="C97" i="4"/>
  <c r="H97" i="4"/>
  <c r="M97" i="4"/>
  <c r="B97" i="4"/>
  <c r="J97" i="4"/>
  <c r="I97" i="4"/>
  <c r="E97" i="4"/>
  <c r="M87" i="4"/>
  <c r="J87" i="4"/>
  <c r="H87" i="4"/>
  <c r="C87" i="4"/>
  <c r="G87" i="4"/>
  <c r="E87" i="4"/>
  <c r="B87" i="4"/>
  <c r="I87" i="4"/>
  <c r="B62" i="4"/>
  <c r="C62" i="4"/>
  <c r="G62" i="4"/>
  <c r="M62" i="4"/>
  <c r="E62" i="4"/>
  <c r="I62" i="4"/>
  <c r="J62" i="4"/>
  <c r="H62" i="4"/>
  <c r="J66" i="4"/>
  <c r="E66" i="4"/>
  <c r="G66" i="4"/>
  <c r="C66" i="4"/>
  <c r="B66" i="4"/>
  <c r="I66" i="4"/>
  <c r="H66" i="4"/>
  <c r="M66" i="4"/>
  <c r="H61" i="4"/>
  <c r="B61" i="4"/>
  <c r="J61" i="4"/>
  <c r="G61" i="4"/>
  <c r="I61" i="4"/>
  <c r="E61" i="4"/>
  <c r="C61" i="4"/>
  <c r="M61" i="4"/>
  <c r="M67" i="4"/>
  <c r="E67" i="4"/>
  <c r="G67" i="4"/>
  <c r="B67" i="4"/>
  <c r="J67" i="4"/>
  <c r="I67" i="4"/>
  <c r="C67" i="4"/>
  <c r="H67" i="4"/>
  <c r="G69" i="4"/>
  <c r="H69" i="4"/>
  <c r="J69" i="4"/>
  <c r="I69" i="4"/>
  <c r="C69" i="4"/>
  <c r="M69" i="4"/>
  <c r="E69" i="4"/>
  <c r="B69" i="4"/>
  <c r="M88" i="4"/>
  <c r="H88" i="4"/>
  <c r="I88" i="4"/>
  <c r="E88" i="4"/>
  <c r="B88" i="4"/>
  <c r="J88" i="4"/>
  <c r="G88" i="4"/>
  <c r="C88" i="4"/>
  <c r="J98" i="4"/>
  <c r="B98" i="4"/>
  <c r="H98" i="4"/>
  <c r="E98" i="4"/>
  <c r="C98" i="4"/>
  <c r="M98" i="4"/>
  <c r="I98" i="4"/>
  <c r="G98" i="4"/>
  <c r="H92" i="4"/>
  <c r="M92" i="4"/>
  <c r="E92" i="4"/>
  <c r="G92" i="4"/>
  <c r="C92" i="4"/>
  <c r="J92" i="4"/>
  <c r="I92" i="4"/>
  <c r="B92" i="4"/>
  <c r="H24" i="4"/>
  <c r="G24" i="4"/>
  <c r="C24" i="4"/>
  <c r="B24" i="4"/>
  <c r="M24" i="4"/>
  <c r="I24" i="4"/>
  <c r="J24" i="4"/>
  <c r="E24" i="4"/>
  <c r="B22" i="4"/>
  <c r="E22" i="4"/>
  <c r="C22" i="4"/>
  <c r="I22" i="4"/>
  <c r="H22" i="4"/>
  <c r="M22" i="4"/>
  <c r="G22" i="4"/>
  <c r="J22" i="4"/>
  <c r="H40" i="4"/>
  <c r="E40" i="4"/>
  <c r="J40" i="4"/>
  <c r="I40" i="4"/>
  <c r="G40" i="4"/>
  <c r="C40" i="4"/>
  <c r="B40" i="4"/>
  <c r="M40" i="4"/>
  <c r="G49" i="4"/>
  <c r="I49" i="4"/>
  <c r="M49" i="4"/>
  <c r="J49" i="4"/>
  <c r="H49" i="4"/>
  <c r="C49" i="4"/>
  <c r="E49" i="4"/>
  <c r="B49" i="4"/>
  <c r="H52" i="4"/>
  <c r="E52" i="4"/>
  <c r="I52" i="4"/>
  <c r="B52" i="4"/>
  <c r="C52" i="4"/>
  <c r="M52" i="4"/>
  <c r="G52" i="4"/>
  <c r="J52" i="4"/>
  <c r="J26" i="4"/>
  <c r="C26" i="4"/>
  <c r="B26" i="4"/>
  <c r="M26" i="4"/>
  <c r="H26" i="4"/>
  <c r="G26" i="4"/>
  <c r="E26" i="4"/>
  <c r="I26" i="4"/>
  <c r="I83" i="4"/>
  <c r="E83" i="4"/>
  <c r="H83" i="4"/>
  <c r="G83" i="4"/>
  <c r="B83" i="4"/>
  <c r="C83" i="4"/>
  <c r="M83" i="4"/>
  <c r="J83" i="4"/>
  <c r="J58" i="4"/>
  <c r="I58" i="4"/>
  <c r="C58" i="4"/>
  <c r="E58" i="4"/>
  <c r="H58" i="4"/>
  <c r="M58" i="4"/>
  <c r="G58" i="4"/>
  <c r="B58" i="4"/>
  <c r="G29" i="4"/>
  <c r="J29" i="4"/>
  <c r="I29" i="4"/>
  <c r="B29" i="4"/>
  <c r="E29" i="4"/>
  <c r="C29" i="4"/>
  <c r="M29" i="4"/>
  <c r="H29" i="4"/>
  <c r="C25" i="4"/>
  <c r="J25" i="4"/>
  <c r="B25" i="4"/>
  <c r="I25" i="4"/>
  <c r="M25" i="4"/>
  <c r="H25" i="4"/>
  <c r="G25" i="4"/>
  <c r="E25" i="4"/>
  <c r="H72" i="4"/>
  <c r="E72" i="4"/>
  <c r="G72" i="4"/>
  <c r="M72" i="4"/>
  <c r="B72" i="4"/>
  <c r="C72" i="4"/>
  <c r="J72" i="4"/>
  <c r="I72" i="4"/>
  <c r="M95" i="4"/>
  <c r="I95" i="4"/>
  <c r="J95" i="4"/>
  <c r="C95" i="4"/>
  <c r="E95" i="4"/>
  <c r="B95" i="4"/>
  <c r="H95" i="4"/>
  <c r="G95" i="4"/>
  <c r="I81" i="4"/>
  <c r="M81" i="4"/>
  <c r="J81" i="4"/>
  <c r="H81" i="4"/>
  <c r="G81" i="4"/>
  <c r="C81" i="4"/>
  <c r="E81" i="4"/>
  <c r="B81" i="4"/>
  <c r="B34" i="4"/>
  <c r="C34" i="4"/>
  <c r="J34" i="4"/>
  <c r="I34" i="4"/>
  <c r="M34" i="4"/>
  <c r="H34" i="4"/>
  <c r="G34" i="4"/>
  <c r="E34" i="4"/>
  <c r="M30" i="4"/>
  <c r="J30" i="4"/>
  <c r="I30" i="4"/>
  <c r="H30" i="4"/>
  <c r="G30" i="4"/>
  <c r="B30" i="4"/>
  <c r="C30" i="4"/>
  <c r="E30" i="4"/>
  <c r="H93" i="4"/>
  <c r="C93" i="4"/>
  <c r="M93" i="4"/>
  <c r="B93" i="4"/>
  <c r="G93" i="4"/>
  <c r="J93" i="4"/>
  <c r="E93" i="4"/>
  <c r="I93" i="4"/>
  <c r="H73" i="4"/>
  <c r="J73" i="4"/>
  <c r="G73" i="4"/>
  <c r="E73" i="4"/>
  <c r="C73" i="4"/>
  <c r="B73" i="4"/>
  <c r="M73" i="4"/>
  <c r="I73" i="4"/>
  <c r="J46" i="4"/>
  <c r="C46" i="4"/>
  <c r="B46" i="4"/>
  <c r="H46" i="4"/>
  <c r="E46" i="4"/>
  <c r="I46" i="4"/>
  <c r="G46" i="4"/>
  <c r="M46" i="4"/>
  <c r="G77" i="4"/>
  <c r="C77" i="4"/>
  <c r="I77" i="4"/>
  <c r="H77" i="4"/>
  <c r="M77" i="4"/>
  <c r="E77" i="4"/>
  <c r="J77" i="4"/>
  <c r="B77" i="4"/>
  <c r="B59" i="4"/>
  <c r="G59" i="4"/>
  <c r="E59" i="4"/>
  <c r="C59" i="4"/>
  <c r="J59" i="4"/>
  <c r="I59" i="4"/>
  <c r="H59" i="4"/>
  <c r="M59" i="4"/>
  <c r="I23" i="4"/>
  <c r="E23" i="4"/>
  <c r="M23" i="4"/>
  <c r="J23" i="4"/>
  <c r="H23" i="4"/>
  <c r="G23" i="4"/>
  <c r="B23" i="4"/>
  <c r="C23" i="4"/>
  <c r="H32" i="4"/>
  <c r="G32" i="4"/>
  <c r="C32" i="4"/>
  <c r="J32" i="4"/>
  <c r="M32" i="4"/>
  <c r="E32" i="4"/>
  <c r="B32" i="4"/>
  <c r="I32" i="4"/>
  <c r="G89" i="4"/>
  <c r="H89" i="4"/>
  <c r="B89" i="4"/>
  <c r="M89" i="4"/>
  <c r="J89" i="4"/>
  <c r="I89" i="4"/>
  <c r="E89" i="4"/>
  <c r="C89" i="4"/>
  <c r="E28" i="4"/>
  <c r="M28" i="4"/>
  <c r="I28" i="4"/>
  <c r="H28" i="4"/>
  <c r="B28" i="4"/>
  <c r="J28" i="4"/>
  <c r="G28" i="4"/>
  <c r="C28" i="4"/>
  <c r="H60" i="4"/>
  <c r="G60" i="4"/>
  <c r="E60" i="4"/>
  <c r="J60" i="4"/>
  <c r="M60" i="4"/>
  <c r="C60" i="4"/>
  <c r="B60" i="4"/>
  <c r="I60" i="4"/>
  <c r="I43" i="4"/>
  <c r="E43" i="4"/>
  <c r="H43" i="4"/>
  <c r="M43" i="4"/>
  <c r="J43" i="4"/>
  <c r="G43" i="4"/>
  <c r="C43" i="4"/>
  <c r="B43" i="4"/>
  <c r="H36" i="4"/>
  <c r="G36" i="4"/>
  <c r="J36" i="4"/>
  <c r="I36" i="4"/>
  <c r="B36" i="4"/>
  <c r="E36" i="4"/>
  <c r="C36" i="4"/>
  <c r="M36" i="4"/>
  <c r="I53" i="4"/>
  <c r="H53" i="4"/>
  <c r="B53" i="4"/>
  <c r="M53" i="4"/>
  <c r="G53" i="4"/>
  <c r="E53" i="4"/>
  <c r="C53" i="4"/>
  <c r="J53" i="4"/>
  <c r="E91" i="4"/>
  <c r="C91" i="4"/>
  <c r="G91" i="4"/>
  <c r="M91" i="4"/>
  <c r="I91" i="4"/>
  <c r="B91" i="4"/>
  <c r="J91" i="4"/>
  <c r="H91" i="4"/>
  <c r="E79" i="4"/>
  <c r="J79" i="4"/>
  <c r="M79" i="4"/>
  <c r="G79" i="4"/>
  <c r="C79" i="4"/>
  <c r="B79" i="4"/>
  <c r="H79" i="4"/>
  <c r="I79" i="4"/>
  <c r="E84" i="4"/>
  <c r="H84" i="4"/>
  <c r="I84" i="4"/>
  <c r="M84" i="4"/>
  <c r="J84" i="4"/>
  <c r="B84" i="4"/>
  <c r="C84" i="4"/>
  <c r="G84" i="4"/>
  <c r="M56" i="4"/>
  <c r="G56" i="4"/>
  <c r="E56" i="4"/>
  <c r="H56" i="4"/>
  <c r="J56" i="4"/>
  <c r="C56" i="4"/>
  <c r="I56" i="4"/>
  <c r="B56" i="4"/>
  <c r="J70" i="4"/>
  <c r="I70" i="4"/>
  <c r="C70" i="4"/>
  <c r="E70" i="4"/>
  <c r="M70" i="4"/>
  <c r="H70" i="4"/>
  <c r="G70" i="4"/>
  <c r="B70" i="4"/>
  <c r="C65" i="4"/>
  <c r="I65" i="4"/>
  <c r="H65" i="4"/>
  <c r="E65" i="4"/>
  <c r="M65" i="4"/>
  <c r="B65" i="4"/>
  <c r="J65" i="4"/>
  <c r="G65" i="4"/>
  <c r="D68" i="4" l="1"/>
  <c r="F68" i="4"/>
  <c r="K68" i="4"/>
  <c r="L68" i="4"/>
  <c r="F54" i="4"/>
  <c r="K54" i="4"/>
  <c r="L54" i="4"/>
  <c r="D54" i="4"/>
  <c r="D76" i="4"/>
  <c r="F76" i="4"/>
  <c r="L76" i="4"/>
  <c r="K76" i="4"/>
  <c r="L47" i="4"/>
  <c r="F47" i="4"/>
  <c r="D47" i="4"/>
  <c r="K47" i="4"/>
  <c r="D55" i="4"/>
  <c r="L55" i="4"/>
  <c r="K55" i="4"/>
  <c r="F55" i="4"/>
  <c r="D90" i="4"/>
  <c r="K90" i="4"/>
  <c r="F90" i="4"/>
  <c r="L90" i="4"/>
  <c r="D48" i="4"/>
  <c r="F48" i="4"/>
  <c r="L48" i="4"/>
  <c r="K48" i="4"/>
  <c r="F70" i="4"/>
  <c r="L70" i="4"/>
  <c r="K70" i="4"/>
  <c r="D70" i="4"/>
  <c r="K30" i="4"/>
  <c r="D30" i="4"/>
  <c r="L30" i="4"/>
  <c r="F30" i="4"/>
  <c r="K58" i="4"/>
  <c r="L58" i="4"/>
  <c r="F58" i="4"/>
  <c r="D58" i="4"/>
  <c r="K61" i="4"/>
  <c r="F61" i="4"/>
  <c r="D61" i="4"/>
  <c r="L61" i="4"/>
  <c r="K89" i="4"/>
  <c r="F89" i="4"/>
  <c r="L89" i="4"/>
  <c r="D89" i="4"/>
  <c r="D57" i="4"/>
  <c r="L57" i="4"/>
  <c r="F57" i="4"/>
  <c r="K57" i="4"/>
  <c r="L51" i="4"/>
  <c r="F51" i="4"/>
  <c r="K51" i="4"/>
  <c r="D51" i="4"/>
  <c r="L53" i="4"/>
  <c r="F53" i="4"/>
  <c r="D53" i="4"/>
  <c r="K53" i="4"/>
  <c r="K24" i="4"/>
  <c r="L24" i="4" s="1"/>
  <c r="D24" i="4"/>
  <c r="F24" i="4"/>
  <c r="L75" i="4"/>
  <c r="K75" i="4"/>
  <c r="D75" i="4"/>
  <c r="F75" i="4"/>
  <c r="D40" i="4"/>
  <c r="F40" i="4"/>
  <c r="L40" i="4"/>
  <c r="K40" i="4"/>
  <c r="D38" i="4"/>
  <c r="F38" i="4"/>
  <c r="L38" i="4"/>
  <c r="K38" i="4"/>
  <c r="D79" i="4"/>
  <c r="K79" i="4"/>
  <c r="L79" i="4"/>
  <c r="F79" i="4"/>
  <c r="D36" i="4"/>
  <c r="F36" i="4"/>
  <c r="L36" i="4"/>
  <c r="K36" i="4"/>
  <c r="L71" i="4"/>
  <c r="F71" i="4"/>
  <c r="D71" i="4"/>
  <c r="K71" i="4"/>
  <c r="D80" i="4"/>
  <c r="F80" i="4"/>
  <c r="L80" i="4"/>
  <c r="K80" i="4"/>
  <c r="K56" i="4"/>
  <c r="L56" i="4"/>
  <c r="F56" i="4"/>
  <c r="D56" i="4"/>
  <c r="L83" i="4"/>
  <c r="K83" i="4"/>
  <c r="F83" i="4"/>
  <c r="D83" i="4"/>
  <c r="F27" i="4"/>
  <c r="D27" i="4"/>
  <c r="K27" i="4"/>
  <c r="L27" i="4" s="1"/>
  <c r="F46" i="4"/>
  <c r="L46" i="4"/>
  <c r="K46" i="4"/>
  <c r="D46" i="4"/>
  <c r="K21" i="4"/>
  <c r="L21" i="4" s="1"/>
  <c r="F21" i="4"/>
  <c r="D21" i="4"/>
  <c r="D28" i="4"/>
  <c r="K28" i="4"/>
  <c r="L28" i="4" s="1"/>
  <c r="F28" i="4"/>
  <c r="K95" i="4"/>
  <c r="D95" i="4"/>
  <c r="F95" i="4"/>
  <c r="L95" i="4"/>
  <c r="K87" i="4"/>
  <c r="D87" i="4"/>
  <c r="F87" i="4"/>
  <c r="L87" i="4"/>
  <c r="K42" i="4"/>
  <c r="D42" i="4"/>
  <c r="L42" i="4"/>
  <c r="F42" i="4"/>
  <c r="L63" i="4"/>
  <c r="D63" i="4"/>
  <c r="F63" i="4"/>
  <c r="K63" i="4"/>
  <c r="L35" i="4"/>
  <c r="K35" i="4"/>
  <c r="F35" i="4"/>
  <c r="D35" i="4"/>
  <c r="D93" i="4"/>
  <c r="K93" i="4"/>
  <c r="F93" i="4"/>
  <c r="L93" i="4"/>
  <c r="K29" i="4"/>
  <c r="D29" i="4"/>
  <c r="F29" i="4"/>
  <c r="L29" i="4"/>
  <c r="K49" i="4"/>
  <c r="F49" i="4"/>
  <c r="L49" i="4"/>
  <c r="D49" i="4"/>
  <c r="F74" i="4"/>
  <c r="K74" i="4"/>
  <c r="L74" i="4"/>
  <c r="D74" i="4"/>
  <c r="F18" i="4"/>
  <c r="K18" i="4"/>
  <c r="L18" i="4" s="1"/>
  <c r="D18" i="4"/>
  <c r="F26" i="4"/>
  <c r="D26" i="4"/>
  <c r="K26" i="4"/>
  <c r="L26" i="4" s="1"/>
  <c r="L52" i="4"/>
  <c r="D52" i="4"/>
  <c r="F52" i="4"/>
  <c r="K52" i="4"/>
  <c r="K22" i="4"/>
  <c r="L22" i="4" s="1"/>
  <c r="F22" i="4"/>
  <c r="D22" i="4"/>
  <c r="K98" i="4"/>
  <c r="F98" i="4"/>
  <c r="D98" i="4"/>
  <c r="L98" i="4"/>
  <c r="D50" i="4"/>
  <c r="F50" i="4"/>
  <c r="L50" i="4"/>
  <c r="K50" i="4"/>
  <c r="F33" i="4"/>
  <c r="D33" i="4"/>
  <c r="K33" i="4"/>
  <c r="L33" i="4"/>
  <c r="F97" i="4"/>
  <c r="K97" i="4"/>
  <c r="L97" i="4"/>
  <c r="D97" i="4"/>
  <c r="L64" i="4"/>
  <c r="F64" i="4"/>
  <c r="K64" i="4"/>
  <c r="D64" i="4"/>
  <c r="D60" i="4"/>
  <c r="F60" i="4"/>
  <c r="L60" i="4"/>
  <c r="K60" i="4"/>
  <c r="F86" i="4"/>
  <c r="K86" i="4"/>
  <c r="D86" i="4"/>
  <c r="L86" i="4"/>
  <c r="F94" i="4"/>
  <c r="D94" i="4"/>
  <c r="L94" i="4"/>
  <c r="K94" i="4"/>
  <c r="F73" i="4"/>
  <c r="D73" i="4"/>
  <c r="L73" i="4"/>
  <c r="K73" i="4"/>
  <c r="K69" i="4"/>
  <c r="D69" i="4"/>
  <c r="F69" i="4"/>
  <c r="L69" i="4"/>
  <c r="F78" i="4"/>
  <c r="D78" i="4"/>
  <c r="L78" i="4"/>
  <c r="K78" i="4"/>
  <c r="L84" i="4"/>
  <c r="F84" i="4"/>
  <c r="D84" i="4"/>
  <c r="K84" i="4"/>
  <c r="F43" i="4"/>
  <c r="D43" i="4"/>
  <c r="L43" i="4"/>
  <c r="K43" i="4"/>
  <c r="D67" i="4"/>
  <c r="K67" i="4"/>
  <c r="F67" i="4"/>
  <c r="L67" i="4"/>
  <c r="L44" i="4"/>
  <c r="D44" i="4"/>
  <c r="K44" i="4"/>
  <c r="F44" i="4"/>
  <c r="D88" i="4"/>
  <c r="L88" i="4"/>
  <c r="K88" i="4"/>
  <c r="F88" i="4"/>
  <c r="D82" i="4"/>
  <c r="L82" i="4"/>
  <c r="K82" i="4"/>
  <c r="F82" i="4"/>
  <c r="L92" i="4"/>
  <c r="K92" i="4"/>
  <c r="F92" i="4"/>
  <c r="D92" i="4"/>
  <c r="K25" i="4"/>
  <c r="L25" i="4" s="1"/>
  <c r="F25" i="4"/>
  <c r="D25" i="4"/>
  <c r="K32" i="4"/>
  <c r="L32" i="4" s="1"/>
  <c r="F32" i="4"/>
  <c r="D32" i="4"/>
  <c r="K41" i="4"/>
  <c r="L41" i="4"/>
  <c r="F41" i="4"/>
  <c r="D41" i="4"/>
  <c r="D91" i="4"/>
  <c r="L91" i="4"/>
  <c r="F91" i="4"/>
  <c r="K91" i="4"/>
  <c r="K77" i="4"/>
  <c r="L77" i="4"/>
  <c r="F77" i="4"/>
  <c r="D77" i="4"/>
  <c r="F34" i="4"/>
  <c r="L34" i="4"/>
  <c r="K34" i="4"/>
  <c r="D34" i="4"/>
  <c r="L72" i="4"/>
  <c r="F72" i="4"/>
  <c r="K72" i="4"/>
  <c r="D72" i="4"/>
  <c r="D20" i="4"/>
  <c r="K20" i="4"/>
  <c r="L20" i="4" s="1"/>
  <c r="F20" i="4"/>
  <c r="L39" i="4"/>
  <c r="F39" i="4"/>
  <c r="K39" i="4"/>
  <c r="D39" i="4"/>
  <c r="K37" i="4"/>
  <c r="F37" i="4"/>
  <c r="L37" i="4"/>
  <c r="D37" i="4"/>
  <c r="K81" i="4"/>
  <c r="L81" i="4"/>
  <c r="F81" i="4"/>
  <c r="D81" i="4"/>
  <c r="D62" i="4"/>
  <c r="L62" i="4"/>
  <c r="F62" i="4"/>
  <c r="K62" i="4"/>
  <c r="L59" i="4"/>
  <c r="D59" i="4"/>
  <c r="F59" i="4"/>
  <c r="K59" i="4"/>
  <c r="F19" i="4"/>
  <c r="D19" i="4"/>
  <c r="K19" i="4"/>
  <c r="L19" i="4" s="1"/>
  <c r="F23" i="4"/>
  <c r="K23" i="4"/>
  <c r="L23" i="4" s="1"/>
  <c r="D23" i="4"/>
  <c r="F66" i="4"/>
  <c r="K66" i="4"/>
  <c r="D66" i="4"/>
  <c r="L66" i="4"/>
  <c r="F96" i="4"/>
  <c r="D96" i="4"/>
  <c r="K96" i="4"/>
  <c r="L96" i="4"/>
  <c r="K65" i="4"/>
  <c r="L65" i="4"/>
  <c r="F65" i="4"/>
  <c r="D65" i="4"/>
  <c r="F31" i="4"/>
  <c r="K31" i="4"/>
  <c r="L31" i="4" s="1"/>
  <c r="D31" i="4"/>
  <c r="D85" i="4"/>
  <c r="L85" i="4"/>
  <c r="F85" i="4"/>
  <c r="K85" i="4"/>
  <c r="L45" i="4"/>
  <c r="F45" i="4"/>
  <c r="D45" i="4"/>
  <c r="K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8" authorId="0" shapeId="0" xr:uid="{00000000-0006-0000-0100-000001000000}">
      <text>
        <r>
          <rPr>
            <sz val="10"/>
            <rFont val="Arial"/>
            <family val="2"/>
          </rPr>
          <t>Row number. Follows the order of the BPOworkers roster.</t>
        </r>
      </text>
    </comment>
    <comment ref="C8" authorId="0" shapeId="0" xr:uid="{00000000-0006-0000-0100-000002000000}">
      <text>
        <r>
          <rPr>
            <sz val="10"/>
            <rFont val="Arial"/>
            <family val="2"/>
          </rPr>
          <t>Pulled from the BPOworkers roster. Add or remove a name there and this list follows.</t>
        </r>
      </text>
    </comment>
    <comment ref="D8" authorId="0" shapeId="0" xr:uid="{00000000-0006-0000-0100-000003000000}">
      <text>
        <r>
          <rPr>
            <sz val="10"/>
            <rFont val="Arial"/>
            <family val="2"/>
          </rPr>
          <t>Matched from the Team Lead email in BPOworkers. Blank there means "BPO Management".</t>
        </r>
      </text>
    </comment>
    <comment ref="J8" authorId="0" shapeId="0" xr:uid="{00000000-0006-0000-0100-000005000000}">
      <text>
        <r>
          <rPr>
            <sz val="10"/>
            <rFont val="Arial"/>
            <family val="2"/>
          </rPr>
          <t>Sum of the five day cells. The shaded bar behind the number is only a visual scale.</t>
        </r>
      </text>
    </comment>
    <comment ref="K8" authorId="0" shapeId="0" xr:uid="{00000000-0006-0000-0100-000006000000}">
      <text>
        <r>
          <rPr>
            <sz val="10"/>
            <rFont val="Arial"/>
            <family val="2"/>
          </rPr>
          <t>Target per day (Config) x 5 business days. 40 by default.</t>
        </r>
      </text>
    </comment>
    <comment ref="L8" authorId="0" shapeId="0" xr:uid="{00000000-0006-0000-0100-000007000000}">
      <text>
        <r>
          <rPr>
            <sz val="10"/>
            <rFont val="Arial"/>
            <family val="2"/>
          </rPr>
          <t>TOTAL week minus TARGET week.
Negative = billing was lost. Positive = something was counted twice.</t>
        </r>
      </text>
    </comment>
    <comment ref="M8" authorId="0" shapeId="0" xr:uid="{00000000-0006-0000-0100-000008000000}">
      <text>
        <r>
          <rPr>
            <sz val="10"/>
            <rFont val="Arial"/>
            <family val="2"/>
          </rPr>
          <t>How many of the five days actually have entries in BTabs.
Anything below 5 means a day was never logged.</t>
        </r>
      </text>
    </comment>
    <comment ref="N8" authorId="0" shapeId="0" xr:uid="{00000000-0006-0000-0100-000009000000}">
      <text>
        <r>
          <rPr>
            <sz val="10"/>
            <rFont val="Arial"/>
            <family val="2"/>
          </rPr>
          <t>How many days landed on target, respecting the tolerance set in Config.</t>
        </r>
      </text>
    </comment>
    <comment ref="O8" authorId="0" shapeId="0" xr:uid="{00000000-0006-0000-0100-00000A000000}">
      <text>
        <r>
          <rPr>
            <sz val="10"/>
            <rFont val="Arial"/>
            <family val="2"/>
          </rPr>
          <t>How many days need attention. This is the number that feeds the Historical tab.</t>
        </r>
      </text>
    </comment>
    <comment ref="P8" authorId="0" shapeId="0" xr:uid="{00000000-0006-0000-0100-00000B000000}">
      <text>
        <r>
          <rPr>
            <sz val="10"/>
            <rFont val="Arial"/>
            <family val="2"/>
          </rPr>
          <t>The one-line verdict for the week. Every possible message is listed in section 4 of the Legend tab.
Full explanation of every colour, message and column is on the Legend tab.</t>
        </r>
      </text>
    </comment>
    <comment ref="R8" authorId="0" shapeId="0" xr:uid="{00000000-0006-0000-0100-00000C000000}">
      <text>
        <r>
          <rPr>
            <sz val="10"/>
            <rFont val="Arial"/>
            <family val="2"/>
          </rPr>
          <t>Names the exact days that are off target and by how much, so you do not have to compare cells by hand.</t>
        </r>
      </text>
    </comment>
    <comment ref="E9" authorId="0" shapeId="0" xr:uid="{00000000-0006-0000-0100-000004000000}">
      <text>
        <r>
          <rPr>
            <sz val="10"/>
            <rFont val="Arial"/>
            <family val="2"/>
          </rPr>
          <t>HOURS the day is worth = ( Time Worked x 8 ) + declared time off hours.
GREEN = on target. LIGHT RED = under. BLUE = over.
DARK RED and EMPTY = there is no entry at all in BTabs for that day, which is the worst case.
Full explanation of every colour, message and column is on the Legend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6" authorId="0" shapeId="0" xr:uid="{00000000-0006-0000-0200-000001000000}">
      <text>
        <r>
          <rPr>
            <sz val="10"/>
            <rFont val="Arial"/>
            <family val="2"/>
          </rPr>
          <t>One row per PROBLEM DAY, not per person. A person with two bad days appears twice.</t>
        </r>
      </text>
    </comment>
    <comment ref="C6" authorId="0" shapeId="0" xr:uid="{00000000-0006-0000-0200-000002000000}">
      <text>
        <r>
          <rPr>
            <sz val="10"/>
            <rFont val="Arial"/>
            <family val="2"/>
          </rPr>
          <t>The landman involved.</t>
        </r>
      </text>
    </comment>
    <comment ref="D6" authorId="0" shapeId="0" xr:uid="{00000000-0006-0000-0200-000003000000}">
      <text>
        <r>
          <rPr>
            <sz val="10"/>
            <rFont val="Arial"/>
            <family val="2"/>
          </rPr>
          <t>Who to talk to.</t>
        </r>
      </text>
    </comment>
    <comment ref="E6" authorId="0" shapeId="0" xr:uid="{00000000-0006-0000-0200-000004000000}">
      <text>
        <r>
          <rPr>
            <sz val="10"/>
            <rFont val="Arial"/>
            <family val="2"/>
          </rPr>
          <t>The exact date that is off target.</t>
        </r>
      </text>
    </comment>
    <comment ref="G6" authorId="0" shapeId="0" xr:uid="{00000000-0006-0000-0200-000005000000}">
      <text>
        <r>
          <rPr>
            <sz val="10"/>
            <rFont val="Arial"/>
            <family val="2"/>
          </rPr>
          <t>How many rows this person logged in BTabs that day. Zero is the dark-red case.</t>
        </r>
      </text>
    </comment>
    <comment ref="H6" authorId="0" shapeId="0" xr:uid="{00000000-0006-0000-0200-000006000000}">
      <text>
        <r>
          <rPr>
            <sz val="10"/>
            <rFont val="Arial"/>
            <family val="2"/>
          </rPr>
          <t>Time Worked x 8. Real billable work.</t>
        </r>
      </text>
    </comment>
    <comment ref="I6" authorId="0" shapeId="0" xr:uid="{00000000-0006-0000-0200-000007000000}">
      <text>
        <r>
          <rPr>
            <sz val="10"/>
            <rFont val="Arial"/>
            <family val="2"/>
          </rPr>
          <t>Declared absence hours, read from the first number of the Work Performed Detail.</t>
        </r>
      </text>
    </comment>
    <comment ref="J6" authorId="0" shapeId="0" xr:uid="{00000000-0006-0000-0200-000008000000}">
      <text>
        <r>
          <rPr>
            <sz val="10"/>
            <rFont val="Arial"/>
            <family val="2"/>
          </rPr>
          <t>Billed hours + time off hours. This is what gets compared to the target.</t>
        </r>
      </text>
    </comment>
    <comment ref="K6" authorId="0" shapeId="0" xr:uid="{00000000-0006-0000-0200-000009000000}">
      <text>
        <r>
          <rPr>
            <sz val="10"/>
            <rFont val="Arial"/>
            <family val="2"/>
          </rPr>
          <t>Negative = hours missing. Positive = hours over.</t>
        </r>
      </text>
    </comment>
    <comment ref="L6" authorId="0" shapeId="0" xr:uid="{00000000-0006-0000-0200-00000A000000}">
      <text>
        <r>
          <rPr>
            <sz val="10"/>
            <rFont val="Arial"/>
            <family val="2"/>
          </rPr>
          <t>What went wrong, in one phrase. See section 5 of the Legend tab.</t>
        </r>
      </text>
    </comment>
    <comment ref="N6" authorId="0" shapeId="0" xr:uid="{00000000-0006-0000-0200-00000B000000}">
      <text>
        <r>
          <rPr>
            <sz val="10"/>
            <rFont val="Arial"/>
            <family val="2"/>
          </rPr>
          <t>The concrete action to take. Work this list from top to bottom.
If the whole table is empty, the week closed clean.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8" authorId="0" shapeId="0" xr:uid="{00000000-0006-0000-0300-000001000000}">
      <text>
        <r>
          <rPr>
            <sz val="10"/>
            <rFont val="Arial"/>
            <family val="2"/>
          </rPr>
          <t>One row per absence entry inside the selected week.</t>
        </r>
      </text>
    </comment>
    <comment ref="F8" authorId="0" shapeId="0" xr:uid="{00000000-0006-0000-0300-000002000000}">
      <text>
        <r>
          <rPr>
            <sz val="10"/>
            <rFont val="Arial"/>
            <family val="2"/>
          </rPr>
          <t>Which of the three absence Work Types it was: Time Off, BPO Vacation or Holiday.</t>
        </r>
      </text>
    </comment>
    <comment ref="G8" authorId="0" shapeId="0" xr:uid="{00000000-0006-0000-0300-000003000000}">
      <text>
        <r>
          <rPr>
            <sz val="10"/>
            <rFont val="Arial"/>
            <family val="2"/>
          </rPr>
          <t>Approved / Unapproved / Rejected, straight from BTabs. Hours count here regardless.</t>
        </r>
      </text>
    </comment>
    <comment ref="H8" authorId="0" shapeId="0" xr:uid="{00000000-0006-0000-0300-000004000000}">
      <text>
        <r>
          <rPr>
            <sz val="10"/>
            <rFont val="Arial"/>
            <family val="2"/>
          </rPr>
          <t>The FIRST NUMBER the system found in the Work Performed Detail.
This is why the detail must always start with the hours, e.g. "8 hours of paid vacations".</t>
        </r>
      </text>
    </comment>
    <comment ref="I8" authorId="0" shapeId="0" xr:uid="{00000000-0006-0000-0300-000005000000}">
      <text>
        <r>
          <rPr>
            <sz val="10"/>
            <rFont val="Arial"/>
            <family val="2"/>
          </rPr>
          <t>The raw Time Worked value of the absence row. Normally 0.000, because no billable work was done.</t>
        </r>
      </text>
    </comment>
    <comment ref="J8" authorId="0" shapeId="0" xr:uid="{00000000-0006-0000-0300-000006000000}">
      <text>
        <r>
          <rPr>
            <sz val="10"/>
            <rFont val="Arial"/>
            <family val="2"/>
          </rPr>
          <t>Everything that person logged that day: billable hours plus absence hours.</t>
        </r>
      </text>
    </comment>
    <comment ref="K8" authorId="0" shapeId="0" xr:uid="{00000000-0006-0000-0300-000007000000}">
      <text>
        <r>
          <rPr>
            <sz val="10"/>
            <rFont val="Arial"/>
            <family val="2"/>
          </rPr>
          <t>Whether the day still adds up to a full day.
This is the point of the tab: someone can be legitimately away and the day must still reach 8 hours.</t>
        </r>
      </text>
    </comment>
    <comment ref="L8" authorId="0" shapeId="0" xr:uid="{00000000-0006-0000-0300-000008000000}">
      <text>
        <r>
          <rPr>
            <sz val="10"/>
            <rFont val="Arial"/>
            <family val="2"/>
          </rPr>
          <t>The exact text the landman typed, so you can judge it yourself.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6" authorId="0" shapeId="0" xr:uid="{00000000-0006-0000-0400-000001000000}">
      <text>
        <r>
          <rPr>
            <sz val="10"/>
            <rFont val="Arial"/>
            <family val="2"/>
          </rPr>
          <t>How many roster people report to this Team Lead.</t>
        </r>
      </text>
    </comment>
    <comment ref="D6" authorId="0" shapeId="0" xr:uid="{00000000-0006-0000-0400-000002000000}">
      <text>
        <r>
          <rPr>
            <sz val="10"/>
            <rFont val="Arial"/>
            <family val="2"/>
          </rPr>
          <t>People whose five days all landed on target.</t>
        </r>
      </text>
    </comment>
    <comment ref="E6" authorId="0" shapeId="0" xr:uid="{00000000-0006-0000-0400-000003000000}">
      <text>
        <r>
          <rPr>
            <sz val="10"/>
            <rFont val="Arial"/>
            <family val="2"/>
          </rPr>
          <t>People over target, or with days that cancel out. Worth a look, but no billing was lost.</t>
        </r>
      </text>
    </comment>
    <comment ref="F6" authorId="0" shapeId="0" xr:uid="{00000000-0006-0000-0400-000004000000}">
      <text>
        <r>
          <rPr>
            <sz val="10"/>
            <rFont val="Arial"/>
            <family val="2"/>
          </rPr>
          <t>People missing at least one whole day in BTabs. The serious cases.</t>
        </r>
      </text>
    </comment>
    <comment ref="I6" authorId="0" shapeId="0" xr:uid="{00000000-0006-0000-0400-000005000000}">
      <text>
        <r>
          <rPr>
            <sz val="10"/>
            <rFont val="Arial"/>
            <family val="2"/>
          </rPr>
          <t>Perfect-week people divided by total people.
Deliberately NOT hours divided by target: a missing day and an over day can cancel out and make hours look perfect when they are not.</t>
        </r>
      </text>
    </comment>
    <comment ref="J6" authorId="0" shapeId="0" xr:uid="{00000000-0006-0000-0400-000006000000}">
      <text>
        <r>
          <rPr>
            <sz val="10"/>
            <rFont val="Arial"/>
            <family val="2"/>
          </rPr>
          <t>Total problem days across this lead’s team. Matches the Alerts tab.</t>
        </r>
      </text>
    </comment>
    <comment ref="K6" authorId="0" shapeId="0" xr:uid="{00000000-0006-0000-0400-000007000000}">
      <text>
        <r>
          <rPr>
            <sz val="10"/>
            <rFont val="Arial"/>
            <family val="2"/>
          </rPr>
          <t>Yellow = you type here. Pick from the dropdown once you have reviewed the team.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700-000001000000}">
      <text>
        <r>
          <rPr>
            <sz val="10"/>
            <rFont val="Arial"/>
            <family val="2"/>
          </rPr>
          <t>The historical totals that already existed in the original file. Left untouched and editable.
If this does not match "Sum of weeks", the original file counted weeks that have no column here.</t>
        </r>
      </text>
    </comment>
    <comment ref="D5" authorId="0" shapeId="0" xr:uid="{00000000-0006-0000-0700-000002000000}">
      <text>
        <r>
          <rPr>
            <sz val="10"/>
            <rFont val="Arial"/>
            <family val="2"/>
          </rPr>
          <t>Recalculated from the weekly columns to the right.</t>
        </r>
      </text>
    </comment>
    <comment ref="E5" authorId="0" shapeId="0" xr:uid="{00000000-0006-0000-0700-000003000000}">
      <text>
        <r>
          <rPr>
            <sz val="10"/>
            <rFont val="Arial"/>
            <family val="2"/>
          </rPr>
          <t>LOW under 6 · MEDIUM 6 to 14 · HIGH 15 or more, based on Sum of weeks.</t>
        </r>
      </text>
    </comment>
    <comment ref="AK5" authorId="0" shapeId="0" xr:uid="{00000000-0006-0000-0700-000004000000}">
      <text>
        <r>
          <rPr>
            <sz val="10"/>
            <rFont val="Arial"/>
            <family val="2"/>
          </rPr>
          <t>Calculated live from the Dashboard for the week selected in Config.
To freeze it as history, copy the column and paste it as values into a new column.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 authorId="0" shapeId="0" xr:uid="{00000000-0006-0000-0800-000001000000}">
      <text>
        <r>
          <rPr>
            <sz val="10"/>
            <rFont val="Arial"/>
            <family val="2"/>
          </rPr>
          <t>Technical engine. Everything on the Dashboard, Alerts and SeniorReview tabs reads from here.
One row per person per day: 60 people x 5 days.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7" authorId="0" shapeId="0" xr:uid="{00000000-0006-0000-0900-000001000000}">
      <text>
        <r>
          <rPr>
            <sz val="10"/>
            <rFont val="Arial"/>
            <family val="2"/>
          </rPr>
          <t>This single cell moves the entire report to a different week.</t>
        </r>
      </text>
    </comment>
    <comment ref="C7" authorId="0" shapeId="0" xr:uid="{00000000-0006-0000-0900-000002000000}">
      <text>
        <r>
          <rPr>
            <sz val="10"/>
            <rFont val="Arial"/>
            <family val="2"/>
          </rPr>
          <t>Type the Monday of the week you want to review.
The whole report updates itself.</t>
        </r>
      </text>
    </comment>
    <comment ref="C9" authorId="0" shapeId="0" xr:uid="{00000000-0006-0000-0900-000003000000}">
      <text>
        <r>
          <rPr>
            <sz val="10"/>
            <rFont val="Arial"/>
            <family val="2"/>
          </rPr>
          <t>Company rule: 8 hours per day.</t>
        </r>
      </text>
    </comment>
    <comment ref="C10" authorId="0" shapeId="0" xr:uid="{00000000-0006-0000-0900-000004000000}">
      <text>
        <r>
          <rPr>
            <sz val="10"/>
            <rFont val="Arial"/>
            <family val="2"/>
          </rPr>
          <t>0 = requires exactly the target.
0.5 would allow between 7.5 and 8.5 h.</t>
        </r>
      </text>
    </comment>
    <comment ref="C11" authorId="0" shapeId="0" xr:uid="{00000000-0006-0000-0900-000005000000}">
      <text>
        <r>
          <rPr>
            <sz val="10"/>
            <rFont val="Arial"/>
            <family val="2"/>
          </rPr>
          <t>In BTabs, 1.0 = a full day (8 h). That is why 1 hour = 0.125.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B1" authorId="0" shapeId="0" xr:uid="{00000000-0006-0000-0B00-000001000000}">
      <text>
        <r>
          <rPr>
            <sz val="10"/>
            <rFont val="Arial"/>
            <family val="2"/>
          </rPr>
          <t>Data-quality flag. 1 = this row triggers the check.
Use the filter arrow on this column to see only the rows with a 1.
Every flag is explained on the DataHealth tab.</t>
        </r>
      </text>
    </comment>
    <comment ref="AF1" authorId="0" shapeId="0" xr:uid="{00000000-0006-0000-0B00-000002000000}">
      <text>
        <r>
          <rPr>
            <sz val="10"/>
            <rFont val="Arial"/>
            <family val="2"/>
          </rPr>
          <t>Data-quality flag. 1 = this row triggers the check.
Use the filter arrow on this column to see only the rows with a 1.
Every flag is explained on the DataHealth tab.</t>
        </r>
      </text>
    </comment>
    <comment ref="AG1" authorId="0" shapeId="0" xr:uid="{00000000-0006-0000-0B00-000003000000}">
      <text>
        <r>
          <rPr>
            <sz val="10"/>
            <rFont val="Arial"/>
            <family val="2"/>
          </rPr>
          <t>Data-quality flag. 1 = this row triggers the check.
Use the filter arrow on this column to see only the rows with a 1.
Every flag is explained on the DataHealth tab.</t>
        </r>
      </text>
    </comment>
    <comment ref="AI1" authorId="0" shapeId="0" xr:uid="{00000000-0006-0000-0B00-000004000000}">
      <text>
        <r>
          <rPr>
            <sz val="10"/>
            <rFont val="Arial"/>
            <family val="2"/>
          </rPr>
          <t>Data-quality flag. 1 = this row triggers the check.
Use the filter arrow on this column to see only the rows with a 1.
Every flag is explained on the DataHealth tab.</t>
        </r>
      </text>
    </comment>
    <comment ref="AJ1" authorId="0" shapeId="0" xr:uid="{00000000-0006-0000-0B00-000005000000}">
      <text>
        <r>
          <rPr>
            <sz val="10"/>
            <rFont val="Arial"/>
            <family val="2"/>
          </rPr>
          <t>Data-quality flag. 1 = this row triggers the check.
Use the filter arrow on this column to see only the rows with a 1.
Every flag is explained on the DataHealth tab.</t>
        </r>
      </text>
    </comment>
    <comment ref="AK1" authorId="0" shapeId="0" xr:uid="{00000000-0006-0000-0B00-000006000000}">
      <text>
        <r>
          <rPr>
            <sz val="10"/>
            <rFont val="Arial"/>
            <family val="2"/>
          </rPr>
          <t>Data-quality flag. 1 = this row triggers the check.
Use the filter arrow on this column to see only the rows with a 1.
Every flag is explained on the DataHealth tab.</t>
        </r>
      </text>
    </comment>
    <comment ref="AL1" authorId="0" shapeId="0" xr:uid="{00000000-0006-0000-0B00-000007000000}">
      <text>
        <r>
          <rPr>
            <sz val="10"/>
            <rFont val="Arial"/>
            <family val="2"/>
          </rPr>
          <t>Data-quality flag. 1 = this row triggers the check.
Use the filter arrow on this column to see only the rows with a 1.
Every flag is explained on the DataHealth tab.</t>
        </r>
      </text>
    </comment>
  </commentList>
</comments>
</file>

<file path=xl/sharedStrings.xml><?xml version="1.0" encoding="utf-8"?>
<sst xmlns="http://schemas.openxmlformats.org/spreadsheetml/2006/main" count="7799" uniqueCount="1603">
  <si>
    <t>WEEKLY BILLING REPORT  ·  BPO</t>
  </si>
  <si>
    <t>THE GOLDEN RULE</t>
  </si>
  <si>
    <t>Every BPO landman must close EXACTLY 8 HOURS per business day.
In BTabs that is written as 1.0 in "Time Worked".  Each hour is worth 0.125  (1 h = 0.125  ·  2 h = 0.25  ·  4 h = 0.5  ·  8 h = 1.0).
If someone did not work (medical leave, personal day, vacation) they must ALSO log the day as Time Off / BPO Vacation and write the hours at the start of the detail. That way the day still adds up to 8.</t>
  </si>
  <si>
    <t>HOW TO USE IT EACH WEEK  (3 steps)</t>
  </si>
  <si>
    <t>STEP 1</t>
  </si>
  <si>
    <t>Export the BTabs report and paste everything into the  RawBtabs  tab,
starting at cell A2. Do not change the headers in row 1.</t>
  </si>
  <si>
    <t>Tab
RawBtabs</t>
  </si>
  <si>
    <t>STEP 2</t>
  </si>
  <si>
    <t>Go to the  Config  tab and type the MONDAY of the week you want
to review into the yellow cell. That is the only thing you change.</t>
  </si>
  <si>
    <t>Tab
Config</t>
  </si>
  <si>
    <t>STEP 3</t>
  </si>
  <si>
    <t>Open  Dashboard,  Alerts,  TimeOff  and  SeniorReview.
Already calculated. Check DataHealth first, then fill the yellow sign-off cells.</t>
  </si>
  <si>
    <t>Tab
Dashboard</t>
  </si>
  <si>
    <t>WHAT IS IN EACH TAB</t>
  </si>
  <si>
    <t>Dashboard</t>
  </si>
  <si>
    <t>The main board. A traffic light per person per day + the status of the week.</t>
  </si>
  <si>
    <t>Alerts</t>
  </si>
  <si>
    <t>Only the days with a problem, with the concrete action to take. This is the work list.</t>
  </si>
  <si>
    <t>TimeOff</t>
  </si>
  <si>
    <t>Who did not work billable hours (personal, medical leave, vacation) and whether the day still closed at 8 h.</t>
  </si>
  <si>
    <t>SeniorReview</t>
  </si>
  <si>
    <t>Summary by Team Lead + a 7-point control checklist + space for the senior sign-off.</t>
  </si>
  <si>
    <t>DataHealth</t>
  </si>
  <si>
    <t>Checks the pasted data itself: missing roster names, weekend entries, duplicates, unapproved rows.</t>
  </si>
  <si>
    <t>Legend</t>
  </si>
  <si>
    <t>Every colour, every message and every column explained, plus the glossary. Read this once.</t>
  </si>
  <si>
    <t>Historical</t>
  </si>
  <si>
    <t>How many alerts each person accumulates week over week, with a risk indicator.</t>
  </si>
  <si>
    <t>Detail</t>
  </si>
  <si>
    <t>Calculation engine: one row per person per day. Technical sheet, no need to touch it.</t>
  </si>
  <si>
    <t>Config</t>
  </si>
  <si>
    <t>The parameters: week to report, target hours, tolerance and time off types.</t>
  </si>
  <si>
    <t>BPOworkers</t>
  </si>
  <si>
    <t>The roster: who belongs to BPO and who their Team Lead is. Add or remove people here.</t>
  </si>
  <si>
    <t>COLOR CODE</t>
  </si>
  <si>
    <t>Yellow</t>
  </si>
  <si>
    <t>A cell YOU can edit.</t>
  </si>
  <si>
    <t>Green</t>
  </si>
  <si>
    <t>Meets the target. All good.</t>
  </si>
  <si>
    <t>Light red</t>
  </si>
  <si>
    <t>Under 8 h. There is billing being lost.</t>
  </si>
  <si>
    <t>Blue</t>
  </si>
  <si>
    <t>Over 8 h. Check for duplicates.</t>
  </si>
  <si>
    <t>Dark red</t>
  </si>
  <si>
    <t>Logged nothing in BTabs that day. The most serious case.</t>
  </si>
  <si>
    <t>WHERE EVERY NUMBER COMES FROM (the report formula)</t>
  </si>
  <si>
    <t>TOTAL COUNTED FOR THE DAY  =  ( Time Worked  x  8 )   +   Time off hours
·  "Time Worked" is column K of the BTabs export (1.0 = a full day).
·  "Time off hours" is the first number in the "Work Performed Detail" field whenever the Work Type is Time Off, BPO Vacation or Holiday.
·  This is the same logic as the calculated field in the original file; here it is written in native Excel formulas so it works without Google Sheets.</t>
  </si>
  <si>
    <t>IMPORTANT  ·  This file does NOT use the Google Sheets FILTER or REGEXEXTRACT functions that the original relied on. Everything is in native Excel formulas, so it opens and recalculates in desktop Excel with nothing lost.</t>
  </si>
  <si>
    <t>_aux</t>
  </si>
  <si>
    <t>WEEKLY BILLING DASHBOARD - BPO</t>
  </si>
  <si>
    <t>Green = closed 8 h.  Red = under target.  Blue = over 8 h.  Dark red = no entry in BTabs that day.</t>
  </si>
  <si>
    <t>PEOPLE IN ROSTER</t>
  </si>
  <si>
    <t>PERFECT WEEK</t>
  </si>
  <si>
    <t>TO REVIEW</t>
  </si>
  <si>
    <t>CRITICAL</t>
  </si>
  <si>
    <t>% COMPLIANCE</t>
  </si>
  <si>
    <t>BILLED HOURS</t>
  </si>
  <si>
    <t>TARGET HOURS</t>
  </si>
  <si>
    <t>#</t>
  </si>
  <si>
    <t>LANDMAN</t>
  </si>
  <si>
    <t>TEAM LEAD</t>
  </si>
  <si>
    <t>HOURS COUNTED PER DAY  (target 8 h = 1.0 unit)</t>
  </si>
  <si>
    <t>TOTAL week</t>
  </si>
  <si>
    <t>TARGET week</t>
  </si>
  <si>
    <t>DIFF. vs target</t>
  </si>
  <si>
    <t>Days with entries</t>
  </si>
  <si>
    <t>Days on target</t>
  </si>
  <si>
    <t>Days with alert</t>
  </si>
  <si>
    <t>WEEK STATUS</t>
  </si>
  <si>
    <t>Sev.</t>
  </si>
  <si>
    <t>WHY  -  exactly which day is off, and by how much</t>
  </si>
  <si>
    <t>HOW TO READ THIS DASHBOARD</t>
  </si>
  <si>
    <t>GREEN cell</t>
  </si>
  <si>
    <t>The landman closed exactly the daily target (8 h = 1.0 unit).</t>
  </si>
  <si>
    <t>LIGHT RED cell</t>
  </si>
  <si>
    <t>UNDER 8 h that day: there is billing being lost.</t>
  </si>
  <si>
    <t>BLUE cell</t>
  </si>
  <si>
    <t>Over 8 h that day. Check for a duplicate entry.</t>
  </si>
  <si>
    <t>DARK RED cell</t>
  </si>
  <si>
    <t>NO entry at all in BTabs that day. This is the most serious case.</t>
  </si>
  <si>
    <t>WEEKLY ALERTS - ACTION LIST</t>
  </si>
  <si>
    <t>Only the days with a problem. If the table comes out empty, the week closed clean.</t>
  </si>
  <si>
    <t>TOTAL ALERTS:</t>
  </si>
  <si>
    <t>Landman</t>
  </si>
  <si>
    <t>Team Lead</t>
  </si>
  <si>
    <t>Date</t>
  </si>
  <si>
    <t>Day</t>
  </si>
  <si>
    <t>BTabs entries</t>
  </si>
  <si>
    <t>Billed hours</t>
  </si>
  <si>
    <t>Time off hours</t>
  </si>
  <si>
    <t>TOTAL for the day</t>
  </si>
  <si>
    <t>Diff. vs target</t>
  </si>
  <si>
    <t>What happened</t>
  </si>
  <si>
    <t>WHAT TO DO</t>
  </si>
  <si>
    <t>WEEKLY TIME OFF (Time Off / Vacation / Medical Leave)</t>
  </si>
  <si>
    <t>People who logged in BTabs but did NOT work billable hours. Here we validate that the day still closes at 8 h.</t>
  </si>
  <si>
    <t>TIME OFF HOURS</t>
  </si>
  <si>
    <t>TIME OFF ENTRIES</t>
  </si>
  <si>
    <t>TIME OFF (entries)</t>
  </si>
  <si>
    <t>BPO VACATION (entries)</t>
  </si>
  <si>
    <t>HOLIDAY (entries)</t>
  </si>
  <si>
    <t>NO HOURS IN THE DETAIL</t>
  </si>
  <si>
    <t>Time off type</t>
  </si>
  <si>
    <t>BTabs status</t>
  </si>
  <si>
    <t>Hours declared</t>
  </si>
  <si>
    <t>Billed units</t>
  </si>
  <si>
    <t>DAY VALIDATION</t>
  </si>
  <si>
    <t>Detail written in BTabs</t>
  </si>
  <si>
    <t>WEEKLY SENIOR REVIEW</t>
  </si>
  <si>
    <t>One single place to close the week: summary by Team Lead, control checklist and sign-off.</t>
  </si>
  <si>
    <t>BLOCK 1  -  SUMMARY BY TEAM LEAD</t>
  </si>
  <si>
    <t># people</t>
  </si>
  <si>
    <t>Perfect week</t>
  </si>
  <si>
    <t>To review</t>
  </si>
  <si>
    <t>Critical</t>
  </si>
  <si>
    <t>Target hours</t>
  </si>
  <si>
    <t>% people OK</t>
  </si>
  <si>
    <t>SIGN-OFF</t>
  </si>
  <si>
    <t>Reviewed by</t>
  </si>
  <si>
    <t>Comments</t>
  </si>
  <si>
    <t>A Camargo</t>
  </si>
  <si>
    <t>Pending</t>
  </si>
  <si>
    <t>A Lorenzo</t>
  </si>
  <si>
    <t>H Daza</t>
  </si>
  <si>
    <t>J S Bermudez</t>
  </si>
  <si>
    <t>M Leon</t>
  </si>
  <si>
    <t>R Sanchez</t>
  </si>
  <si>
    <t>S Romero</t>
  </si>
  <si>
    <t>BPO Management</t>
  </si>
  <si>
    <t>TOTAL BPO</t>
  </si>
  <si>
    <t>BLOCK 2  -  BILLING CONTROL CHECKLIST (answers itself)</t>
  </si>
  <si>
    <t>CONTROL QUESTION</t>
  </si>
  <si>
    <t>Result</t>
  </si>
  <si>
    <t>STATUS</t>
  </si>
  <si>
    <t>Where to check</t>
  </si>
  <si>
    <t>What it means / what to do</t>
  </si>
  <si>
    <t>Did every landman log all 5 days in BTabs?</t>
  </si>
  <si>
    <t>Tab: Alerts</t>
  </si>
  <si>
    <t>Every day without an entry is a day without billing. Ask for the entry retroactively.</t>
  </si>
  <si>
    <t>Did anyone end up UNDER the target on any day?</t>
  </si>
  <si>
    <t>Hours worked that were never billed. Confirm if they forgot to bill or to log time off.</t>
  </si>
  <si>
    <t>Did anyone end up OVER the target on any day?</t>
  </si>
  <si>
    <t>Usually a duplicate entry or a typo. Verify with the landman.</t>
  </si>
  <si>
    <t>Do all time off entries state the hours in the detail?</t>
  </si>
  <si>
    <t>Tab: TimeOff</t>
  </si>
  <si>
    <t>The detail must start with the number of hours, e.g. "8 hours of paid vacations".</t>
  </si>
  <si>
    <t>Are there entries from this week still unapproved in BTabs?</t>
  </si>
  <si>
    <t>Tab: RawBtabs</t>
  </si>
  <si>
    <t>The Team Lead must approve or reject before the weekly close.</t>
  </si>
  <si>
    <t>Is there anyone in the roster who billed NOTHING this week?</t>
  </si>
  <si>
    <t>Tab: Dashboard</t>
  </si>
  <si>
    <t>Could be unlogged vacation, someone who left the company, or an outdated roster.</t>
  </si>
  <si>
    <t>How many people closed a perfect week?</t>
  </si>
  <si>
    <t>Goal: this number should equal the total number of people in the roster.</t>
  </si>
  <si>
    <t>BLOCK 3  -  WEEK CLOSE AND SIGN-OFF</t>
  </si>
  <si>
    <t>Week reviewed</t>
  </si>
  <si>
    <t>Reviewed by (senior name)</t>
  </si>
  <si>
    <t>Type your name here</t>
  </si>
  <si>
    <t>Review date</t>
  </si>
  <si>
    <t>Overall conclusion for the week</t>
  </si>
  <si>
    <t>Type the conclusion here</t>
  </si>
  <si>
    <t>Agreed actions / follow-up</t>
  </si>
  <si>
    <t>Type the commitments here</t>
  </si>
  <si>
    <t>DATA HEALTH  -  CHECK THIS BEFORE YOU TRUST THE NUMBERS</t>
  </si>
  <si>
    <t>The Dashboard can only be right if the pasted data is right. These 13 checks look at the data itself.</t>
  </si>
  <si>
    <t>STEP 0  -  DID THE PASTE ACTUALLY LAND?</t>
  </si>
  <si>
    <t>⛔ RawBtabs is empty. Paste the BTabs export into RawBtabs, starting at cell A2.</t>
  </si>
  <si>
    <t>⛔ Rows were pasted, but NONE of them fall inside the week selected in Config. Either the export is from a different week, or the Monday in Config is wrong.</t>
  </si>
  <si>
    <t>⛔ There is data for the selected week, but none of it belongs to anyone in the roster. Check the BPOworkers tab.</t>
  </si>
  <si>
    <t>✅ Data looks loaded.</t>
  </si>
  <si>
    <t>THE 13 CHECKS  -  every one of them explains itself</t>
  </si>
  <si>
    <t>WHAT WE CHECK</t>
  </si>
  <si>
    <t>COUNT</t>
  </si>
  <si>
    <t>WHY IT MATTERS</t>
  </si>
  <si>
    <t>WHAT TO DO ABOUT IT</t>
  </si>
  <si>
    <t>WHERE TO LOOK</t>
  </si>
  <si>
    <t>Rows pasted into RawBtabs</t>
  </si>
  <si>
    <t>If this is zero there is simply nothing to report on.</t>
  </si>
  <si>
    <t>Paste the BTabs export into RawBtabs starting at cell A2.</t>
  </si>
  <si>
    <t>RawBtabs</t>
  </si>
  <si>
    <t>Rows dated inside the selected week</t>
  </si>
  <si>
    <t>The report only looks at Monday to Friday of the week set in Config. Rows outside that window are ignored.</t>
  </si>
  <si>
    <t>If this is zero, fix the Monday in Config or paste the right export.</t>
  </si>
  <si>
    <t>Rows of the selected week that belong to the roster</t>
  </si>
  <si>
    <t>BTabs exports mix BPO landmen with US TLS landmen. Only roster names are counted.</t>
  </si>
  <si>
    <t>If this looks too low, someone may be missing from the BPOworkers tab.</t>
  </si>
  <si>
    <t>People billing with a BPO-style name who are NOT in the roster</t>
  </si>
  <si>
    <t>A BPO name written without a dot that is not in the roster is almost always a landman who was never added. Their billing is being excluded from the whole report and nobody is reviewing it.</t>
  </si>
  <si>
    <t>Look at the list below. If the person really is BPO, add them to the BPOworkers tab.</t>
  </si>
  <si>
    <t>List below</t>
  </si>
  <si>
    <t>BPO entries logged on a Saturday or Sunday</t>
  </si>
  <si>
    <t>The report counts Monday to Friday only, so weekend billing is invisible here even though it was billed.</t>
  </si>
  <si>
    <t>Decide whether weekend work should count. If it should, review those rows by hand.</t>
  </si>
  <si>
    <t>RawBtabs, filter the Weekend column</t>
  </si>
  <si>
    <t>BPO entries in the paste but outside the selected week</t>
  </si>
  <si>
    <t>Normal if your export covers more than one week. These rows are simply not part of this week’s numbers.</t>
  </si>
  <si>
    <t>Nothing to do, unless the number is suspiciously large.</t>
  </si>
  <si>
    <t>RawBtabs, filter Outside week</t>
  </si>
  <si>
    <t>Suspected duplicate entries inside the week</t>
  </si>
  <si>
    <t>Same person, same date, same Work Type, same hours and same opening text. This is the usual reason somebody shows OVER TARGET on the Dashboard.</t>
  </si>
  <si>
    <t>Open those rows and delete the copy in BTabs, then re-export and re-paste.</t>
  </si>
  <si>
    <t>RawBtabs, filter Duplicate</t>
  </si>
  <si>
    <t>Entries whose hours are not a whole hour</t>
  </si>
  <si>
    <t>Billing moves in steps of 0.125 = 1 hour. Anything in between is a typo.</t>
  </si>
  <si>
    <t>Correct the Time Worked value in BTabs.</t>
  </si>
  <si>
    <t>RawBtabs, filter Not whole hour</t>
  </si>
  <si>
    <t>Time off entries declaring MORE than the daily target</t>
  </si>
  <si>
    <t>Somebody wrote more hours of absence than a working day has, so their day would count as over target.</t>
  </si>
  <si>
    <t>Fix the number at the start of the Work Performed Detail in BTabs.</t>
  </si>
  <si>
    <t>RawBtabs, filter Time off over target</t>
  </si>
  <si>
    <t>Time off entries with no hours written in the detail</t>
  </si>
  <si>
    <t>The system reads the FIRST NUMBER of the detail to know how long the absence was. With no number it reads zero and the day looks under target even though the person was legitimately away.</t>
  </si>
  <si>
    <t>Ask the landman to start the detail with the hours, e.g. "8 hours of paid vacations".</t>
  </si>
  <si>
    <t>Entries of the week still Unapproved in BTabs</t>
  </si>
  <si>
    <t>Unapproved hours still count in this report but they are not yet locked in for invoicing.</t>
  </si>
  <si>
    <t>The Team Lead approves or rejects them before the weekly close.</t>
  </si>
  <si>
    <t>RawBtabs, Status column</t>
  </si>
  <si>
    <t>Entries of the week marked Rejected</t>
  </si>
  <si>
    <t>A rejected entry is still added up here, so a rejected day can look complete when it is not.</t>
  </si>
  <si>
    <t>Have the landman correct and resubmit the entry, then re-paste the export.</t>
  </si>
  <si>
    <t>Roster people with no entries at all in the paste</t>
  </si>
  <si>
    <t>Either they were away all week without logging it, they left the company, or the roster is out of date.</t>
  </si>
  <si>
    <t>Check with their Team Lead and update the BPOworkers tab if needed.</t>
  </si>
  <si>
    <t>PEOPLE FOUND IN BTABS WHO ARE NOT IN THE ROSTER  (check #4 above)</t>
  </si>
  <si>
    <t>Name as written in BTabs</t>
  </si>
  <si>
    <t>Entries</t>
  </si>
  <si>
    <t>Hours this week</t>
  </si>
  <si>
    <t>WHY THIS MATTERS</t>
  </si>
  <si>
    <t>WHAT THIS REPORT DELIBERATELY DOES NOT COUNT</t>
  </si>
  <si>
    <t>Anyone not in the BPOworkers roster</t>
  </si>
  <si>
    <t>The BTabs export mixes BPO landmen with US TLS landmen. The report keeps only the names listed in BPOworkers, so a missing roster row silently removes that person from every tab. That is what check #4 is for.</t>
  </si>
  <si>
    <t>Saturdays and Sundays</t>
  </si>
  <si>
    <t>The weekly target is 8 hours across 5 business days (40 hours). Weekend rows are excluded from every total. Check #5 tells you how many exist so they never go unnoticed.</t>
  </si>
  <si>
    <t>Any date outside the Monday-to-Friday window set in Config</t>
  </si>
  <si>
    <t>Change the Monday in Config to move the whole report to a different week. Nothing else needs to change.</t>
  </si>
  <si>
    <t>The Status column (Approved / Unapproved / Rejected)</t>
  </si>
  <si>
    <t>Hours are added up regardless of approval status, because the point of this report is whether the TIME was logged. Checks #11 and #12 surface the approval problems separately.</t>
  </si>
  <si>
    <t>LEGEND  -  WHAT EVERY COLOUR, MESSAGE AND COLUMN MEANS</t>
  </si>
  <si>
    <t>Read this once and the whole report becomes obvious. Nothing here needs to be edited.</t>
  </si>
  <si>
    <t>1.  THE ONE FORMULA THE WHOLE REPORT IS BUILT ON</t>
  </si>
  <si>
    <t>TOTAL COUNTED FOR A DAY   =   ( Time Worked  ×  8 )   +   Time off hours
Time Worked is column K of the BTabs export. It is expressed in DAYS, not hours: 1.0 means a full day. Multiplying by 8 turns it into hours.
Time off hours is the first number written in the Work Performed Detail, and it only counts when the Work Type is Time Off, BPO Vacation or Holiday.
A day is correct when that total equals the target in Config (8 by default). A week is correct when all five days are.</t>
  </si>
  <si>
    <t>2.  BILLING UNITS  →  HOURS  (this is the "8 or 1" rule)</t>
  </si>
  <si>
    <t>Time Worked in BTabs</t>
  </si>
  <si>
    <t>Equals</t>
  </si>
  <si>
    <t>Meaning</t>
  </si>
  <si>
    <t>0</t>
  </si>
  <si>
    <t>0 h</t>
  </si>
  <si>
    <t>No time worked at all</t>
  </si>
  <si>
    <t>0.125</t>
  </si>
  <si>
    <t>1 h</t>
  </si>
  <si>
    <t>Partial day</t>
  </si>
  <si>
    <t>0.25</t>
  </si>
  <si>
    <t>2 h</t>
  </si>
  <si>
    <t>0.375</t>
  </si>
  <si>
    <t>3 h</t>
  </si>
  <si>
    <t>0.5</t>
  </si>
  <si>
    <t>4 h</t>
  </si>
  <si>
    <t>0.625</t>
  </si>
  <si>
    <t>5 h</t>
  </si>
  <si>
    <t>0.75</t>
  </si>
  <si>
    <t>6 h</t>
  </si>
  <si>
    <t>0.875</t>
  </si>
  <si>
    <t>7 h</t>
  </si>
  <si>
    <t>1</t>
  </si>
  <si>
    <t>8 h</t>
  </si>
  <si>
    <t>Full day - this is the target</t>
  </si>
  <si>
    <t>3.  COLOUR CODE  -  why a cell is the colour it is</t>
  </si>
  <si>
    <t>COLOUR</t>
  </si>
  <si>
    <t>Where you see it</t>
  </si>
  <si>
    <t>WHY it is that colour</t>
  </si>
  <si>
    <t>GREEN</t>
  </si>
  <si>
    <t>Dashboard day cells, statuses</t>
  </si>
  <si>
    <t>The day (or the week) closed exactly on target, within the tolerance set in Config.</t>
  </si>
  <si>
    <t>Nothing. This is what every cell should look like.</t>
  </si>
  <si>
    <t>LIGHT RED</t>
  </si>
  <si>
    <t>Dashboard day cells, differences</t>
  </si>
  <si>
    <t>The day came in UNDER the target. Hours were worked but not billed, or an absence was never logged.</t>
  </si>
  <si>
    <t>Open the Alerts tab: it names the day and says how many hours are missing.</t>
  </si>
  <si>
    <t>BLUE</t>
  </si>
  <si>
    <t>Dashboard day cells</t>
  </si>
  <si>
    <t>The day came in OVER the target. Almost always a duplicated entry or a typo in Time Worked.</t>
  </si>
  <si>
    <t>Check DataHealth check #7 (duplicate suspects), then fix the entry in BTabs.</t>
  </si>
  <si>
    <t>DARK RED</t>
  </si>
  <si>
    <t>Dashboard day cells, week status</t>
  </si>
  <si>
    <t>There is NO entry at all in BTabs for that person on that day. This is the most serious case because the hours were never even claimed.</t>
  </si>
  <si>
    <t>Ask the landman to log the day retroactively, then re-export and re-paste.</t>
  </si>
  <si>
    <t>YELLOW</t>
  </si>
  <si>
    <t>Config, BPOworkers, sign-off cells</t>
  </si>
  <si>
    <t>A cell you are meant to type into. Everything else in the workbook calculates itself.</t>
  </si>
  <si>
    <t>Type freely. Never put data in a non-yellow cell.</t>
  </si>
  <si>
    <t>GREY / no fill</t>
  </si>
  <si>
    <t>Empty rows in Alerts and TimeOff</t>
  </si>
  <si>
    <t>Spare capacity. A row only draws its border once it has data, so a short list really means a short list.</t>
  </si>
  <si>
    <t>Nothing.</t>
  </si>
  <si>
    <t>4.  WEEK STATUS MESSAGES  (Dashboard, column "WEEK STATUS")</t>
  </si>
  <si>
    <t>MESSAGE</t>
  </si>
  <si>
    <t>What it means</t>
  </si>
  <si>
    <t>Most common cause</t>
  </si>
  <si>
    <t>What to do</t>
  </si>
  <si>
    <t>✅ PERFECT WEEK</t>
  </si>
  <si>
    <t>All five days closed on target.</t>
  </si>
  <si>
    <t>The landman did everything right.</t>
  </si>
  <si>
    <t>⛔ BILLED NOTHING</t>
  </si>
  <si>
    <t>Not a single entry all week.</t>
  </si>
  <si>
    <t>Away all week without logging it, has left the company, or the roster is out of date.</t>
  </si>
  <si>
    <t>Check with their Team Lead and update BPOworkers if needed.</t>
  </si>
  <si>
    <t>⛔ MISSING n DAY(S) IN BTABS</t>
  </si>
  <si>
    <t>One or more days have no entry at all.</t>
  </si>
  <si>
    <t>Forgot to log a day, or logged it after the export was taken.</t>
  </si>
  <si>
    <t>Ask for the missing day, re-export, re-paste.</t>
  </si>
  <si>
    <t>🔻 UNDER TARGET (-n h)</t>
  </si>
  <si>
    <t>Every day has entries, but the week adds up to less than the target.</t>
  </si>
  <si>
    <t>Hours worked and never billed, or an absence with no hours in the detail.</t>
  </si>
  <si>
    <t>See the WHY column for the exact day.</t>
  </si>
  <si>
    <t>🔺 OVER TARGET (+n h)</t>
  </si>
  <si>
    <t>The week adds up to more than the target.</t>
  </si>
  <si>
    <t>A duplicated entry, or a typo in Time Worked.</t>
  </si>
  <si>
    <t>Check DataHealth #7, then fix in BTabs.</t>
  </si>
  <si>
    <t>⚠️ CHECK THE DAYS</t>
  </si>
  <si>
    <t>The week total lands on target, but individual days do not.</t>
  </si>
  <si>
    <t>One day short and another long, cancelling each other out.</t>
  </si>
  <si>
    <t>See the WHY column - both days need fixing.</t>
  </si>
  <si>
    <t>5.  DAY MESSAGES  (Alerts and Detail tabs, column "What happened")</t>
  </si>
  <si>
    <t>⛔ NO ENTRY IN BTABS</t>
  </si>
  <si>
    <t>Zero entries for that person on that date.</t>
  </si>
  <si>
    <t>The landman must log the day.</t>
  </si>
  <si>
    <t>✅ OK (8 h)</t>
  </si>
  <si>
    <t>That day is exactly on target.</t>
  </si>
  <si>
    <t>🔻 MISSING n h</t>
  </si>
  <si>
    <t>The day is short by n hours.</t>
  </si>
  <si>
    <t>Confirm whether they worked and did not bill, or need to log time off.</t>
  </si>
  <si>
    <t>🔺 OVER BY n h</t>
  </si>
  <si>
    <t>The day exceeds the target by n hours.</t>
  </si>
  <si>
    <t>Look for a duplicate entry or a typo.</t>
  </si>
  <si>
    <t>6.  TIME OFF MESSAGES  (TimeOff tab, column "DAY VALIDATION")</t>
  </si>
  <si>
    <t>✅ Full day (8 h)</t>
  </si>
  <si>
    <t>The absence plus whatever was billed adds up to a full day. This is correct.</t>
  </si>
  <si>
    <t>⚠️ The detail does not state the hours</t>
  </si>
  <si>
    <t>The Work Performed Detail does not start with a number, so the system read 0 hours and the day looks short even though the absence was legitimate.</t>
  </si>
  <si>
    <t>Ask the landman to rewrite it as "8 hours of paid vacations" (number first).</t>
  </si>
  <si>
    <t>🔻 Incomplete day: n h of 8 h</t>
  </si>
  <si>
    <t>Absence plus billed hours still fall short of a full day.</t>
  </si>
  <si>
    <t>Either more absence hours need declaring, or hours are missing.</t>
  </si>
  <si>
    <t>🔺 Day exceeded: n h</t>
  </si>
  <si>
    <t>Absence plus billed hours exceed a full day.</t>
  </si>
  <si>
    <t>Usually the absence hours are overstated.</t>
  </si>
  <si>
    <t>7.  THE SEVERITY SCALE  (hidden "Sev." columns, used by the colours)</t>
  </si>
  <si>
    <t>Colour it produces</t>
  </si>
  <si>
    <t>On target. Nothing to do.</t>
  </si>
  <si>
    <t>Over target. Worth a look, but no billing was lost.</t>
  </si>
  <si>
    <t>2</t>
  </si>
  <si>
    <t>Under target. Billing was lost.</t>
  </si>
  <si>
    <t>3</t>
  </si>
  <si>
    <t>A whole day has no entry in BTabs. Worst case.</t>
  </si>
  <si>
    <t>8.  DASHBOARD COLUMN DICTIONARY  -  where each number comes from</t>
  </si>
  <si>
    <t>COLUMN</t>
  </si>
  <si>
    <t>Where it comes from</t>
  </si>
  <si>
    <t>In plain English</t>
  </si>
  <si>
    <t>BPOworkers, column B</t>
  </si>
  <si>
    <t>The roster, in the order you typed it. Add a name there and a row appears here.</t>
  </si>
  <si>
    <t>BPOworkers, matched by email</t>
  </si>
  <si>
    <t>Whoever the landman reports to. Blank in the roster means BPO Management.</t>
  </si>
  <si>
    <t>Mon - Fri</t>
  </si>
  <si>
    <t>Sum of ( Time Worked × 8 ) + time off hours for that person on that date</t>
  </si>
  <si>
    <t>The hours that day is worth. An EMPTY cell means no entry existed at all - that is why it turns dark red.</t>
  </si>
  <si>
    <t>Sum of the five day cells</t>
  </si>
  <si>
    <t>Hours the week is worth. The little bar behind the number is just a visual scale.</t>
  </si>
  <si>
    <t>Config: target per day × 5</t>
  </si>
  <si>
    <t>What the week should have been. 40 by default.</t>
  </si>
  <si>
    <t>TOTAL week minus TARGET week</t>
  </si>
  <si>
    <t>Negative means billing was lost. Positive means something was over-counted.</t>
  </si>
  <si>
    <t>How many of the five day cells contain a number</t>
  </si>
  <si>
    <t>Below 5 means at least one day was never logged in BTabs.</t>
  </si>
  <si>
    <t>Days whose severity is 0</t>
  </si>
  <si>
    <t>How many days landed on target, respecting the tolerance in Config.</t>
  </si>
  <si>
    <t>Days whose severity is above 0</t>
  </si>
  <si>
    <t>How many days need attention. This is the number that feeds the Historical tab.</t>
  </si>
  <si>
    <t>Decided from the three columns above</t>
  </si>
  <si>
    <t>The one-line verdict. Section 4 above lists every possible message.</t>
  </si>
  <si>
    <t>WHY</t>
  </si>
  <si>
    <t>Built from the five day cells</t>
  </si>
  <si>
    <t>Names the exact days that are off and by how much, so you do not have to hunt.</t>
  </si>
  <si>
    <t>9.  ALERTS AND TIMEOFF COLUMN DICTIONARY</t>
  </si>
  <si>
    <t>Tab</t>
  </si>
  <si>
    <t>How many rows that person logged that day. Zero is the dark-red case.</t>
  </si>
  <si>
    <t>Time Worked × 8. Actual billable work.</t>
  </si>
  <si>
    <t>Declared absence hours read from the detail text.</t>
  </si>
  <si>
    <t>Alerts / TimeOff</t>
  </si>
  <si>
    <t>Billed hours plus time off hours. This is what gets compared to the target.</t>
  </si>
  <si>
    <t>The concrete action, written out. Work the list top to bottom.</t>
  </si>
  <si>
    <t>The first number the system found in the Work Performed Detail.</t>
  </si>
  <si>
    <t>The raw Time Worked value of the absence row, normally 0.000.</t>
  </si>
  <si>
    <t>Approved / Unapproved / Rejected, straight from the export.</t>
  </si>
  <si>
    <t>The exact text the landman typed, so you can judge it yourself.</t>
  </si>
  <si>
    <t>10.  GLOSSARY</t>
  </si>
  <si>
    <t>TERM</t>
  </si>
  <si>
    <t>BTabs</t>
  </si>
  <si>
    <t>The billing system the hours are logged in. Everything here starts as a BTabs export.</t>
  </si>
  <si>
    <t>The person doing the billable work. One row per landman on the Dashboard.</t>
  </si>
  <si>
    <t>Time Worked</t>
  </si>
  <si>
    <t>BTabs field measured in days: 1.0 = 8 hours, 0.125 = 1 hour.</t>
  </si>
  <si>
    <t>Billing unit</t>
  </si>
  <si>
    <t>Another name for the Time Worked value. 1 unit = 1 full day = 8 hours.</t>
  </si>
  <si>
    <t>Work Type</t>
  </si>
  <si>
    <t>What the hours were spent on. Three of them count as absence: Time Off, BPO Vacation, Holiday.</t>
  </si>
  <si>
    <t>Time Off / BPO Vacation / Holiday</t>
  </si>
  <si>
    <t>Absence rows. Time Worked is 0 and the hours live in the detail text instead.</t>
  </si>
  <si>
    <t>Approved / Unapproved</t>
  </si>
  <si>
    <t>Whether the Team Lead has signed the entry off in BTabs. Both still count here.</t>
  </si>
  <si>
    <t>Rejected</t>
  </si>
  <si>
    <t>The Team Lead sent the entry back. It still adds up here, so DataHealth flags it separately.</t>
  </si>
  <si>
    <t>Target</t>
  </si>
  <si>
    <t>Hours a day must add up to. Set in Config, 8 by default.</t>
  </si>
  <si>
    <t>Tolerance</t>
  </si>
  <si>
    <t>How far from the target still counts as fine. Set in Config, 0 by default.</t>
  </si>
  <si>
    <t>Severity</t>
  </si>
  <si>
    <t>Internal 0-3 score that drives all the colours. See section 7.</t>
  </si>
  <si>
    <t>Roster</t>
  </si>
  <si>
    <t>The BPOworkers tab. The single source of truth for who belongs to BPO.</t>
  </si>
  <si>
    <t>ALERT HISTORY BY WEEK</t>
  </si>
  <si>
    <t>Each number = how many days that person had an alert that week. The last column calculates itself.</t>
  </si>
  <si>
    <t>Total on record (historical)</t>
  </si>
  <si>
    <t>Sum of weeks</t>
  </si>
  <si>
    <t>RISK</t>
  </si>
  <si>
    <t>02/02 - 02/06</t>
  </si>
  <si>
    <t>02/09 - 02/13</t>
  </si>
  <si>
    <t>02/16 - 02/20</t>
  </si>
  <si>
    <t>02/23 - 02/27</t>
  </si>
  <si>
    <t>03/02 - 03/06</t>
  </si>
  <si>
    <t>03/09 - 03/13</t>
  </si>
  <si>
    <t>03/16 - 03/20</t>
  </si>
  <si>
    <t>03/23 - 03/27</t>
  </si>
  <si>
    <t>04/06 - 04/10</t>
  </si>
  <si>
    <t>04/13 - 04/17</t>
  </si>
  <si>
    <t>04/20 - 04/24</t>
  </si>
  <si>
    <t>04/27 - 05/01</t>
  </si>
  <si>
    <t>05/04 - 05/08</t>
  </si>
  <si>
    <t>05/11 - 05/15</t>
  </si>
  <si>
    <t>05/18 - 05/22</t>
  </si>
  <si>
    <t>05/25 - 05/29</t>
  </si>
  <si>
    <t>06/01 - 06/05</t>
  </si>
  <si>
    <t>06/08 - 06/12</t>
  </si>
  <si>
    <t>06/15 - 06/19</t>
  </si>
  <si>
    <t>06/22 - 06/26</t>
  </si>
  <si>
    <t>06/29 - 07/03</t>
  </si>
  <si>
    <t>07/06 - 07/10</t>
  </si>
  <si>
    <t>07/13 - 07/17</t>
  </si>
  <si>
    <t>07/20 - 07/24</t>
  </si>
  <si>
    <t>07/27 - 07/31</t>
  </si>
  <si>
    <t>08/03 - 08/07</t>
  </si>
  <si>
    <t>08/10 - 08/14</t>
  </si>
  <si>
    <t>08/17 - 08/21</t>
  </si>
  <si>
    <t>08/24 - 08/28</t>
  </si>
  <si>
    <t>08/31 - 09/04</t>
  </si>
  <si>
    <t>09/07 - 09/11</t>
  </si>
  <si>
    <t>CURRENT WEEK (auto)</t>
  </si>
  <si>
    <t>A Criollo</t>
  </si>
  <si>
    <t>A Lopez</t>
  </si>
  <si>
    <t>C Castellanos</t>
  </si>
  <si>
    <t>C Lara</t>
  </si>
  <si>
    <t>C Mesa</t>
  </si>
  <si>
    <t>D Trujillo</t>
  </si>
  <si>
    <t>F Montañez</t>
  </si>
  <si>
    <t>G Murillo</t>
  </si>
  <si>
    <t>I De La Parra</t>
  </si>
  <si>
    <t>I Salamanca</t>
  </si>
  <si>
    <t>J Abay</t>
  </si>
  <si>
    <t>J Bermudez</t>
  </si>
  <si>
    <t>J Castillo</t>
  </si>
  <si>
    <t>J Gomez</t>
  </si>
  <si>
    <t>J Gonzalez</t>
  </si>
  <si>
    <t>J Patino</t>
  </si>
  <si>
    <t>J Reyes</t>
  </si>
  <si>
    <t>J Rincon</t>
  </si>
  <si>
    <t>J Valbuena</t>
  </si>
  <si>
    <t>L Alfonso</t>
  </si>
  <si>
    <t>L Diaz</t>
  </si>
  <si>
    <t>L Escobar</t>
  </si>
  <si>
    <t>L Silva</t>
  </si>
  <si>
    <t>L Villamil</t>
  </si>
  <si>
    <t>L Zambrano</t>
  </si>
  <si>
    <t>M Fernandez</t>
  </si>
  <si>
    <t>M Grazziani</t>
  </si>
  <si>
    <t>M Lopez</t>
  </si>
  <si>
    <t>M Verdooren</t>
  </si>
  <si>
    <t>R Camelo</t>
  </si>
  <si>
    <t>Stephen Vargas</t>
  </si>
  <si>
    <t>A Guerra</t>
  </si>
  <si>
    <t>D Chinchilla</t>
  </si>
  <si>
    <t>G Pereira</t>
  </si>
  <si>
    <t>M Cañón</t>
  </si>
  <si>
    <t>N Lozano</t>
  </si>
  <si>
    <t>D Castro</t>
  </si>
  <si>
    <t>J Macias</t>
  </si>
  <si>
    <t>J Ramos</t>
  </si>
  <si>
    <t>San Vargas</t>
  </si>
  <si>
    <t>N Espitia</t>
  </si>
  <si>
    <t>G Tabima</t>
  </si>
  <si>
    <t>M Marin</t>
  </si>
  <si>
    <t>G Cardozo</t>
  </si>
  <si>
    <t>K Martínez</t>
  </si>
  <si>
    <t>O Moreno</t>
  </si>
  <si>
    <t>S Calderon</t>
  </si>
  <si>
    <t>T Vargas</t>
  </si>
  <si>
    <t>TOTAL</t>
  </si>
  <si>
    <t>NOTE: "Total on record" holds the historical values that already came in the original file and were left untouched (yellow cells, editable). "Sum of weeks" recalculates them. If the two numbers do not match, it is because the original file counted weeks in the Total that have no column of their own. Reconcile by hand when you get a chance.</t>
  </si>
  <si>
    <t>DETAIL (calculation engine)</t>
  </si>
  <si>
    <t>Technical sheet: one row per person per day. No need to touch it.</t>
  </si>
  <si>
    <t>SETTINGS</t>
  </si>
  <si>
    <t>Change ONLY the yellow cells. Everything else calculates itself.</t>
  </si>
  <si>
    <t>1)  EDITABLE PARAMETERS</t>
  </si>
  <si>
    <t>DAYS</t>
  </si>
  <si>
    <t>Week to report - start (MONDAY)</t>
  </si>
  <si>
    <t>Monday</t>
  </si>
  <si>
    <t>Week end (FRIDAY) - automatic</t>
  </si>
  <si>
    <t>Tuesday</t>
  </si>
  <si>
    <t>Target hours per day</t>
  </si>
  <si>
    <t>Wednesday</t>
  </si>
  <si>
    <t>Allowed tolerance (+/- hours)</t>
  </si>
  <si>
    <t>Thursday</t>
  </si>
  <si>
    <t>1 hour = how many billing units</t>
  </si>
  <si>
    <t>Friday</t>
  </si>
  <si>
    <t>2)  CALCULATED VALUES (do not edit)</t>
  </si>
  <si>
    <t>Active people in the roster</t>
  </si>
  <si>
    <t>Weekly target per person (hours)</t>
  </si>
  <si>
    <t>RawBtabs rows inside the week</t>
  </si>
  <si>
    <t>Rows of the week that belong to BPO</t>
  </si>
  <si>
    <t>3)  WORK TYPES THAT COUNT AS TIME OFF</t>
  </si>
  <si>
    <t>Time off type 1</t>
  </si>
  <si>
    <t>Time Off</t>
  </si>
  <si>
    <t>Time off type 2</t>
  </si>
  <si>
    <t>BPO Vacation</t>
  </si>
  <si>
    <t>Time off type 3</t>
  </si>
  <si>
    <t>Holiday</t>
  </si>
  <si>
    <t>For these work types the system reads the FIRST NUMBER in the "Work Performed Detail" field and treats it as time off hours.
Real examples from the file:  "8 hours of paid vacations" -&gt; 8 h   ·   "4 hours not billed." -&gt; 4 h
That is why the detail must ALWAYS start with the number of hours.</t>
  </si>
  <si>
    <t>ROSTER - BPOworkers</t>
  </si>
  <si>
    <t>Master BPO list. Add or remove people here and the whole report adjusts.</t>
  </si>
  <si>
    <t>Landman's name</t>
  </si>
  <si>
    <t>Landman's email</t>
  </si>
  <si>
    <t>Team Lead email</t>
  </si>
  <si>
    <t>Team Lead (name) - automatic</t>
  </si>
  <si>
    <t>Yellow cells = editable.  Column E calculates itself.</t>
  </si>
  <si>
    <t>acamargo@tractsbpo.com</t>
  </si>
  <si>
    <t>alopez@tractsbpo.com</t>
  </si>
  <si>
    <t>sromero@tractsbpo.com</t>
  </si>
  <si>
    <t>alorenzo@tractsbpo.com</t>
  </si>
  <si>
    <t>cmesa@tractsbpo.com</t>
  </si>
  <si>
    <t>mcleon@tractsbpo.com</t>
  </si>
  <si>
    <t>hdaza@tractsbpo.com</t>
  </si>
  <si>
    <t>iparra@tractsbpo.com</t>
  </si>
  <si>
    <t>jdcastillo@tractsbpo.com</t>
  </si>
  <si>
    <t>jsbermudez@tractsbpo.com</t>
  </si>
  <si>
    <t>jdvalbuena@tractsbpo.com</t>
  </si>
  <si>
    <t>jpgonzalez@tractsbpo.com</t>
  </si>
  <si>
    <t>rsanchez@tractsbpo.com</t>
  </si>
  <si>
    <t>jrincon@tractsbpo.com</t>
  </si>
  <si>
    <t>lsilva@tractsbpo.com</t>
  </si>
  <si>
    <t>mcgrazziani@tractsbpo.com</t>
  </si>
  <si>
    <t>ccastellanos@tractsbpo.com</t>
  </si>
  <si>
    <t>dtrujillo@tractsbpo.com</t>
  </si>
  <si>
    <t>isalamanca@tractsbpo.com</t>
  </si>
  <si>
    <t>jeabay@tractsbpo.com</t>
  </si>
  <si>
    <t>jjreyes@tractsbpo.com</t>
  </si>
  <si>
    <t>lalfonso@tractsbpo.com</t>
  </si>
  <si>
    <t>lescobar@tractsbpo.com</t>
  </si>
  <si>
    <t>mflopez@tractsbpo.com</t>
  </si>
  <si>
    <t>miverdooren@tractsbpo.com</t>
  </si>
  <si>
    <t>mffernandez@tractsbpo.com</t>
  </si>
  <si>
    <t>fmontanez@tractsbpo.com</t>
  </si>
  <si>
    <t>jsramos@tractsbpo.com</t>
  </si>
  <si>
    <t>jmacias@tractsbpo.com</t>
  </si>
  <si>
    <t>nespitia@tractsbpo.com</t>
  </si>
  <si>
    <t>nlozano@tractsbpo.com</t>
  </si>
  <si>
    <t>savargas@tractsbpo.com</t>
  </si>
  <si>
    <t>ksmartinez@tractsbpo.com</t>
  </si>
  <si>
    <t>dschinchilla@tractsbpo.com</t>
  </si>
  <si>
    <t>aguerra@tractsbpo.com</t>
  </si>
  <si>
    <t>gnpereira@tractsbpo.com</t>
  </si>
  <si>
    <t>omoreno@tractsbpo.com</t>
  </si>
  <si>
    <t>scalderon@tractsbpo.com</t>
  </si>
  <si>
    <t>Time</t>
  </si>
  <si>
    <t>Status</t>
  </si>
  <si>
    <t>Client</t>
  </si>
  <si>
    <t>Prospect</t>
  </si>
  <si>
    <t>County</t>
  </si>
  <si>
    <t>Legal Description</t>
  </si>
  <si>
    <t>Project</t>
  </si>
  <si>
    <t>Well Name</t>
  </si>
  <si>
    <t>Miles</t>
  </si>
  <si>
    <t>Miles Quantity</t>
  </si>
  <si>
    <t>Miles Rate</t>
  </si>
  <si>
    <t>Miles Description</t>
  </si>
  <si>
    <t>Expense Total</t>
  </si>
  <si>
    <t>Work Performed Detail</t>
  </si>
  <si>
    <t>_EsBPO</t>
  </si>
  <si>
    <t>_HrsBilleadas</t>
  </si>
  <si>
    <t>_HrsAusencia</t>
  </si>
  <si>
    <t>_TotalContado</t>
  </si>
  <si>
    <t>_EnSemana</t>
  </si>
  <si>
    <t>_EsAusencia</t>
  </si>
  <si>
    <t>_Contador</t>
  </si>
  <si>
    <t>_RankAusencia</t>
  </si>
  <si>
    <t>[!] Name not in roster</t>
  </si>
  <si>
    <t>_NoRosterFirst</t>
  </si>
  <si>
    <t>_NoRosterCounter</t>
  </si>
  <si>
    <t>_NoRosterRank</t>
  </si>
  <si>
    <t>[!] Weekend entry</t>
  </si>
  <si>
    <t>[!] Outside selected week</t>
  </si>
  <si>
    <t>_DupKey</t>
  </si>
  <si>
    <t>[!] Duplicate suspect</t>
  </si>
  <si>
    <t>[!] Not a whole hour</t>
  </si>
  <si>
    <t>[!] Time off over target</t>
  </si>
  <si>
    <t>[!] Time off without hours</t>
  </si>
  <si>
    <t>V. Toran</t>
  </si>
  <si>
    <t>Unapproved</t>
  </si>
  <si>
    <t>Abbeville, SC</t>
  </si>
  <si>
    <t>8 hours not billed (Labor Day)</t>
  </si>
  <si>
    <t>P. Tamez</t>
  </si>
  <si>
    <t>Approved</t>
  </si>
  <si>
    <t>8 hours off for Labor Day.</t>
  </si>
  <si>
    <t>I. Rice</t>
  </si>
  <si>
    <t>8 hours unbilled- Labor Day</t>
  </si>
  <si>
    <t>K. Milcarzyk</t>
  </si>
  <si>
    <t>TLS</t>
  </si>
  <si>
    <t>TLS (Non-Billable)</t>
  </si>
  <si>
    <t>01-01N-01W</t>
  </si>
  <si>
    <t>8 hours PTO Holiday.</t>
  </si>
  <si>
    <t>G. Bond</t>
  </si>
  <si>
    <t>Crescent Energy</t>
  </si>
  <si>
    <t>DTO Project</t>
  </si>
  <si>
    <t>Glasscock, TX</t>
  </si>
  <si>
    <t>Title</t>
  </si>
  <si>
    <t>Helped pull docs for Sec 28 Blk 34</t>
  </si>
  <si>
    <t>4 hours not billed.</t>
  </si>
  <si>
    <t>L. Bailiff</t>
  </si>
  <si>
    <t>Jetstream Oil and Gas Partners, LP</t>
  </si>
  <si>
    <t>FreeH Project</t>
  </si>
  <si>
    <t>Lea, NM</t>
  </si>
  <si>
    <t>28-19S-34E: S2SE, SESW</t>
  </si>
  <si>
    <t>Review</t>
  </si>
  <si>
    <t>Finished reviewing AOI for Section 28, Township 19 South, Range 34 East in Lea County, NM associated with Federal Lease NM057285. Indexed parties to the chain of title. Compared documents attached to notecards with those provided in the project folder. Added and edited notecards as needed. Updated and uploaded landman statement.</t>
  </si>
  <si>
    <t>M. Young</t>
  </si>
  <si>
    <t>Not Billed - 6 hours</t>
  </si>
  <si>
    <t>EOG Resources - OK</t>
  </si>
  <si>
    <t>Pilot</t>
  </si>
  <si>
    <t>McClain, OK</t>
  </si>
  <si>
    <t>19-07N-03W</t>
  </si>
  <si>
    <t>Review cards</t>
  </si>
  <si>
    <t>M. Witheridge</t>
  </si>
  <si>
    <t>8 hours unpaid</t>
  </si>
  <si>
    <t>P. Elliott</t>
  </si>
  <si>
    <t>8 hours time off.</t>
  </si>
  <si>
    <t>J. Greenlee</t>
  </si>
  <si>
    <t>J. Howell</t>
  </si>
  <si>
    <t>00-01N-02W</t>
  </si>
  <si>
    <t>A. Beato</t>
  </si>
  <si>
    <t>Project Management</t>
  </si>
  <si>
    <t>Project Admin</t>
  </si>
  <si>
    <t>TCC — Staffing management</t>
  </si>
  <si>
    <t>Continued development and refinement of the Tracts Command Center, with a primary focus on building out and integrating the Staffing page to improve visibility into current project assignments, available personnel, and future staffing needs. Updated the site navigation and overall page flow to make movement between key Command Center sections more intuitive and efficient. Reviewed, adjusted, and corrected the TLS Client Intake Form to address existing issues and improve reliability, then tested the intake workflow to verify that newly submitted prospect information was being recorded accurately and routed correctly for review and approval. Also performed general troubleshooting and validation across the affected pages and workflows to ensure the latest updates were functioning as intended.</t>
  </si>
  <si>
    <t>L. Yasir</t>
  </si>
  <si>
    <t>8 hours not billed</t>
  </si>
  <si>
    <t>M. Svatek</t>
  </si>
  <si>
    <t>J. Jinkins</t>
  </si>
  <si>
    <t>8 hours not billed.</t>
  </si>
  <si>
    <t>M. Tamez</t>
  </si>
  <si>
    <t>Continued quality control work on completed AOIs per PM Instructions.</t>
  </si>
  <si>
    <t>3 hours not worked.</t>
  </si>
  <si>
    <t>M. Bearrow</t>
  </si>
  <si>
    <t>Title Notes</t>
  </si>
  <si>
    <t>Upton, TX</t>
  </si>
  <si>
    <t>TitleNotes - Library</t>
  </si>
  <si>
    <t>I am currently training with Matt regarding the library title
 notes. I am encountering some issues with documents that
 reflect different interests in their legal descriptions, and
 there are also some documents that I have been marking as
 "reviewed."</t>
  </si>
  <si>
    <t>41 documents reviewed
 87 Transactions</t>
  </si>
  <si>
    <t>TitleNotes - Client</t>
  </si>
  <si>
    <t>Documents 56
 Trnsactions 123
 The Title Notes website was very glitchy today</t>
  </si>
  <si>
    <t>32 Documents 69 Transactions</t>
  </si>
  <si>
    <t>22 notecards and 57 transactions</t>
  </si>
  <si>
    <t>Labor Day</t>
  </si>
  <si>
    <t>M. Soter</t>
  </si>
  <si>
    <t>Tower Rock</t>
  </si>
  <si>
    <t>RPHOE-VAROH Project</t>
  </si>
  <si>
    <t>Columbiana, OH</t>
  </si>
  <si>
    <t>75-00194.005</t>
  </si>
  <si>
    <t>Sevek</t>
  </si>
  <si>
    <t>Indexed for Parcel 75-00194.005 S 28 SW 1/4 T 13 R 3.</t>
  </si>
  <si>
    <t>Carroll, OH</t>
  </si>
  <si>
    <t>SHC Enterprisess NE HN MON</t>
  </si>
  <si>
    <t>Indexed for Parcel 25-0000194.001 S 4 PT SE T 14 R 4.
 The above is in Harrison and Carroll Counties.</t>
  </si>
  <si>
    <t>M. Avery</t>
  </si>
  <si>
    <t>8 hours time off (Holiday)</t>
  </si>
  <si>
    <t>BPO Project Management</t>
  </si>
  <si>
    <t>Project management &amp; Training</t>
  </si>
  <si>
    <t>*Absences report.
 *Team leads meeting.
 *Helping out Juan Sebastián Bermudez with WV pilot.
 *Offboarding with catalina.
 *Solved new hires questions.</t>
  </si>
  <si>
    <t>Arch Energy Management</t>
  </si>
  <si>
    <t>Mark Andrew, LLC</t>
  </si>
  <si>
    <t>Uintah, UT</t>
  </si>
  <si>
    <t>30-02S-02E</t>
  </si>
  <si>
    <t>Reviewed subject assignment</t>
  </si>
  <si>
    <t>Project management</t>
  </si>
  <si>
    <t>Provided an introduction to the Tracts application, including preparation of training materials and assistance with answering questions and resolving inquiries.</t>
  </si>
  <si>
    <t>Mallard | LND-26100038-0100 | 58060001</t>
  </si>
  <si>
    <t>Data Processing</t>
  </si>
  <si>
    <t>Mapping all the mentioned leases from the TO, distributing the starting interest among the original lessors. Make assignments and chain of title forward. 
 Sec14-Blk35-T4S, T&amp;P RR Co Svy, A-1221, Glasscock County, TX</t>
  </si>
  <si>
    <t>Q&amp;A with new trainees around the last reading chapter of AAPL guide around Pooling and unitization, and touching point on many useful concepts of tracts basics.</t>
  </si>
  <si>
    <t>Glass | LND-26100036-0100 | 58060001</t>
  </si>
  <si>
    <t>SEC 33 BLK 34</t>
  </si>
  <si>
    <t>Title Opinion data entry</t>
  </si>
  <si>
    <t>Had to re-do multimple starting interest as the original input was including curatvie parties and strangers in title exceeding the 100% interest of 8/8.
 Inputed each specific lease leaving the notecards completely full.</t>
  </si>
  <si>
    <t>Land Admin</t>
  </si>
  <si>
    <t>AIP Arkansas Reconciliation</t>
  </si>
  <si>
    <t>Data reconciliation</t>
  </si>
  <si>
    <t>Alliance Royalty, LLC</t>
  </si>
  <si>
    <t>Two Mile Mineral SIV Project</t>
  </si>
  <si>
    <t>Midland, TX</t>
  </si>
  <si>
    <t>ALL John Burleson Homestead Survey</t>
  </si>
  <si>
    <t>Abstract 604</t>
  </si>
  <si>
    <t>Worked on the review of the AOI 
 Re-indexing of 4 parties (±180 documents)
 Added missing instruments</t>
  </si>
  <si>
    <t>B. Lukes</t>
  </si>
  <si>
    <t>8 hours unpaid. Labor Day.</t>
  </si>
  <si>
    <t>Integrity Title Co</t>
  </si>
  <si>
    <t>Energy Miami Project</t>
  </si>
  <si>
    <t>Gray, TX</t>
  </si>
  <si>
    <t>W2 of 320.00Ac., SEC 50 BLK M-2 H&amp;GN</t>
  </si>
  <si>
    <t>-Created review copy
 -Corrected all grantors' names
 -Corrected some interests and reservations that were not applied. 
 -Marked all parties as indexed and verified the SIV partie</t>
  </si>
  <si>
    <t>449.10Ac., SEC 2 BLK M-2 H&amp;GN</t>
  </si>
  <si>
    <t>-Created review copy
 -Indexed to find a gray copy of the documents; only found the 13-558 conveyance and replaced it in the AOI.
 -Corrected some reservations that were not applied</t>
  </si>
  <si>
    <t>Medical Leave</t>
  </si>
  <si>
    <t>8 hours not worked medical leave. 8 Hours not billed</t>
  </si>
  <si>
    <t>Z. Greenlee</t>
  </si>
  <si>
    <t>W 160ac Svy. 52, Blk 37, T2S</t>
  </si>
  <si>
    <t>Review of 52 Blk 37, T2S. Addressed questions from BPO team regarding assignments and best practices.</t>
  </si>
  <si>
    <t>Six hours not billed</t>
  </si>
  <si>
    <t>R. Norris</t>
  </si>
  <si>
    <t>8 hours not billed for the holiday</t>
  </si>
  <si>
    <t>R. Liska</t>
  </si>
  <si>
    <t>22-000135.010</t>
  </si>
  <si>
    <t>Kantz North</t>
  </si>
  <si>
    <t>AOI Set Up, Parcel Identification, 9 names indexed and 9 documents entered.</t>
  </si>
  <si>
    <t>17-0000058.000</t>
  </si>
  <si>
    <t>SMELTZ</t>
  </si>
  <si>
    <t>Indexed 5 parties
 Added 7 notecards
 SIV Title: 17-0000058.000 et al, CARROLL (OH), SMELTZ
 Created M&amp;B for each document to align the notecard to the parcel being conveyed.
 On the way to solver Polygon Warnings as the generated polygons where M&amp;B.</t>
  </si>
  <si>
    <t>J. Edwards</t>
  </si>
  <si>
    <t>Time off</t>
  </si>
  <si>
    <t>Time Off...0 of 8 hours worked.</t>
  </si>
  <si>
    <t>Harrison, OH</t>
  </si>
  <si>
    <t>04-0000223.001</t>
  </si>
  <si>
    <t>04-0000223.001, HARRISON (OH), BEACON NW</t>
  </si>
  <si>
    <t>Identified source deed, indexed parties and started the SIV. 
 2 notecards entered
 3 parties indexed
 manual indexing is taking longer than expected</t>
  </si>
  <si>
    <t>Part time - Off</t>
  </si>
  <si>
    <t>5 hours</t>
  </si>
  <si>
    <t>04-0000456.001</t>
  </si>
  <si>
    <t>VANFOSSEN WEST</t>
  </si>
  <si>
    <t>11 party names indexed.
 1 notecards created.
 231 Documents indexed.</t>
  </si>
  <si>
    <t>AIP Well List Tracker</t>
  </si>
  <si>
    <t>- AIP Well List Tracker</t>
  </si>
  <si>
    <t>Paid Vacations</t>
  </si>
  <si>
    <t>8 hours of paid vacations</t>
  </si>
  <si>
    <t>30 docs
 Document 524-306, 9 transaction, 32 grantors per transaction</t>
  </si>
  <si>
    <t>T. Aguillard</t>
  </si>
  <si>
    <t>4 hours not worked</t>
  </si>
  <si>
    <t>J. Smallridge</t>
  </si>
  <si>
    <t>8 hours not billed holiday</t>
  </si>
  <si>
    <t>40 Documents 
 130 Transactions
 Provided feedback from the team
 Performed some changes in the dashboard</t>
  </si>
  <si>
    <t>BTABs Checkings Approval
 Adding legals in BTABs
 Extra Hours Spreadsheet
 Office mgmt
 Onboarding process fort the new wave and develop leaning activities.</t>
  </si>
  <si>
    <t>Lease Bringdown</t>
  </si>
  <si>
    <t>Duchesne, UT</t>
  </si>
  <si>
    <t>12-01S-04W</t>
  </si>
  <si>
    <t>Filled 50 notecards of leases</t>
  </si>
  <si>
    <t>Title Notes 
 13 Documents 
 72 Transactions</t>
  </si>
  <si>
    <t>SEC 23 BLK 35</t>
  </si>
  <si>
    <t>Title Opinion data entry - (WI/NRI; ORRI and verify number correctness in AOI)</t>
  </si>
  <si>
    <t>Appalachia Mineral Partenrs</t>
  </si>
  <si>
    <t>Pilot Project</t>
  </si>
  <si>
    <t>Marion, WV</t>
  </si>
  <si>
    <t>26, 16, 16.1, 17, p/o 18; PAW PAW - Marion, WV</t>
  </si>
  <si>
    <t>Runsheet created and uploaded, all the documents are uploaded to the AOI, started to verify interest</t>
  </si>
  <si>
    <t>12 Documents
 88 transacciones</t>
  </si>
  <si>
    <t>WVU Foundation SIV</t>
  </si>
  <si>
    <t>Wetzel, WV</t>
  </si>
  <si>
    <t>28, 06, 6.1, 6.2 and 07; GRANT - Wetzel, WV</t>
  </si>
  <si>
    <t>Single Interest Verification</t>
  </si>
  <si>
    <t>I indexed and double-checked the party names for any missing information. I also pulled documents from the vault and image indexes, looking for the source deed. I drew multiple polygons to confirm my AOI.</t>
  </si>
  <si>
    <t>26 Documents
 82 Transactions</t>
  </si>
  <si>
    <t>15-0000320.004</t>
  </si>
  <si>
    <t>Stocker</t>
  </si>
  <si>
    <t>Indexed 4 different parties, analyzed 44 documents, reviewed different historic indexes, created 2 notecards.</t>
  </si>
  <si>
    <t>12-0000042.000</t>
  </si>
  <si>
    <t>HANCHIN S</t>
  </si>
  <si>
    <t>Documents added in AOI: 2
 Indexed documents: 32
 Indexed parties: 4
 In an attempt to trace the title to the present, a manual index was done, using the filters “DEED GRANTOR GENERAL INDEX 1812-1870 GENERAL INDEX” and “DEED GRANTOR GENERAL INDEX 1812-1870 GENERAL INDEX,” however, for one of the parties (Israel Price), it was not possible to find a document to continue the chain; therefore, FamilySearch and Find a Grave were consulted for information, and an assumption notecard was created to connect the chain.</t>
  </si>
  <si>
    <t>540Ac., SEC 89 BLK M-2 H&amp;GN</t>
  </si>
  <si>
    <t>S89 BLK M2</t>
  </si>
  <si>
    <t>- Started reviewing AOI
 - Fixed multiple gaps in title, pending correction of some notecards</t>
  </si>
  <si>
    <t>Pearl/Joshua | LND-26100037-0100 | 58060001</t>
  </si>
  <si>
    <t>SEC 11 BLK Y</t>
  </si>
  <si>
    <t>Pearl-Joshua</t>
  </si>
  <si>
    <t>Most of the 90 lease notecards had their pdf attached, notes created, dates updated and the leases with extensions have been identified to start adding their supporting documents.</t>
  </si>
  <si>
    <t>11-0000091.000</t>
  </si>
  <si>
    <t>Reviewed +/- 100 documents about different parties to identify the parties involved in different transactions, unable to find information related to both sections, still indexing to complete the chain since Marie Dinger.</t>
  </si>
  <si>
    <t>Notecards: 23±
 Transactions: 53±</t>
  </si>
  <si>
    <t>S2 Sec. 27, Blk 39, T2S</t>
  </si>
  <si>
    <t>S2</t>
  </si>
  <si>
    <t>Finalizing the AOI.</t>
  </si>
  <si>
    <t>39 Documents
 81 Transactions</t>
  </si>
  <si>
    <t>11-0000046.000; GERMAN - Harrison, OH</t>
  </si>
  <si>
    <t>SIV patent to present.
 Manual indexing.</t>
  </si>
  <si>
    <t>31-02S-06W</t>
  </si>
  <si>
    <t>ALL</t>
  </si>
  <si>
    <t>Added last leases and ran title forward to present.</t>
  </si>
  <si>
    <t>30-02S-05W</t>
  </si>
  <si>
    <t>T. Allerman</t>
  </si>
  <si>
    <t>28-02S-03W</t>
  </si>
  <si>
    <t>Worked pulling leases and indexing 28-2S-3W.</t>
  </si>
  <si>
    <t>A. Dycus</t>
  </si>
  <si>
    <t>27-2S-3W</t>
  </si>
  <si>
    <t>Finished filling out notecards for source leases</t>
  </si>
  <si>
    <t>S. Bacot</t>
  </si>
  <si>
    <t>Labor Day Holiday</t>
  </si>
  <si>
    <t>J. Burgos</t>
  </si>
  <si>
    <t>Training - BPO</t>
  </si>
  <si>
    <t>TRAINING DAY 5</t>
  </si>
  <si>
    <t>Day 5 – Monday, September 7: Chapter 8, Pooling (pp. 141–160)
 • Reading: Chapter 8 – Pooling. Read the assigned pages 
 • CPL - RPL, Apependix C - Quiz
 • Practice the using of Tracts App 
 • Meeting</t>
  </si>
  <si>
    <t>D. Pescador</t>
  </si>
  <si>
    <t>Training</t>
  </si>
  <si>
    <t>Read the charapter 8 of the AAPL study guide about Pooling, and also an introduction to the tracts platform and how to used.</t>
  </si>
  <si>
    <t>L. Pinto</t>
  </si>
  <si>
    <t>- Read Ch. 8 Pooling
 - ELT Lesson "Title Fundamentals: Comprehesive Quiz"
 - Meeting with Sebastian Romero: Tracts platform</t>
  </si>
  <si>
    <t>J. Cañon</t>
  </si>
  <si>
    <t>Reading about pooling and a view about how tracts work</t>
  </si>
  <si>
    <t>S. Guataquira</t>
  </si>
  <si>
    <t>Training - TLS</t>
  </si>
  <si>
    <t>TX Training</t>
  </si>
  <si>
    <t>training</t>
  </si>
  <si>
    <t>Today i learned about the pooling and unitization and how this works in a real life sitation. Also, i get an indrotuction to tracts software</t>
  </si>
  <si>
    <t>C. Diaz</t>
  </si>
  <si>
    <t>Read the assigned pages of Chapter 8. Close out the week with a general wrap-up discussion of the readings.
 Title Fundamentals: Comprehensive Quiz || Tracts ELT</t>
  </si>
  <si>
    <t>T. Moreno</t>
  </si>
  <si>
    <t>Training day 5</t>
  </si>
  <si>
    <t>- Reading: Chapter 8 – Pooling. Read the assigned pages. 
 - CPL-RPL, Appendix C - Quiz
 - Meeting and practice of Tracts</t>
  </si>
  <si>
    <t>S. Lopez</t>
  </si>
  <si>
    <t>Reading of Chapter 8 of the AAPL Guide related to Pooling. 
 Attending to the explanation and recap done by Roberto about the chapter. 
 Attending to the meeting done by Sebastián about the Tracts platform.</t>
  </si>
  <si>
    <t>A. Roa</t>
  </si>
  <si>
    <t>Read the assigned pages of Chapter 8. Close out the week with a general wrap-up discussion of the readings.</t>
  </si>
  <si>
    <t>G. Gonzalez</t>
  </si>
  <si>
    <t>Lecture of chapter 8th regarding pooling and introduction to tracts</t>
  </si>
  <si>
    <t>L. Rincon</t>
  </si>
  <si>
    <t>Reading: Reading: Chapter 8 – Pooling.
 Quiz Title fundamentals: Comprehensive quiz</t>
  </si>
  <si>
    <t>A. Mojica</t>
  </si>
  <si>
    <t>Training 5</t>
  </si>
  <si>
    <t>Reading: Chapter 8 – Pooling.</t>
  </si>
  <si>
    <t>M. Patron</t>
  </si>
  <si>
    <t>Chapter 8 and activities, quiz.</t>
  </si>
  <si>
    <t>A. Pujana</t>
  </si>
  <si>
    <t>Completed onboarding training: Read the assigned pages of Chapter 8. Close out the week with a general wrap-up discussion of the readings. Made the title fundamental comprehensive quiz.</t>
  </si>
  <si>
    <t>L. Cardenas</t>
  </si>
  <si>
    <t>Trainig</t>
  </si>
  <si>
    <t>Chapter 8: Pooling</t>
  </si>
  <si>
    <t>Meeting about tracts</t>
  </si>
  <si>
    <t>S. Torres</t>
  </si>
  <si>
    <t>N. Parra</t>
  </si>
  <si>
    <t>Reading and discussion of Chapter 8 - Pooling from the book AAPL Oil &amp; Gas Land Reference Volume &amp; Study Guide. Introduction to the TRACT sofware</t>
  </si>
  <si>
    <t>Reviewed AOI for Section 28, Township 19 South, Range 34 East in Lea County, NM associated with Federal Lease NM057285. Indexed parties to the chain of title. Compared documents attached to notecards with those provided in the project folder. Added and edited notecards as needed.</t>
  </si>
  <si>
    <t>Jessen SIV</t>
  </si>
  <si>
    <t>34-04S-04W</t>
  </si>
  <si>
    <t>Pulled index from OnBase and VmWare and continued reviewing 34-4S-4W | Dewey Max and Cynthia Jessen Family Trust SIV | Arch | Utah</t>
  </si>
  <si>
    <t>6 hours unpaid</t>
  </si>
  <si>
    <t>Martin, TX</t>
  </si>
  <si>
    <t>E2 Sec. 41, Blk 36, T2N</t>
  </si>
  <si>
    <t>44 docs reviewed; asana updated; review notes sent to original landman; LMS updated; Alliance Royalty Team Meeting</t>
  </si>
  <si>
    <t>K. Mainard</t>
  </si>
  <si>
    <t>16-02S-01E</t>
  </si>
  <si>
    <t>Reviewed remainder of report and rebuilt GIS polygons</t>
  </si>
  <si>
    <t>Uinta Basin</t>
  </si>
  <si>
    <t>00-00N-00W</t>
  </si>
  <si>
    <t>Hybrid Title</t>
  </si>
  <si>
    <t>Reviewed hybrid quotes.</t>
  </si>
  <si>
    <t>Nilsson SIV</t>
  </si>
  <si>
    <t>25-03S-02W</t>
  </si>
  <si>
    <t>Curative</t>
  </si>
  <si>
    <t>Online research to determine heirs of Helen Akslund Nilsson</t>
  </si>
  <si>
    <t>Meeting with team to address progress.</t>
  </si>
  <si>
    <t>Exxon Mobile</t>
  </si>
  <si>
    <t>Pilot Project "D"</t>
  </si>
  <si>
    <t>Section 4, Block 36, T1S, Abstract 458</t>
  </si>
  <si>
    <t>Reviewed the AOI in accordance with TLS Best Practices and review standards.</t>
  </si>
  <si>
    <t>USEDC</t>
  </si>
  <si>
    <t>Winkler, TX</t>
  </si>
  <si>
    <t>S30-BLK74-A1099-E2</t>
  </si>
  <si>
    <t>Continue review of AOI and notecards and make adjustments to cards and party names where needed. Update library and common title AOIs.</t>
  </si>
  <si>
    <t>2 hours unbilled.</t>
  </si>
  <si>
    <t>Attending daily meeting and staffing changes.</t>
  </si>
  <si>
    <t>00-00N, 00W; GRANT - Wetzel, WV</t>
  </si>
  <si>
    <t>Answering landmen questions and emails with Spencer.</t>
  </si>
  <si>
    <t>Belmont, OH</t>
  </si>
  <si>
    <t>00N, 00W; COLERAIN - Belmont, OH</t>
  </si>
  <si>
    <t>Answering questions and updating project log.</t>
  </si>
  <si>
    <t>Meeting with landmen individually to discuss overall project status.</t>
  </si>
  <si>
    <t>Peak 10 Energy</t>
  </si>
  <si>
    <t>Pony Run Prospect</t>
  </si>
  <si>
    <t>Gaines, TX</t>
  </si>
  <si>
    <t>A-000</t>
  </si>
  <si>
    <t>Meeting with team to discuss staffing and setting up new landmen for project.</t>
  </si>
  <si>
    <t>Rocking WW Minerals, LLC</t>
  </si>
  <si>
    <t>RWW PRB Asset VDR</t>
  </si>
  <si>
    <t>Campbell, WY</t>
  </si>
  <si>
    <t>Phone call with Justin to discuss project and staffing updates to finalize project.</t>
  </si>
  <si>
    <t>Pilot Project "C"</t>
  </si>
  <si>
    <t>Review of weekly status reports and updates from Peter.</t>
  </si>
  <si>
    <t>TLS dashboard call with Kristen and Anders. Updating excel active status project sheet.</t>
  </si>
  <si>
    <t>Helped with questions amongst all AOIs.</t>
  </si>
  <si>
    <t>SEC 28 BLK 34</t>
  </si>
  <si>
    <t>Helped with specific AOI of Sec 28 Blk 34, T4S, Glasscock County, Texas</t>
  </si>
  <si>
    <t>R. Willis</t>
  </si>
  <si>
    <t>H.F. Taylor Pre-emption, BlK 37, T2S</t>
  </si>
  <si>
    <t>Reviewed AOI notecards and kept track of any changes that were made to the notecards, reviewed LMS.</t>
  </si>
  <si>
    <t>2 hours unpaid.</t>
  </si>
  <si>
    <t>Not Billed - 8 hours</t>
  </si>
  <si>
    <t>11-01S-01W</t>
  </si>
  <si>
    <t>Finalized review of subject AOI. Prepared email with all revisions and additions to landman.</t>
  </si>
  <si>
    <t>Batson and Smith</t>
  </si>
  <si>
    <t>26-03S-03W</t>
  </si>
  <si>
    <t>Reviewed subject AOI.</t>
  </si>
  <si>
    <t>S. Laine</t>
  </si>
  <si>
    <t>time off 8.00</t>
  </si>
  <si>
    <t>B. Shlemon</t>
  </si>
  <si>
    <t>00-00N-00E</t>
  </si>
  <si>
    <t>Correspondence with reviewers and management. Prep of client deliverables and addresses lookup and representation look up for parties to current title. QC of title.</t>
  </si>
  <si>
    <t>4 hours unpaid</t>
  </si>
  <si>
    <t>Sponsored</t>
  </si>
  <si>
    <t>Business Development</t>
  </si>
  <si>
    <t>Support Request - Zendesk</t>
  </si>
  <si>
    <t>Support</t>
  </si>
  <si>
    <t>Transferring Education Responsibilities - Lara &gt; ELT Lessons Receipt &amp; Review</t>
  </si>
  <si>
    <t>00-00-00</t>
  </si>
  <si>
    <t>Led the daily Energy Miami project team meeting to review the status of outstanding AOI assignments and obtain updated completion ETAs from each Landman. Worked through active research issues, title gaps, and other blockers affecting completion, providing guidance on how to approach early-chain title gaps and determine appropriate next research steps. Reinforced expectations for documenting unresolved issues, maintaining a defensible chain of title, and clearly identifying circumstances where supporting documentation could not be located.</t>
  </si>
  <si>
    <t>Reviewed the client’s requirements and outstanding information needed to complete a thorough and supportable chain of title, identifying areas where additional documentation or clarification of scope was necessary. Drafted and sent correspondence to Marcia requesting assistance with, or access to, any additional documentation concerning the Sumner family and Airship that could help reconcile existing title gaps. Separately drafted and sent an email to Jamie requesting clarification regarding the treatment of solar and wind leases, including whether those instruments should be incorporated directly into the chain of title or identified separately as non-conveying documents. Coordinated these questions to ensure the team’s research and final deliverables remain aligned with the client’s expectations.</t>
  </si>
  <si>
    <t>Met individually with Nicholas, Bobby, Maria, and Juan as they completed their AOI assignments to review their work, answer outstanding questions, and provide guidance on proper submission procedures. Walked through how to document and communicate unresolved title issues, missing or unavailable instruments, and gaps that could not be reconciled through available research resources. Clarified expectations for recording the nature of each outstanding issue, documenting research already performed, and distinguishing between a true title gap and documentation that is referenced but unavailable. Used each one-on-one session as a final quality-control and procedural review before the AOI was submitted for the next stage of the project.</t>
  </si>
  <si>
    <t>Tracts Command Center</t>
  </si>
  <si>
    <t>Continued development of Tracts Command Center by completing and refining remaining security-related code revisions identified during the recent code review and verifying that the updated functionality operated correctly within the existing application. Cleaned up, reviewed, and expanded the underlying spreadsheet data supporting the company directory and project-tracking framework to improve accuracy and consistency across the platform. Implemented additional page updates and feature refinements requested by Kristen and Katie, including clearer instructional and descriptive text throughout the interface. Began developing the framework for a more streamlined staffing workflow that will allow Katie to move Landmen between active projects more easily while also identifying and tracking future project assignments, providing greater visibility into upcoming staffing transitions and resource planning.</t>
  </si>
  <si>
    <t>E2 Sec. 40, Blk 37, T1N</t>
  </si>
  <si>
    <t>Reviewed this AOI.</t>
  </si>
  <si>
    <t>6 hours not billed</t>
  </si>
  <si>
    <t>J. Warlick</t>
  </si>
  <si>
    <t>Eddy, NM</t>
  </si>
  <si>
    <t>SEC 35 BLK 35</t>
  </si>
  <si>
    <t>Working on Title Opinion/AOI and indexing for Sec. 35, Blk 35, T4S.</t>
  </si>
  <si>
    <t>L. Carollo</t>
  </si>
  <si>
    <t>Assisting team with questions and assignments.</t>
  </si>
  <si>
    <t>Worked on training materials, assisted training team</t>
  </si>
  <si>
    <t>Began quality control work over all completed AOIs per Project Manager Instructions.</t>
  </si>
  <si>
    <t>Title Notes Kickoff</t>
  </si>
  <si>
    <t>Title notes analysis and management.</t>
  </si>
  <si>
    <t>Indexed for Parcel 01-0000041.000 S 19 NE 1/4 T 15 R 5.</t>
  </si>
  <si>
    <t>B. Gmutza</t>
  </si>
  <si>
    <t>Flat River Minerals</t>
  </si>
  <si>
    <t>Elk</t>
  </si>
  <si>
    <t>Spreadsheet Review Linking Parcels</t>
  </si>
  <si>
    <t>8 hours time off...waiting on next assignment.</t>
  </si>
  <si>
    <t>*Absences report.
 *Team leads meeting.
 *Helping out Juan Sebastián Bermudez with WV pilot.
 *New hires onboarding.
 *Solved new hires questions.</t>
  </si>
  <si>
    <t>All Svy. 4, Blk 37, T2S</t>
  </si>
  <si>
    <t>Survey 4-Blk37-T2S</t>
  </si>
  <si>
    <t>Reviewing and indexing "Survey 4-Blk37-T2S, A- 996, Veazey,-A-P, Svy·
 *Attended meeting</t>
  </si>
  <si>
    <t>The usual Team Leads meetings were attended, as well as the regular Team meeting. Additionally, questions from the new BPO members regarding BTABS and leases were addressed.</t>
  </si>
  <si>
    <t>TL &amp; TLS team
 Oil and Gas lease presentation and workshop, took an hour and a half. Multiple Q&amp;A's</t>
  </si>
  <si>
    <t>Mapping all the mentioned leases from the TO, distributing the starting interest among the original lessors. Make LMS upload documents as RS and cert to different MOR.</t>
  </si>
  <si>
    <t>TL meeting
 Q&amp;A new trainees</t>
  </si>
  <si>
    <t>Mapping all the mentioned leases from the TO, distributing the starting interest among the original lessors.</t>
  </si>
  <si>
    <t>- Team Leads Meetings
 - My Team's meeting
 - Meeting with my mentee
 - Review of my team's BTABs</t>
  </si>
  <si>
    <t>Worked on the review of the AOI (corrected some notecards and aliases, as well as the re-indexing of some parties)</t>
  </si>
  <si>
    <t>Uploading and organizing DTO data into AOI.</t>
  </si>
  <si>
    <t>630.00Ac., SEC 23 BLK M-2 H&amp;GN</t>
  </si>
  <si>
    <t>-Created AOI
 -Created indexing spreadsheet
 -Added source deed
 -Indexed to the present from the source deed
 -Started indexing from the source deed back to the patent
 While adding relevant documents required in the scope
 - Documents added to the AOI: 6
 - Documents indexed: 47
 Helped Nicolas Espitia with his AOI, reducing the gap in title between Sumner and The Federal Land Bank of Houston</t>
  </si>
  <si>
    <t>* Answer questions
 * Check btabs
 *Weekly meeting with my team</t>
  </si>
  <si>
    <t>Led team meeting with reviewers and landmen as they complete their AOI's. Answered questions from landmen regarding document interpretation and best practices for Tracts data entry. Met with individual team members as needed to assist with AOI/title research.</t>
  </si>
  <si>
    <t>Review of 52-Blk37-T2S W 160ac</t>
  </si>
  <si>
    <t>SE Sec4-Blk 37-T1N</t>
  </si>
  <si>
    <t>Worked through fixing the documents that were greying out the chain, I got close to finishing and was struggling why some of the sells were greyed out. I talked to Zach and we are going to look it over on Monday.</t>
  </si>
  <si>
    <t>4 hours not billed</t>
  </si>
  <si>
    <t>02-0000207.000</t>
  </si>
  <si>
    <t>Norris E / Norris W</t>
  </si>
  <si>
    <t>5 Names Indexed, 8 Documents Added, Production Data Confirmed, Landman Statement.</t>
  </si>
  <si>
    <t>Indexed 7 parties
 indexed 398 documents 
 Added 9 notecards
 SIV Title: 17-0000058.000 et al, CARROLL (OH), SMELTZ</t>
  </si>
  <si>
    <t>522.00Ac., SEC 21 BLK M-2 H&amp;GN</t>
  </si>
  <si>
    <t>Section 21, Block M-2</t>
  </si>
  <si>
    <t>- Created AOI
 - Created indexing spreadsheet
 - Added source deed
 - Indexed to the present from source deed
 - Started indexing from the source deed back to the patent
 while adding relevant documents required in the scope
 - Documents added to the AOI: 5
 - Documents indexed: 6</t>
  </si>
  <si>
    <t>21-19S-34E: W2NW, SENW</t>
  </si>
  <si>
    <t>NMNM 105315128</t>
  </si>
  <si>
    <t>Completed review of the leasehold research and reconciliation for the Federal BLM Leasehold specifically focusing on ORRI's for the above described AOI.</t>
  </si>
  <si>
    <t>Identified source deed, indexed parties and started the SIV. 
 6 notecards entered
 10 parties indexed</t>
  </si>
  <si>
    <t>2 hours</t>
  </si>
  <si>
    <t>6 party names indexed.
 6 notecards created.
 302 Documents indexed.</t>
  </si>
  <si>
    <t>Team meting</t>
  </si>
  <si>
    <t>DO tracker</t>
  </si>
  <si>
    <t>4 hours not worked - Review</t>
  </si>
  <si>
    <t>R. Hufnagel</t>
  </si>
  <si>
    <t>Didn't work 8 hours</t>
  </si>
  <si>
    <t>D. Woodall</t>
  </si>
  <si>
    <t>Dawson, TX</t>
  </si>
  <si>
    <t>Review project log deviations in dawson county, meet with management peak 10 team</t>
  </si>
  <si>
    <t>5 hrs not billed</t>
  </si>
  <si>
    <t>75 Documents 
 156 Transactions
 Provided feedback from the team
 Performed some changes in the dashboard</t>
  </si>
  <si>
    <t>Start looking for the leases related to the section in the platform "Omnissa Horizon Client", look for them in the On Base page.
 Download 150 leases from the On Base Duchesne Page and filled 10 notecards</t>
  </si>
  <si>
    <t>Title Notes 
 14 Documents 
 84 Transactions</t>
  </si>
  <si>
    <t>Title Opinion data entry - (Mineral Interest and NPRI)</t>
  </si>
  <si>
    <t>23 Documents
 81 transacciones aprox</t>
  </si>
  <si>
    <t>I indexed and double checked party names for missing information. I have also pulled documents from the vault and image indexes and been looking for the source deed and draw multiple polygons to confirm my AOI.</t>
  </si>
  <si>
    <t>Team meeting</t>
  </si>
  <si>
    <t>Team Huddle ( Closing Week), Group meeting</t>
  </si>
  <si>
    <t>- Indexed to the present from source deed
 - Started indexing from the source deed back to the patent
 while adding relevant documents required in the scope
 - Documents added to the AOI: 6
 - Documents indexed: X+50
 I conducted a thorough review by double-checking all the indexed parties to ensure complete accuracy in the records. I also investigated the existing gaps in title to identify any missing links in the chain of ownership. Finally, I drafted and finalized the landman statement to properly document all of my findings.</t>
  </si>
  <si>
    <t>44 Documents
 81 Transactions</t>
  </si>
  <si>
    <t>Indexed 2 different parties, analyzed 54 documents, reviewed different historic indexes</t>
  </si>
  <si>
    <t>Documents added in AOI: 1
 Indexed documents: 35
 Indexed parties: 6
 Attempts were made to trace the chain of title back to 1893 to connect it with the original patent grantee, but this was unsuccessful after indexing all individuals with the surname "Price." Searches performed in the DEED GRANTOR GENERAL INDEX 1869-1898 and the DEED GRANTOR GENERAL INDEX 1812-1870 did not yield any relevant documents.
 However, a document from 1829 was located using the manual index while attempting to run the title from the patent forward to the present.</t>
  </si>
  <si>
    <t>Medical leave</t>
  </si>
  <si>
    <t>8 hours not worked due to medical leave.</t>
  </si>
  <si>
    <t>377.47Ac., SEC 22 BLK M-2 H&amp;GN</t>
  </si>
  <si>
    <t>S22-BLKM2</t>
  </si>
  <si>
    <t>-Indexing from the source deed back to the patent
 while adding relevant documents required in the scope
 -Documents added to the AOI: 5
 -Documents indexed: 50</t>
  </si>
  <si>
    <t>22 notecards and 66 transactions</t>
  </si>
  <si>
    <t>- Approved billing &amp; provided support + daily meeting</t>
  </si>
  <si>
    <t>Sec23-BlkM-2</t>
  </si>
  <si>
    <t>- Continued indexing from the source deed back to the patent while adding relevant documents required in the scope
 - Documents added to the AOI: 5
 - Documents indexed: 755 + manual indexing
 - Submitted AOI for review</t>
  </si>
  <si>
    <t>Team Huddle ( Closing Week)</t>
  </si>
  <si>
    <t>320.00Ac., SEC 26 BLK M-2 H&amp;GN</t>
  </si>
  <si>
    <t>S 26- BLK M2- A 1095</t>
  </si>
  <si>
    <t>-I experienced several glitches with the website today.
 - Documents added to the AOI: 1
 - Documents indexed : 30
 Finishing AOI.
 Reviewing each notecard.
 Checking interest transfer.
 Last Indexing. 
 Write the Landman Statement</t>
  </si>
  <si>
    <t>Runsheet used for introducing the 90 leases mentioned in the Title Opinion into the AOI. Currently adding the PDF document of each lease and the starting interest of the different parties.</t>
  </si>
  <si>
    <t>Indexed manually to find all information for parties after patent and before strata. 
 More than 60 documents were reviewed, all by historical, changing among parties (Lowmiller, Heisler, Howell, Polen)</t>
  </si>
  <si>
    <t>21 Documents 43 Transactions</t>
  </si>
  <si>
    <t>Finalizing the AOI and meeting with the PM to resolve a warning regarding overconveyance. I am also assisting with the review of another tract, searching for a land patent and documents missing from a gap in the title.</t>
  </si>
  <si>
    <t>40 Documents
 81 Transactions</t>
  </si>
  <si>
    <t>8 hours nor billed for medical leave.</t>
  </si>
  <si>
    <t>23-01S-04W</t>
  </si>
  <si>
    <t>R. Llanes</t>
  </si>
  <si>
    <t>Sec 19 T07N R03W</t>
  </si>
  <si>
    <t>Continued work on Sec 19, EOG Pilot. 32 notecards completed, reviewed, or deleted.</t>
  </si>
  <si>
    <t>29-02S-04W</t>
  </si>
  <si>
    <t>Worked pulling leases and indexing 29-2S-3W.</t>
  </si>
  <si>
    <t>27-2S-3W Indexed leases, filled out notecards, GIS</t>
  </si>
  <si>
    <t>D. Beeson</t>
  </si>
  <si>
    <t>B. Sayadeth</t>
  </si>
  <si>
    <t>E2 of 320.00Ac., SEC 50 BLK M-2 H&amp;GN</t>
  </si>
  <si>
    <t>-Created AOL
 -Created Indexing Spreadsheet
 -Add Source Deed
 -Ran surface forward and backwards
 -Documents added to AOI
 -Documents Index</t>
  </si>
  <si>
    <t>N. Jones</t>
  </si>
  <si>
    <t>35-02S-03W</t>
  </si>
  <si>
    <t>used vmware, onbase and previous updated index to search for relevant files to the AIO</t>
  </si>
  <si>
    <t>E. Lee</t>
  </si>
  <si>
    <t>SIV Title Surface: Documents Reviewed: 34, Parties Added: 7, Index Pages Viewed: 80. Completed all tasks and submitted for review.</t>
  </si>
  <si>
    <t>8 hours off. Construction project in the home, off for Labor Day Weekend</t>
  </si>
  <si>
    <t>M. Freshwater</t>
  </si>
  <si>
    <t>32-01108.000</t>
  </si>
  <si>
    <t>Lehwald CL BUT North</t>
  </si>
  <si>
    <t>Online courthouse research using indexes and searching online records</t>
  </si>
  <si>
    <t>TRAINING DAY 4</t>
  </si>
  <si>
    <t>• Reading: Chapter 6 – Oil &amp; Gas Lease. This is the longest reading of the week (est. 105 min), so it opens the day — start it first thing.
 • Chapter 6 quiz in Rise
 • Rise/ELT lesson: “Texas Oil and Gas Leases: Ownership, Clauses, and Title Analysis Essentials”
 • Rise/ELT lesson: “Oil and Gas Leasehold Interests: Analysis, Calculation, and Compliance”</t>
  </si>
  <si>
    <t>Reading chapter 6 of the AAPL STUDY GUIDE, quiz 6 in Rise, also ELT lessons of chapter 6.</t>
  </si>
  <si>
    <t>- Read Ch. 6 Oil &amp; Gas Lease
 - Quiz Ch. 6
 - ELT Lessons "Texas Oil and Gas Leases: Ownership, Clauses, and Title Analysis Essentials" and "Oil and Gas Leasehold Interests: Analysis, Calculation, and Compliance"</t>
  </si>
  <si>
    <t>Learn about Oil and gas lease and types of clause</t>
  </si>
  <si>
    <t>Today i learn about Lease in the oil industy and the diferent clauses in a leease</t>
  </si>
  <si>
    <t>Read the assigned pages of Chapter 6 — this is the longest reading of the week, so plan to begin it first thing in the
 morning. Complete the Chapter 6 quiz in Rise.</t>
  </si>
  <si>
    <t>Training day 4</t>
  </si>
  <si>
    <t>Reading: Chapter 6 – Oil &amp; Gas Lease. This is the longest reading of the week (est. 105 min), so it opens
 the day — start it first thing.
 • Chapter 6 quiz in Rise
 • Rise/ELT lesson: “Texas Oil and Gas Leases: Ownership, Clauses, and Title Analysis Essentials”
 • Rise/ELT lesson: “Oil and Gas Leasehold Interests: Analysis, Calculation, and Compliance”</t>
  </si>
  <si>
    <t>Reading of Chapter 6 of the AAPL Study Guide. 
 Doing the Quiz of the Chapter 6 in the Rise Platform. 
 Doing the “Texas Oil and Gas Leases: Ownership,
 Clauses, and Title Analysis Essentials”, “Oil and Gas Leasehold Interests: Analysis, Calculation, and Compliance” courses, both in Rise Platform.</t>
  </si>
  <si>
    <t>Did the lectures and quiz</t>
  </si>
  <si>
    <t>Reading: Chapter 6 – Oil &amp; Gas Lease.
 Chapter 6 quiz in Rise
 Rise/ELT lesson: “Texas Oil and Gas Leases: Ownership, Clauses, and Title Analysis Essentials”
 Rise/ELT lesson: “Oil and Gas Leasehold Interests: Analysis, Calculation, and Compliance”</t>
  </si>
  <si>
    <t>Training 4</t>
  </si>
  <si>
    <t>Reading of Chapter 6 and 8, Tracts University exercises</t>
  </si>
  <si>
    <t>Completed onboarding training: read Chapter 6 (Oil &amp; Gas Lease, pp. 89–123) of the AAPL Study Guide and completed the corresponding Chapter 6 quiz in Rise. Also completed Rise/ELT lessons "Texas Oil and Gas Leases: Ownership, Clauses, and Title Analysis Essentials" and "Oil and Gas Leasehold Interests: Analysis, Calculation, and Compliance."</t>
  </si>
  <si>
    <t>Reading assignment chapter 6: Oil &amp; Gas Lease, quiz chapter 6 and lessons: "Texas Oil and Gas Leases: Ownership, 
 Clauses, and Title Analysis Essentials”
 “Oil and Gas Leasehold Interests: 
 Analysis, Calculation, and Compliance”</t>
  </si>
  <si>
    <t>Reading of Chapter 6 - Oil&amp; Gas Lease. Quiz 6 in Rise and completing courses "Texas Oil and Gas Leases: Ownership, Clauses, and Title Analysis Essentials" and "Oil and Gas Leasehold Interests: Analysis, Calculation, and Compliance"</t>
  </si>
  <si>
    <t>45 docs reviewed; Alliance Royalty Team Meeting</t>
  </si>
  <si>
    <t>30-07N-03W</t>
  </si>
  <si>
    <t>Meeting with team to address progress and drafted update to client.</t>
  </si>
  <si>
    <t>Meeting with landmen. Reviewed information already in AOIs. Meeting with client</t>
  </si>
  <si>
    <t>Continue review and revision of notecards as needed and compilation of changes made for researching landman feedback. Approximately 45 notecards reviewed and common title AOIs updated.</t>
  </si>
  <si>
    <t>S25-BLK74-A1102-ALL</t>
  </si>
  <si>
    <t>Meeting with client.</t>
  </si>
  <si>
    <t>Attending daily meeting and reviewing weekly summary update.</t>
  </si>
  <si>
    <t>Review of weekly client summary report.</t>
  </si>
  <si>
    <t>00-00N, 00W; PAW PAW - Marion, WV</t>
  </si>
  <si>
    <t>Drafting weekly summary report.</t>
  </si>
  <si>
    <t>Answering landmen questions.</t>
  </si>
  <si>
    <t>Meeting with team to discuss overall project status.</t>
  </si>
  <si>
    <t>OGX Resources, LLC</t>
  </si>
  <si>
    <t>Review of Weekly Summary Report.</t>
  </si>
  <si>
    <t>Meeting with Josh to discuss staffing and time approval.</t>
  </si>
  <si>
    <t>Pecos, TX</t>
  </si>
  <si>
    <t>Project updates with Peter and review of weekly summary report.</t>
  </si>
  <si>
    <t>Well Data Analysis</t>
  </si>
  <si>
    <t>Completed pulling production for each section.</t>
  </si>
  <si>
    <t>Helped with questions when creating AOI.</t>
  </si>
  <si>
    <t>All Sec. 26, Blk35, T1N</t>
  </si>
  <si>
    <t>Finished reviewing both AOIs associated with the legal description.</t>
  </si>
  <si>
    <t>3 hours unpaid.</t>
  </si>
  <si>
    <t>Not Billed - 4 hours</t>
  </si>
  <si>
    <t>Started reviewing in 29-4S-4W | Dewey Max and Cynthia Jessen Family Trust SIV | Arch | Utah</t>
  </si>
  <si>
    <t>Reviewed subject AOI. Closed all gaps in title and added multiple documents. Still waiting for landman statement from landman to finalize AOI and send review email.</t>
  </si>
  <si>
    <t>S2 Sec. 40, Blk 36, T2N</t>
  </si>
  <si>
    <t>Begin research for AOI chain; review TRRC for location of parcel and add parcel to Tracts AOI; index approximately 250 documents; add 17 notecard to chain.</t>
  </si>
  <si>
    <t>Direction of reviewers. Client update and update of review data. Correspondence with team and management. Prep of client deliverables and addresses lookup and representation look up for parties to current title.</t>
  </si>
  <si>
    <t>Led the daily Energy Miami team meeting for Integrity Title covering Landman progress, open assignments, title research blockers, and remaining deliverables. Worked through questions and issues raised by the team, reinforced research workflow and best practices, and gave direction on handling missing documentation, gaps in the chain of title, and dead ends within the available Enverus data. Identified items requiring follow-up or escalation and kept the team aligned on priorities and client expectations.</t>
  </si>
  <si>
    <t>Landman Support &amp; Indexing Assistance</t>
  </si>
  <si>
    <t>Supported Landmen throughout the day on title research issues, difficult chains of title, and assignments where the available documentation had run to a dead end. Assisted with the Enverus File Viewer and physical-style index records — searching by party name, reviewing index entries for conveyances and other referenced instruments, identifying possible acquisition or disposition documents, and determining alternate research paths where required documents were unavailable in the Integrity Title/Enverus dataset. Answered questions on document interpretation, research methodology, and workflow, including how unresolved title gaps and unavailable documents should be documented for tracking and future review.</t>
  </si>
  <si>
    <t>Weekly Report</t>
  </si>
  <si>
    <t>Prepared, reviewed, and finalized the weekly Energy Miami report for Integrity Title. Confirmed Landman progress and assignment status, known title gaps, outstanding research issues, and unavailable documentation so the report reflected the team's current position, verified it for completeness and accuracy, and distributed the finalized report to the client.</t>
  </si>
  <si>
    <t>TCC – Security Review &amp; Remediation</t>
  </si>
  <si>
    <t>Audited the Tracts Command Center codebase against the security concerns Adam identified in his code review. Worked through each flagged item to understand the underlying risk, scope the affected functionality, and determine appropriate remediation within the existing application architecture. Implemented and tested the security updates while preserving existing workflows, integrations, and application behavior, and reviewed surrounding portions of the codebase for related weaknesses, unnecessary exposure, and areas where additional safeguards or cleaner implementation would improve overall security and reliability.</t>
  </si>
  <si>
    <t>Met with Daryl to go over new project details. Received assignment and began work on Title Opinion/AOI.</t>
  </si>
  <si>
    <t>2 hours not billed.</t>
  </si>
  <si>
    <t>Converse, WY</t>
  </si>
  <si>
    <t>00-00S-00W</t>
  </si>
  <si>
    <t>Updates to completed reports</t>
  </si>
  <si>
    <t>Went through previously reviewed AOIs and ran the current ORRI owners forward to present to catch any additional conveyances per PM instructions.</t>
  </si>
  <si>
    <t>Title notes analysis and management.
 10 Docs
 45 Transactions</t>
  </si>
  <si>
    <t>01-0000041.000</t>
  </si>
  <si>
    <t>Indexed for Parcel 75-00194.005 S 28 SW 1/4 T 13 R 3.
 Completed Landman Statement.</t>
  </si>
  <si>
    <t>Re-indexed all parties with Texas File. Added (4) additional documents and located Gray County equivalent filings for instruments previously located in Roberts County, TX.</t>
  </si>
  <si>
    <t>2 hours time off...waiting on next assignment.</t>
  </si>
  <si>
    <t>*New hires onboarding.
 *Solved new hires questions.
 *Meeting with Roberto.</t>
  </si>
  <si>
    <t>Added new members to BTABS.
 Provided an explanation of conveyances and interest calculations.</t>
  </si>
  <si>
    <t>Team meeting Q&amp;A and discussing next steps approaching each assignment.
 Mapping all the mentioned leases from the TO, distributing the starting interest among the original lessors.</t>
  </si>
  <si>
    <t>TL &amp; TLS team
 Property description presentation and workshop, took an hour and a half. Multiple Q&amp;A's</t>
  </si>
  <si>
    <t>- TLS Team Leads Meetings
 - Mentoring program launch (Meeting with my mentee)</t>
  </si>
  <si>
    <t>ALL Svy. 49, Blk 37, T2S</t>
  </si>
  <si>
    <t>Parties were re-indexed to address gaps in title
 Finished the review of this AOI</t>
  </si>
  <si>
    <t>Worked on the review of the AOI</t>
  </si>
  <si>
    <t>Team meeting for assignment discussion; Uploading and organizing DTO data into AOI.</t>
  </si>
  <si>
    <t>640.00Ac., SEC 88 BLK M-2 H&amp;GN</t>
  </si>
  <si>
    <t>Sec 88-BlkM-2, H&amp;GN Ry. Co.</t>
  </si>
  <si>
    <t>-Created AOI
 -Created indexing spreadsheet
 -Added source deed
 -Indexed to the present from source deed
 -Started indexing from the source deed back to the patent
 while adding relevant documents required in the scope
 - Documents added to the AOI: 6
 - Documents indexed: 16
 Finished AOI, did the landman statement, and helped Nicolas Espitia with his AOI</t>
  </si>
  <si>
    <t>Provided an explanation of conveyances and interest calculations.</t>
  </si>
  <si>
    <t>Led team meeting with landmen and reviewers. Discussed best practices of review process, ETA for remaining AOI's, as well as covered common chain of title that we are have been seeing during research. Worked with team individually throughout the day to assist with document interpretation and best practice for Tracts runsheet.</t>
  </si>
  <si>
    <t>Review of 52-Blk37-T2S W 160ac started.</t>
  </si>
  <si>
    <t>E2 Sec.40, Blk 37, T1N</t>
  </si>
  <si>
    <t>Finished up the NE4 of Sec.40-Blk 37-T1N by indexing a couple more people, cleaning notes up in the AOI, and finishing the party name spreadhsheet and adding in the landman statement</t>
  </si>
  <si>
    <t>E2 Sec. 41, Blk 37, T1N</t>
  </si>
  <si>
    <t>SE Sec.40-Blk 37-T1N</t>
  </si>
  <si>
    <t>Added in all of the note cards into this AOI from the NE4 that were all similar title, need to clean things up and add in a couple more and this AOI should be done</t>
  </si>
  <si>
    <t>2 hours not billed</t>
  </si>
  <si>
    <t>Indexed 5 parties
 indexed 613 documents 
 Added 5 notecards
 SIV Title: 17-0000058.000 et al, CARROLL (OH), SMELTZ</t>
  </si>
  <si>
    <t>- Created AOI
 - Created indexing spreadsheet
 - Added source deed
 - Indexed to the present from source deed
 - Started indexing from the source deed back to the patent
 while adding relevant documents required in the scope
 - Documents added to the AOI: 4
 - Documents indexed: 150</t>
  </si>
  <si>
    <t>Continued review of the leasehold research and reconciliation for the Federal BLM Leasehold specifically focusing on ORRI's for the above described AOI.</t>
  </si>
  <si>
    <t>BEACON NW</t>
  </si>
  <si>
    <t>Identified source deed, indexed parties and started the SIV</t>
  </si>
  <si>
    <t>5 party names indexed.
 8 notecards created.
 223 Documents indexed.</t>
  </si>
  <si>
    <t>- DO tracker
 - AIP Well List Tracker</t>
  </si>
  <si>
    <t>Clean and process STR reports, then move completed files to the Processed folder</t>
  </si>
  <si>
    <t>ALL Svy. P9174-P9172, Blk 37, T2S</t>
  </si>
  <si>
    <t>Indexing</t>
  </si>
  <si>
    <t>640.00Ac., SEC 25 BLK M-2 H&amp;GN</t>
  </si>
  <si>
    <t>Section 25, Block M-2, H&amp;GN Ry. Co. Survey, A-159</t>
  </si>
  <si>
    <t>Indexed over 500 docs, input note cards, being both conveyances and NCDs, and verified names</t>
  </si>
  <si>
    <t>Landman AOI review and feedback</t>
  </si>
  <si>
    <t>50 Folders processed
 Reviwed Processed documents</t>
  </si>
  <si>
    <t>02-00086.001</t>
  </si>
  <si>
    <t>NORRIS E</t>
  </si>
  <si>
    <t>Indexed 4 parties 
 Indexed 65 documents 
 Added 7 notecards
 Solved GIS problems</t>
  </si>
  <si>
    <t>11-01S-04W</t>
  </si>
  <si>
    <t>Added last leases and run title forward to present
 Indexed 5 names and download/check the historical index
 Filled 20 notecards</t>
  </si>
  <si>
    <t>Title Opinion data entry - (Leases and Surface Interest)</t>
  </si>
  <si>
    <t>46 Documents
 82 transacciones aprox</t>
  </si>
  <si>
    <t>I have started to included documents in my AOI while indexing some parties for missing information. I have also pulled documents from the vault and image indexes and been looking for the source deed.</t>
  </si>
  <si>
    <t>- Indexed to the present from source deed
 - Started indexing from the source deed back to the patent
 while adding relevant documents required in the scope
 - Documents added to the AOI: 6
 - Documents indexed: X+50</t>
  </si>
  <si>
    <t>Data Entry</t>
  </si>
  <si>
    <t>Columbiana County Inventory - FamilySearch</t>
  </si>
  <si>
    <t>Worked on Columbiana County Inventory - FamilySearch</t>
  </si>
  <si>
    <t>8 Documents
 50 Transactions</t>
  </si>
  <si>
    <t>Created 3 notecards, indexed 4 different parties, analyzed 40 documents, reviewed 3 different historic indexes</t>
  </si>
  <si>
    <t>Documents added in AOI: 4
 Indexed documents: 20
 Indexed parties: 3
 Indexing the historical documents became necessary; however, they could not be indexed using the “Historical Index &gt; DEED GRANTEE INDEX H” filter. A search was conducted for the last name “Hanchin” (the grantor on the oldest available document), but the earliest date accessible was March 4, 1957, and the title needed to be traced prior to that date.
 Subsequently, utilizing Glo Records, the patent for the section containing the relevant legal description was obtained. Guidance was then sought from the assigned BPO Office team lead regarding access to documents older than the aforementioned date. Following this, the historical index was reviewed using the “DEED GRANTOR INDEX 1812–1870 GENERAL INDEX” filter to begin tracing the title from the original patent grantee to the present.</t>
  </si>
  <si>
    <t>Guernsey, OH</t>
  </si>
  <si>
    <t>20-0000301.000</t>
  </si>
  <si>
    <t>Dowloaded and uploaded to AOI corresponding deeds. Reviewed historical index since County record goes until 1980.</t>
  </si>
  <si>
    <t>-Indexing from the source deed back to the patent
 while adding relevant documents required in the scope
 -Documents added to the AOI: 4
 -Documents indexed: 746</t>
  </si>
  <si>
    <t>- Continued indexing from the source deed back to the patent while adding relevant documents required in the scope
 - Documents added to the AOI: 5
 - Documents indexed: 538 + manual indexing</t>
  </si>
  <si>
    <t>-I experienced several glitches with the website today.
 - Documents added to the AOI: 4
 - Documents indexed : 173</t>
  </si>
  <si>
    <t>Reviewed instructions and recording on how to correctly enter a Title Opinion in TRACTS. Also reviewed the example AOI. Notecards will be entered from a runsheet created from the TO. Currently working on that runsheet.</t>
  </si>
  <si>
    <t>AOI, landman statement and indexing spreadsheet completed. Task ready for review.</t>
  </si>
  <si>
    <t>Used other tools to find patent for both legal descriptions, indexed by manual index in the county courthouse with the purpose of fill the existing gaps.</t>
  </si>
  <si>
    <t>Deleted notes, comment, requirement, etc. from history of title, lease analysis, and runsheets.
 35 folders processed today (50 in total)</t>
  </si>
  <si>
    <t>Finalizing the indexing and resolving gaps in the chain of title.</t>
  </si>
  <si>
    <t>22 Documents
 73 Transactions</t>
  </si>
  <si>
    <t>SIV patent to present.</t>
  </si>
  <si>
    <t>Continued work on Sec 19, EOG Pilot. 75 notecards completed, reviewed, or deleted.</t>
  </si>
  <si>
    <t>33-02S-03W</t>
  </si>
  <si>
    <t>Finished AOI</t>
  </si>
  <si>
    <t>-Created AOI
 -Created Indexing Spreadsheet
 -Indexed to the present from source deed
 -Started indexing from the source deed back to -Patent while adding relevant instruments required in the scope 
 -Locating missing data files from 1980 to 2009</t>
  </si>
  <si>
    <t>Fixed warnings and timeline issues. Began indexing for second run through</t>
  </si>
  <si>
    <t>SIV Title Surface: Documents Analyzed: 33 Index Pages Viewed: 130 Parties Added 1</t>
  </si>
  <si>
    <t>Running out interest for Dewey Zane, Zane Jessen and Bruce Hartman. 
 Worked 1/2 day due to a construction project in the home.</t>
  </si>
  <si>
    <t>4 hours time off</t>
  </si>
  <si>
    <t>Six hours worked/2 hours time off. Columbiana County, OH research searching indexes and online info</t>
  </si>
  <si>
    <t>TRAINING DAY 3</t>
  </si>
  <si>
    <t>• Reading: Chapter 5 – Conveyances &amp; Interest Calculations. Read the assigned pages (est. 40 min — the slot gives you a buffer).
 • Chapter 5 quiz in Rise</t>
  </si>
  <si>
    <t>Reading chapter 5 of the AAPL STUDY GUIDE, quiz 4 and 5 in Rise, also ELT lessons of chapter 6.</t>
  </si>
  <si>
    <t>- Read Ch. 5 Property Descriptions
 - Quiz Ch. 5</t>
  </si>
  <si>
    <t>Learn about Contracts, conveycing and interest calculations</t>
  </si>
  <si>
    <t>Today i learn about Conveyancing and interest calculations and how this works specially in Texas</t>
  </si>
  <si>
    <t>Read the assigned pages of Chapter 5 and complete the Chapter 5 quiz in Rise.</t>
  </si>
  <si>
    <t>Training day 3</t>
  </si>
  <si>
    <t>Reading: Chapter 5 – Conveyances &amp; Interest Calculations. Read the assigned pages (est. 40 min — the
 slot gives you a buffer).
 • Chapter 5 quiz in Rise</t>
  </si>
  <si>
    <t>Read the Chapter 5 of the Study Guide. 
 Doing the Chapter 6 quiz in Rise platform. 
 Attend to the different activities prepared by the team leaders.</t>
  </si>
  <si>
    <t>Reading: Chapter 5 – Conveyances &amp; Interest Calculations. 
 Chapter 5 quiz in Rise.</t>
  </si>
  <si>
    <t>Training 3</t>
  </si>
  <si>
    <t>Reading: Chapter 5 – Conveyances &amp; Interest Calculations.
 Chapter 5 quiz in Rise.
 Activity and presentation of Chapter 5.</t>
  </si>
  <si>
    <t>Reading of Chapter 5 and Tracts University exercises</t>
  </si>
  <si>
    <t>Completed onboarding training: read Chapter 5 (Conveyances &amp; Interest Calculations, pp. 57–69) of the AAPL Study Guide and completed the corresponding Chapter 5 quiz in Rise.</t>
  </si>
  <si>
    <t>Reading assignment chapter 5: Conveyances &amp; Interest 
 Calculations and rise quiz</t>
  </si>
  <si>
    <t>Quiz 3 in Rise. Reading of Chapter 5 - Conveyances &amp; Interest Calculations and Quiz 5 in Rise</t>
  </si>
  <si>
    <t>ALL Svy. P9171, Blk 37, T2S</t>
  </si>
  <si>
    <t>19 notecards reviewed; LMS updated; Asana card updated; email with review notes draft started; review checklist reviewed prior to submission to PM</t>
  </si>
  <si>
    <t>Analyzed additional materials and worked with team to start getting into the AOIs. Updated cost estimate based on additional title materials and worked on weekly report for client.</t>
  </si>
  <si>
    <t>Worked through review notes and answered landman questions.</t>
  </si>
  <si>
    <t>00-00S-00E</t>
  </si>
  <si>
    <t>Worked with Madison to organize project resources into a project log.</t>
  </si>
  <si>
    <t>Section 30, Block 48, T8S (A-8327)</t>
  </si>
  <si>
    <t>Completed reviewing AOI.</t>
  </si>
  <si>
    <t>Assisted with onboarding the project, meeting with the landmen, meeting with client.</t>
  </si>
  <si>
    <t>Review and revision of notecards and updating common title AOIs.</t>
  </si>
  <si>
    <t>S30-BLK74-A1099-W2</t>
  </si>
  <si>
    <t>Drafting landman scope, project set up and onboarding landman.</t>
  </si>
  <si>
    <t>Onboarding landmen.</t>
  </si>
  <si>
    <t>Attending daily meeting.</t>
  </si>
  <si>
    <t>Answering questions and meeting with landmen.</t>
  </si>
  <si>
    <t>Meeting with landmen to discuss project.</t>
  </si>
  <si>
    <t>Going through and downloading production results for each section.</t>
  </si>
  <si>
    <t>Maui | LND-26100033-0100 | 58060001</t>
  </si>
  <si>
    <t>400ac Svy. 50, Blk 37, T2S</t>
  </si>
  <si>
    <t>Completed review, entered numbers on tract list ss, finished reviewing notecards.</t>
  </si>
  <si>
    <t>Reviewed AOI notecards, kept track of changed made to notecards.</t>
  </si>
  <si>
    <t>Completed filling out project scope for Mark Andrew LLC project</t>
  </si>
  <si>
    <t>5 hours unpaid</t>
  </si>
  <si>
    <t>Reviewed subject AOI. Had to make a lot of edits and am having to close gaps in title. Still working through AOI.</t>
  </si>
  <si>
    <t>ALL Sec. 45, Blk 36, T2N</t>
  </si>
  <si>
    <t>Index approximately 250 documents; add notecards to chain; Complete AOI chain.</t>
  </si>
  <si>
    <t>Direction of reviewers. Correspondence with team and management. Prep of client deliverables and addresses lookup and representation look up for parties to current title.</t>
  </si>
  <si>
    <t>15-18S-32E</t>
  </si>
  <si>
    <t>BLM title review and begin of county reconciliation and location of docs prior to lease file availability.</t>
  </si>
  <si>
    <t>2 hours unpaid</t>
  </si>
  <si>
    <t>Daily Team Meeting</t>
  </si>
  <si>
    <t>Held the daily Miami Energy project team meeting to review current project status, workflow expectations, and outstanding deliverables. Workshopped active title research issues and blockers with the team, provided guidance on next steps, reinforced research best practices and efficient work habits, and reaffirmed expectations for completing and documenting assigned work.</t>
  </si>
  <si>
    <t>Landman Research Support &amp; Title Troubleshooting</t>
  </si>
  <si>
    <t>Provided hands-on research support to Bobby, Elaine, and Mitch, working through title dead ends involving parties of interest where supporting conveyance documentation could not readily be located. Used the Enverus File Viewer and available physical index records to search by party name, identify referenced instruments, and trace potential conveyances showing how parties may have acquired or transferred interest. Documented instruments referenced in the index that were unavailable or could not be located and tracked gaps or inconsistencies identified within the Enverus database. Also provided ongoing support to additional Landmen throughout the day by answering research questions, helping interpret documents, recommending next steps when title blockers were encountered, and documenting instances where referenced instruments could not be located despite appearing within available index records.</t>
  </si>
  <si>
    <t>Document Tracking, Client Meeting Preparation</t>
  </si>
  <si>
    <t>Compiled title research issues and documentation gaps reported by Landmen, along with findings identified through my own review, in preparation for discussion with the client. Created a document log to track unavailable documents and instruments requiring purchase through the Gray County Clerk records site. Developed a PowerPoint presentation to clearly demonstrate the recurring documentation gaps and Enverus database limitations being experienced by the team. Participated in the client discussion regarding these blockers and subsequently updated the project scope and workflow to reflect the direction provided and the process for handling unavailable or externally purchased documentation.</t>
  </si>
  <si>
    <t>Searched for documents and inputted documents related to this AOI.</t>
  </si>
  <si>
    <t>34-21S-29E: N2</t>
  </si>
  <si>
    <t>Reviewing NMNM105463682 (NMLC 0068379), and working on ORRI and WI as instructed.</t>
  </si>
  <si>
    <t>Onboarding; assisting team with questions and assignments.</t>
  </si>
  <si>
    <t>NMNM105463682- (NMLC 0068379), Lea County, NM</t>
  </si>
  <si>
    <t>Assisted reviewer Justin Jinkins with locating and interpreting documents.</t>
  </si>
  <si>
    <t>Title notes analysis and management.
 46 Documents
 384 Transactions</t>
  </si>
  <si>
    <t>Vanfossen East</t>
  </si>
  <si>
    <t>8 Hrs Time Off</t>
  </si>
  <si>
    <t>Continued Indexing Parties via Enverus File Viewer; Gray/Roberts County Records and Texas File.
 Documents Added: 2</t>
  </si>
  <si>
    <t>3 hours time off...project paused due to indexing issues.</t>
  </si>
  <si>
    <t>*New hires onboarding.
 *Training planning.</t>
  </si>
  <si>
    <t>Team Lead Tasks</t>
  </si>
  <si>
    <t>*Meeting.
 *Updating PM.
 *Helping out landman.</t>
  </si>
  <si>
    <t>13-01S-01W</t>
  </si>
  <si>
    <t>SEC 32 BLK Y</t>
  </si>
  <si>
    <t>Managin the buildup of skeleton chains with the runsheets provided by the client, follow up on each AOI</t>
  </si>
  <si>
    <t>Identiiying subject lands and drawing polygon, dowloading documents from the provided runsheet into the skeleton chain in tracts.</t>
  </si>
  <si>
    <t>Prepared the Oil an gas presentation with pertinent corrections and</t>
  </si>
  <si>
    <t>10 instruments
 12 transactions</t>
  </si>
  <si>
    <t>Prepared the property description presentation with pertinent corrections and structured the workshop around some legal descriptions as a challenge for the trainees.</t>
  </si>
  <si>
    <t>BPO Project Management + Assistance with questions</t>
  </si>
  <si>
    <t>- Met with Monica, Daniel and Laura
 - Mentoring program meeting
 - Assistance with project related questions</t>
  </si>
  <si>
    <t>A discrepancy exists between the client-reported data and the AOI data. Consequently, multiple parties were re-indexed to address gaps in title.</t>
  </si>
  <si>
    <t>34-02S-05W</t>
  </si>
  <si>
    <t>Reviewing AOI, adding documents to AOI to complete COT from latest leases (1963) to present.</t>
  </si>
  <si>
    <t>Created AOI
 . Created indexing spreadsheet
 Added source deed
 - Indexed to the present from source deed
 Started indexing from the source deed back to the patent
 while adding relevant documents required in the scope
 - Documents added to the AOI: 5
 - Documents indexed: 87</t>
  </si>
  <si>
    <t>4 documents
 23 transactions
 Back to title notes since Energy Miami project was paused</t>
  </si>
  <si>
    <t>Assisted team with title research and AOI completion. Answered best practice questions and assigned task for review.</t>
  </si>
  <si>
    <t>6 hours not worked.</t>
  </si>
  <si>
    <t>Completed the Indexing for 10 party names and added in 9 documents into the AOI making the chain closer to being done. This AOI will be done tomorrow.</t>
  </si>
  <si>
    <t>8 Names Indexed, 8 Documents entered. Title back to 1951</t>
  </si>
  <si>
    <t>Indexed 14 parties
 indexed 394 documents 
 Added 9 notecards
 SIV Title: 17-0000058.000 et al, CARROLL (OH), SMELTZ</t>
  </si>
  <si>
    <t>- Created AOI
 - Created indexing spreadsheet
 - Added source deed
 - Indexed to the present from source deed
 - Started indexing from the source deed back to the patent
 while adding relevant documents required in the scope
 - Documents added to the AOI: 4
 - Documents indexed: 300</t>
  </si>
  <si>
    <t>3 hours</t>
  </si>
  <si>
    <t>12 party names indexed.
 6 notecards created.
 387 Documents indexed.</t>
  </si>
  <si>
    <t>- DO tracker
 - ACP &amp; AIP Well List Trackers</t>
  </si>
  <si>
    <t>Paid vacations</t>
  </si>
  <si>
    <t>Meeting, set up AOI, input source deed, indexed, and entered notecards into tracts</t>
  </si>
  <si>
    <t>SEC 14 BLK 35</t>
  </si>
  <si>
    <t>Project Scope edit &amp; Landman assignment review and feedback</t>
  </si>
  <si>
    <t>2 hrs not billed</t>
  </si>
  <si>
    <t>42 Documents 
 186 Transactions</t>
  </si>
  <si>
    <t>14 Folders processed
 6 Folders pending</t>
  </si>
  <si>
    <t>Added last leases and run title forward to present
 Indexed 15 names and download/check the historical index
 Filled 25 notecards of leases</t>
  </si>
  <si>
    <t>Title Notes 
 17 Documents 
 58 Transactions</t>
  </si>
  <si>
    <t>Title Notes
 12 documents
 35 transactions</t>
  </si>
  <si>
    <t>Title Opinion data entry - Defining scope, drawing polygons.</t>
  </si>
  <si>
    <t>Fix the runsheet issues and upload some runsheet to each Tracts AOI link.</t>
  </si>
  <si>
    <t>Title Notes: 15 AOI's, internet failures at the office</t>
  </si>
  <si>
    <t>6 Documents
 12 Transactions
 Completion of this was delayed due to multiple internet interruptions.</t>
  </si>
  <si>
    <t>I have started indexing and am waiting for access to the AOI. I am also reviewing the project scope.</t>
  </si>
  <si>
    <t>28-01S-04W</t>
  </si>
  <si>
    <t>Since the Integrity Miami project I was reassigned to has been put on hold, I have resumed my work on the Lease Bringdown. I was reviewing some documents that were missing from the chain</t>
  </si>
  <si>
    <t>- Indexed to the present from source deed
 - Started indexing from the source deed back to the patent
 while adding relevant documents required in the scope
 - Documents added to the AOI: 4
 - Documents indexed: X+50</t>
  </si>
  <si>
    <t>41-Blk36-T2N (E2)</t>
  </si>
  <si>
    <t>Well Production Report and Landman Statement</t>
  </si>
  <si>
    <t>Created 11 notecards, indexed different parents, located source deed, created map GIS</t>
  </si>
  <si>
    <t>Created AOI. Drawn tax parcel. Indexing spreadsheet attached to folder.
 Documents added in AOI: 10
 Indexed documents: 86
 Indexed parties: 5
 Indexed using the following search criteria: All Names, Pin # and Township, upload document and filled out the corresponding notecards.</t>
  </si>
  <si>
    <t>Source deed for 04-0000077-001; 04-0000074-000; 04-000073-000; 04-0000223-001 NE and NW.</t>
  </si>
  <si>
    <t>Dowloaded and uploaded to AOI source deed, identified polygon, GIS verification and started looking for corresponding deeds.</t>
  </si>
  <si>
    <t>-Indexing from the source deed back to the patent
 while adding relevant documents required in the scope
 -Documents added to the AOI: 7
 -Documents indexed: 58</t>
  </si>
  <si>
    <t>23 documents reviewed
 56 Transactions</t>
  </si>
  <si>
    <t>28 notecards and 62 transactions</t>
  </si>
  <si>
    <t>- Continued reviewing and correcting assignments following the client responses/corrections/changes
 - 7-41N-72W (Lots 5, 10, 15, 17)</t>
  </si>
  <si>
    <t>- Completed 15 notecards</t>
  </si>
  <si>
    <t>- Created AOI
 - Created indexing spreadsheet
 - Added source deed
 - Indexed to the present from source deed
 - Started indexing from the source deed back to the patent while adding relevant documents required in the scope
 - Documents added to the AOI: 4
 - Documents indexed: 47</t>
  </si>
  <si>
    <t>Documents 10
 Trnsactions 40
 The Title Notes website was very glitchy today</t>
  </si>
  <si>
    <t>During the day, I approached the project team lead, Nicolas Espitia, as I couldn't find much relevant information for the project. He helped me in a very diligent manner; however, only two additional parties were found. It wasn't possible to find more because the necessary documentation is missing for the current chain being processed
 -I experienced several glitches with the website today.
 - Documents added to the AOI: 2
 - Documents indexed : 164</t>
  </si>
  <si>
    <t>Gaps solved and indexing completed with the King family. Currently checking details in AOI.</t>
  </si>
  <si>
    <t>Started with SIV, created AOI for both legal and started to look the county record and opened documents to find, also received information about how to find historical index since second document was from 1892.</t>
  </si>
  <si>
    <t>21 Documents 33 Transactions</t>
  </si>
  <si>
    <t>Deleted notes, comment, requirement, etc. from history of title, lease analysis, and runsheets
 15 folders processed.</t>
  </si>
  <si>
    <t>Indexing the chain of title back to patent to investigate and resolve a discrepancy in the reported interest.</t>
  </si>
  <si>
    <t>Pearl-Josua</t>
  </si>
  <si>
    <t>Importing Runsheet's into AOI's</t>
  </si>
  <si>
    <t>All</t>
  </si>
  <si>
    <t>SIV Verification
 Assignment Completed, well production report + gaps in the chain + LMS</t>
  </si>
  <si>
    <t>Continued work on Sec 19, EOG Pilot. 55 notecards completed, reviewed, or deleted.</t>
  </si>
  <si>
    <t>29-04S-04W</t>
  </si>
  <si>
    <t>Pulled index and documents to create chain of title for 29-4S-4W.</t>
  </si>
  <si>
    <t>Filled out notecards for source leases, began indexing mineral interest, GIS</t>
  </si>
  <si>
    <t>E/160 of the W/240 Svy. 1, Blk. 37, T2N</t>
  </si>
  <si>
    <t>Input 38 notecards, finishing off the last of the 78 originally uploaded docs. Began inputing interests. Starting second rundown</t>
  </si>
  <si>
    <t>SIV Title Surface Only: Documents Analyzed: 36 Parties Added: 3 Index Pages Viewed: 50.</t>
  </si>
  <si>
    <t>31-04S-04W</t>
  </si>
  <si>
    <t>Running out mineral interest from deed to current date.</t>
  </si>
  <si>
    <t>Mileage from home to CH to back home</t>
  </si>
  <si>
    <t>Columbiana County research at the courthouse in Lisbon, OH</t>
  </si>
  <si>
    <t>TRAINING DAY 2</t>
  </si>
  <si>
    <t>• Finish Rise/ELT lesson: “Texas Probate, Estates, and Trusts”. Carried over to preview Thursday's Chapter 5 material — do this first thing.</t>
  </si>
  <si>
    <t>Reading Chapter 3 of the AAPL STUDY GUIDE, quiz in Rise and ELT Lessons</t>
  </si>
  <si>
    <t>- Read Ch. 3 Property Descriptions
 - Quiz Ch. 3
 - ELT Lessons "Texas Probate, Estates, and Trusts"</t>
  </si>
  <si>
    <t>Learn about Property description and learn about USA ubication systems</t>
  </si>
  <si>
    <t>Today i learn about property description and how the land is divided acording to the state in U.S</t>
  </si>
  <si>
    <t>Read the assigned pages of Chapter 3 and complete the Chapter 3 quiz in Rise. Afterward, read and plot a sample
 legal description, covering both metes-and-bounds and aliquot-part formats. A group activity and workshop will also
 be held to cover these topics together.</t>
  </si>
  <si>
    <t>Training day 2</t>
  </si>
  <si>
    <t>Finish Rise/ELT lesson: “Texas Probate, Estates, and Trusts”. Carried over to preview Thursday's Chapter
 5 material — do this first thing.
 • Reading: Chapter 3 – Property Descriptions. Read the assigned pages (est. 45 min).
 • Chapter 3 quiz in Rise</t>
  </si>
  <si>
    <t>Reading the Chapter 3 of the Guide. 
 Diong the Quiz number 3 on the Rise platform. 
 Doing the following lesson in the Rise platform: “Texas Probate, Estates, and Trusts”.
 Attending to the different activities prepared by the Team Leaders.</t>
  </si>
  <si>
    <t>Finish Rise/ELT lesson: “Texas Probate, Estates, and Trusts”. 
 Chapter 5 material — do this first thing.
 Reading: Chapter 3 – Property Descriptions.
 Chapter 3 quiz in Rise</t>
  </si>
  <si>
    <t>Training 2</t>
  </si>
  <si>
    <t>Finish Rise/ELT lesson: “Texas Intestate Succession for Title and Land Examiners: Practical Application”. 
 Reading: Chapter 3 – Property Descriptions.
 Chapter 3 quiz in Rise.
 Group activity with parcel descriptions.</t>
  </si>
  <si>
    <t>Reading of Chapter 3 and training exercises, execution of program activities.</t>
  </si>
  <si>
    <t>Completed onboarding training: finished Rise/ELT lesson "Texas Probate, Estates, and Trusts," read Chapter 3 (Property Descriptions, pp. 31–45), and completed the Chapter 3 quiz in Rise. Practiced plotting a sample legal description covering both metes-and-bounds and aliquot-part formats, and participated in a group workshop on the same topic.</t>
  </si>
  <si>
    <t>Reading assignment chapter 3: Property Descriptions, Rise quiz and ELT Lesson:
 “Texas Probate, Estates, and Trusts”</t>
  </si>
  <si>
    <t>Quiz 2 in Rise. Reading of Chapter 3 - Property Descriptions from the the AAPL Oil &amp; Gas Land Reference Volume &amp; Study Guide. Completion of courses "Real and Personal Property Foundations", "Texas Intestate Succession for Title and Land Examiners: Practical Application" and "Texas Probate, Estates, and Trusts"</t>
  </si>
  <si>
    <t>A-603</t>
  </si>
  <si>
    <t>3 doc added (multiple docs per instrument); 231 docs viewed during indexing (many M&amp;B descriptions of land); depth subtracts added; LMS created and attached; Asana updated</t>
  </si>
  <si>
    <t>On-board team to start running title and answered landman questions</t>
  </si>
  <si>
    <t>Assisted with onboarding the project, meeting with the landmen, etc.</t>
  </si>
  <si>
    <t>Continued reviewing AOI.</t>
  </si>
  <si>
    <t>Review and revision of approximately 50 notecards in addition to making revisions as needed in common title AOIs.</t>
  </si>
  <si>
    <t>Onboarding meeting with landmen and helping PM with launching project.</t>
  </si>
  <si>
    <t>Meeting with PM and reviewers.</t>
  </si>
  <si>
    <t>Meeting with team to go over scope of project.</t>
  </si>
  <si>
    <t>Drafting scope of work and project set up.</t>
  </si>
  <si>
    <t>Reviewing docs and adding them to AOI for landmen to begin building chain.</t>
  </si>
  <si>
    <t>Indexed party names, made sure notecard information was correct, entered notecard information, filled out LMS, submitted AOI for review.</t>
  </si>
  <si>
    <t>Followed review checklist, began correcting notecards, tracking any changes i made for landman feedback.</t>
  </si>
  <si>
    <t>3 hours unpaid - technical difficulties.</t>
  </si>
  <si>
    <t>4 hours time off due to illness.</t>
  </si>
  <si>
    <t>Review cards, look for another deed out of Standard Oil of Kansas (we believe all of their interest should be conveyed out)</t>
  </si>
  <si>
    <t>Not Billed - 5 hours</t>
  </si>
  <si>
    <t>Finished indexing and highlighting documents fr a doc count in the historical index.</t>
  </si>
  <si>
    <t>Finish pricing and project scoping based on document counts for the following subject lands 8-3S-5W, 16-2S-1E, 16-3S-6W, and 17-3S-5W in both Duchesne and Uintah Counties.</t>
  </si>
  <si>
    <t>15-02S-01W</t>
  </si>
  <si>
    <t>Continued trying to close gap in title with little luck. Reviewed 115 index pages and found some documents but not enough. Reviewed Affidavit with reference to Deeds that were unable to locate. Spoke with Kendall and suspended research.</t>
  </si>
  <si>
    <t>Continue indexing and adding notecards to AOI.</t>
  </si>
  <si>
    <t>Support Request - Atlassian</t>
  </si>
  <si>
    <t>Held the kickoff meeting for Integrity Title Company’s Energy Miami Project, outlining the project scope, expectations, and workflow for assigned Landmen, including a demonstration of proper indexing procedures and how to use Enverus to search parties of interest and locate relevant title documentation. Following the meeting, assigned out initial work and identified that two Landmen would be unavailable for several days during the week, prompting a request for two additional Landmen to maintain project momentum. Met separately with the newly assigned Landmen to onboard them, review the project workflow, and assign their respective work. Created a project log to monitor assignments, document findings, and record ownership and interest values, then shared the log with the team and sent out an announcement outlining its use and expectations.</t>
  </si>
  <si>
    <t>S50_BLK_M-2_H&amp;GN_RR_CO_SURVEY_GRAY_COUNTY_TX_E/2</t>
  </si>
  <si>
    <t>Met one-on-one with Bobby to provide support and workshop a title research dead end involving a party whose interest he was tracing backward. Reviewed the available title information, demonstrated how to use the Enverus File Viewer more effectively, and walked through methods for searching backward through the chain of title when reaching dead ends in abstract plant records or the Integrity Title data set. Provided guidance on alternate indexing and research paths to help identify the missing conveyance and continue progressing the assignment.</t>
  </si>
  <si>
    <t>TCC</t>
  </si>
  <si>
    <t>Tested, updated, and deployed Tracts Command Center changes requested during the most recent meeting with Kristen and Katie, verifying functionality and ensuring the updates were properly implemented across the platform. Cleaned up and reorganized the supporting spreadsheet workbook to make it easier for Kristen and Katie to navigate and work within, including hiding redundant or nonessential sheets that are primarily used to store backend data submitted by Landmen and Project Managers. Also began building the framework for tracking reviewer feedback provided to Landmen to create a more consistent, organized, and measurable feedback process.</t>
  </si>
  <si>
    <t>Setup of project and onboarding of all team members.</t>
  </si>
  <si>
    <t>Worked on final revisions of completed AOIs</t>
  </si>
  <si>
    <t>Worked on training materials for presentation with Laura Silva.</t>
  </si>
  <si>
    <t>NMNM105454486 - (NMNM 003623), Lea County, NM</t>
  </si>
  <si>
    <t>Completed review of the subject AOI.</t>
  </si>
  <si>
    <t>19-19S-34E</t>
  </si>
  <si>
    <t>NMNM105558060- (NMNM 0141013), Lea County, NM</t>
  </si>
  <si>
    <t>Met with Peter Tamez for direction and opinion on the subject AOI. Continued review for subject AOI.</t>
  </si>
  <si>
    <t>27-21S-29E: E2NW, SE</t>
  </si>
  <si>
    <t>Completed due diligence indexing of last known ORRI owners per PM instructions. Indexed approximately 400 documents. Completed review of the subject AOI.</t>
  </si>
  <si>
    <t>Indexed for Parcel 01-0000041.000
 S 19 NE 1/4 T 15 R 5.</t>
  </si>
  <si>
    <t>S2-BLK M2 A-927</t>
  </si>
  <si>
    <t>Created AOI/Index Spreadsheet
 Added Source Deed
 Forward Indexed
 Started Reverse Index
 Parties Indexed: 11
 Documents Indexed: 39 + Manual Index/File Viewer
 Documents Added: 18</t>
  </si>
  <si>
    <t>Identiying and inputting source documents provided by the client into the project log and each specific AOI in tracts.
 Managing the creation of skeleton chains from the provided runsheets into tracts importables.
 Kick-off meeting.</t>
  </si>
  <si>
    <t>Q&amp;A with new trainees around the first reading chapter 2 of AAPL guide and touching point on many useful concepts</t>
  </si>
  <si>
    <t>TL BPO Meeting
 1:1 with Monica
 Q&amp;A with new trainees around the first reading chapter 2 of AAPL guide and touching point on many useful concepts</t>
  </si>
  <si>
    <t>28-04S-04W</t>
  </si>
  <si>
    <t>Review AOI, searching Grantor/Grantee for gaps in COT.</t>
  </si>
  <si>
    <t>Review AOI. Adding documents to AOI to bring leases froward from 1963.</t>
  </si>
  <si>
    <t>5 documents
 5 transactions
 Enrolled in Energy Miami project at 8 am</t>
  </si>
  <si>
    <t>Created AOI
 . Created indexing spreadsheet
 Added source deed
 - Indexed to the present from source deed
 Started indexing from the source deed back to the patent
 while adding relevant documents required in the scope
 - Documents added to the AOI: 10
 - Documents indexed: 93</t>
  </si>
  <si>
    <t>2 hours not worked medical leave. 2 Hours not billed</t>
  </si>
  <si>
    <t>15-0000428.011</t>
  </si>
  <si>
    <t>Worked on: 
 15-0000428.011, Carroll (OH)
 20-0000301.000, Guernsey (OH)</t>
  </si>
  <si>
    <t>Worked with staff throughout the day, answering title questions, research issues, and best practices moving forward. Led team meeting to discuss progress of AOI and begin review process.</t>
  </si>
  <si>
    <t>Indexed and completed the indexing for 17 party names, I added in 13 documents into the AOI. I got most of the chain completed there are just a couple more people to index that should get the chain flowing completely.</t>
  </si>
  <si>
    <t>AOI Setup, SIV Indexing, locating Unit Declaration and Source Deeds.</t>
  </si>
  <si>
    <t>18 documents</t>
  </si>
  <si>
    <t>15-0000122.000</t>
  </si>
  <si>
    <t>WINDY RIDGE</t>
  </si>
  <si>
    <t>Indexed and located source deed for the next parcels:
 15-0000122.000; 15-0000189.000, CARROLL (OH), WINDY RIDGE
 The Asana task originally referenced Carroll County; however, the source deed was actually located in Harrison County. The document has been uploaded to the respective folder for reference.</t>
  </si>
  <si>
    <t>12-0000047.002</t>
  </si>
  <si>
    <t>HANCHIN N</t>
  </si>
  <si>
    <t>Indexed and located source deed for the next parcels:
 12-0000047.002; 12-0000042.000; 12-0000042.001; 11-0000091.000, HARRISON (OH), HANCHIN N</t>
  </si>
  <si>
    <t>- Created AOI
 - Created indexing spreadsheet
 - Added source deed
 - Indexed to the present from source deed
 - Started indexing from the source deed back to the patent
 while adding relevant documents required in the scope
 - Documents added to the AOI: 4
 - Documents indexed: 50</t>
  </si>
  <si>
    <t>Began review of the leasehold research and reconciliation for the Federal BLM Leasehold specifically focusing on ORRI's for the above described AOI.</t>
  </si>
  <si>
    <t>1 hours</t>
  </si>
  <si>
    <t>Completed the notecards.</t>
  </si>
  <si>
    <t>26-03025.000</t>
  </si>
  <si>
    <t>Completed the search of the source deed</t>
  </si>
  <si>
    <t>Jefferson, OH</t>
  </si>
  <si>
    <t>03-02277-000</t>
  </si>
  <si>
    <t>11 Notecards
 46 Transactions</t>
  </si>
  <si>
    <t>28-0000872.001</t>
  </si>
  <si>
    <t>Found the source deed for
 28-0000872.001 
 25-0000423.000</t>
  </si>
  <si>
    <t>25-0000713.001</t>
  </si>
  <si>
    <t>Found the source deed for
 25-0000713.001</t>
  </si>
  <si>
    <t>Organizing Asana assignments, Tracts AOIs, &amp; Project Scope</t>
  </si>
  <si>
    <t>4 hrs not billed</t>
  </si>
  <si>
    <t>Survey 49-Blk 37-T2S</t>
  </si>
  <si>
    <t>Performed siv interest from patent
 Compared mineral interest and NRA with client info
 Redacted Landman statement</t>
  </si>
  <si>
    <t>9 Documents 
 59 Transactions</t>
  </si>
  <si>
    <t>BTABs Checkings Approval
 Adding legals in BTABs
 Extra Hours Spreadsheet
 Office mgmt
 Onboarding process fort the new wave</t>
  </si>
  <si>
    <t>Indexed 2 parties 
 Indexed 20 documents 
 Added 2 notecards
 Solved GIS problems</t>
  </si>
  <si>
    <t>Platform was used to search for the updated index and historical index for the section; these were downloaded, and began reading them and adding documents to the title chain.
 Indexed by historical index in Duchesne, started tracking from Wilkins, then found Eldredge and later searching by find a grave and ancestry that Anna Geneve Olsen Hartman was married to J. Bruce Hartman, but not success. Nevertheless, in this search were found to affidavits of identity where some book7page were mentioned and a new party Della McClellan, but it was not possible to track the interest in the chain of title.
 In this order of ideas, didn´t find any information about how some partys received the interest in sec 15, T2S, R1W. Indexed this name in On Base Duchesne, VMHorizon, Lids Search by name, surname, and both.</t>
  </si>
  <si>
    <t>Start looking for the leases related to the section in the platform "Omnissa Horizon Client", look for them in the On Base page.
 Added last leases and run title forward to present</t>
  </si>
  <si>
    <t>Title Notes 
 27 Documents 
 64 Transactions</t>
  </si>
  <si>
    <t>Title Notes
 15 documents
 31 transactions</t>
  </si>
  <si>
    <t>Onboarding Crescent Energy | DTO 
 TO, RS and DDR familiarization; waiting for formatted AOI</t>
  </si>
  <si>
    <t>Located the patent and started running the chain backwards. I’m currently somewhat stuck on a few parties, so I’ve started performing manual indexing to try to locate the missing information and continue the chain. Already talk to the Pm and he knows the process of indexing of the Semple family</t>
  </si>
  <si>
    <t>Fiz the runsheet issues and upload some runsheet to each Tracts AOI link.</t>
  </si>
  <si>
    <t>I was almost done with the assignment—just reviewing an overlapping polygon and an unassigned mineral interest—when I was reassigned to a different project. This assignment is currently on standby</t>
  </si>
  <si>
    <t>- Created AOI
 -Created indexing spreadsheet
 - Added source deed
 - Indexed to the present from source deed
 - Started indexing from the source deed back to the patent
 while adding relevant documents required in the scope
 - Documents added to the AOI: 4
 - Documents indexed: X+50</t>
  </si>
  <si>
    <t>Indexed 397 documents and connected all the parties in the chain of title.</t>
  </si>
  <si>
    <t>21 documents
 30 transactions</t>
  </si>
  <si>
    <t>32-02094.000</t>
  </si>
  <si>
    <t>Find source deed for following parcels: 32-02094.000; 32-02099.000; 32-02098.000; 32-02097.000; 32-02096.000; 32-02095.000</t>
  </si>
  <si>
    <t>32-03702.000</t>
  </si>
  <si>
    <t>Finding source deed for the following parcel: 32-03702.000</t>
  </si>
  <si>
    <t>26-01018.000</t>
  </si>
  <si>
    <t>Find source deed for the following parcel: 26-01018.000</t>
  </si>
  <si>
    <t>25-0000728.000</t>
  </si>
  <si>
    <t>Find source deed for the following parcels: 25-0000728.000; 23-0000147.000; 23-0000147.001</t>
  </si>
  <si>
    <t>27 documents
 42 transactions</t>
  </si>
  <si>
    <t>11-0000150.000</t>
  </si>
  <si>
    <t>Find source deed for the following parcels: 11-0000150.000; 11-0000150.001; 11-0000150.002, HARRISON (OH), DAWSON
 Documents found: 279-4940, 288-9. Uploaded to Drive Folder</t>
  </si>
  <si>
    <t>56-00274.000</t>
  </si>
  <si>
    <t>Find source deed for the following parcels: 56-00274.000; 56-00275.000; 26-03045.000; 26-00587.000, BELMONT (OH), FLEAGANE NW
 Documents found: 909-3764 and 907-3538. Uploaded to Drive Folder</t>
  </si>
  <si>
    <t>61-00286.000</t>
  </si>
  <si>
    <t>Find source deed for the following parcel: 61-00286.000, BELMONT (OH), SMITH
 Document found: 851-530. Uploaded to Drive Folder</t>
  </si>
  <si>
    <t>61-00629.000</t>
  </si>
  <si>
    <t>Find source deed for the following parcels: 61-00629.000, 61-00630.000, BELMONT (OH), CONNIE JO W
 Document found: 875-5901. Uploaded to Drive Folder.
 Source deed for the following Tax Parcel was not found: 61-00286.002. It was reassigned.</t>
  </si>
  <si>
    <t>20 notecards approximately. 
 Notecard with the most transactions had 11. 
 Total transactions: 44</t>
  </si>
  <si>
    <t>Source deed for 04-0000077-001; 04-0000074-000; 04-000073-000; 04-0000223-001</t>
  </si>
  <si>
    <t>Source deed for 09-0000814-000; 09-0000038-000</t>
  </si>
  <si>
    <t>Source deed for 31-00197-010; 32-01059-000</t>
  </si>
  <si>
    <t>Source deed for 30-00096-000</t>
  </si>
  <si>
    <t>-Created AOI
 -Created indexing spreadsheet
 -Added source deed
 -Indexed to the present from source deed
 -Started indexing from the source deed back to the patent
 while adding relevant documents required in the scope
 -Documents added to the AOI: 6
 -Documents indexed: 45</t>
  </si>
  <si>
    <t>Svy 50- Blk 37, T2S</t>
  </si>
  <si>
    <t>Finished AOI with landman and indexing spreadsheet
 # indexed parties: 1
 # notecards created: 0
 # indexed docs: 10</t>
  </si>
  <si>
    <t>23 notecards and 51 transactions</t>
  </si>
  <si>
    <t>- Continued reviewing and correcting assignments following the client responses/corrections/changes
 - 7-41N-72W (Lots 5, 10, 15, 17)
 - 20-36N-71W (NWNE, SWNE, SENE, N2SE, SESE, NENE, SWSE, NW)
 - 30-41N-72W (Lot 6)
 - 10-34N-69W (W2NE, W2SE)
 - 30-41N-72W (Lot 6 AKA SWNW)
 - 1-34N-69W (SWSW)
 - 34-35N-69W (NESE, SWSE, SESE)
 - 20-36N-71W (NWNE, SWNE, SENE, N2SE, SESE, NENE, SWSE, NW)</t>
  </si>
  <si>
    <t>- Finished set up of Asana tasks and attended on-boarding meeting</t>
  </si>
  <si>
    <t>-Created AOI
 -Created Indexing Spreadsheet
 -Added Source Deed
 -Indexed to the present from source deed
 -Started indexing from the source deed back to the patent while adding relevant documents required in the scope
 -I experienced some glitches with the website today.
 - Documents added to the AOI: 5
 - Documents indexed : 52</t>
  </si>
  <si>
    <t>Documents 4
 Trnsactions 9
 The Title Notes website was very glitchy today</t>
  </si>
  <si>
    <t>All previously indexed King family members were indexed again in Midland county public court records as a new source, by this way, two probated were found. Currently indexing J. M. King's heirs.</t>
  </si>
  <si>
    <t>16 Notecards aprox
 42 transactions aprox</t>
  </si>
  <si>
    <t>25-0000194.001</t>
  </si>
  <si>
    <t>WENDELL W</t>
  </si>
  <si>
    <t>Received onboarding and started with source deed assignments, unable initially to find the relevant information to proceed, asked for new assignment for 09/02/2026. The legal descriptions were not included to bill, this is for the legal description: 23-0000628.000 (Source Deed: 23-0000628.000, CARROLL (OH), WENDELL W)</t>
  </si>
  <si>
    <t>EDISON</t>
  </si>
  <si>
    <t>Received onboarding and started with source deed assignments, unable initially to find the relevant information to proceed, asked for new assignment for 09/02/2026. This is for the legal description: 23-0000628.000 (Source Deed: 25-0000194.001, CARROLL (OH), EDISON)</t>
  </si>
  <si>
    <t>25 Documents 38 Transactions</t>
  </si>
  <si>
    <t>Notecards: 28±
 Transactions: 50±</t>
  </si>
  <si>
    <t>Starting working on the AOI and indexing source deed parties.</t>
  </si>
  <si>
    <t>SIV Verification
 Corrected the patent and the early chain title, completed almost all the chain, still working in some missing interest</t>
  </si>
  <si>
    <t>18 Documents.
 24 Transactions.</t>
  </si>
  <si>
    <t>26-00905.000</t>
  </si>
  <si>
    <t>Onboarding meeting.
 Search of Source deed for multiple lands.</t>
  </si>
  <si>
    <t>22-01S-04W</t>
  </si>
  <si>
    <t>Continued work on Sec 19, EOG Pilot. 61 notecards completed, reviewed, or deleted.</t>
  </si>
  <si>
    <t>Pulled index and documents to create chain of title for 30-2S-2E.</t>
  </si>
  <si>
    <t>Pulled index and documents to create chain of title for 11-1S-1W.</t>
  </si>
  <si>
    <t>05-02S-03W</t>
  </si>
  <si>
    <t>Finished up AOI, clarified trust conveyances, curative work for early gap in title</t>
  </si>
  <si>
    <t>Indexed source leases</t>
  </si>
  <si>
    <t>W80AC OF W240AC Svy. 1, Blk. 37, T2N</t>
  </si>
  <si>
    <t>Created notecards for 40 of the 78 docs in Tracts. applied PLSS into the map. Input interest.</t>
  </si>
  <si>
    <t>SIV Surface Title: Documents Analyzed: 59 Index Pages: 100 Viewed: Parties Added: 10</t>
  </si>
  <si>
    <t>8 hours</t>
  </si>
  <si>
    <t>TRAINING DAY 1</t>
  </si>
  <si>
    <t>• Reading: Chapter 2 – Real Property Law. Read the assigned pages (est. 45 min — the slot gives you a buffer).
 • Chapter 2 quiz in Rise
 • Rise/ELT lesson: “Real and Personal Property Foundations”
 • Rise/ELT lesson: “Texas Intestate Succession for Title and Land Examiners: Practical Application”. This one previews Thursday's decedent's-estates material (Chapter 5).</t>
  </si>
  <si>
    <t>Reading of chapter 2 of the AAPL STUDY GUIDE , and Quiz in rise.</t>
  </si>
  <si>
    <t>- Introduction and presentation
 - Contract signing
 - Read Ch. 2 Real Property Law
 - Quiz Ch. 2 
 - ELT Lessons "Real and Personal Property Foundations" and "Texas Intestate Succession for Title and Land Examiners: Practical Application"</t>
  </si>
  <si>
    <t>Learn about Property law and deeds</t>
  </si>
  <si>
    <t>Today i learn about Real property laws and the type of deeds</t>
  </si>
  <si>
    <t>Read the assigned pages of Chapter 2 in the AAPL Oil &amp; Gas Land Reference Volume &amp; Study Guide, then complete
 the Chapter 2 quiz in Rise.</t>
  </si>
  <si>
    <t>Training day 1</t>
  </si>
  <si>
    <t>Reading: Chapter 2 – Real Property Law. Read the assigned pages (est. 45 min — the slot gives you a
 buffer).
 • Chapter 2 quiz in Rise
 • Rise/ELT lesson: “Real and Personal Property Foundations”
 • Rise/ELT lesson: “Texas Intestate Succession for Title and Land Examiners: Practical Application”. This
 one previews Thursday's decedent's-estates material (Chapter 5).</t>
  </si>
  <si>
    <t>Reading of Chapter 2 of the Guide. 
 Doing the Chapter 2 Quiz in Rise platform. 
 Doing in Rise the following lessons: “Real and Personal Property Foundations”, “Texas Intestate Succession for Title and Land Examiners: Practical Application”.
 Attending to different activities and expositions done by the different Team Leaders.</t>
  </si>
  <si>
    <t>Reading: Chapter 2 – Real Property Law.
 Chapter 2 quiz in Rise
 Rise/ELT lesson: “Real and Personal Property Foundations”
 Rise/ELT lesson: “Texas Intestate Succession for Title and Land Examiners: Practical Application”.</t>
  </si>
  <si>
    <t>Training 1</t>
  </si>
  <si>
    <t>Introduction
 Reading: Chapter 2 – Real Property Law.
 Chapter 2 quiz in Rise
 Rise/ELT lesson: “Real and Personal Property Foundations”
 Rise/ELT lesson: “Texas Intestate Succession for Title and Land Examiners: Practical Application”.</t>
  </si>
  <si>
    <t>Introduction, presentation, and contract signing (2h)
 Reading of Chapters 1 and 2 of the AAPL study guide (4h)
 Meeting with the area team leaders (2h)</t>
  </si>
  <si>
    <t>Completed onboarding training: read Chapter 2 (Real Property Law, pp. 9–23) of the AAPL Oil &amp; Gas Land Reference Volume &amp; Study Guide and completed the corresponding Chapter 2 quiz in Rise. Also completed Rise/ELT lessons "Real and Personal Property Foundations" and "Texas Intestate Succession for Title and Land Examiners: Practical Application."</t>
  </si>
  <si>
    <t>Reading assignment chapter 2: Real property Law, Rise quize and ELT Lessons: “Real and Personal Property 
 Foundations”
 “Texas Intestate Succession for Title and 
 Land Examiners: Practical Application”</t>
  </si>
  <si>
    <t>Chapter 2 – Real Property Law.
 Quiz Chapter 2
 ETL Lessons: “Real and Personal Property 
 Foundations”
 “Texas Intestate Succession for Title and 
 Land Examiners: Practical Application”</t>
  </si>
  <si>
    <t>Reading of "Chapter 2 - Real Property Law" from the AAPL Oil &amp; Gas Land Reference Volume &amp; Study Guide</t>
  </si>
  <si>
    <t>16 docs added (multiple docs per instrument); 345 docs viewed during indexing (many M&amp;B descriptions of land); meeting with PM RE: King family; King family research/indexing on Midland OPR, Enverus, Findagrave; 2 phone calls to Midland County Clerk</t>
  </si>
  <si>
    <t>On-board team to start uploading reports, analyze additional data, and set up project materials</t>
  </si>
  <si>
    <t>SEXPL-CUSOK and WCLEA-CUSOK</t>
  </si>
  <si>
    <t>Custer, OK</t>
  </si>
  <si>
    <t>26-14N-17W</t>
  </si>
  <si>
    <t>Reviewed ORRI</t>
  </si>
  <si>
    <t>Answered landman questions</t>
  </si>
  <si>
    <t>Reviewing AOI for alignment with TLS best practices and standards.</t>
  </si>
  <si>
    <t>Project onboarding and setup, including creation and organization of the project in Asana, Tracts, and BTABs; setup of shared Google Drive folders; project structure and workflow setup; and other related administrative tasks necessary to prepare the project for landman assignments and project execution.</t>
  </si>
  <si>
    <t>Continue to review notecards and AOI entries and update common title AOI. Meeting with project manager.</t>
  </si>
  <si>
    <t>Project set up and drafting scoping quote. Emails to client and phone call with Oscar.</t>
  </si>
  <si>
    <t>Staffing project.</t>
  </si>
  <si>
    <t>Meeting with Peter to discuss staffing for project.</t>
  </si>
  <si>
    <t>SW4 Sec. 19, Blk. 36, T2N</t>
  </si>
  <si>
    <t>Reviewed AOI and made corrections where needed.</t>
  </si>
  <si>
    <t>Began working through client provided files to prepare for landmen AOIs.</t>
  </si>
  <si>
    <t>Indexed party names, filled gaps in title, and entered notecard information.</t>
  </si>
  <si>
    <t>8 hours time off due to illness.</t>
  </si>
  <si>
    <t>Review cards, look for another deed out of Standard Oil of Kansas (we believe all of their interest should be conveyed out), check for deed into Norrell Family, believed to be heirs of Vinnie Jackson, need to find proof</t>
  </si>
  <si>
    <t>Worked through around 415 pages of cost estimate indexing, and document counting in all of 16-2S-1E.</t>
  </si>
  <si>
    <t>Was told to help Isabella close the gap in title for her AOI. Reviewed indexes for Duchesne County and added multiple documents but still a gap. Also researched on Familysearch for heirship. Still have more research to do.</t>
  </si>
  <si>
    <t>Continue indexing AOI names and adding appropriate notecards.</t>
  </si>
  <si>
    <t>5.00 time off</t>
  </si>
  <si>
    <t>BLM title review and begin of county reconciliation and location of docs prior to lease file availability. County parties indexing and leasehold title.</t>
  </si>
  <si>
    <t>Weekly Dev call</t>
  </si>
  <si>
    <t>Client - OGX call</t>
  </si>
  <si>
    <t>TCC Development</t>
  </si>
  <si>
    <t>Prepared the Tracts Command Center repository for handoff to Adam by completing a pre-handoff security audit, adding a sanitized config.example, documenting a clone-to-working-install path, and producing seven architecture diagrams covering routing and data flow. Rebuilt the Executive Snapshot's prospect reporting for Kristen and Katie — the deployment card now nests by client, three prospect tabs move rows between themselves, and a staffed-landmen multi-select column was added that survives reformatting. Normalized client naming across the board so Crescent and Crescent Energy resolve to one company and Tracts Land Solutions is treated as internal work rather than a client. Corrected the unassigned-versus-unavailable project manager counts to read from one rule, and hardened the deploy script to refuse shipping the wrong version.</t>
  </si>
  <si>
    <t>Searched and located addresses for all AOIs in the prospect. Uploaded and updated BLM notecards in NMNM105315128 - (NMNM 0002391) - 21-19S-34E: W2NW, SENW and NMNM105413010 - (NMNM 0002391A) - 21-19S-34E: NENW</t>
  </si>
  <si>
    <t>Started review of the subject AOI.</t>
  </si>
  <si>
    <t>Indexing in Carroll, Columbiana, Harrison and Guernsey Counties to confirm source deeds into Rising Phoenix or Strata Petroleum, LLC.</t>
  </si>
  <si>
    <t>*Completed training schedule. 
 *¨Completed training reading guide.
 *Provided emails for the new wave.
 *Met with Anders regarding new feedback automations in tracts center.
 *Met with Justin and Lara.</t>
  </si>
  <si>
    <t>15-01S-01W</t>
  </si>
  <si>
    <t>Training with Matt, some documents was already reviewed. I was transferred to another project with Kendall</t>
  </si>
  <si>
    <t>Identiiying and inputting source documents provided by the client into the project log and each specific AOI in tracts.</t>
  </si>
  <si>
    <t>28 instruments
 52 transactions</t>
  </si>
  <si>
    <t>6 hours not billed.</t>
  </si>
  <si>
    <t>- Leadership tasks
 - Met with Monica
 - Met with Andres</t>
  </si>
  <si>
    <t>14-01S-01W</t>
  </si>
  <si>
    <t>Review AOI, add documents to AOI that were missing, LMS. Finalize review and send review summary to landman and management.</t>
  </si>
  <si>
    <t>35 documents
 20 transactions</t>
  </si>
  <si>
    <t>Led team meeting discussing progress of each individual landman. Met with team lead to discuss project and scheduling. Met with team members individually throughout day to assist with title. Researched title in order to assist landmen with their reports.</t>
  </si>
  <si>
    <t>Worked through the indexes and added 13 documents into the chain of title. Completed the indexing for Chas Green, Amelia Burchett, and L. R. Shoemaker.</t>
  </si>
  <si>
    <t>8 hours not billed due to not being assigned work</t>
  </si>
  <si>
    <t>40
 1169-34 12 Legal descriptions
 720-790 13 Legal Descriptions
 Title notes was down for 1 hour</t>
  </si>
  <si>
    <t>29 Notecards
 54 Transactions</t>
  </si>
  <si>
    <t>Indexing party names</t>
  </si>
  <si>
    <t>Organizing Asana &amp; Tracts AOIs nomenclature</t>
  </si>
  <si>
    <t>All the documents were inputed into Tracts.</t>
  </si>
  <si>
    <t>Indexed king family to fill the gap between 1969-2019. Found the probate, last will and partition deed for J. M. King.
 Deleted assumption cards, added 1 notecard for the last will execution</t>
  </si>
  <si>
    <t>BTABs Checkings Approval
 Adding legals in BTABs
 Extra Hours Spreadsheet
 Office mgmt</t>
  </si>
  <si>
    <t>Platform was used to search for the updated index and historical index for the section; these were downloaded, and began reading them and adding documents to the title chain.
 Indexed by historical index in Duchesne, started tracking from Wilkins, then found Eldredge forward with no success, also Roosevelt Development Corporation with no success, and finally just starting looking for R. S. Jordan reference in document #18648 from Duchesne County, that may be helpful.
 In this order of ideas, also indexed J. Bruce Hartman as is the one who hold interest backwards but didn´t find any information about how he received the interest in sec 15, T2S, R1W. Indexed this name in On Base Duchesne, VMHorizo, Lids Search by name, surname, and both.</t>
  </si>
  <si>
    <t>Title Notes 
 33 Documents 
 54 Transactions</t>
  </si>
  <si>
    <t>Process client data, organize folders and information on the project LOG</t>
  </si>
  <si>
    <t>Today, I finished reviewing the mineral interests for all the leases. Additionally, per the PMs' instructions not to include the Boneta Townsite, I excluded all documents pertaining to those lands</t>
  </si>
  <si>
    <t>Connected 50% of the chain of title (40 notecards, more or less) and indexed 2 parties relevant to the chain of title, finding 37 documents.</t>
  </si>
  <si>
    <t>39 documents
 55 transactions</t>
  </si>
  <si>
    <t>30 Notecards aprox
 100 transactions aprox</t>
  </si>
  <si>
    <t>37 documents
 67 transactions</t>
  </si>
  <si>
    <t>45-50 notecards approximately. 
 Notecard with the most transactions had 37.
 Title Notes was down for an hour by the end of the day and issue was reported.</t>
  </si>
  <si>
    <t>93 documents reviewed
 94 Transactions</t>
  </si>
  <si>
    <t>Sec 26-Blk 35-T1N</t>
  </si>
  <si>
    <t>Finished AOI with the landman statement and indexing spreadsheets
 # indexed parties: 3
 # notecards created: 2
 # indexed docs: 20</t>
  </si>
  <si>
    <t># indexed parties: 8
 # notecards created: 7
 # indexed docs: 100</t>
  </si>
  <si>
    <t>- Completed 11 notecards
 - 1 notecard had 48 transactions
 - 1 notecard had 82 transactions
 - 1 notecard had 12 transactions</t>
  </si>
  <si>
    <t>- Continued reviewing and correcting assignments following the client responses/corrections/changes
 - 25-35N-70W (E2E2)
 - 27-35N-71W (W2)
 - 8-34N-68W (N2; E2SE; NESE, NWSE, SESE)
 - 31-36N-71W (SE, NENW, Lots 1, 2, 3, 4, E2SW, W2NE, NENE, SENW)
 - 24-35N-69W (NESW; NESW, NWSE ; NWSE; NWSW, SWSW, SESW; SWSE)
 - 15-35N-71W (SWSW; SWNE ; NWSW; NESW; N2NE ; NENE, NWNE, SWNE, NW, SESE ; SESW, W2SE)
 - 13-34N-69W (S2SW)
 - 22-36N-71W (SW; N2NW; N2NE; SWNW; SENW)
 - 2-33N-68W (SWSW)
 - 31-36N-71W (SE, NENW, Lots 1, 2, 3, 4, E2SW, W2NE, NENE, SENW)
 - 7-42N-71W (Lots 1-4, Lots 18-23, Lots 24-30, SENW, E2SW, W2SE, SWNE, NWNW, SWNW, SENW, NWNE, NENW, E2NE, NESE, SENW)</t>
  </si>
  <si>
    <t>Documents 33 
 Trnsactions 101
 The Title Notes website was very glitchy today</t>
  </si>
  <si>
    <t>Chain completed from patent to present with the probates of the King family. Currently indexing other members of the family to find any missing document.</t>
  </si>
  <si>
    <t>15 Documents
 20 Transactions</t>
  </si>
  <si>
    <t>Notecards: 28±
 Transactions: 60±
 Experiencing a few technical issues:
 At morning: having trouble logging into the Tracts BPO Gmail account.
 Working on TitleNotes: the loading times when switching between documents have been excessive in some cases. Also encountered a bug when filling out notecards; after entering the recording information, the page automatically refreshes, forcing to start the process over.</t>
  </si>
  <si>
    <t>SIV Verification
 Found missing links to fill the gaps, well production report done, assignment completed</t>
  </si>
  <si>
    <t>49 Documents.
 76 Transactions.</t>
  </si>
  <si>
    <t>Continued work on Sec 19, EOG Pilot. 45 notecards completed, reviewed, or deleted.</t>
  </si>
  <si>
    <t>Indexed back to patent and filled out notecards, found supporting documents for trust deeds</t>
  </si>
  <si>
    <t>Reviewed index
 Instrument(s) added to AOI
 Instrument(s) indexed</t>
  </si>
  <si>
    <t>Wrapped up one bringdown and started on 35-2S-3W lease bringdown. Indexed 627 recorded docs from 35-2S-3W separated 78 leases uploaded to Tracts.</t>
  </si>
  <si>
    <t>Researched Duchene County for vesting conveyance. Identified common heirs/alias for both Cynthia Jessen and Dewy "Max".
 Need to clarify if the assigned owner "Dewey Max" is correct or if it's a clerical error. Dewey Max has not been as of yet, but Dewey "Mac" and Dewey Jessen have common title with Cynthia Jessen. Both have heirs and multiple known aliases. Sorting out and searching for source deed/vesting conveyance for AOI.</t>
  </si>
  <si>
    <t>Indexed party names to complete the chain of title and entered notecard information.</t>
  </si>
  <si>
    <t>Worked on training materials for presentation 8/31.</t>
  </si>
  <si>
    <t>Indexing in Carroll, Columbiana and Harrison Counties to confirm source deeds into Rising Phoenix or Strata Petroleum, LLC.</t>
  </si>
  <si>
    <t>- Continued reviewing and correcting assignments following the client responses/corrections/changes
 1-36N-71W (Valeen/Wyoming Mineral Fund)
 15-34N-69W (W2NE, W2SE)
 4-35N-68W (Ina J. Tullinen DD) (S2NE, SENW, SW, SESE)
 36-34N-68W (SWNE, E2NW, SWSW, SESE)
 7-42N-71W (Lots 1-4, Lots 18-23, Lots 24-30, SENW, E2SW, W2SE, SWNE, NWNW, SWNW, SENW, NWNE, NENW, E2NE, NESE, SENW)
 30-41N-72W (Lot 6 AKA SWNW)</t>
  </si>
  <si>
    <t>*Training reading materials.
 *Elaborated an schedule for Lara to review.
 *Reading pdf for trainees.</t>
  </si>
  <si>
    <t>- Continued reviewing and correcting assignments following the client responses/corrections/changes
 - Reviewed all assignments in "Pending Client Response" and resolved the ones that we could finish without a response from the client.
 - 30-42N-74W (Lots 5, 6, 11, 12, 13, 14, 19, 20)
 - 6-35N-70W (NESW , Lots 1, 2, S2NE, Lots 3, 4, 5, SENE, SENW)
 - 8-35N-68W (NESW, NWSW, SWSW)
 - 16-35N-68W (NE, NW, SE, SW, N2)
 - 12-35N-69W (N2NE, SESW, S2SE)
 - 1-35N-72W (NESE, SWSW)
 - 20-36N-71W (NWNE, SWNE, SENE, N2SE, SESE, NENE, SWSE, NW)
 - 10-34N-69W (W2NE, W2SE)</t>
  </si>
  <si>
    <t>Continued reviewing and correcting assignments following
 the client responses/corrections/changes
 24-42N-71W (NE, NW)
 1683
 14-35N-69W (SW, NENE, SWNE, SENE, SE)
 4-35N-69W (S2SW, SE)
 23-35N-69W (NE, W2, SE)
 18-41N-72W (Lots 5, 12)
 7-41N-72W (Lots 5, 10, 15, 17)</t>
  </si>
  <si>
    <t>Assigning out Parcel checks to identify common mineral tracts on the 15 lines of data sent over by client.</t>
  </si>
  <si>
    <t>- Continued reviewing and correcting assignments following the client responses/corrections/changes
 5-35N-69W (S2SE)
 4-41N-74W (Lots 5, 6, 11, 12, 13)
 17-42N-71W (Lot 16, Lots 1-12)
 26-42N-73W (Lots 3, 4, 5, 6, 11, 12, 13, 14, E2)
 7-42N-71W (Lots 1-4, Lots 18-23, Lots 24-30, SENW, E2SW, W2SE, SWNE, NWNW, SWNW, SENW, NWNE, NENW, E2NE, NESE, SENW)
 30-41N-72W (Lot 6 AKA SWNW)</t>
  </si>
  <si>
    <t>- Continued reviewing and correcting assignments following the client responses/corrections/changes
 - Reviewed all assignments in "Pending Client Response" and resolved the ones that we could finish without a response from the client.
 - 27-41N-72W (Lot 1-16)
 - 27-35N-70W (NE, S2NW, SW)
 - 22-41N-72W (LOT 5, 12 AND 13, E2, SENW, E2SW)
 - 9-34N-68W (W2)
 - 12-34N-69W (E2NW , E2NE , NESE , NESW, NWSE)
 - 26-34N-68W (S2SW, S2SE)
 - 20-36N-71W (NWNE, SWNE, SENE, N2SE, SESE, NENE, SWSE, NW)
 - 10-34N-69W (W2NE, W2SE)</t>
  </si>
  <si>
    <t>Continued reviewing and correcting assignments following
 the client responses/corrections/changes
 10-34N-68W (NWNE)
 15-34N-68W (NWNW, SWNW, SENW, NWSW, SWSW, SESW, SWSE)
 26-34N-68W (NWSW, NWNE, N2NW)
 7-41N-71W (Lots 5, 12 , W2 , Lots 7, 8, 9, 10, 15, 16, 17, 18, 13, 14, 19, 20, SE)
 29-43N-71W (NWNE, NENW, SWNW, SENW, SW, Lots 2, 3, 5, 6, 11, 12, 13, 14)
 17-35N-71W (S2SW, SWSE)
 30-41N-72W (Lot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</si>
</sst>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
    <numFmt numFmtId="166" formatCode="#,##0.##"/>
    <numFmt numFmtId="167" formatCode="dd/mm/yyyy"/>
    <numFmt numFmtId="168" formatCode="0.000"/>
  </numFmts>
  <fonts count="57" x14ac:knownFonts="1">
    <font>
      <sz val="11"/>
      <color theme="1"/>
      <name val="Calibri"/>
      <family val="2"/>
      <charset val="1"/>
    </font>
    <font>
      <b/>
      <sz val="24"/>
      <color rgb="FFFFFFFF"/>
      <name val="Arial"/>
      <charset val="1"/>
    </font>
    <font>
      <b/>
      <sz val="12"/>
      <color rgb="FFFFFFFF"/>
      <name val="Arial"/>
      <charset val="1"/>
    </font>
    <font>
      <sz val="11"/>
      <color rgb="FF1F1F1F"/>
      <name val="Arial"/>
      <charset val="1"/>
    </font>
    <font>
      <b/>
      <sz val="14"/>
      <color rgb="FFFFFFFF"/>
      <name val="Arial"/>
      <charset val="1"/>
    </font>
    <font>
      <b/>
      <sz val="10"/>
      <color rgb="FF0E7C7B"/>
      <name val="Arial"/>
      <charset val="1"/>
    </font>
    <font>
      <sz val="10"/>
      <color rgb="FF1F1F1F"/>
      <name val="Arial"/>
      <charset val="1"/>
    </font>
    <font>
      <b/>
      <sz val="10"/>
      <color rgb="FFA61B29"/>
      <name val="Arial"/>
      <charset val="1"/>
    </font>
    <font>
      <b/>
      <sz val="10"/>
      <color rgb="FFB98900"/>
      <name val="Arial"/>
      <charset val="1"/>
    </font>
    <font>
      <b/>
      <sz val="10"/>
      <color rgb="FF5B2C6F"/>
      <name val="Arial"/>
      <charset val="1"/>
    </font>
    <font>
      <b/>
      <sz val="10"/>
      <color rgb="FF1F6FB2"/>
      <name val="Arial"/>
      <charset val="1"/>
    </font>
    <font>
      <b/>
      <sz val="10"/>
      <color rgb="FF3F5A70"/>
      <name val="Arial"/>
      <charset val="1"/>
    </font>
    <font>
      <b/>
      <sz val="10"/>
      <color rgb="FF7F7F7F"/>
      <name val="Arial"/>
      <charset val="1"/>
    </font>
    <font>
      <b/>
      <sz val="10"/>
      <color rgb="FF595959"/>
      <name val="Arial"/>
      <charset val="1"/>
    </font>
    <font>
      <b/>
      <sz val="10"/>
      <color rgb="FF8A5A00"/>
      <name val="Arial"/>
      <charset val="1"/>
    </font>
    <font>
      <b/>
      <sz val="10"/>
      <color rgb="FF006100"/>
      <name val="Arial"/>
      <charset val="1"/>
    </font>
    <font>
      <b/>
      <sz val="10"/>
      <color rgb="FF9C0006"/>
      <name val="Arial"/>
      <charset val="1"/>
    </font>
    <font>
      <b/>
      <sz val="10"/>
      <color rgb="FF1F4E79"/>
      <name val="Arial"/>
      <charset val="1"/>
    </font>
    <font>
      <b/>
      <sz val="10"/>
      <color rgb="FFFFFFFF"/>
      <name val="Arial"/>
      <charset val="1"/>
    </font>
    <font>
      <i/>
      <sz val="9"/>
      <color rgb="FF9C0006"/>
      <name val="Arial"/>
      <charset val="1"/>
    </font>
    <font>
      <sz val="8"/>
      <color rgb="FFBFBFBF"/>
      <name val="Arial"/>
      <charset val="1"/>
    </font>
    <font>
      <b/>
      <sz val="18"/>
      <color rgb="FFFFFFFF"/>
      <name val="Arial"/>
      <charset val="1"/>
    </font>
    <font>
      <sz val="10"/>
      <color rgb="FFFFFFFF"/>
      <name val="Arial"/>
      <charset val="1"/>
    </font>
    <font>
      <b/>
      <sz val="8"/>
      <color rgb="FFFFFFFF"/>
      <name val="Arial"/>
      <charset val="1"/>
    </font>
    <font>
      <b/>
      <sz val="16"/>
      <color rgb="FF1B3E5F"/>
      <name val="Arial"/>
      <charset val="1"/>
    </font>
    <font>
      <b/>
      <sz val="16"/>
      <color rgb="FF006100"/>
      <name val="Arial"/>
      <charset val="1"/>
    </font>
    <font>
      <b/>
      <sz val="16"/>
      <color rgb="FFB98900"/>
      <name val="Arial"/>
      <charset val="1"/>
    </font>
    <font>
      <b/>
      <sz val="16"/>
      <color rgb="FFA61B29"/>
      <name val="Arial"/>
      <charset val="1"/>
    </font>
    <font>
      <b/>
      <sz val="16"/>
      <color rgb="FF0E7C7B"/>
      <name val="Arial"/>
      <charset val="1"/>
    </font>
    <font>
      <b/>
      <sz val="16"/>
      <color rgb="FF595959"/>
      <name val="Arial"/>
      <charset val="1"/>
    </font>
    <font>
      <b/>
      <sz val="9"/>
      <color rgb="FFFFFFFF"/>
      <name val="Arial"/>
      <charset val="1"/>
    </font>
    <font>
      <b/>
      <sz val="10"/>
      <color rgb="FF1F1F1F"/>
      <name val="Arial"/>
      <charset val="1"/>
    </font>
    <font>
      <sz val="9"/>
      <color rgb="FF1F1F1F"/>
      <name val="Arial"/>
      <charset val="1"/>
    </font>
    <font>
      <b/>
      <sz val="9"/>
      <color rgb="FF006100"/>
      <name val="Arial"/>
      <charset val="1"/>
    </font>
    <font>
      <b/>
      <sz val="9"/>
      <color rgb="FF9C0006"/>
      <name val="Arial"/>
      <charset val="1"/>
    </font>
    <font>
      <b/>
      <sz val="9"/>
      <color rgb="FF1F4E79"/>
      <name val="Arial"/>
      <charset val="1"/>
    </font>
    <font>
      <sz val="10"/>
      <name val="Arial"/>
      <family val="2"/>
    </font>
    <font>
      <b/>
      <sz val="11"/>
      <color rgb="FFFFFFFF"/>
      <name val="Arial"/>
      <charset val="1"/>
    </font>
    <font>
      <b/>
      <sz val="14"/>
      <color rgb="FFA61B29"/>
      <name val="Arial"/>
      <charset val="1"/>
    </font>
    <font>
      <i/>
      <sz val="10"/>
      <color rgb="FF595959"/>
      <name val="Arial"/>
      <charset val="1"/>
    </font>
    <font>
      <sz val="8"/>
      <color rgb="FFD9D9D9"/>
      <name val="Arial"/>
      <charset val="1"/>
    </font>
    <font>
      <b/>
      <sz val="15"/>
      <color rgb="FFB98900"/>
      <name val="Arial"/>
      <charset val="1"/>
    </font>
    <font>
      <b/>
      <sz val="15"/>
      <color rgb="FF1B3E5F"/>
      <name val="Arial"/>
      <charset val="1"/>
    </font>
    <font>
      <b/>
      <sz val="15"/>
      <color rgb="FFA61B29"/>
      <name val="Arial"/>
      <charset val="1"/>
    </font>
    <font>
      <sz val="10"/>
      <color rgb="FF0000FF"/>
      <name val="Arial"/>
      <charset val="1"/>
    </font>
    <font>
      <b/>
      <sz val="12"/>
      <color rgb="FF1F1F1F"/>
      <name val="Arial"/>
      <charset val="1"/>
    </font>
    <font>
      <sz val="9"/>
      <color rgb="FF0E7C7B"/>
      <name val="Arial"/>
      <charset val="1"/>
    </font>
    <font>
      <b/>
      <sz val="11"/>
      <color rgb="FF1F1F1F"/>
      <name val="Arial"/>
      <charset val="1"/>
    </font>
    <font>
      <b/>
      <sz val="13"/>
      <color rgb="FF1F1F1F"/>
      <name val="Arial"/>
      <charset val="1"/>
    </font>
    <font>
      <sz val="9"/>
      <color rgb="FF1F6FB2"/>
      <name val="Arial"/>
      <charset val="1"/>
    </font>
    <font>
      <b/>
      <sz val="9"/>
      <color rgb="FF1F1F1F"/>
      <name val="Arial"/>
      <charset val="1"/>
    </font>
    <font>
      <sz val="9"/>
      <color rgb="FF0000FF"/>
      <name val="Arial"/>
      <charset val="1"/>
    </font>
    <font>
      <b/>
      <sz val="11"/>
      <color rgb="FF0000FF"/>
      <name val="Arial"/>
      <charset val="1"/>
    </font>
    <font>
      <b/>
      <sz val="10"/>
      <color rgb="FF0000FF"/>
      <name val="Arial"/>
      <charset val="1"/>
    </font>
    <font>
      <i/>
      <sz val="9"/>
      <color rgb="FF595959"/>
      <name val="Arial"/>
      <charset val="1"/>
    </font>
    <font>
      <sz val="10"/>
      <color rgb="FF006100"/>
      <name val="Arial"/>
      <charset val="1"/>
    </font>
    <font>
      <sz val="9"/>
      <color rgb="FF7F7F7F"/>
      <name val="Arial"/>
      <charset val="1"/>
    </font>
  </fonts>
  <fills count="24">
    <fill>
      <patternFill patternType="none"/>
    </fill>
    <fill>
      <patternFill patternType="gray125"/>
    </fill>
    <fill>
      <patternFill patternType="solid">
        <fgColor rgb="FF0F2A44"/>
        <bgColor rgb="FF1F1F1F"/>
      </patternFill>
    </fill>
    <fill>
      <patternFill patternType="solid">
        <fgColor rgb="FF0E7C7B"/>
        <bgColor rgb="FF1F6FB2"/>
      </patternFill>
    </fill>
    <fill>
      <patternFill patternType="solid">
        <fgColor rgb="FFB98900"/>
        <bgColor rgb="FF8A5A00"/>
      </patternFill>
    </fill>
    <fill>
      <patternFill patternType="solid">
        <fgColor rgb="FFFFF9E6"/>
        <bgColor rgb="FFFFF6F6"/>
      </patternFill>
    </fill>
    <fill>
      <patternFill patternType="solid">
        <fgColor rgb="FF1B3E5F"/>
        <bgColor rgb="FF1F4E79"/>
      </patternFill>
    </fill>
    <fill>
      <patternFill patternType="solid">
        <fgColor rgb="FFF5F7FA"/>
        <bgColor rgb="FFF9F9F9"/>
      </patternFill>
    </fill>
    <fill>
      <patternFill patternType="solid">
        <fgColor rgb="FFE8F4F4"/>
        <bgColor rgb="FFEEF3F7"/>
      </patternFill>
    </fill>
    <fill>
      <patternFill patternType="solid">
        <fgColor rgb="FFA61B29"/>
        <bgColor rgb="FF9C0006"/>
      </patternFill>
    </fill>
    <fill>
      <patternFill patternType="solid">
        <fgColor rgb="FF5B2C6F"/>
        <bgColor rgb="FF404040"/>
      </patternFill>
    </fill>
    <fill>
      <patternFill patternType="solid">
        <fgColor rgb="FF1F6FB2"/>
        <bgColor rgb="FF0E7C7B"/>
      </patternFill>
    </fill>
    <fill>
      <patternFill patternType="solid">
        <fgColor rgb="FF3F5A70"/>
        <bgColor rgb="FF595959"/>
      </patternFill>
    </fill>
    <fill>
      <patternFill patternType="solid">
        <fgColor rgb="FF7F7F7F"/>
        <bgColor rgb="FF878787"/>
      </patternFill>
    </fill>
    <fill>
      <patternFill patternType="solid">
        <fgColor rgb="FFBFBFBF"/>
        <bgColor rgb="FFBFC9D4"/>
      </patternFill>
    </fill>
    <fill>
      <patternFill patternType="solid">
        <fgColor rgb="FFFFF2CC"/>
        <bgColor rgb="FFFFF9E6"/>
      </patternFill>
    </fill>
    <fill>
      <patternFill patternType="solid">
        <fgColor rgb="FFC6EFCE"/>
        <bgColor rgb="FFD9E1F2"/>
      </patternFill>
    </fill>
    <fill>
      <patternFill patternType="solid">
        <fgColor rgb="FFFFC7CE"/>
        <bgColor rgb="FFD9D9D9"/>
      </patternFill>
    </fill>
    <fill>
      <patternFill patternType="solid">
        <fgColor rgb="FFD9E1F2"/>
        <bgColor rgb="FFD9D9D9"/>
      </patternFill>
    </fill>
    <fill>
      <patternFill patternType="solid">
        <fgColor rgb="FFFDEDEE"/>
        <bgColor rgb="FFFFF6F6"/>
      </patternFill>
    </fill>
    <fill>
      <patternFill patternType="solid">
        <fgColor rgb="FF006100"/>
        <bgColor rgb="FF003300"/>
      </patternFill>
    </fill>
    <fill>
      <patternFill patternType="solid">
        <fgColor rgb="FF595959"/>
        <bgColor rgb="FF3F5A70"/>
      </patternFill>
    </fill>
    <fill>
      <patternFill patternType="solid">
        <fgColor rgb="FFE7ECF1"/>
        <bgColor rgb="FFE8F4F4"/>
      </patternFill>
    </fill>
    <fill>
      <patternFill patternType="solid">
        <fgColor rgb="FFEEF3F7"/>
        <bgColor rgb="FFE8F4F4"/>
      </patternFill>
    </fill>
  </fills>
  <borders count="3">
    <border>
      <left/>
      <right/>
      <top/>
      <bottom/>
      <diagonal/>
    </border>
    <border>
      <left style="thin">
        <color rgb="FFBFC9D4"/>
      </left>
      <right style="thin">
        <color rgb="FFBFC9D4"/>
      </right>
      <top style="thin">
        <color rgb="FFBFC9D4"/>
      </top>
      <bottom style="thin">
        <color rgb="FFBFC9D4"/>
      </bottom>
      <diagonal/>
    </border>
    <border>
      <left style="thin">
        <color rgb="FFBFC9D4"/>
      </left>
      <right/>
      <top style="thin">
        <color rgb="FFBFC9D4"/>
      </top>
      <bottom style="thin">
        <color rgb="FFBFC9D4"/>
      </bottom>
      <diagonal/>
    </border>
  </borders>
  <cellStyleXfs count="1">
    <xf numFmtId="0" fontId="0" fillId="0" borderId="0"/>
  </cellStyleXfs>
  <cellXfs count="176">
    <xf numFmtId="0" fontId="0" fillId="0" borderId="0" xfId="0"/>
    <xf numFmtId="0" fontId="16" fillId="17" borderId="1" xfId="0" applyFont="1" applyFill="1" applyBorder="1" applyAlignment="1">
      <alignment horizontal="center" vertical="center"/>
    </xf>
    <xf numFmtId="0" fontId="15" fillId="16" borderId="1" xfId="0" applyFont="1" applyFill="1" applyBorder="1" applyAlignment="1">
      <alignment horizontal="center" vertical="center"/>
    </xf>
    <xf numFmtId="0" fontId="14" fillId="15" borderId="1" xfId="0" applyFont="1" applyFill="1" applyBorder="1" applyAlignment="1">
      <alignment horizontal="center" vertical="center"/>
    </xf>
    <xf numFmtId="0" fontId="6" fillId="0" borderId="1" xfId="0" applyFont="1" applyBorder="1" applyAlignment="1">
      <alignment horizontal="left" vertical="center"/>
    </xf>
    <xf numFmtId="0" fontId="0" fillId="3" borderId="1" xfId="0" applyFill="1" applyBorder="1"/>
    <xf numFmtId="0" fontId="5" fillId="0" borderId="1" xfId="0" applyFont="1" applyBorder="1" applyAlignment="1">
      <alignment horizontal="left" vertical="center"/>
    </xf>
    <xf numFmtId="0" fontId="0" fillId="9" borderId="1" xfId="0" applyFill="1" applyBorder="1"/>
    <xf numFmtId="0" fontId="7" fillId="0" borderId="1" xfId="0" applyFont="1" applyBorder="1" applyAlignment="1">
      <alignment horizontal="left" vertical="center"/>
    </xf>
    <xf numFmtId="0" fontId="0" fillId="4" borderId="1" xfId="0" applyFill="1" applyBorder="1"/>
    <xf numFmtId="0" fontId="8" fillId="0" borderId="1" xfId="0" applyFont="1" applyBorder="1" applyAlignment="1">
      <alignment horizontal="left" vertical="center"/>
    </xf>
    <xf numFmtId="0" fontId="0" fillId="10" borderId="1" xfId="0" applyFill="1" applyBorder="1"/>
    <xf numFmtId="0" fontId="9" fillId="0" borderId="1" xfId="0" applyFont="1" applyBorder="1" applyAlignment="1">
      <alignment horizontal="left" vertical="center"/>
    </xf>
    <xf numFmtId="0" fontId="0" fillId="11" borderId="1" xfId="0" applyFill="1" applyBorder="1"/>
    <xf numFmtId="0" fontId="10" fillId="0" borderId="1" xfId="0" applyFont="1" applyBorder="1" applyAlignment="1">
      <alignment horizontal="left" vertical="center"/>
    </xf>
    <xf numFmtId="0" fontId="0" fillId="12" borderId="1" xfId="0" applyFill="1" applyBorder="1"/>
    <xf numFmtId="0" fontId="11" fillId="0" borderId="1" xfId="0" applyFont="1" applyBorder="1" applyAlignment="1">
      <alignment horizontal="left" vertical="center"/>
    </xf>
    <xf numFmtId="0" fontId="0" fillId="13" borderId="1" xfId="0" applyFill="1" applyBorder="1"/>
    <xf numFmtId="0" fontId="12" fillId="0" borderId="1" xfId="0" applyFont="1" applyBorder="1" applyAlignment="1">
      <alignment horizontal="left" vertical="center"/>
    </xf>
    <xf numFmtId="0" fontId="0" fillId="14" borderId="1" xfId="0" applyFill="1" applyBorder="1"/>
    <xf numFmtId="0" fontId="13" fillId="0" borderId="1" xfId="0" applyFont="1" applyBorder="1" applyAlignment="1">
      <alignment horizontal="left" vertical="center"/>
    </xf>
    <xf numFmtId="0" fontId="17" fillId="18" borderId="1" xfId="0" applyFont="1" applyFill="1" applyBorder="1" applyAlignment="1">
      <alignment horizontal="center" vertical="center"/>
    </xf>
    <xf numFmtId="0" fontId="18" fillId="9" borderId="1" xfId="0" applyFont="1" applyFill="1" applyBorder="1" applyAlignment="1">
      <alignment horizontal="center" vertical="center"/>
    </xf>
    <xf numFmtId="0" fontId="20" fillId="0" borderId="0" xfId="0" applyFont="1"/>
    <xf numFmtId="1" fontId="20" fillId="0" borderId="0" xfId="0" applyNumberFormat="1" applyFont="1"/>
    <xf numFmtId="164" fontId="20" fillId="0" borderId="0" xfId="0" applyNumberFormat="1" applyFont="1"/>
    <xf numFmtId="0" fontId="30" fillId="6" borderId="1" xfId="0" applyFont="1" applyFill="1" applyBorder="1" applyAlignment="1">
      <alignment horizontal="center" vertical="center" wrapText="1"/>
    </xf>
    <xf numFmtId="0" fontId="30" fillId="3" borderId="1" xfId="0" applyFont="1" applyFill="1" applyBorder="1" applyAlignment="1">
      <alignment horizontal="center" vertical="center"/>
    </xf>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164" fontId="31" fillId="0" borderId="1" xfId="0" applyNumberFormat="1" applyFont="1" applyBorder="1" applyAlignment="1">
      <alignment horizontal="center" vertical="center"/>
    </xf>
    <xf numFmtId="0" fontId="31" fillId="0" borderId="1" xfId="0" applyFont="1" applyBorder="1" applyAlignment="1">
      <alignment horizontal="left" vertical="center"/>
    </xf>
    <xf numFmtId="0" fontId="32" fillId="0" borderId="1" xfId="0" applyFont="1" applyBorder="1" applyAlignment="1">
      <alignment horizontal="left" vertical="top" wrapText="1"/>
    </xf>
    <xf numFmtId="0" fontId="6" fillId="7" borderId="1" xfId="0" applyFont="1" applyFill="1" applyBorder="1" applyAlignment="1">
      <alignment horizontal="center" vertical="center"/>
    </xf>
    <xf numFmtId="0" fontId="6" fillId="7" borderId="1" xfId="0" applyFont="1" applyFill="1" applyBorder="1" applyAlignment="1">
      <alignment horizontal="left" vertical="center"/>
    </xf>
    <xf numFmtId="164" fontId="31" fillId="7" borderId="1" xfId="0" applyNumberFormat="1" applyFont="1" applyFill="1" applyBorder="1" applyAlignment="1">
      <alignment horizontal="center" vertical="center"/>
    </xf>
    <xf numFmtId="164" fontId="6" fillId="7" borderId="1" xfId="0" applyNumberFormat="1" applyFont="1" applyFill="1" applyBorder="1" applyAlignment="1">
      <alignment horizontal="center" vertical="center"/>
    </xf>
    <xf numFmtId="0" fontId="31" fillId="7" borderId="1" xfId="0" applyFont="1" applyFill="1" applyBorder="1" applyAlignment="1">
      <alignment horizontal="left" vertical="center"/>
    </xf>
    <xf numFmtId="0" fontId="32" fillId="7" borderId="1" xfId="0" applyFont="1" applyFill="1" applyBorder="1" applyAlignment="1">
      <alignment horizontal="left" vertical="top" wrapText="1"/>
    </xf>
    <xf numFmtId="0" fontId="38" fillId="0" borderId="0" xfId="0" applyFont="1" applyAlignment="1">
      <alignment horizontal="center" vertical="center"/>
    </xf>
    <xf numFmtId="0" fontId="30" fillId="9" borderId="1" xfId="0" applyFont="1" applyFill="1" applyBorder="1" applyAlignment="1">
      <alignment horizontal="center" vertical="center" wrapText="1"/>
    </xf>
    <xf numFmtId="0" fontId="32" fillId="0" borderId="0" xfId="0" applyFont="1" applyAlignment="1">
      <alignment horizontal="center" vertical="center"/>
    </xf>
    <xf numFmtId="0" fontId="32" fillId="0" borderId="0" xfId="0" applyFont="1" applyAlignment="1">
      <alignment horizontal="left" vertical="center"/>
    </xf>
    <xf numFmtId="167" fontId="32" fillId="0" borderId="0" xfId="0" applyNumberFormat="1" applyFont="1" applyAlignment="1">
      <alignment horizontal="center" vertical="center"/>
    </xf>
    <xf numFmtId="164" fontId="32" fillId="0" borderId="0" xfId="0" applyNumberFormat="1" applyFont="1" applyAlignment="1">
      <alignment horizontal="center" vertical="center"/>
    </xf>
    <xf numFmtId="0" fontId="32" fillId="0" borderId="0" xfId="0" applyFont="1" applyAlignment="1">
      <alignment horizontal="left" vertical="top" wrapText="1"/>
    </xf>
    <xf numFmtId="0" fontId="40" fillId="0" borderId="0" xfId="0" applyFont="1"/>
    <xf numFmtId="1" fontId="0" fillId="0" borderId="0" xfId="0" applyNumberFormat="1"/>
    <xf numFmtId="164" fontId="0" fillId="0" borderId="0" xfId="0" applyNumberFormat="1"/>
    <xf numFmtId="0" fontId="30" fillId="4" borderId="1" xfId="0" applyFont="1" applyFill="1" applyBorder="1" applyAlignment="1">
      <alignment horizontal="center" vertical="center" wrapText="1"/>
    </xf>
    <xf numFmtId="168" fontId="32" fillId="0" borderId="0" xfId="0" applyNumberFormat="1" applyFont="1" applyAlignment="1">
      <alignment horizontal="center" vertical="center"/>
    </xf>
    <xf numFmtId="0" fontId="30" fillId="10" borderId="1" xfId="0" applyFont="1" applyFill="1" applyBorder="1" applyAlignment="1">
      <alignment horizontal="center" vertical="center" wrapText="1"/>
    </xf>
    <xf numFmtId="1" fontId="6"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0" fontId="44" fillId="15" borderId="1" xfId="0" applyFont="1" applyFill="1" applyBorder="1" applyAlignment="1">
      <alignment horizontal="center" vertical="center"/>
    </xf>
    <xf numFmtId="167" fontId="44" fillId="15" borderId="1" xfId="0" applyNumberFormat="1" applyFont="1" applyFill="1" applyBorder="1" applyAlignment="1">
      <alignment horizontal="center" vertical="center"/>
    </xf>
    <xf numFmtId="0" fontId="44" fillId="15" borderId="1" xfId="0" applyFont="1" applyFill="1" applyBorder="1" applyAlignment="1">
      <alignment horizontal="left" vertical="center"/>
    </xf>
    <xf numFmtId="0" fontId="18" fillId="2" borderId="1" xfId="0" applyFont="1" applyFill="1" applyBorder="1" applyAlignment="1">
      <alignment horizontal="left" vertical="center"/>
    </xf>
    <xf numFmtId="1" fontId="18" fillId="2" borderId="1" xfId="0" applyNumberFormat="1" applyFont="1" applyFill="1" applyBorder="1" applyAlignment="1">
      <alignment horizontal="center" vertical="center"/>
    </xf>
    <xf numFmtId="164" fontId="18" fillId="2" borderId="1" xfId="0" applyNumberFormat="1" applyFont="1" applyFill="1" applyBorder="1" applyAlignment="1">
      <alignment horizontal="center" vertical="center"/>
    </xf>
    <xf numFmtId="165" fontId="18" fillId="2" borderId="1" xfId="0" applyNumberFormat="1" applyFont="1" applyFill="1" applyBorder="1" applyAlignment="1">
      <alignment horizontal="center" vertical="center"/>
    </xf>
    <xf numFmtId="0" fontId="18" fillId="2" borderId="1" xfId="0" applyFont="1" applyFill="1" applyBorder="1" applyAlignment="1">
      <alignment horizontal="center" vertical="center"/>
    </xf>
    <xf numFmtId="0" fontId="31" fillId="0" borderId="1" xfId="0" applyFont="1" applyBorder="1" applyAlignment="1">
      <alignment horizontal="center" vertical="center"/>
    </xf>
    <xf numFmtId="1" fontId="45" fillId="0" borderId="1" xfId="0" applyNumberFormat="1" applyFont="1" applyBorder="1" applyAlignment="1">
      <alignment horizontal="center" vertical="center"/>
    </xf>
    <xf numFmtId="0" fontId="46" fillId="0" borderId="1" xfId="0" applyFont="1" applyBorder="1" applyAlignment="1">
      <alignment horizontal="center" vertical="center"/>
    </xf>
    <xf numFmtId="0" fontId="30" fillId="11" borderId="1" xfId="0" applyFont="1" applyFill="1" applyBorder="1" applyAlignment="1">
      <alignment horizontal="center" vertical="center" wrapText="1"/>
    </xf>
    <xf numFmtId="0" fontId="31" fillId="0" borderId="1" xfId="0" applyFont="1" applyBorder="1" applyAlignment="1">
      <alignment horizontal="left" vertical="top" wrapText="1"/>
    </xf>
    <xf numFmtId="1" fontId="48" fillId="0" borderId="1" xfId="0" applyNumberFormat="1" applyFont="1" applyBorder="1" applyAlignment="1">
      <alignment horizontal="center" vertical="center"/>
    </xf>
    <xf numFmtId="0" fontId="49" fillId="0" borderId="1" xfId="0" applyFont="1" applyBorder="1" applyAlignment="1">
      <alignment horizontal="center" vertical="center" wrapText="1"/>
    </xf>
    <xf numFmtId="0" fontId="6" fillId="0" borderId="0" xfId="0" applyFont="1" applyAlignment="1">
      <alignment horizontal="center" vertical="center"/>
    </xf>
    <xf numFmtId="0" fontId="31" fillId="0" borderId="0" xfId="0" applyFont="1" applyAlignment="1">
      <alignment horizontal="left" vertical="center"/>
    </xf>
    <xf numFmtId="164" fontId="6" fillId="0" borderId="0" xfId="0" applyNumberFormat="1" applyFont="1" applyAlignment="1">
      <alignment horizontal="center" vertical="center"/>
    </xf>
    <xf numFmtId="0" fontId="30" fillId="12" borderId="1" xfId="0" applyFont="1" applyFill="1" applyBorder="1" applyAlignment="1">
      <alignment horizontal="center" vertical="center" wrapText="1"/>
    </xf>
    <xf numFmtId="0" fontId="50" fillId="0" borderId="1" xfId="0" applyFont="1" applyBorder="1" applyAlignment="1">
      <alignment horizontal="left" vertical="top" wrapText="1"/>
    </xf>
    <xf numFmtId="0" fontId="13" fillId="7" borderId="1" xfId="0" applyFont="1" applyFill="1" applyBorder="1" applyAlignment="1">
      <alignment horizontal="center" vertical="center"/>
    </xf>
    <xf numFmtId="0" fontId="30" fillId="13" borderId="1" xfId="0" applyFont="1" applyFill="1" applyBorder="1" applyAlignment="1">
      <alignment horizontal="center" vertical="center" wrapText="1"/>
    </xf>
    <xf numFmtId="0" fontId="30" fillId="3" borderId="1" xfId="0" applyFont="1" applyFill="1" applyBorder="1" applyAlignment="1">
      <alignment horizontal="center" vertical="center" wrapText="1"/>
    </xf>
    <xf numFmtId="1" fontId="44" fillId="15" borderId="1" xfId="0" applyNumberFormat="1" applyFont="1" applyFill="1" applyBorder="1" applyAlignment="1">
      <alignment horizontal="center" vertical="center"/>
    </xf>
    <xf numFmtId="1" fontId="31" fillId="0" borderId="1" xfId="0" applyNumberFormat="1" applyFont="1" applyBorder="1" applyAlignment="1">
      <alignment horizontal="center" vertical="center"/>
    </xf>
    <xf numFmtId="1" fontId="51" fillId="15" borderId="1" xfId="0" applyNumberFormat="1" applyFont="1" applyFill="1" applyBorder="1" applyAlignment="1">
      <alignment horizontal="center" vertical="center"/>
    </xf>
    <xf numFmtId="1" fontId="15" fillId="0" borderId="1" xfId="0" applyNumberFormat="1" applyFont="1" applyBorder="1" applyAlignment="1">
      <alignment horizontal="center" vertical="center"/>
    </xf>
    <xf numFmtId="0" fontId="32" fillId="0" borderId="1" xfId="0" applyFont="1" applyBorder="1" applyAlignment="1">
      <alignment horizontal="center" vertical="center"/>
    </xf>
    <xf numFmtId="0" fontId="32" fillId="0" borderId="1" xfId="0" applyFont="1" applyBorder="1" applyAlignment="1">
      <alignment horizontal="left" vertical="center"/>
    </xf>
    <xf numFmtId="167" fontId="32" fillId="0" borderId="1" xfId="0" applyNumberFormat="1" applyFont="1" applyBorder="1" applyAlignment="1">
      <alignment horizontal="center" vertical="center"/>
    </xf>
    <xf numFmtId="164" fontId="32" fillId="0" borderId="1" xfId="0" applyNumberFormat="1" applyFont="1" applyBorder="1" applyAlignment="1">
      <alignment horizontal="center" vertical="center"/>
    </xf>
    <xf numFmtId="168" fontId="32" fillId="0" borderId="1" xfId="0" applyNumberFormat="1" applyFont="1" applyBorder="1" applyAlignment="1">
      <alignment horizontal="center" vertical="center"/>
    </xf>
    <xf numFmtId="0" fontId="32" fillId="6" borderId="1" xfId="0" applyFont="1" applyFill="1" applyBorder="1" applyAlignment="1">
      <alignment horizontal="center" vertical="center"/>
    </xf>
    <xf numFmtId="0" fontId="32" fillId="6" borderId="1" xfId="0" applyFont="1" applyFill="1" applyBorder="1" applyAlignment="1">
      <alignment horizontal="left" vertical="center"/>
    </xf>
    <xf numFmtId="167" fontId="32" fillId="6" borderId="1" xfId="0" applyNumberFormat="1" applyFont="1" applyFill="1" applyBorder="1" applyAlignment="1">
      <alignment horizontal="center" vertical="center"/>
    </xf>
    <xf numFmtId="164" fontId="32" fillId="6" borderId="1" xfId="0" applyNumberFormat="1" applyFont="1" applyFill="1" applyBorder="1" applyAlignment="1">
      <alignment horizontal="center" vertical="center"/>
    </xf>
    <xf numFmtId="168" fontId="32" fillId="6" borderId="1" xfId="0" applyNumberFormat="1" applyFont="1" applyFill="1" applyBorder="1" applyAlignment="1">
      <alignment horizontal="center" vertical="center"/>
    </xf>
    <xf numFmtId="0" fontId="30" fillId="3" borderId="0" xfId="0" applyFont="1" applyFill="1" applyAlignment="1">
      <alignment horizontal="center" vertical="center"/>
    </xf>
    <xf numFmtId="167" fontId="52" fillId="15" borderId="1" xfId="0" applyNumberFormat="1" applyFont="1" applyFill="1" applyBorder="1" applyAlignment="1">
      <alignment horizontal="center" vertical="center"/>
    </xf>
    <xf numFmtId="0" fontId="32" fillId="7" borderId="1" xfId="0" applyFont="1" applyFill="1" applyBorder="1" applyAlignment="1">
      <alignment horizontal="center" vertical="center"/>
    </xf>
    <xf numFmtId="167" fontId="47" fillId="0" borderId="1" xfId="0" applyNumberFormat="1" applyFont="1" applyBorder="1" applyAlignment="1">
      <alignment horizontal="center" vertical="center"/>
    </xf>
    <xf numFmtId="1" fontId="52" fillId="15" borderId="1" xfId="0" applyNumberFormat="1" applyFont="1" applyFill="1" applyBorder="1" applyAlignment="1">
      <alignment horizontal="center" vertical="center"/>
    </xf>
    <xf numFmtId="164" fontId="52" fillId="15" borderId="1" xfId="0" applyNumberFormat="1" applyFont="1" applyFill="1" applyBorder="1" applyAlignment="1">
      <alignment horizontal="center" vertical="center"/>
    </xf>
    <xf numFmtId="168" fontId="47" fillId="0" borderId="1" xfId="0" applyNumberFormat="1" applyFont="1" applyBorder="1" applyAlignment="1">
      <alignment horizontal="center" vertical="center"/>
    </xf>
    <xf numFmtId="1" fontId="47" fillId="0" borderId="1" xfId="0" applyNumberFormat="1" applyFont="1" applyBorder="1" applyAlignment="1">
      <alignment horizontal="center" vertical="center"/>
    </xf>
    <xf numFmtId="164" fontId="47" fillId="0" borderId="1" xfId="0" applyNumberFormat="1" applyFont="1" applyBorder="1" applyAlignment="1">
      <alignment horizontal="center" vertical="center"/>
    </xf>
    <xf numFmtId="0" fontId="53" fillId="15" borderId="1" xfId="0" applyFont="1" applyFill="1" applyBorder="1" applyAlignment="1">
      <alignment horizontal="center" vertical="center"/>
    </xf>
    <xf numFmtId="0" fontId="54" fillId="0" borderId="0" xfId="0" applyFont="1"/>
    <xf numFmtId="0" fontId="55" fillId="0" borderId="1" xfId="0" applyFont="1" applyBorder="1" applyAlignment="1">
      <alignment horizontal="left" vertical="center"/>
    </xf>
    <xf numFmtId="0" fontId="30" fillId="2" borderId="0" xfId="0" applyFont="1" applyFill="1" applyAlignment="1">
      <alignment horizontal="center" vertical="center" wrapText="1"/>
    </xf>
    <xf numFmtId="0" fontId="30" fillId="3" borderId="0" xfId="0" applyFont="1" applyFill="1" applyAlignment="1">
      <alignment horizontal="center" vertical="center" wrapText="1"/>
    </xf>
    <xf numFmtId="0" fontId="30" fillId="9" borderId="0" xfId="0" applyFont="1" applyFill="1" applyAlignment="1">
      <alignment horizontal="center" vertical="center" wrapText="1"/>
    </xf>
    <xf numFmtId="0" fontId="32" fillId="0" borderId="0" xfId="0" applyFont="1"/>
    <xf numFmtId="167" fontId="32" fillId="0" borderId="0" xfId="0" applyNumberFormat="1" applyFont="1"/>
    <xf numFmtId="1" fontId="56" fillId="0" borderId="0" xfId="0" applyNumberFormat="1" applyFont="1"/>
    <xf numFmtId="164" fontId="56" fillId="0" borderId="0" xfId="0" applyNumberFormat="1" applyFont="1"/>
    <xf numFmtId="0" fontId="56" fillId="0" borderId="0" xfId="0" applyFont="1"/>
    <xf numFmtId="0" fontId="32" fillId="0" borderId="0" xfId="0" applyFont="1" applyAlignment="1">
      <alignment wrapText="1"/>
    </xf>
    <xf numFmtId="0" fontId="56" fillId="0" borderId="0" xfId="0" applyFont="1" applyAlignment="1">
      <alignment wrapText="1"/>
    </xf>
    <xf numFmtId="0" fontId="32" fillId="0" borderId="1" xfId="0" applyFont="1" applyBorder="1" applyAlignment="1">
      <alignment horizontal="left" vertical="top" wrapText="1"/>
    </xf>
    <xf numFmtId="0" fontId="2" fillId="12" borderId="0" xfId="0" applyFont="1" applyFill="1" applyAlignment="1">
      <alignment horizontal="left" vertical="center"/>
    </xf>
    <xf numFmtId="0" fontId="30" fillId="12" borderId="1" xfId="0" applyFont="1" applyFill="1" applyBorder="1" applyAlignment="1">
      <alignment horizontal="center" vertical="center" wrapText="1"/>
    </xf>
    <xf numFmtId="0" fontId="21" fillId="2" borderId="0" xfId="0" applyFont="1" applyFill="1" applyAlignment="1">
      <alignment horizontal="left" vertical="center"/>
    </xf>
    <xf numFmtId="0" fontId="22" fillId="6" borderId="0" xfId="0" applyFont="1" applyFill="1" applyAlignment="1">
      <alignment horizontal="left" vertical="center"/>
    </xf>
    <xf numFmtId="0" fontId="6" fillId="23"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19" fillId="19" borderId="1" xfId="0" applyFont="1" applyFill="1" applyBorder="1" applyAlignment="1">
      <alignment horizontal="left" vertical="top" wrapText="1"/>
    </xf>
    <xf numFmtId="0" fontId="17" fillId="18" borderId="1" xfId="0" applyFont="1" applyFill="1" applyBorder="1" applyAlignment="1">
      <alignment horizontal="center" vertical="center"/>
    </xf>
    <xf numFmtId="0" fontId="6" fillId="0" borderId="1" xfId="0" applyFont="1" applyBorder="1" applyAlignment="1">
      <alignment horizontal="left" vertical="center"/>
    </xf>
    <xf numFmtId="0" fontId="18" fillId="9" borderId="1" xfId="0" applyFont="1" applyFill="1" applyBorder="1" applyAlignment="1">
      <alignment horizontal="center" vertical="center"/>
    </xf>
    <xf numFmtId="0" fontId="2" fillId="6" borderId="0" xfId="0" applyFont="1" applyFill="1" applyAlignment="1">
      <alignment horizontal="left" vertical="center"/>
    </xf>
    <xf numFmtId="0" fontId="14" fillId="15" borderId="1" xfId="0" applyFont="1" applyFill="1" applyBorder="1" applyAlignment="1">
      <alignment horizontal="center" vertical="center"/>
    </xf>
    <xf numFmtId="0" fontId="15" fillId="16" borderId="1" xfId="0" applyFont="1" applyFill="1" applyBorder="1" applyAlignment="1">
      <alignment horizontal="center" vertical="center"/>
    </xf>
    <xf numFmtId="0" fontId="16" fillId="17" borderId="1" xfId="0" applyFont="1" applyFill="1" applyBorder="1" applyAlignment="1">
      <alignment horizontal="center" vertical="center"/>
    </xf>
    <xf numFmtId="0" fontId="2" fillId="6" borderId="1" xfId="0" applyFont="1" applyFill="1" applyBorder="1" applyAlignment="1">
      <alignment horizontal="left" vertical="center"/>
    </xf>
    <xf numFmtId="0" fontId="4" fillId="6" borderId="1" xfId="0" applyFont="1" applyFill="1" applyBorder="1" applyAlignment="1">
      <alignment horizontal="center" vertical="center"/>
    </xf>
    <xf numFmtId="0" fontId="3" fillId="7" borderId="1" xfId="0" applyFont="1" applyFill="1" applyBorder="1" applyAlignment="1">
      <alignment horizontal="left" vertical="top" wrapText="1"/>
    </xf>
    <xf numFmtId="0" fontId="5" fillId="8" borderId="1" xfId="0" applyFont="1" applyFill="1" applyBorder="1" applyAlignment="1">
      <alignment horizontal="center"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left" vertical="center"/>
    </xf>
    <xf numFmtId="0" fontId="3" fillId="5" borderId="1" xfId="0" applyFont="1" applyFill="1" applyBorder="1" applyAlignment="1">
      <alignment horizontal="left" vertical="top" wrapText="1"/>
    </xf>
    <xf numFmtId="0" fontId="2" fillId="3" borderId="0" xfId="0" applyFont="1" applyFill="1" applyAlignment="1">
      <alignment horizontal="left" vertical="center"/>
    </xf>
    <xf numFmtId="0" fontId="34" fillId="17" borderId="2" xfId="0" applyFont="1" applyFill="1" applyBorder="1" applyAlignment="1">
      <alignment horizontal="center" vertical="center"/>
    </xf>
    <xf numFmtId="0" fontId="32" fillId="0" borderId="2" xfId="0" applyFont="1" applyBorder="1" applyAlignment="1">
      <alignment horizontal="left" vertical="center"/>
    </xf>
    <xf numFmtId="0" fontId="35" fillId="18" borderId="2" xfId="0" applyFont="1" applyFill="1" applyBorder="1" applyAlignment="1">
      <alignment horizontal="center" vertical="center"/>
    </xf>
    <xf numFmtId="0" fontId="30" fillId="9" borderId="2" xfId="0" applyFont="1" applyFill="1" applyBorder="1" applyAlignment="1">
      <alignment horizontal="center" vertical="center"/>
    </xf>
    <xf numFmtId="0" fontId="30" fillId="6" borderId="1" xfId="0" applyFont="1" applyFill="1" applyBorder="1" applyAlignment="1">
      <alignment horizontal="center" vertical="center" wrapText="1"/>
    </xf>
    <xf numFmtId="0" fontId="18" fillId="6" borderId="0" xfId="0" applyFont="1" applyFill="1" applyAlignment="1">
      <alignment horizontal="left" vertical="center"/>
    </xf>
    <xf numFmtId="0" fontId="33" fillId="16" borderId="2" xfId="0" applyFont="1" applyFill="1" applyBorder="1" applyAlignment="1">
      <alignment horizontal="center" vertical="center"/>
    </xf>
    <xf numFmtId="166" fontId="24" fillId="7" borderId="1" xfId="0" applyNumberFormat="1" applyFont="1" applyFill="1" applyBorder="1" applyAlignment="1">
      <alignment horizontal="center" vertical="center"/>
    </xf>
    <xf numFmtId="166" fontId="29" fillId="7" borderId="1" xfId="0" applyNumberFormat="1" applyFont="1" applyFill="1" applyBorder="1" applyAlignment="1">
      <alignment horizontal="center" vertical="center"/>
    </xf>
    <xf numFmtId="1" fontId="24" fillId="7" borderId="1" xfId="0" applyNumberFormat="1" applyFont="1" applyFill="1" applyBorder="1" applyAlignment="1">
      <alignment horizontal="center" vertical="center"/>
    </xf>
    <xf numFmtId="1" fontId="25" fillId="7" borderId="1" xfId="0" applyNumberFormat="1" applyFont="1" applyFill="1" applyBorder="1" applyAlignment="1">
      <alignment horizontal="center" vertical="center"/>
    </xf>
    <xf numFmtId="1" fontId="26" fillId="7" borderId="1" xfId="0" applyNumberFormat="1" applyFont="1" applyFill="1" applyBorder="1" applyAlignment="1">
      <alignment horizontal="center" vertical="center"/>
    </xf>
    <xf numFmtId="1" fontId="27" fillId="7" borderId="1" xfId="0" applyNumberFormat="1" applyFont="1" applyFill="1" applyBorder="1" applyAlignment="1">
      <alignment horizontal="center" vertical="center"/>
    </xf>
    <xf numFmtId="165" fontId="28" fillId="7" borderId="1" xfId="0" applyNumberFormat="1" applyFont="1" applyFill="1" applyBorder="1" applyAlignment="1">
      <alignment horizontal="center" vertical="center"/>
    </xf>
    <xf numFmtId="0" fontId="23" fillId="6" borderId="1" xfId="0" applyFont="1" applyFill="1" applyBorder="1" applyAlignment="1">
      <alignment horizontal="center" vertical="center" wrapText="1"/>
    </xf>
    <xf numFmtId="0" fontId="23" fillId="20"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3" fillId="21" borderId="1" xfId="0" applyFont="1" applyFill="1" applyBorder="1" applyAlignment="1">
      <alignment horizontal="center" vertical="center" wrapText="1"/>
    </xf>
    <xf numFmtId="0" fontId="37" fillId="9" borderId="0" xfId="0" applyFont="1" applyFill="1" applyAlignment="1">
      <alignment horizontal="left" vertical="center"/>
    </xf>
    <xf numFmtId="0" fontId="39" fillId="0" borderId="0" xfId="0" applyFont="1" applyAlignment="1">
      <alignment horizontal="left" vertical="center"/>
    </xf>
    <xf numFmtId="1" fontId="43" fillId="7" borderId="1" xfId="0" applyNumberFormat="1" applyFont="1" applyFill="1" applyBorder="1" applyAlignment="1">
      <alignment horizontal="center" vertical="center"/>
    </xf>
    <xf numFmtId="164" fontId="41" fillId="7" borderId="1" xfId="0" applyNumberFormat="1" applyFont="1" applyFill="1" applyBorder="1" applyAlignment="1">
      <alignment horizontal="center" vertical="center"/>
    </xf>
    <xf numFmtId="1" fontId="41" fillId="7" borderId="1" xfId="0" applyNumberFormat="1" applyFont="1" applyFill="1" applyBorder="1" applyAlignment="1">
      <alignment horizontal="center" vertical="center"/>
    </xf>
    <xf numFmtId="1" fontId="42" fillId="7" borderId="1" xfId="0" applyNumberFormat="1" applyFont="1" applyFill="1" applyBorder="1" applyAlignment="1">
      <alignment horizontal="center" vertical="center"/>
    </xf>
    <xf numFmtId="0" fontId="31" fillId="22" borderId="1" xfId="0" applyFont="1" applyFill="1" applyBorder="1" applyAlignment="1">
      <alignment horizontal="left" vertical="center"/>
    </xf>
    <xf numFmtId="0" fontId="44" fillId="15" borderId="1" xfId="0" applyFont="1" applyFill="1" applyBorder="1" applyAlignment="1">
      <alignment horizontal="left" vertical="center"/>
    </xf>
    <xf numFmtId="167" fontId="44" fillId="15" borderId="1" xfId="0" applyNumberFormat="1" applyFont="1" applyFill="1" applyBorder="1" applyAlignment="1">
      <alignment horizontal="left" vertical="center"/>
    </xf>
    <xf numFmtId="0" fontId="6" fillId="0" borderId="1" xfId="0" applyFont="1" applyBorder="1" applyAlignment="1">
      <alignment horizontal="left" vertical="top" wrapText="1"/>
    </xf>
    <xf numFmtId="0" fontId="37" fillId="10" borderId="0" xfId="0" applyFont="1" applyFill="1" applyAlignment="1">
      <alignment horizontal="left" vertical="center"/>
    </xf>
    <xf numFmtId="0" fontId="31" fillId="0" borderId="2" xfId="0" applyFont="1" applyBorder="1" applyAlignment="1">
      <alignment horizontal="left" vertical="center"/>
    </xf>
    <xf numFmtId="0" fontId="30" fillId="10" borderId="1" xfId="0" applyFont="1" applyFill="1" applyBorder="1" applyAlignment="1">
      <alignment horizontal="center" vertical="center" wrapText="1"/>
    </xf>
    <xf numFmtId="0" fontId="10" fillId="0" borderId="1" xfId="0" applyFont="1" applyBorder="1" applyAlignment="1">
      <alignment horizontal="left" vertical="top" wrapText="1"/>
    </xf>
    <xf numFmtId="0" fontId="37" fillId="11" borderId="0" xfId="0" applyFont="1" applyFill="1" applyAlignment="1">
      <alignment horizontal="left" vertical="center"/>
    </xf>
    <xf numFmtId="0" fontId="47" fillId="0" borderId="1" xfId="0" applyFont="1" applyBorder="1" applyAlignment="1">
      <alignment horizontal="left" vertical="top" wrapText="1"/>
    </xf>
    <xf numFmtId="0" fontId="19" fillId="0" borderId="0" xfId="0" applyFont="1" applyAlignment="1">
      <alignment horizontal="left" vertical="top" wrapText="1"/>
    </xf>
    <xf numFmtId="0" fontId="54" fillId="0" borderId="0" xfId="0" applyFont="1" applyAlignment="1">
      <alignment horizontal="left" vertical="top" wrapText="1"/>
    </xf>
    <xf numFmtId="0" fontId="37" fillId="3" borderId="0" xfId="0" applyFont="1" applyFill="1" applyAlignment="1">
      <alignment horizontal="left" vertical="center"/>
    </xf>
  </cellXfs>
  <cellStyles count="1">
    <cellStyle name="Normal" xfId="0" builtinId="0"/>
  </cellStyles>
  <dxfs count="41">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8A5A00"/>
        <name val="Arial"/>
        <charset val="1"/>
      </font>
      <fill>
        <patternFill>
          <bgColor rgb="FFFFEB9C"/>
        </patternFill>
      </fill>
    </dxf>
    <dxf>
      <font>
        <b/>
        <sz val="10"/>
        <color rgb="FFFFFFFF"/>
        <name val="Arial"/>
        <charset val="1"/>
      </font>
      <fill>
        <patternFill>
          <bgColor rgb="FFA61B29"/>
        </patternFill>
      </fill>
    </dxf>
    <dxf>
      <font>
        <b/>
        <sz val="10"/>
        <color rgb="FF404040"/>
        <name val="Arial"/>
        <charset val="1"/>
      </font>
      <fill>
        <patternFill>
          <bgColor rgb="FFE7ECF1"/>
        </patternFill>
      </fill>
      <border diagonalUp="0" diagonalDown="0">
        <left style="thin">
          <color rgb="FFBFC9D4"/>
        </left>
        <right style="thin">
          <color rgb="FFBFC9D4"/>
        </right>
        <top style="thin">
          <color rgb="FFBFC9D4"/>
        </top>
        <bottom style="thin">
          <color rgb="FFBFC9D4"/>
        </bottom>
      </border>
    </dxf>
    <dxf>
      <font>
        <b/>
        <sz val="10"/>
        <color rgb="FFFFFFFF"/>
        <name val="Arial"/>
        <charset val="1"/>
      </font>
      <fill>
        <patternFill>
          <bgColor rgb="FFA61B29"/>
        </patternFill>
      </fill>
      <border diagonalUp="0" diagonalDown="0">
        <left style="thin">
          <color rgb="FFBFC9D4"/>
        </left>
        <right style="thin">
          <color rgb="FFBFC9D4"/>
        </right>
        <top style="thin">
          <color rgb="FFBFC9D4"/>
        </top>
        <bottom style="thin">
          <color rgb="FFBFC9D4"/>
        </bottom>
      </border>
    </dxf>
    <dxf>
      <font>
        <b/>
        <sz val="10"/>
        <color rgb="FF9C0006"/>
        <name val="Arial"/>
        <charset val="1"/>
      </font>
      <fill>
        <patternFill>
          <bgColor rgb="FFFFC7CE"/>
        </patternFill>
      </fill>
      <border diagonalUp="0" diagonalDown="0">
        <left style="thin">
          <color rgb="FFBFC9D4"/>
        </left>
        <right style="thin">
          <color rgb="FFBFC9D4"/>
        </right>
        <top style="thin">
          <color rgb="FFBFC9D4"/>
        </top>
        <bottom style="thin">
          <color rgb="FFBFC9D4"/>
        </bottom>
      </border>
    </dxf>
    <dxf>
      <font>
        <b/>
        <sz val="10"/>
        <color rgb="FF006100"/>
        <name val="Arial"/>
        <charset val="1"/>
      </font>
      <fill>
        <patternFill>
          <bgColor rgb="FFC6EFCE"/>
        </patternFill>
      </fill>
      <border diagonalUp="0" diagonalDown="0">
        <left style="thin">
          <color rgb="FFBFC9D4"/>
        </left>
        <right style="thin">
          <color rgb="FFBFC9D4"/>
        </right>
        <top style="thin">
          <color rgb="FFBFC9D4"/>
        </top>
        <bottom style="thin">
          <color rgb="FFBFC9D4"/>
        </bottom>
      </border>
    </dxf>
    <dxf>
      <font>
        <b/>
        <sz val="10"/>
        <color rgb="FF9C0006"/>
        <name val="Arial"/>
        <charset val="1"/>
      </font>
      <fill>
        <patternFill>
          <bgColor rgb="FFFFFFFF"/>
        </patternFill>
      </fill>
      <border diagonalUp="0" diagonalDown="0">
        <left style="thin">
          <color rgb="FFBFC9D4"/>
        </left>
        <right style="thin">
          <color rgb="FFBFC9D4"/>
        </right>
        <top style="thin">
          <color rgb="FFBFC9D4"/>
        </top>
        <bottom style="thin">
          <color rgb="FFBFC9D4"/>
        </bottom>
      </border>
    </dxf>
    <dxf>
      <border diagonalUp="0" diagonalDown="0">
        <left style="thin">
          <color rgb="FFBFC9D4"/>
        </left>
        <right style="thin">
          <color rgb="FFBFC9D4"/>
        </right>
        <top style="thin">
          <color rgb="FFBFC9D4"/>
        </top>
        <bottom style="thin">
          <color rgb="FFBFC9D4"/>
        </bottom>
      </border>
    </dxf>
    <dxf>
      <fill>
        <patternFill>
          <bgColor rgb="FFF5F7FA"/>
        </patternFill>
      </fill>
      <border diagonalUp="0" diagonalDown="0">
        <left style="thin">
          <color rgb="FFBFC9D4"/>
        </left>
        <right style="thin">
          <color rgb="FFBFC9D4"/>
        </right>
        <top style="thin">
          <color rgb="FFBFC9D4"/>
        </top>
        <bottom style="thin">
          <color rgb="FFBFC9D4"/>
        </bottom>
      </border>
    </dxf>
    <dxf>
      <font>
        <b/>
        <sz val="10"/>
        <color rgb="FF9C0006"/>
        <name val="Arial"/>
        <charset val="1"/>
      </font>
      <fill>
        <patternFill>
          <bgColor rgb="FFFDEDEE"/>
        </patternFill>
      </fill>
    </dxf>
    <dxf>
      <font>
        <b/>
        <sz val="10"/>
        <color rgb="FF006100"/>
        <name val="Arial"/>
        <charset val="1"/>
      </font>
      <fill>
        <patternFill>
          <bgColor rgb="FFF2FBF4"/>
        </patternFill>
      </fill>
    </dxf>
    <dxf>
      <font>
        <b/>
        <sz val="10"/>
        <color rgb="FF9C0006"/>
        <name val="Arial"/>
        <charset val="1"/>
      </font>
      <fill>
        <patternFill>
          <bgColor rgb="FFFFC7CE"/>
        </patternFill>
      </fill>
    </dxf>
    <dxf>
      <font>
        <b/>
        <sz val="10"/>
        <color rgb="FFFFFFFF"/>
        <name val="Arial"/>
        <charset val="1"/>
      </font>
      <fill>
        <patternFill>
          <bgColor rgb="FFA61B29"/>
        </patternFill>
      </fill>
    </dxf>
    <dxf>
      <font>
        <b/>
        <sz val="10"/>
        <color rgb="FF006100"/>
        <name val="Arial"/>
        <charset val="1"/>
      </font>
      <fill>
        <patternFill>
          <bgColor rgb="FFC6EFCE"/>
        </patternFill>
      </fill>
    </dxf>
    <dxf>
      <font>
        <b/>
        <sz val="10"/>
        <color rgb="FFFFFFFF"/>
        <name val="Arial"/>
        <charset val="1"/>
      </font>
      <fill>
        <patternFill>
          <bgColor rgb="FFA61B29"/>
        </patternFill>
      </fill>
    </dxf>
    <dxf>
      <font>
        <b/>
        <sz val="10"/>
        <color rgb="FF8A5A00"/>
        <name val="Arial"/>
        <charset val="1"/>
      </font>
      <fill>
        <patternFill>
          <bgColor rgb="FFFFEB9C"/>
        </patternFill>
      </fill>
    </dxf>
    <dxf>
      <font>
        <b/>
        <sz val="10"/>
        <color rgb="FF006100"/>
        <name val="Arial"/>
        <charset val="1"/>
      </font>
      <fill>
        <patternFill>
          <bgColor rgb="FFC6EFCE"/>
        </patternFill>
      </fill>
    </dxf>
    <dxf>
      <font>
        <b/>
        <sz val="10"/>
        <color rgb="FF9C0006"/>
        <name val="Arial"/>
        <charset val="1"/>
      </font>
      <fill>
        <patternFill>
          <bgColor rgb="FFFFC7CE"/>
        </patternFill>
      </fill>
      <border diagonalUp="0" diagonalDown="0">
        <left style="thin">
          <color rgb="FFBFC9D4"/>
        </left>
        <right style="thin">
          <color rgb="FFBFC9D4"/>
        </right>
        <top style="thin">
          <color rgb="FFBFC9D4"/>
        </top>
        <bottom style="thin">
          <color rgb="FFBFC9D4"/>
        </bottom>
      </border>
    </dxf>
    <dxf>
      <font>
        <b/>
        <sz val="10"/>
        <color rgb="FF006100"/>
        <name val="Arial"/>
        <charset val="1"/>
      </font>
      <fill>
        <patternFill>
          <bgColor rgb="FFC6EFCE"/>
        </patternFill>
      </fill>
      <border diagonalUp="0" diagonalDown="0">
        <left style="thin">
          <color rgb="FFBFC9D4"/>
        </left>
        <right style="thin">
          <color rgb="FFBFC9D4"/>
        </right>
        <top style="thin">
          <color rgb="FFBFC9D4"/>
        </top>
        <bottom style="thin">
          <color rgb="FFBFC9D4"/>
        </bottom>
      </border>
    </dxf>
    <dxf>
      <font>
        <b/>
        <sz val="10"/>
        <color rgb="FFFFFFFF"/>
        <name val="Arial"/>
        <charset val="1"/>
      </font>
      <fill>
        <patternFill>
          <bgColor rgb="FFA61B29"/>
        </patternFill>
      </fill>
      <border diagonalUp="0" diagonalDown="0">
        <left style="thin">
          <color rgb="FFBFC9D4"/>
        </left>
        <right style="thin">
          <color rgb="FFBFC9D4"/>
        </right>
        <top style="thin">
          <color rgb="FFBFC9D4"/>
        </top>
        <bottom style="thin">
          <color rgb="FFBFC9D4"/>
        </bottom>
      </border>
    </dxf>
    <dxf>
      <border diagonalUp="0" diagonalDown="0">
        <left style="thin">
          <color rgb="FFBFC9D4"/>
        </left>
        <right style="thin">
          <color rgb="FFBFC9D4"/>
        </right>
        <top style="thin">
          <color rgb="FFBFC9D4"/>
        </top>
        <bottom style="thin">
          <color rgb="FFBFC9D4"/>
        </bottom>
      </border>
    </dxf>
    <dxf>
      <fill>
        <patternFill>
          <bgColor rgb="FFF5F7FA"/>
        </patternFill>
      </fill>
      <border diagonalUp="0" diagonalDown="0">
        <left style="thin">
          <color rgb="FFBFC9D4"/>
        </left>
        <right style="thin">
          <color rgb="FFBFC9D4"/>
        </right>
        <top style="thin">
          <color rgb="FFBFC9D4"/>
        </top>
        <bottom style="thin">
          <color rgb="FFBFC9D4"/>
        </bottom>
      </border>
    </dxf>
    <dxf>
      <font>
        <b/>
        <sz val="10"/>
        <color rgb="FF1F4E79"/>
        <name val="Arial"/>
        <charset val="1"/>
      </font>
      <fill>
        <patternFill>
          <bgColor rgb="FFD9E1F2"/>
        </patternFill>
      </fill>
      <border diagonalUp="0" diagonalDown="0">
        <left style="thin">
          <color rgb="FFBFC9D4"/>
        </left>
        <right style="thin">
          <color rgb="FFBFC9D4"/>
        </right>
        <top style="thin">
          <color rgb="FFBFC9D4"/>
        </top>
        <bottom style="thin">
          <color rgb="FFBFC9D4"/>
        </bottom>
      </border>
    </dxf>
    <dxf>
      <font>
        <b/>
        <sz val="10"/>
        <color rgb="FFFFFFFF"/>
        <name val="Arial"/>
        <charset val="1"/>
      </font>
      <fill>
        <patternFill>
          <bgColor rgb="FFA61B29"/>
        </patternFill>
      </fill>
      <border diagonalUp="0" diagonalDown="0">
        <left style="thin">
          <color rgb="FFBFC9D4"/>
        </left>
        <right style="thin">
          <color rgb="FFBFC9D4"/>
        </right>
        <top style="thin">
          <color rgb="FFBFC9D4"/>
        </top>
        <bottom style="thin">
          <color rgb="FFBFC9D4"/>
        </bottom>
      </border>
    </dxf>
    <dxf>
      <font>
        <b/>
        <sz val="10"/>
        <color rgb="FF9C0006"/>
        <name val="Arial"/>
        <charset val="1"/>
      </font>
      <fill>
        <patternFill>
          <bgColor rgb="FFFFC7CE"/>
        </patternFill>
      </fill>
      <border diagonalUp="0" diagonalDown="0">
        <left style="thin">
          <color rgb="FFBFC9D4"/>
        </left>
        <right style="thin">
          <color rgb="FFBFC9D4"/>
        </right>
        <top style="thin">
          <color rgb="FFBFC9D4"/>
        </top>
        <bottom style="thin">
          <color rgb="FFBFC9D4"/>
        </bottom>
      </border>
    </dxf>
    <dxf>
      <border diagonalUp="0" diagonalDown="0">
        <left style="thin">
          <color rgb="FFBFC9D4"/>
        </left>
        <right style="thin">
          <color rgb="FFBFC9D4"/>
        </right>
        <top style="thin">
          <color rgb="FFBFC9D4"/>
        </top>
        <bottom style="thin">
          <color rgb="FFBFC9D4"/>
        </bottom>
      </border>
    </dxf>
    <dxf>
      <fill>
        <patternFill>
          <bgColor rgb="FFF5F7FA"/>
        </patternFill>
      </fill>
      <border diagonalUp="0" diagonalDown="0">
        <left style="thin">
          <color rgb="FFBFC9D4"/>
        </left>
        <right style="thin">
          <color rgb="FFBFC9D4"/>
        </right>
        <top style="thin">
          <color rgb="FFBFC9D4"/>
        </top>
        <bottom style="thin">
          <color rgb="FFBFC9D4"/>
        </bottom>
      </border>
    </dxf>
    <dxf>
      <font>
        <sz val="10"/>
        <color rgb="FF9C0006"/>
        <name val="Arial"/>
        <charset val="1"/>
      </font>
      <fill>
        <patternFill>
          <bgColor rgb="FFFFF6F6"/>
        </patternFill>
      </fill>
    </dxf>
    <dxf>
      <font>
        <sz val="10"/>
        <color rgb="FF006100"/>
        <name val="Arial"/>
        <charset val="1"/>
      </font>
      <fill>
        <patternFill>
          <bgColor rgb="FFF2FBF4"/>
        </patternFill>
      </fill>
    </dxf>
    <dxf>
      <font>
        <b/>
        <sz val="10"/>
        <color rgb="FFFFFFFF"/>
        <name val="Arial"/>
        <charset val="1"/>
      </font>
      <fill>
        <patternFill>
          <bgColor rgb="FFA61B29"/>
        </patternFill>
      </fill>
    </dxf>
    <dxf>
      <font>
        <b/>
        <sz val="10"/>
        <color rgb="FF9C0006"/>
        <name val="Arial"/>
        <charset val="1"/>
      </font>
      <fill>
        <patternFill>
          <bgColor rgb="FFFFC7CE"/>
        </patternFill>
      </fill>
    </dxf>
    <dxf>
      <font>
        <b/>
        <sz val="10"/>
        <color rgb="FF1F4E79"/>
        <name val="Arial"/>
        <charset val="1"/>
      </font>
      <fill>
        <patternFill>
          <bgColor rgb="FFD9E1F2"/>
        </patternFill>
      </fill>
    </dxf>
    <dxf>
      <font>
        <b/>
        <sz val="10"/>
        <color rgb="FF006100"/>
        <name val="Arial"/>
        <charset val="1"/>
      </font>
      <fill>
        <patternFill>
          <bgColor rgb="FFC6EFCE"/>
        </patternFill>
      </fill>
    </dxf>
    <dxf>
      <font>
        <b/>
        <sz val="10"/>
        <color rgb="FF9C0006"/>
        <name val="Arial"/>
        <charset val="1"/>
      </font>
      <fill>
        <patternFill>
          <bgColor rgb="FFFFC7CE"/>
        </patternFill>
      </fill>
    </dxf>
    <dxf>
      <font>
        <b/>
        <sz val="10"/>
        <color rgb="FF9C0006"/>
        <name val="Arial"/>
        <charset val="1"/>
      </font>
      <fill>
        <patternFill>
          <bgColor rgb="FFFFFFFF"/>
        </patternFill>
      </fill>
    </dxf>
    <dxf>
      <font>
        <b/>
        <sz val="10"/>
        <color rgb="FF1F4E79"/>
        <name val="Arial"/>
        <charset val="1"/>
      </font>
      <fill>
        <patternFill>
          <bgColor rgb="FFD9E1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FFFFFF"/>
        <name val="Arial"/>
        <charset val="1"/>
      </font>
      <fill>
        <patternFill>
          <bgColor rgb="FFA61B29"/>
        </patternFill>
      </fill>
    </dxf>
  </dxfs>
  <tableStyles count="0" defaultTableStyle="TableStyleMedium2" defaultPivotStyle="PivotStyleLight16"/>
  <colors>
    <indexedColors>
      <rgbColor rgb="FF000000"/>
      <rgbColor rgb="FFFFFFFF"/>
      <rgbColor rgb="FFFF0000"/>
      <rgbColor rgb="FF00FF00"/>
      <rgbColor rgb="FF0000FF"/>
      <rgbColor rgb="FFFFF2CC"/>
      <rgbColor rgb="FFFF00FF"/>
      <rgbColor rgb="FF00FFFF"/>
      <rgbColor rgb="FF9C0006"/>
      <rgbColor rgb="FF006100"/>
      <rgbColor rgb="FF000080"/>
      <rgbColor rgb="FF8A5A00"/>
      <rgbColor rgb="FF800080"/>
      <rgbColor rgb="FF0E7C7B"/>
      <rgbColor rgb="FFBFBFBF"/>
      <rgbColor rgb="FF7F7F7F"/>
      <rgbColor rgb="FFE7ECF1"/>
      <rgbColor rgb="FFC0504D"/>
      <rgbColor rgb="FFFFF9E6"/>
      <rgbColor rgb="FFE8F4F4"/>
      <rgbColor rgb="FF5B2C6F"/>
      <rgbColor rgb="FFF5F7FA"/>
      <rgbColor rgb="FF1F6FB2"/>
      <rgbColor rgb="FFBFC9D4"/>
      <rgbColor rgb="FF000080"/>
      <rgbColor rgb="FFFF00FF"/>
      <rgbColor rgb="FFF2FBF4"/>
      <rgbColor rgb="FF00FFFF"/>
      <rgbColor rgb="FF800080"/>
      <rgbColor rgb="FF800000"/>
      <rgbColor rgb="FF1F4E79"/>
      <rgbColor rgb="FF0000FF"/>
      <rgbColor rgb="FF00CCFF"/>
      <rgbColor rgb="FFEEF3F7"/>
      <rgbColor rgb="FFC6EFCE"/>
      <rgbColor rgb="FFFFEB9C"/>
      <rgbColor rgb="FFD9D9D9"/>
      <rgbColor rgb="FFFDEDEE"/>
      <rgbColor rgb="FFD9E1F2"/>
      <rgbColor rgb="FFFFC7CE"/>
      <rgbColor rgb="FF4F81BD"/>
      <rgbColor rgb="FFF9F9F9"/>
      <rgbColor rgb="FF9BBB59"/>
      <rgbColor rgb="FFFFF6F6"/>
      <rgbColor rgb="FFB98900"/>
      <rgbColor rgb="FFFF6600"/>
      <rgbColor rgb="FF595959"/>
      <rgbColor rgb="FF878787"/>
      <rgbColor rgb="FF0F2A44"/>
      <rgbColor rgb="FF3F5A70"/>
      <rgbColor rgb="FF003300"/>
      <rgbColor rgb="FF1F1F1F"/>
      <rgbColor rgb="FFA61B29"/>
      <rgbColor rgb="FF993366"/>
      <rgbColor rgb="FF1B3E5F"/>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s-CO" sz="1800" b="1" strike="noStrike" spc="-1">
                <a:solidFill>
                  <a:srgbClr val="000000"/>
                </a:solidFill>
                <a:latin typeface="Calibri"/>
              </a:rPr>
              <a:t>People by status, per Team Lead</a:t>
            </a:r>
          </a:p>
        </c:rich>
      </c:tx>
      <c:overlay val="0"/>
      <c:spPr>
        <a:noFill/>
        <a:ln w="0">
          <a:noFill/>
        </a:ln>
      </c:spPr>
    </c:title>
    <c:autoTitleDeleted val="0"/>
    <c:plotArea>
      <c:layout/>
      <c:barChart>
        <c:barDir val="col"/>
        <c:grouping val="stacked"/>
        <c:varyColors val="0"/>
        <c:ser>
          <c:idx val="0"/>
          <c:order val="0"/>
          <c:tx>
            <c:strRef>
              <c:f>SeniorReview!$D$6</c:f>
              <c:strCache>
                <c:ptCount val="1"/>
                <c:pt idx="0">
                  <c:v>Perfect week</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SeniorReview!$B$7:$B$14</c:f>
              <c:strCache>
                <c:ptCount val="8"/>
                <c:pt idx="0">
                  <c:v>A Camargo</c:v>
                </c:pt>
                <c:pt idx="1">
                  <c:v>A Lorenzo</c:v>
                </c:pt>
                <c:pt idx="2">
                  <c:v>H Daza</c:v>
                </c:pt>
                <c:pt idx="3">
                  <c:v>J S Bermudez</c:v>
                </c:pt>
                <c:pt idx="4">
                  <c:v>M Leon</c:v>
                </c:pt>
                <c:pt idx="5">
                  <c:v>R Sanchez</c:v>
                </c:pt>
                <c:pt idx="6">
                  <c:v>S Romero</c:v>
                </c:pt>
                <c:pt idx="7">
                  <c:v>BPO Management</c:v>
                </c:pt>
              </c:strCache>
            </c:strRef>
          </c:cat>
          <c:val>
            <c:numRef>
              <c:f>SeniorReview!$D$7:$D$14</c:f>
              <c:numCache>
                <c:formatCode>0</c:formatCode>
                <c:ptCount val="8"/>
                <c:pt idx="0">
                  <c:v>2</c:v>
                </c:pt>
                <c:pt idx="1">
                  <c:v>1</c:v>
                </c:pt>
                <c:pt idx="2">
                  <c:v>3</c:v>
                </c:pt>
                <c:pt idx="3">
                  <c:v>3</c:v>
                </c:pt>
                <c:pt idx="4">
                  <c:v>5</c:v>
                </c:pt>
                <c:pt idx="5">
                  <c:v>5</c:v>
                </c:pt>
                <c:pt idx="6">
                  <c:v>5</c:v>
                </c:pt>
                <c:pt idx="7">
                  <c:v>9</c:v>
                </c:pt>
              </c:numCache>
            </c:numRef>
          </c:val>
          <c:extLst>
            <c:ext xmlns:c16="http://schemas.microsoft.com/office/drawing/2014/chart" uri="{C3380CC4-5D6E-409C-BE32-E72D297353CC}">
              <c16:uniqueId val="{00000000-64FD-482A-AE8A-1A4DF4CB7A54}"/>
            </c:ext>
          </c:extLst>
        </c:ser>
        <c:ser>
          <c:idx val="1"/>
          <c:order val="1"/>
          <c:tx>
            <c:strRef>
              <c:f>SeniorReview!$E$6</c:f>
              <c:strCache>
                <c:ptCount val="1"/>
                <c:pt idx="0">
                  <c:v>To review</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SeniorReview!$B$7:$B$14</c:f>
              <c:strCache>
                <c:ptCount val="8"/>
                <c:pt idx="0">
                  <c:v>A Camargo</c:v>
                </c:pt>
                <c:pt idx="1">
                  <c:v>A Lorenzo</c:v>
                </c:pt>
                <c:pt idx="2">
                  <c:v>H Daza</c:v>
                </c:pt>
                <c:pt idx="3">
                  <c:v>J S Bermudez</c:v>
                </c:pt>
                <c:pt idx="4">
                  <c:v>M Leon</c:v>
                </c:pt>
                <c:pt idx="5">
                  <c:v>R Sanchez</c:v>
                </c:pt>
                <c:pt idx="6">
                  <c:v>S Romero</c:v>
                </c:pt>
                <c:pt idx="7">
                  <c:v>BPO Management</c:v>
                </c:pt>
              </c:strCache>
            </c:strRef>
          </c:cat>
          <c:val>
            <c:numRef>
              <c:f>SeniorReview!$E$7:$E$14</c:f>
              <c:numCache>
                <c:formatCode>0</c:formatCode>
                <c:ptCount val="8"/>
                <c:pt idx="0">
                  <c:v>1</c:v>
                </c:pt>
                <c:pt idx="1">
                  <c:v>0</c:v>
                </c:pt>
                <c:pt idx="2">
                  <c:v>1</c:v>
                </c:pt>
                <c:pt idx="3">
                  <c:v>1</c:v>
                </c:pt>
                <c:pt idx="4">
                  <c:v>0</c:v>
                </c:pt>
                <c:pt idx="5">
                  <c:v>0</c:v>
                </c:pt>
                <c:pt idx="6">
                  <c:v>0</c:v>
                </c:pt>
                <c:pt idx="7">
                  <c:v>0</c:v>
                </c:pt>
              </c:numCache>
            </c:numRef>
          </c:val>
          <c:extLst>
            <c:ext xmlns:c16="http://schemas.microsoft.com/office/drawing/2014/chart" uri="{C3380CC4-5D6E-409C-BE32-E72D297353CC}">
              <c16:uniqueId val="{00000001-64FD-482A-AE8A-1A4DF4CB7A54}"/>
            </c:ext>
          </c:extLst>
        </c:ser>
        <c:ser>
          <c:idx val="2"/>
          <c:order val="2"/>
          <c:tx>
            <c:strRef>
              <c:f>SeniorReview!$F$6</c:f>
              <c:strCache>
                <c:ptCount val="1"/>
                <c:pt idx="0">
                  <c:v>Critical</c:v>
                </c:pt>
              </c:strCache>
            </c:strRef>
          </c:tx>
          <c:spPr>
            <a:solidFill>
              <a:srgbClr val="9BBB59"/>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SeniorReview!$B$7:$B$14</c:f>
              <c:strCache>
                <c:ptCount val="8"/>
                <c:pt idx="0">
                  <c:v>A Camargo</c:v>
                </c:pt>
                <c:pt idx="1">
                  <c:v>A Lorenzo</c:v>
                </c:pt>
                <c:pt idx="2">
                  <c:v>H Daza</c:v>
                </c:pt>
                <c:pt idx="3">
                  <c:v>J S Bermudez</c:v>
                </c:pt>
                <c:pt idx="4">
                  <c:v>M Leon</c:v>
                </c:pt>
                <c:pt idx="5">
                  <c:v>R Sanchez</c:v>
                </c:pt>
                <c:pt idx="6">
                  <c:v>S Romero</c:v>
                </c:pt>
                <c:pt idx="7">
                  <c:v>BPO Management</c:v>
                </c:pt>
              </c:strCache>
            </c:strRef>
          </c:cat>
          <c:val>
            <c:numRef>
              <c:f>SeniorReview!$F$7:$F$14</c:f>
              <c:numCache>
                <c:formatCode>0</c:formatCode>
                <c:ptCount val="8"/>
                <c:pt idx="0">
                  <c:v>1</c:v>
                </c:pt>
                <c:pt idx="1">
                  <c:v>0</c:v>
                </c:pt>
                <c:pt idx="2">
                  <c:v>0</c:v>
                </c:pt>
                <c:pt idx="3">
                  <c:v>1</c:v>
                </c:pt>
                <c:pt idx="4">
                  <c:v>0</c:v>
                </c:pt>
                <c:pt idx="5">
                  <c:v>0</c:v>
                </c:pt>
                <c:pt idx="6">
                  <c:v>0</c:v>
                </c:pt>
                <c:pt idx="7">
                  <c:v>0</c:v>
                </c:pt>
              </c:numCache>
            </c:numRef>
          </c:val>
          <c:extLst>
            <c:ext xmlns:c16="http://schemas.microsoft.com/office/drawing/2014/chart" uri="{C3380CC4-5D6E-409C-BE32-E72D297353CC}">
              <c16:uniqueId val="{00000002-64FD-482A-AE8A-1A4DF4CB7A54}"/>
            </c:ext>
          </c:extLst>
        </c:ser>
        <c:dLbls>
          <c:showLegendKey val="0"/>
          <c:showVal val="0"/>
          <c:showCatName val="0"/>
          <c:showSerName val="0"/>
          <c:showPercent val="0"/>
          <c:showBubbleSize val="0"/>
        </c:dLbls>
        <c:gapWidth val="150"/>
        <c:overlap val="100"/>
        <c:axId val="52982720"/>
        <c:axId val="52603296"/>
      </c:barChart>
      <c:catAx>
        <c:axId val="5298272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O"/>
          </a:p>
        </c:txPr>
        <c:crossAx val="52603296"/>
        <c:crosses val="autoZero"/>
        <c:auto val="1"/>
        <c:lblAlgn val="ctr"/>
        <c:lblOffset val="100"/>
        <c:noMultiLvlLbl val="0"/>
      </c:catAx>
      <c:valAx>
        <c:axId val="5260329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CO" sz="1000" b="1" strike="noStrike" spc="-1">
                    <a:solidFill>
                      <a:srgbClr val="000000"/>
                    </a:solidFill>
                    <a:latin typeface="Calibri"/>
                  </a:rPr>
                  <a:t>People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O"/>
          </a:p>
        </c:txPr>
        <c:crossAx val="5298272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8</xdr:col>
      <xdr:colOff>926640</xdr:colOff>
      <xdr:row>49</xdr:row>
      <xdr:rowOff>21960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2A44"/>
    <pageSetUpPr fitToPage="1"/>
  </sheetPr>
  <dimension ref="B2:F44"/>
  <sheetViews>
    <sheetView showGridLines="0" zoomScaleNormal="100" workbookViewId="0">
      <selection activeCell="C20" sqref="C20:F29"/>
    </sheetView>
  </sheetViews>
  <sheetFormatPr defaultColWidth="8.7109375" defaultRowHeight="15" x14ac:dyDescent="0.25"/>
  <cols>
    <col min="1" max="1" width="2" customWidth="1"/>
    <col min="2" max="2" width="4" customWidth="1"/>
    <col min="3" max="3" width="26" customWidth="1"/>
    <col min="4" max="4" width="52" customWidth="1"/>
    <col min="5" max="5" width="30" customWidth="1"/>
    <col min="6" max="6" width="22" customWidth="1"/>
    <col min="7" max="7" width="4" customWidth="1"/>
  </cols>
  <sheetData>
    <row r="2" spans="2:6" ht="30" customHeight="1" x14ac:dyDescent="0.25">
      <c r="B2" s="132" t="s">
        <v>0</v>
      </c>
      <c r="C2" s="132"/>
      <c r="D2" s="132"/>
      <c r="E2" s="132"/>
      <c r="F2" s="132"/>
    </row>
    <row r="3" spans="2:6" ht="24" customHeight="1" x14ac:dyDescent="0.25">
      <c r="B3" s="132"/>
      <c r="C3" s="132"/>
      <c r="D3" s="132"/>
      <c r="E3" s="132"/>
      <c r="F3" s="132"/>
    </row>
    <row r="4" spans="2:6" ht="25.5" customHeight="1" x14ac:dyDescent="0.25">
      <c r="B4" s="133" t="str">
        <f>" Week: "&amp;TEXT(Config!$C$7,"dd/mm/yyyy")&amp;"   to   "&amp;TEXT(Config!$C$8,"dd/mm/yyyy")&amp;"      ·      Target: "&amp;TEXT(Config!$C$9,"0")&amp;" hours per day  =  1.0 billing unit"</f>
        <v xml:space="preserve"> Week: 31/08/2026   to   04/09/2026      ·      Target: 8 hours per day  =  1.0 billing unit</v>
      </c>
      <c r="C4" s="133"/>
      <c r="D4" s="133"/>
      <c r="E4" s="133"/>
      <c r="F4" s="133"/>
    </row>
    <row r="6" spans="2:6" ht="19.5" customHeight="1" x14ac:dyDescent="0.25">
      <c r="B6" s="134" t="s">
        <v>1</v>
      </c>
      <c r="C6" s="134"/>
      <c r="D6" s="134"/>
      <c r="E6" s="134"/>
      <c r="F6" s="134"/>
    </row>
    <row r="7" spans="2:6" ht="25.5" customHeight="1" x14ac:dyDescent="0.25">
      <c r="B7" s="135" t="s">
        <v>2</v>
      </c>
      <c r="C7" s="135"/>
      <c r="D7" s="135"/>
      <c r="E7" s="135"/>
      <c r="F7" s="135"/>
    </row>
    <row r="8" spans="2:6" ht="25.5" customHeight="1" x14ac:dyDescent="0.25">
      <c r="B8" s="135"/>
      <c r="C8" s="135"/>
      <c r="D8" s="135"/>
      <c r="E8" s="135"/>
      <c r="F8" s="135"/>
    </row>
    <row r="9" spans="2:6" ht="25.5" customHeight="1" x14ac:dyDescent="0.25">
      <c r="B9" s="135"/>
      <c r="C9" s="135"/>
      <c r="D9" s="135"/>
      <c r="E9" s="135"/>
      <c r="F9" s="135"/>
    </row>
    <row r="11" spans="2:6" ht="19.5" customHeight="1" x14ac:dyDescent="0.25">
      <c r="B11" s="136" t="s">
        <v>3</v>
      </c>
      <c r="C11" s="136"/>
      <c r="D11" s="136"/>
      <c r="E11" s="136"/>
      <c r="F11" s="136"/>
    </row>
    <row r="12" spans="2:6" ht="21.75" customHeight="1" x14ac:dyDescent="0.25">
      <c r="B12" s="129" t="s">
        <v>4</v>
      </c>
      <c r="C12" s="129"/>
      <c r="D12" s="130" t="s">
        <v>5</v>
      </c>
      <c r="E12" s="130"/>
      <c r="F12" s="131" t="s">
        <v>6</v>
      </c>
    </row>
    <row r="13" spans="2:6" ht="21.75" customHeight="1" x14ac:dyDescent="0.25">
      <c r="B13" s="129"/>
      <c r="C13" s="129"/>
      <c r="D13" s="130"/>
      <c r="E13" s="130"/>
      <c r="F13" s="131"/>
    </row>
    <row r="14" spans="2:6" ht="21.75" customHeight="1" x14ac:dyDescent="0.25">
      <c r="B14" s="129" t="s">
        <v>7</v>
      </c>
      <c r="C14" s="129"/>
      <c r="D14" s="130" t="s">
        <v>8</v>
      </c>
      <c r="E14" s="130"/>
      <c r="F14" s="131" t="s">
        <v>9</v>
      </c>
    </row>
    <row r="15" spans="2:6" ht="21.75" customHeight="1" x14ac:dyDescent="0.25">
      <c r="B15" s="129"/>
      <c r="C15" s="129"/>
      <c r="D15" s="130"/>
      <c r="E15" s="130"/>
      <c r="F15" s="131"/>
    </row>
    <row r="16" spans="2:6" ht="21.75" customHeight="1" x14ac:dyDescent="0.25">
      <c r="B16" s="129" t="s">
        <v>10</v>
      </c>
      <c r="C16" s="129"/>
      <c r="D16" s="130" t="s">
        <v>11</v>
      </c>
      <c r="E16" s="130"/>
      <c r="F16" s="131" t="s">
        <v>12</v>
      </c>
    </row>
    <row r="17" spans="2:6" ht="21.75" customHeight="1" x14ac:dyDescent="0.25">
      <c r="B17" s="129"/>
      <c r="C17" s="129"/>
      <c r="D17" s="130"/>
      <c r="E17" s="130"/>
      <c r="F17" s="131"/>
    </row>
    <row r="19" spans="2:6" ht="19.5" customHeight="1" x14ac:dyDescent="0.25">
      <c r="B19" s="124" t="s">
        <v>13</v>
      </c>
      <c r="C19" s="124"/>
      <c r="D19" s="124"/>
      <c r="E19" s="124"/>
      <c r="F19" s="124"/>
    </row>
    <row r="20" spans="2:6" ht="18" customHeight="1" x14ac:dyDescent="0.25">
      <c r="B20" s="5"/>
      <c r="C20" s="6" t="s">
        <v>14</v>
      </c>
      <c r="D20" s="122" t="s">
        <v>15</v>
      </c>
      <c r="E20" s="122"/>
      <c r="F20" s="122"/>
    </row>
    <row r="21" spans="2:6" ht="18" customHeight="1" x14ac:dyDescent="0.25">
      <c r="B21" s="7"/>
      <c r="C21" s="8" t="s">
        <v>16</v>
      </c>
      <c r="D21" s="122" t="s">
        <v>17</v>
      </c>
      <c r="E21" s="122"/>
      <c r="F21" s="122"/>
    </row>
    <row r="22" spans="2:6" ht="18" customHeight="1" x14ac:dyDescent="0.25">
      <c r="B22" s="9"/>
      <c r="C22" s="10" t="s">
        <v>18</v>
      </c>
      <c r="D22" s="122" t="s">
        <v>19</v>
      </c>
      <c r="E22" s="122"/>
      <c r="F22" s="122"/>
    </row>
    <row r="23" spans="2:6" ht="18" customHeight="1" x14ac:dyDescent="0.25">
      <c r="B23" s="11"/>
      <c r="C23" s="12" t="s">
        <v>20</v>
      </c>
      <c r="D23" s="122" t="s">
        <v>21</v>
      </c>
      <c r="E23" s="122"/>
      <c r="F23" s="122"/>
    </row>
    <row r="24" spans="2:6" ht="18" customHeight="1" x14ac:dyDescent="0.25">
      <c r="B24" s="13"/>
      <c r="C24" s="14" t="s">
        <v>22</v>
      </c>
      <c r="D24" s="122" t="s">
        <v>23</v>
      </c>
      <c r="E24" s="122"/>
      <c r="F24" s="122"/>
    </row>
    <row r="25" spans="2:6" ht="18" customHeight="1" x14ac:dyDescent="0.25">
      <c r="B25" s="15"/>
      <c r="C25" s="16" t="s">
        <v>24</v>
      </c>
      <c r="D25" s="122" t="s">
        <v>25</v>
      </c>
      <c r="E25" s="122"/>
      <c r="F25" s="122"/>
    </row>
    <row r="26" spans="2:6" ht="18" customHeight="1" x14ac:dyDescent="0.25">
      <c r="B26" s="17"/>
      <c r="C26" s="18" t="s">
        <v>26</v>
      </c>
      <c r="D26" s="122" t="s">
        <v>27</v>
      </c>
      <c r="E26" s="122"/>
      <c r="F26" s="122"/>
    </row>
    <row r="27" spans="2:6" ht="18" customHeight="1" x14ac:dyDescent="0.25">
      <c r="B27" s="19"/>
      <c r="C27" s="20" t="s">
        <v>28</v>
      </c>
      <c r="D27" s="122" t="s">
        <v>29</v>
      </c>
      <c r="E27" s="122"/>
      <c r="F27" s="122"/>
    </row>
    <row r="28" spans="2:6" ht="18" customHeight="1" x14ac:dyDescent="0.25">
      <c r="B28" s="19"/>
      <c r="C28" s="20" t="s">
        <v>30</v>
      </c>
      <c r="D28" s="122" t="s">
        <v>31</v>
      </c>
      <c r="E28" s="122"/>
      <c r="F28" s="122"/>
    </row>
    <row r="29" spans="2:6" ht="18" customHeight="1" x14ac:dyDescent="0.25">
      <c r="B29" s="19"/>
      <c r="C29" s="20" t="s">
        <v>32</v>
      </c>
      <c r="D29" s="122" t="s">
        <v>33</v>
      </c>
      <c r="E29" s="122"/>
      <c r="F29" s="122"/>
    </row>
    <row r="30" spans="2:6" ht="19.5" customHeight="1" x14ac:dyDescent="0.25">
      <c r="B30" s="128" t="s">
        <v>34</v>
      </c>
      <c r="C30" s="128"/>
      <c r="D30" s="128"/>
      <c r="E30" s="128"/>
      <c r="F30" s="128"/>
    </row>
    <row r="31" spans="2:6" x14ac:dyDescent="0.25">
      <c r="B31" s="125" t="s">
        <v>35</v>
      </c>
      <c r="C31" s="125"/>
      <c r="D31" s="122" t="s">
        <v>36</v>
      </c>
      <c r="E31" s="122"/>
      <c r="F31" s="122"/>
    </row>
    <row r="32" spans="2:6" x14ac:dyDescent="0.25">
      <c r="B32" s="126" t="s">
        <v>37</v>
      </c>
      <c r="C32" s="126"/>
      <c r="D32" s="122" t="s">
        <v>38</v>
      </c>
      <c r="E32" s="122"/>
      <c r="F32" s="122"/>
    </row>
    <row r="33" spans="2:6" x14ac:dyDescent="0.25">
      <c r="B33" s="127" t="s">
        <v>39</v>
      </c>
      <c r="C33" s="127"/>
      <c r="D33" s="122" t="s">
        <v>40</v>
      </c>
      <c r="E33" s="122"/>
      <c r="F33" s="122"/>
    </row>
    <row r="34" spans="2:6" x14ac:dyDescent="0.25">
      <c r="B34" s="121" t="s">
        <v>41</v>
      </c>
      <c r="C34" s="121"/>
      <c r="D34" s="122" t="s">
        <v>42</v>
      </c>
      <c r="E34" s="122"/>
      <c r="F34" s="122"/>
    </row>
    <row r="35" spans="2:6" x14ac:dyDescent="0.25">
      <c r="B35" s="123" t="s">
        <v>43</v>
      </c>
      <c r="C35" s="123"/>
      <c r="D35" s="122" t="s">
        <v>44</v>
      </c>
      <c r="E35" s="122"/>
      <c r="F35" s="122"/>
    </row>
    <row r="37" spans="2:6" ht="19.5" customHeight="1" x14ac:dyDescent="0.25">
      <c r="B37" s="124" t="s">
        <v>45</v>
      </c>
      <c r="C37" s="124"/>
      <c r="D37" s="124"/>
      <c r="E37" s="124"/>
      <c r="F37" s="124"/>
    </row>
    <row r="38" spans="2:6" ht="15" customHeight="1" x14ac:dyDescent="0.25">
      <c r="B38" s="119" t="s">
        <v>46</v>
      </c>
      <c r="C38" s="119"/>
      <c r="D38" s="119"/>
      <c r="E38" s="119"/>
      <c r="F38" s="119"/>
    </row>
    <row r="39" spans="2:6" x14ac:dyDescent="0.25">
      <c r="B39" s="119"/>
      <c r="C39" s="119"/>
      <c r="D39" s="119"/>
      <c r="E39" s="119"/>
      <c r="F39" s="119"/>
    </row>
    <row r="40" spans="2:6" x14ac:dyDescent="0.25">
      <c r="B40" s="119"/>
      <c r="C40" s="119"/>
      <c r="D40" s="119"/>
      <c r="E40" s="119"/>
      <c r="F40" s="119"/>
    </row>
    <row r="41" spans="2:6" x14ac:dyDescent="0.25">
      <c r="B41" s="119"/>
      <c r="C41" s="119"/>
      <c r="D41" s="119"/>
      <c r="E41" s="119"/>
      <c r="F41" s="119"/>
    </row>
    <row r="43" spans="2:6" ht="15" customHeight="1" x14ac:dyDescent="0.25">
      <c r="B43" s="120" t="s">
        <v>47</v>
      </c>
      <c r="C43" s="120"/>
      <c r="D43" s="120"/>
      <c r="E43" s="120"/>
      <c r="F43" s="120"/>
    </row>
    <row r="44" spans="2:6" x14ac:dyDescent="0.25">
      <c r="B44" s="120"/>
      <c r="C44" s="120"/>
      <c r="D44" s="120"/>
      <c r="E44" s="120"/>
      <c r="F44" s="120"/>
    </row>
  </sheetData>
  <mergeCells count="39">
    <mergeCell ref="B2:F3"/>
    <mergeCell ref="B4:F4"/>
    <mergeCell ref="B6:F6"/>
    <mergeCell ref="B7:F9"/>
    <mergeCell ref="B11:F11"/>
    <mergeCell ref="B12:C13"/>
    <mergeCell ref="D12:E13"/>
    <mergeCell ref="F12:F13"/>
    <mergeCell ref="B14:C15"/>
    <mergeCell ref="D14:E15"/>
    <mergeCell ref="F14:F15"/>
    <mergeCell ref="B16:C17"/>
    <mergeCell ref="D16:E17"/>
    <mergeCell ref="F16:F17"/>
    <mergeCell ref="B19:F19"/>
    <mergeCell ref="D20:F20"/>
    <mergeCell ref="D21:F21"/>
    <mergeCell ref="D22:F22"/>
    <mergeCell ref="D23:F23"/>
    <mergeCell ref="D24:F24"/>
    <mergeCell ref="D25:F25"/>
    <mergeCell ref="D26:F26"/>
    <mergeCell ref="D27:F27"/>
    <mergeCell ref="D28:F28"/>
    <mergeCell ref="D29:F29"/>
    <mergeCell ref="B30:F30"/>
    <mergeCell ref="B31:C31"/>
    <mergeCell ref="D31:F31"/>
    <mergeCell ref="B32:C32"/>
    <mergeCell ref="D32:F32"/>
    <mergeCell ref="B33:C33"/>
    <mergeCell ref="D33:F33"/>
    <mergeCell ref="B38:F41"/>
    <mergeCell ref="B43:F44"/>
    <mergeCell ref="B34:C34"/>
    <mergeCell ref="D34:F34"/>
    <mergeCell ref="B35:C35"/>
    <mergeCell ref="D35:F35"/>
    <mergeCell ref="B37:F37"/>
  </mergeCells>
  <pageMargins left="0.3" right="0.3" top="0.4" bottom="0.4"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E7C7B"/>
    <pageSetUpPr fitToPage="1"/>
  </sheetPr>
  <dimension ref="B1:T75"/>
  <sheetViews>
    <sheetView showGridLines="0" zoomScaleNormal="100" workbookViewId="0">
      <pane xSplit="4" ySplit="9" topLeftCell="E10" activePane="bottomRight" state="frozen"/>
      <selection pane="topRight" activeCell="E1" sqref="E1"/>
      <selection pane="bottomLeft" activeCell="A10" sqref="A10"/>
      <selection pane="bottomRight" activeCell="R16" sqref="R16"/>
    </sheetView>
  </sheetViews>
  <sheetFormatPr defaultColWidth="8.7109375" defaultRowHeight="15" x14ac:dyDescent="0.25"/>
  <cols>
    <col min="1" max="1" width="2" customWidth="1"/>
    <col min="2" max="2" width="5" customWidth="1"/>
    <col min="3" max="4" width="22" customWidth="1"/>
    <col min="5" max="10" width="11" customWidth="1"/>
    <col min="11" max="11" width="9" customWidth="1"/>
    <col min="12" max="12" width="11" customWidth="1"/>
    <col min="13" max="15" width="8" customWidth="1"/>
    <col min="16" max="16" width="30" customWidth="1"/>
    <col min="17" max="17" width="6" hidden="1" customWidth="1"/>
    <col min="18" max="18" width="72" customWidth="1"/>
    <col min="19" max="19" width="2" hidden="1" customWidth="1"/>
    <col min="20" max="20" width="10" hidden="1" customWidth="1"/>
  </cols>
  <sheetData>
    <row r="1" spans="2:20" x14ac:dyDescent="0.25">
      <c r="T1" s="23" t="s">
        <v>48</v>
      </c>
    </row>
    <row r="2" spans="2:20" ht="33.75" customHeight="1" x14ac:dyDescent="0.25">
      <c r="B2" s="116" t="s">
        <v>49</v>
      </c>
      <c r="C2" s="116"/>
      <c r="D2" s="116"/>
      <c r="E2" s="116"/>
      <c r="F2" s="116"/>
      <c r="G2" s="116"/>
      <c r="H2" s="116"/>
      <c r="I2" s="116"/>
      <c r="J2" s="116"/>
      <c r="K2" s="116"/>
      <c r="L2" s="116"/>
      <c r="M2" s="116"/>
      <c r="N2" s="116"/>
      <c r="O2" s="116"/>
      <c r="P2" s="116"/>
      <c r="Q2" s="116"/>
      <c r="T2" s="24">
        <f>Config!$C$9</f>
        <v>8</v>
      </c>
    </row>
    <row r="3" spans="2:20" ht="19.5" customHeight="1" x14ac:dyDescent="0.25">
      <c r="B3" s="117" t="s">
        <v>50</v>
      </c>
      <c r="C3" s="117"/>
      <c r="D3" s="117"/>
      <c r="E3" s="117"/>
      <c r="F3" s="117"/>
      <c r="G3" s="117"/>
      <c r="H3" s="117"/>
      <c r="I3" s="117"/>
      <c r="J3" s="117"/>
      <c r="K3" s="117"/>
      <c r="L3" s="117"/>
      <c r="M3" s="117"/>
      <c r="N3" s="117"/>
      <c r="O3" s="117"/>
      <c r="P3" s="117"/>
      <c r="Q3" s="117"/>
      <c r="T3" s="25">
        <f>Config!$C$10</f>
        <v>0</v>
      </c>
    </row>
    <row r="5" spans="2:20" ht="15.75" customHeight="1" x14ac:dyDescent="0.25">
      <c r="B5" s="151" t="s">
        <v>51</v>
      </c>
      <c r="C5" s="151"/>
      <c r="D5" s="152" t="s">
        <v>52</v>
      </c>
      <c r="E5" s="152"/>
      <c r="F5" s="153" t="s">
        <v>53</v>
      </c>
      <c r="G5" s="153"/>
      <c r="H5" s="154" t="s">
        <v>54</v>
      </c>
      <c r="I5" s="154"/>
      <c r="J5" s="155" t="s">
        <v>55</v>
      </c>
      <c r="K5" s="155"/>
      <c r="L5" s="151" t="s">
        <v>56</v>
      </c>
      <c r="M5" s="151"/>
      <c r="N5" s="156" t="s">
        <v>57</v>
      </c>
      <c r="O5" s="156"/>
      <c r="P5" s="156"/>
    </row>
    <row r="6" spans="2:20" ht="30" customHeight="1" x14ac:dyDescent="0.25">
      <c r="B6" s="146">
        <f>Config!$C$14</f>
        <v>38</v>
      </c>
      <c r="C6" s="146"/>
      <c r="D6" s="147">
        <f>COUNTIF($Q$10:$Q$69,0)</f>
        <v>33</v>
      </c>
      <c r="E6" s="147"/>
      <c r="F6" s="148">
        <f>COUNTIF($Q$10:$Q$69,1)+COUNTIF($Q$10:$Q$69,2)</f>
        <v>3</v>
      </c>
      <c r="G6" s="148"/>
      <c r="H6" s="149">
        <f>COUNTIF($Q$10:$Q$69,3)</f>
        <v>2</v>
      </c>
      <c r="I6" s="149"/>
      <c r="J6" s="150">
        <f>IFERROR($D$6/$B$6,0)</f>
        <v>0.86842105263157898</v>
      </c>
      <c r="K6" s="150"/>
      <c r="L6" s="144">
        <f>SUM($J$10:$J$69)</f>
        <v>1528</v>
      </c>
      <c r="M6" s="144"/>
      <c r="N6" s="145">
        <f>SUM($K$10:$K$69)</f>
        <v>1520</v>
      </c>
      <c r="O6" s="145"/>
      <c r="P6" s="145"/>
    </row>
    <row r="8" spans="2:20" ht="25.5" customHeight="1" x14ac:dyDescent="0.25">
      <c r="B8" s="141" t="s">
        <v>58</v>
      </c>
      <c r="C8" s="141" t="s">
        <v>59</v>
      </c>
      <c r="D8" s="141" t="s">
        <v>60</v>
      </c>
      <c r="E8" s="141" t="s">
        <v>61</v>
      </c>
      <c r="F8" s="141"/>
      <c r="G8" s="141"/>
      <c r="H8" s="141"/>
      <c r="I8" s="141"/>
      <c r="J8" s="141" t="s">
        <v>62</v>
      </c>
      <c r="K8" s="141" t="s">
        <v>63</v>
      </c>
      <c r="L8" s="141" t="s">
        <v>64</v>
      </c>
      <c r="M8" s="141" t="s">
        <v>65</v>
      </c>
      <c r="N8" s="141" t="s">
        <v>66</v>
      </c>
      <c r="O8" s="141" t="s">
        <v>67</v>
      </c>
      <c r="P8" s="141" t="s">
        <v>68</v>
      </c>
      <c r="Q8" s="141" t="s">
        <v>69</v>
      </c>
      <c r="R8" s="141" t="s">
        <v>70</v>
      </c>
    </row>
    <row r="9" spans="2:20" ht="18" customHeight="1" x14ac:dyDescent="0.25">
      <c r="B9" s="141"/>
      <c r="C9" s="141"/>
      <c r="D9" s="141"/>
      <c r="E9" s="27" t="str">
        <f>LEFT(INDEX(Config!$F$7:$F$11,1),3)&amp;"  "&amp;TEXT(Config!$C$7+0,"dd/mm")</f>
        <v>Mon  31/08</v>
      </c>
      <c r="F9" s="27" t="str">
        <f>LEFT(INDEX(Config!$F$7:$F$11,2),3)&amp;"  "&amp;TEXT(Config!$C$7+1,"dd/mm")</f>
        <v>Tue  01/09</v>
      </c>
      <c r="G9" s="27" t="str">
        <f>LEFT(INDEX(Config!$F$7:$F$11,3),3)&amp;"  "&amp;TEXT(Config!$C$7+2,"dd/mm")</f>
        <v>Wed  02/09</v>
      </c>
      <c r="H9" s="27" t="str">
        <f>LEFT(INDEX(Config!$F$7:$F$11,4),3)&amp;"  "&amp;TEXT(Config!$C$7+3,"dd/mm")</f>
        <v>Thu  03/09</v>
      </c>
      <c r="I9" s="27" t="str">
        <f>LEFT(INDEX(Config!$F$7:$F$11,5),3)&amp;"  "&amp;TEXT(Config!$C$7+4,"dd/mm")</f>
        <v>Fri  04/09</v>
      </c>
      <c r="J9" s="141"/>
      <c r="K9" s="141"/>
      <c r="L9" s="141"/>
      <c r="M9" s="141"/>
      <c r="N9" s="141"/>
      <c r="O9" s="141"/>
      <c r="P9" s="141"/>
      <c r="Q9" s="141"/>
      <c r="R9" s="141"/>
    </row>
    <row r="10" spans="2:20" x14ac:dyDescent="0.25">
      <c r="B10" s="28">
        <f t="shared" ref="B10:B41" si="0">IF($C10="","",ROW()-9)</f>
        <v>1</v>
      </c>
      <c r="C10" s="4" t="str">
        <f>IF(ROW()-9&gt;Config!$C$14,"",INDEX(BPOworkers!$B$6:$B$105,ROW()-9))</f>
        <v>A Camargo</v>
      </c>
      <c r="D10" s="4" t="str">
        <f>IF($C10="","",IFERROR(INDEX(BPOworkers!$E$6:$E$105,MATCH($C10,BPOworkers!$B$6:$B$105,0)),""))</f>
        <v>BPO Management</v>
      </c>
      <c r="E10" s="29">
        <f>IF($C10="","",IF(INDEX(Detail!$G$4:$G$303,(ROW()-10)*5+1)=0,"",INDEX(Detail!$J$4:$J$303,(ROW()-10)*5+1)))</f>
        <v>8</v>
      </c>
      <c r="F10" s="29">
        <f>IF($C10="","",IF(INDEX(Detail!$G$4:$G$303,(ROW()-10)*5+2)=0,"",INDEX(Detail!$J$4:$J$303,(ROW()-10)*5+2)))</f>
        <v>8</v>
      </c>
      <c r="G10" s="29">
        <f>IF($C10="","",IF(INDEX(Detail!$G$4:$G$303,(ROW()-10)*5+3)=0,"",INDEX(Detail!$J$4:$J$303,(ROW()-10)*5+3)))</f>
        <v>8</v>
      </c>
      <c r="H10" s="29">
        <f>IF($C10="","",IF(INDEX(Detail!$G$4:$G$303,(ROW()-10)*5+4)=0,"",INDEX(Detail!$J$4:$J$303,(ROW()-10)*5+4)))</f>
        <v>8</v>
      </c>
      <c r="I10" s="29">
        <f>IF($C10="","",IF(INDEX(Detail!$G$4:$G$303,(ROW()-10)*5+5)=0,"",INDEX(Detail!$J$4:$J$303,(ROW()-10)*5+5)))</f>
        <v>8</v>
      </c>
      <c r="J10" s="30">
        <f t="shared" ref="J10:J41" si="1">IF($C10="","",SUM($E10:$I10))</f>
        <v>40</v>
      </c>
      <c r="K10" s="29">
        <f>IF($C10="","",Config!$C$16)</f>
        <v>40</v>
      </c>
      <c r="L10" s="29">
        <f t="shared" ref="L10:L41" si="2">IF($C10="","",$J10-$K10)</f>
        <v>0</v>
      </c>
      <c r="M10" s="28">
        <f t="shared" ref="M10:M41" si="3">IF($C10="","",COUNT($E10:$I10))</f>
        <v>5</v>
      </c>
      <c r="N10" s="28">
        <f>IF($C10="","",COUNTIFS(Detail!$C$4:$C$303,$C10,Detail!$N$4:$N$303,0))</f>
        <v>5</v>
      </c>
      <c r="O10" s="28">
        <f>IF($C10="","",COUNTIFS(Detail!$C$4:$C$303,$C10,Detail!$N$4:$N$303,"&gt;0"))</f>
        <v>0</v>
      </c>
      <c r="P10" s="31" t="str">
        <f t="shared" ref="P10:P41" si="4">IF($C10="","",IF($M10=0,"⛔ BILLED NOTHING",IF($M10&lt;5,"⛔ MISSING "&amp;TEXT(5-$M10,"0")&amp;" DAY(S) IN BTABS",IF($O10=0,"✅ PERFECT WEEK",IF($L10&lt;0,"🔻 UNDER TARGET ("&amp;TEXT($L10,"0.##")&amp;" h)",IF($L10&gt;0,"🔺 OVER TARGET (+"&amp;TEXT($L10,"0.##")&amp;" h)","⚠️ CHECK THE DAYS"))))))</f>
        <v>✅ PERFECT WEEK</v>
      </c>
      <c r="Q10" s="28">
        <f t="shared" ref="Q10:Q41" si="5">IF($C10="","",IF($M10&lt;5,3,IF($O10=0,0,IF($L10&gt;0,1,2))))</f>
        <v>0</v>
      </c>
      <c r="R10" s="32" t="str">
        <f>IF($C10="","",IF($O10=0,"All 5 days closed at target. Nothing to fix.",TRIM(IF(E10="",LEFT(INDEX(Config!$F$7:$F$11,1),3)&amp;": no entry in BTabs.  ",IF(ABS(E10-$T$2)&gt;$T$3,LEFT(INDEX(Config!$F$7:$F$11,1),3)&amp;": "&amp;TEXT(E10,"0.##")&amp;" h instead of "&amp;TEXT($T$2,"0")&amp;" h.  ",""))&amp;IF(F10="",LEFT(INDEX(Config!$F$7:$F$11,2),3)&amp;": no entry in BTabs.  ",IF(ABS(F10-$T$2)&gt;$T$3,LEFT(INDEX(Config!$F$7:$F$11,2),3)&amp;": "&amp;TEXT(F10,"0.##")&amp;" h instead of "&amp;TEXT($T$2,"0")&amp;" h.  ",""))&amp;IF(G10="",LEFT(INDEX(Config!$F$7:$F$11,3),3)&amp;": no entry in BTabs.  ",IF(ABS(G10-$T$2)&gt;$T$3,LEFT(INDEX(Config!$F$7:$F$11,3),3)&amp;": "&amp;TEXT(G10,"0.##")&amp;" h instead of "&amp;TEXT($T$2,"0")&amp;" h.  ",""))&amp;IF(H10="",LEFT(INDEX(Config!$F$7:$F$11,4),3)&amp;": no entry in BTabs.  ",IF(ABS(H10-$T$2)&gt;$T$3,LEFT(INDEX(Config!$F$7:$F$11,4),3)&amp;": "&amp;TEXT(H10,"0.##")&amp;" h instead of "&amp;TEXT($T$2,"0")&amp;" h.  ",""))&amp;IF(I10="",LEFT(INDEX(Config!$F$7:$F$11,5),3)&amp;": no entry in BTabs.  ",IF(ABS(I10-$T$2)&gt;$T$3,LEFT(INDEX(Config!$F$7:$F$11,5),3)&amp;": "&amp;TEXT(I10,"0.##")&amp;" h instead of "&amp;TEXT($T$2,"0")&amp;" h.  ","")))))</f>
        <v>All 5 days closed at target. Nothing to fix.</v>
      </c>
    </row>
    <row r="11" spans="2:20" x14ac:dyDescent="0.25">
      <c r="B11" s="33">
        <f t="shared" si="0"/>
        <v>2</v>
      </c>
      <c r="C11" s="34" t="str">
        <f>IF(ROW()-9&gt;Config!$C$14,"",INDEX(BPOworkers!$B$6:$B$105,ROW()-9))</f>
        <v>A Lopez</v>
      </c>
      <c r="D11" s="34" t="str">
        <f>IF($C11="","",IFERROR(INDEX(BPOworkers!$E$6:$E$105,MATCH($C11,BPOworkers!$B$6:$B$105,0)),""))</f>
        <v>S Romero</v>
      </c>
      <c r="E11" s="29">
        <f>IF($C11="","",IF(INDEX(Detail!$G$4:$G$303,(ROW()-10)*5+1)=0,"",INDEX(Detail!$J$4:$J$303,(ROW()-10)*5+1)))</f>
        <v>8</v>
      </c>
      <c r="F11" s="29">
        <f>IF($C11="","",IF(INDEX(Detail!$G$4:$G$303,(ROW()-10)*5+2)=0,"",INDEX(Detail!$J$4:$J$303,(ROW()-10)*5+2)))</f>
        <v>8</v>
      </c>
      <c r="G11" s="29">
        <f>IF($C11="","",IF(INDEX(Detail!$G$4:$G$303,(ROW()-10)*5+3)=0,"",INDEX(Detail!$J$4:$J$303,(ROW()-10)*5+3)))</f>
        <v>8</v>
      </c>
      <c r="H11" s="29">
        <f>IF($C11="","",IF(INDEX(Detail!$G$4:$G$303,(ROW()-10)*5+4)=0,"",INDEX(Detail!$J$4:$J$303,(ROW()-10)*5+4)))</f>
        <v>8</v>
      </c>
      <c r="I11" s="29">
        <f>IF($C11="","",IF(INDEX(Detail!$G$4:$G$303,(ROW()-10)*5+5)=0,"",INDEX(Detail!$J$4:$J$303,(ROW()-10)*5+5)))</f>
        <v>8</v>
      </c>
      <c r="J11" s="35">
        <f t="shared" si="1"/>
        <v>40</v>
      </c>
      <c r="K11" s="36">
        <f>IF($C11="","",Config!$C$16)</f>
        <v>40</v>
      </c>
      <c r="L11" s="36">
        <f t="shared" si="2"/>
        <v>0</v>
      </c>
      <c r="M11" s="33">
        <f t="shared" si="3"/>
        <v>5</v>
      </c>
      <c r="N11" s="33">
        <f>IF($C11="","",COUNTIFS(Detail!$C$4:$C$303,$C11,Detail!$N$4:$N$303,0))</f>
        <v>5</v>
      </c>
      <c r="O11" s="33">
        <f>IF($C11="","",COUNTIFS(Detail!$C$4:$C$303,$C11,Detail!$N$4:$N$303,"&gt;0"))</f>
        <v>0</v>
      </c>
      <c r="P11" s="37" t="str">
        <f t="shared" si="4"/>
        <v>✅ PERFECT WEEK</v>
      </c>
      <c r="Q11" s="28">
        <f t="shared" si="5"/>
        <v>0</v>
      </c>
      <c r="R11" s="38" t="str">
        <f>IF($C11="","",IF($O11=0,"All 5 days closed at target. Nothing to fix.",TRIM(IF(E11="",LEFT(INDEX(Config!$F$7:$F$11,1),3)&amp;": no entry in BTabs.  ",IF(ABS(E11-$T$2)&gt;$T$3,LEFT(INDEX(Config!$F$7:$F$11,1),3)&amp;": "&amp;TEXT(E11,"0.##")&amp;" h instead of "&amp;TEXT($T$2,"0")&amp;" h.  ",""))&amp;IF(F11="",LEFT(INDEX(Config!$F$7:$F$11,2),3)&amp;": no entry in BTabs.  ",IF(ABS(F11-$T$2)&gt;$T$3,LEFT(INDEX(Config!$F$7:$F$11,2),3)&amp;": "&amp;TEXT(F11,"0.##")&amp;" h instead of "&amp;TEXT($T$2,"0")&amp;" h.  ",""))&amp;IF(G11="",LEFT(INDEX(Config!$F$7:$F$11,3),3)&amp;": no entry in BTabs.  ",IF(ABS(G11-$T$2)&gt;$T$3,LEFT(INDEX(Config!$F$7:$F$11,3),3)&amp;": "&amp;TEXT(G11,"0.##")&amp;" h instead of "&amp;TEXT($T$2,"0")&amp;" h.  ",""))&amp;IF(H11="",LEFT(INDEX(Config!$F$7:$F$11,4),3)&amp;": no entry in BTabs.  ",IF(ABS(H11-$T$2)&gt;$T$3,LEFT(INDEX(Config!$F$7:$F$11,4),3)&amp;": "&amp;TEXT(H11,"0.##")&amp;" h instead of "&amp;TEXT($T$2,"0")&amp;" h.  ",""))&amp;IF(I11="",LEFT(INDEX(Config!$F$7:$F$11,5),3)&amp;": no entry in BTabs.  ",IF(ABS(I11-$T$2)&gt;$T$3,LEFT(INDEX(Config!$F$7:$F$11,5),3)&amp;": "&amp;TEXT(I11,"0.##")&amp;" h instead of "&amp;TEXT($T$2,"0")&amp;" h.  ","")))))</f>
        <v>All 5 days closed at target. Nothing to fix.</v>
      </c>
    </row>
    <row r="12" spans="2:20" x14ac:dyDescent="0.25">
      <c r="B12" s="28">
        <f t="shared" si="0"/>
        <v>3</v>
      </c>
      <c r="C12" s="4" t="str">
        <f>IF(ROW()-9&gt;Config!$C$14,"",INDEX(BPOworkers!$B$6:$B$105,ROW()-9))</f>
        <v>A Lorenzo</v>
      </c>
      <c r="D12" s="4" t="str">
        <f>IF($C12="","",IFERROR(INDEX(BPOworkers!$E$6:$E$105,MATCH($C12,BPOworkers!$B$6:$B$105,0)),""))</f>
        <v>BPO Management</v>
      </c>
      <c r="E12" s="29">
        <f>IF($C12="","",IF(INDEX(Detail!$G$4:$G$303,(ROW()-10)*5+1)=0,"",INDEX(Detail!$J$4:$J$303,(ROW()-10)*5+1)))</f>
        <v>8</v>
      </c>
      <c r="F12" s="29">
        <f>IF($C12="","",IF(INDEX(Detail!$G$4:$G$303,(ROW()-10)*5+2)=0,"",INDEX(Detail!$J$4:$J$303,(ROW()-10)*5+2)))</f>
        <v>8</v>
      </c>
      <c r="G12" s="29">
        <f>IF($C12="","",IF(INDEX(Detail!$G$4:$G$303,(ROW()-10)*5+3)=0,"",INDEX(Detail!$J$4:$J$303,(ROW()-10)*5+3)))</f>
        <v>8</v>
      </c>
      <c r="H12" s="29">
        <f>IF($C12="","",IF(INDEX(Detail!$G$4:$G$303,(ROW()-10)*5+4)=0,"",INDEX(Detail!$J$4:$J$303,(ROW()-10)*5+4)))</f>
        <v>8</v>
      </c>
      <c r="I12" s="29">
        <f>IF($C12="","",IF(INDEX(Detail!$G$4:$G$303,(ROW()-10)*5+5)=0,"",INDEX(Detail!$J$4:$J$303,(ROW()-10)*5+5)))</f>
        <v>8</v>
      </c>
      <c r="J12" s="30">
        <f t="shared" si="1"/>
        <v>40</v>
      </c>
      <c r="K12" s="29">
        <f>IF($C12="","",Config!$C$16)</f>
        <v>40</v>
      </c>
      <c r="L12" s="29">
        <f t="shared" si="2"/>
        <v>0</v>
      </c>
      <c r="M12" s="28">
        <f t="shared" si="3"/>
        <v>5</v>
      </c>
      <c r="N12" s="28">
        <f>IF($C12="","",COUNTIFS(Detail!$C$4:$C$303,$C12,Detail!$N$4:$N$303,0))</f>
        <v>5</v>
      </c>
      <c r="O12" s="28">
        <f>IF($C12="","",COUNTIFS(Detail!$C$4:$C$303,$C12,Detail!$N$4:$N$303,"&gt;0"))</f>
        <v>0</v>
      </c>
      <c r="P12" s="31" t="str">
        <f t="shared" si="4"/>
        <v>✅ PERFECT WEEK</v>
      </c>
      <c r="Q12" s="28">
        <f t="shared" si="5"/>
        <v>0</v>
      </c>
      <c r="R12" s="32" t="str">
        <f>IF($C12="","",IF($O12=0,"All 5 days closed at target. Nothing to fix.",TRIM(IF(E12="",LEFT(INDEX(Config!$F$7:$F$11,1),3)&amp;": no entry in BTabs.  ",IF(ABS(E12-$T$2)&gt;$T$3,LEFT(INDEX(Config!$F$7:$F$11,1),3)&amp;": "&amp;TEXT(E12,"0.##")&amp;" h instead of "&amp;TEXT($T$2,"0")&amp;" h.  ",""))&amp;IF(F12="",LEFT(INDEX(Config!$F$7:$F$11,2),3)&amp;": no entry in BTabs.  ",IF(ABS(F12-$T$2)&gt;$T$3,LEFT(INDEX(Config!$F$7:$F$11,2),3)&amp;": "&amp;TEXT(F12,"0.##")&amp;" h instead of "&amp;TEXT($T$2,"0")&amp;" h.  ",""))&amp;IF(G12="",LEFT(INDEX(Config!$F$7:$F$11,3),3)&amp;": no entry in BTabs.  ",IF(ABS(G12-$T$2)&gt;$T$3,LEFT(INDEX(Config!$F$7:$F$11,3),3)&amp;": "&amp;TEXT(G12,"0.##")&amp;" h instead of "&amp;TEXT($T$2,"0")&amp;" h.  ",""))&amp;IF(H12="",LEFT(INDEX(Config!$F$7:$F$11,4),3)&amp;": no entry in BTabs.  ",IF(ABS(H12-$T$2)&gt;$T$3,LEFT(INDEX(Config!$F$7:$F$11,4),3)&amp;": "&amp;TEXT(H12,"0.##")&amp;" h instead of "&amp;TEXT($T$2,"0")&amp;" h.  ",""))&amp;IF(I12="",LEFT(INDEX(Config!$F$7:$F$11,5),3)&amp;": no entry in BTabs.  ",IF(ABS(I12-$T$2)&gt;$T$3,LEFT(INDEX(Config!$F$7:$F$11,5),3)&amp;": "&amp;TEXT(I12,"0.##")&amp;" h instead of "&amp;TEXT($T$2,"0")&amp;" h.  ","")))))</f>
        <v>All 5 days closed at target. Nothing to fix.</v>
      </c>
    </row>
    <row r="13" spans="2:20" x14ac:dyDescent="0.25">
      <c r="B13" s="33">
        <f t="shared" si="0"/>
        <v>4</v>
      </c>
      <c r="C13" s="34" t="str">
        <f>IF(ROW()-9&gt;Config!$C$14,"",INDEX(BPOworkers!$B$6:$B$105,ROW()-9))</f>
        <v>C Mesa</v>
      </c>
      <c r="D13" s="34" t="str">
        <f>IF($C13="","",IFERROR(INDEX(BPOworkers!$E$6:$E$105,MATCH($C13,BPOworkers!$B$6:$B$105,0)),""))</f>
        <v>M Leon</v>
      </c>
      <c r="E13" s="29">
        <f>IF($C13="","",IF(INDEX(Detail!$G$4:$G$303,(ROW()-10)*5+1)=0,"",INDEX(Detail!$J$4:$J$303,(ROW()-10)*5+1)))</f>
        <v>8</v>
      </c>
      <c r="F13" s="29">
        <f>IF($C13="","",IF(INDEX(Detail!$G$4:$G$303,(ROW()-10)*5+2)=0,"",INDEX(Detail!$J$4:$J$303,(ROW()-10)*5+2)))</f>
        <v>8</v>
      </c>
      <c r="G13" s="29">
        <f>IF($C13="","",IF(INDEX(Detail!$G$4:$G$303,(ROW()-10)*5+3)=0,"",INDEX(Detail!$J$4:$J$303,(ROW()-10)*5+3)))</f>
        <v>8</v>
      </c>
      <c r="H13" s="29">
        <f>IF($C13="","",IF(INDEX(Detail!$G$4:$G$303,(ROW()-10)*5+4)=0,"",INDEX(Detail!$J$4:$J$303,(ROW()-10)*5+4)))</f>
        <v>8</v>
      </c>
      <c r="I13" s="29">
        <f>IF($C13="","",IF(INDEX(Detail!$G$4:$G$303,(ROW()-10)*5+5)=0,"",INDEX(Detail!$J$4:$J$303,(ROW()-10)*5+5)))</f>
        <v>8</v>
      </c>
      <c r="J13" s="35">
        <f t="shared" si="1"/>
        <v>40</v>
      </c>
      <c r="K13" s="36">
        <f>IF($C13="","",Config!$C$16)</f>
        <v>40</v>
      </c>
      <c r="L13" s="36">
        <f t="shared" si="2"/>
        <v>0</v>
      </c>
      <c r="M13" s="33">
        <f t="shared" si="3"/>
        <v>5</v>
      </c>
      <c r="N13" s="33">
        <f>IF($C13="","",COUNTIFS(Detail!$C$4:$C$303,$C13,Detail!$N$4:$N$303,0))</f>
        <v>5</v>
      </c>
      <c r="O13" s="33">
        <f>IF($C13="","",COUNTIFS(Detail!$C$4:$C$303,$C13,Detail!$N$4:$N$303,"&gt;0"))</f>
        <v>0</v>
      </c>
      <c r="P13" s="37" t="str">
        <f t="shared" si="4"/>
        <v>✅ PERFECT WEEK</v>
      </c>
      <c r="Q13" s="28">
        <f t="shared" si="5"/>
        <v>0</v>
      </c>
      <c r="R13" s="38" t="str">
        <f>IF($C13="","",IF($O13=0,"All 5 days closed at target. Nothing to fix.",TRIM(IF(E13="",LEFT(INDEX(Config!$F$7:$F$11,1),3)&amp;": no entry in BTabs.  ",IF(ABS(E13-$T$2)&gt;$T$3,LEFT(INDEX(Config!$F$7:$F$11,1),3)&amp;": "&amp;TEXT(E13,"0.##")&amp;" h instead of "&amp;TEXT($T$2,"0")&amp;" h.  ",""))&amp;IF(F13="",LEFT(INDEX(Config!$F$7:$F$11,2),3)&amp;": no entry in BTabs.  ",IF(ABS(F13-$T$2)&gt;$T$3,LEFT(INDEX(Config!$F$7:$F$11,2),3)&amp;": "&amp;TEXT(F13,"0.##")&amp;" h instead of "&amp;TEXT($T$2,"0")&amp;" h.  ",""))&amp;IF(G13="",LEFT(INDEX(Config!$F$7:$F$11,3),3)&amp;": no entry in BTabs.  ",IF(ABS(G13-$T$2)&gt;$T$3,LEFT(INDEX(Config!$F$7:$F$11,3),3)&amp;": "&amp;TEXT(G13,"0.##")&amp;" h instead of "&amp;TEXT($T$2,"0")&amp;" h.  ",""))&amp;IF(H13="",LEFT(INDEX(Config!$F$7:$F$11,4),3)&amp;": no entry in BTabs.  ",IF(ABS(H13-$T$2)&gt;$T$3,LEFT(INDEX(Config!$F$7:$F$11,4),3)&amp;": "&amp;TEXT(H13,"0.##")&amp;" h instead of "&amp;TEXT($T$2,"0")&amp;" h.  ",""))&amp;IF(I13="",LEFT(INDEX(Config!$F$7:$F$11,5),3)&amp;": no entry in BTabs.  ",IF(ABS(I13-$T$2)&gt;$T$3,LEFT(INDEX(Config!$F$7:$F$11,5),3)&amp;": "&amp;TEXT(I13,"0.##")&amp;" h instead of "&amp;TEXT($T$2,"0")&amp;" h.  ","")))))</f>
        <v>All 5 days closed at target. Nothing to fix.</v>
      </c>
    </row>
    <row r="14" spans="2:20" x14ac:dyDescent="0.25">
      <c r="B14" s="28">
        <f t="shared" si="0"/>
        <v>5</v>
      </c>
      <c r="C14" s="4" t="str">
        <f>IF(ROW()-9&gt;Config!$C$14,"",INDEX(BPOworkers!$B$6:$B$105,ROW()-9))</f>
        <v>H Daza</v>
      </c>
      <c r="D14" s="4" t="str">
        <f>IF($C14="","",IFERROR(INDEX(BPOworkers!$E$6:$E$105,MATCH($C14,BPOworkers!$B$6:$B$105,0)),""))</f>
        <v>BPO Management</v>
      </c>
      <c r="E14" s="29">
        <f>IF($C14="","",IF(INDEX(Detail!$G$4:$G$303,(ROW()-10)*5+1)=0,"",INDEX(Detail!$J$4:$J$303,(ROW()-10)*5+1)))</f>
        <v>8</v>
      </c>
      <c r="F14" s="29">
        <f>IF($C14="","",IF(INDEX(Detail!$G$4:$G$303,(ROW()-10)*5+2)=0,"",INDEX(Detail!$J$4:$J$303,(ROW()-10)*5+2)))</f>
        <v>8</v>
      </c>
      <c r="G14" s="29">
        <f>IF($C14="","",IF(INDEX(Detail!$G$4:$G$303,(ROW()-10)*5+3)=0,"",INDEX(Detail!$J$4:$J$303,(ROW()-10)*5+3)))</f>
        <v>8</v>
      </c>
      <c r="H14" s="29">
        <f>IF($C14="","",IF(INDEX(Detail!$G$4:$G$303,(ROW()-10)*5+4)=0,"",INDEX(Detail!$J$4:$J$303,(ROW()-10)*5+4)))</f>
        <v>8</v>
      </c>
      <c r="I14" s="29">
        <f>IF($C14="","",IF(INDEX(Detail!$G$4:$G$303,(ROW()-10)*5+5)=0,"",INDEX(Detail!$J$4:$J$303,(ROW()-10)*5+5)))</f>
        <v>8</v>
      </c>
      <c r="J14" s="30">
        <f t="shared" si="1"/>
        <v>40</v>
      </c>
      <c r="K14" s="29">
        <f>IF($C14="","",Config!$C$16)</f>
        <v>40</v>
      </c>
      <c r="L14" s="29">
        <f t="shared" si="2"/>
        <v>0</v>
      </c>
      <c r="M14" s="28">
        <f t="shared" si="3"/>
        <v>5</v>
      </c>
      <c r="N14" s="28">
        <f>IF($C14="","",COUNTIFS(Detail!$C$4:$C$303,$C14,Detail!$N$4:$N$303,0))</f>
        <v>5</v>
      </c>
      <c r="O14" s="28">
        <f>IF($C14="","",COUNTIFS(Detail!$C$4:$C$303,$C14,Detail!$N$4:$N$303,"&gt;0"))</f>
        <v>0</v>
      </c>
      <c r="P14" s="31" t="str">
        <f t="shared" si="4"/>
        <v>✅ PERFECT WEEK</v>
      </c>
      <c r="Q14" s="28">
        <f t="shared" si="5"/>
        <v>0</v>
      </c>
      <c r="R14" s="32" t="str">
        <f>IF($C14="","",IF($O14=0,"All 5 days closed at target. Nothing to fix.",TRIM(IF(E14="",LEFT(INDEX(Config!$F$7:$F$11,1),3)&amp;": no entry in BTabs.  ",IF(ABS(E14-$T$2)&gt;$T$3,LEFT(INDEX(Config!$F$7:$F$11,1),3)&amp;": "&amp;TEXT(E14,"0.##")&amp;" h instead of "&amp;TEXT($T$2,"0")&amp;" h.  ",""))&amp;IF(F14="",LEFT(INDEX(Config!$F$7:$F$11,2),3)&amp;": no entry in BTabs.  ",IF(ABS(F14-$T$2)&gt;$T$3,LEFT(INDEX(Config!$F$7:$F$11,2),3)&amp;": "&amp;TEXT(F14,"0.##")&amp;" h instead of "&amp;TEXT($T$2,"0")&amp;" h.  ",""))&amp;IF(G14="",LEFT(INDEX(Config!$F$7:$F$11,3),3)&amp;": no entry in BTabs.  ",IF(ABS(G14-$T$2)&gt;$T$3,LEFT(INDEX(Config!$F$7:$F$11,3),3)&amp;": "&amp;TEXT(G14,"0.##")&amp;" h instead of "&amp;TEXT($T$2,"0")&amp;" h.  ",""))&amp;IF(H14="",LEFT(INDEX(Config!$F$7:$F$11,4),3)&amp;": no entry in BTabs.  ",IF(ABS(H14-$T$2)&gt;$T$3,LEFT(INDEX(Config!$F$7:$F$11,4),3)&amp;": "&amp;TEXT(H14,"0.##")&amp;" h instead of "&amp;TEXT($T$2,"0")&amp;" h.  ",""))&amp;IF(I14="",LEFT(INDEX(Config!$F$7:$F$11,5),3)&amp;": no entry in BTabs.  ",IF(ABS(I14-$T$2)&gt;$T$3,LEFT(INDEX(Config!$F$7:$F$11,5),3)&amp;": "&amp;TEXT(I14,"0.##")&amp;" h instead of "&amp;TEXT($T$2,"0")&amp;" h.  ","")))))</f>
        <v>All 5 days closed at target. Nothing to fix.</v>
      </c>
    </row>
    <row r="15" spans="2:20" x14ac:dyDescent="0.25">
      <c r="B15" s="33">
        <f t="shared" si="0"/>
        <v>6</v>
      </c>
      <c r="C15" s="34" t="str">
        <f>IF(ROW()-9&gt;Config!$C$14,"",INDEX(BPOworkers!$B$6:$B$105,ROW()-9))</f>
        <v>I De La Parra</v>
      </c>
      <c r="D15" s="34" t="str">
        <f>IF($C15="","",IFERROR(INDEX(BPOworkers!$E$6:$E$105,MATCH($C15,BPOworkers!$B$6:$B$105,0)),""))</f>
        <v>A Lorenzo</v>
      </c>
      <c r="E15" s="29">
        <f>IF($C15="","",IF(INDEX(Detail!$G$4:$G$303,(ROW()-10)*5+1)=0,"",INDEX(Detail!$J$4:$J$303,(ROW()-10)*5+1)))</f>
        <v>8</v>
      </c>
      <c r="F15" s="29">
        <f>IF($C15="","",IF(INDEX(Detail!$G$4:$G$303,(ROW()-10)*5+2)=0,"",INDEX(Detail!$J$4:$J$303,(ROW()-10)*5+2)))</f>
        <v>8</v>
      </c>
      <c r="G15" s="29">
        <f>IF($C15="","",IF(INDEX(Detail!$G$4:$G$303,(ROW()-10)*5+3)=0,"",INDEX(Detail!$J$4:$J$303,(ROW()-10)*5+3)))</f>
        <v>8</v>
      </c>
      <c r="H15" s="29">
        <f>IF($C15="","",IF(INDEX(Detail!$G$4:$G$303,(ROW()-10)*5+4)=0,"",INDEX(Detail!$J$4:$J$303,(ROW()-10)*5+4)))</f>
        <v>8</v>
      </c>
      <c r="I15" s="29">
        <f>IF($C15="","",IF(INDEX(Detail!$G$4:$G$303,(ROW()-10)*5+5)=0,"",INDEX(Detail!$J$4:$J$303,(ROW()-10)*5+5)))</f>
        <v>8</v>
      </c>
      <c r="J15" s="35">
        <f t="shared" si="1"/>
        <v>40</v>
      </c>
      <c r="K15" s="36">
        <f>IF($C15="","",Config!$C$16)</f>
        <v>40</v>
      </c>
      <c r="L15" s="36">
        <f t="shared" si="2"/>
        <v>0</v>
      </c>
      <c r="M15" s="33">
        <f t="shared" si="3"/>
        <v>5</v>
      </c>
      <c r="N15" s="33">
        <f>IF($C15="","",COUNTIFS(Detail!$C$4:$C$303,$C15,Detail!$N$4:$N$303,0))</f>
        <v>5</v>
      </c>
      <c r="O15" s="33">
        <f>IF($C15="","",COUNTIFS(Detail!$C$4:$C$303,$C15,Detail!$N$4:$N$303,"&gt;0"))</f>
        <v>0</v>
      </c>
      <c r="P15" s="37" t="str">
        <f t="shared" si="4"/>
        <v>✅ PERFECT WEEK</v>
      </c>
      <c r="Q15" s="28">
        <f t="shared" si="5"/>
        <v>0</v>
      </c>
      <c r="R15" s="38" t="str">
        <f>IF($C15="","",IF($O15=0,"All 5 days closed at target. Nothing to fix.",TRIM(IF(E15="",LEFT(INDEX(Config!$F$7:$F$11,1),3)&amp;": no entry in BTabs.  ",IF(ABS(E15-$T$2)&gt;$T$3,LEFT(INDEX(Config!$F$7:$F$11,1),3)&amp;": "&amp;TEXT(E15,"0.##")&amp;" h instead of "&amp;TEXT($T$2,"0")&amp;" h.  ",""))&amp;IF(F15="",LEFT(INDEX(Config!$F$7:$F$11,2),3)&amp;": no entry in BTabs.  ",IF(ABS(F15-$T$2)&gt;$T$3,LEFT(INDEX(Config!$F$7:$F$11,2),3)&amp;": "&amp;TEXT(F15,"0.##")&amp;" h instead of "&amp;TEXT($T$2,"0")&amp;" h.  ",""))&amp;IF(G15="",LEFT(INDEX(Config!$F$7:$F$11,3),3)&amp;": no entry in BTabs.  ",IF(ABS(G15-$T$2)&gt;$T$3,LEFT(INDEX(Config!$F$7:$F$11,3),3)&amp;": "&amp;TEXT(G15,"0.##")&amp;" h instead of "&amp;TEXT($T$2,"0")&amp;" h.  ",""))&amp;IF(H15="",LEFT(INDEX(Config!$F$7:$F$11,4),3)&amp;": no entry in BTabs.  ",IF(ABS(H15-$T$2)&gt;$T$3,LEFT(INDEX(Config!$F$7:$F$11,4),3)&amp;": "&amp;TEXT(H15,"0.##")&amp;" h instead of "&amp;TEXT($T$2,"0")&amp;" h.  ",""))&amp;IF(I15="",LEFT(INDEX(Config!$F$7:$F$11,5),3)&amp;": no entry in BTabs.  ",IF(ABS(I15-$T$2)&gt;$T$3,LEFT(INDEX(Config!$F$7:$F$11,5),3)&amp;": "&amp;TEXT(I15,"0.##")&amp;" h instead of "&amp;TEXT($T$2,"0")&amp;" h.  ","")))))</f>
        <v>All 5 days closed at target. Nothing to fix.</v>
      </c>
    </row>
    <row r="16" spans="2:20" x14ac:dyDescent="0.25">
      <c r="B16" s="28">
        <f t="shared" si="0"/>
        <v>7</v>
      </c>
      <c r="C16" s="4" t="str">
        <f>IF(ROW()-9&gt;Config!$C$14,"",INDEX(BPOworkers!$B$6:$B$105,ROW()-9))</f>
        <v>J Castillo</v>
      </c>
      <c r="D16" s="4" t="str">
        <f>IF($C16="","",IFERROR(INDEX(BPOworkers!$E$6:$E$105,MATCH($C16,BPOworkers!$B$6:$B$105,0)),""))</f>
        <v>J S Bermudez</v>
      </c>
      <c r="E16" s="29" t="str">
        <f>IF($C16="","",IF(INDEX(Detail!$G$4:$G$303,(ROW()-10)*5+1)=0,"",INDEX(Detail!$J$4:$J$303,(ROW()-10)*5+1)))</f>
        <v/>
      </c>
      <c r="F16" s="29">
        <f>IF($C16="","",IF(INDEX(Detail!$G$4:$G$303,(ROW()-10)*5+2)=0,"",INDEX(Detail!$J$4:$J$303,(ROW()-10)*5+2)))</f>
        <v>8</v>
      </c>
      <c r="G16" s="29">
        <f>IF($C16="","",IF(INDEX(Detail!$G$4:$G$303,(ROW()-10)*5+3)=0,"",INDEX(Detail!$J$4:$J$303,(ROW()-10)*5+3)))</f>
        <v>8</v>
      </c>
      <c r="H16" s="29">
        <f>IF($C16="","",IF(INDEX(Detail!$G$4:$G$303,(ROW()-10)*5+4)=0,"",INDEX(Detail!$J$4:$J$303,(ROW()-10)*5+4)))</f>
        <v>8</v>
      </c>
      <c r="I16" s="29">
        <f>IF($C16="","",IF(INDEX(Detail!$G$4:$G$303,(ROW()-10)*5+5)=0,"",INDEX(Detail!$J$4:$J$303,(ROW()-10)*5+5)))</f>
        <v>8</v>
      </c>
      <c r="J16" s="30">
        <f t="shared" si="1"/>
        <v>32</v>
      </c>
      <c r="K16" s="29">
        <f>IF($C16="","",Config!$C$16)</f>
        <v>40</v>
      </c>
      <c r="L16" s="29">
        <f t="shared" si="2"/>
        <v>-8</v>
      </c>
      <c r="M16" s="28">
        <f t="shared" si="3"/>
        <v>4</v>
      </c>
      <c r="N16" s="28">
        <f>IF($C16="","",COUNTIFS(Detail!$C$4:$C$303,$C16,Detail!$N$4:$N$303,0))</f>
        <v>4</v>
      </c>
      <c r="O16" s="28">
        <f>IF($C16="","",COUNTIFS(Detail!$C$4:$C$303,$C16,Detail!$N$4:$N$303,"&gt;0"))</f>
        <v>1</v>
      </c>
      <c r="P16" s="31" t="str">
        <f t="shared" si="4"/>
        <v>⛔ MISSING 1 DAY(S) IN BTABS</v>
      </c>
      <c r="Q16" s="28">
        <f t="shared" si="5"/>
        <v>3</v>
      </c>
      <c r="R16" s="32" t="str">
        <f>IF($C16="","",IF($O16=0,"All 5 days closed at target. Nothing to fix.",TRIM(IF(E16="",LEFT(INDEX(Config!$F$7:$F$11,1),3)&amp;": no entry in BTabs.  ",IF(ABS(E16-$T$2)&gt;$T$3,LEFT(INDEX(Config!$F$7:$F$11,1),3)&amp;": "&amp;TEXT(E16,"0.##")&amp;" h instead of "&amp;TEXT($T$2,"0")&amp;" h.  ",""))&amp;IF(F16="",LEFT(INDEX(Config!$F$7:$F$11,2),3)&amp;": no entry in BTabs.  ",IF(ABS(F16-$T$2)&gt;$T$3,LEFT(INDEX(Config!$F$7:$F$11,2),3)&amp;": "&amp;TEXT(F16,"0.##")&amp;" h instead of "&amp;TEXT($T$2,"0")&amp;" h.  ",""))&amp;IF(G16="",LEFT(INDEX(Config!$F$7:$F$11,3),3)&amp;": no entry in BTabs.  ",IF(ABS(G16-$T$2)&gt;$T$3,LEFT(INDEX(Config!$F$7:$F$11,3),3)&amp;": "&amp;TEXT(G16,"0.##")&amp;" h instead of "&amp;TEXT($T$2,"0")&amp;" h.  ",""))&amp;IF(H16="",LEFT(INDEX(Config!$F$7:$F$11,4),3)&amp;": no entry in BTabs.  ",IF(ABS(H16-$T$2)&gt;$T$3,LEFT(INDEX(Config!$F$7:$F$11,4),3)&amp;": "&amp;TEXT(H16,"0.##")&amp;" h instead of "&amp;TEXT($T$2,"0")&amp;" h.  ",""))&amp;IF(I16="",LEFT(INDEX(Config!$F$7:$F$11,5),3)&amp;": no entry in BTabs.  ",IF(ABS(I16-$T$2)&gt;$T$3,LEFT(INDEX(Config!$F$7:$F$11,5),3)&amp;": "&amp;TEXT(I16,"0.##")&amp;" h instead of "&amp;TEXT($T$2,"0")&amp;" h.  ","")))))</f>
        <v>Mon: no entry in BTabs.</v>
      </c>
    </row>
    <row r="17" spans="2:18" x14ac:dyDescent="0.25">
      <c r="B17" s="33">
        <f t="shared" si="0"/>
        <v>8</v>
      </c>
      <c r="C17" s="34" t="str">
        <f>IF(ROW()-9&gt;Config!$C$14,"",INDEX(BPOworkers!$B$6:$B$105,ROW()-9))</f>
        <v>J Valbuena</v>
      </c>
      <c r="D17" s="34" t="str">
        <f>IF($C17="","",IFERROR(INDEX(BPOworkers!$E$6:$E$105,MATCH($C17,BPOworkers!$B$6:$B$105,0)),""))</f>
        <v>H Daza</v>
      </c>
      <c r="E17" s="29">
        <f>IF($C17="","",IF(INDEX(Detail!$G$4:$G$303,(ROW()-10)*5+1)=0,"",INDEX(Detail!$J$4:$J$303,(ROW()-10)*5+1)))</f>
        <v>8</v>
      </c>
      <c r="F17" s="29">
        <f>IF($C17="","",IF(INDEX(Detail!$G$4:$G$303,(ROW()-10)*5+2)=0,"",INDEX(Detail!$J$4:$J$303,(ROW()-10)*5+2)))</f>
        <v>8</v>
      </c>
      <c r="G17" s="29">
        <f>IF($C17="","",IF(INDEX(Detail!$G$4:$G$303,(ROW()-10)*5+3)=0,"",INDEX(Detail!$J$4:$J$303,(ROW()-10)*5+3)))</f>
        <v>8</v>
      </c>
      <c r="H17" s="29">
        <f>IF($C17="","",IF(INDEX(Detail!$G$4:$G$303,(ROW()-10)*5+4)=0,"",INDEX(Detail!$J$4:$J$303,(ROW()-10)*5+4)))</f>
        <v>8</v>
      </c>
      <c r="I17" s="29">
        <f>IF($C17="","",IF(INDEX(Detail!$G$4:$G$303,(ROW()-10)*5+5)=0,"",INDEX(Detail!$J$4:$J$303,(ROW()-10)*5+5)))</f>
        <v>8</v>
      </c>
      <c r="J17" s="35">
        <f t="shared" si="1"/>
        <v>40</v>
      </c>
      <c r="K17" s="36">
        <f>IF($C17="","",Config!$C$16)</f>
        <v>40</v>
      </c>
      <c r="L17" s="36">
        <f t="shared" si="2"/>
        <v>0</v>
      </c>
      <c r="M17" s="33">
        <f t="shared" si="3"/>
        <v>5</v>
      </c>
      <c r="N17" s="33">
        <f>IF($C17="","",COUNTIFS(Detail!$C$4:$C$303,$C17,Detail!$N$4:$N$303,0))</f>
        <v>5</v>
      </c>
      <c r="O17" s="33">
        <f>IF($C17="","",COUNTIFS(Detail!$C$4:$C$303,$C17,Detail!$N$4:$N$303,"&gt;0"))</f>
        <v>0</v>
      </c>
      <c r="P17" s="37" t="str">
        <f t="shared" si="4"/>
        <v>✅ PERFECT WEEK</v>
      </c>
      <c r="Q17" s="28">
        <f t="shared" si="5"/>
        <v>0</v>
      </c>
      <c r="R17" s="38" t="str">
        <f>IF($C17="","",IF($O17=0,"All 5 days closed at target. Nothing to fix.",TRIM(IF(E17="",LEFT(INDEX(Config!$F$7:$F$11,1),3)&amp;": no entry in BTabs.  ",IF(ABS(E17-$T$2)&gt;$T$3,LEFT(INDEX(Config!$F$7:$F$11,1),3)&amp;": "&amp;TEXT(E17,"0.##")&amp;" h instead of "&amp;TEXT($T$2,"0")&amp;" h.  ",""))&amp;IF(F17="",LEFT(INDEX(Config!$F$7:$F$11,2),3)&amp;": no entry in BTabs.  ",IF(ABS(F17-$T$2)&gt;$T$3,LEFT(INDEX(Config!$F$7:$F$11,2),3)&amp;": "&amp;TEXT(F17,"0.##")&amp;" h instead of "&amp;TEXT($T$2,"0")&amp;" h.  ",""))&amp;IF(G17="",LEFT(INDEX(Config!$F$7:$F$11,3),3)&amp;": no entry in BTabs.  ",IF(ABS(G17-$T$2)&gt;$T$3,LEFT(INDEX(Config!$F$7:$F$11,3),3)&amp;": "&amp;TEXT(G17,"0.##")&amp;" h instead of "&amp;TEXT($T$2,"0")&amp;" h.  ",""))&amp;IF(H17="",LEFT(INDEX(Config!$F$7:$F$11,4),3)&amp;": no entry in BTabs.  ",IF(ABS(H17-$T$2)&gt;$T$3,LEFT(INDEX(Config!$F$7:$F$11,4),3)&amp;": "&amp;TEXT(H17,"0.##")&amp;" h instead of "&amp;TEXT($T$2,"0")&amp;" h.  ",""))&amp;IF(I17="",LEFT(INDEX(Config!$F$7:$F$11,5),3)&amp;": no entry in BTabs.  ",IF(ABS(I17-$T$2)&gt;$T$3,LEFT(INDEX(Config!$F$7:$F$11,5),3)&amp;": "&amp;TEXT(I17,"0.##")&amp;" h instead of "&amp;TEXT($T$2,"0")&amp;" h.  ","")))))</f>
        <v>All 5 days closed at target. Nothing to fix.</v>
      </c>
    </row>
    <row r="18" spans="2:18" x14ac:dyDescent="0.25">
      <c r="B18" s="28">
        <f t="shared" si="0"/>
        <v>9</v>
      </c>
      <c r="C18" s="4" t="str">
        <f>IF(ROW()-9&gt;Config!$C$14,"",INDEX(BPOworkers!$B$6:$B$105,ROW()-9))</f>
        <v>J Gonzalez</v>
      </c>
      <c r="D18" s="4" t="str">
        <f>IF($C18="","",IFERROR(INDEX(BPOworkers!$E$6:$E$105,MATCH($C18,BPOworkers!$B$6:$B$105,0)),""))</f>
        <v>R Sanchez</v>
      </c>
      <c r="E18" s="29">
        <f>IF($C18="","",IF(INDEX(Detail!$G$4:$G$303,(ROW()-10)*5+1)=0,"",INDEX(Detail!$J$4:$J$303,(ROW()-10)*5+1)))</f>
        <v>8</v>
      </c>
      <c r="F18" s="29">
        <f>IF($C18="","",IF(INDEX(Detail!$G$4:$G$303,(ROW()-10)*5+2)=0,"",INDEX(Detail!$J$4:$J$303,(ROW()-10)*5+2)))</f>
        <v>8</v>
      </c>
      <c r="G18" s="29">
        <f>IF($C18="","",IF(INDEX(Detail!$G$4:$G$303,(ROW()-10)*5+3)=0,"",INDEX(Detail!$J$4:$J$303,(ROW()-10)*5+3)))</f>
        <v>8</v>
      </c>
      <c r="H18" s="29">
        <f>IF($C18="","",IF(INDEX(Detail!$G$4:$G$303,(ROW()-10)*5+4)=0,"",INDEX(Detail!$J$4:$J$303,(ROW()-10)*5+4)))</f>
        <v>8</v>
      </c>
      <c r="I18" s="29">
        <f>IF($C18="","",IF(INDEX(Detail!$G$4:$G$303,(ROW()-10)*5+5)=0,"",INDEX(Detail!$J$4:$J$303,(ROW()-10)*5+5)))</f>
        <v>8</v>
      </c>
      <c r="J18" s="30">
        <f t="shared" si="1"/>
        <v>40</v>
      </c>
      <c r="K18" s="29">
        <f>IF($C18="","",Config!$C$16)</f>
        <v>40</v>
      </c>
      <c r="L18" s="29">
        <f t="shared" si="2"/>
        <v>0</v>
      </c>
      <c r="M18" s="28">
        <f t="shared" si="3"/>
        <v>5</v>
      </c>
      <c r="N18" s="28">
        <f>IF($C18="","",COUNTIFS(Detail!$C$4:$C$303,$C18,Detail!$N$4:$N$303,0))</f>
        <v>5</v>
      </c>
      <c r="O18" s="28">
        <f>IF($C18="","",COUNTIFS(Detail!$C$4:$C$303,$C18,Detail!$N$4:$N$303,"&gt;0"))</f>
        <v>0</v>
      </c>
      <c r="P18" s="31" t="str">
        <f t="shared" si="4"/>
        <v>✅ PERFECT WEEK</v>
      </c>
      <c r="Q18" s="28">
        <f t="shared" si="5"/>
        <v>0</v>
      </c>
      <c r="R18" s="32" t="str">
        <f>IF($C18="","",IF($O18=0,"All 5 days closed at target. Nothing to fix.",TRIM(IF(E18="",LEFT(INDEX(Config!$F$7:$F$11,1),3)&amp;": no entry in BTabs.  ",IF(ABS(E18-$T$2)&gt;$T$3,LEFT(INDEX(Config!$F$7:$F$11,1),3)&amp;": "&amp;TEXT(E18,"0.##")&amp;" h instead of "&amp;TEXT($T$2,"0")&amp;" h.  ",""))&amp;IF(F18="",LEFT(INDEX(Config!$F$7:$F$11,2),3)&amp;": no entry in BTabs.  ",IF(ABS(F18-$T$2)&gt;$T$3,LEFT(INDEX(Config!$F$7:$F$11,2),3)&amp;": "&amp;TEXT(F18,"0.##")&amp;" h instead of "&amp;TEXT($T$2,"0")&amp;" h.  ",""))&amp;IF(G18="",LEFT(INDEX(Config!$F$7:$F$11,3),3)&amp;": no entry in BTabs.  ",IF(ABS(G18-$T$2)&gt;$T$3,LEFT(INDEX(Config!$F$7:$F$11,3),3)&amp;": "&amp;TEXT(G18,"0.##")&amp;" h instead of "&amp;TEXT($T$2,"0")&amp;" h.  ",""))&amp;IF(H18="",LEFT(INDEX(Config!$F$7:$F$11,4),3)&amp;": no entry in BTabs.  ",IF(ABS(H18-$T$2)&gt;$T$3,LEFT(INDEX(Config!$F$7:$F$11,4),3)&amp;": "&amp;TEXT(H18,"0.##")&amp;" h instead of "&amp;TEXT($T$2,"0")&amp;" h.  ",""))&amp;IF(I18="",LEFT(INDEX(Config!$F$7:$F$11,5),3)&amp;": no entry in BTabs.  ",IF(ABS(I18-$T$2)&gt;$T$3,LEFT(INDEX(Config!$F$7:$F$11,5),3)&amp;": "&amp;TEXT(I18,"0.##")&amp;" h instead of "&amp;TEXT($T$2,"0")&amp;" h.  ","")))))</f>
        <v>All 5 days closed at target. Nothing to fix.</v>
      </c>
    </row>
    <row r="19" spans="2:18" x14ac:dyDescent="0.25">
      <c r="B19" s="33">
        <f t="shared" si="0"/>
        <v>10</v>
      </c>
      <c r="C19" s="34" t="str">
        <f>IF(ROW()-9&gt;Config!$C$14,"",INDEX(BPOworkers!$B$6:$B$105,ROW()-9))</f>
        <v>J Rincon</v>
      </c>
      <c r="D19" s="34" t="str">
        <f>IF($C19="","",IFERROR(INDEX(BPOworkers!$E$6:$E$105,MATCH($C19,BPOworkers!$B$6:$B$105,0)),""))</f>
        <v>A Camargo</v>
      </c>
      <c r="E19" s="29">
        <f>IF($C19="","",IF(INDEX(Detail!$G$4:$G$303,(ROW()-10)*5+1)=0,"",INDEX(Detail!$J$4:$J$303,(ROW()-10)*5+1)))</f>
        <v>8</v>
      </c>
      <c r="F19" s="29">
        <f>IF($C19="","",IF(INDEX(Detail!$G$4:$G$303,(ROW()-10)*5+2)=0,"",INDEX(Detail!$J$4:$J$303,(ROW()-10)*5+2)))</f>
        <v>8</v>
      </c>
      <c r="G19" s="29">
        <f>IF($C19="","",IF(INDEX(Detail!$G$4:$G$303,(ROW()-10)*5+3)=0,"",INDEX(Detail!$J$4:$J$303,(ROW()-10)*5+3)))</f>
        <v>8</v>
      </c>
      <c r="H19" s="29">
        <f>IF($C19="","",IF(INDEX(Detail!$G$4:$G$303,(ROW()-10)*5+4)=0,"",INDEX(Detail!$J$4:$J$303,(ROW()-10)*5+4)))</f>
        <v>8</v>
      </c>
      <c r="I19" s="29">
        <f>IF($C19="","",IF(INDEX(Detail!$G$4:$G$303,(ROW()-10)*5+5)=0,"",INDEX(Detail!$J$4:$J$303,(ROW()-10)*5+5)))</f>
        <v>8</v>
      </c>
      <c r="J19" s="35">
        <f t="shared" si="1"/>
        <v>40</v>
      </c>
      <c r="K19" s="36">
        <f>IF($C19="","",Config!$C$16)</f>
        <v>40</v>
      </c>
      <c r="L19" s="36">
        <f t="shared" si="2"/>
        <v>0</v>
      </c>
      <c r="M19" s="33">
        <f t="shared" si="3"/>
        <v>5</v>
      </c>
      <c r="N19" s="33">
        <f>IF($C19="","",COUNTIFS(Detail!$C$4:$C$303,$C19,Detail!$N$4:$N$303,0))</f>
        <v>5</v>
      </c>
      <c r="O19" s="33">
        <f>IF($C19="","",COUNTIFS(Detail!$C$4:$C$303,$C19,Detail!$N$4:$N$303,"&gt;0"))</f>
        <v>0</v>
      </c>
      <c r="P19" s="37" t="str">
        <f t="shared" si="4"/>
        <v>✅ PERFECT WEEK</v>
      </c>
      <c r="Q19" s="28">
        <f t="shared" si="5"/>
        <v>0</v>
      </c>
      <c r="R19" s="38" t="str">
        <f>IF($C19="","",IF($O19=0,"All 5 days closed at target. Nothing to fix.",TRIM(IF(E19="",LEFT(INDEX(Config!$F$7:$F$11,1),3)&amp;": no entry in BTabs.  ",IF(ABS(E19-$T$2)&gt;$T$3,LEFT(INDEX(Config!$F$7:$F$11,1),3)&amp;": "&amp;TEXT(E19,"0.##")&amp;" h instead of "&amp;TEXT($T$2,"0")&amp;" h.  ",""))&amp;IF(F19="",LEFT(INDEX(Config!$F$7:$F$11,2),3)&amp;": no entry in BTabs.  ",IF(ABS(F19-$T$2)&gt;$T$3,LEFT(INDEX(Config!$F$7:$F$11,2),3)&amp;": "&amp;TEXT(F19,"0.##")&amp;" h instead of "&amp;TEXT($T$2,"0")&amp;" h.  ",""))&amp;IF(G19="",LEFT(INDEX(Config!$F$7:$F$11,3),3)&amp;": no entry in BTabs.  ",IF(ABS(G19-$T$2)&gt;$T$3,LEFT(INDEX(Config!$F$7:$F$11,3),3)&amp;": "&amp;TEXT(G19,"0.##")&amp;" h instead of "&amp;TEXT($T$2,"0")&amp;" h.  ",""))&amp;IF(H19="",LEFT(INDEX(Config!$F$7:$F$11,4),3)&amp;": no entry in BTabs.  ",IF(ABS(H19-$T$2)&gt;$T$3,LEFT(INDEX(Config!$F$7:$F$11,4),3)&amp;": "&amp;TEXT(H19,"0.##")&amp;" h instead of "&amp;TEXT($T$2,"0")&amp;" h.  ",""))&amp;IF(I19="",LEFT(INDEX(Config!$F$7:$F$11,5),3)&amp;": no entry in BTabs.  ",IF(ABS(I19-$T$2)&gt;$T$3,LEFT(INDEX(Config!$F$7:$F$11,5),3)&amp;": "&amp;TEXT(I19,"0.##")&amp;" h instead of "&amp;TEXT($T$2,"0")&amp;" h.  ","")))))</f>
        <v>All 5 days closed at target. Nothing to fix.</v>
      </c>
    </row>
    <row r="20" spans="2:18" x14ac:dyDescent="0.25">
      <c r="B20" s="28">
        <f t="shared" si="0"/>
        <v>11</v>
      </c>
      <c r="C20" s="4" t="str">
        <f>IF(ROW()-9&gt;Config!$C$14,"",INDEX(BPOworkers!$B$6:$B$105,ROW()-9))</f>
        <v>L Silva</v>
      </c>
      <c r="D20" s="4" t="str">
        <f>IF($C20="","",IFERROR(INDEX(BPOworkers!$E$6:$E$105,MATCH($C20,BPOworkers!$B$6:$B$105,0)),""))</f>
        <v>BPO Management</v>
      </c>
      <c r="E20" s="29">
        <f>IF($C20="","",IF(INDEX(Detail!$G$4:$G$303,(ROW()-10)*5+1)=0,"",INDEX(Detail!$J$4:$J$303,(ROW()-10)*5+1)))</f>
        <v>8</v>
      </c>
      <c r="F20" s="29">
        <f>IF($C20="","",IF(INDEX(Detail!$G$4:$G$303,(ROW()-10)*5+2)=0,"",INDEX(Detail!$J$4:$J$303,(ROW()-10)*5+2)))</f>
        <v>8</v>
      </c>
      <c r="G20" s="29">
        <f>IF($C20="","",IF(INDEX(Detail!$G$4:$G$303,(ROW()-10)*5+3)=0,"",INDEX(Detail!$J$4:$J$303,(ROW()-10)*5+3)))</f>
        <v>8</v>
      </c>
      <c r="H20" s="29">
        <f>IF($C20="","",IF(INDEX(Detail!$G$4:$G$303,(ROW()-10)*5+4)=0,"",INDEX(Detail!$J$4:$J$303,(ROW()-10)*5+4)))</f>
        <v>8</v>
      </c>
      <c r="I20" s="29">
        <f>IF($C20="","",IF(INDEX(Detail!$G$4:$G$303,(ROW()-10)*5+5)=0,"",INDEX(Detail!$J$4:$J$303,(ROW()-10)*5+5)))</f>
        <v>8</v>
      </c>
      <c r="J20" s="30">
        <f t="shared" si="1"/>
        <v>40</v>
      </c>
      <c r="K20" s="29">
        <f>IF($C20="","",Config!$C$16)</f>
        <v>40</v>
      </c>
      <c r="L20" s="29">
        <f t="shared" si="2"/>
        <v>0</v>
      </c>
      <c r="M20" s="28">
        <f t="shared" si="3"/>
        <v>5</v>
      </c>
      <c r="N20" s="28">
        <f>IF($C20="","",COUNTIFS(Detail!$C$4:$C$303,$C20,Detail!$N$4:$N$303,0))</f>
        <v>5</v>
      </c>
      <c r="O20" s="28">
        <f>IF($C20="","",COUNTIFS(Detail!$C$4:$C$303,$C20,Detail!$N$4:$N$303,"&gt;0"))</f>
        <v>0</v>
      </c>
      <c r="P20" s="31" t="str">
        <f t="shared" si="4"/>
        <v>✅ PERFECT WEEK</v>
      </c>
      <c r="Q20" s="28">
        <f t="shared" si="5"/>
        <v>0</v>
      </c>
      <c r="R20" s="32" t="str">
        <f>IF($C20="","",IF($O20=0,"All 5 days closed at target. Nothing to fix.",TRIM(IF(E20="",LEFT(INDEX(Config!$F$7:$F$11,1),3)&amp;": no entry in BTabs.  ",IF(ABS(E20-$T$2)&gt;$T$3,LEFT(INDEX(Config!$F$7:$F$11,1),3)&amp;": "&amp;TEXT(E20,"0.##")&amp;" h instead of "&amp;TEXT($T$2,"0")&amp;" h.  ",""))&amp;IF(F20="",LEFT(INDEX(Config!$F$7:$F$11,2),3)&amp;": no entry in BTabs.  ",IF(ABS(F20-$T$2)&gt;$T$3,LEFT(INDEX(Config!$F$7:$F$11,2),3)&amp;": "&amp;TEXT(F20,"0.##")&amp;" h instead of "&amp;TEXT($T$2,"0")&amp;" h.  ",""))&amp;IF(G20="",LEFT(INDEX(Config!$F$7:$F$11,3),3)&amp;": no entry in BTabs.  ",IF(ABS(G20-$T$2)&gt;$T$3,LEFT(INDEX(Config!$F$7:$F$11,3),3)&amp;": "&amp;TEXT(G20,"0.##")&amp;" h instead of "&amp;TEXT($T$2,"0")&amp;" h.  ",""))&amp;IF(H20="",LEFT(INDEX(Config!$F$7:$F$11,4),3)&amp;": no entry in BTabs.  ",IF(ABS(H20-$T$2)&gt;$T$3,LEFT(INDEX(Config!$F$7:$F$11,4),3)&amp;": "&amp;TEXT(H20,"0.##")&amp;" h instead of "&amp;TEXT($T$2,"0")&amp;" h.  ",""))&amp;IF(I20="",LEFT(INDEX(Config!$F$7:$F$11,5),3)&amp;": no entry in BTabs.  ",IF(ABS(I20-$T$2)&gt;$T$3,LEFT(INDEX(Config!$F$7:$F$11,5),3)&amp;": "&amp;TEXT(I20,"0.##")&amp;" h instead of "&amp;TEXT($T$2,"0")&amp;" h.  ","")))))</f>
        <v>All 5 days closed at target. Nothing to fix.</v>
      </c>
    </row>
    <row r="21" spans="2:18" x14ac:dyDescent="0.25">
      <c r="B21" s="33">
        <f t="shared" si="0"/>
        <v>12</v>
      </c>
      <c r="C21" s="34" t="str">
        <f>IF(ROW()-9&gt;Config!$C$14,"",INDEX(BPOworkers!$B$6:$B$105,ROW()-9))</f>
        <v>M Grazziani</v>
      </c>
      <c r="D21" s="34" t="str">
        <f>IF($C21="","",IFERROR(INDEX(BPOworkers!$E$6:$E$105,MATCH($C21,BPOworkers!$B$6:$B$105,0)),""))</f>
        <v>J S Bermudez</v>
      </c>
      <c r="E21" s="29">
        <f>IF($C21="","",IF(INDEX(Detail!$G$4:$G$303,(ROW()-10)*5+1)=0,"",INDEX(Detail!$J$4:$J$303,(ROW()-10)*5+1)))</f>
        <v>8</v>
      </c>
      <c r="F21" s="29">
        <f>IF($C21="","",IF(INDEX(Detail!$G$4:$G$303,(ROW()-10)*5+2)=0,"",INDEX(Detail!$J$4:$J$303,(ROW()-10)*5+2)))</f>
        <v>8</v>
      </c>
      <c r="G21" s="29">
        <f>IF($C21="","",IF(INDEX(Detail!$G$4:$G$303,(ROW()-10)*5+3)=0,"",INDEX(Detail!$J$4:$J$303,(ROW()-10)*5+3)))</f>
        <v>8</v>
      </c>
      <c r="H21" s="29">
        <f>IF($C21="","",IF(INDEX(Detail!$G$4:$G$303,(ROW()-10)*5+4)=0,"",INDEX(Detail!$J$4:$J$303,(ROW()-10)*5+4)))</f>
        <v>8</v>
      </c>
      <c r="I21" s="29">
        <f>IF($C21="","",IF(INDEX(Detail!$G$4:$G$303,(ROW()-10)*5+5)=0,"",INDEX(Detail!$J$4:$J$303,(ROW()-10)*5+5)))</f>
        <v>8</v>
      </c>
      <c r="J21" s="35">
        <f t="shared" si="1"/>
        <v>40</v>
      </c>
      <c r="K21" s="36">
        <f>IF($C21="","",Config!$C$16)</f>
        <v>40</v>
      </c>
      <c r="L21" s="36">
        <f t="shared" si="2"/>
        <v>0</v>
      </c>
      <c r="M21" s="33">
        <f t="shared" si="3"/>
        <v>5</v>
      </c>
      <c r="N21" s="33">
        <f>IF($C21="","",COUNTIFS(Detail!$C$4:$C$303,$C21,Detail!$N$4:$N$303,0))</f>
        <v>5</v>
      </c>
      <c r="O21" s="33">
        <f>IF($C21="","",COUNTIFS(Detail!$C$4:$C$303,$C21,Detail!$N$4:$N$303,"&gt;0"))</f>
        <v>0</v>
      </c>
      <c r="P21" s="37" t="str">
        <f t="shared" si="4"/>
        <v>✅ PERFECT WEEK</v>
      </c>
      <c r="Q21" s="28">
        <f t="shared" si="5"/>
        <v>0</v>
      </c>
      <c r="R21" s="38" t="str">
        <f>IF($C21="","",IF($O21=0,"All 5 days closed at target. Nothing to fix.",TRIM(IF(E21="",LEFT(INDEX(Config!$F$7:$F$11,1),3)&amp;": no entry in BTabs.  ",IF(ABS(E21-$T$2)&gt;$T$3,LEFT(INDEX(Config!$F$7:$F$11,1),3)&amp;": "&amp;TEXT(E21,"0.##")&amp;" h instead of "&amp;TEXT($T$2,"0")&amp;" h.  ",""))&amp;IF(F21="",LEFT(INDEX(Config!$F$7:$F$11,2),3)&amp;": no entry in BTabs.  ",IF(ABS(F21-$T$2)&gt;$T$3,LEFT(INDEX(Config!$F$7:$F$11,2),3)&amp;": "&amp;TEXT(F21,"0.##")&amp;" h instead of "&amp;TEXT($T$2,"0")&amp;" h.  ",""))&amp;IF(G21="",LEFT(INDEX(Config!$F$7:$F$11,3),3)&amp;": no entry in BTabs.  ",IF(ABS(G21-$T$2)&gt;$T$3,LEFT(INDEX(Config!$F$7:$F$11,3),3)&amp;": "&amp;TEXT(G21,"0.##")&amp;" h instead of "&amp;TEXT($T$2,"0")&amp;" h.  ",""))&amp;IF(H21="",LEFT(INDEX(Config!$F$7:$F$11,4),3)&amp;": no entry in BTabs.  ",IF(ABS(H21-$T$2)&gt;$T$3,LEFT(INDEX(Config!$F$7:$F$11,4),3)&amp;": "&amp;TEXT(H21,"0.##")&amp;" h instead of "&amp;TEXT($T$2,"0")&amp;" h.  ",""))&amp;IF(I21="",LEFT(INDEX(Config!$F$7:$F$11,5),3)&amp;": no entry in BTabs.  ",IF(ABS(I21-$T$2)&gt;$T$3,LEFT(INDEX(Config!$F$7:$F$11,5),3)&amp;": "&amp;TEXT(I21,"0.##")&amp;" h instead of "&amp;TEXT($T$2,"0")&amp;" h.  ","")))))</f>
        <v>All 5 days closed at target. Nothing to fix.</v>
      </c>
    </row>
    <row r="22" spans="2:18" x14ac:dyDescent="0.25">
      <c r="B22" s="28">
        <f t="shared" si="0"/>
        <v>13</v>
      </c>
      <c r="C22" s="4" t="str">
        <f>IF(ROW()-9&gt;Config!$C$14,"",INDEX(BPOworkers!$B$6:$B$105,ROW()-9))</f>
        <v>M Leon</v>
      </c>
      <c r="D22" s="4" t="str">
        <f>IF($C22="","",IFERROR(INDEX(BPOworkers!$E$6:$E$105,MATCH($C22,BPOworkers!$B$6:$B$105,0)),""))</f>
        <v>BPO Management</v>
      </c>
      <c r="E22" s="29">
        <f>IF($C22="","",IF(INDEX(Detail!$G$4:$G$303,(ROW()-10)*5+1)=0,"",INDEX(Detail!$J$4:$J$303,(ROW()-10)*5+1)))</f>
        <v>8</v>
      </c>
      <c r="F22" s="29">
        <f>IF($C22="","",IF(INDEX(Detail!$G$4:$G$303,(ROW()-10)*5+2)=0,"",INDEX(Detail!$J$4:$J$303,(ROW()-10)*5+2)))</f>
        <v>8</v>
      </c>
      <c r="G22" s="29">
        <f>IF($C22="","",IF(INDEX(Detail!$G$4:$G$303,(ROW()-10)*5+3)=0,"",INDEX(Detail!$J$4:$J$303,(ROW()-10)*5+3)))</f>
        <v>8</v>
      </c>
      <c r="H22" s="29">
        <f>IF($C22="","",IF(INDEX(Detail!$G$4:$G$303,(ROW()-10)*5+4)=0,"",INDEX(Detail!$J$4:$J$303,(ROW()-10)*5+4)))</f>
        <v>8</v>
      </c>
      <c r="I22" s="29">
        <f>IF($C22="","",IF(INDEX(Detail!$G$4:$G$303,(ROW()-10)*5+5)=0,"",INDEX(Detail!$J$4:$J$303,(ROW()-10)*5+5)))</f>
        <v>8</v>
      </c>
      <c r="J22" s="30">
        <f t="shared" si="1"/>
        <v>40</v>
      </c>
      <c r="K22" s="29">
        <f>IF($C22="","",Config!$C$16)</f>
        <v>40</v>
      </c>
      <c r="L22" s="29">
        <f t="shared" si="2"/>
        <v>0</v>
      </c>
      <c r="M22" s="28">
        <f t="shared" si="3"/>
        <v>5</v>
      </c>
      <c r="N22" s="28">
        <f>IF($C22="","",COUNTIFS(Detail!$C$4:$C$303,$C22,Detail!$N$4:$N$303,0))</f>
        <v>5</v>
      </c>
      <c r="O22" s="28">
        <f>IF($C22="","",COUNTIFS(Detail!$C$4:$C$303,$C22,Detail!$N$4:$N$303,"&gt;0"))</f>
        <v>0</v>
      </c>
      <c r="P22" s="31" t="str">
        <f t="shared" si="4"/>
        <v>✅ PERFECT WEEK</v>
      </c>
      <c r="Q22" s="28">
        <f t="shared" si="5"/>
        <v>0</v>
      </c>
      <c r="R22" s="32" t="str">
        <f>IF($C22="","",IF($O22=0,"All 5 days closed at target. Nothing to fix.",TRIM(IF(E22="",LEFT(INDEX(Config!$F$7:$F$11,1),3)&amp;": no entry in BTabs.  ",IF(ABS(E22-$T$2)&gt;$T$3,LEFT(INDEX(Config!$F$7:$F$11,1),3)&amp;": "&amp;TEXT(E22,"0.##")&amp;" h instead of "&amp;TEXT($T$2,"0")&amp;" h.  ",""))&amp;IF(F22="",LEFT(INDEX(Config!$F$7:$F$11,2),3)&amp;": no entry in BTabs.  ",IF(ABS(F22-$T$2)&gt;$T$3,LEFT(INDEX(Config!$F$7:$F$11,2),3)&amp;": "&amp;TEXT(F22,"0.##")&amp;" h instead of "&amp;TEXT($T$2,"0")&amp;" h.  ",""))&amp;IF(G22="",LEFT(INDEX(Config!$F$7:$F$11,3),3)&amp;": no entry in BTabs.  ",IF(ABS(G22-$T$2)&gt;$T$3,LEFT(INDEX(Config!$F$7:$F$11,3),3)&amp;": "&amp;TEXT(G22,"0.##")&amp;" h instead of "&amp;TEXT($T$2,"0")&amp;" h.  ",""))&amp;IF(H22="",LEFT(INDEX(Config!$F$7:$F$11,4),3)&amp;": no entry in BTabs.  ",IF(ABS(H22-$T$2)&gt;$T$3,LEFT(INDEX(Config!$F$7:$F$11,4),3)&amp;": "&amp;TEXT(H22,"0.##")&amp;" h instead of "&amp;TEXT($T$2,"0")&amp;" h.  ",""))&amp;IF(I22="",LEFT(INDEX(Config!$F$7:$F$11,5),3)&amp;": no entry in BTabs.  ",IF(ABS(I22-$T$2)&gt;$T$3,LEFT(INDEX(Config!$F$7:$F$11,5),3)&amp;": "&amp;TEXT(I22,"0.##")&amp;" h instead of "&amp;TEXT($T$2,"0")&amp;" h.  ","")))))</f>
        <v>All 5 days closed at target. Nothing to fix.</v>
      </c>
    </row>
    <row r="23" spans="2:18" x14ac:dyDescent="0.25">
      <c r="B23" s="33">
        <f t="shared" si="0"/>
        <v>14</v>
      </c>
      <c r="C23" s="34" t="str">
        <f>IF(ROW()-9&gt;Config!$C$14,"",INDEX(BPOworkers!$B$6:$B$105,ROW()-9))</f>
        <v>R Sanchez</v>
      </c>
      <c r="D23" s="34" t="str">
        <f>IF($C23="","",IFERROR(INDEX(BPOworkers!$E$6:$E$105,MATCH($C23,BPOworkers!$B$6:$B$105,0)),""))</f>
        <v>BPO Management</v>
      </c>
      <c r="E23" s="29">
        <f>IF($C23="","",IF(INDEX(Detail!$G$4:$G$303,(ROW()-10)*5+1)=0,"",INDEX(Detail!$J$4:$J$303,(ROW()-10)*5+1)))</f>
        <v>8</v>
      </c>
      <c r="F23" s="29">
        <f>IF($C23="","",IF(INDEX(Detail!$G$4:$G$303,(ROW()-10)*5+2)=0,"",INDEX(Detail!$J$4:$J$303,(ROW()-10)*5+2)))</f>
        <v>8</v>
      </c>
      <c r="G23" s="29">
        <f>IF($C23="","",IF(INDEX(Detail!$G$4:$G$303,(ROW()-10)*5+3)=0,"",INDEX(Detail!$J$4:$J$303,(ROW()-10)*5+3)))</f>
        <v>8</v>
      </c>
      <c r="H23" s="29">
        <f>IF($C23="","",IF(INDEX(Detail!$G$4:$G$303,(ROW()-10)*5+4)=0,"",INDEX(Detail!$J$4:$J$303,(ROW()-10)*5+4)))</f>
        <v>8</v>
      </c>
      <c r="I23" s="29">
        <f>IF($C23="","",IF(INDEX(Detail!$G$4:$G$303,(ROW()-10)*5+5)=0,"",INDEX(Detail!$J$4:$J$303,(ROW()-10)*5+5)))</f>
        <v>8</v>
      </c>
      <c r="J23" s="35">
        <f t="shared" si="1"/>
        <v>40</v>
      </c>
      <c r="K23" s="36">
        <f>IF($C23="","",Config!$C$16)</f>
        <v>40</v>
      </c>
      <c r="L23" s="36">
        <f t="shared" si="2"/>
        <v>0</v>
      </c>
      <c r="M23" s="33">
        <f t="shared" si="3"/>
        <v>5</v>
      </c>
      <c r="N23" s="33">
        <f>IF($C23="","",COUNTIFS(Detail!$C$4:$C$303,$C23,Detail!$N$4:$N$303,0))</f>
        <v>5</v>
      </c>
      <c r="O23" s="33">
        <f>IF($C23="","",COUNTIFS(Detail!$C$4:$C$303,$C23,Detail!$N$4:$N$303,"&gt;0"))</f>
        <v>0</v>
      </c>
      <c r="P23" s="37" t="str">
        <f t="shared" si="4"/>
        <v>✅ PERFECT WEEK</v>
      </c>
      <c r="Q23" s="28">
        <f t="shared" si="5"/>
        <v>0</v>
      </c>
      <c r="R23" s="38" t="str">
        <f>IF($C23="","",IF($O23=0,"All 5 days closed at target. Nothing to fix.",TRIM(IF(E23="",LEFT(INDEX(Config!$F$7:$F$11,1),3)&amp;": no entry in BTabs.  ",IF(ABS(E23-$T$2)&gt;$T$3,LEFT(INDEX(Config!$F$7:$F$11,1),3)&amp;": "&amp;TEXT(E23,"0.##")&amp;" h instead of "&amp;TEXT($T$2,"0")&amp;" h.  ",""))&amp;IF(F23="",LEFT(INDEX(Config!$F$7:$F$11,2),3)&amp;": no entry in BTabs.  ",IF(ABS(F23-$T$2)&gt;$T$3,LEFT(INDEX(Config!$F$7:$F$11,2),3)&amp;": "&amp;TEXT(F23,"0.##")&amp;" h instead of "&amp;TEXT($T$2,"0")&amp;" h.  ",""))&amp;IF(G23="",LEFT(INDEX(Config!$F$7:$F$11,3),3)&amp;": no entry in BTabs.  ",IF(ABS(G23-$T$2)&gt;$T$3,LEFT(INDEX(Config!$F$7:$F$11,3),3)&amp;": "&amp;TEXT(G23,"0.##")&amp;" h instead of "&amp;TEXT($T$2,"0")&amp;" h.  ",""))&amp;IF(H23="",LEFT(INDEX(Config!$F$7:$F$11,4),3)&amp;": no entry in BTabs.  ",IF(ABS(H23-$T$2)&gt;$T$3,LEFT(INDEX(Config!$F$7:$F$11,4),3)&amp;": "&amp;TEXT(H23,"0.##")&amp;" h instead of "&amp;TEXT($T$2,"0")&amp;" h.  ",""))&amp;IF(I23="",LEFT(INDEX(Config!$F$7:$F$11,5),3)&amp;": no entry in BTabs.  ",IF(ABS(I23-$T$2)&gt;$T$3,LEFT(INDEX(Config!$F$7:$F$11,5),3)&amp;": "&amp;TEXT(I23,"0.##")&amp;" h instead of "&amp;TEXT($T$2,"0")&amp;" h.  ","")))))</f>
        <v>All 5 days closed at target. Nothing to fix.</v>
      </c>
    </row>
    <row r="24" spans="2:18" x14ac:dyDescent="0.25">
      <c r="B24" s="28">
        <f t="shared" si="0"/>
        <v>15</v>
      </c>
      <c r="C24" s="4" t="str">
        <f>IF(ROW()-9&gt;Config!$C$14,"",INDEX(BPOworkers!$B$6:$B$105,ROW()-9))</f>
        <v>S Romero</v>
      </c>
      <c r="D24" s="4" t="str">
        <f>IF($C24="","",IFERROR(INDEX(BPOworkers!$E$6:$E$105,MATCH($C24,BPOworkers!$B$6:$B$105,0)),""))</f>
        <v>BPO Management</v>
      </c>
      <c r="E24" s="29">
        <f>IF($C24="","",IF(INDEX(Detail!$G$4:$G$303,(ROW()-10)*5+1)=0,"",INDEX(Detail!$J$4:$J$303,(ROW()-10)*5+1)))</f>
        <v>8</v>
      </c>
      <c r="F24" s="29">
        <f>IF($C24="","",IF(INDEX(Detail!$G$4:$G$303,(ROW()-10)*5+2)=0,"",INDEX(Detail!$J$4:$J$303,(ROW()-10)*5+2)))</f>
        <v>8</v>
      </c>
      <c r="G24" s="29">
        <f>IF($C24="","",IF(INDEX(Detail!$G$4:$G$303,(ROW()-10)*5+3)=0,"",INDEX(Detail!$J$4:$J$303,(ROW()-10)*5+3)))</f>
        <v>8</v>
      </c>
      <c r="H24" s="29">
        <f>IF($C24="","",IF(INDEX(Detail!$G$4:$G$303,(ROW()-10)*5+4)=0,"",INDEX(Detail!$J$4:$J$303,(ROW()-10)*5+4)))</f>
        <v>8</v>
      </c>
      <c r="I24" s="29">
        <f>IF($C24="","",IF(INDEX(Detail!$G$4:$G$303,(ROW()-10)*5+5)=0,"",INDEX(Detail!$J$4:$J$303,(ROW()-10)*5+5)))</f>
        <v>8</v>
      </c>
      <c r="J24" s="30">
        <f t="shared" si="1"/>
        <v>40</v>
      </c>
      <c r="K24" s="29">
        <f>IF($C24="","",Config!$C$16)</f>
        <v>40</v>
      </c>
      <c r="L24" s="29">
        <f t="shared" si="2"/>
        <v>0</v>
      </c>
      <c r="M24" s="28">
        <f t="shared" si="3"/>
        <v>5</v>
      </c>
      <c r="N24" s="28">
        <f>IF($C24="","",COUNTIFS(Detail!$C$4:$C$303,$C24,Detail!$N$4:$N$303,0))</f>
        <v>5</v>
      </c>
      <c r="O24" s="28">
        <f>IF($C24="","",COUNTIFS(Detail!$C$4:$C$303,$C24,Detail!$N$4:$N$303,"&gt;0"))</f>
        <v>0</v>
      </c>
      <c r="P24" s="31" t="str">
        <f t="shared" si="4"/>
        <v>✅ PERFECT WEEK</v>
      </c>
      <c r="Q24" s="28">
        <f t="shared" si="5"/>
        <v>0</v>
      </c>
      <c r="R24" s="32" t="str">
        <f>IF($C24="","",IF($O24=0,"All 5 days closed at target. Nothing to fix.",TRIM(IF(E24="",LEFT(INDEX(Config!$F$7:$F$11,1),3)&amp;": no entry in BTabs.  ",IF(ABS(E24-$T$2)&gt;$T$3,LEFT(INDEX(Config!$F$7:$F$11,1),3)&amp;": "&amp;TEXT(E24,"0.##")&amp;" h instead of "&amp;TEXT($T$2,"0")&amp;" h.  ",""))&amp;IF(F24="",LEFT(INDEX(Config!$F$7:$F$11,2),3)&amp;": no entry in BTabs.  ",IF(ABS(F24-$T$2)&gt;$T$3,LEFT(INDEX(Config!$F$7:$F$11,2),3)&amp;": "&amp;TEXT(F24,"0.##")&amp;" h instead of "&amp;TEXT($T$2,"0")&amp;" h.  ",""))&amp;IF(G24="",LEFT(INDEX(Config!$F$7:$F$11,3),3)&amp;": no entry in BTabs.  ",IF(ABS(G24-$T$2)&gt;$T$3,LEFT(INDEX(Config!$F$7:$F$11,3),3)&amp;": "&amp;TEXT(G24,"0.##")&amp;" h instead of "&amp;TEXT($T$2,"0")&amp;" h.  ",""))&amp;IF(H24="",LEFT(INDEX(Config!$F$7:$F$11,4),3)&amp;": no entry in BTabs.  ",IF(ABS(H24-$T$2)&gt;$T$3,LEFT(INDEX(Config!$F$7:$F$11,4),3)&amp;": "&amp;TEXT(H24,"0.##")&amp;" h instead of "&amp;TEXT($T$2,"0")&amp;" h.  ",""))&amp;IF(I24="",LEFT(INDEX(Config!$F$7:$F$11,5),3)&amp;": no entry in BTabs.  ",IF(ABS(I24-$T$2)&gt;$T$3,LEFT(INDEX(Config!$F$7:$F$11,5),3)&amp;": "&amp;TEXT(I24,"0.##")&amp;" h instead of "&amp;TEXT($T$2,"0")&amp;" h.  ","")))))</f>
        <v>All 5 days closed at target. Nothing to fix.</v>
      </c>
    </row>
    <row r="25" spans="2:18" x14ac:dyDescent="0.25">
      <c r="B25" s="33">
        <f t="shared" si="0"/>
        <v>16</v>
      </c>
      <c r="C25" s="34" t="str">
        <f>IF(ROW()-9&gt;Config!$C$14,"",INDEX(BPOworkers!$B$6:$B$105,ROW()-9))</f>
        <v>C Castellanos</v>
      </c>
      <c r="D25" s="34" t="str">
        <f>IF($C25="","",IFERROR(INDEX(BPOworkers!$E$6:$E$105,MATCH($C25,BPOworkers!$B$6:$B$105,0)),""))</f>
        <v>J S Bermudez</v>
      </c>
      <c r="E25" s="29">
        <f>IF($C25="","",IF(INDEX(Detail!$G$4:$G$303,(ROW()-10)*5+1)=0,"",INDEX(Detail!$J$4:$J$303,(ROW()-10)*5+1)))</f>
        <v>16</v>
      </c>
      <c r="F25" s="29">
        <f>IF($C25="","",IF(INDEX(Detail!$G$4:$G$303,(ROW()-10)*5+2)=0,"",INDEX(Detail!$J$4:$J$303,(ROW()-10)*5+2)))</f>
        <v>8</v>
      </c>
      <c r="G25" s="29">
        <f>IF($C25="","",IF(INDEX(Detail!$G$4:$G$303,(ROW()-10)*5+3)=0,"",INDEX(Detail!$J$4:$J$303,(ROW()-10)*5+3)))</f>
        <v>8</v>
      </c>
      <c r="H25" s="29">
        <f>IF($C25="","",IF(INDEX(Detail!$G$4:$G$303,(ROW()-10)*5+4)=0,"",INDEX(Detail!$J$4:$J$303,(ROW()-10)*5+4)))</f>
        <v>8</v>
      </c>
      <c r="I25" s="29">
        <f>IF($C25="","",IF(INDEX(Detail!$G$4:$G$303,(ROW()-10)*5+5)=0,"",INDEX(Detail!$J$4:$J$303,(ROW()-10)*5+5)))</f>
        <v>8</v>
      </c>
      <c r="J25" s="35">
        <f t="shared" si="1"/>
        <v>48</v>
      </c>
      <c r="K25" s="36">
        <f>IF($C25="","",Config!$C$16)</f>
        <v>40</v>
      </c>
      <c r="L25" s="36">
        <f t="shared" si="2"/>
        <v>8</v>
      </c>
      <c r="M25" s="33">
        <f t="shared" si="3"/>
        <v>5</v>
      </c>
      <c r="N25" s="33">
        <f>IF($C25="","",COUNTIFS(Detail!$C$4:$C$303,$C25,Detail!$N$4:$N$303,0))</f>
        <v>4</v>
      </c>
      <c r="O25" s="33">
        <f>IF($C25="","",COUNTIFS(Detail!$C$4:$C$303,$C25,Detail!$N$4:$N$303,"&gt;0"))</f>
        <v>1</v>
      </c>
      <c r="P25" s="37" t="str">
        <f t="shared" si="4"/>
        <v>🔺 OVER TARGET (+8. h)</v>
      </c>
      <c r="Q25" s="28">
        <f t="shared" si="5"/>
        <v>1</v>
      </c>
      <c r="R25" s="38" t="str">
        <f>IF($C25="","",IF($O25=0,"All 5 days closed at target. Nothing to fix.",TRIM(IF(E25="",LEFT(INDEX(Config!$F$7:$F$11,1),3)&amp;": no entry in BTabs.  ",IF(ABS(E25-$T$2)&gt;$T$3,LEFT(INDEX(Config!$F$7:$F$11,1),3)&amp;": "&amp;TEXT(E25,"0.##")&amp;" h instead of "&amp;TEXT($T$2,"0")&amp;" h.  ",""))&amp;IF(F25="",LEFT(INDEX(Config!$F$7:$F$11,2),3)&amp;": no entry in BTabs.  ",IF(ABS(F25-$T$2)&gt;$T$3,LEFT(INDEX(Config!$F$7:$F$11,2),3)&amp;": "&amp;TEXT(F25,"0.##")&amp;" h instead of "&amp;TEXT($T$2,"0")&amp;" h.  ",""))&amp;IF(G25="",LEFT(INDEX(Config!$F$7:$F$11,3),3)&amp;": no entry in BTabs.  ",IF(ABS(G25-$T$2)&gt;$T$3,LEFT(INDEX(Config!$F$7:$F$11,3),3)&amp;": "&amp;TEXT(G25,"0.##")&amp;" h instead of "&amp;TEXT($T$2,"0")&amp;" h.  ",""))&amp;IF(H25="",LEFT(INDEX(Config!$F$7:$F$11,4),3)&amp;": no entry in BTabs.  ",IF(ABS(H25-$T$2)&gt;$T$3,LEFT(INDEX(Config!$F$7:$F$11,4),3)&amp;": "&amp;TEXT(H25,"0.##")&amp;" h instead of "&amp;TEXT($T$2,"0")&amp;" h.  ",""))&amp;IF(I25="",LEFT(INDEX(Config!$F$7:$F$11,5),3)&amp;": no entry in BTabs.  ",IF(ABS(I25-$T$2)&gt;$T$3,LEFT(INDEX(Config!$F$7:$F$11,5),3)&amp;": "&amp;TEXT(I25,"0.##")&amp;" h instead of "&amp;TEXT($T$2,"0")&amp;" h.  ","")))))</f>
        <v>Mon: 16. h instead of 8 h.</v>
      </c>
    </row>
    <row r="26" spans="2:18" x14ac:dyDescent="0.25">
      <c r="B26" s="28">
        <f t="shared" si="0"/>
        <v>17</v>
      </c>
      <c r="C26" s="4" t="str">
        <f>IF(ROW()-9&gt;Config!$C$14,"",INDEX(BPOworkers!$B$6:$B$105,ROW()-9))</f>
        <v>D Trujillo</v>
      </c>
      <c r="D26" s="4" t="str">
        <f>IF($C26="","",IFERROR(INDEX(BPOworkers!$E$6:$E$105,MATCH($C26,BPOworkers!$B$6:$B$105,0)),""))</f>
        <v>BPO Management</v>
      </c>
      <c r="E26" s="29">
        <f>IF($C26="","",IF(INDEX(Detail!$G$4:$G$303,(ROW()-10)*5+1)=0,"",INDEX(Detail!$J$4:$J$303,(ROW()-10)*5+1)))</f>
        <v>8</v>
      </c>
      <c r="F26" s="29">
        <f>IF($C26="","",IF(INDEX(Detail!$G$4:$G$303,(ROW()-10)*5+2)=0,"",INDEX(Detail!$J$4:$J$303,(ROW()-10)*5+2)))</f>
        <v>8</v>
      </c>
      <c r="G26" s="29">
        <f>IF($C26="","",IF(INDEX(Detail!$G$4:$G$303,(ROW()-10)*5+3)=0,"",INDEX(Detail!$J$4:$J$303,(ROW()-10)*5+3)))</f>
        <v>8</v>
      </c>
      <c r="H26" s="29">
        <f>IF($C26="","",IF(INDEX(Detail!$G$4:$G$303,(ROW()-10)*5+4)=0,"",INDEX(Detail!$J$4:$J$303,(ROW()-10)*5+4)))</f>
        <v>8</v>
      </c>
      <c r="I26" s="29">
        <f>IF($C26="","",IF(INDEX(Detail!$G$4:$G$303,(ROW()-10)*5+5)=0,"",INDEX(Detail!$J$4:$J$303,(ROW()-10)*5+5)))</f>
        <v>8</v>
      </c>
      <c r="J26" s="30">
        <f t="shared" si="1"/>
        <v>40</v>
      </c>
      <c r="K26" s="29">
        <f>IF($C26="","",Config!$C$16)</f>
        <v>40</v>
      </c>
      <c r="L26" s="29">
        <f t="shared" si="2"/>
        <v>0</v>
      </c>
      <c r="M26" s="28">
        <f t="shared" si="3"/>
        <v>5</v>
      </c>
      <c r="N26" s="28">
        <f>IF($C26="","",COUNTIFS(Detail!$C$4:$C$303,$C26,Detail!$N$4:$N$303,0))</f>
        <v>5</v>
      </c>
      <c r="O26" s="28">
        <f>IF($C26="","",COUNTIFS(Detail!$C$4:$C$303,$C26,Detail!$N$4:$N$303,"&gt;0"))</f>
        <v>0</v>
      </c>
      <c r="P26" s="31" t="str">
        <f t="shared" si="4"/>
        <v>✅ PERFECT WEEK</v>
      </c>
      <c r="Q26" s="28">
        <f t="shared" si="5"/>
        <v>0</v>
      </c>
      <c r="R26" s="32" t="str">
        <f>IF($C26="","",IF($O26=0,"All 5 days closed at target. Nothing to fix.",TRIM(IF(E26="",LEFT(INDEX(Config!$F$7:$F$11,1),3)&amp;": no entry in BTabs.  ",IF(ABS(E26-$T$2)&gt;$T$3,LEFT(INDEX(Config!$F$7:$F$11,1),3)&amp;": "&amp;TEXT(E26,"0.##")&amp;" h instead of "&amp;TEXT($T$2,"0")&amp;" h.  ",""))&amp;IF(F26="",LEFT(INDEX(Config!$F$7:$F$11,2),3)&amp;": no entry in BTabs.  ",IF(ABS(F26-$T$2)&gt;$T$3,LEFT(INDEX(Config!$F$7:$F$11,2),3)&amp;": "&amp;TEXT(F26,"0.##")&amp;" h instead of "&amp;TEXT($T$2,"0")&amp;" h.  ",""))&amp;IF(G26="",LEFT(INDEX(Config!$F$7:$F$11,3),3)&amp;": no entry in BTabs.  ",IF(ABS(G26-$T$2)&gt;$T$3,LEFT(INDEX(Config!$F$7:$F$11,3),3)&amp;": "&amp;TEXT(G26,"0.##")&amp;" h instead of "&amp;TEXT($T$2,"0")&amp;" h.  ",""))&amp;IF(H26="",LEFT(INDEX(Config!$F$7:$F$11,4),3)&amp;": no entry in BTabs.  ",IF(ABS(H26-$T$2)&gt;$T$3,LEFT(INDEX(Config!$F$7:$F$11,4),3)&amp;": "&amp;TEXT(H26,"0.##")&amp;" h instead of "&amp;TEXT($T$2,"0")&amp;" h.  ",""))&amp;IF(I26="",LEFT(INDEX(Config!$F$7:$F$11,5),3)&amp;": no entry in BTabs.  ",IF(ABS(I26-$T$2)&gt;$T$3,LEFT(INDEX(Config!$F$7:$F$11,5),3)&amp;": "&amp;TEXT(I26,"0.##")&amp;" h instead of "&amp;TEXT($T$2,"0")&amp;" h.  ","")))))</f>
        <v>All 5 days closed at target. Nothing to fix.</v>
      </c>
    </row>
    <row r="27" spans="2:18" x14ac:dyDescent="0.25">
      <c r="B27" s="33">
        <f t="shared" si="0"/>
        <v>18</v>
      </c>
      <c r="C27" s="34" t="str">
        <f>IF(ROW()-9&gt;Config!$C$14,"",INDEX(BPOworkers!$B$6:$B$105,ROW()-9))</f>
        <v>I Salamanca</v>
      </c>
      <c r="D27" s="34" t="str">
        <f>IF($C27="","",IFERROR(INDEX(BPOworkers!$E$6:$E$105,MATCH($C27,BPOworkers!$B$6:$B$105,0)),""))</f>
        <v>M Leon</v>
      </c>
      <c r="E27" s="29">
        <f>IF($C27="","",IF(INDEX(Detail!$G$4:$G$303,(ROW()-10)*5+1)=0,"",INDEX(Detail!$J$4:$J$303,(ROW()-10)*5+1)))</f>
        <v>8</v>
      </c>
      <c r="F27" s="29">
        <f>IF($C27="","",IF(INDEX(Detail!$G$4:$G$303,(ROW()-10)*5+2)=0,"",INDEX(Detail!$J$4:$J$303,(ROW()-10)*5+2)))</f>
        <v>8</v>
      </c>
      <c r="G27" s="29">
        <f>IF($C27="","",IF(INDEX(Detail!$G$4:$G$303,(ROW()-10)*5+3)=0,"",INDEX(Detail!$J$4:$J$303,(ROW()-10)*5+3)))</f>
        <v>8</v>
      </c>
      <c r="H27" s="29">
        <f>IF($C27="","",IF(INDEX(Detail!$G$4:$G$303,(ROW()-10)*5+4)=0,"",INDEX(Detail!$J$4:$J$303,(ROW()-10)*5+4)))</f>
        <v>8</v>
      </c>
      <c r="I27" s="29">
        <f>IF($C27="","",IF(INDEX(Detail!$G$4:$G$303,(ROW()-10)*5+5)=0,"",INDEX(Detail!$J$4:$J$303,(ROW()-10)*5+5)))</f>
        <v>8</v>
      </c>
      <c r="J27" s="35">
        <f t="shared" si="1"/>
        <v>40</v>
      </c>
      <c r="K27" s="36">
        <f>IF($C27="","",Config!$C$16)</f>
        <v>40</v>
      </c>
      <c r="L27" s="36">
        <f t="shared" si="2"/>
        <v>0</v>
      </c>
      <c r="M27" s="33">
        <f t="shared" si="3"/>
        <v>5</v>
      </c>
      <c r="N27" s="33">
        <f>IF($C27="","",COUNTIFS(Detail!$C$4:$C$303,$C27,Detail!$N$4:$N$303,0))</f>
        <v>5</v>
      </c>
      <c r="O27" s="33">
        <f>IF($C27="","",COUNTIFS(Detail!$C$4:$C$303,$C27,Detail!$N$4:$N$303,"&gt;0"))</f>
        <v>0</v>
      </c>
      <c r="P27" s="37" t="str">
        <f t="shared" si="4"/>
        <v>✅ PERFECT WEEK</v>
      </c>
      <c r="Q27" s="28">
        <f t="shared" si="5"/>
        <v>0</v>
      </c>
      <c r="R27" s="38" t="str">
        <f>IF($C27="","",IF($O27=0,"All 5 days closed at target. Nothing to fix.",TRIM(IF(E27="",LEFT(INDEX(Config!$F$7:$F$11,1),3)&amp;": no entry in BTabs.  ",IF(ABS(E27-$T$2)&gt;$T$3,LEFT(INDEX(Config!$F$7:$F$11,1),3)&amp;": "&amp;TEXT(E27,"0.##")&amp;" h instead of "&amp;TEXT($T$2,"0")&amp;" h.  ",""))&amp;IF(F27="",LEFT(INDEX(Config!$F$7:$F$11,2),3)&amp;": no entry in BTabs.  ",IF(ABS(F27-$T$2)&gt;$T$3,LEFT(INDEX(Config!$F$7:$F$11,2),3)&amp;": "&amp;TEXT(F27,"0.##")&amp;" h instead of "&amp;TEXT($T$2,"0")&amp;" h.  ",""))&amp;IF(G27="",LEFT(INDEX(Config!$F$7:$F$11,3),3)&amp;": no entry in BTabs.  ",IF(ABS(G27-$T$2)&gt;$T$3,LEFT(INDEX(Config!$F$7:$F$11,3),3)&amp;": "&amp;TEXT(G27,"0.##")&amp;" h instead of "&amp;TEXT($T$2,"0")&amp;" h.  ",""))&amp;IF(H27="",LEFT(INDEX(Config!$F$7:$F$11,4),3)&amp;": no entry in BTabs.  ",IF(ABS(H27-$T$2)&gt;$T$3,LEFT(INDEX(Config!$F$7:$F$11,4),3)&amp;": "&amp;TEXT(H27,"0.##")&amp;" h instead of "&amp;TEXT($T$2,"0")&amp;" h.  ",""))&amp;IF(I27="",LEFT(INDEX(Config!$F$7:$F$11,5),3)&amp;": no entry in BTabs.  ",IF(ABS(I27-$T$2)&gt;$T$3,LEFT(INDEX(Config!$F$7:$F$11,5),3)&amp;": "&amp;TEXT(I27,"0.##")&amp;" h instead of "&amp;TEXT($T$2,"0")&amp;" h.  ","")))))</f>
        <v>All 5 days closed at target. Nothing to fix.</v>
      </c>
    </row>
    <row r="28" spans="2:18" x14ac:dyDescent="0.25">
      <c r="B28" s="28">
        <f t="shared" si="0"/>
        <v>19</v>
      </c>
      <c r="C28" s="4" t="str">
        <f>IF(ROW()-9&gt;Config!$C$14,"",INDEX(BPOworkers!$B$6:$B$105,ROW()-9))</f>
        <v>J Abay</v>
      </c>
      <c r="D28" s="4" t="str">
        <f>IF($C28="","",IFERROR(INDEX(BPOworkers!$E$6:$E$105,MATCH($C28,BPOworkers!$B$6:$B$105,0)),""))</f>
        <v>S Romero</v>
      </c>
      <c r="E28" s="29">
        <f>IF($C28="","",IF(INDEX(Detail!$G$4:$G$303,(ROW()-10)*5+1)=0,"",INDEX(Detail!$J$4:$J$303,(ROW()-10)*5+1)))</f>
        <v>8</v>
      </c>
      <c r="F28" s="29">
        <f>IF($C28="","",IF(INDEX(Detail!$G$4:$G$303,(ROW()-10)*5+2)=0,"",INDEX(Detail!$J$4:$J$303,(ROW()-10)*5+2)))</f>
        <v>8</v>
      </c>
      <c r="G28" s="29">
        <f>IF($C28="","",IF(INDEX(Detail!$G$4:$G$303,(ROW()-10)*5+3)=0,"",INDEX(Detail!$J$4:$J$303,(ROW()-10)*5+3)))</f>
        <v>8</v>
      </c>
      <c r="H28" s="29">
        <f>IF($C28="","",IF(INDEX(Detail!$G$4:$G$303,(ROW()-10)*5+4)=0,"",INDEX(Detail!$J$4:$J$303,(ROW()-10)*5+4)))</f>
        <v>8</v>
      </c>
      <c r="I28" s="29">
        <f>IF($C28="","",IF(INDEX(Detail!$G$4:$G$303,(ROW()-10)*5+5)=0,"",INDEX(Detail!$J$4:$J$303,(ROW()-10)*5+5)))</f>
        <v>8</v>
      </c>
      <c r="J28" s="30">
        <f t="shared" si="1"/>
        <v>40</v>
      </c>
      <c r="K28" s="29">
        <f>IF($C28="","",Config!$C$16)</f>
        <v>40</v>
      </c>
      <c r="L28" s="29">
        <f t="shared" si="2"/>
        <v>0</v>
      </c>
      <c r="M28" s="28">
        <f t="shared" si="3"/>
        <v>5</v>
      </c>
      <c r="N28" s="28">
        <f>IF($C28="","",COUNTIFS(Detail!$C$4:$C$303,$C28,Detail!$N$4:$N$303,0))</f>
        <v>5</v>
      </c>
      <c r="O28" s="28">
        <f>IF($C28="","",COUNTIFS(Detail!$C$4:$C$303,$C28,Detail!$N$4:$N$303,"&gt;0"))</f>
        <v>0</v>
      </c>
      <c r="P28" s="31" t="str">
        <f t="shared" si="4"/>
        <v>✅ PERFECT WEEK</v>
      </c>
      <c r="Q28" s="28">
        <f t="shared" si="5"/>
        <v>0</v>
      </c>
      <c r="R28" s="32" t="str">
        <f>IF($C28="","",IF($O28=0,"All 5 days closed at target. Nothing to fix.",TRIM(IF(E28="",LEFT(INDEX(Config!$F$7:$F$11,1),3)&amp;": no entry in BTabs.  ",IF(ABS(E28-$T$2)&gt;$T$3,LEFT(INDEX(Config!$F$7:$F$11,1),3)&amp;": "&amp;TEXT(E28,"0.##")&amp;" h instead of "&amp;TEXT($T$2,"0")&amp;" h.  ",""))&amp;IF(F28="",LEFT(INDEX(Config!$F$7:$F$11,2),3)&amp;": no entry in BTabs.  ",IF(ABS(F28-$T$2)&gt;$T$3,LEFT(INDEX(Config!$F$7:$F$11,2),3)&amp;": "&amp;TEXT(F28,"0.##")&amp;" h instead of "&amp;TEXT($T$2,"0")&amp;" h.  ",""))&amp;IF(G28="",LEFT(INDEX(Config!$F$7:$F$11,3),3)&amp;": no entry in BTabs.  ",IF(ABS(G28-$T$2)&gt;$T$3,LEFT(INDEX(Config!$F$7:$F$11,3),3)&amp;": "&amp;TEXT(G28,"0.##")&amp;" h instead of "&amp;TEXT($T$2,"0")&amp;" h.  ",""))&amp;IF(H28="",LEFT(INDEX(Config!$F$7:$F$11,4),3)&amp;": no entry in BTabs.  ",IF(ABS(H28-$T$2)&gt;$T$3,LEFT(INDEX(Config!$F$7:$F$11,4),3)&amp;": "&amp;TEXT(H28,"0.##")&amp;" h instead of "&amp;TEXT($T$2,"0")&amp;" h.  ",""))&amp;IF(I28="",LEFT(INDEX(Config!$F$7:$F$11,5),3)&amp;": no entry in BTabs.  ",IF(ABS(I28-$T$2)&gt;$T$3,LEFT(INDEX(Config!$F$7:$F$11,5),3)&amp;": "&amp;TEXT(I28,"0.##")&amp;" h instead of "&amp;TEXT($T$2,"0")&amp;" h.  ","")))))</f>
        <v>All 5 days closed at target. Nothing to fix.</v>
      </c>
    </row>
    <row r="29" spans="2:18" x14ac:dyDescent="0.25">
      <c r="B29" s="33">
        <f t="shared" si="0"/>
        <v>20</v>
      </c>
      <c r="C29" s="34" t="str">
        <f>IF(ROW()-9&gt;Config!$C$14,"",INDEX(BPOworkers!$B$6:$B$105,ROW()-9))</f>
        <v>J Reyes</v>
      </c>
      <c r="D29" s="34" t="str">
        <f>IF($C29="","",IFERROR(INDEX(BPOworkers!$E$6:$E$105,MATCH($C29,BPOworkers!$B$6:$B$105,0)),""))</f>
        <v>M Leon</v>
      </c>
      <c r="E29" s="29">
        <f>IF($C29="","",IF(INDEX(Detail!$G$4:$G$303,(ROW()-10)*5+1)=0,"",INDEX(Detail!$J$4:$J$303,(ROW()-10)*5+1)))</f>
        <v>8</v>
      </c>
      <c r="F29" s="29">
        <f>IF($C29="","",IF(INDEX(Detail!$G$4:$G$303,(ROW()-10)*5+2)=0,"",INDEX(Detail!$J$4:$J$303,(ROW()-10)*5+2)))</f>
        <v>8</v>
      </c>
      <c r="G29" s="29">
        <f>IF($C29="","",IF(INDEX(Detail!$G$4:$G$303,(ROW()-10)*5+3)=0,"",INDEX(Detail!$J$4:$J$303,(ROW()-10)*5+3)))</f>
        <v>8</v>
      </c>
      <c r="H29" s="29">
        <f>IF($C29="","",IF(INDEX(Detail!$G$4:$G$303,(ROW()-10)*5+4)=0,"",INDEX(Detail!$J$4:$J$303,(ROW()-10)*5+4)))</f>
        <v>8</v>
      </c>
      <c r="I29" s="29">
        <f>IF($C29="","",IF(INDEX(Detail!$G$4:$G$303,(ROW()-10)*5+5)=0,"",INDEX(Detail!$J$4:$J$303,(ROW()-10)*5+5)))</f>
        <v>8</v>
      </c>
      <c r="J29" s="35">
        <f t="shared" si="1"/>
        <v>40</v>
      </c>
      <c r="K29" s="36">
        <f>IF($C29="","",Config!$C$16)</f>
        <v>40</v>
      </c>
      <c r="L29" s="36">
        <f t="shared" si="2"/>
        <v>0</v>
      </c>
      <c r="M29" s="33">
        <f t="shared" si="3"/>
        <v>5</v>
      </c>
      <c r="N29" s="33">
        <f>IF($C29="","",COUNTIFS(Detail!$C$4:$C$303,$C29,Detail!$N$4:$N$303,0))</f>
        <v>5</v>
      </c>
      <c r="O29" s="33">
        <f>IF($C29="","",COUNTIFS(Detail!$C$4:$C$303,$C29,Detail!$N$4:$N$303,"&gt;0"))</f>
        <v>0</v>
      </c>
      <c r="P29" s="37" t="str">
        <f t="shared" si="4"/>
        <v>✅ PERFECT WEEK</v>
      </c>
      <c r="Q29" s="28">
        <f t="shared" si="5"/>
        <v>0</v>
      </c>
      <c r="R29" s="38" t="str">
        <f>IF($C29="","",IF($O29=0,"All 5 days closed at target. Nothing to fix.",TRIM(IF(E29="",LEFT(INDEX(Config!$F$7:$F$11,1),3)&amp;": no entry in BTabs.  ",IF(ABS(E29-$T$2)&gt;$T$3,LEFT(INDEX(Config!$F$7:$F$11,1),3)&amp;": "&amp;TEXT(E29,"0.##")&amp;" h instead of "&amp;TEXT($T$2,"0")&amp;" h.  ",""))&amp;IF(F29="",LEFT(INDEX(Config!$F$7:$F$11,2),3)&amp;": no entry in BTabs.  ",IF(ABS(F29-$T$2)&gt;$T$3,LEFT(INDEX(Config!$F$7:$F$11,2),3)&amp;": "&amp;TEXT(F29,"0.##")&amp;" h instead of "&amp;TEXT($T$2,"0")&amp;" h.  ",""))&amp;IF(G29="",LEFT(INDEX(Config!$F$7:$F$11,3),3)&amp;": no entry in BTabs.  ",IF(ABS(G29-$T$2)&gt;$T$3,LEFT(INDEX(Config!$F$7:$F$11,3),3)&amp;": "&amp;TEXT(G29,"0.##")&amp;" h instead of "&amp;TEXT($T$2,"0")&amp;" h.  ",""))&amp;IF(H29="",LEFT(INDEX(Config!$F$7:$F$11,4),3)&amp;": no entry in BTabs.  ",IF(ABS(H29-$T$2)&gt;$T$3,LEFT(INDEX(Config!$F$7:$F$11,4),3)&amp;": "&amp;TEXT(H29,"0.##")&amp;" h instead of "&amp;TEXT($T$2,"0")&amp;" h.  ",""))&amp;IF(I29="",LEFT(INDEX(Config!$F$7:$F$11,5),3)&amp;": no entry in BTabs.  ",IF(ABS(I29-$T$2)&gt;$T$3,LEFT(INDEX(Config!$F$7:$F$11,5),3)&amp;": "&amp;TEXT(I29,"0.##")&amp;" h instead of "&amp;TEXT($T$2,"0")&amp;" h.  ","")))))</f>
        <v>All 5 days closed at target. Nothing to fix.</v>
      </c>
    </row>
    <row r="30" spans="2:18" x14ac:dyDescent="0.25">
      <c r="B30" s="28">
        <f t="shared" si="0"/>
        <v>21</v>
      </c>
      <c r="C30" s="4" t="str">
        <f>IF(ROW()-9&gt;Config!$C$14,"",INDEX(BPOworkers!$B$6:$B$105,ROW()-9))</f>
        <v>J S Bermudez</v>
      </c>
      <c r="D30" s="4" t="str">
        <f>IF($C30="","",IFERROR(INDEX(BPOworkers!$E$6:$E$105,MATCH($C30,BPOworkers!$B$6:$B$105,0)),""))</f>
        <v>BPO Management</v>
      </c>
      <c r="E30" s="29">
        <f>IF($C30="","",IF(INDEX(Detail!$G$4:$G$303,(ROW()-10)*5+1)=0,"",INDEX(Detail!$J$4:$J$303,(ROW()-10)*5+1)))</f>
        <v>8</v>
      </c>
      <c r="F30" s="29">
        <f>IF($C30="","",IF(INDEX(Detail!$G$4:$G$303,(ROW()-10)*5+2)=0,"",INDEX(Detail!$J$4:$J$303,(ROW()-10)*5+2)))</f>
        <v>8</v>
      </c>
      <c r="G30" s="29">
        <f>IF($C30="","",IF(INDEX(Detail!$G$4:$G$303,(ROW()-10)*5+3)=0,"",INDEX(Detail!$J$4:$J$303,(ROW()-10)*5+3)))</f>
        <v>8</v>
      </c>
      <c r="H30" s="29">
        <f>IF($C30="","",IF(INDEX(Detail!$G$4:$G$303,(ROW()-10)*5+4)=0,"",INDEX(Detail!$J$4:$J$303,(ROW()-10)*5+4)))</f>
        <v>8</v>
      </c>
      <c r="I30" s="29">
        <f>IF($C30="","",IF(INDEX(Detail!$G$4:$G$303,(ROW()-10)*5+5)=0,"",INDEX(Detail!$J$4:$J$303,(ROW()-10)*5+5)))</f>
        <v>8</v>
      </c>
      <c r="J30" s="30">
        <f t="shared" si="1"/>
        <v>40</v>
      </c>
      <c r="K30" s="29">
        <f>IF($C30="","",Config!$C$16)</f>
        <v>40</v>
      </c>
      <c r="L30" s="29">
        <f t="shared" si="2"/>
        <v>0</v>
      </c>
      <c r="M30" s="28">
        <f t="shared" si="3"/>
        <v>5</v>
      </c>
      <c r="N30" s="28">
        <f>IF($C30="","",COUNTIFS(Detail!$C$4:$C$303,$C30,Detail!$N$4:$N$303,0))</f>
        <v>5</v>
      </c>
      <c r="O30" s="28">
        <f>IF($C30="","",COUNTIFS(Detail!$C$4:$C$303,$C30,Detail!$N$4:$N$303,"&gt;0"))</f>
        <v>0</v>
      </c>
      <c r="P30" s="31" t="str">
        <f t="shared" si="4"/>
        <v>✅ PERFECT WEEK</v>
      </c>
      <c r="Q30" s="28">
        <f t="shared" si="5"/>
        <v>0</v>
      </c>
      <c r="R30" s="32" t="str">
        <f>IF($C30="","",IF($O30=0,"All 5 days closed at target. Nothing to fix.",TRIM(IF(E30="",LEFT(INDEX(Config!$F$7:$F$11,1),3)&amp;": no entry in BTabs.  ",IF(ABS(E30-$T$2)&gt;$T$3,LEFT(INDEX(Config!$F$7:$F$11,1),3)&amp;": "&amp;TEXT(E30,"0.##")&amp;" h instead of "&amp;TEXT($T$2,"0")&amp;" h.  ",""))&amp;IF(F30="",LEFT(INDEX(Config!$F$7:$F$11,2),3)&amp;": no entry in BTabs.  ",IF(ABS(F30-$T$2)&gt;$T$3,LEFT(INDEX(Config!$F$7:$F$11,2),3)&amp;": "&amp;TEXT(F30,"0.##")&amp;" h instead of "&amp;TEXT($T$2,"0")&amp;" h.  ",""))&amp;IF(G30="",LEFT(INDEX(Config!$F$7:$F$11,3),3)&amp;": no entry in BTabs.  ",IF(ABS(G30-$T$2)&gt;$T$3,LEFT(INDEX(Config!$F$7:$F$11,3),3)&amp;": "&amp;TEXT(G30,"0.##")&amp;" h instead of "&amp;TEXT($T$2,"0")&amp;" h.  ",""))&amp;IF(H30="",LEFT(INDEX(Config!$F$7:$F$11,4),3)&amp;": no entry in BTabs.  ",IF(ABS(H30-$T$2)&gt;$T$3,LEFT(INDEX(Config!$F$7:$F$11,4),3)&amp;": "&amp;TEXT(H30,"0.##")&amp;" h instead of "&amp;TEXT($T$2,"0")&amp;" h.  ",""))&amp;IF(I30="",LEFT(INDEX(Config!$F$7:$F$11,5),3)&amp;": no entry in BTabs.  ",IF(ABS(I30-$T$2)&gt;$T$3,LEFT(INDEX(Config!$F$7:$F$11,5),3)&amp;": "&amp;TEXT(I30,"0.##")&amp;" h instead of "&amp;TEXT($T$2,"0")&amp;" h.  ","")))))</f>
        <v>All 5 days closed at target. Nothing to fix.</v>
      </c>
    </row>
    <row r="31" spans="2:18" x14ac:dyDescent="0.25">
      <c r="B31" s="33">
        <f t="shared" si="0"/>
        <v>22</v>
      </c>
      <c r="C31" s="34" t="str">
        <f>IF(ROW()-9&gt;Config!$C$14,"",INDEX(BPOworkers!$B$6:$B$105,ROW()-9))</f>
        <v>L Alfonso</v>
      </c>
      <c r="D31" s="34" t="str">
        <f>IF($C31="","",IFERROR(INDEX(BPOworkers!$E$6:$E$105,MATCH($C31,BPOworkers!$B$6:$B$105,0)),""))</f>
        <v>R Sanchez</v>
      </c>
      <c r="E31" s="29">
        <f>IF($C31="","",IF(INDEX(Detail!$G$4:$G$303,(ROW()-10)*5+1)=0,"",INDEX(Detail!$J$4:$J$303,(ROW()-10)*5+1)))</f>
        <v>8</v>
      </c>
      <c r="F31" s="29">
        <f>IF($C31="","",IF(INDEX(Detail!$G$4:$G$303,(ROW()-10)*5+2)=0,"",INDEX(Detail!$J$4:$J$303,(ROW()-10)*5+2)))</f>
        <v>8</v>
      </c>
      <c r="G31" s="29">
        <f>IF($C31="","",IF(INDEX(Detail!$G$4:$G$303,(ROW()-10)*5+3)=0,"",INDEX(Detail!$J$4:$J$303,(ROW()-10)*5+3)))</f>
        <v>8</v>
      </c>
      <c r="H31" s="29">
        <f>IF($C31="","",IF(INDEX(Detail!$G$4:$G$303,(ROW()-10)*5+4)=0,"",INDEX(Detail!$J$4:$J$303,(ROW()-10)*5+4)))</f>
        <v>8</v>
      </c>
      <c r="I31" s="29">
        <f>IF($C31="","",IF(INDEX(Detail!$G$4:$G$303,(ROW()-10)*5+5)=0,"",INDEX(Detail!$J$4:$J$303,(ROW()-10)*5+5)))</f>
        <v>8</v>
      </c>
      <c r="J31" s="35">
        <f t="shared" si="1"/>
        <v>40</v>
      </c>
      <c r="K31" s="36">
        <f>IF($C31="","",Config!$C$16)</f>
        <v>40</v>
      </c>
      <c r="L31" s="36">
        <f t="shared" si="2"/>
        <v>0</v>
      </c>
      <c r="M31" s="33">
        <f t="shared" si="3"/>
        <v>5</v>
      </c>
      <c r="N31" s="33">
        <f>IF($C31="","",COUNTIFS(Detail!$C$4:$C$303,$C31,Detail!$N$4:$N$303,0))</f>
        <v>5</v>
      </c>
      <c r="O31" s="33">
        <f>IF($C31="","",COUNTIFS(Detail!$C$4:$C$303,$C31,Detail!$N$4:$N$303,"&gt;0"))</f>
        <v>0</v>
      </c>
      <c r="P31" s="37" t="str">
        <f t="shared" si="4"/>
        <v>✅ PERFECT WEEK</v>
      </c>
      <c r="Q31" s="28">
        <f t="shared" si="5"/>
        <v>0</v>
      </c>
      <c r="R31" s="38" t="str">
        <f>IF($C31="","",IF($O31=0,"All 5 days closed at target. Nothing to fix.",TRIM(IF(E31="",LEFT(INDEX(Config!$F$7:$F$11,1),3)&amp;": no entry in BTabs.  ",IF(ABS(E31-$T$2)&gt;$T$3,LEFT(INDEX(Config!$F$7:$F$11,1),3)&amp;": "&amp;TEXT(E31,"0.##")&amp;" h instead of "&amp;TEXT($T$2,"0")&amp;" h.  ",""))&amp;IF(F31="",LEFT(INDEX(Config!$F$7:$F$11,2),3)&amp;": no entry in BTabs.  ",IF(ABS(F31-$T$2)&gt;$T$3,LEFT(INDEX(Config!$F$7:$F$11,2),3)&amp;": "&amp;TEXT(F31,"0.##")&amp;" h instead of "&amp;TEXT($T$2,"0")&amp;" h.  ",""))&amp;IF(G31="",LEFT(INDEX(Config!$F$7:$F$11,3),3)&amp;": no entry in BTabs.  ",IF(ABS(G31-$T$2)&gt;$T$3,LEFT(INDEX(Config!$F$7:$F$11,3),3)&amp;": "&amp;TEXT(G31,"0.##")&amp;" h instead of "&amp;TEXT($T$2,"0")&amp;" h.  ",""))&amp;IF(H31="",LEFT(INDEX(Config!$F$7:$F$11,4),3)&amp;": no entry in BTabs.  ",IF(ABS(H31-$T$2)&gt;$T$3,LEFT(INDEX(Config!$F$7:$F$11,4),3)&amp;": "&amp;TEXT(H31,"0.##")&amp;" h instead of "&amp;TEXT($T$2,"0")&amp;" h.  ",""))&amp;IF(I31="",LEFT(INDEX(Config!$F$7:$F$11,5),3)&amp;": no entry in BTabs.  ",IF(ABS(I31-$T$2)&gt;$T$3,LEFT(INDEX(Config!$F$7:$F$11,5),3)&amp;": "&amp;TEXT(I31,"0.##")&amp;" h instead of "&amp;TEXT($T$2,"0")&amp;" h.  ","")))))</f>
        <v>All 5 days closed at target. Nothing to fix.</v>
      </c>
    </row>
    <row r="32" spans="2:18" x14ac:dyDescent="0.25">
      <c r="B32" s="28">
        <f t="shared" si="0"/>
        <v>23</v>
      </c>
      <c r="C32" s="4" t="str">
        <f>IF(ROW()-9&gt;Config!$C$14,"",INDEX(BPOworkers!$B$6:$B$105,ROW()-9))</f>
        <v>L Escobar</v>
      </c>
      <c r="D32" s="4" t="str">
        <f>IF($C32="","",IFERROR(INDEX(BPOworkers!$E$6:$E$105,MATCH($C32,BPOworkers!$B$6:$B$105,0)),""))</f>
        <v>J S Bermudez</v>
      </c>
      <c r="E32" s="29">
        <f>IF($C32="","",IF(INDEX(Detail!$G$4:$G$303,(ROW()-10)*5+1)=0,"",INDEX(Detail!$J$4:$J$303,(ROW()-10)*5+1)))</f>
        <v>8</v>
      </c>
      <c r="F32" s="29">
        <f>IF($C32="","",IF(INDEX(Detail!$G$4:$G$303,(ROW()-10)*5+2)=0,"",INDEX(Detail!$J$4:$J$303,(ROW()-10)*5+2)))</f>
        <v>8</v>
      </c>
      <c r="G32" s="29">
        <f>IF($C32="","",IF(INDEX(Detail!$G$4:$G$303,(ROW()-10)*5+3)=0,"",INDEX(Detail!$J$4:$J$303,(ROW()-10)*5+3)))</f>
        <v>8</v>
      </c>
      <c r="H32" s="29">
        <f>IF($C32="","",IF(INDEX(Detail!$G$4:$G$303,(ROW()-10)*5+4)=0,"",INDEX(Detail!$J$4:$J$303,(ROW()-10)*5+4)))</f>
        <v>8</v>
      </c>
      <c r="I32" s="29">
        <f>IF($C32="","",IF(INDEX(Detail!$G$4:$G$303,(ROW()-10)*5+5)=0,"",INDEX(Detail!$J$4:$J$303,(ROW()-10)*5+5)))</f>
        <v>8</v>
      </c>
      <c r="J32" s="30">
        <f t="shared" si="1"/>
        <v>40</v>
      </c>
      <c r="K32" s="29">
        <f>IF($C32="","",Config!$C$16)</f>
        <v>40</v>
      </c>
      <c r="L32" s="29">
        <f t="shared" si="2"/>
        <v>0</v>
      </c>
      <c r="M32" s="28">
        <f t="shared" si="3"/>
        <v>5</v>
      </c>
      <c r="N32" s="28">
        <f>IF($C32="","",COUNTIFS(Detail!$C$4:$C$303,$C32,Detail!$N$4:$N$303,0))</f>
        <v>5</v>
      </c>
      <c r="O32" s="28">
        <f>IF($C32="","",COUNTIFS(Detail!$C$4:$C$303,$C32,Detail!$N$4:$N$303,"&gt;0"))</f>
        <v>0</v>
      </c>
      <c r="P32" s="31" t="str">
        <f t="shared" si="4"/>
        <v>✅ PERFECT WEEK</v>
      </c>
      <c r="Q32" s="28">
        <f t="shared" si="5"/>
        <v>0</v>
      </c>
      <c r="R32" s="32" t="str">
        <f>IF($C32="","",IF($O32=0,"All 5 days closed at target. Nothing to fix.",TRIM(IF(E32="",LEFT(INDEX(Config!$F$7:$F$11,1),3)&amp;": no entry in BTabs.  ",IF(ABS(E32-$T$2)&gt;$T$3,LEFT(INDEX(Config!$F$7:$F$11,1),3)&amp;": "&amp;TEXT(E32,"0.##")&amp;" h instead of "&amp;TEXT($T$2,"0")&amp;" h.  ",""))&amp;IF(F32="",LEFT(INDEX(Config!$F$7:$F$11,2),3)&amp;": no entry in BTabs.  ",IF(ABS(F32-$T$2)&gt;$T$3,LEFT(INDEX(Config!$F$7:$F$11,2),3)&amp;": "&amp;TEXT(F32,"0.##")&amp;" h instead of "&amp;TEXT($T$2,"0")&amp;" h.  ",""))&amp;IF(G32="",LEFT(INDEX(Config!$F$7:$F$11,3),3)&amp;": no entry in BTabs.  ",IF(ABS(G32-$T$2)&gt;$T$3,LEFT(INDEX(Config!$F$7:$F$11,3),3)&amp;": "&amp;TEXT(G32,"0.##")&amp;" h instead of "&amp;TEXT($T$2,"0")&amp;" h.  ",""))&amp;IF(H32="",LEFT(INDEX(Config!$F$7:$F$11,4),3)&amp;": no entry in BTabs.  ",IF(ABS(H32-$T$2)&gt;$T$3,LEFT(INDEX(Config!$F$7:$F$11,4),3)&amp;": "&amp;TEXT(H32,"0.##")&amp;" h instead of "&amp;TEXT($T$2,"0")&amp;" h.  ",""))&amp;IF(I32="",LEFT(INDEX(Config!$F$7:$F$11,5),3)&amp;": no entry in BTabs.  ",IF(ABS(I32-$T$2)&gt;$T$3,LEFT(INDEX(Config!$F$7:$F$11,5),3)&amp;": "&amp;TEXT(I32,"0.##")&amp;" h instead of "&amp;TEXT($T$2,"0")&amp;" h.  ","")))))</f>
        <v>All 5 days closed at target. Nothing to fix.</v>
      </c>
    </row>
    <row r="33" spans="2:18" x14ac:dyDescent="0.25">
      <c r="B33" s="33">
        <f t="shared" si="0"/>
        <v>24</v>
      </c>
      <c r="C33" s="34" t="str">
        <f>IF(ROW()-9&gt;Config!$C$14,"",INDEX(BPOworkers!$B$6:$B$105,ROW()-9))</f>
        <v>M Lopez</v>
      </c>
      <c r="D33" s="34" t="str">
        <f>IF($C33="","",IFERROR(INDEX(BPOworkers!$E$6:$E$105,MATCH($C33,BPOworkers!$B$6:$B$105,0)),""))</f>
        <v>H Daza</v>
      </c>
      <c r="E33" s="29">
        <f>IF($C33="","",IF(INDEX(Detail!$G$4:$G$303,(ROW()-10)*5+1)=0,"",INDEX(Detail!$J$4:$J$303,(ROW()-10)*5+1)))</f>
        <v>8</v>
      </c>
      <c r="F33" s="29">
        <f>IF($C33="","",IF(INDEX(Detail!$G$4:$G$303,(ROW()-10)*5+2)=0,"",INDEX(Detail!$J$4:$J$303,(ROW()-10)*5+2)))</f>
        <v>8</v>
      </c>
      <c r="G33" s="29">
        <f>IF($C33="","",IF(INDEX(Detail!$G$4:$G$303,(ROW()-10)*5+3)=0,"",INDEX(Detail!$J$4:$J$303,(ROW()-10)*5+3)))</f>
        <v>8</v>
      </c>
      <c r="H33" s="29">
        <f>IF($C33="","",IF(INDEX(Detail!$G$4:$G$303,(ROW()-10)*5+4)=0,"",INDEX(Detail!$J$4:$J$303,(ROW()-10)*5+4)))</f>
        <v>8</v>
      </c>
      <c r="I33" s="29">
        <f>IF($C33="","",IF(INDEX(Detail!$G$4:$G$303,(ROW()-10)*5+5)=0,"",INDEX(Detail!$J$4:$J$303,(ROW()-10)*5+5)))</f>
        <v>8</v>
      </c>
      <c r="J33" s="35">
        <f t="shared" si="1"/>
        <v>40</v>
      </c>
      <c r="K33" s="36">
        <f>IF($C33="","",Config!$C$16)</f>
        <v>40</v>
      </c>
      <c r="L33" s="36">
        <f t="shared" si="2"/>
        <v>0</v>
      </c>
      <c r="M33" s="33">
        <f t="shared" si="3"/>
        <v>5</v>
      </c>
      <c r="N33" s="33">
        <f>IF($C33="","",COUNTIFS(Detail!$C$4:$C$303,$C33,Detail!$N$4:$N$303,0))</f>
        <v>5</v>
      </c>
      <c r="O33" s="33">
        <f>IF($C33="","",COUNTIFS(Detail!$C$4:$C$303,$C33,Detail!$N$4:$N$303,"&gt;0"))</f>
        <v>0</v>
      </c>
      <c r="P33" s="37" t="str">
        <f t="shared" si="4"/>
        <v>✅ PERFECT WEEK</v>
      </c>
      <c r="Q33" s="28">
        <f t="shared" si="5"/>
        <v>0</v>
      </c>
      <c r="R33" s="38" t="str">
        <f>IF($C33="","",IF($O33=0,"All 5 days closed at target. Nothing to fix.",TRIM(IF(E33="",LEFT(INDEX(Config!$F$7:$F$11,1),3)&amp;": no entry in BTabs.  ",IF(ABS(E33-$T$2)&gt;$T$3,LEFT(INDEX(Config!$F$7:$F$11,1),3)&amp;": "&amp;TEXT(E33,"0.##")&amp;" h instead of "&amp;TEXT($T$2,"0")&amp;" h.  ",""))&amp;IF(F33="",LEFT(INDEX(Config!$F$7:$F$11,2),3)&amp;": no entry in BTabs.  ",IF(ABS(F33-$T$2)&gt;$T$3,LEFT(INDEX(Config!$F$7:$F$11,2),3)&amp;": "&amp;TEXT(F33,"0.##")&amp;" h instead of "&amp;TEXT($T$2,"0")&amp;" h.  ",""))&amp;IF(G33="",LEFT(INDEX(Config!$F$7:$F$11,3),3)&amp;": no entry in BTabs.  ",IF(ABS(G33-$T$2)&gt;$T$3,LEFT(INDEX(Config!$F$7:$F$11,3),3)&amp;": "&amp;TEXT(G33,"0.##")&amp;" h instead of "&amp;TEXT($T$2,"0")&amp;" h.  ",""))&amp;IF(H33="",LEFT(INDEX(Config!$F$7:$F$11,4),3)&amp;": no entry in BTabs.  ",IF(ABS(H33-$T$2)&gt;$T$3,LEFT(INDEX(Config!$F$7:$F$11,4),3)&amp;": "&amp;TEXT(H33,"0.##")&amp;" h instead of "&amp;TEXT($T$2,"0")&amp;" h.  ",""))&amp;IF(I33="",LEFT(INDEX(Config!$F$7:$F$11,5),3)&amp;": no entry in BTabs.  ",IF(ABS(I33-$T$2)&gt;$T$3,LEFT(INDEX(Config!$F$7:$F$11,5),3)&amp;": "&amp;TEXT(I33,"0.##")&amp;" h instead of "&amp;TEXT($T$2,"0")&amp;" h.  ","")))))</f>
        <v>All 5 days closed at target. Nothing to fix.</v>
      </c>
    </row>
    <row r="34" spans="2:18" x14ac:dyDescent="0.25">
      <c r="B34" s="28">
        <f t="shared" si="0"/>
        <v>25</v>
      </c>
      <c r="C34" s="4" t="str">
        <f>IF(ROW()-9&gt;Config!$C$14,"",INDEX(BPOworkers!$B$6:$B$105,ROW()-9))</f>
        <v>M Verdooren</v>
      </c>
      <c r="D34" s="4" t="str">
        <f>IF($C34="","",IFERROR(INDEX(BPOworkers!$E$6:$E$105,MATCH($C34,BPOworkers!$B$6:$B$105,0)),""))</f>
        <v>R Sanchez</v>
      </c>
      <c r="E34" s="29">
        <f>IF($C34="","",IF(INDEX(Detail!$G$4:$G$303,(ROW()-10)*5+1)=0,"",INDEX(Detail!$J$4:$J$303,(ROW()-10)*5+1)))</f>
        <v>8</v>
      </c>
      <c r="F34" s="29">
        <f>IF($C34="","",IF(INDEX(Detail!$G$4:$G$303,(ROW()-10)*5+2)=0,"",INDEX(Detail!$J$4:$J$303,(ROW()-10)*5+2)))</f>
        <v>8</v>
      </c>
      <c r="G34" s="29">
        <f>IF($C34="","",IF(INDEX(Detail!$G$4:$G$303,(ROW()-10)*5+3)=0,"",INDEX(Detail!$J$4:$J$303,(ROW()-10)*5+3)))</f>
        <v>8</v>
      </c>
      <c r="H34" s="29">
        <f>IF($C34="","",IF(INDEX(Detail!$G$4:$G$303,(ROW()-10)*5+4)=0,"",INDEX(Detail!$J$4:$J$303,(ROW()-10)*5+4)))</f>
        <v>8</v>
      </c>
      <c r="I34" s="29">
        <f>IF($C34="","",IF(INDEX(Detail!$G$4:$G$303,(ROW()-10)*5+5)=0,"",INDEX(Detail!$J$4:$J$303,(ROW()-10)*5+5)))</f>
        <v>8</v>
      </c>
      <c r="J34" s="30">
        <f t="shared" si="1"/>
        <v>40</v>
      </c>
      <c r="K34" s="29">
        <f>IF($C34="","",Config!$C$16)</f>
        <v>40</v>
      </c>
      <c r="L34" s="29">
        <f t="shared" si="2"/>
        <v>0</v>
      </c>
      <c r="M34" s="28">
        <f t="shared" si="3"/>
        <v>5</v>
      </c>
      <c r="N34" s="28">
        <f>IF($C34="","",COUNTIFS(Detail!$C$4:$C$303,$C34,Detail!$N$4:$N$303,0))</f>
        <v>5</v>
      </c>
      <c r="O34" s="28">
        <f>IF($C34="","",COUNTIFS(Detail!$C$4:$C$303,$C34,Detail!$N$4:$N$303,"&gt;0"))</f>
        <v>0</v>
      </c>
      <c r="P34" s="31" t="str">
        <f t="shared" si="4"/>
        <v>✅ PERFECT WEEK</v>
      </c>
      <c r="Q34" s="28">
        <f t="shared" si="5"/>
        <v>0</v>
      </c>
      <c r="R34" s="32" t="str">
        <f>IF($C34="","",IF($O34=0,"All 5 days closed at target. Nothing to fix.",TRIM(IF(E34="",LEFT(INDEX(Config!$F$7:$F$11,1),3)&amp;": no entry in BTabs.  ",IF(ABS(E34-$T$2)&gt;$T$3,LEFT(INDEX(Config!$F$7:$F$11,1),3)&amp;": "&amp;TEXT(E34,"0.##")&amp;" h instead of "&amp;TEXT($T$2,"0")&amp;" h.  ",""))&amp;IF(F34="",LEFT(INDEX(Config!$F$7:$F$11,2),3)&amp;": no entry in BTabs.  ",IF(ABS(F34-$T$2)&gt;$T$3,LEFT(INDEX(Config!$F$7:$F$11,2),3)&amp;": "&amp;TEXT(F34,"0.##")&amp;" h instead of "&amp;TEXT($T$2,"0")&amp;" h.  ",""))&amp;IF(G34="",LEFT(INDEX(Config!$F$7:$F$11,3),3)&amp;": no entry in BTabs.  ",IF(ABS(G34-$T$2)&gt;$T$3,LEFT(INDEX(Config!$F$7:$F$11,3),3)&amp;": "&amp;TEXT(G34,"0.##")&amp;" h instead of "&amp;TEXT($T$2,"0")&amp;" h.  ",""))&amp;IF(H34="",LEFT(INDEX(Config!$F$7:$F$11,4),3)&amp;": no entry in BTabs.  ",IF(ABS(H34-$T$2)&gt;$T$3,LEFT(INDEX(Config!$F$7:$F$11,4),3)&amp;": "&amp;TEXT(H34,"0.##")&amp;" h instead of "&amp;TEXT($T$2,"0")&amp;" h.  ",""))&amp;IF(I34="",LEFT(INDEX(Config!$F$7:$F$11,5),3)&amp;": no entry in BTabs.  ",IF(ABS(I34-$T$2)&gt;$T$3,LEFT(INDEX(Config!$F$7:$F$11,5),3)&amp;": "&amp;TEXT(I34,"0.##")&amp;" h instead of "&amp;TEXT($T$2,"0")&amp;" h.  ","")))))</f>
        <v>All 5 days closed at target. Nothing to fix.</v>
      </c>
    </row>
    <row r="35" spans="2:18" x14ac:dyDescent="0.25">
      <c r="B35" s="33">
        <f t="shared" si="0"/>
        <v>26</v>
      </c>
      <c r="C35" s="34" t="str">
        <f>IF(ROW()-9&gt;Config!$C$14,"",INDEX(BPOworkers!$B$6:$B$105,ROW()-9))</f>
        <v>M Fernandez</v>
      </c>
      <c r="D35" s="34" t="str">
        <f>IF($C35="","",IFERROR(INDEX(BPOworkers!$E$6:$E$105,MATCH($C35,BPOworkers!$B$6:$B$105,0)),""))</f>
        <v>H Daza</v>
      </c>
      <c r="E35" s="29">
        <f>IF($C35="","",IF(INDEX(Detail!$G$4:$G$303,(ROW()-10)*5+1)=0,"",INDEX(Detail!$J$4:$J$303,(ROW()-10)*5+1)))</f>
        <v>8</v>
      </c>
      <c r="F35" s="29">
        <f>IF($C35="","",IF(INDEX(Detail!$G$4:$G$303,(ROW()-10)*5+2)=0,"",INDEX(Detail!$J$4:$J$303,(ROW()-10)*5+2)))</f>
        <v>8</v>
      </c>
      <c r="G35" s="29">
        <f>IF($C35="","",IF(INDEX(Detail!$G$4:$G$303,(ROW()-10)*5+3)=0,"",INDEX(Detail!$J$4:$J$303,(ROW()-10)*5+3)))</f>
        <v>8</v>
      </c>
      <c r="H35" s="29">
        <f>IF($C35="","",IF(INDEX(Detail!$G$4:$G$303,(ROW()-10)*5+4)=0,"",INDEX(Detail!$J$4:$J$303,(ROW()-10)*5+4)))</f>
        <v>8</v>
      </c>
      <c r="I35" s="29">
        <f>IF($C35="","",IF(INDEX(Detail!$G$4:$G$303,(ROW()-10)*5+5)=0,"",INDEX(Detail!$J$4:$J$303,(ROW()-10)*5+5)))</f>
        <v>8</v>
      </c>
      <c r="J35" s="35">
        <f t="shared" si="1"/>
        <v>40</v>
      </c>
      <c r="K35" s="36">
        <f>IF($C35="","",Config!$C$16)</f>
        <v>40</v>
      </c>
      <c r="L35" s="36">
        <f t="shared" si="2"/>
        <v>0</v>
      </c>
      <c r="M35" s="33">
        <f t="shared" si="3"/>
        <v>5</v>
      </c>
      <c r="N35" s="33">
        <f>IF($C35="","",COUNTIFS(Detail!$C$4:$C$303,$C35,Detail!$N$4:$N$303,0))</f>
        <v>5</v>
      </c>
      <c r="O35" s="33">
        <f>IF($C35="","",COUNTIFS(Detail!$C$4:$C$303,$C35,Detail!$N$4:$N$303,"&gt;0"))</f>
        <v>0</v>
      </c>
      <c r="P35" s="37" t="str">
        <f t="shared" si="4"/>
        <v>✅ PERFECT WEEK</v>
      </c>
      <c r="Q35" s="28">
        <f t="shared" si="5"/>
        <v>0</v>
      </c>
      <c r="R35" s="38" t="str">
        <f>IF($C35="","",IF($O35=0,"All 5 days closed at target. Nothing to fix.",TRIM(IF(E35="",LEFT(INDEX(Config!$F$7:$F$11,1),3)&amp;": no entry in BTabs.  ",IF(ABS(E35-$T$2)&gt;$T$3,LEFT(INDEX(Config!$F$7:$F$11,1),3)&amp;": "&amp;TEXT(E35,"0.##")&amp;" h instead of "&amp;TEXT($T$2,"0")&amp;" h.  ",""))&amp;IF(F35="",LEFT(INDEX(Config!$F$7:$F$11,2),3)&amp;": no entry in BTabs.  ",IF(ABS(F35-$T$2)&gt;$T$3,LEFT(INDEX(Config!$F$7:$F$11,2),3)&amp;": "&amp;TEXT(F35,"0.##")&amp;" h instead of "&amp;TEXT($T$2,"0")&amp;" h.  ",""))&amp;IF(G35="",LEFT(INDEX(Config!$F$7:$F$11,3),3)&amp;": no entry in BTabs.  ",IF(ABS(G35-$T$2)&gt;$T$3,LEFT(INDEX(Config!$F$7:$F$11,3),3)&amp;": "&amp;TEXT(G35,"0.##")&amp;" h instead of "&amp;TEXT($T$2,"0")&amp;" h.  ",""))&amp;IF(H35="",LEFT(INDEX(Config!$F$7:$F$11,4),3)&amp;": no entry in BTabs.  ",IF(ABS(H35-$T$2)&gt;$T$3,LEFT(INDEX(Config!$F$7:$F$11,4),3)&amp;": "&amp;TEXT(H35,"0.##")&amp;" h instead of "&amp;TEXT($T$2,"0")&amp;" h.  ",""))&amp;IF(I35="",LEFT(INDEX(Config!$F$7:$F$11,5),3)&amp;": no entry in BTabs.  ",IF(ABS(I35-$T$2)&gt;$T$3,LEFT(INDEX(Config!$F$7:$F$11,5),3)&amp;": "&amp;TEXT(I35,"0.##")&amp;" h instead of "&amp;TEXT($T$2,"0")&amp;" h.  ","")))))</f>
        <v>All 5 days closed at target. Nothing to fix.</v>
      </c>
    </row>
    <row r="36" spans="2:18" x14ac:dyDescent="0.25">
      <c r="B36" s="28">
        <f t="shared" si="0"/>
        <v>27</v>
      </c>
      <c r="C36" s="4" t="str">
        <f>IF(ROW()-9&gt;Config!$C$14,"",INDEX(BPOworkers!$B$6:$B$105,ROW()-9))</f>
        <v>F Montañez</v>
      </c>
      <c r="D36" s="4" t="str">
        <f>IF($C36="","",IFERROR(INDEX(BPOworkers!$E$6:$E$105,MATCH($C36,BPOworkers!$B$6:$B$105,0)),""))</f>
        <v>H Daza</v>
      </c>
      <c r="E36" s="29">
        <f>IF($C36="","",IF(INDEX(Detail!$G$4:$G$303,(ROW()-10)*5+1)=0,"",INDEX(Detail!$J$4:$J$303,(ROW()-10)*5+1)))</f>
        <v>16</v>
      </c>
      <c r="F36" s="29">
        <f>IF($C36="","",IF(INDEX(Detail!$G$4:$G$303,(ROW()-10)*5+2)=0,"",INDEX(Detail!$J$4:$J$303,(ROW()-10)*5+2)))</f>
        <v>8</v>
      </c>
      <c r="G36" s="29">
        <f>IF($C36="","",IF(INDEX(Detail!$G$4:$G$303,(ROW()-10)*5+3)=0,"",INDEX(Detail!$J$4:$J$303,(ROW()-10)*5+3)))</f>
        <v>8</v>
      </c>
      <c r="H36" s="29">
        <f>IF($C36="","",IF(INDEX(Detail!$G$4:$G$303,(ROW()-10)*5+4)=0,"",INDEX(Detail!$J$4:$J$303,(ROW()-10)*5+4)))</f>
        <v>8</v>
      </c>
      <c r="I36" s="29">
        <f>IF($C36="","",IF(INDEX(Detail!$G$4:$G$303,(ROW()-10)*5+5)=0,"",INDEX(Detail!$J$4:$J$303,(ROW()-10)*5+5)))</f>
        <v>8</v>
      </c>
      <c r="J36" s="30">
        <f t="shared" si="1"/>
        <v>48</v>
      </c>
      <c r="K36" s="29">
        <f>IF($C36="","",Config!$C$16)</f>
        <v>40</v>
      </c>
      <c r="L36" s="29">
        <f t="shared" si="2"/>
        <v>8</v>
      </c>
      <c r="M36" s="28">
        <f t="shared" si="3"/>
        <v>5</v>
      </c>
      <c r="N36" s="28">
        <f>IF($C36="","",COUNTIFS(Detail!$C$4:$C$303,$C36,Detail!$N$4:$N$303,0))</f>
        <v>4</v>
      </c>
      <c r="O36" s="28">
        <f>IF($C36="","",COUNTIFS(Detail!$C$4:$C$303,$C36,Detail!$N$4:$N$303,"&gt;0"))</f>
        <v>1</v>
      </c>
      <c r="P36" s="31" t="str">
        <f t="shared" si="4"/>
        <v>🔺 OVER TARGET (+8. h)</v>
      </c>
      <c r="Q36" s="28">
        <f t="shared" si="5"/>
        <v>1</v>
      </c>
      <c r="R36" s="32" t="str">
        <f>IF($C36="","",IF($O36=0,"All 5 days closed at target. Nothing to fix.",TRIM(IF(E36="",LEFT(INDEX(Config!$F$7:$F$11,1),3)&amp;": no entry in BTabs.  ",IF(ABS(E36-$T$2)&gt;$T$3,LEFT(INDEX(Config!$F$7:$F$11,1),3)&amp;": "&amp;TEXT(E36,"0.##")&amp;" h instead of "&amp;TEXT($T$2,"0")&amp;" h.  ",""))&amp;IF(F36="",LEFT(INDEX(Config!$F$7:$F$11,2),3)&amp;": no entry in BTabs.  ",IF(ABS(F36-$T$2)&gt;$T$3,LEFT(INDEX(Config!$F$7:$F$11,2),3)&amp;": "&amp;TEXT(F36,"0.##")&amp;" h instead of "&amp;TEXT($T$2,"0")&amp;" h.  ",""))&amp;IF(G36="",LEFT(INDEX(Config!$F$7:$F$11,3),3)&amp;": no entry in BTabs.  ",IF(ABS(G36-$T$2)&gt;$T$3,LEFT(INDEX(Config!$F$7:$F$11,3),3)&amp;": "&amp;TEXT(G36,"0.##")&amp;" h instead of "&amp;TEXT($T$2,"0")&amp;" h.  ",""))&amp;IF(H36="",LEFT(INDEX(Config!$F$7:$F$11,4),3)&amp;": no entry in BTabs.  ",IF(ABS(H36-$T$2)&gt;$T$3,LEFT(INDEX(Config!$F$7:$F$11,4),3)&amp;": "&amp;TEXT(H36,"0.##")&amp;" h instead of "&amp;TEXT($T$2,"0")&amp;" h.  ",""))&amp;IF(I36="",LEFT(INDEX(Config!$F$7:$F$11,5),3)&amp;": no entry in BTabs.  ",IF(ABS(I36-$T$2)&gt;$T$3,LEFT(INDEX(Config!$F$7:$F$11,5),3)&amp;": "&amp;TEXT(I36,"0.##")&amp;" h instead of "&amp;TEXT($T$2,"0")&amp;" h.  ","")))))</f>
        <v>Mon: 16. h instead of 8 h.</v>
      </c>
    </row>
    <row r="37" spans="2:18" x14ac:dyDescent="0.25">
      <c r="B37" s="33">
        <f t="shared" si="0"/>
        <v>28</v>
      </c>
      <c r="C37" s="34" t="str">
        <f>IF(ROW()-9&gt;Config!$C$14,"",INDEX(BPOworkers!$B$6:$B$105,ROW()-9))</f>
        <v>J Ramos</v>
      </c>
      <c r="D37" s="34" t="str">
        <f>IF($C37="","",IFERROR(INDEX(BPOworkers!$E$6:$E$105,MATCH($C37,BPOworkers!$B$6:$B$105,0)),""))</f>
        <v>R Sanchez</v>
      </c>
      <c r="E37" s="29">
        <f>IF($C37="","",IF(INDEX(Detail!$G$4:$G$303,(ROW()-10)*5+1)=0,"",INDEX(Detail!$J$4:$J$303,(ROW()-10)*5+1)))</f>
        <v>8</v>
      </c>
      <c r="F37" s="29">
        <f>IF($C37="","",IF(INDEX(Detail!$G$4:$G$303,(ROW()-10)*5+2)=0,"",INDEX(Detail!$J$4:$J$303,(ROW()-10)*5+2)))</f>
        <v>8</v>
      </c>
      <c r="G37" s="29">
        <f>IF($C37="","",IF(INDEX(Detail!$G$4:$G$303,(ROW()-10)*5+3)=0,"",INDEX(Detail!$J$4:$J$303,(ROW()-10)*5+3)))</f>
        <v>8</v>
      </c>
      <c r="H37" s="29">
        <f>IF($C37="","",IF(INDEX(Detail!$G$4:$G$303,(ROW()-10)*5+4)=0,"",INDEX(Detail!$J$4:$J$303,(ROW()-10)*5+4)))</f>
        <v>8</v>
      </c>
      <c r="I37" s="29">
        <f>IF($C37="","",IF(INDEX(Detail!$G$4:$G$303,(ROW()-10)*5+5)=0,"",INDEX(Detail!$J$4:$J$303,(ROW()-10)*5+5)))</f>
        <v>8</v>
      </c>
      <c r="J37" s="35">
        <f t="shared" si="1"/>
        <v>40</v>
      </c>
      <c r="K37" s="36">
        <f>IF($C37="","",Config!$C$16)</f>
        <v>40</v>
      </c>
      <c r="L37" s="36">
        <f t="shared" si="2"/>
        <v>0</v>
      </c>
      <c r="M37" s="33">
        <f t="shared" si="3"/>
        <v>5</v>
      </c>
      <c r="N37" s="33">
        <f>IF($C37="","",COUNTIFS(Detail!$C$4:$C$303,$C37,Detail!$N$4:$N$303,0))</f>
        <v>5</v>
      </c>
      <c r="O37" s="33">
        <f>IF($C37="","",COUNTIFS(Detail!$C$4:$C$303,$C37,Detail!$N$4:$N$303,"&gt;0"))</f>
        <v>0</v>
      </c>
      <c r="P37" s="37" t="str">
        <f t="shared" si="4"/>
        <v>✅ PERFECT WEEK</v>
      </c>
      <c r="Q37" s="28">
        <f t="shared" si="5"/>
        <v>0</v>
      </c>
      <c r="R37" s="38" t="str">
        <f>IF($C37="","",IF($O37=0,"All 5 days closed at target. Nothing to fix.",TRIM(IF(E37="",LEFT(INDEX(Config!$F$7:$F$11,1),3)&amp;": no entry in BTabs.  ",IF(ABS(E37-$T$2)&gt;$T$3,LEFT(INDEX(Config!$F$7:$F$11,1),3)&amp;": "&amp;TEXT(E37,"0.##")&amp;" h instead of "&amp;TEXT($T$2,"0")&amp;" h.  ",""))&amp;IF(F37="",LEFT(INDEX(Config!$F$7:$F$11,2),3)&amp;": no entry in BTabs.  ",IF(ABS(F37-$T$2)&gt;$T$3,LEFT(INDEX(Config!$F$7:$F$11,2),3)&amp;": "&amp;TEXT(F37,"0.##")&amp;" h instead of "&amp;TEXT($T$2,"0")&amp;" h.  ",""))&amp;IF(G37="",LEFT(INDEX(Config!$F$7:$F$11,3),3)&amp;": no entry in BTabs.  ",IF(ABS(G37-$T$2)&gt;$T$3,LEFT(INDEX(Config!$F$7:$F$11,3),3)&amp;": "&amp;TEXT(G37,"0.##")&amp;" h instead of "&amp;TEXT($T$2,"0")&amp;" h.  ",""))&amp;IF(H37="",LEFT(INDEX(Config!$F$7:$F$11,4),3)&amp;": no entry in BTabs.  ",IF(ABS(H37-$T$2)&gt;$T$3,LEFT(INDEX(Config!$F$7:$F$11,4),3)&amp;": "&amp;TEXT(H37,"0.##")&amp;" h instead of "&amp;TEXT($T$2,"0")&amp;" h.  ",""))&amp;IF(I37="",LEFT(INDEX(Config!$F$7:$F$11,5),3)&amp;": no entry in BTabs.  ",IF(ABS(I37-$T$2)&gt;$T$3,LEFT(INDEX(Config!$F$7:$F$11,5),3)&amp;": "&amp;TEXT(I37,"0.##")&amp;" h instead of "&amp;TEXT($T$2,"0")&amp;" h.  ","")))))</f>
        <v>All 5 days closed at target. Nothing to fix.</v>
      </c>
    </row>
    <row r="38" spans="2:18" x14ac:dyDescent="0.25">
      <c r="B38" s="28">
        <f t="shared" si="0"/>
        <v>29</v>
      </c>
      <c r="C38" s="4" t="str">
        <f>IF(ROW()-9&gt;Config!$C$14,"",INDEX(BPOworkers!$B$6:$B$105,ROW()-9))</f>
        <v>J Macias</v>
      </c>
      <c r="D38" s="4" t="str">
        <f>IF($C38="","",IFERROR(INDEX(BPOworkers!$E$6:$E$105,MATCH($C38,BPOworkers!$B$6:$B$105,0)),""))</f>
        <v>S Romero</v>
      </c>
      <c r="E38" s="29">
        <f>IF($C38="","",IF(INDEX(Detail!$G$4:$G$303,(ROW()-10)*5+1)=0,"",INDEX(Detail!$J$4:$J$303,(ROW()-10)*5+1)))</f>
        <v>8</v>
      </c>
      <c r="F38" s="29">
        <f>IF($C38="","",IF(INDEX(Detail!$G$4:$G$303,(ROW()-10)*5+2)=0,"",INDEX(Detail!$J$4:$J$303,(ROW()-10)*5+2)))</f>
        <v>8</v>
      </c>
      <c r="G38" s="29">
        <f>IF($C38="","",IF(INDEX(Detail!$G$4:$G$303,(ROW()-10)*5+3)=0,"",INDEX(Detail!$J$4:$J$303,(ROW()-10)*5+3)))</f>
        <v>8</v>
      </c>
      <c r="H38" s="29">
        <f>IF($C38="","",IF(INDEX(Detail!$G$4:$G$303,(ROW()-10)*5+4)=0,"",INDEX(Detail!$J$4:$J$303,(ROW()-10)*5+4)))</f>
        <v>8</v>
      </c>
      <c r="I38" s="29">
        <f>IF($C38="","",IF(INDEX(Detail!$G$4:$G$303,(ROW()-10)*5+5)=0,"",INDEX(Detail!$J$4:$J$303,(ROW()-10)*5+5)))</f>
        <v>8</v>
      </c>
      <c r="J38" s="30">
        <f t="shared" si="1"/>
        <v>40</v>
      </c>
      <c r="K38" s="29">
        <f>IF($C38="","",Config!$C$16)</f>
        <v>40</v>
      </c>
      <c r="L38" s="29">
        <f t="shared" si="2"/>
        <v>0</v>
      </c>
      <c r="M38" s="28">
        <f t="shared" si="3"/>
        <v>5</v>
      </c>
      <c r="N38" s="28">
        <f>IF($C38="","",COUNTIFS(Detail!$C$4:$C$303,$C38,Detail!$N$4:$N$303,0))</f>
        <v>5</v>
      </c>
      <c r="O38" s="28">
        <f>IF($C38="","",COUNTIFS(Detail!$C$4:$C$303,$C38,Detail!$N$4:$N$303,"&gt;0"))</f>
        <v>0</v>
      </c>
      <c r="P38" s="31" t="str">
        <f t="shared" si="4"/>
        <v>✅ PERFECT WEEK</v>
      </c>
      <c r="Q38" s="28">
        <f t="shared" si="5"/>
        <v>0</v>
      </c>
      <c r="R38" s="32" t="str">
        <f>IF($C38="","",IF($O38=0,"All 5 days closed at target. Nothing to fix.",TRIM(IF(E38="",LEFT(INDEX(Config!$F$7:$F$11,1),3)&amp;": no entry in BTabs.  ",IF(ABS(E38-$T$2)&gt;$T$3,LEFT(INDEX(Config!$F$7:$F$11,1),3)&amp;": "&amp;TEXT(E38,"0.##")&amp;" h instead of "&amp;TEXT($T$2,"0")&amp;" h.  ",""))&amp;IF(F38="",LEFT(INDEX(Config!$F$7:$F$11,2),3)&amp;": no entry in BTabs.  ",IF(ABS(F38-$T$2)&gt;$T$3,LEFT(INDEX(Config!$F$7:$F$11,2),3)&amp;": "&amp;TEXT(F38,"0.##")&amp;" h instead of "&amp;TEXT($T$2,"0")&amp;" h.  ",""))&amp;IF(G38="",LEFT(INDEX(Config!$F$7:$F$11,3),3)&amp;": no entry in BTabs.  ",IF(ABS(G38-$T$2)&gt;$T$3,LEFT(INDEX(Config!$F$7:$F$11,3),3)&amp;": "&amp;TEXT(G38,"0.##")&amp;" h instead of "&amp;TEXT($T$2,"0")&amp;" h.  ",""))&amp;IF(H38="",LEFT(INDEX(Config!$F$7:$F$11,4),3)&amp;": no entry in BTabs.  ",IF(ABS(H38-$T$2)&gt;$T$3,LEFT(INDEX(Config!$F$7:$F$11,4),3)&amp;": "&amp;TEXT(H38,"0.##")&amp;" h instead of "&amp;TEXT($T$2,"0")&amp;" h.  ",""))&amp;IF(I38="",LEFT(INDEX(Config!$F$7:$F$11,5),3)&amp;": no entry in BTabs.  ",IF(ABS(I38-$T$2)&gt;$T$3,LEFT(INDEX(Config!$F$7:$F$11,5),3)&amp;": "&amp;TEXT(I38,"0.##")&amp;" h instead of "&amp;TEXT($T$2,"0")&amp;" h.  ","")))))</f>
        <v>All 5 days closed at target. Nothing to fix.</v>
      </c>
    </row>
    <row r="39" spans="2:18" x14ac:dyDescent="0.25">
      <c r="B39" s="33">
        <f t="shared" si="0"/>
        <v>30</v>
      </c>
      <c r="C39" s="34" t="str">
        <f>IF(ROW()-9&gt;Config!$C$14,"",INDEX(BPOworkers!$B$6:$B$105,ROW()-9))</f>
        <v>N Espitia</v>
      </c>
      <c r="D39" s="34" t="str">
        <f>IF($C39="","",IFERROR(INDEX(BPOworkers!$E$6:$E$105,MATCH($C39,BPOworkers!$B$6:$B$105,0)),""))</f>
        <v>A Camargo</v>
      </c>
      <c r="E39" s="29">
        <f>IF($C39="","",IF(INDEX(Detail!$G$4:$G$303,(ROW()-10)*5+1)=0,"",INDEX(Detail!$J$4:$J$303,(ROW()-10)*5+1)))</f>
        <v>12</v>
      </c>
      <c r="F39" s="29">
        <f>IF($C39="","",IF(INDEX(Detail!$G$4:$G$303,(ROW()-10)*5+2)=0,"",INDEX(Detail!$J$4:$J$303,(ROW()-10)*5+2)))</f>
        <v>12</v>
      </c>
      <c r="G39" s="29">
        <f>IF($C39="","",IF(INDEX(Detail!$G$4:$G$303,(ROW()-10)*5+3)=0,"",INDEX(Detail!$J$4:$J$303,(ROW()-10)*5+3)))</f>
        <v>8</v>
      </c>
      <c r="H39" s="29">
        <f>IF($C39="","",IF(INDEX(Detail!$G$4:$G$303,(ROW()-10)*5+4)=0,"",INDEX(Detail!$J$4:$J$303,(ROW()-10)*5+4)))</f>
        <v>8</v>
      </c>
      <c r="I39" s="29">
        <f>IF($C39="","",IF(INDEX(Detail!$G$4:$G$303,(ROW()-10)*5+5)=0,"",INDEX(Detail!$J$4:$J$303,(ROW()-10)*5+5)))</f>
        <v>8</v>
      </c>
      <c r="J39" s="35">
        <f t="shared" si="1"/>
        <v>48</v>
      </c>
      <c r="K39" s="36">
        <f>IF($C39="","",Config!$C$16)</f>
        <v>40</v>
      </c>
      <c r="L39" s="36">
        <f t="shared" si="2"/>
        <v>8</v>
      </c>
      <c r="M39" s="33">
        <f t="shared" si="3"/>
        <v>5</v>
      </c>
      <c r="N39" s="33">
        <f>IF($C39="","",COUNTIFS(Detail!$C$4:$C$303,$C39,Detail!$N$4:$N$303,0))</f>
        <v>3</v>
      </c>
      <c r="O39" s="33">
        <f>IF($C39="","",COUNTIFS(Detail!$C$4:$C$303,$C39,Detail!$N$4:$N$303,"&gt;0"))</f>
        <v>2</v>
      </c>
      <c r="P39" s="37" t="str">
        <f t="shared" si="4"/>
        <v>🔺 OVER TARGET (+8. h)</v>
      </c>
      <c r="Q39" s="28">
        <f t="shared" si="5"/>
        <v>1</v>
      </c>
      <c r="R39" s="38" t="str">
        <f>IF($C39="","",IF($O39=0,"All 5 days closed at target. Nothing to fix.",TRIM(IF(E39="",LEFT(INDEX(Config!$F$7:$F$11,1),3)&amp;": no entry in BTabs.  ",IF(ABS(E39-$T$2)&gt;$T$3,LEFT(INDEX(Config!$F$7:$F$11,1),3)&amp;": "&amp;TEXT(E39,"0.##")&amp;" h instead of "&amp;TEXT($T$2,"0")&amp;" h.  ",""))&amp;IF(F39="",LEFT(INDEX(Config!$F$7:$F$11,2),3)&amp;": no entry in BTabs.  ",IF(ABS(F39-$T$2)&gt;$T$3,LEFT(INDEX(Config!$F$7:$F$11,2),3)&amp;": "&amp;TEXT(F39,"0.##")&amp;" h instead of "&amp;TEXT($T$2,"0")&amp;" h.  ",""))&amp;IF(G39="",LEFT(INDEX(Config!$F$7:$F$11,3),3)&amp;": no entry in BTabs.  ",IF(ABS(G39-$T$2)&gt;$T$3,LEFT(INDEX(Config!$F$7:$F$11,3),3)&amp;": "&amp;TEXT(G39,"0.##")&amp;" h instead of "&amp;TEXT($T$2,"0")&amp;" h.  ",""))&amp;IF(H39="",LEFT(INDEX(Config!$F$7:$F$11,4),3)&amp;": no entry in BTabs.  ",IF(ABS(H39-$T$2)&gt;$T$3,LEFT(INDEX(Config!$F$7:$F$11,4),3)&amp;": "&amp;TEXT(H39,"0.##")&amp;" h instead of "&amp;TEXT($T$2,"0")&amp;" h.  ",""))&amp;IF(I39="",LEFT(INDEX(Config!$F$7:$F$11,5),3)&amp;": no entry in BTabs.  ",IF(ABS(I39-$T$2)&gt;$T$3,LEFT(INDEX(Config!$F$7:$F$11,5),3)&amp;": "&amp;TEXT(I39,"0.##")&amp;" h instead of "&amp;TEXT($T$2,"0")&amp;" h.  ","")))))</f>
        <v>Mon: 12. h instead of 8 h. Tue: 12. h instead of 8 h.</v>
      </c>
    </row>
    <row r="40" spans="2:18" x14ac:dyDescent="0.25">
      <c r="B40" s="28">
        <f t="shared" si="0"/>
        <v>31</v>
      </c>
      <c r="C40" s="4" t="str">
        <f>IF(ROW()-9&gt;Config!$C$14,"",INDEX(BPOworkers!$B$6:$B$105,ROW()-9))</f>
        <v>N Lozano</v>
      </c>
      <c r="D40" s="4" t="str">
        <f>IF($C40="","",IFERROR(INDEX(BPOworkers!$E$6:$E$105,MATCH($C40,BPOworkers!$B$6:$B$105,0)),""))</f>
        <v>J S Bermudez</v>
      </c>
      <c r="E40" s="29">
        <f>IF($C40="","",IF(INDEX(Detail!$G$4:$G$303,(ROW()-10)*5+1)=0,"",INDEX(Detail!$J$4:$J$303,(ROW()-10)*5+1)))</f>
        <v>8</v>
      </c>
      <c r="F40" s="29">
        <f>IF($C40="","",IF(INDEX(Detail!$G$4:$G$303,(ROW()-10)*5+2)=0,"",INDEX(Detail!$J$4:$J$303,(ROW()-10)*5+2)))</f>
        <v>8</v>
      </c>
      <c r="G40" s="29">
        <f>IF($C40="","",IF(INDEX(Detail!$G$4:$G$303,(ROW()-10)*5+3)=0,"",INDEX(Detail!$J$4:$J$303,(ROW()-10)*5+3)))</f>
        <v>8</v>
      </c>
      <c r="H40" s="29">
        <f>IF($C40="","",IF(INDEX(Detail!$G$4:$G$303,(ROW()-10)*5+4)=0,"",INDEX(Detail!$J$4:$J$303,(ROW()-10)*5+4)))</f>
        <v>8</v>
      </c>
      <c r="I40" s="29">
        <f>IF($C40="","",IF(INDEX(Detail!$G$4:$G$303,(ROW()-10)*5+5)=0,"",INDEX(Detail!$J$4:$J$303,(ROW()-10)*5+5)))</f>
        <v>8</v>
      </c>
      <c r="J40" s="30">
        <f t="shared" si="1"/>
        <v>40</v>
      </c>
      <c r="K40" s="29">
        <f>IF($C40="","",Config!$C$16)</f>
        <v>40</v>
      </c>
      <c r="L40" s="29">
        <f t="shared" si="2"/>
        <v>0</v>
      </c>
      <c r="M40" s="28">
        <f t="shared" si="3"/>
        <v>5</v>
      </c>
      <c r="N40" s="28">
        <f>IF($C40="","",COUNTIFS(Detail!$C$4:$C$303,$C40,Detail!$N$4:$N$303,0))</f>
        <v>5</v>
      </c>
      <c r="O40" s="28">
        <f>IF($C40="","",COUNTIFS(Detail!$C$4:$C$303,$C40,Detail!$N$4:$N$303,"&gt;0"))</f>
        <v>0</v>
      </c>
      <c r="P40" s="31" t="str">
        <f t="shared" si="4"/>
        <v>✅ PERFECT WEEK</v>
      </c>
      <c r="Q40" s="28">
        <f t="shared" si="5"/>
        <v>0</v>
      </c>
      <c r="R40" s="32" t="str">
        <f>IF($C40="","",IF($O40=0,"All 5 days closed at target. Nothing to fix.",TRIM(IF(E40="",LEFT(INDEX(Config!$F$7:$F$11,1),3)&amp;": no entry in BTabs.  ",IF(ABS(E40-$T$2)&gt;$T$3,LEFT(INDEX(Config!$F$7:$F$11,1),3)&amp;": "&amp;TEXT(E40,"0.##")&amp;" h instead of "&amp;TEXT($T$2,"0")&amp;" h.  ",""))&amp;IF(F40="",LEFT(INDEX(Config!$F$7:$F$11,2),3)&amp;": no entry in BTabs.  ",IF(ABS(F40-$T$2)&gt;$T$3,LEFT(INDEX(Config!$F$7:$F$11,2),3)&amp;": "&amp;TEXT(F40,"0.##")&amp;" h instead of "&amp;TEXT($T$2,"0")&amp;" h.  ",""))&amp;IF(G40="",LEFT(INDEX(Config!$F$7:$F$11,3),3)&amp;": no entry in BTabs.  ",IF(ABS(G40-$T$2)&gt;$T$3,LEFT(INDEX(Config!$F$7:$F$11,3),3)&amp;": "&amp;TEXT(G40,"0.##")&amp;" h instead of "&amp;TEXT($T$2,"0")&amp;" h.  ",""))&amp;IF(H40="",LEFT(INDEX(Config!$F$7:$F$11,4),3)&amp;": no entry in BTabs.  ",IF(ABS(H40-$T$2)&gt;$T$3,LEFT(INDEX(Config!$F$7:$F$11,4),3)&amp;": "&amp;TEXT(H40,"0.##")&amp;" h instead of "&amp;TEXT($T$2,"0")&amp;" h.  ",""))&amp;IF(I40="",LEFT(INDEX(Config!$F$7:$F$11,5),3)&amp;": no entry in BTabs.  ",IF(ABS(I40-$T$2)&gt;$T$3,LEFT(INDEX(Config!$F$7:$F$11,5),3)&amp;": "&amp;TEXT(I40,"0.##")&amp;" h instead of "&amp;TEXT($T$2,"0")&amp;" h.  ","")))))</f>
        <v>All 5 days closed at target. Nothing to fix.</v>
      </c>
    </row>
    <row r="41" spans="2:18" x14ac:dyDescent="0.25">
      <c r="B41" s="33">
        <f t="shared" si="0"/>
        <v>32</v>
      </c>
      <c r="C41" s="34" t="str">
        <f>IF(ROW()-9&gt;Config!$C$14,"",INDEX(BPOworkers!$B$6:$B$105,ROW()-9))</f>
        <v>T Vargas</v>
      </c>
      <c r="D41" s="34" t="str">
        <f>IF($C41="","",IFERROR(INDEX(BPOworkers!$E$6:$E$105,MATCH($C41,BPOworkers!$B$6:$B$105,0)),""))</f>
        <v>M Leon</v>
      </c>
      <c r="E41" s="29">
        <f>IF($C41="","",IF(INDEX(Detail!$G$4:$G$303,(ROW()-10)*5+1)=0,"",INDEX(Detail!$J$4:$J$303,(ROW()-10)*5+1)))</f>
        <v>8</v>
      </c>
      <c r="F41" s="29">
        <f>IF($C41="","",IF(INDEX(Detail!$G$4:$G$303,(ROW()-10)*5+2)=0,"",INDEX(Detail!$J$4:$J$303,(ROW()-10)*5+2)))</f>
        <v>8</v>
      </c>
      <c r="G41" s="29">
        <f>IF($C41="","",IF(INDEX(Detail!$G$4:$G$303,(ROW()-10)*5+3)=0,"",INDEX(Detail!$J$4:$J$303,(ROW()-10)*5+3)))</f>
        <v>8</v>
      </c>
      <c r="H41" s="29">
        <f>IF($C41="","",IF(INDEX(Detail!$G$4:$G$303,(ROW()-10)*5+4)=0,"",INDEX(Detail!$J$4:$J$303,(ROW()-10)*5+4)))</f>
        <v>8</v>
      </c>
      <c r="I41" s="29">
        <f>IF($C41="","",IF(INDEX(Detail!$G$4:$G$303,(ROW()-10)*5+5)=0,"",INDEX(Detail!$J$4:$J$303,(ROW()-10)*5+5)))</f>
        <v>8</v>
      </c>
      <c r="J41" s="35">
        <f t="shared" si="1"/>
        <v>40</v>
      </c>
      <c r="K41" s="36">
        <f>IF($C41="","",Config!$C$16)</f>
        <v>40</v>
      </c>
      <c r="L41" s="36">
        <f t="shared" si="2"/>
        <v>0</v>
      </c>
      <c r="M41" s="33">
        <f t="shared" si="3"/>
        <v>5</v>
      </c>
      <c r="N41" s="33">
        <f>IF($C41="","",COUNTIFS(Detail!$C$4:$C$303,$C41,Detail!$N$4:$N$303,0))</f>
        <v>5</v>
      </c>
      <c r="O41" s="33">
        <f>IF($C41="","",COUNTIFS(Detail!$C$4:$C$303,$C41,Detail!$N$4:$N$303,"&gt;0"))</f>
        <v>0</v>
      </c>
      <c r="P41" s="37" t="str">
        <f t="shared" si="4"/>
        <v>✅ PERFECT WEEK</v>
      </c>
      <c r="Q41" s="28">
        <f t="shared" si="5"/>
        <v>0</v>
      </c>
      <c r="R41" s="38" t="str">
        <f>IF($C41="","",IF($O41=0,"All 5 days closed at target. Nothing to fix.",TRIM(IF(E41="",LEFT(INDEX(Config!$F$7:$F$11,1),3)&amp;": no entry in BTabs.  ",IF(ABS(E41-$T$2)&gt;$T$3,LEFT(INDEX(Config!$F$7:$F$11,1),3)&amp;": "&amp;TEXT(E41,"0.##")&amp;" h instead of "&amp;TEXT($T$2,"0")&amp;" h.  ",""))&amp;IF(F41="",LEFT(INDEX(Config!$F$7:$F$11,2),3)&amp;": no entry in BTabs.  ",IF(ABS(F41-$T$2)&gt;$T$3,LEFT(INDEX(Config!$F$7:$F$11,2),3)&amp;": "&amp;TEXT(F41,"0.##")&amp;" h instead of "&amp;TEXT($T$2,"0")&amp;" h.  ",""))&amp;IF(G41="",LEFT(INDEX(Config!$F$7:$F$11,3),3)&amp;": no entry in BTabs.  ",IF(ABS(G41-$T$2)&gt;$T$3,LEFT(INDEX(Config!$F$7:$F$11,3),3)&amp;": "&amp;TEXT(G41,"0.##")&amp;" h instead of "&amp;TEXT($T$2,"0")&amp;" h.  ",""))&amp;IF(H41="",LEFT(INDEX(Config!$F$7:$F$11,4),3)&amp;": no entry in BTabs.  ",IF(ABS(H41-$T$2)&gt;$T$3,LEFT(INDEX(Config!$F$7:$F$11,4),3)&amp;": "&amp;TEXT(H41,"0.##")&amp;" h instead of "&amp;TEXT($T$2,"0")&amp;" h.  ",""))&amp;IF(I41="",LEFT(INDEX(Config!$F$7:$F$11,5),3)&amp;": no entry in BTabs.  ",IF(ABS(I41-$T$2)&gt;$T$3,LEFT(INDEX(Config!$F$7:$F$11,5),3)&amp;": "&amp;TEXT(I41,"0.##")&amp;" h instead of "&amp;TEXT($T$2,"0")&amp;" h.  ","")))))</f>
        <v>All 5 days closed at target. Nothing to fix.</v>
      </c>
    </row>
    <row r="42" spans="2:18" x14ac:dyDescent="0.25">
      <c r="B42" s="28">
        <f t="shared" ref="B42:B69" si="6">IF($C42="","",ROW()-9)</f>
        <v>33</v>
      </c>
      <c r="C42" s="4" t="str">
        <f>IF(ROW()-9&gt;Config!$C$14,"",INDEX(BPOworkers!$B$6:$B$105,ROW()-9))</f>
        <v>K Martínez</v>
      </c>
      <c r="D42" s="4" t="str">
        <f>IF($C42="","",IFERROR(INDEX(BPOworkers!$E$6:$E$105,MATCH($C42,BPOworkers!$B$6:$B$105,0)),""))</f>
        <v>A Camargo</v>
      </c>
      <c r="E42" s="29" t="str">
        <f>IF($C42="","",IF(INDEX(Detail!$G$4:$G$303,(ROW()-10)*5+1)=0,"",INDEX(Detail!$J$4:$J$303,(ROW()-10)*5+1)))</f>
        <v/>
      </c>
      <c r="F42" s="29">
        <f>IF($C42="","",IF(INDEX(Detail!$G$4:$G$303,(ROW()-10)*5+2)=0,"",INDEX(Detail!$J$4:$J$303,(ROW()-10)*5+2)))</f>
        <v>8</v>
      </c>
      <c r="G42" s="29">
        <f>IF($C42="","",IF(INDEX(Detail!$G$4:$G$303,(ROW()-10)*5+3)=0,"",INDEX(Detail!$J$4:$J$303,(ROW()-10)*5+3)))</f>
        <v>8</v>
      </c>
      <c r="H42" s="29">
        <f>IF($C42="","",IF(INDEX(Detail!$G$4:$G$303,(ROW()-10)*5+4)=0,"",INDEX(Detail!$J$4:$J$303,(ROW()-10)*5+4)))</f>
        <v>8</v>
      </c>
      <c r="I42" s="29">
        <f>IF($C42="","",IF(INDEX(Detail!$G$4:$G$303,(ROW()-10)*5+5)=0,"",INDEX(Detail!$J$4:$J$303,(ROW()-10)*5+5)))</f>
        <v>8</v>
      </c>
      <c r="J42" s="30">
        <f t="shared" ref="J42:J69" si="7">IF($C42="","",SUM($E42:$I42))</f>
        <v>32</v>
      </c>
      <c r="K42" s="29">
        <f>IF($C42="","",Config!$C$16)</f>
        <v>40</v>
      </c>
      <c r="L42" s="29">
        <f t="shared" ref="L42:L69" si="8">IF($C42="","",$J42-$K42)</f>
        <v>-8</v>
      </c>
      <c r="M42" s="28">
        <f t="shared" ref="M42:M69" si="9">IF($C42="","",COUNT($E42:$I42))</f>
        <v>4</v>
      </c>
      <c r="N42" s="28">
        <f>IF($C42="","",COUNTIFS(Detail!$C$4:$C$303,$C42,Detail!$N$4:$N$303,0))</f>
        <v>4</v>
      </c>
      <c r="O42" s="28">
        <f>IF($C42="","",COUNTIFS(Detail!$C$4:$C$303,$C42,Detail!$N$4:$N$303,"&gt;0"))</f>
        <v>1</v>
      </c>
      <c r="P42" s="31" t="str">
        <f t="shared" ref="P42:P69" si="10">IF($C42="","",IF($M42=0,"⛔ BILLED NOTHING",IF($M42&lt;5,"⛔ MISSING "&amp;TEXT(5-$M42,"0")&amp;" DAY(S) IN BTABS",IF($O42=0,"✅ PERFECT WEEK",IF($L42&lt;0,"🔻 UNDER TARGET ("&amp;TEXT($L42,"0.##")&amp;" h)",IF($L42&gt;0,"🔺 OVER TARGET (+"&amp;TEXT($L42,"0.##")&amp;" h)","⚠️ CHECK THE DAYS"))))))</f>
        <v>⛔ MISSING 1 DAY(S) IN BTABS</v>
      </c>
      <c r="Q42" s="28">
        <f t="shared" ref="Q42:Q69" si="11">IF($C42="","",IF($M42&lt;5,3,IF($O42=0,0,IF($L42&gt;0,1,2))))</f>
        <v>3</v>
      </c>
      <c r="R42" s="32" t="str">
        <f>IF($C42="","",IF($O42=0,"All 5 days closed at target. Nothing to fix.",TRIM(IF(E42="",LEFT(INDEX(Config!$F$7:$F$11,1),3)&amp;": no entry in BTabs.  ",IF(ABS(E42-$T$2)&gt;$T$3,LEFT(INDEX(Config!$F$7:$F$11,1),3)&amp;": "&amp;TEXT(E42,"0.##")&amp;" h instead of "&amp;TEXT($T$2,"0")&amp;" h.  ",""))&amp;IF(F42="",LEFT(INDEX(Config!$F$7:$F$11,2),3)&amp;": no entry in BTabs.  ",IF(ABS(F42-$T$2)&gt;$T$3,LEFT(INDEX(Config!$F$7:$F$11,2),3)&amp;": "&amp;TEXT(F42,"0.##")&amp;" h instead of "&amp;TEXT($T$2,"0")&amp;" h.  ",""))&amp;IF(G42="",LEFT(INDEX(Config!$F$7:$F$11,3),3)&amp;": no entry in BTabs.  ",IF(ABS(G42-$T$2)&gt;$T$3,LEFT(INDEX(Config!$F$7:$F$11,3),3)&amp;": "&amp;TEXT(G42,"0.##")&amp;" h instead of "&amp;TEXT($T$2,"0")&amp;" h.  ",""))&amp;IF(H42="",LEFT(INDEX(Config!$F$7:$F$11,4),3)&amp;": no entry in BTabs.  ",IF(ABS(H42-$T$2)&gt;$T$3,LEFT(INDEX(Config!$F$7:$F$11,4),3)&amp;": "&amp;TEXT(H42,"0.##")&amp;" h instead of "&amp;TEXT($T$2,"0")&amp;" h.  ",""))&amp;IF(I42="",LEFT(INDEX(Config!$F$7:$F$11,5),3)&amp;": no entry in BTabs.  ",IF(ABS(I42-$T$2)&gt;$T$3,LEFT(INDEX(Config!$F$7:$F$11,5),3)&amp;": "&amp;TEXT(I42,"0.##")&amp;" h instead of "&amp;TEXT($T$2,"0")&amp;" h.  ","")))))</f>
        <v>Mon: no entry in BTabs.</v>
      </c>
    </row>
    <row r="43" spans="2:18" x14ac:dyDescent="0.25">
      <c r="B43" s="33">
        <f t="shared" si="6"/>
        <v>34</v>
      </c>
      <c r="C43" s="34" t="str">
        <f>IF(ROW()-9&gt;Config!$C$14,"",INDEX(BPOworkers!$B$6:$B$105,ROW()-9))</f>
        <v>D Chinchilla</v>
      </c>
      <c r="D43" s="34" t="str">
        <f>IF($C43="","",IFERROR(INDEX(BPOworkers!$E$6:$E$105,MATCH($C43,BPOworkers!$B$6:$B$105,0)),""))</f>
        <v>M Leon</v>
      </c>
      <c r="E43" s="29">
        <f>IF($C43="","",IF(INDEX(Detail!$G$4:$G$303,(ROW()-10)*5+1)=0,"",INDEX(Detail!$J$4:$J$303,(ROW()-10)*5+1)))</f>
        <v>8</v>
      </c>
      <c r="F43" s="29">
        <f>IF($C43="","",IF(INDEX(Detail!$G$4:$G$303,(ROW()-10)*5+2)=0,"",INDEX(Detail!$J$4:$J$303,(ROW()-10)*5+2)))</f>
        <v>8</v>
      </c>
      <c r="G43" s="29">
        <f>IF($C43="","",IF(INDEX(Detail!$G$4:$G$303,(ROW()-10)*5+3)=0,"",INDEX(Detail!$J$4:$J$303,(ROW()-10)*5+3)))</f>
        <v>8</v>
      </c>
      <c r="H43" s="29">
        <f>IF($C43="","",IF(INDEX(Detail!$G$4:$G$303,(ROW()-10)*5+4)=0,"",INDEX(Detail!$J$4:$J$303,(ROW()-10)*5+4)))</f>
        <v>8</v>
      </c>
      <c r="I43" s="29">
        <f>IF($C43="","",IF(INDEX(Detail!$G$4:$G$303,(ROW()-10)*5+5)=0,"",INDEX(Detail!$J$4:$J$303,(ROW()-10)*5+5)))</f>
        <v>8</v>
      </c>
      <c r="J43" s="35">
        <f t="shared" si="7"/>
        <v>40</v>
      </c>
      <c r="K43" s="36">
        <f>IF($C43="","",Config!$C$16)</f>
        <v>40</v>
      </c>
      <c r="L43" s="36">
        <f t="shared" si="8"/>
        <v>0</v>
      </c>
      <c r="M43" s="33">
        <f t="shared" si="9"/>
        <v>5</v>
      </c>
      <c r="N43" s="33">
        <f>IF($C43="","",COUNTIFS(Detail!$C$4:$C$303,$C43,Detail!$N$4:$N$303,0))</f>
        <v>5</v>
      </c>
      <c r="O43" s="33">
        <f>IF($C43="","",COUNTIFS(Detail!$C$4:$C$303,$C43,Detail!$N$4:$N$303,"&gt;0"))</f>
        <v>0</v>
      </c>
      <c r="P43" s="37" t="str">
        <f t="shared" si="10"/>
        <v>✅ PERFECT WEEK</v>
      </c>
      <c r="Q43" s="28">
        <f t="shared" si="11"/>
        <v>0</v>
      </c>
      <c r="R43" s="38" t="str">
        <f>IF($C43="","",IF($O43=0,"All 5 days closed at target. Nothing to fix.",TRIM(IF(E43="",LEFT(INDEX(Config!$F$7:$F$11,1),3)&amp;": no entry in BTabs.  ",IF(ABS(E43-$T$2)&gt;$T$3,LEFT(INDEX(Config!$F$7:$F$11,1),3)&amp;": "&amp;TEXT(E43,"0.##")&amp;" h instead of "&amp;TEXT($T$2,"0")&amp;" h.  ",""))&amp;IF(F43="",LEFT(INDEX(Config!$F$7:$F$11,2),3)&amp;": no entry in BTabs.  ",IF(ABS(F43-$T$2)&gt;$T$3,LEFT(INDEX(Config!$F$7:$F$11,2),3)&amp;": "&amp;TEXT(F43,"0.##")&amp;" h instead of "&amp;TEXT($T$2,"0")&amp;" h.  ",""))&amp;IF(G43="",LEFT(INDEX(Config!$F$7:$F$11,3),3)&amp;": no entry in BTabs.  ",IF(ABS(G43-$T$2)&gt;$T$3,LEFT(INDEX(Config!$F$7:$F$11,3),3)&amp;": "&amp;TEXT(G43,"0.##")&amp;" h instead of "&amp;TEXT($T$2,"0")&amp;" h.  ",""))&amp;IF(H43="",LEFT(INDEX(Config!$F$7:$F$11,4),3)&amp;": no entry in BTabs.  ",IF(ABS(H43-$T$2)&gt;$T$3,LEFT(INDEX(Config!$F$7:$F$11,4),3)&amp;": "&amp;TEXT(H43,"0.##")&amp;" h instead of "&amp;TEXT($T$2,"0")&amp;" h.  ",""))&amp;IF(I43="",LEFT(INDEX(Config!$F$7:$F$11,5),3)&amp;": no entry in BTabs.  ",IF(ABS(I43-$T$2)&gt;$T$3,LEFT(INDEX(Config!$F$7:$F$11,5),3)&amp;": "&amp;TEXT(I43,"0.##")&amp;" h instead of "&amp;TEXT($T$2,"0")&amp;" h.  ","")))))</f>
        <v>All 5 days closed at target. Nothing to fix.</v>
      </c>
    </row>
    <row r="44" spans="2:18" x14ac:dyDescent="0.25">
      <c r="B44" s="28">
        <f t="shared" si="6"/>
        <v>35</v>
      </c>
      <c r="C44" s="4" t="str">
        <f>IF(ROW()-9&gt;Config!$C$14,"",INDEX(BPOworkers!$B$6:$B$105,ROW()-9))</f>
        <v>A Guerra</v>
      </c>
      <c r="D44" s="4" t="str">
        <f>IF($C44="","",IFERROR(INDEX(BPOworkers!$E$6:$E$105,MATCH($C44,BPOworkers!$B$6:$B$105,0)),""))</f>
        <v>A Camargo</v>
      </c>
      <c r="E44" s="29">
        <f>IF($C44="","",IF(INDEX(Detail!$G$4:$G$303,(ROW()-10)*5+1)=0,"",INDEX(Detail!$J$4:$J$303,(ROW()-10)*5+1)))</f>
        <v>8</v>
      </c>
      <c r="F44" s="29">
        <f>IF($C44="","",IF(INDEX(Detail!$G$4:$G$303,(ROW()-10)*5+2)=0,"",INDEX(Detail!$J$4:$J$303,(ROW()-10)*5+2)))</f>
        <v>8</v>
      </c>
      <c r="G44" s="29">
        <f>IF($C44="","",IF(INDEX(Detail!$G$4:$G$303,(ROW()-10)*5+3)=0,"",INDEX(Detail!$J$4:$J$303,(ROW()-10)*5+3)))</f>
        <v>8</v>
      </c>
      <c r="H44" s="29">
        <f>IF($C44="","",IF(INDEX(Detail!$G$4:$G$303,(ROW()-10)*5+4)=0,"",INDEX(Detail!$J$4:$J$303,(ROW()-10)*5+4)))</f>
        <v>8</v>
      </c>
      <c r="I44" s="29">
        <f>IF($C44="","",IF(INDEX(Detail!$G$4:$G$303,(ROW()-10)*5+5)=0,"",INDEX(Detail!$J$4:$J$303,(ROW()-10)*5+5)))</f>
        <v>8</v>
      </c>
      <c r="J44" s="30">
        <f t="shared" si="7"/>
        <v>40</v>
      </c>
      <c r="K44" s="29">
        <f>IF($C44="","",Config!$C$16)</f>
        <v>40</v>
      </c>
      <c r="L44" s="29">
        <f t="shared" si="8"/>
        <v>0</v>
      </c>
      <c r="M44" s="28">
        <f t="shared" si="9"/>
        <v>5</v>
      </c>
      <c r="N44" s="28">
        <f>IF($C44="","",COUNTIFS(Detail!$C$4:$C$303,$C44,Detail!$N$4:$N$303,0))</f>
        <v>5</v>
      </c>
      <c r="O44" s="28">
        <f>IF($C44="","",COUNTIFS(Detail!$C$4:$C$303,$C44,Detail!$N$4:$N$303,"&gt;0"))</f>
        <v>0</v>
      </c>
      <c r="P44" s="31" t="str">
        <f t="shared" si="10"/>
        <v>✅ PERFECT WEEK</v>
      </c>
      <c r="Q44" s="28">
        <f t="shared" si="11"/>
        <v>0</v>
      </c>
      <c r="R44" s="32" t="str">
        <f>IF($C44="","",IF($O44=0,"All 5 days closed at target. Nothing to fix.",TRIM(IF(E44="",LEFT(INDEX(Config!$F$7:$F$11,1),3)&amp;": no entry in BTabs.  ",IF(ABS(E44-$T$2)&gt;$T$3,LEFT(INDEX(Config!$F$7:$F$11,1),3)&amp;": "&amp;TEXT(E44,"0.##")&amp;" h instead of "&amp;TEXT($T$2,"0")&amp;" h.  ",""))&amp;IF(F44="",LEFT(INDEX(Config!$F$7:$F$11,2),3)&amp;": no entry in BTabs.  ",IF(ABS(F44-$T$2)&gt;$T$3,LEFT(INDEX(Config!$F$7:$F$11,2),3)&amp;": "&amp;TEXT(F44,"0.##")&amp;" h instead of "&amp;TEXT($T$2,"0")&amp;" h.  ",""))&amp;IF(G44="",LEFT(INDEX(Config!$F$7:$F$11,3),3)&amp;": no entry in BTabs.  ",IF(ABS(G44-$T$2)&gt;$T$3,LEFT(INDEX(Config!$F$7:$F$11,3),3)&amp;": "&amp;TEXT(G44,"0.##")&amp;" h instead of "&amp;TEXT($T$2,"0")&amp;" h.  ",""))&amp;IF(H44="",LEFT(INDEX(Config!$F$7:$F$11,4),3)&amp;": no entry in BTabs.  ",IF(ABS(H44-$T$2)&gt;$T$3,LEFT(INDEX(Config!$F$7:$F$11,4),3)&amp;": "&amp;TEXT(H44,"0.##")&amp;" h instead of "&amp;TEXT($T$2,"0")&amp;" h.  ",""))&amp;IF(I44="",LEFT(INDEX(Config!$F$7:$F$11,5),3)&amp;": no entry in BTabs.  ",IF(ABS(I44-$T$2)&gt;$T$3,LEFT(INDEX(Config!$F$7:$F$11,5),3)&amp;": "&amp;TEXT(I44,"0.##")&amp;" h instead of "&amp;TEXT($T$2,"0")&amp;" h.  ","")))))</f>
        <v>All 5 days closed at target. Nothing to fix.</v>
      </c>
    </row>
    <row r="45" spans="2:18" x14ac:dyDescent="0.25">
      <c r="B45" s="33">
        <f t="shared" si="6"/>
        <v>36</v>
      </c>
      <c r="C45" s="34" t="str">
        <f>IF(ROW()-9&gt;Config!$C$14,"",INDEX(BPOworkers!$B$6:$B$105,ROW()-9))</f>
        <v>G Pereira</v>
      </c>
      <c r="D45" s="34" t="str">
        <f>IF($C45="","",IFERROR(INDEX(BPOworkers!$E$6:$E$105,MATCH($C45,BPOworkers!$B$6:$B$105,0)),""))</f>
        <v>S Romero</v>
      </c>
      <c r="E45" s="29">
        <f>IF($C45="","",IF(INDEX(Detail!$G$4:$G$303,(ROW()-10)*5+1)=0,"",INDEX(Detail!$J$4:$J$303,(ROW()-10)*5+1)))</f>
        <v>8</v>
      </c>
      <c r="F45" s="29">
        <f>IF($C45="","",IF(INDEX(Detail!$G$4:$G$303,(ROW()-10)*5+2)=0,"",INDEX(Detail!$J$4:$J$303,(ROW()-10)*5+2)))</f>
        <v>8</v>
      </c>
      <c r="G45" s="29">
        <f>IF($C45="","",IF(INDEX(Detail!$G$4:$G$303,(ROW()-10)*5+3)=0,"",INDEX(Detail!$J$4:$J$303,(ROW()-10)*5+3)))</f>
        <v>8</v>
      </c>
      <c r="H45" s="29">
        <f>IF($C45="","",IF(INDEX(Detail!$G$4:$G$303,(ROW()-10)*5+4)=0,"",INDEX(Detail!$J$4:$J$303,(ROW()-10)*5+4)))</f>
        <v>8</v>
      </c>
      <c r="I45" s="29">
        <f>IF($C45="","",IF(INDEX(Detail!$G$4:$G$303,(ROW()-10)*5+5)=0,"",INDEX(Detail!$J$4:$J$303,(ROW()-10)*5+5)))</f>
        <v>8</v>
      </c>
      <c r="J45" s="35">
        <f t="shared" si="7"/>
        <v>40</v>
      </c>
      <c r="K45" s="36">
        <f>IF($C45="","",Config!$C$16)</f>
        <v>40</v>
      </c>
      <c r="L45" s="36">
        <f t="shared" si="8"/>
        <v>0</v>
      </c>
      <c r="M45" s="33">
        <f t="shared" si="9"/>
        <v>5</v>
      </c>
      <c r="N45" s="33">
        <f>IF($C45="","",COUNTIFS(Detail!$C$4:$C$303,$C45,Detail!$N$4:$N$303,0))</f>
        <v>5</v>
      </c>
      <c r="O45" s="33">
        <f>IF($C45="","",COUNTIFS(Detail!$C$4:$C$303,$C45,Detail!$N$4:$N$303,"&gt;0"))</f>
        <v>0</v>
      </c>
      <c r="P45" s="37" t="str">
        <f t="shared" si="10"/>
        <v>✅ PERFECT WEEK</v>
      </c>
      <c r="Q45" s="28">
        <f t="shared" si="11"/>
        <v>0</v>
      </c>
      <c r="R45" s="38" t="str">
        <f>IF($C45="","",IF($O45=0,"All 5 days closed at target. Nothing to fix.",TRIM(IF(E45="",LEFT(INDEX(Config!$F$7:$F$11,1),3)&amp;": no entry in BTabs.  ",IF(ABS(E45-$T$2)&gt;$T$3,LEFT(INDEX(Config!$F$7:$F$11,1),3)&amp;": "&amp;TEXT(E45,"0.##")&amp;" h instead of "&amp;TEXT($T$2,"0")&amp;" h.  ",""))&amp;IF(F45="",LEFT(INDEX(Config!$F$7:$F$11,2),3)&amp;": no entry in BTabs.  ",IF(ABS(F45-$T$2)&gt;$T$3,LEFT(INDEX(Config!$F$7:$F$11,2),3)&amp;": "&amp;TEXT(F45,"0.##")&amp;" h instead of "&amp;TEXT($T$2,"0")&amp;" h.  ",""))&amp;IF(G45="",LEFT(INDEX(Config!$F$7:$F$11,3),3)&amp;": no entry in BTabs.  ",IF(ABS(G45-$T$2)&gt;$T$3,LEFT(INDEX(Config!$F$7:$F$11,3),3)&amp;": "&amp;TEXT(G45,"0.##")&amp;" h instead of "&amp;TEXT($T$2,"0")&amp;" h.  ",""))&amp;IF(H45="",LEFT(INDEX(Config!$F$7:$F$11,4),3)&amp;": no entry in BTabs.  ",IF(ABS(H45-$T$2)&gt;$T$3,LEFT(INDEX(Config!$F$7:$F$11,4),3)&amp;": "&amp;TEXT(H45,"0.##")&amp;" h instead of "&amp;TEXT($T$2,"0")&amp;" h.  ",""))&amp;IF(I45="",LEFT(INDEX(Config!$F$7:$F$11,5),3)&amp;": no entry in BTabs.  ",IF(ABS(I45-$T$2)&gt;$T$3,LEFT(INDEX(Config!$F$7:$F$11,5),3)&amp;": "&amp;TEXT(I45,"0.##")&amp;" h instead of "&amp;TEXT($T$2,"0")&amp;" h.  ","")))))</f>
        <v>All 5 days closed at target. Nothing to fix.</v>
      </c>
    </row>
    <row r="46" spans="2:18" x14ac:dyDescent="0.25">
      <c r="B46" s="28">
        <f t="shared" si="6"/>
        <v>37</v>
      </c>
      <c r="C46" s="4" t="str">
        <f>IF(ROW()-9&gt;Config!$C$14,"",INDEX(BPOworkers!$B$6:$B$105,ROW()-9))</f>
        <v>O Moreno</v>
      </c>
      <c r="D46" s="4" t="str">
        <f>IF($C46="","",IFERROR(INDEX(BPOworkers!$E$6:$E$105,MATCH($C46,BPOworkers!$B$6:$B$105,0)),""))</f>
        <v>R Sanchez</v>
      </c>
      <c r="E46" s="29">
        <f>IF($C46="","",IF(INDEX(Detail!$G$4:$G$303,(ROW()-10)*5+1)=0,"",INDEX(Detail!$J$4:$J$303,(ROW()-10)*5+1)))</f>
        <v>8</v>
      </c>
      <c r="F46" s="29">
        <f>IF($C46="","",IF(INDEX(Detail!$G$4:$G$303,(ROW()-10)*5+2)=0,"",INDEX(Detail!$J$4:$J$303,(ROW()-10)*5+2)))</f>
        <v>8</v>
      </c>
      <c r="G46" s="29">
        <f>IF($C46="","",IF(INDEX(Detail!$G$4:$G$303,(ROW()-10)*5+3)=0,"",INDEX(Detail!$J$4:$J$303,(ROW()-10)*5+3)))</f>
        <v>8</v>
      </c>
      <c r="H46" s="29">
        <f>IF($C46="","",IF(INDEX(Detail!$G$4:$G$303,(ROW()-10)*5+4)=0,"",INDEX(Detail!$J$4:$J$303,(ROW()-10)*5+4)))</f>
        <v>8</v>
      </c>
      <c r="I46" s="29">
        <f>IF($C46="","",IF(INDEX(Detail!$G$4:$G$303,(ROW()-10)*5+5)=0,"",INDEX(Detail!$J$4:$J$303,(ROW()-10)*5+5)))</f>
        <v>8</v>
      </c>
      <c r="J46" s="30">
        <f t="shared" si="7"/>
        <v>40</v>
      </c>
      <c r="K46" s="29">
        <f>IF($C46="","",Config!$C$16)</f>
        <v>40</v>
      </c>
      <c r="L46" s="29">
        <f t="shared" si="8"/>
        <v>0</v>
      </c>
      <c r="M46" s="28">
        <f t="shared" si="9"/>
        <v>5</v>
      </c>
      <c r="N46" s="28">
        <f>IF($C46="","",COUNTIFS(Detail!$C$4:$C$303,$C46,Detail!$N$4:$N$303,0))</f>
        <v>5</v>
      </c>
      <c r="O46" s="28">
        <f>IF($C46="","",COUNTIFS(Detail!$C$4:$C$303,$C46,Detail!$N$4:$N$303,"&gt;0"))</f>
        <v>0</v>
      </c>
      <c r="P46" s="31" t="str">
        <f t="shared" si="10"/>
        <v>✅ PERFECT WEEK</v>
      </c>
      <c r="Q46" s="28">
        <f t="shared" si="11"/>
        <v>0</v>
      </c>
      <c r="R46" s="32" t="str">
        <f>IF($C46="","",IF($O46=0,"All 5 days closed at target. Nothing to fix.",TRIM(IF(E46="",LEFT(INDEX(Config!$F$7:$F$11,1),3)&amp;": no entry in BTabs.  ",IF(ABS(E46-$T$2)&gt;$T$3,LEFT(INDEX(Config!$F$7:$F$11,1),3)&amp;": "&amp;TEXT(E46,"0.##")&amp;" h instead of "&amp;TEXT($T$2,"0")&amp;" h.  ",""))&amp;IF(F46="",LEFT(INDEX(Config!$F$7:$F$11,2),3)&amp;": no entry in BTabs.  ",IF(ABS(F46-$T$2)&gt;$T$3,LEFT(INDEX(Config!$F$7:$F$11,2),3)&amp;": "&amp;TEXT(F46,"0.##")&amp;" h instead of "&amp;TEXT($T$2,"0")&amp;" h.  ",""))&amp;IF(G46="",LEFT(INDEX(Config!$F$7:$F$11,3),3)&amp;": no entry in BTabs.  ",IF(ABS(G46-$T$2)&gt;$T$3,LEFT(INDEX(Config!$F$7:$F$11,3),3)&amp;": "&amp;TEXT(G46,"0.##")&amp;" h instead of "&amp;TEXT($T$2,"0")&amp;" h.  ",""))&amp;IF(H46="",LEFT(INDEX(Config!$F$7:$F$11,4),3)&amp;": no entry in BTabs.  ",IF(ABS(H46-$T$2)&gt;$T$3,LEFT(INDEX(Config!$F$7:$F$11,4),3)&amp;": "&amp;TEXT(H46,"0.##")&amp;" h instead of "&amp;TEXT($T$2,"0")&amp;" h.  ",""))&amp;IF(I46="",LEFT(INDEX(Config!$F$7:$F$11,5),3)&amp;": no entry in BTabs.  ",IF(ABS(I46-$T$2)&gt;$T$3,LEFT(INDEX(Config!$F$7:$F$11,5),3)&amp;": "&amp;TEXT(I46,"0.##")&amp;" h instead of "&amp;TEXT($T$2,"0")&amp;" h.  ","")))))</f>
        <v>All 5 days closed at target. Nothing to fix.</v>
      </c>
    </row>
    <row r="47" spans="2:18" x14ac:dyDescent="0.25">
      <c r="B47" s="33">
        <f t="shared" si="6"/>
        <v>38</v>
      </c>
      <c r="C47" s="34" t="str">
        <f>IF(ROW()-9&gt;Config!$C$14,"",INDEX(BPOworkers!$B$6:$B$105,ROW()-9))</f>
        <v>S Calderon</v>
      </c>
      <c r="D47" s="34" t="str">
        <f>IF($C47="","",IFERROR(INDEX(BPOworkers!$E$6:$E$105,MATCH($C47,BPOworkers!$B$6:$B$105,0)),""))</f>
        <v>S Romero</v>
      </c>
      <c r="E47" s="29">
        <f>IF($C47="","",IF(INDEX(Detail!$G$4:$G$303,(ROW()-10)*5+1)=0,"",INDEX(Detail!$J$4:$J$303,(ROW()-10)*5+1)))</f>
        <v>8</v>
      </c>
      <c r="F47" s="29">
        <f>IF($C47="","",IF(INDEX(Detail!$G$4:$G$303,(ROW()-10)*5+2)=0,"",INDEX(Detail!$J$4:$J$303,(ROW()-10)*5+2)))</f>
        <v>8</v>
      </c>
      <c r="G47" s="29">
        <f>IF($C47="","",IF(INDEX(Detail!$G$4:$G$303,(ROW()-10)*5+3)=0,"",INDEX(Detail!$J$4:$J$303,(ROW()-10)*5+3)))</f>
        <v>8</v>
      </c>
      <c r="H47" s="29">
        <f>IF($C47="","",IF(INDEX(Detail!$G$4:$G$303,(ROW()-10)*5+4)=0,"",INDEX(Detail!$J$4:$J$303,(ROW()-10)*5+4)))</f>
        <v>8</v>
      </c>
      <c r="I47" s="29">
        <f>IF($C47="","",IF(INDEX(Detail!$G$4:$G$303,(ROW()-10)*5+5)=0,"",INDEX(Detail!$J$4:$J$303,(ROW()-10)*5+5)))</f>
        <v>8</v>
      </c>
      <c r="J47" s="35">
        <f t="shared" si="7"/>
        <v>40</v>
      </c>
      <c r="K47" s="36">
        <f>IF($C47="","",Config!$C$16)</f>
        <v>40</v>
      </c>
      <c r="L47" s="36">
        <f t="shared" si="8"/>
        <v>0</v>
      </c>
      <c r="M47" s="33">
        <f t="shared" si="9"/>
        <v>5</v>
      </c>
      <c r="N47" s="33">
        <f>IF($C47="","",COUNTIFS(Detail!$C$4:$C$303,$C47,Detail!$N$4:$N$303,0))</f>
        <v>5</v>
      </c>
      <c r="O47" s="33">
        <f>IF($C47="","",COUNTIFS(Detail!$C$4:$C$303,$C47,Detail!$N$4:$N$303,"&gt;0"))</f>
        <v>0</v>
      </c>
      <c r="P47" s="37" t="str">
        <f t="shared" si="10"/>
        <v>✅ PERFECT WEEK</v>
      </c>
      <c r="Q47" s="28">
        <f t="shared" si="11"/>
        <v>0</v>
      </c>
      <c r="R47" s="38" t="str">
        <f>IF($C47="","",IF($O47=0,"All 5 days closed at target. Nothing to fix.",TRIM(IF(E47="",LEFT(INDEX(Config!$F$7:$F$11,1),3)&amp;": no entry in BTabs.  ",IF(ABS(E47-$T$2)&gt;$T$3,LEFT(INDEX(Config!$F$7:$F$11,1),3)&amp;": "&amp;TEXT(E47,"0.##")&amp;" h instead of "&amp;TEXT($T$2,"0")&amp;" h.  ",""))&amp;IF(F47="",LEFT(INDEX(Config!$F$7:$F$11,2),3)&amp;": no entry in BTabs.  ",IF(ABS(F47-$T$2)&gt;$T$3,LEFT(INDEX(Config!$F$7:$F$11,2),3)&amp;": "&amp;TEXT(F47,"0.##")&amp;" h instead of "&amp;TEXT($T$2,"0")&amp;" h.  ",""))&amp;IF(G47="",LEFT(INDEX(Config!$F$7:$F$11,3),3)&amp;": no entry in BTabs.  ",IF(ABS(G47-$T$2)&gt;$T$3,LEFT(INDEX(Config!$F$7:$F$11,3),3)&amp;": "&amp;TEXT(G47,"0.##")&amp;" h instead of "&amp;TEXT($T$2,"0")&amp;" h.  ",""))&amp;IF(H47="",LEFT(INDEX(Config!$F$7:$F$11,4),3)&amp;": no entry in BTabs.  ",IF(ABS(H47-$T$2)&gt;$T$3,LEFT(INDEX(Config!$F$7:$F$11,4),3)&amp;": "&amp;TEXT(H47,"0.##")&amp;" h instead of "&amp;TEXT($T$2,"0")&amp;" h.  ",""))&amp;IF(I47="",LEFT(INDEX(Config!$F$7:$F$11,5),3)&amp;": no entry in BTabs.  ",IF(ABS(I47-$T$2)&gt;$T$3,LEFT(INDEX(Config!$F$7:$F$11,5),3)&amp;": "&amp;TEXT(I47,"0.##")&amp;" h instead of "&amp;TEXT($T$2,"0")&amp;" h.  ","")))))</f>
        <v>All 5 days closed at target. Nothing to fix.</v>
      </c>
    </row>
    <row r="48" spans="2:18" x14ac:dyDescent="0.25">
      <c r="B48" s="28" t="str">
        <f t="shared" si="6"/>
        <v/>
      </c>
      <c r="C48" s="4" t="str">
        <f>IF(ROW()-9&gt;Config!$C$14,"",INDEX(BPOworkers!$B$6:$B$105,ROW()-9))</f>
        <v/>
      </c>
      <c r="D48" s="4" t="str">
        <f>IF($C48="","",IFERROR(INDEX(BPOworkers!$E$6:$E$105,MATCH($C48,BPOworkers!$B$6:$B$105,0)),""))</f>
        <v/>
      </c>
      <c r="E48" s="29" t="str">
        <f>IF($C48="","",IF(INDEX(Detail!$G$4:$G$303,(ROW()-10)*5+1)=0,"",INDEX(Detail!$J$4:$J$303,(ROW()-10)*5+1)))</f>
        <v/>
      </c>
      <c r="F48" s="29" t="str">
        <f>IF($C48="","",IF(INDEX(Detail!$G$4:$G$303,(ROW()-10)*5+2)=0,"",INDEX(Detail!$J$4:$J$303,(ROW()-10)*5+2)))</f>
        <v/>
      </c>
      <c r="G48" s="29" t="str">
        <f>IF($C48="","",IF(INDEX(Detail!$G$4:$G$303,(ROW()-10)*5+3)=0,"",INDEX(Detail!$J$4:$J$303,(ROW()-10)*5+3)))</f>
        <v/>
      </c>
      <c r="H48" s="29" t="str">
        <f>IF($C48="","",IF(INDEX(Detail!$G$4:$G$303,(ROW()-10)*5+4)=0,"",INDEX(Detail!$J$4:$J$303,(ROW()-10)*5+4)))</f>
        <v/>
      </c>
      <c r="I48" s="29" t="str">
        <f>IF($C48="","",IF(INDEX(Detail!$G$4:$G$303,(ROW()-10)*5+5)=0,"",INDEX(Detail!$J$4:$J$303,(ROW()-10)*5+5)))</f>
        <v/>
      </c>
      <c r="J48" s="30" t="str">
        <f t="shared" si="7"/>
        <v/>
      </c>
      <c r="K48" s="29" t="str">
        <f>IF($C48="","",Config!$C$16)</f>
        <v/>
      </c>
      <c r="L48" s="29" t="str">
        <f t="shared" si="8"/>
        <v/>
      </c>
      <c r="M48" s="28" t="str">
        <f t="shared" si="9"/>
        <v/>
      </c>
      <c r="N48" s="28" t="str">
        <f>IF($C48="","",COUNTIFS(Detail!$C$4:$C$303,$C48,Detail!$N$4:$N$303,0))</f>
        <v/>
      </c>
      <c r="O48" s="28" t="str">
        <f>IF($C48="","",COUNTIFS(Detail!$C$4:$C$303,$C48,Detail!$N$4:$N$303,"&gt;0"))</f>
        <v/>
      </c>
      <c r="P48" s="31" t="str">
        <f t="shared" si="10"/>
        <v/>
      </c>
      <c r="Q48" s="28" t="str">
        <f t="shared" si="11"/>
        <v/>
      </c>
      <c r="R48" s="32" t="str">
        <f>IF($C48="","",IF($O48=0,"All 5 days closed at target. Nothing to fix.",TRIM(IF(E48="",LEFT(INDEX(Config!$F$7:$F$11,1),3)&amp;": no entry in BTabs.  ",IF(ABS(E48-$T$2)&gt;$T$3,LEFT(INDEX(Config!$F$7:$F$11,1),3)&amp;": "&amp;TEXT(E48,"0.##")&amp;" h instead of "&amp;TEXT($T$2,"0")&amp;" h.  ",""))&amp;IF(F48="",LEFT(INDEX(Config!$F$7:$F$11,2),3)&amp;": no entry in BTabs.  ",IF(ABS(F48-$T$2)&gt;$T$3,LEFT(INDEX(Config!$F$7:$F$11,2),3)&amp;": "&amp;TEXT(F48,"0.##")&amp;" h instead of "&amp;TEXT($T$2,"0")&amp;" h.  ",""))&amp;IF(G48="",LEFT(INDEX(Config!$F$7:$F$11,3),3)&amp;": no entry in BTabs.  ",IF(ABS(G48-$T$2)&gt;$T$3,LEFT(INDEX(Config!$F$7:$F$11,3),3)&amp;": "&amp;TEXT(G48,"0.##")&amp;" h instead of "&amp;TEXT($T$2,"0")&amp;" h.  ",""))&amp;IF(H48="",LEFT(INDEX(Config!$F$7:$F$11,4),3)&amp;": no entry in BTabs.  ",IF(ABS(H48-$T$2)&gt;$T$3,LEFT(INDEX(Config!$F$7:$F$11,4),3)&amp;": "&amp;TEXT(H48,"0.##")&amp;" h instead of "&amp;TEXT($T$2,"0")&amp;" h.  ",""))&amp;IF(I48="",LEFT(INDEX(Config!$F$7:$F$11,5),3)&amp;": no entry in BTabs.  ",IF(ABS(I48-$T$2)&gt;$T$3,LEFT(INDEX(Config!$F$7:$F$11,5),3)&amp;": "&amp;TEXT(I48,"0.##")&amp;" h instead of "&amp;TEXT($T$2,"0")&amp;" h.  ","")))))</f>
        <v/>
      </c>
    </row>
    <row r="49" spans="2:18" x14ac:dyDescent="0.25">
      <c r="B49" s="33" t="str">
        <f t="shared" si="6"/>
        <v/>
      </c>
      <c r="C49" s="34" t="str">
        <f>IF(ROW()-9&gt;Config!$C$14,"",INDEX(BPOworkers!$B$6:$B$105,ROW()-9))</f>
        <v/>
      </c>
      <c r="D49" s="34" t="str">
        <f>IF($C49="","",IFERROR(INDEX(BPOworkers!$E$6:$E$105,MATCH($C49,BPOworkers!$B$6:$B$105,0)),""))</f>
        <v/>
      </c>
      <c r="E49" s="29" t="str">
        <f>IF($C49="","",IF(INDEX(Detail!$G$4:$G$303,(ROW()-10)*5+1)=0,"",INDEX(Detail!$J$4:$J$303,(ROW()-10)*5+1)))</f>
        <v/>
      </c>
      <c r="F49" s="29" t="str">
        <f>IF($C49="","",IF(INDEX(Detail!$G$4:$G$303,(ROW()-10)*5+2)=0,"",INDEX(Detail!$J$4:$J$303,(ROW()-10)*5+2)))</f>
        <v/>
      </c>
      <c r="G49" s="29" t="str">
        <f>IF($C49="","",IF(INDEX(Detail!$G$4:$G$303,(ROW()-10)*5+3)=0,"",INDEX(Detail!$J$4:$J$303,(ROW()-10)*5+3)))</f>
        <v/>
      </c>
      <c r="H49" s="29" t="str">
        <f>IF($C49="","",IF(INDEX(Detail!$G$4:$G$303,(ROW()-10)*5+4)=0,"",INDEX(Detail!$J$4:$J$303,(ROW()-10)*5+4)))</f>
        <v/>
      </c>
      <c r="I49" s="29" t="str">
        <f>IF($C49="","",IF(INDEX(Detail!$G$4:$G$303,(ROW()-10)*5+5)=0,"",INDEX(Detail!$J$4:$J$303,(ROW()-10)*5+5)))</f>
        <v/>
      </c>
      <c r="J49" s="35" t="str">
        <f t="shared" si="7"/>
        <v/>
      </c>
      <c r="K49" s="36" t="str">
        <f>IF($C49="","",Config!$C$16)</f>
        <v/>
      </c>
      <c r="L49" s="36" t="str">
        <f t="shared" si="8"/>
        <v/>
      </c>
      <c r="M49" s="33" t="str">
        <f t="shared" si="9"/>
        <v/>
      </c>
      <c r="N49" s="33" t="str">
        <f>IF($C49="","",COUNTIFS(Detail!$C$4:$C$303,$C49,Detail!$N$4:$N$303,0))</f>
        <v/>
      </c>
      <c r="O49" s="33" t="str">
        <f>IF($C49="","",COUNTIFS(Detail!$C$4:$C$303,$C49,Detail!$N$4:$N$303,"&gt;0"))</f>
        <v/>
      </c>
      <c r="P49" s="37" t="str">
        <f t="shared" si="10"/>
        <v/>
      </c>
      <c r="Q49" s="28" t="str">
        <f t="shared" si="11"/>
        <v/>
      </c>
      <c r="R49" s="38" t="str">
        <f>IF($C49="","",IF($O49=0,"All 5 days closed at target. Nothing to fix.",TRIM(IF(E49="",LEFT(INDEX(Config!$F$7:$F$11,1),3)&amp;": no entry in BTabs.  ",IF(ABS(E49-$T$2)&gt;$T$3,LEFT(INDEX(Config!$F$7:$F$11,1),3)&amp;": "&amp;TEXT(E49,"0.##")&amp;" h instead of "&amp;TEXT($T$2,"0")&amp;" h.  ",""))&amp;IF(F49="",LEFT(INDEX(Config!$F$7:$F$11,2),3)&amp;": no entry in BTabs.  ",IF(ABS(F49-$T$2)&gt;$T$3,LEFT(INDEX(Config!$F$7:$F$11,2),3)&amp;": "&amp;TEXT(F49,"0.##")&amp;" h instead of "&amp;TEXT($T$2,"0")&amp;" h.  ",""))&amp;IF(G49="",LEFT(INDEX(Config!$F$7:$F$11,3),3)&amp;": no entry in BTabs.  ",IF(ABS(G49-$T$2)&gt;$T$3,LEFT(INDEX(Config!$F$7:$F$11,3),3)&amp;": "&amp;TEXT(G49,"0.##")&amp;" h instead of "&amp;TEXT($T$2,"0")&amp;" h.  ",""))&amp;IF(H49="",LEFT(INDEX(Config!$F$7:$F$11,4),3)&amp;": no entry in BTabs.  ",IF(ABS(H49-$T$2)&gt;$T$3,LEFT(INDEX(Config!$F$7:$F$11,4),3)&amp;": "&amp;TEXT(H49,"0.##")&amp;" h instead of "&amp;TEXT($T$2,"0")&amp;" h.  ",""))&amp;IF(I49="",LEFT(INDEX(Config!$F$7:$F$11,5),3)&amp;": no entry in BTabs.  ",IF(ABS(I49-$T$2)&gt;$T$3,LEFT(INDEX(Config!$F$7:$F$11,5),3)&amp;": "&amp;TEXT(I49,"0.##")&amp;" h instead of "&amp;TEXT($T$2,"0")&amp;" h.  ","")))))</f>
        <v/>
      </c>
    </row>
    <row r="50" spans="2:18" x14ac:dyDescent="0.25">
      <c r="B50" s="28" t="str">
        <f t="shared" si="6"/>
        <v/>
      </c>
      <c r="C50" s="4" t="str">
        <f>IF(ROW()-9&gt;Config!$C$14,"",INDEX(BPOworkers!$B$6:$B$105,ROW()-9))</f>
        <v/>
      </c>
      <c r="D50" s="4" t="str">
        <f>IF($C50="","",IFERROR(INDEX(BPOworkers!$E$6:$E$105,MATCH($C50,BPOworkers!$B$6:$B$105,0)),""))</f>
        <v/>
      </c>
      <c r="E50" s="29" t="str">
        <f>IF($C50="","",IF(INDEX(Detail!$G$4:$G$303,(ROW()-10)*5+1)=0,"",INDEX(Detail!$J$4:$J$303,(ROW()-10)*5+1)))</f>
        <v/>
      </c>
      <c r="F50" s="29" t="str">
        <f>IF($C50="","",IF(INDEX(Detail!$G$4:$G$303,(ROW()-10)*5+2)=0,"",INDEX(Detail!$J$4:$J$303,(ROW()-10)*5+2)))</f>
        <v/>
      </c>
      <c r="G50" s="29" t="str">
        <f>IF($C50="","",IF(INDEX(Detail!$G$4:$G$303,(ROW()-10)*5+3)=0,"",INDEX(Detail!$J$4:$J$303,(ROW()-10)*5+3)))</f>
        <v/>
      </c>
      <c r="H50" s="29" t="str">
        <f>IF($C50="","",IF(INDEX(Detail!$G$4:$G$303,(ROW()-10)*5+4)=0,"",INDEX(Detail!$J$4:$J$303,(ROW()-10)*5+4)))</f>
        <v/>
      </c>
      <c r="I50" s="29" t="str">
        <f>IF($C50="","",IF(INDEX(Detail!$G$4:$G$303,(ROW()-10)*5+5)=0,"",INDEX(Detail!$J$4:$J$303,(ROW()-10)*5+5)))</f>
        <v/>
      </c>
      <c r="J50" s="30" t="str">
        <f t="shared" si="7"/>
        <v/>
      </c>
      <c r="K50" s="29" t="str">
        <f>IF($C50="","",Config!$C$16)</f>
        <v/>
      </c>
      <c r="L50" s="29" t="str">
        <f t="shared" si="8"/>
        <v/>
      </c>
      <c r="M50" s="28" t="str">
        <f t="shared" si="9"/>
        <v/>
      </c>
      <c r="N50" s="28" t="str">
        <f>IF($C50="","",COUNTIFS(Detail!$C$4:$C$303,$C50,Detail!$N$4:$N$303,0))</f>
        <v/>
      </c>
      <c r="O50" s="28" t="str">
        <f>IF($C50="","",COUNTIFS(Detail!$C$4:$C$303,$C50,Detail!$N$4:$N$303,"&gt;0"))</f>
        <v/>
      </c>
      <c r="P50" s="31" t="str">
        <f t="shared" si="10"/>
        <v/>
      </c>
      <c r="Q50" s="28" t="str">
        <f t="shared" si="11"/>
        <v/>
      </c>
      <c r="R50" s="32" t="str">
        <f>IF($C50="","",IF($O50=0,"All 5 days closed at target. Nothing to fix.",TRIM(IF(E50="",LEFT(INDEX(Config!$F$7:$F$11,1),3)&amp;": no entry in BTabs.  ",IF(ABS(E50-$T$2)&gt;$T$3,LEFT(INDEX(Config!$F$7:$F$11,1),3)&amp;": "&amp;TEXT(E50,"0.##")&amp;" h instead of "&amp;TEXT($T$2,"0")&amp;" h.  ",""))&amp;IF(F50="",LEFT(INDEX(Config!$F$7:$F$11,2),3)&amp;": no entry in BTabs.  ",IF(ABS(F50-$T$2)&gt;$T$3,LEFT(INDEX(Config!$F$7:$F$11,2),3)&amp;": "&amp;TEXT(F50,"0.##")&amp;" h instead of "&amp;TEXT($T$2,"0")&amp;" h.  ",""))&amp;IF(G50="",LEFT(INDEX(Config!$F$7:$F$11,3),3)&amp;": no entry in BTabs.  ",IF(ABS(G50-$T$2)&gt;$T$3,LEFT(INDEX(Config!$F$7:$F$11,3),3)&amp;": "&amp;TEXT(G50,"0.##")&amp;" h instead of "&amp;TEXT($T$2,"0")&amp;" h.  ",""))&amp;IF(H50="",LEFT(INDEX(Config!$F$7:$F$11,4),3)&amp;": no entry in BTabs.  ",IF(ABS(H50-$T$2)&gt;$T$3,LEFT(INDEX(Config!$F$7:$F$11,4),3)&amp;": "&amp;TEXT(H50,"0.##")&amp;" h instead of "&amp;TEXT($T$2,"0")&amp;" h.  ",""))&amp;IF(I50="",LEFT(INDEX(Config!$F$7:$F$11,5),3)&amp;": no entry in BTabs.  ",IF(ABS(I50-$T$2)&gt;$T$3,LEFT(INDEX(Config!$F$7:$F$11,5),3)&amp;": "&amp;TEXT(I50,"0.##")&amp;" h instead of "&amp;TEXT($T$2,"0")&amp;" h.  ","")))))</f>
        <v/>
      </c>
    </row>
    <row r="51" spans="2:18" x14ac:dyDescent="0.25">
      <c r="B51" s="33" t="str">
        <f t="shared" si="6"/>
        <v/>
      </c>
      <c r="C51" s="34" t="str">
        <f>IF(ROW()-9&gt;Config!$C$14,"",INDEX(BPOworkers!$B$6:$B$105,ROW()-9))</f>
        <v/>
      </c>
      <c r="D51" s="34" t="str">
        <f>IF($C51="","",IFERROR(INDEX(BPOworkers!$E$6:$E$105,MATCH($C51,BPOworkers!$B$6:$B$105,0)),""))</f>
        <v/>
      </c>
      <c r="E51" s="29" t="str">
        <f>IF($C51="","",IF(INDEX(Detail!$G$4:$G$303,(ROW()-10)*5+1)=0,"",INDEX(Detail!$J$4:$J$303,(ROW()-10)*5+1)))</f>
        <v/>
      </c>
      <c r="F51" s="29" t="str">
        <f>IF($C51="","",IF(INDEX(Detail!$G$4:$G$303,(ROW()-10)*5+2)=0,"",INDEX(Detail!$J$4:$J$303,(ROW()-10)*5+2)))</f>
        <v/>
      </c>
      <c r="G51" s="29" t="str">
        <f>IF($C51="","",IF(INDEX(Detail!$G$4:$G$303,(ROW()-10)*5+3)=0,"",INDEX(Detail!$J$4:$J$303,(ROW()-10)*5+3)))</f>
        <v/>
      </c>
      <c r="H51" s="29" t="str">
        <f>IF($C51="","",IF(INDEX(Detail!$G$4:$G$303,(ROW()-10)*5+4)=0,"",INDEX(Detail!$J$4:$J$303,(ROW()-10)*5+4)))</f>
        <v/>
      </c>
      <c r="I51" s="29" t="str">
        <f>IF($C51="","",IF(INDEX(Detail!$G$4:$G$303,(ROW()-10)*5+5)=0,"",INDEX(Detail!$J$4:$J$303,(ROW()-10)*5+5)))</f>
        <v/>
      </c>
      <c r="J51" s="35" t="str">
        <f t="shared" si="7"/>
        <v/>
      </c>
      <c r="K51" s="36" t="str">
        <f>IF($C51="","",Config!$C$16)</f>
        <v/>
      </c>
      <c r="L51" s="36" t="str">
        <f t="shared" si="8"/>
        <v/>
      </c>
      <c r="M51" s="33" t="str">
        <f t="shared" si="9"/>
        <v/>
      </c>
      <c r="N51" s="33" t="str">
        <f>IF($C51="","",COUNTIFS(Detail!$C$4:$C$303,$C51,Detail!$N$4:$N$303,0))</f>
        <v/>
      </c>
      <c r="O51" s="33" t="str">
        <f>IF($C51="","",COUNTIFS(Detail!$C$4:$C$303,$C51,Detail!$N$4:$N$303,"&gt;0"))</f>
        <v/>
      </c>
      <c r="P51" s="37" t="str">
        <f t="shared" si="10"/>
        <v/>
      </c>
      <c r="Q51" s="28" t="str">
        <f t="shared" si="11"/>
        <v/>
      </c>
      <c r="R51" s="38" t="str">
        <f>IF($C51="","",IF($O51=0,"All 5 days closed at target. Nothing to fix.",TRIM(IF(E51="",LEFT(INDEX(Config!$F$7:$F$11,1),3)&amp;": no entry in BTabs.  ",IF(ABS(E51-$T$2)&gt;$T$3,LEFT(INDEX(Config!$F$7:$F$11,1),3)&amp;": "&amp;TEXT(E51,"0.##")&amp;" h instead of "&amp;TEXT($T$2,"0")&amp;" h.  ",""))&amp;IF(F51="",LEFT(INDEX(Config!$F$7:$F$11,2),3)&amp;": no entry in BTabs.  ",IF(ABS(F51-$T$2)&gt;$T$3,LEFT(INDEX(Config!$F$7:$F$11,2),3)&amp;": "&amp;TEXT(F51,"0.##")&amp;" h instead of "&amp;TEXT($T$2,"0")&amp;" h.  ",""))&amp;IF(G51="",LEFT(INDEX(Config!$F$7:$F$11,3),3)&amp;": no entry in BTabs.  ",IF(ABS(G51-$T$2)&gt;$T$3,LEFT(INDEX(Config!$F$7:$F$11,3),3)&amp;": "&amp;TEXT(G51,"0.##")&amp;" h instead of "&amp;TEXT($T$2,"0")&amp;" h.  ",""))&amp;IF(H51="",LEFT(INDEX(Config!$F$7:$F$11,4),3)&amp;": no entry in BTabs.  ",IF(ABS(H51-$T$2)&gt;$T$3,LEFT(INDEX(Config!$F$7:$F$11,4),3)&amp;": "&amp;TEXT(H51,"0.##")&amp;" h instead of "&amp;TEXT($T$2,"0")&amp;" h.  ",""))&amp;IF(I51="",LEFT(INDEX(Config!$F$7:$F$11,5),3)&amp;": no entry in BTabs.  ",IF(ABS(I51-$T$2)&gt;$T$3,LEFT(INDEX(Config!$F$7:$F$11,5),3)&amp;": "&amp;TEXT(I51,"0.##")&amp;" h instead of "&amp;TEXT($T$2,"0")&amp;" h.  ","")))))</f>
        <v/>
      </c>
    </row>
    <row r="52" spans="2:18" x14ac:dyDescent="0.25">
      <c r="B52" s="28" t="str">
        <f t="shared" si="6"/>
        <v/>
      </c>
      <c r="C52" s="4" t="str">
        <f>IF(ROW()-9&gt;Config!$C$14,"",INDEX(BPOworkers!$B$6:$B$105,ROW()-9))</f>
        <v/>
      </c>
      <c r="D52" s="4" t="str">
        <f>IF($C52="","",IFERROR(INDEX(BPOworkers!$E$6:$E$105,MATCH($C52,BPOworkers!$B$6:$B$105,0)),""))</f>
        <v/>
      </c>
      <c r="E52" s="29" t="str">
        <f>IF($C52="","",IF(INDEX(Detail!$G$4:$G$303,(ROW()-10)*5+1)=0,"",INDEX(Detail!$J$4:$J$303,(ROW()-10)*5+1)))</f>
        <v/>
      </c>
      <c r="F52" s="29" t="str">
        <f>IF($C52="","",IF(INDEX(Detail!$G$4:$G$303,(ROW()-10)*5+2)=0,"",INDEX(Detail!$J$4:$J$303,(ROW()-10)*5+2)))</f>
        <v/>
      </c>
      <c r="G52" s="29" t="str">
        <f>IF($C52="","",IF(INDEX(Detail!$G$4:$G$303,(ROW()-10)*5+3)=0,"",INDEX(Detail!$J$4:$J$303,(ROW()-10)*5+3)))</f>
        <v/>
      </c>
      <c r="H52" s="29" t="str">
        <f>IF($C52="","",IF(INDEX(Detail!$G$4:$G$303,(ROW()-10)*5+4)=0,"",INDEX(Detail!$J$4:$J$303,(ROW()-10)*5+4)))</f>
        <v/>
      </c>
      <c r="I52" s="29" t="str">
        <f>IF($C52="","",IF(INDEX(Detail!$G$4:$G$303,(ROW()-10)*5+5)=0,"",INDEX(Detail!$J$4:$J$303,(ROW()-10)*5+5)))</f>
        <v/>
      </c>
      <c r="J52" s="30" t="str">
        <f t="shared" si="7"/>
        <v/>
      </c>
      <c r="K52" s="29" t="str">
        <f>IF($C52="","",Config!$C$16)</f>
        <v/>
      </c>
      <c r="L52" s="29" t="str">
        <f t="shared" si="8"/>
        <v/>
      </c>
      <c r="M52" s="28" t="str">
        <f t="shared" si="9"/>
        <v/>
      </c>
      <c r="N52" s="28" t="str">
        <f>IF($C52="","",COUNTIFS(Detail!$C$4:$C$303,$C52,Detail!$N$4:$N$303,0))</f>
        <v/>
      </c>
      <c r="O52" s="28" t="str">
        <f>IF($C52="","",COUNTIFS(Detail!$C$4:$C$303,$C52,Detail!$N$4:$N$303,"&gt;0"))</f>
        <v/>
      </c>
      <c r="P52" s="31" t="str">
        <f t="shared" si="10"/>
        <v/>
      </c>
      <c r="Q52" s="28" t="str">
        <f t="shared" si="11"/>
        <v/>
      </c>
      <c r="R52" s="32" t="str">
        <f>IF($C52="","",IF($O52=0,"All 5 days closed at target. Nothing to fix.",TRIM(IF(E52="",LEFT(INDEX(Config!$F$7:$F$11,1),3)&amp;": no entry in BTabs.  ",IF(ABS(E52-$T$2)&gt;$T$3,LEFT(INDEX(Config!$F$7:$F$11,1),3)&amp;": "&amp;TEXT(E52,"0.##")&amp;" h instead of "&amp;TEXT($T$2,"0")&amp;" h.  ",""))&amp;IF(F52="",LEFT(INDEX(Config!$F$7:$F$11,2),3)&amp;": no entry in BTabs.  ",IF(ABS(F52-$T$2)&gt;$T$3,LEFT(INDEX(Config!$F$7:$F$11,2),3)&amp;": "&amp;TEXT(F52,"0.##")&amp;" h instead of "&amp;TEXT($T$2,"0")&amp;" h.  ",""))&amp;IF(G52="",LEFT(INDEX(Config!$F$7:$F$11,3),3)&amp;": no entry in BTabs.  ",IF(ABS(G52-$T$2)&gt;$T$3,LEFT(INDEX(Config!$F$7:$F$11,3),3)&amp;": "&amp;TEXT(G52,"0.##")&amp;" h instead of "&amp;TEXT($T$2,"0")&amp;" h.  ",""))&amp;IF(H52="",LEFT(INDEX(Config!$F$7:$F$11,4),3)&amp;": no entry in BTabs.  ",IF(ABS(H52-$T$2)&gt;$T$3,LEFT(INDEX(Config!$F$7:$F$11,4),3)&amp;": "&amp;TEXT(H52,"0.##")&amp;" h instead of "&amp;TEXT($T$2,"0")&amp;" h.  ",""))&amp;IF(I52="",LEFT(INDEX(Config!$F$7:$F$11,5),3)&amp;": no entry in BTabs.  ",IF(ABS(I52-$T$2)&gt;$T$3,LEFT(INDEX(Config!$F$7:$F$11,5),3)&amp;": "&amp;TEXT(I52,"0.##")&amp;" h instead of "&amp;TEXT($T$2,"0")&amp;" h.  ","")))))</f>
        <v/>
      </c>
    </row>
    <row r="53" spans="2:18" x14ac:dyDescent="0.25">
      <c r="B53" s="33" t="str">
        <f t="shared" si="6"/>
        <v/>
      </c>
      <c r="C53" s="34" t="str">
        <f>IF(ROW()-9&gt;Config!$C$14,"",INDEX(BPOworkers!$B$6:$B$105,ROW()-9))</f>
        <v/>
      </c>
      <c r="D53" s="34" t="str">
        <f>IF($C53="","",IFERROR(INDEX(BPOworkers!$E$6:$E$105,MATCH($C53,BPOworkers!$B$6:$B$105,0)),""))</f>
        <v/>
      </c>
      <c r="E53" s="29" t="str">
        <f>IF($C53="","",IF(INDEX(Detail!$G$4:$G$303,(ROW()-10)*5+1)=0,"",INDEX(Detail!$J$4:$J$303,(ROW()-10)*5+1)))</f>
        <v/>
      </c>
      <c r="F53" s="29" t="str">
        <f>IF($C53="","",IF(INDEX(Detail!$G$4:$G$303,(ROW()-10)*5+2)=0,"",INDEX(Detail!$J$4:$J$303,(ROW()-10)*5+2)))</f>
        <v/>
      </c>
      <c r="G53" s="29" t="str">
        <f>IF($C53="","",IF(INDEX(Detail!$G$4:$G$303,(ROW()-10)*5+3)=0,"",INDEX(Detail!$J$4:$J$303,(ROW()-10)*5+3)))</f>
        <v/>
      </c>
      <c r="H53" s="29" t="str">
        <f>IF($C53="","",IF(INDEX(Detail!$G$4:$G$303,(ROW()-10)*5+4)=0,"",INDEX(Detail!$J$4:$J$303,(ROW()-10)*5+4)))</f>
        <v/>
      </c>
      <c r="I53" s="29" t="str">
        <f>IF($C53="","",IF(INDEX(Detail!$G$4:$G$303,(ROW()-10)*5+5)=0,"",INDEX(Detail!$J$4:$J$303,(ROW()-10)*5+5)))</f>
        <v/>
      </c>
      <c r="J53" s="35" t="str">
        <f t="shared" si="7"/>
        <v/>
      </c>
      <c r="K53" s="36" t="str">
        <f>IF($C53="","",Config!$C$16)</f>
        <v/>
      </c>
      <c r="L53" s="36" t="str">
        <f t="shared" si="8"/>
        <v/>
      </c>
      <c r="M53" s="33" t="str">
        <f t="shared" si="9"/>
        <v/>
      </c>
      <c r="N53" s="33" t="str">
        <f>IF($C53="","",COUNTIFS(Detail!$C$4:$C$303,$C53,Detail!$N$4:$N$303,0))</f>
        <v/>
      </c>
      <c r="O53" s="33" t="str">
        <f>IF($C53="","",COUNTIFS(Detail!$C$4:$C$303,$C53,Detail!$N$4:$N$303,"&gt;0"))</f>
        <v/>
      </c>
      <c r="P53" s="37" t="str">
        <f t="shared" si="10"/>
        <v/>
      </c>
      <c r="Q53" s="28" t="str">
        <f t="shared" si="11"/>
        <v/>
      </c>
      <c r="R53" s="38" t="str">
        <f>IF($C53="","",IF($O53=0,"All 5 days closed at target. Nothing to fix.",TRIM(IF(E53="",LEFT(INDEX(Config!$F$7:$F$11,1),3)&amp;": no entry in BTabs.  ",IF(ABS(E53-$T$2)&gt;$T$3,LEFT(INDEX(Config!$F$7:$F$11,1),3)&amp;": "&amp;TEXT(E53,"0.##")&amp;" h instead of "&amp;TEXT($T$2,"0")&amp;" h.  ",""))&amp;IF(F53="",LEFT(INDEX(Config!$F$7:$F$11,2),3)&amp;": no entry in BTabs.  ",IF(ABS(F53-$T$2)&gt;$T$3,LEFT(INDEX(Config!$F$7:$F$11,2),3)&amp;": "&amp;TEXT(F53,"0.##")&amp;" h instead of "&amp;TEXT($T$2,"0")&amp;" h.  ",""))&amp;IF(G53="",LEFT(INDEX(Config!$F$7:$F$11,3),3)&amp;": no entry in BTabs.  ",IF(ABS(G53-$T$2)&gt;$T$3,LEFT(INDEX(Config!$F$7:$F$11,3),3)&amp;": "&amp;TEXT(G53,"0.##")&amp;" h instead of "&amp;TEXT($T$2,"0")&amp;" h.  ",""))&amp;IF(H53="",LEFT(INDEX(Config!$F$7:$F$11,4),3)&amp;": no entry in BTabs.  ",IF(ABS(H53-$T$2)&gt;$T$3,LEFT(INDEX(Config!$F$7:$F$11,4),3)&amp;": "&amp;TEXT(H53,"0.##")&amp;" h instead of "&amp;TEXT($T$2,"0")&amp;" h.  ",""))&amp;IF(I53="",LEFT(INDEX(Config!$F$7:$F$11,5),3)&amp;": no entry in BTabs.  ",IF(ABS(I53-$T$2)&gt;$T$3,LEFT(INDEX(Config!$F$7:$F$11,5),3)&amp;": "&amp;TEXT(I53,"0.##")&amp;" h instead of "&amp;TEXT($T$2,"0")&amp;" h.  ","")))))</f>
        <v/>
      </c>
    </row>
    <row r="54" spans="2:18" x14ac:dyDescent="0.25">
      <c r="B54" s="28" t="str">
        <f t="shared" si="6"/>
        <v/>
      </c>
      <c r="C54" s="4" t="str">
        <f>IF(ROW()-9&gt;Config!$C$14,"",INDEX(BPOworkers!$B$6:$B$105,ROW()-9))</f>
        <v/>
      </c>
      <c r="D54" s="4" t="str">
        <f>IF($C54="","",IFERROR(INDEX(BPOworkers!$E$6:$E$105,MATCH($C54,BPOworkers!$B$6:$B$105,0)),""))</f>
        <v/>
      </c>
      <c r="E54" s="29" t="str">
        <f>IF($C54="","",IF(INDEX(Detail!$G$4:$G$303,(ROW()-10)*5+1)=0,"",INDEX(Detail!$J$4:$J$303,(ROW()-10)*5+1)))</f>
        <v/>
      </c>
      <c r="F54" s="29" t="str">
        <f>IF($C54="","",IF(INDEX(Detail!$G$4:$G$303,(ROW()-10)*5+2)=0,"",INDEX(Detail!$J$4:$J$303,(ROW()-10)*5+2)))</f>
        <v/>
      </c>
      <c r="G54" s="29" t="str">
        <f>IF($C54="","",IF(INDEX(Detail!$G$4:$G$303,(ROW()-10)*5+3)=0,"",INDEX(Detail!$J$4:$J$303,(ROW()-10)*5+3)))</f>
        <v/>
      </c>
      <c r="H54" s="29" t="str">
        <f>IF($C54="","",IF(INDEX(Detail!$G$4:$G$303,(ROW()-10)*5+4)=0,"",INDEX(Detail!$J$4:$J$303,(ROW()-10)*5+4)))</f>
        <v/>
      </c>
      <c r="I54" s="29" t="str">
        <f>IF($C54="","",IF(INDEX(Detail!$G$4:$G$303,(ROW()-10)*5+5)=0,"",INDEX(Detail!$J$4:$J$303,(ROW()-10)*5+5)))</f>
        <v/>
      </c>
      <c r="J54" s="30" t="str">
        <f t="shared" si="7"/>
        <v/>
      </c>
      <c r="K54" s="29" t="str">
        <f>IF($C54="","",Config!$C$16)</f>
        <v/>
      </c>
      <c r="L54" s="29" t="str">
        <f t="shared" si="8"/>
        <v/>
      </c>
      <c r="M54" s="28" t="str">
        <f t="shared" si="9"/>
        <v/>
      </c>
      <c r="N54" s="28" t="str">
        <f>IF($C54="","",COUNTIFS(Detail!$C$4:$C$303,$C54,Detail!$N$4:$N$303,0))</f>
        <v/>
      </c>
      <c r="O54" s="28" t="str">
        <f>IF($C54="","",COUNTIFS(Detail!$C$4:$C$303,$C54,Detail!$N$4:$N$303,"&gt;0"))</f>
        <v/>
      </c>
      <c r="P54" s="31" t="str">
        <f t="shared" si="10"/>
        <v/>
      </c>
      <c r="Q54" s="28" t="str">
        <f t="shared" si="11"/>
        <v/>
      </c>
      <c r="R54" s="32" t="str">
        <f>IF($C54="","",IF($O54=0,"All 5 days closed at target. Nothing to fix.",TRIM(IF(E54="",LEFT(INDEX(Config!$F$7:$F$11,1),3)&amp;": no entry in BTabs.  ",IF(ABS(E54-$T$2)&gt;$T$3,LEFT(INDEX(Config!$F$7:$F$11,1),3)&amp;": "&amp;TEXT(E54,"0.##")&amp;" h instead of "&amp;TEXT($T$2,"0")&amp;" h.  ",""))&amp;IF(F54="",LEFT(INDEX(Config!$F$7:$F$11,2),3)&amp;": no entry in BTabs.  ",IF(ABS(F54-$T$2)&gt;$T$3,LEFT(INDEX(Config!$F$7:$F$11,2),3)&amp;": "&amp;TEXT(F54,"0.##")&amp;" h instead of "&amp;TEXT($T$2,"0")&amp;" h.  ",""))&amp;IF(G54="",LEFT(INDEX(Config!$F$7:$F$11,3),3)&amp;": no entry in BTabs.  ",IF(ABS(G54-$T$2)&gt;$T$3,LEFT(INDEX(Config!$F$7:$F$11,3),3)&amp;": "&amp;TEXT(G54,"0.##")&amp;" h instead of "&amp;TEXT($T$2,"0")&amp;" h.  ",""))&amp;IF(H54="",LEFT(INDEX(Config!$F$7:$F$11,4),3)&amp;": no entry in BTabs.  ",IF(ABS(H54-$T$2)&gt;$T$3,LEFT(INDEX(Config!$F$7:$F$11,4),3)&amp;": "&amp;TEXT(H54,"0.##")&amp;" h instead of "&amp;TEXT($T$2,"0")&amp;" h.  ",""))&amp;IF(I54="",LEFT(INDEX(Config!$F$7:$F$11,5),3)&amp;": no entry in BTabs.  ",IF(ABS(I54-$T$2)&gt;$T$3,LEFT(INDEX(Config!$F$7:$F$11,5),3)&amp;": "&amp;TEXT(I54,"0.##")&amp;" h instead of "&amp;TEXT($T$2,"0")&amp;" h.  ","")))))</f>
        <v/>
      </c>
    </row>
    <row r="55" spans="2:18" x14ac:dyDescent="0.25">
      <c r="B55" s="33" t="str">
        <f t="shared" si="6"/>
        <v/>
      </c>
      <c r="C55" s="34" t="str">
        <f>IF(ROW()-9&gt;Config!$C$14,"",INDEX(BPOworkers!$B$6:$B$105,ROW()-9))</f>
        <v/>
      </c>
      <c r="D55" s="34" t="str">
        <f>IF($C55="","",IFERROR(INDEX(BPOworkers!$E$6:$E$105,MATCH($C55,BPOworkers!$B$6:$B$105,0)),""))</f>
        <v/>
      </c>
      <c r="E55" s="29" t="str">
        <f>IF($C55="","",IF(INDEX(Detail!$G$4:$G$303,(ROW()-10)*5+1)=0,"",INDEX(Detail!$J$4:$J$303,(ROW()-10)*5+1)))</f>
        <v/>
      </c>
      <c r="F55" s="29" t="str">
        <f>IF($C55="","",IF(INDEX(Detail!$G$4:$G$303,(ROW()-10)*5+2)=0,"",INDEX(Detail!$J$4:$J$303,(ROW()-10)*5+2)))</f>
        <v/>
      </c>
      <c r="G55" s="29" t="str">
        <f>IF($C55="","",IF(INDEX(Detail!$G$4:$G$303,(ROW()-10)*5+3)=0,"",INDEX(Detail!$J$4:$J$303,(ROW()-10)*5+3)))</f>
        <v/>
      </c>
      <c r="H55" s="29" t="str">
        <f>IF($C55="","",IF(INDEX(Detail!$G$4:$G$303,(ROW()-10)*5+4)=0,"",INDEX(Detail!$J$4:$J$303,(ROW()-10)*5+4)))</f>
        <v/>
      </c>
      <c r="I55" s="29" t="str">
        <f>IF($C55="","",IF(INDEX(Detail!$G$4:$G$303,(ROW()-10)*5+5)=0,"",INDEX(Detail!$J$4:$J$303,(ROW()-10)*5+5)))</f>
        <v/>
      </c>
      <c r="J55" s="35" t="str">
        <f t="shared" si="7"/>
        <v/>
      </c>
      <c r="K55" s="36" t="str">
        <f>IF($C55="","",Config!$C$16)</f>
        <v/>
      </c>
      <c r="L55" s="36" t="str">
        <f t="shared" si="8"/>
        <v/>
      </c>
      <c r="M55" s="33" t="str">
        <f t="shared" si="9"/>
        <v/>
      </c>
      <c r="N55" s="33" t="str">
        <f>IF($C55="","",COUNTIFS(Detail!$C$4:$C$303,$C55,Detail!$N$4:$N$303,0))</f>
        <v/>
      </c>
      <c r="O55" s="33" t="str">
        <f>IF($C55="","",COUNTIFS(Detail!$C$4:$C$303,$C55,Detail!$N$4:$N$303,"&gt;0"))</f>
        <v/>
      </c>
      <c r="P55" s="37" t="str">
        <f t="shared" si="10"/>
        <v/>
      </c>
      <c r="Q55" s="28" t="str">
        <f t="shared" si="11"/>
        <v/>
      </c>
      <c r="R55" s="38" t="str">
        <f>IF($C55="","",IF($O55=0,"All 5 days closed at target. Nothing to fix.",TRIM(IF(E55="",LEFT(INDEX(Config!$F$7:$F$11,1),3)&amp;": no entry in BTabs.  ",IF(ABS(E55-$T$2)&gt;$T$3,LEFT(INDEX(Config!$F$7:$F$11,1),3)&amp;": "&amp;TEXT(E55,"0.##")&amp;" h instead of "&amp;TEXT($T$2,"0")&amp;" h.  ",""))&amp;IF(F55="",LEFT(INDEX(Config!$F$7:$F$11,2),3)&amp;": no entry in BTabs.  ",IF(ABS(F55-$T$2)&gt;$T$3,LEFT(INDEX(Config!$F$7:$F$11,2),3)&amp;": "&amp;TEXT(F55,"0.##")&amp;" h instead of "&amp;TEXT($T$2,"0")&amp;" h.  ",""))&amp;IF(G55="",LEFT(INDEX(Config!$F$7:$F$11,3),3)&amp;": no entry in BTabs.  ",IF(ABS(G55-$T$2)&gt;$T$3,LEFT(INDEX(Config!$F$7:$F$11,3),3)&amp;": "&amp;TEXT(G55,"0.##")&amp;" h instead of "&amp;TEXT($T$2,"0")&amp;" h.  ",""))&amp;IF(H55="",LEFT(INDEX(Config!$F$7:$F$11,4),3)&amp;": no entry in BTabs.  ",IF(ABS(H55-$T$2)&gt;$T$3,LEFT(INDEX(Config!$F$7:$F$11,4),3)&amp;": "&amp;TEXT(H55,"0.##")&amp;" h instead of "&amp;TEXT($T$2,"0")&amp;" h.  ",""))&amp;IF(I55="",LEFT(INDEX(Config!$F$7:$F$11,5),3)&amp;": no entry in BTabs.  ",IF(ABS(I55-$T$2)&gt;$T$3,LEFT(INDEX(Config!$F$7:$F$11,5),3)&amp;": "&amp;TEXT(I55,"0.##")&amp;" h instead of "&amp;TEXT($T$2,"0")&amp;" h.  ","")))))</f>
        <v/>
      </c>
    </row>
    <row r="56" spans="2:18" x14ac:dyDescent="0.25">
      <c r="B56" s="28" t="str">
        <f t="shared" si="6"/>
        <v/>
      </c>
      <c r="C56" s="4" t="str">
        <f>IF(ROW()-9&gt;Config!$C$14,"",INDEX(BPOworkers!$B$6:$B$105,ROW()-9))</f>
        <v/>
      </c>
      <c r="D56" s="4" t="str">
        <f>IF($C56="","",IFERROR(INDEX(BPOworkers!$E$6:$E$105,MATCH($C56,BPOworkers!$B$6:$B$105,0)),""))</f>
        <v/>
      </c>
      <c r="E56" s="29" t="str">
        <f>IF($C56="","",IF(INDEX(Detail!$G$4:$G$303,(ROW()-10)*5+1)=0,"",INDEX(Detail!$J$4:$J$303,(ROW()-10)*5+1)))</f>
        <v/>
      </c>
      <c r="F56" s="29" t="str">
        <f>IF($C56="","",IF(INDEX(Detail!$G$4:$G$303,(ROW()-10)*5+2)=0,"",INDEX(Detail!$J$4:$J$303,(ROW()-10)*5+2)))</f>
        <v/>
      </c>
      <c r="G56" s="29" t="str">
        <f>IF($C56="","",IF(INDEX(Detail!$G$4:$G$303,(ROW()-10)*5+3)=0,"",INDEX(Detail!$J$4:$J$303,(ROW()-10)*5+3)))</f>
        <v/>
      </c>
      <c r="H56" s="29" t="str">
        <f>IF($C56="","",IF(INDEX(Detail!$G$4:$G$303,(ROW()-10)*5+4)=0,"",INDEX(Detail!$J$4:$J$303,(ROW()-10)*5+4)))</f>
        <v/>
      </c>
      <c r="I56" s="29" t="str">
        <f>IF($C56="","",IF(INDEX(Detail!$G$4:$G$303,(ROW()-10)*5+5)=0,"",INDEX(Detail!$J$4:$J$303,(ROW()-10)*5+5)))</f>
        <v/>
      </c>
      <c r="J56" s="30" t="str">
        <f t="shared" si="7"/>
        <v/>
      </c>
      <c r="K56" s="29" t="str">
        <f>IF($C56="","",Config!$C$16)</f>
        <v/>
      </c>
      <c r="L56" s="29" t="str">
        <f t="shared" si="8"/>
        <v/>
      </c>
      <c r="M56" s="28" t="str">
        <f t="shared" si="9"/>
        <v/>
      </c>
      <c r="N56" s="28" t="str">
        <f>IF($C56="","",COUNTIFS(Detail!$C$4:$C$303,$C56,Detail!$N$4:$N$303,0))</f>
        <v/>
      </c>
      <c r="O56" s="28" t="str">
        <f>IF($C56="","",COUNTIFS(Detail!$C$4:$C$303,$C56,Detail!$N$4:$N$303,"&gt;0"))</f>
        <v/>
      </c>
      <c r="P56" s="31" t="str">
        <f t="shared" si="10"/>
        <v/>
      </c>
      <c r="Q56" s="28" t="str">
        <f t="shared" si="11"/>
        <v/>
      </c>
      <c r="R56" s="32" t="str">
        <f>IF($C56="","",IF($O56=0,"All 5 days closed at target. Nothing to fix.",TRIM(IF(E56="",LEFT(INDEX(Config!$F$7:$F$11,1),3)&amp;": no entry in BTabs.  ",IF(ABS(E56-$T$2)&gt;$T$3,LEFT(INDEX(Config!$F$7:$F$11,1),3)&amp;": "&amp;TEXT(E56,"0.##")&amp;" h instead of "&amp;TEXT($T$2,"0")&amp;" h.  ",""))&amp;IF(F56="",LEFT(INDEX(Config!$F$7:$F$11,2),3)&amp;": no entry in BTabs.  ",IF(ABS(F56-$T$2)&gt;$T$3,LEFT(INDEX(Config!$F$7:$F$11,2),3)&amp;": "&amp;TEXT(F56,"0.##")&amp;" h instead of "&amp;TEXT($T$2,"0")&amp;" h.  ",""))&amp;IF(G56="",LEFT(INDEX(Config!$F$7:$F$11,3),3)&amp;": no entry in BTabs.  ",IF(ABS(G56-$T$2)&gt;$T$3,LEFT(INDEX(Config!$F$7:$F$11,3),3)&amp;": "&amp;TEXT(G56,"0.##")&amp;" h instead of "&amp;TEXT($T$2,"0")&amp;" h.  ",""))&amp;IF(H56="",LEFT(INDEX(Config!$F$7:$F$11,4),3)&amp;": no entry in BTabs.  ",IF(ABS(H56-$T$2)&gt;$T$3,LEFT(INDEX(Config!$F$7:$F$11,4),3)&amp;": "&amp;TEXT(H56,"0.##")&amp;" h instead of "&amp;TEXT($T$2,"0")&amp;" h.  ",""))&amp;IF(I56="",LEFT(INDEX(Config!$F$7:$F$11,5),3)&amp;": no entry in BTabs.  ",IF(ABS(I56-$T$2)&gt;$T$3,LEFT(INDEX(Config!$F$7:$F$11,5),3)&amp;": "&amp;TEXT(I56,"0.##")&amp;" h instead of "&amp;TEXT($T$2,"0")&amp;" h.  ","")))))</f>
        <v/>
      </c>
    </row>
    <row r="57" spans="2:18" x14ac:dyDescent="0.25">
      <c r="B57" s="33" t="str">
        <f t="shared" si="6"/>
        <v/>
      </c>
      <c r="C57" s="34" t="str">
        <f>IF(ROW()-9&gt;Config!$C$14,"",INDEX(BPOworkers!$B$6:$B$105,ROW()-9))</f>
        <v/>
      </c>
      <c r="D57" s="34" t="str">
        <f>IF($C57="","",IFERROR(INDEX(BPOworkers!$E$6:$E$105,MATCH($C57,BPOworkers!$B$6:$B$105,0)),""))</f>
        <v/>
      </c>
      <c r="E57" s="29" t="str">
        <f>IF($C57="","",IF(INDEX(Detail!$G$4:$G$303,(ROW()-10)*5+1)=0,"",INDEX(Detail!$J$4:$J$303,(ROW()-10)*5+1)))</f>
        <v/>
      </c>
      <c r="F57" s="29" t="str">
        <f>IF($C57="","",IF(INDEX(Detail!$G$4:$G$303,(ROW()-10)*5+2)=0,"",INDEX(Detail!$J$4:$J$303,(ROW()-10)*5+2)))</f>
        <v/>
      </c>
      <c r="G57" s="29" t="str">
        <f>IF($C57="","",IF(INDEX(Detail!$G$4:$G$303,(ROW()-10)*5+3)=0,"",INDEX(Detail!$J$4:$J$303,(ROW()-10)*5+3)))</f>
        <v/>
      </c>
      <c r="H57" s="29" t="str">
        <f>IF($C57="","",IF(INDEX(Detail!$G$4:$G$303,(ROW()-10)*5+4)=0,"",INDEX(Detail!$J$4:$J$303,(ROW()-10)*5+4)))</f>
        <v/>
      </c>
      <c r="I57" s="29" t="str">
        <f>IF($C57="","",IF(INDEX(Detail!$G$4:$G$303,(ROW()-10)*5+5)=0,"",INDEX(Detail!$J$4:$J$303,(ROW()-10)*5+5)))</f>
        <v/>
      </c>
      <c r="J57" s="35" t="str">
        <f t="shared" si="7"/>
        <v/>
      </c>
      <c r="K57" s="36" t="str">
        <f>IF($C57="","",Config!$C$16)</f>
        <v/>
      </c>
      <c r="L57" s="36" t="str">
        <f t="shared" si="8"/>
        <v/>
      </c>
      <c r="M57" s="33" t="str">
        <f t="shared" si="9"/>
        <v/>
      </c>
      <c r="N57" s="33" t="str">
        <f>IF($C57="","",COUNTIFS(Detail!$C$4:$C$303,$C57,Detail!$N$4:$N$303,0))</f>
        <v/>
      </c>
      <c r="O57" s="33" t="str">
        <f>IF($C57="","",COUNTIFS(Detail!$C$4:$C$303,$C57,Detail!$N$4:$N$303,"&gt;0"))</f>
        <v/>
      </c>
      <c r="P57" s="37" t="str">
        <f t="shared" si="10"/>
        <v/>
      </c>
      <c r="Q57" s="28" t="str">
        <f t="shared" si="11"/>
        <v/>
      </c>
      <c r="R57" s="38" t="str">
        <f>IF($C57="","",IF($O57=0,"All 5 days closed at target. Nothing to fix.",TRIM(IF(E57="",LEFT(INDEX(Config!$F$7:$F$11,1),3)&amp;": no entry in BTabs.  ",IF(ABS(E57-$T$2)&gt;$T$3,LEFT(INDEX(Config!$F$7:$F$11,1),3)&amp;": "&amp;TEXT(E57,"0.##")&amp;" h instead of "&amp;TEXT($T$2,"0")&amp;" h.  ",""))&amp;IF(F57="",LEFT(INDEX(Config!$F$7:$F$11,2),3)&amp;": no entry in BTabs.  ",IF(ABS(F57-$T$2)&gt;$T$3,LEFT(INDEX(Config!$F$7:$F$11,2),3)&amp;": "&amp;TEXT(F57,"0.##")&amp;" h instead of "&amp;TEXT($T$2,"0")&amp;" h.  ",""))&amp;IF(G57="",LEFT(INDEX(Config!$F$7:$F$11,3),3)&amp;": no entry in BTabs.  ",IF(ABS(G57-$T$2)&gt;$T$3,LEFT(INDEX(Config!$F$7:$F$11,3),3)&amp;": "&amp;TEXT(G57,"0.##")&amp;" h instead of "&amp;TEXT($T$2,"0")&amp;" h.  ",""))&amp;IF(H57="",LEFT(INDEX(Config!$F$7:$F$11,4),3)&amp;": no entry in BTabs.  ",IF(ABS(H57-$T$2)&gt;$T$3,LEFT(INDEX(Config!$F$7:$F$11,4),3)&amp;": "&amp;TEXT(H57,"0.##")&amp;" h instead of "&amp;TEXT($T$2,"0")&amp;" h.  ",""))&amp;IF(I57="",LEFT(INDEX(Config!$F$7:$F$11,5),3)&amp;": no entry in BTabs.  ",IF(ABS(I57-$T$2)&gt;$T$3,LEFT(INDEX(Config!$F$7:$F$11,5),3)&amp;": "&amp;TEXT(I57,"0.##")&amp;" h instead of "&amp;TEXT($T$2,"0")&amp;" h.  ","")))))</f>
        <v/>
      </c>
    </row>
    <row r="58" spans="2:18" x14ac:dyDescent="0.25">
      <c r="B58" s="28" t="str">
        <f t="shared" si="6"/>
        <v/>
      </c>
      <c r="C58" s="4" t="str">
        <f>IF(ROW()-9&gt;Config!$C$14,"",INDEX(BPOworkers!$B$6:$B$105,ROW()-9))</f>
        <v/>
      </c>
      <c r="D58" s="4" t="str">
        <f>IF($C58="","",IFERROR(INDEX(BPOworkers!$E$6:$E$105,MATCH($C58,BPOworkers!$B$6:$B$105,0)),""))</f>
        <v/>
      </c>
      <c r="E58" s="29" t="str">
        <f>IF($C58="","",IF(INDEX(Detail!$G$4:$G$303,(ROW()-10)*5+1)=0,"",INDEX(Detail!$J$4:$J$303,(ROW()-10)*5+1)))</f>
        <v/>
      </c>
      <c r="F58" s="29" t="str">
        <f>IF($C58="","",IF(INDEX(Detail!$G$4:$G$303,(ROW()-10)*5+2)=0,"",INDEX(Detail!$J$4:$J$303,(ROW()-10)*5+2)))</f>
        <v/>
      </c>
      <c r="G58" s="29" t="str">
        <f>IF($C58="","",IF(INDEX(Detail!$G$4:$G$303,(ROW()-10)*5+3)=0,"",INDEX(Detail!$J$4:$J$303,(ROW()-10)*5+3)))</f>
        <v/>
      </c>
      <c r="H58" s="29" t="str">
        <f>IF($C58="","",IF(INDEX(Detail!$G$4:$G$303,(ROW()-10)*5+4)=0,"",INDEX(Detail!$J$4:$J$303,(ROW()-10)*5+4)))</f>
        <v/>
      </c>
      <c r="I58" s="29" t="str">
        <f>IF($C58="","",IF(INDEX(Detail!$G$4:$G$303,(ROW()-10)*5+5)=0,"",INDEX(Detail!$J$4:$J$303,(ROW()-10)*5+5)))</f>
        <v/>
      </c>
      <c r="J58" s="30" t="str">
        <f t="shared" si="7"/>
        <v/>
      </c>
      <c r="K58" s="29" t="str">
        <f>IF($C58="","",Config!$C$16)</f>
        <v/>
      </c>
      <c r="L58" s="29" t="str">
        <f t="shared" si="8"/>
        <v/>
      </c>
      <c r="M58" s="28" t="str">
        <f t="shared" si="9"/>
        <v/>
      </c>
      <c r="N58" s="28" t="str">
        <f>IF($C58="","",COUNTIFS(Detail!$C$4:$C$303,$C58,Detail!$N$4:$N$303,0))</f>
        <v/>
      </c>
      <c r="O58" s="28" t="str">
        <f>IF($C58="","",COUNTIFS(Detail!$C$4:$C$303,$C58,Detail!$N$4:$N$303,"&gt;0"))</f>
        <v/>
      </c>
      <c r="P58" s="31" t="str">
        <f t="shared" si="10"/>
        <v/>
      </c>
      <c r="Q58" s="28" t="str">
        <f t="shared" si="11"/>
        <v/>
      </c>
      <c r="R58" s="32" t="str">
        <f>IF($C58="","",IF($O58=0,"All 5 days closed at target. Nothing to fix.",TRIM(IF(E58="",LEFT(INDEX(Config!$F$7:$F$11,1),3)&amp;": no entry in BTabs.  ",IF(ABS(E58-$T$2)&gt;$T$3,LEFT(INDEX(Config!$F$7:$F$11,1),3)&amp;": "&amp;TEXT(E58,"0.##")&amp;" h instead of "&amp;TEXT($T$2,"0")&amp;" h.  ",""))&amp;IF(F58="",LEFT(INDEX(Config!$F$7:$F$11,2),3)&amp;": no entry in BTabs.  ",IF(ABS(F58-$T$2)&gt;$T$3,LEFT(INDEX(Config!$F$7:$F$11,2),3)&amp;": "&amp;TEXT(F58,"0.##")&amp;" h instead of "&amp;TEXT($T$2,"0")&amp;" h.  ",""))&amp;IF(G58="",LEFT(INDEX(Config!$F$7:$F$11,3),3)&amp;": no entry in BTabs.  ",IF(ABS(G58-$T$2)&gt;$T$3,LEFT(INDEX(Config!$F$7:$F$11,3),3)&amp;": "&amp;TEXT(G58,"0.##")&amp;" h instead of "&amp;TEXT($T$2,"0")&amp;" h.  ",""))&amp;IF(H58="",LEFT(INDEX(Config!$F$7:$F$11,4),3)&amp;": no entry in BTabs.  ",IF(ABS(H58-$T$2)&gt;$T$3,LEFT(INDEX(Config!$F$7:$F$11,4),3)&amp;": "&amp;TEXT(H58,"0.##")&amp;" h instead of "&amp;TEXT($T$2,"0")&amp;" h.  ",""))&amp;IF(I58="",LEFT(INDEX(Config!$F$7:$F$11,5),3)&amp;": no entry in BTabs.  ",IF(ABS(I58-$T$2)&gt;$T$3,LEFT(INDEX(Config!$F$7:$F$11,5),3)&amp;": "&amp;TEXT(I58,"0.##")&amp;" h instead of "&amp;TEXT($T$2,"0")&amp;" h.  ","")))))</f>
        <v/>
      </c>
    </row>
    <row r="59" spans="2:18" x14ac:dyDescent="0.25">
      <c r="B59" s="33" t="str">
        <f t="shared" si="6"/>
        <v/>
      </c>
      <c r="C59" s="34" t="str">
        <f>IF(ROW()-9&gt;Config!$C$14,"",INDEX(BPOworkers!$B$6:$B$105,ROW()-9))</f>
        <v/>
      </c>
      <c r="D59" s="34" t="str">
        <f>IF($C59="","",IFERROR(INDEX(BPOworkers!$E$6:$E$105,MATCH($C59,BPOworkers!$B$6:$B$105,0)),""))</f>
        <v/>
      </c>
      <c r="E59" s="29" t="str">
        <f>IF($C59="","",IF(INDEX(Detail!$G$4:$G$303,(ROW()-10)*5+1)=0,"",INDEX(Detail!$J$4:$J$303,(ROW()-10)*5+1)))</f>
        <v/>
      </c>
      <c r="F59" s="29" t="str">
        <f>IF($C59="","",IF(INDEX(Detail!$G$4:$G$303,(ROW()-10)*5+2)=0,"",INDEX(Detail!$J$4:$J$303,(ROW()-10)*5+2)))</f>
        <v/>
      </c>
      <c r="G59" s="29" t="str">
        <f>IF($C59="","",IF(INDEX(Detail!$G$4:$G$303,(ROW()-10)*5+3)=0,"",INDEX(Detail!$J$4:$J$303,(ROW()-10)*5+3)))</f>
        <v/>
      </c>
      <c r="H59" s="29" t="str">
        <f>IF($C59="","",IF(INDEX(Detail!$G$4:$G$303,(ROW()-10)*5+4)=0,"",INDEX(Detail!$J$4:$J$303,(ROW()-10)*5+4)))</f>
        <v/>
      </c>
      <c r="I59" s="29" t="str">
        <f>IF($C59="","",IF(INDEX(Detail!$G$4:$G$303,(ROW()-10)*5+5)=0,"",INDEX(Detail!$J$4:$J$303,(ROW()-10)*5+5)))</f>
        <v/>
      </c>
      <c r="J59" s="35" t="str">
        <f t="shared" si="7"/>
        <v/>
      </c>
      <c r="K59" s="36" t="str">
        <f>IF($C59="","",Config!$C$16)</f>
        <v/>
      </c>
      <c r="L59" s="36" t="str">
        <f t="shared" si="8"/>
        <v/>
      </c>
      <c r="M59" s="33" t="str">
        <f t="shared" si="9"/>
        <v/>
      </c>
      <c r="N59" s="33" t="str">
        <f>IF($C59="","",COUNTIFS(Detail!$C$4:$C$303,$C59,Detail!$N$4:$N$303,0))</f>
        <v/>
      </c>
      <c r="O59" s="33" t="str">
        <f>IF($C59="","",COUNTIFS(Detail!$C$4:$C$303,$C59,Detail!$N$4:$N$303,"&gt;0"))</f>
        <v/>
      </c>
      <c r="P59" s="37" t="str">
        <f t="shared" si="10"/>
        <v/>
      </c>
      <c r="Q59" s="28" t="str">
        <f t="shared" si="11"/>
        <v/>
      </c>
      <c r="R59" s="38" t="str">
        <f>IF($C59="","",IF($O59=0,"All 5 days closed at target. Nothing to fix.",TRIM(IF(E59="",LEFT(INDEX(Config!$F$7:$F$11,1),3)&amp;": no entry in BTabs.  ",IF(ABS(E59-$T$2)&gt;$T$3,LEFT(INDEX(Config!$F$7:$F$11,1),3)&amp;": "&amp;TEXT(E59,"0.##")&amp;" h instead of "&amp;TEXT($T$2,"0")&amp;" h.  ",""))&amp;IF(F59="",LEFT(INDEX(Config!$F$7:$F$11,2),3)&amp;": no entry in BTabs.  ",IF(ABS(F59-$T$2)&gt;$T$3,LEFT(INDEX(Config!$F$7:$F$11,2),3)&amp;": "&amp;TEXT(F59,"0.##")&amp;" h instead of "&amp;TEXT($T$2,"0")&amp;" h.  ",""))&amp;IF(G59="",LEFT(INDEX(Config!$F$7:$F$11,3),3)&amp;": no entry in BTabs.  ",IF(ABS(G59-$T$2)&gt;$T$3,LEFT(INDEX(Config!$F$7:$F$11,3),3)&amp;": "&amp;TEXT(G59,"0.##")&amp;" h instead of "&amp;TEXT($T$2,"0")&amp;" h.  ",""))&amp;IF(H59="",LEFT(INDEX(Config!$F$7:$F$11,4),3)&amp;": no entry in BTabs.  ",IF(ABS(H59-$T$2)&gt;$T$3,LEFT(INDEX(Config!$F$7:$F$11,4),3)&amp;": "&amp;TEXT(H59,"0.##")&amp;" h instead of "&amp;TEXT($T$2,"0")&amp;" h.  ",""))&amp;IF(I59="",LEFT(INDEX(Config!$F$7:$F$11,5),3)&amp;": no entry in BTabs.  ",IF(ABS(I59-$T$2)&gt;$T$3,LEFT(INDEX(Config!$F$7:$F$11,5),3)&amp;": "&amp;TEXT(I59,"0.##")&amp;" h instead of "&amp;TEXT($T$2,"0")&amp;" h.  ","")))))</f>
        <v/>
      </c>
    </row>
    <row r="60" spans="2:18" x14ac:dyDescent="0.25">
      <c r="B60" s="28" t="str">
        <f t="shared" si="6"/>
        <v/>
      </c>
      <c r="C60" s="4" t="str">
        <f>IF(ROW()-9&gt;Config!$C$14,"",INDEX(BPOworkers!$B$6:$B$105,ROW()-9))</f>
        <v/>
      </c>
      <c r="D60" s="4" t="str">
        <f>IF($C60="","",IFERROR(INDEX(BPOworkers!$E$6:$E$105,MATCH($C60,BPOworkers!$B$6:$B$105,0)),""))</f>
        <v/>
      </c>
      <c r="E60" s="29" t="str">
        <f>IF($C60="","",IF(INDEX(Detail!$G$4:$G$303,(ROW()-10)*5+1)=0,"",INDEX(Detail!$J$4:$J$303,(ROW()-10)*5+1)))</f>
        <v/>
      </c>
      <c r="F60" s="29" t="str">
        <f>IF($C60="","",IF(INDEX(Detail!$G$4:$G$303,(ROW()-10)*5+2)=0,"",INDEX(Detail!$J$4:$J$303,(ROW()-10)*5+2)))</f>
        <v/>
      </c>
      <c r="G60" s="29" t="str">
        <f>IF($C60="","",IF(INDEX(Detail!$G$4:$G$303,(ROW()-10)*5+3)=0,"",INDEX(Detail!$J$4:$J$303,(ROW()-10)*5+3)))</f>
        <v/>
      </c>
      <c r="H60" s="29" t="str">
        <f>IF($C60="","",IF(INDEX(Detail!$G$4:$G$303,(ROW()-10)*5+4)=0,"",INDEX(Detail!$J$4:$J$303,(ROW()-10)*5+4)))</f>
        <v/>
      </c>
      <c r="I60" s="29" t="str">
        <f>IF($C60="","",IF(INDEX(Detail!$G$4:$G$303,(ROW()-10)*5+5)=0,"",INDEX(Detail!$J$4:$J$303,(ROW()-10)*5+5)))</f>
        <v/>
      </c>
      <c r="J60" s="30" t="str">
        <f t="shared" si="7"/>
        <v/>
      </c>
      <c r="K60" s="29" t="str">
        <f>IF($C60="","",Config!$C$16)</f>
        <v/>
      </c>
      <c r="L60" s="29" t="str">
        <f t="shared" si="8"/>
        <v/>
      </c>
      <c r="M60" s="28" t="str">
        <f t="shared" si="9"/>
        <v/>
      </c>
      <c r="N60" s="28" t="str">
        <f>IF($C60="","",COUNTIFS(Detail!$C$4:$C$303,$C60,Detail!$N$4:$N$303,0))</f>
        <v/>
      </c>
      <c r="O60" s="28" t="str">
        <f>IF($C60="","",COUNTIFS(Detail!$C$4:$C$303,$C60,Detail!$N$4:$N$303,"&gt;0"))</f>
        <v/>
      </c>
      <c r="P60" s="31" t="str">
        <f t="shared" si="10"/>
        <v/>
      </c>
      <c r="Q60" s="28" t="str">
        <f t="shared" si="11"/>
        <v/>
      </c>
      <c r="R60" s="32" t="str">
        <f>IF($C60="","",IF($O60=0,"All 5 days closed at target. Nothing to fix.",TRIM(IF(E60="",LEFT(INDEX(Config!$F$7:$F$11,1),3)&amp;": no entry in BTabs.  ",IF(ABS(E60-$T$2)&gt;$T$3,LEFT(INDEX(Config!$F$7:$F$11,1),3)&amp;": "&amp;TEXT(E60,"0.##")&amp;" h instead of "&amp;TEXT($T$2,"0")&amp;" h.  ",""))&amp;IF(F60="",LEFT(INDEX(Config!$F$7:$F$11,2),3)&amp;": no entry in BTabs.  ",IF(ABS(F60-$T$2)&gt;$T$3,LEFT(INDEX(Config!$F$7:$F$11,2),3)&amp;": "&amp;TEXT(F60,"0.##")&amp;" h instead of "&amp;TEXT($T$2,"0")&amp;" h.  ",""))&amp;IF(G60="",LEFT(INDEX(Config!$F$7:$F$11,3),3)&amp;": no entry in BTabs.  ",IF(ABS(G60-$T$2)&gt;$T$3,LEFT(INDEX(Config!$F$7:$F$11,3),3)&amp;": "&amp;TEXT(G60,"0.##")&amp;" h instead of "&amp;TEXT($T$2,"0")&amp;" h.  ",""))&amp;IF(H60="",LEFT(INDEX(Config!$F$7:$F$11,4),3)&amp;": no entry in BTabs.  ",IF(ABS(H60-$T$2)&gt;$T$3,LEFT(INDEX(Config!$F$7:$F$11,4),3)&amp;": "&amp;TEXT(H60,"0.##")&amp;" h instead of "&amp;TEXT($T$2,"0")&amp;" h.  ",""))&amp;IF(I60="",LEFT(INDEX(Config!$F$7:$F$11,5),3)&amp;": no entry in BTabs.  ",IF(ABS(I60-$T$2)&gt;$T$3,LEFT(INDEX(Config!$F$7:$F$11,5),3)&amp;": "&amp;TEXT(I60,"0.##")&amp;" h instead of "&amp;TEXT($T$2,"0")&amp;" h.  ","")))))</f>
        <v/>
      </c>
    </row>
    <row r="61" spans="2:18" x14ac:dyDescent="0.25">
      <c r="B61" s="33" t="str">
        <f t="shared" si="6"/>
        <v/>
      </c>
      <c r="C61" s="34" t="str">
        <f>IF(ROW()-9&gt;Config!$C$14,"",INDEX(BPOworkers!$B$6:$B$105,ROW()-9))</f>
        <v/>
      </c>
      <c r="D61" s="34" t="str">
        <f>IF($C61="","",IFERROR(INDEX(BPOworkers!$E$6:$E$105,MATCH($C61,BPOworkers!$B$6:$B$105,0)),""))</f>
        <v/>
      </c>
      <c r="E61" s="29" t="str">
        <f>IF($C61="","",IF(INDEX(Detail!$G$4:$G$303,(ROW()-10)*5+1)=0,"",INDEX(Detail!$J$4:$J$303,(ROW()-10)*5+1)))</f>
        <v/>
      </c>
      <c r="F61" s="29" t="str">
        <f>IF($C61="","",IF(INDEX(Detail!$G$4:$G$303,(ROW()-10)*5+2)=0,"",INDEX(Detail!$J$4:$J$303,(ROW()-10)*5+2)))</f>
        <v/>
      </c>
      <c r="G61" s="29" t="str">
        <f>IF($C61="","",IF(INDEX(Detail!$G$4:$G$303,(ROW()-10)*5+3)=0,"",INDEX(Detail!$J$4:$J$303,(ROW()-10)*5+3)))</f>
        <v/>
      </c>
      <c r="H61" s="29" t="str">
        <f>IF($C61="","",IF(INDEX(Detail!$G$4:$G$303,(ROW()-10)*5+4)=0,"",INDEX(Detail!$J$4:$J$303,(ROW()-10)*5+4)))</f>
        <v/>
      </c>
      <c r="I61" s="29" t="str">
        <f>IF($C61="","",IF(INDEX(Detail!$G$4:$G$303,(ROW()-10)*5+5)=0,"",INDEX(Detail!$J$4:$J$303,(ROW()-10)*5+5)))</f>
        <v/>
      </c>
      <c r="J61" s="35" t="str">
        <f t="shared" si="7"/>
        <v/>
      </c>
      <c r="K61" s="36" t="str">
        <f>IF($C61="","",Config!$C$16)</f>
        <v/>
      </c>
      <c r="L61" s="36" t="str">
        <f t="shared" si="8"/>
        <v/>
      </c>
      <c r="M61" s="33" t="str">
        <f t="shared" si="9"/>
        <v/>
      </c>
      <c r="N61" s="33" t="str">
        <f>IF($C61="","",COUNTIFS(Detail!$C$4:$C$303,$C61,Detail!$N$4:$N$303,0))</f>
        <v/>
      </c>
      <c r="O61" s="33" t="str">
        <f>IF($C61="","",COUNTIFS(Detail!$C$4:$C$303,$C61,Detail!$N$4:$N$303,"&gt;0"))</f>
        <v/>
      </c>
      <c r="P61" s="37" t="str">
        <f t="shared" si="10"/>
        <v/>
      </c>
      <c r="Q61" s="28" t="str">
        <f t="shared" si="11"/>
        <v/>
      </c>
      <c r="R61" s="38" t="str">
        <f>IF($C61="","",IF($O61=0,"All 5 days closed at target. Nothing to fix.",TRIM(IF(E61="",LEFT(INDEX(Config!$F$7:$F$11,1),3)&amp;": no entry in BTabs.  ",IF(ABS(E61-$T$2)&gt;$T$3,LEFT(INDEX(Config!$F$7:$F$11,1),3)&amp;": "&amp;TEXT(E61,"0.##")&amp;" h instead of "&amp;TEXT($T$2,"0")&amp;" h.  ",""))&amp;IF(F61="",LEFT(INDEX(Config!$F$7:$F$11,2),3)&amp;": no entry in BTabs.  ",IF(ABS(F61-$T$2)&gt;$T$3,LEFT(INDEX(Config!$F$7:$F$11,2),3)&amp;": "&amp;TEXT(F61,"0.##")&amp;" h instead of "&amp;TEXT($T$2,"0")&amp;" h.  ",""))&amp;IF(G61="",LEFT(INDEX(Config!$F$7:$F$11,3),3)&amp;": no entry in BTabs.  ",IF(ABS(G61-$T$2)&gt;$T$3,LEFT(INDEX(Config!$F$7:$F$11,3),3)&amp;": "&amp;TEXT(G61,"0.##")&amp;" h instead of "&amp;TEXT($T$2,"0")&amp;" h.  ",""))&amp;IF(H61="",LEFT(INDEX(Config!$F$7:$F$11,4),3)&amp;": no entry in BTabs.  ",IF(ABS(H61-$T$2)&gt;$T$3,LEFT(INDEX(Config!$F$7:$F$11,4),3)&amp;": "&amp;TEXT(H61,"0.##")&amp;" h instead of "&amp;TEXT($T$2,"0")&amp;" h.  ",""))&amp;IF(I61="",LEFT(INDEX(Config!$F$7:$F$11,5),3)&amp;": no entry in BTabs.  ",IF(ABS(I61-$T$2)&gt;$T$3,LEFT(INDEX(Config!$F$7:$F$11,5),3)&amp;": "&amp;TEXT(I61,"0.##")&amp;" h instead of "&amp;TEXT($T$2,"0")&amp;" h.  ","")))))</f>
        <v/>
      </c>
    </row>
    <row r="62" spans="2:18" x14ac:dyDescent="0.25">
      <c r="B62" s="28" t="str">
        <f t="shared" si="6"/>
        <v/>
      </c>
      <c r="C62" s="4" t="str">
        <f>IF(ROW()-9&gt;Config!$C$14,"",INDEX(BPOworkers!$B$6:$B$105,ROW()-9))</f>
        <v/>
      </c>
      <c r="D62" s="4" t="str">
        <f>IF($C62="","",IFERROR(INDEX(BPOworkers!$E$6:$E$105,MATCH($C62,BPOworkers!$B$6:$B$105,0)),""))</f>
        <v/>
      </c>
      <c r="E62" s="29" t="str">
        <f>IF($C62="","",IF(INDEX(Detail!$G$4:$G$303,(ROW()-10)*5+1)=0,"",INDEX(Detail!$J$4:$J$303,(ROW()-10)*5+1)))</f>
        <v/>
      </c>
      <c r="F62" s="29" t="str">
        <f>IF($C62="","",IF(INDEX(Detail!$G$4:$G$303,(ROW()-10)*5+2)=0,"",INDEX(Detail!$J$4:$J$303,(ROW()-10)*5+2)))</f>
        <v/>
      </c>
      <c r="G62" s="29" t="str">
        <f>IF($C62="","",IF(INDEX(Detail!$G$4:$G$303,(ROW()-10)*5+3)=0,"",INDEX(Detail!$J$4:$J$303,(ROW()-10)*5+3)))</f>
        <v/>
      </c>
      <c r="H62" s="29" t="str">
        <f>IF($C62="","",IF(INDEX(Detail!$G$4:$G$303,(ROW()-10)*5+4)=0,"",INDEX(Detail!$J$4:$J$303,(ROW()-10)*5+4)))</f>
        <v/>
      </c>
      <c r="I62" s="29" t="str">
        <f>IF($C62="","",IF(INDEX(Detail!$G$4:$G$303,(ROW()-10)*5+5)=0,"",INDEX(Detail!$J$4:$J$303,(ROW()-10)*5+5)))</f>
        <v/>
      </c>
      <c r="J62" s="30" t="str">
        <f t="shared" si="7"/>
        <v/>
      </c>
      <c r="K62" s="29" t="str">
        <f>IF($C62="","",Config!$C$16)</f>
        <v/>
      </c>
      <c r="L62" s="29" t="str">
        <f t="shared" si="8"/>
        <v/>
      </c>
      <c r="M62" s="28" t="str">
        <f t="shared" si="9"/>
        <v/>
      </c>
      <c r="N62" s="28" t="str">
        <f>IF($C62="","",COUNTIFS(Detail!$C$4:$C$303,$C62,Detail!$N$4:$N$303,0))</f>
        <v/>
      </c>
      <c r="O62" s="28" t="str">
        <f>IF($C62="","",COUNTIFS(Detail!$C$4:$C$303,$C62,Detail!$N$4:$N$303,"&gt;0"))</f>
        <v/>
      </c>
      <c r="P62" s="31" t="str">
        <f t="shared" si="10"/>
        <v/>
      </c>
      <c r="Q62" s="28" t="str">
        <f t="shared" si="11"/>
        <v/>
      </c>
      <c r="R62" s="32" t="str">
        <f>IF($C62="","",IF($O62=0,"All 5 days closed at target. Nothing to fix.",TRIM(IF(E62="",LEFT(INDEX(Config!$F$7:$F$11,1),3)&amp;": no entry in BTabs.  ",IF(ABS(E62-$T$2)&gt;$T$3,LEFT(INDEX(Config!$F$7:$F$11,1),3)&amp;": "&amp;TEXT(E62,"0.##")&amp;" h instead of "&amp;TEXT($T$2,"0")&amp;" h.  ",""))&amp;IF(F62="",LEFT(INDEX(Config!$F$7:$F$11,2),3)&amp;": no entry in BTabs.  ",IF(ABS(F62-$T$2)&gt;$T$3,LEFT(INDEX(Config!$F$7:$F$11,2),3)&amp;": "&amp;TEXT(F62,"0.##")&amp;" h instead of "&amp;TEXT($T$2,"0")&amp;" h.  ",""))&amp;IF(G62="",LEFT(INDEX(Config!$F$7:$F$11,3),3)&amp;": no entry in BTabs.  ",IF(ABS(G62-$T$2)&gt;$T$3,LEFT(INDEX(Config!$F$7:$F$11,3),3)&amp;": "&amp;TEXT(G62,"0.##")&amp;" h instead of "&amp;TEXT($T$2,"0")&amp;" h.  ",""))&amp;IF(H62="",LEFT(INDEX(Config!$F$7:$F$11,4),3)&amp;": no entry in BTabs.  ",IF(ABS(H62-$T$2)&gt;$T$3,LEFT(INDEX(Config!$F$7:$F$11,4),3)&amp;": "&amp;TEXT(H62,"0.##")&amp;" h instead of "&amp;TEXT($T$2,"0")&amp;" h.  ",""))&amp;IF(I62="",LEFT(INDEX(Config!$F$7:$F$11,5),3)&amp;": no entry in BTabs.  ",IF(ABS(I62-$T$2)&gt;$T$3,LEFT(INDEX(Config!$F$7:$F$11,5),3)&amp;": "&amp;TEXT(I62,"0.##")&amp;" h instead of "&amp;TEXT($T$2,"0")&amp;" h.  ","")))))</f>
        <v/>
      </c>
    </row>
    <row r="63" spans="2:18" x14ac:dyDescent="0.25">
      <c r="B63" s="33" t="str">
        <f t="shared" si="6"/>
        <v/>
      </c>
      <c r="C63" s="34" t="str">
        <f>IF(ROW()-9&gt;Config!$C$14,"",INDEX(BPOworkers!$B$6:$B$105,ROW()-9))</f>
        <v/>
      </c>
      <c r="D63" s="34" t="str">
        <f>IF($C63="","",IFERROR(INDEX(BPOworkers!$E$6:$E$105,MATCH($C63,BPOworkers!$B$6:$B$105,0)),""))</f>
        <v/>
      </c>
      <c r="E63" s="29" t="str">
        <f>IF($C63="","",IF(INDEX(Detail!$G$4:$G$303,(ROW()-10)*5+1)=0,"",INDEX(Detail!$J$4:$J$303,(ROW()-10)*5+1)))</f>
        <v/>
      </c>
      <c r="F63" s="29" t="str">
        <f>IF($C63="","",IF(INDEX(Detail!$G$4:$G$303,(ROW()-10)*5+2)=0,"",INDEX(Detail!$J$4:$J$303,(ROW()-10)*5+2)))</f>
        <v/>
      </c>
      <c r="G63" s="29" t="str">
        <f>IF($C63="","",IF(INDEX(Detail!$G$4:$G$303,(ROW()-10)*5+3)=0,"",INDEX(Detail!$J$4:$J$303,(ROW()-10)*5+3)))</f>
        <v/>
      </c>
      <c r="H63" s="29" t="str">
        <f>IF($C63="","",IF(INDEX(Detail!$G$4:$G$303,(ROW()-10)*5+4)=0,"",INDEX(Detail!$J$4:$J$303,(ROW()-10)*5+4)))</f>
        <v/>
      </c>
      <c r="I63" s="29" t="str">
        <f>IF($C63="","",IF(INDEX(Detail!$G$4:$G$303,(ROW()-10)*5+5)=0,"",INDEX(Detail!$J$4:$J$303,(ROW()-10)*5+5)))</f>
        <v/>
      </c>
      <c r="J63" s="35" t="str">
        <f t="shared" si="7"/>
        <v/>
      </c>
      <c r="K63" s="36" t="str">
        <f>IF($C63="","",Config!$C$16)</f>
        <v/>
      </c>
      <c r="L63" s="36" t="str">
        <f t="shared" si="8"/>
        <v/>
      </c>
      <c r="M63" s="33" t="str">
        <f t="shared" si="9"/>
        <v/>
      </c>
      <c r="N63" s="33" t="str">
        <f>IF($C63="","",COUNTIFS(Detail!$C$4:$C$303,$C63,Detail!$N$4:$N$303,0))</f>
        <v/>
      </c>
      <c r="O63" s="33" t="str">
        <f>IF($C63="","",COUNTIFS(Detail!$C$4:$C$303,$C63,Detail!$N$4:$N$303,"&gt;0"))</f>
        <v/>
      </c>
      <c r="P63" s="37" t="str">
        <f t="shared" si="10"/>
        <v/>
      </c>
      <c r="Q63" s="28" t="str">
        <f t="shared" si="11"/>
        <v/>
      </c>
      <c r="R63" s="38" t="str">
        <f>IF($C63="","",IF($O63=0,"All 5 days closed at target. Nothing to fix.",TRIM(IF(E63="",LEFT(INDEX(Config!$F$7:$F$11,1),3)&amp;": no entry in BTabs.  ",IF(ABS(E63-$T$2)&gt;$T$3,LEFT(INDEX(Config!$F$7:$F$11,1),3)&amp;": "&amp;TEXT(E63,"0.##")&amp;" h instead of "&amp;TEXT($T$2,"0")&amp;" h.  ",""))&amp;IF(F63="",LEFT(INDEX(Config!$F$7:$F$11,2),3)&amp;": no entry in BTabs.  ",IF(ABS(F63-$T$2)&gt;$T$3,LEFT(INDEX(Config!$F$7:$F$11,2),3)&amp;": "&amp;TEXT(F63,"0.##")&amp;" h instead of "&amp;TEXT($T$2,"0")&amp;" h.  ",""))&amp;IF(G63="",LEFT(INDEX(Config!$F$7:$F$11,3),3)&amp;": no entry in BTabs.  ",IF(ABS(G63-$T$2)&gt;$T$3,LEFT(INDEX(Config!$F$7:$F$11,3),3)&amp;": "&amp;TEXT(G63,"0.##")&amp;" h instead of "&amp;TEXT($T$2,"0")&amp;" h.  ",""))&amp;IF(H63="",LEFT(INDEX(Config!$F$7:$F$11,4),3)&amp;": no entry in BTabs.  ",IF(ABS(H63-$T$2)&gt;$T$3,LEFT(INDEX(Config!$F$7:$F$11,4),3)&amp;": "&amp;TEXT(H63,"0.##")&amp;" h instead of "&amp;TEXT($T$2,"0")&amp;" h.  ",""))&amp;IF(I63="",LEFT(INDEX(Config!$F$7:$F$11,5),3)&amp;": no entry in BTabs.  ",IF(ABS(I63-$T$2)&gt;$T$3,LEFT(INDEX(Config!$F$7:$F$11,5),3)&amp;": "&amp;TEXT(I63,"0.##")&amp;" h instead of "&amp;TEXT($T$2,"0")&amp;" h.  ","")))))</f>
        <v/>
      </c>
    </row>
    <row r="64" spans="2:18" x14ac:dyDescent="0.25">
      <c r="B64" s="28" t="str">
        <f t="shared" si="6"/>
        <v/>
      </c>
      <c r="C64" s="4" t="str">
        <f>IF(ROW()-9&gt;Config!$C$14,"",INDEX(BPOworkers!$B$6:$B$105,ROW()-9))</f>
        <v/>
      </c>
      <c r="D64" s="4" t="str">
        <f>IF($C64="","",IFERROR(INDEX(BPOworkers!$E$6:$E$105,MATCH($C64,BPOworkers!$B$6:$B$105,0)),""))</f>
        <v/>
      </c>
      <c r="E64" s="29" t="str">
        <f>IF($C64="","",IF(INDEX(Detail!$G$4:$G$303,(ROW()-10)*5+1)=0,"",INDEX(Detail!$J$4:$J$303,(ROW()-10)*5+1)))</f>
        <v/>
      </c>
      <c r="F64" s="29" t="str">
        <f>IF($C64="","",IF(INDEX(Detail!$G$4:$G$303,(ROW()-10)*5+2)=0,"",INDEX(Detail!$J$4:$J$303,(ROW()-10)*5+2)))</f>
        <v/>
      </c>
      <c r="G64" s="29" t="str">
        <f>IF($C64="","",IF(INDEX(Detail!$G$4:$G$303,(ROW()-10)*5+3)=0,"",INDEX(Detail!$J$4:$J$303,(ROW()-10)*5+3)))</f>
        <v/>
      </c>
      <c r="H64" s="29" t="str">
        <f>IF($C64="","",IF(INDEX(Detail!$G$4:$G$303,(ROW()-10)*5+4)=0,"",INDEX(Detail!$J$4:$J$303,(ROW()-10)*5+4)))</f>
        <v/>
      </c>
      <c r="I64" s="29" t="str">
        <f>IF($C64="","",IF(INDEX(Detail!$G$4:$G$303,(ROW()-10)*5+5)=0,"",INDEX(Detail!$J$4:$J$303,(ROW()-10)*5+5)))</f>
        <v/>
      </c>
      <c r="J64" s="30" t="str">
        <f t="shared" si="7"/>
        <v/>
      </c>
      <c r="K64" s="29" t="str">
        <f>IF($C64="","",Config!$C$16)</f>
        <v/>
      </c>
      <c r="L64" s="29" t="str">
        <f t="shared" si="8"/>
        <v/>
      </c>
      <c r="M64" s="28" t="str">
        <f t="shared" si="9"/>
        <v/>
      </c>
      <c r="N64" s="28" t="str">
        <f>IF($C64="","",COUNTIFS(Detail!$C$4:$C$303,$C64,Detail!$N$4:$N$303,0))</f>
        <v/>
      </c>
      <c r="O64" s="28" t="str">
        <f>IF($C64="","",COUNTIFS(Detail!$C$4:$C$303,$C64,Detail!$N$4:$N$303,"&gt;0"))</f>
        <v/>
      </c>
      <c r="P64" s="31" t="str">
        <f t="shared" si="10"/>
        <v/>
      </c>
      <c r="Q64" s="28" t="str">
        <f t="shared" si="11"/>
        <v/>
      </c>
      <c r="R64" s="32" t="str">
        <f>IF($C64="","",IF($O64=0,"All 5 days closed at target. Nothing to fix.",TRIM(IF(E64="",LEFT(INDEX(Config!$F$7:$F$11,1),3)&amp;": no entry in BTabs.  ",IF(ABS(E64-$T$2)&gt;$T$3,LEFT(INDEX(Config!$F$7:$F$11,1),3)&amp;": "&amp;TEXT(E64,"0.##")&amp;" h instead of "&amp;TEXT($T$2,"0")&amp;" h.  ",""))&amp;IF(F64="",LEFT(INDEX(Config!$F$7:$F$11,2),3)&amp;": no entry in BTabs.  ",IF(ABS(F64-$T$2)&gt;$T$3,LEFT(INDEX(Config!$F$7:$F$11,2),3)&amp;": "&amp;TEXT(F64,"0.##")&amp;" h instead of "&amp;TEXT($T$2,"0")&amp;" h.  ",""))&amp;IF(G64="",LEFT(INDEX(Config!$F$7:$F$11,3),3)&amp;": no entry in BTabs.  ",IF(ABS(G64-$T$2)&gt;$T$3,LEFT(INDEX(Config!$F$7:$F$11,3),3)&amp;": "&amp;TEXT(G64,"0.##")&amp;" h instead of "&amp;TEXT($T$2,"0")&amp;" h.  ",""))&amp;IF(H64="",LEFT(INDEX(Config!$F$7:$F$11,4),3)&amp;": no entry in BTabs.  ",IF(ABS(H64-$T$2)&gt;$T$3,LEFT(INDEX(Config!$F$7:$F$11,4),3)&amp;": "&amp;TEXT(H64,"0.##")&amp;" h instead of "&amp;TEXT($T$2,"0")&amp;" h.  ",""))&amp;IF(I64="",LEFT(INDEX(Config!$F$7:$F$11,5),3)&amp;": no entry in BTabs.  ",IF(ABS(I64-$T$2)&gt;$T$3,LEFT(INDEX(Config!$F$7:$F$11,5),3)&amp;": "&amp;TEXT(I64,"0.##")&amp;" h instead of "&amp;TEXT($T$2,"0")&amp;" h.  ","")))))</f>
        <v/>
      </c>
    </row>
    <row r="65" spans="2:18" x14ac:dyDescent="0.25">
      <c r="B65" s="33" t="str">
        <f t="shared" si="6"/>
        <v/>
      </c>
      <c r="C65" s="34" t="str">
        <f>IF(ROW()-9&gt;Config!$C$14,"",INDEX(BPOworkers!$B$6:$B$105,ROW()-9))</f>
        <v/>
      </c>
      <c r="D65" s="34" t="str">
        <f>IF($C65="","",IFERROR(INDEX(BPOworkers!$E$6:$E$105,MATCH($C65,BPOworkers!$B$6:$B$105,0)),""))</f>
        <v/>
      </c>
      <c r="E65" s="29" t="str">
        <f>IF($C65="","",IF(INDEX(Detail!$G$4:$G$303,(ROW()-10)*5+1)=0,"",INDEX(Detail!$J$4:$J$303,(ROW()-10)*5+1)))</f>
        <v/>
      </c>
      <c r="F65" s="29" t="str">
        <f>IF($C65="","",IF(INDEX(Detail!$G$4:$G$303,(ROW()-10)*5+2)=0,"",INDEX(Detail!$J$4:$J$303,(ROW()-10)*5+2)))</f>
        <v/>
      </c>
      <c r="G65" s="29" t="str">
        <f>IF($C65="","",IF(INDEX(Detail!$G$4:$G$303,(ROW()-10)*5+3)=0,"",INDEX(Detail!$J$4:$J$303,(ROW()-10)*5+3)))</f>
        <v/>
      </c>
      <c r="H65" s="29" t="str">
        <f>IF($C65="","",IF(INDEX(Detail!$G$4:$G$303,(ROW()-10)*5+4)=0,"",INDEX(Detail!$J$4:$J$303,(ROW()-10)*5+4)))</f>
        <v/>
      </c>
      <c r="I65" s="29" t="str">
        <f>IF($C65="","",IF(INDEX(Detail!$G$4:$G$303,(ROW()-10)*5+5)=0,"",INDEX(Detail!$J$4:$J$303,(ROW()-10)*5+5)))</f>
        <v/>
      </c>
      <c r="J65" s="35" t="str">
        <f t="shared" si="7"/>
        <v/>
      </c>
      <c r="K65" s="36" t="str">
        <f>IF($C65="","",Config!$C$16)</f>
        <v/>
      </c>
      <c r="L65" s="36" t="str">
        <f t="shared" si="8"/>
        <v/>
      </c>
      <c r="M65" s="33" t="str">
        <f t="shared" si="9"/>
        <v/>
      </c>
      <c r="N65" s="33" t="str">
        <f>IF($C65="","",COUNTIFS(Detail!$C$4:$C$303,$C65,Detail!$N$4:$N$303,0))</f>
        <v/>
      </c>
      <c r="O65" s="33" t="str">
        <f>IF($C65="","",COUNTIFS(Detail!$C$4:$C$303,$C65,Detail!$N$4:$N$303,"&gt;0"))</f>
        <v/>
      </c>
      <c r="P65" s="37" t="str">
        <f t="shared" si="10"/>
        <v/>
      </c>
      <c r="Q65" s="28" t="str">
        <f t="shared" si="11"/>
        <v/>
      </c>
      <c r="R65" s="38" t="str">
        <f>IF($C65="","",IF($O65=0,"All 5 days closed at target. Nothing to fix.",TRIM(IF(E65="",LEFT(INDEX(Config!$F$7:$F$11,1),3)&amp;": no entry in BTabs.  ",IF(ABS(E65-$T$2)&gt;$T$3,LEFT(INDEX(Config!$F$7:$F$11,1),3)&amp;": "&amp;TEXT(E65,"0.##")&amp;" h instead of "&amp;TEXT($T$2,"0")&amp;" h.  ",""))&amp;IF(F65="",LEFT(INDEX(Config!$F$7:$F$11,2),3)&amp;": no entry in BTabs.  ",IF(ABS(F65-$T$2)&gt;$T$3,LEFT(INDEX(Config!$F$7:$F$11,2),3)&amp;": "&amp;TEXT(F65,"0.##")&amp;" h instead of "&amp;TEXT($T$2,"0")&amp;" h.  ",""))&amp;IF(G65="",LEFT(INDEX(Config!$F$7:$F$11,3),3)&amp;": no entry in BTabs.  ",IF(ABS(G65-$T$2)&gt;$T$3,LEFT(INDEX(Config!$F$7:$F$11,3),3)&amp;": "&amp;TEXT(G65,"0.##")&amp;" h instead of "&amp;TEXT($T$2,"0")&amp;" h.  ",""))&amp;IF(H65="",LEFT(INDEX(Config!$F$7:$F$11,4),3)&amp;": no entry in BTabs.  ",IF(ABS(H65-$T$2)&gt;$T$3,LEFT(INDEX(Config!$F$7:$F$11,4),3)&amp;": "&amp;TEXT(H65,"0.##")&amp;" h instead of "&amp;TEXT($T$2,"0")&amp;" h.  ",""))&amp;IF(I65="",LEFT(INDEX(Config!$F$7:$F$11,5),3)&amp;": no entry in BTabs.  ",IF(ABS(I65-$T$2)&gt;$T$3,LEFT(INDEX(Config!$F$7:$F$11,5),3)&amp;": "&amp;TEXT(I65,"0.##")&amp;" h instead of "&amp;TEXT($T$2,"0")&amp;" h.  ","")))))</f>
        <v/>
      </c>
    </row>
    <row r="66" spans="2:18" x14ac:dyDescent="0.25">
      <c r="B66" s="28" t="str">
        <f t="shared" si="6"/>
        <v/>
      </c>
      <c r="C66" s="4" t="str">
        <f>IF(ROW()-9&gt;Config!$C$14,"",INDEX(BPOworkers!$B$6:$B$105,ROW()-9))</f>
        <v/>
      </c>
      <c r="D66" s="4" t="str">
        <f>IF($C66="","",IFERROR(INDEX(BPOworkers!$E$6:$E$105,MATCH($C66,BPOworkers!$B$6:$B$105,0)),""))</f>
        <v/>
      </c>
      <c r="E66" s="29" t="str">
        <f>IF($C66="","",IF(INDEX(Detail!$G$4:$G$303,(ROW()-10)*5+1)=0,"",INDEX(Detail!$J$4:$J$303,(ROW()-10)*5+1)))</f>
        <v/>
      </c>
      <c r="F66" s="29" t="str">
        <f>IF($C66="","",IF(INDEX(Detail!$G$4:$G$303,(ROW()-10)*5+2)=0,"",INDEX(Detail!$J$4:$J$303,(ROW()-10)*5+2)))</f>
        <v/>
      </c>
      <c r="G66" s="29" t="str">
        <f>IF($C66="","",IF(INDEX(Detail!$G$4:$G$303,(ROW()-10)*5+3)=0,"",INDEX(Detail!$J$4:$J$303,(ROW()-10)*5+3)))</f>
        <v/>
      </c>
      <c r="H66" s="29" t="str">
        <f>IF($C66="","",IF(INDEX(Detail!$G$4:$G$303,(ROW()-10)*5+4)=0,"",INDEX(Detail!$J$4:$J$303,(ROW()-10)*5+4)))</f>
        <v/>
      </c>
      <c r="I66" s="29" t="str">
        <f>IF($C66="","",IF(INDEX(Detail!$G$4:$G$303,(ROW()-10)*5+5)=0,"",INDEX(Detail!$J$4:$J$303,(ROW()-10)*5+5)))</f>
        <v/>
      </c>
      <c r="J66" s="30" t="str">
        <f t="shared" si="7"/>
        <v/>
      </c>
      <c r="K66" s="29" t="str">
        <f>IF($C66="","",Config!$C$16)</f>
        <v/>
      </c>
      <c r="L66" s="29" t="str">
        <f t="shared" si="8"/>
        <v/>
      </c>
      <c r="M66" s="28" t="str">
        <f t="shared" si="9"/>
        <v/>
      </c>
      <c r="N66" s="28" t="str">
        <f>IF($C66="","",COUNTIFS(Detail!$C$4:$C$303,$C66,Detail!$N$4:$N$303,0))</f>
        <v/>
      </c>
      <c r="O66" s="28" t="str">
        <f>IF($C66="","",COUNTIFS(Detail!$C$4:$C$303,$C66,Detail!$N$4:$N$303,"&gt;0"))</f>
        <v/>
      </c>
      <c r="P66" s="31" t="str">
        <f t="shared" si="10"/>
        <v/>
      </c>
      <c r="Q66" s="28" t="str">
        <f t="shared" si="11"/>
        <v/>
      </c>
      <c r="R66" s="32" t="str">
        <f>IF($C66="","",IF($O66=0,"All 5 days closed at target. Nothing to fix.",TRIM(IF(E66="",LEFT(INDEX(Config!$F$7:$F$11,1),3)&amp;": no entry in BTabs.  ",IF(ABS(E66-$T$2)&gt;$T$3,LEFT(INDEX(Config!$F$7:$F$11,1),3)&amp;": "&amp;TEXT(E66,"0.##")&amp;" h instead of "&amp;TEXT($T$2,"0")&amp;" h.  ",""))&amp;IF(F66="",LEFT(INDEX(Config!$F$7:$F$11,2),3)&amp;": no entry in BTabs.  ",IF(ABS(F66-$T$2)&gt;$T$3,LEFT(INDEX(Config!$F$7:$F$11,2),3)&amp;": "&amp;TEXT(F66,"0.##")&amp;" h instead of "&amp;TEXT($T$2,"0")&amp;" h.  ",""))&amp;IF(G66="",LEFT(INDEX(Config!$F$7:$F$11,3),3)&amp;": no entry in BTabs.  ",IF(ABS(G66-$T$2)&gt;$T$3,LEFT(INDEX(Config!$F$7:$F$11,3),3)&amp;": "&amp;TEXT(G66,"0.##")&amp;" h instead of "&amp;TEXT($T$2,"0")&amp;" h.  ",""))&amp;IF(H66="",LEFT(INDEX(Config!$F$7:$F$11,4),3)&amp;": no entry in BTabs.  ",IF(ABS(H66-$T$2)&gt;$T$3,LEFT(INDEX(Config!$F$7:$F$11,4),3)&amp;": "&amp;TEXT(H66,"0.##")&amp;" h instead of "&amp;TEXT($T$2,"0")&amp;" h.  ",""))&amp;IF(I66="",LEFT(INDEX(Config!$F$7:$F$11,5),3)&amp;": no entry in BTabs.  ",IF(ABS(I66-$T$2)&gt;$T$3,LEFT(INDEX(Config!$F$7:$F$11,5),3)&amp;": "&amp;TEXT(I66,"0.##")&amp;" h instead of "&amp;TEXT($T$2,"0")&amp;" h.  ","")))))</f>
        <v/>
      </c>
    </row>
    <row r="67" spans="2:18" x14ac:dyDescent="0.25">
      <c r="B67" s="33" t="str">
        <f t="shared" si="6"/>
        <v/>
      </c>
      <c r="C67" s="34" t="str">
        <f>IF(ROW()-9&gt;Config!$C$14,"",INDEX(BPOworkers!$B$6:$B$105,ROW()-9))</f>
        <v/>
      </c>
      <c r="D67" s="34" t="str">
        <f>IF($C67="","",IFERROR(INDEX(BPOworkers!$E$6:$E$105,MATCH($C67,BPOworkers!$B$6:$B$105,0)),""))</f>
        <v/>
      </c>
      <c r="E67" s="29" t="str">
        <f>IF($C67="","",IF(INDEX(Detail!$G$4:$G$303,(ROW()-10)*5+1)=0,"",INDEX(Detail!$J$4:$J$303,(ROW()-10)*5+1)))</f>
        <v/>
      </c>
      <c r="F67" s="29" t="str">
        <f>IF($C67="","",IF(INDEX(Detail!$G$4:$G$303,(ROW()-10)*5+2)=0,"",INDEX(Detail!$J$4:$J$303,(ROW()-10)*5+2)))</f>
        <v/>
      </c>
      <c r="G67" s="29" t="str">
        <f>IF($C67="","",IF(INDEX(Detail!$G$4:$G$303,(ROW()-10)*5+3)=0,"",INDEX(Detail!$J$4:$J$303,(ROW()-10)*5+3)))</f>
        <v/>
      </c>
      <c r="H67" s="29" t="str">
        <f>IF($C67="","",IF(INDEX(Detail!$G$4:$G$303,(ROW()-10)*5+4)=0,"",INDEX(Detail!$J$4:$J$303,(ROW()-10)*5+4)))</f>
        <v/>
      </c>
      <c r="I67" s="29" t="str">
        <f>IF($C67="","",IF(INDEX(Detail!$G$4:$G$303,(ROW()-10)*5+5)=0,"",INDEX(Detail!$J$4:$J$303,(ROW()-10)*5+5)))</f>
        <v/>
      </c>
      <c r="J67" s="35" t="str">
        <f t="shared" si="7"/>
        <v/>
      </c>
      <c r="K67" s="36" t="str">
        <f>IF($C67="","",Config!$C$16)</f>
        <v/>
      </c>
      <c r="L67" s="36" t="str">
        <f t="shared" si="8"/>
        <v/>
      </c>
      <c r="M67" s="33" t="str">
        <f t="shared" si="9"/>
        <v/>
      </c>
      <c r="N67" s="33" t="str">
        <f>IF($C67="","",COUNTIFS(Detail!$C$4:$C$303,$C67,Detail!$N$4:$N$303,0))</f>
        <v/>
      </c>
      <c r="O67" s="33" t="str">
        <f>IF($C67="","",COUNTIFS(Detail!$C$4:$C$303,$C67,Detail!$N$4:$N$303,"&gt;0"))</f>
        <v/>
      </c>
      <c r="P67" s="37" t="str">
        <f t="shared" si="10"/>
        <v/>
      </c>
      <c r="Q67" s="28" t="str">
        <f t="shared" si="11"/>
        <v/>
      </c>
      <c r="R67" s="38" t="str">
        <f>IF($C67="","",IF($O67=0,"All 5 days closed at target. Nothing to fix.",TRIM(IF(E67="",LEFT(INDEX(Config!$F$7:$F$11,1),3)&amp;": no entry in BTabs.  ",IF(ABS(E67-$T$2)&gt;$T$3,LEFT(INDEX(Config!$F$7:$F$11,1),3)&amp;": "&amp;TEXT(E67,"0.##")&amp;" h instead of "&amp;TEXT($T$2,"0")&amp;" h.  ",""))&amp;IF(F67="",LEFT(INDEX(Config!$F$7:$F$11,2),3)&amp;": no entry in BTabs.  ",IF(ABS(F67-$T$2)&gt;$T$3,LEFT(INDEX(Config!$F$7:$F$11,2),3)&amp;": "&amp;TEXT(F67,"0.##")&amp;" h instead of "&amp;TEXT($T$2,"0")&amp;" h.  ",""))&amp;IF(G67="",LEFT(INDEX(Config!$F$7:$F$11,3),3)&amp;": no entry in BTabs.  ",IF(ABS(G67-$T$2)&gt;$T$3,LEFT(INDEX(Config!$F$7:$F$11,3),3)&amp;": "&amp;TEXT(G67,"0.##")&amp;" h instead of "&amp;TEXT($T$2,"0")&amp;" h.  ",""))&amp;IF(H67="",LEFT(INDEX(Config!$F$7:$F$11,4),3)&amp;": no entry in BTabs.  ",IF(ABS(H67-$T$2)&gt;$T$3,LEFT(INDEX(Config!$F$7:$F$11,4),3)&amp;": "&amp;TEXT(H67,"0.##")&amp;" h instead of "&amp;TEXT($T$2,"0")&amp;" h.  ",""))&amp;IF(I67="",LEFT(INDEX(Config!$F$7:$F$11,5),3)&amp;": no entry in BTabs.  ",IF(ABS(I67-$T$2)&gt;$T$3,LEFT(INDEX(Config!$F$7:$F$11,5),3)&amp;": "&amp;TEXT(I67,"0.##")&amp;" h instead of "&amp;TEXT($T$2,"0")&amp;" h.  ","")))))</f>
        <v/>
      </c>
    </row>
    <row r="68" spans="2:18" x14ac:dyDescent="0.25">
      <c r="B68" s="28" t="str">
        <f t="shared" si="6"/>
        <v/>
      </c>
      <c r="C68" s="4" t="str">
        <f>IF(ROW()-9&gt;Config!$C$14,"",INDEX(BPOworkers!$B$6:$B$105,ROW()-9))</f>
        <v/>
      </c>
      <c r="D68" s="4" t="str">
        <f>IF($C68="","",IFERROR(INDEX(BPOworkers!$E$6:$E$105,MATCH($C68,BPOworkers!$B$6:$B$105,0)),""))</f>
        <v/>
      </c>
      <c r="E68" s="29" t="str">
        <f>IF($C68="","",IF(INDEX(Detail!$G$4:$G$303,(ROW()-10)*5+1)=0,"",INDEX(Detail!$J$4:$J$303,(ROW()-10)*5+1)))</f>
        <v/>
      </c>
      <c r="F68" s="29" t="str">
        <f>IF($C68="","",IF(INDEX(Detail!$G$4:$G$303,(ROW()-10)*5+2)=0,"",INDEX(Detail!$J$4:$J$303,(ROW()-10)*5+2)))</f>
        <v/>
      </c>
      <c r="G68" s="29" t="str">
        <f>IF($C68="","",IF(INDEX(Detail!$G$4:$G$303,(ROW()-10)*5+3)=0,"",INDEX(Detail!$J$4:$J$303,(ROW()-10)*5+3)))</f>
        <v/>
      </c>
      <c r="H68" s="29" t="str">
        <f>IF($C68="","",IF(INDEX(Detail!$G$4:$G$303,(ROW()-10)*5+4)=0,"",INDEX(Detail!$J$4:$J$303,(ROW()-10)*5+4)))</f>
        <v/>
      </c>
      <c r="I68" s="29" t="str">
        <f>IF($C68="","",IF(INDEX(Detail!$G$4:$G$303,(ROW()-10)*5+5)=0,"",INDEX(Detail!$J$4:$J$303,(ROW()-10)*5+5)))</f>
        <v/>
      </c>
      <c r="J68" s="30" t="str">
        <f t="shared" si="7"/>
        <v/>
      </c>
      <c r="K68" s="29" t="str">
        <f>IF($C68="","",Config!$C$16)</f>
        <v/>
      </c>
      <c r="L68" s="29" t="str">
        <f t="shared" si="8"/>
        <v/>
      </c>
      <c r="M68" s="28" t="str">
        <f t="shared" si="9"/>
        <v/>
      </c>
      <c r="N68" s="28" t="str">
        <f>IF($C68="","",COUNTIFS(Detail!$C$4:$C$303,$C68,Detail!$N$4:$N$303,0))</f>
        <v/>
      </c>
      <c r="O68" s="28" t="str">
        <f>IF($C68="","",COUNTIFS(Detail!$C$4:$C$303,$C68,Detail!$N$4:$N$303,"&gt;0"))</f>
        <v/>
      </c>
      <c r="P68" s="31" t="str">
        <f t="shared" si="10"/>
        <v/>
      </c>
      <c r="Q68" s="28" t="str">
        <f t="shared" si="11"/>
        <v/>
      </c>
      <c r="R68" s="32" t="str">
        <f>IF($C68="","",IF($O68=0,"All 5 days closed at target. Nothing to fix.",TRIM(IF(E68="",LEFT(INDEX(Config!$F$7:$F$11,1),3)&amp;": no entry in BTabs.  ",IF(ABS(E68-$T$2)&gt;$T$3,LEFT(INDEX(Config!$F$7:$F$11,1),3)&amp;": "&amp;TEXT(E68,"0.##")&amp;" h instead of "&amp;TEXT($T$2,"0")&amp;" h.  ",""))&amp;IF(F68="",LEFT(INDEX(Config!$F$7:$F$11,2),3)&amp;": no entry in BTabs.  ",IF(ABS(F68-$T$2)&gt;$T$3,LEFT(INDEX(Config!$F$7:$F$11,2),3)&amp;": "&amp;TEXT(F68,"0.##")&amp;" h instead of "&amp;TEXT($T$2,"0")&amp;" h.  ",""))&amp;IF(G68="",LEFT(INDEX(Config!$F$7:$F$11,3),3)&amp;": no entry in BTabs.  ",IF(ABS(G68-$T$2)&gt;$T$3,LEFT(INDEX(Config!$F$7:$F$11,3),3)&amp;": "&amp;TEXT(G68,"0.##")&amp;" h instead of "&amp;TEXT($T$2,"0")&amp;" h.  ",""))&amp;IF(H68="",LEFT(INDEX(Config!$F$7:$F$11,4),3)&amp;": no entry in BTabs.  ",IF(ABS(H68-$T$2)&gt;$T$3,LEFT(INDEX(Config!$F$7:$F$11,4),3)&amp;": "&amp;TEXT(H68,"0.##")&amp;" h instead of "&amp;TEXT($T$2,"0")&amp;" h.  ",""))&amp;IF(I68="",LEFT(INDEX(Config!$F$7:$F$11,5),3)&amp;": no entry in BTabs.  ",IF(ABS(I68-$T$2)&gt;$T$3,LEFT(INDEX(Config!$F$7:$F$11,5),3)&amp;": "&amp;TEXT(I68,"0.##")&amp;" h instead of "&amp;TEXT($T$2,"0")&amp;" h.  ","")))))</f>
        <v/>
      </c>
    </row>
    <row r="69" spans="2:18" x14ac:dyDescent="0.25">
      <c r="B69" s="33" t="str">
        <f t="shared" si="6"/>
        <v/>
      </c>
      <c r="C69" s="34" t="str">
        <f>IF(ROW()-9&gt;Config!$C$14,"",INDEX(BPOworkers!$B$6:$B$105,ROW()-9))</f>
        <v/>
      </c>
      <c r="D69" s="34" t="str">
        <f>IF($C69="","",IFERROR(INDEX(BPOworkers!$E$6:$E$105,MATCH($C69,BPOworkers!$B$6:$B$105,0)),""))</f>
        <v/>
      </c>
      <c r="E69" s="29" t="str">
        <f>IF($C69="","",IF(INDEX(Detail!$G$4:$G$303,(ROW()-10)*5+1)=0,"",INDEX(Detail!$J$4:$J$303,(ROW()-10)*5+1)))</f>
        <v/>
      </c>
      <c r="F69" s="29" t="str">
        <f>IF($C69="","",IF(INDEX(Detail!$G$4:$G$303,(ROW()-10)*5+2)=0,"",INDEX(Detail!$J$4:$J$303,(ROW()-10)*5+2)))</f>
        <v/>
      </c>
      <c r="G69" s="29" t="str">
        <f>IF($C69="","",IF(INDEX(Detail!$G$4:$G$303,(ROW()-10)*5+3)=0,"",INDEX(Detail!$J$4:$J$303,(ROW()-10)*5+3)))</f>
        <v/>
      </c>
      <c r="H69" s="29" t="str">
        <f>IF($C69="","",IF(INDEX(Detail!$G$4:$G$303,(ROW()-10)*5+4)=0,"",INDEX(Detail!$J$4:$J$303,(ROW()-10)*5+4)))</f>
        <v/>
      </c>
      <c r="I69" s="29" t="str">
        <f>IF($C69="","",IF(INDEX(Detail!$G$4:$G$303,(ROW()-10)*5+5)=0,"",INDEX(Detail!$J$4:$J$303,(ROW()-10)*5+5)))</f>
        <v/>
      </c>
      <c r="J69" s="35" t="str">
        <f t="shared" si="7"/>
        <v/>
      </c>
      <c r="K69" s="36" t="str">
        <f>IF($C69="","",Config!$C$16)</f>
        <v/>
      </c>
      <c r="L69" s="36" t="str">
        <f t="shared" si="8"/>
        <v/>
      </c>
      <c r="M69" s="33" t="str">
        <f t="shared" si="9"/>
        <v/>
      </c>
      <c r="N69" s="33" t="str">
        <f>IF($C69="","",COUNTIFS(Detail!$C$4:$C$303,$C69,Detail!$N$4:$N$303,0))</f>
        <v/>
      </c>
      <c r="O69" s="33" t="str">
        <f>IF($C69="","",COUNTIFS(Detail!$C$4:$C$303,$C69,Detail!$N$4:$N$303,"&gt;0"))</f>
        <v/>
      </c>
      <c r="P69" s="37" t="str">
        <f t="shared" si="10"/>
        <v/>
      </c>
      <c r="Q69" s="28" t="str">
        <f t="shared" si="11"/>
        <v/>
      </c>
      <c r="R69" s="38" t="str">
        <f>IF($C69="","",IF($O69=0,"All 5 days closed at target. Nothing to fix.",TRIM(IF(E69="",LEFT(INDEX(Config!$F$7:$F$11,1),3)&amp;": no entry in BTabs.  ",IF(ABS(E69-$T$2)&gt;$T$3,LEFT(INDEX(Config!$F$7:$F$11,1),3)&amp;": "&amp;TEXT(E69,"0.##")&amp;" h instead of "&amp;TEXT($T$2,"0")&amp;" h.  ",""))&amp;IF(F69="",LEFT(INDEX(Config!$F$7:$F$11,2),3)&amp;": no entry in BTabs.  ",IF(ABS(F69-$T$2)&gt;$T$3,LEFT(INDEX(Config!$F$7:$F$11,2),3)&amp;": "&amp;TEXT(F69,"0.##")&amp;" h instead of "&amp;TEXT($T$2,"0")&amp;" h.  ",""))&amp;IF(G69="",LEFT(INDEX(Config!$F$7:$F$11,3),3)&amp;": no entry in BTabs.  ",IF(ABS(G69-$T$2)&gt;$T$3,LEFT(INDEX(Config!$F$7:$F$11,3),3)&amp;": "&amp;TEXT(G69,"0.##")&amp;" h instead of "&amp;TEXT($T$2,"0")&amp;" h.  ",""))&amp;IF(H69="",LEFT(INDEX(Config!$F$7:$F$11,4),3)&amp;": no entry in BTabs.  ",IF(ABS(H69-$T$2)&gt;$T$3,LEFT(INDEX(Config!$F$7:$F$11,4),3)&amp;": "&amp;TEXT(H69,"0.##")&amp;" h instead of "&amp;TEXT($T$2,"0")&amp;" h.  ",""))&amp;IF(I69="",LEFT(INDEX(Config!$F$7:$F$11,5),3)&amp;": no entry in BTabs.  ",IF(ABS(I69-$T$2)&gt;$T$3,LEFT(INDEX(Config!$F$7:$F$11,5),3)&amp;": "&amp;TEXT(I69,"0.##")&amp;" h instead of "&amp;TEXT($T$2,"0")&amp;" h.  ","")))))</f>
        <v/>
      </c>
    </row>
    <row r="71" spans="2:18" ht="19.5" customHeight="1" x14ac:dyDescent="0.25">
      <c r="B71" s="142" t="s">
        <v>71</v>
      </c>
      <c r="C71" s="142"/>
      <c r="D71" s="142"/>
      <c r="E71" s="142"/>
      <c r="F71" s="142"/>
      <c r="G71" s="142"/>
      <c r="H71" s="142"/>
      <c r="I71" s="142"/>
      <c r="J71" s="142"/>
    </row>
    <row r="72" spans="2:18" x14ac:dyDescent="0.25">
      <c r="B72" s="143" t="s">
        <v>72</v>
      </c>
      <c r="C72" s="143"/>
      <c r="D72" s="138" t="s">
        <v>73</v>
      </c>
      <c r="E72" s="138"/>
      <c r="F72" s="138"/>
      <c r="G72" s="138"/>
      <c r="H72" s="138"/>
      <c r="I72" s="138"/>
      <c r="J72" s="138"/>
    </row>
    <row r="73" spans="2:18" x14ac:dyDescent="0.25">
      <c r="B73" s="137" t="s">
        <v>74</v>
      </c>
      <c r="C73" s="137"/>
      <c r="D73" s="138" t="s">
        <v>75</v>
      </c>
      <c r="E73" s="138"/>
      <c r="F73" s="138"/>
      <c r="G73" s="138"/>
      <c r="H73" s="138"/>
      <c r="I73" s="138"/>
      <c r="J73" s="138"/>
    </row>
    <row r="74" spans="2:18" x14ac:dyDescent="0.25">
      <c r="B74" s="139" t="s">
        <v>76</v>
      </c>
      <c r="C74" s="139"/>
      <c r="D74" s="138" t="s">
        <v>77</v>
      </c>
      <c r="E74" s="138"/>
      <c r="F74" s="138"/>
      <c r="G74" s="138"/>
      <c r="H74" s="138"/>
      <c r="I74" s="138"/>
      <c r="J74" s="138"/>
    </row>
    <row r="75" spans="2:18" x14ac:dyDescent="0.25">
      <c r="B75" s="140" t="s">
        <v>78</v>
      </c>
      <c r="C75" s="140"/>
      <c r="D75" s="138" t="s">
        <v>79</v>
      </c>
      <c r="E75" s="138"/>
      <c r="F75" s="138"/>
      <c r="G75" s="138"/>
      <c r="H75" s="138"/>
      <c r="I75" s="138"/>
      <c r="J75" s="138"/>
    </row>
  </sheetData>
  <mergeCells count="38">
    <mergeCell ref="H6:I6"/>
    <mergeCell ref="J6:K6"/>
    <mergeCell ref="B2:Q2"/>
    <mergeCell ref="B3:Q3"/>
    <mergeCell ref="B5:C5"/>
    <mergeCell ref="D5:E5"/>
    <mergeCell ref="F5:G5"/>
    <mergeCell ref="H5:I5"/>
    <mergeCell ref="J5:K5"/>
    <mergeCell ref="L5:M5"/>
    <mergeCell ref="N5:P5"/>
    <mergeCell ref="L6:M6"/>
    <mergeCell ref="N6:P6"/>
    <mergeCell ref="B8:B9"/>
    <mergeCell ref="C8:C9"/>
    <mergeCell ref="D8:D9"/>
    <mergeCell ref="E8:I8"/>
    <mergeCell ref="J8:J9"/>
    <mergeCell ref="K8:K9"/>
    <mergeCell ref="L8:L9"/>
    <mergeCell ref="M8:M9"/>
    <mergeCell ref="N8:N9"/>
    <mergeCell ref="O8:O9"/>
    <mergeCell ref="P8:P9"/>
    <mergeCell ref="B6:C6"/>
    <mergeCell ref="D6:E6"/>
    <mergeCell ref="F6:G6"/>
    <mergeCell ref="Q8:Q9"/>
    <mergeCell ref="R8:R9"/>
    <mergeCell ref="B71:J71"/>
    <mergeCell ref="B72:C72"/>
    <mergeCell ref="D72:J72"/>
    <mergeCell ref="B73:C73"/>
    <mergeCell ref="D73:J73"/>
    <mergeCell ref="B74:C74"/>
    <mergeCell ref="D74:J74"/>
    <mergeCell ref="B75:C75"/>
    <mergeCell ref="D75:J75"/>
  </mergeCells>
  <conditionalFormatting sqref="E10:I69">
    <cfRule type="expression" dxfId="40" priority="2">
      <formula>AND($C10&lt;&gt;"",E10="")</formula>
    </cfRule>
    <cfRule type="expression" dxfId="39" priority="3">
      <formula>AND(ISNUMBER(E10),ABS(E10-$T$2)&lt;=$T$3)</formula>
    </cfRule>
    <cfRule type="expression" dxfId="38" priority="4">
      <formula>AND(ISNUMBER(E10),E10&lt;$T$2-$T$3)</formula>
    </cfRule>
    <cfRule type="expression" dxfId="37" priority="5">
      <formula>AND(ISNUMBER(E10),E10&gt;$T$2+$T$3)</formula>
    </cfRule>
  </conditionalFormatting>
  <conditionalFormatting sqref="J10:J69">
    <cfRule type="dataBar" priority="14">
      <dataBar>
        <cfvo type="num" val="0"/>
        <cfvo type="num" val="48"/>
        <color rgb="FF0E7C7B"/>
      </dataBar>
      <extLst>
        <ext xmlns:x14="http://schemas.microsoft.com/office/spreadsheetml/2009/9/main" uri="{B025F937-C7B1-47D3-B67F-A62EFF666E3E}">
          <x14:id>{197CA3D6-94F3-4590-8F11-D37039F65452}</x14:id>
        </ext>
      </extLst>
    </cfRule>
  </conditionalFormatting>
  <conditionalFormatting sqref="L10:L69">
    <cfRule type="expression" dxfId="36" priority="13">
      <formula>AND(ISNUMBER(L10),L10&lt;0)</formula>
    </cfRule>
  </conditionalFormatting>
  <conditionalFormatting sqref="O10:O69">
    <cfRule type="expression" dxfId="35" priority="10">
      <formula>AND(ISNUMBER(O10),O10&gt;0)</formula>
    </cfRule>
  </conditionalFormatting>
  <conditionalFormatting sqref="P10:P69">
    <cfRule type="expression" dxfId="34" priority="6">
      <formula>$Q10=0</formula>
    </cfRule>
    <cfRule type="expression" dxfId="33" priority="7">
      <formula>$Q10=1</formula>
    </cfRule>
    <cfRule type="expression" dxfId="32" priority="8">
      <formula>$Q10=2</formula>
    </cfRule>
    <cfRule type="expression" dxfId="31" priority="9">
      <formula>$Q10=3</formula>
    </cfRule>
  </conditionalFormatting>
  <conditionalFormatting sqref="R10:R69">
    <cfRule type="expression" dxfId="30" priority="11">
      <formula>AND($C10&lt;&gt;"",$Q10=0)</formula>
    </cfRule>
    <cfRule type="expression" dxfId="29" priority="12">
      <formula>AND($C10&lt;&gt;"",$Q10&gt;0)</formula>
    </cfRule>
  </conditionalFormatting>
  <pageMargins left="0.3" right="0.3" top="0.4" bottom="0.4" header="0.511811023622047" footer="0.511811023622047"/>
  <pageSetup paperSize="9" fitToHeight="0" orientation="landscape"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197CA3D6-94F3-4590-8F11-D37039F65452}">
            <x14:dataBar axisPosition="none">
              <x14:cfvo type="num">
                <xm:f>0</xm:f>
              </x14:cfvo>
              <x14:cfvo type="num">
                <xm:f>48</xm:f>
              </x14:cfvo>
              <x14:negativeFillColor rgb="FF0E7C7B"/>
            </x14:dataBar>
          </x14:cfRule>
          <xm:sqref>J10:J69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61B29"/>
    <pageSetUpPr fitToPage="1"/>
  </sheetPr>
  <dimension ref="B2:R96"/>
  <sheetViews>
    <sheetView showGridLines="0" zoomScaleNormal="100" workbookViewId="0">
      <pane xSplit="1" ySplit="6" topLeftCell="B7" activePane="bottomRight" state="frozen"/>
      <selection pane="topRight" activeCell="B1" sqref="B1"/>
      <selection pane="bottomLeft" activeCell="A7" sqref="A7"/>
      <selection pane="bottomRight" activeCell="L12" sqref="L12"/>
    </sheetView>
  </sheetViews>
  <sheetFormatPr defaultColWidth="8.7109375" defaultRowHeight="15" x14ac:dyDescent="0.25"/>
  <cols>
    <col min="1" max="1" width="2" customWidth="1"/>
    <col min="2" max="2" width="5" customWidth="1"/>
    <col min="3" max="3" width="22" customWidth="1"/>
    <col min="4" max="4" width="19" customWidth="1"/>
    <col min="5" max="5" width="12" customWidth="1"/>
    <col min="6" max="6" width="11" customWidth="1"/>
    <col min="7" max="9" width="9" customWidth="1"/>
    <col min="10" max="11" width="10" customWidth="1"/>
    <col min="12" max="12" width="28" customWidth="1"/>
    <col min="13" max="13" width="6" hidden="1" customWidth="1"/>
    <col min="14" max="14" width="62" customWidth="1"/>
    <col min="18" max="18" width="8" hidden="1" customWidth="1"/>
  </cols>
  <sheetData>
    <row r="2" spans="2:18" ht="33.75" customHeight="1" x14ac:dyDescent="0.25">
      <c r="B2" s="116" t="s">
        <v>80</v>
      </c>
      <c r="C2" s="116"/>
      <c r="D2" s="116"/>
      <c r="E2" s="116"/>
      <c r="F2" s="116"/>
      <c r="G2" s="116"/>
      <c r="H2" s="116"/>
      <c r="I2" s="116"/>
      <c r="J2" s="116"/>
      <c r="K2" s="116"/>
      <c r="L2" s="116"/>
      <c r="M2" s="116"/>
      <c r="N2" s="116"/>
    </row>
    <row r="3" spans="2:18" ht="19.5" customHeight="1" x14ac:dyDescent="0.25">
      <c r="B3" s="117" t="s">
        <v>81</v>
      </c>
      <c r="C3" s="117"/>
      <c r="D3" s="117"/>
      <c r="E3" s="117"/>
      <c r="F3" s="117"/>
      <c r="G3" s="117"/>
      <c r="H3" s="117"/>
      <c r="I3" s="117"/>
      <c r="J3" s="117"/>
      <c r="K3" s="117"/>
      <c r="L3" s="117"/>
      <c r="M3" s="117"/>
      <c r="N3" s="117"/>
    </row>
    <row r="5" spans="2:18" ht="18" x14ac:dyDescent="0.25">
      <c r="B5" s="157" t="s">
        <v>82</v>
      </c>
      <c r="C5" s="157"/>
      <c r="D5" s="157"/>
      <c r="E5" s="39">
        <f>COUNTIFS(Detail!$N$4:$N$303,"&gt;0")</f>
        <v>6</v>
      </c>
      <c r="F5" s="158" t="str">
        <f>IF($E$5=0,"✅ Excellent: no landman missed the target this week.","Go through each row and talk to the landman or their Team Lead.")</f>
        <v>Go through each row and talk to the landman or their Team Lead.</v>
      </c>
      <c r="G5" s="158"/>
      <c r="H5" s="158"/>
      <c r="I5" s="158"/>
      <c r="J5" s="158"/>
      <c r="K5" s="158"/>
      <c r="L5" s="158"/>
      <c r="M5" s="158"/>
      <c r="N5" s="158"/>
    </row>
    <row r="6" spans="2:18" ht="27.75" customHeight="1" x14ac:dyDescent="0.25">
      <c r="B6" s="40" t="s">
        <v>58</v>
      </c>
      <c r="C6" s="40" t="s">
        <v>83</v>
      </c>
      <c r="D6" s="40" t="s">
        <v>84</v>
      </c>
      <c r="E6" s="40" t="s">
        <v>85</v>
      </c>
      <c r="F6" s="40" t="s">
        <v>86</v>
      </c>
      <c r="G6" s="40" t="s">
        <v>87</v>
      </c>
      <c r="H6" s="40" t="s">
        <v>88</v>
      </c>
      <c r="I6" s="40" t="s">
        <v>89</v>
      </c>
      <c r="J6" s="40" t="s">
        <v>90</v>
      </c>
      <c r="K6" s="40" t="s">
        <v>91</v>
      </c>
      <c r="L6" s="40" t="s">
        <v>92</v>
      </c>
      <c r="M6" s="40" t="s">
        <v>69</v>
      </c>
      <c r="N6" s="40" t="s">
        <v>93</v>
      </c>
    </row>
    <row r="7" spans="2:18" x14ac:dyDescent="0.25">
      <c r="B7" s="41">
        <f t="shared" ref="B7:B38" si="0">IF($R7="","",ROW()-6)</f>
        <v>1</v>
      </c>
      <c r="C7" s="42" t="str">
        <f>IF($R7="","",INDEX(Detail!$C$4:$C$303,$R7))</f>
        <v>J Castillo</v>
      </c>
      <c r="D7" s="42" t="str">
        <f>IF($R7="","",INDEX(Detail!$D$4:$D$303,$R7))</f>
        <v>J S Bermudez</v>
      </c>
      <c r="E7" s="43">
        <f>IF($R7="","",INDEX(Detail!$E$4:$E$303,$R7))</f>
        <v>46265</v>
      </c>
      <c r="F7" s="42" t="str">
        <f>IF($R7="","",INDEX(Detail!$F$4:$F$303,$R7))</f>
        <v>Monday</v>
      </c>
      <c r="G7" s="41">
        <f>IF($R7="","",INDEX(Detail!$G$4:$G$303,$R7))</f>
        <v>0</v>
      </c>
      <c r="H7" s="44">
        <f>IF($R7="","",INDEX(Detail!$H$4:$H$303,$R7))</f>
        <v>0</v>
      </c>
      <c r="I7" s="44">
        <f>IF($R7="","",INDEX(Detail!$I$4:$I$303,$R7))</f>
        <v>0</v>
      </c>
      <c r="J7" s="44">
        <f>IF($R7="","",INDEX(Detail!$J$4:$J$303,$R7))</f>
        <v>0</v>
      </c>
      <c r="K7" s="44">
        <f>IF($R7="","",INDEX(Detail!$L$4:$L$303,$R7))</f>
        <v>-8</v>
      </c>
      <c r="L7" s="42" t="str">
        <f>IF($R7="","",INDEX(Detail!$M$4:$M$303,$R7))</f>
        <v>⛔ NO ENTRY IN BTABS</v>
      </c>
      <c r="M7" s="41">
        <f>IF($R7="","",INDEX(Detail!$N$4:$N$303,$R7))</f>
        <v>3</v>
      </c>
      <c r="N7" s="45" t="str">
        <f t="shared" ref="N7:N38" si="1">IF($C7="","",IF($G7=0,"Ask the landman to log this day in BTabs: there is no entry at all.",IF($K7&lt;0,"Missing "&amp;TEXT(-$K7,"0.##")&amp;" h. Confirm whether they worked and did not bill, or whether they need to log Time Off / BPO Vacation with the hours in the detail.","Over by "&amp;TEXT($K7,"0.##")&amp;" h. Check for a duplicate entry or a typo.")))</f>
        <v>Ask the landman to log this day in BTabs: there is no entry at all.</v>
      </c>
      <c r="R7" s="46">
        <f>IFERROR(MATCH(ROW()-6,Detail!$O$4:$O$303,0),"")</f>
        <v>31</v>
      </c>
    </row>
    <row r="8" spans="2:18" x14ac:dyDescent="0.25">
      <c r="B8" s="41">
        <f t="shared" si="0"/>
        <v>2</v>
      </c>
      <c r="C8" s="42" t="str">
        <f>IF($R8="","",INDEX(Detail!$C$4:$C$303,$R8))</f>
        <v>C Castellanos</v>
      </c>
      <c r="D8" s="42" t="str">
        <f>IF($R8="","",INDEX(Detail!$D$4:$D$303,$R8))</f>
        <v>J S Bermudez</v>
      </c>
      <c r="E8" s="43">
        <f>IF($R8="","",INDEX(Detail!$E$4:$E$303,$R8))</f>
        <v>46265</v>
      </c>
      <c r="F8" s="42" t="str">
        <f>IF($R8="","",INDEX(Detail!$F$4:$F$303,$R8))</f>
        <v>Monday</v>
      </c>
      <c r="G8" s="41">
        <f>IF($R8="","",INDEX(Detail!$G$4:$G$303,$R8))</f>
        <v>2</v>
      </c>
      <c r="H8" s="44">
        <f>IF($R8="","",INDEX(Detail!$H$4:$H$303,$R8))</f>
        <v>16</v>
      </c>
      <c r="I8" s="44">
        <f>IF($R8="","",INDEX(Detail!$I$4:$I$303,$R8))</f>
        <v>0</v>
      </c>
      <c r="J8" s="44">
        <f>IF($R8="","",INDEX(Detail!$J$4:$J$303,$R8))</f>
        <v>16</v>
      </c>
      <c r="K8" s="44">
        <f>IF($R8="","",INDEX(Detail!$L$4:$L$303,$R8))</f>
        <v>8</v>
      </c>
      <c r="L8" s="42" t="str">
        <f>IF($R8="","",INDEX(Detail!$M$4:$M$303,$R8))</f>
        <v>🔺 OVER BY 8. h</v>
      </c>
      <c r="M8" s="41">
        <f>IF($R8="","",INDEX(Detail!$N$4:$N$303,$R8))</f>
        <v>1</v>
      </c>
      <c r="N8" s="45" t="str">
        <f t="shared" si="1"/>
        <v>Over by 8. h. Check for a duplicate entry or a typo.</v>
      </c>
      <c r="R8" s="46">
        <f>IFERROR(MATCH(ROW()-6,Detail!$O$4:$O$303,0),"")</f>
        <v>76</v>
      </c>
    </row>
    <row r="9" spans="2:18" x14ac:dyDescent="0.25">
      <c r="B9" s="41">
        <f t="shared" si="0"/>
        <v>3</v>
      </c>
      <c r="C9" s="42" t="str">
        <f>IF($R9="","",INDEX(Detail!$C$4:$C$303,$R9))</f>
        <v>F Montañez</v>
      </c>
      <c r="D9" s="42" t="str">
        <f>IF($R9="","",INDEX(Detail!$D$4:$D$303,$R9))</f>
        <v>H Daza</v>
      </c>
      <c r="E9" s="43">
        <f>IF($R9="","",INDEX(Detail!$E$4:$E$303,$R9))</f>
        <v>46265</v>
      </c>
      <c r="F9" s="42" t="str">
        <f>IF($R9="","",INDEX(Detail!$F$4:$F$303,$R9))</f>
        <v>Monday</v>
      </c>
      <c r="G9" s="41">
        <f>IF($R9="","",INDEX(Detail!$G$4:$G$303,$R9))</f>
        <v>2</v>
      </c>
      <c r="H9" s="44">
        <f>IF($R9="","",INDEX(Detail!$H$4:$H$303,$R9))</f>
        <v>16</v>
      </c>
      <c r="I9" s="44">
        <f>IF($R9="","",INDEX(Detail!$I$4:$I$303,$R9))</f>
        <v>0</v>
      </c>
      <c r="J9" s="44">
        <f>IF($R9="","",INDEX(Detail!$J$4:$J$303,$R9))</f>
        <v>16</v>
      </c>
      <c r="K9" s="44">
        <f>IF($R9="","",INDEX(Detail!$L$4:$L$303,$R9))</f>
        <v>8</v>
      </c>
      <c r="L9" s="42" t="str">
        <f>IF($R9="","",INDEX(Detail!$M$4:$M$303,$R9))</f>
        <v>🔺 OVER BY 8. h</v>
      </c>
      <c r="M9" s="41">
        <f>IF($R9="","",INDEX(Detail!$N$4:$N$303,$R9))</f>
        <v>1</v>
      </c>
      <c r="N9" s="45" t="str">
        <f t="shared" si="1"/>
        <v>Over by 8. h. Check for a duplicate entry or a typo.</v>
      </c>
      <c r="R9" s="46">
        <f>IFERROR(MATCH(ROW()-6,Detail!$O$4:$O$303,0),"")</f>
        <v>131</v>
      </c>
    </row>
    <row r="10" spans="2:18" x14ac:dyDescent="0.25">
      <c r="B10" s="41">
        <f t="shared" si="0"/>
        <v>4</v>
      </c>
      <c r="C10" s="42" t="str">
        <f>IF($R10="","",INDEX(Detail!$C$4:$C$303,$R10))</f>
        <v>N Espitia</v>
      </c>
      <c r="D10" s="42" t="str">
        <f>IF($R10="","",INDEX(Detail!$D$4:$D$303,$R10))</f>
        <v>A Camargo</v>
      </c>
      <c r="E10" s="43">
        <f>IF($R10="","",INDEX(Detail!$E$4:$E$303,$R10))</f>
        <v>46265</v>
      </c>
      <c r="F10" s="42" t="str">
        <f>IF($R10="","",INDEX(Detail!$F$4:$F$303,$R10))</f>
        <v>Monday</v>
      </c>
      <c r="G10" s="41">
        <f>IF($R10="","",INDEX(Detail!$G$4:$G$303,$R10))</f>
        <v>2</v>
      </c>
      <c r="H10" s="44">
        <f>IF($R10="","",INDEX(Detail!$H$4:$H$303,$R10))</f>
        <v>12</v>
      </c>
      <c r="I10" s="44">
        <f>IF($R10="","",INDEX(Detail!$I$4:$I$303,$R10))</f>
        <v>0</v>
      </c>
      <c r="J10" s="44">
        <f>IF($R10="","",INDEX(Detail!$J$4:$J$303,$R10))</f>
        <v>12</v>
      </c>
      <c r="K10" s="44">
        <f>IF($R10="","",INDEX(Detail!$L$4:$L$303,$R10))</f>
        <v>4</v>
      </c>
      <c r="L10" s="42" t="str">
        <f>IF($R10="","",INDEX(Detail!$M$4:$M$303,$R10))</f>
        <v>🔺 OVER BY 4. h</v>
      </c>
      <c r="M10" s="41">
        <f>IF($R10="","",INDEX(Detail!$N$4:$N$303,$R10))</f>
        <v>1</v>
      </c>
      <c r="N10" s="45" t="str">
        <f t="shared" si="1"/>
        <v>Over by 4. h. Check for a duplicate entry or a typo.</v>
      </c>
      <c r="R10" s="46">
        <f>IFERROR(MATCH(ROW()-6,Detail!$O$4:$O$303,0),"")</f>
        <v>146</v>
      </c>
    </row>
    <row r="11" spans="2:18" x14ac:dyDescent="0.25">
      <c r="B11" s="41">
        <f t="shared" si="0"/>
        <v>5</v>
      </c>
      <c r="C11" s="42" t="str">
        <f>IF($R11="","",INDEX(Detail!$C$4:$C$303,$R11))</f>
        <v>N Espitia</v>
      </c>
      <c r="D11" s="42" t="str">
        <f>IF($R11="","",INDEX(Detail!$D$4:$D$303,$R11))</f>
        <v>A Camargo</v>
      </c>
      <c r="E11" s="43">
        <f>IF($R11="","",INDEX(Detail!$E$4:$E$303,$R11))</f>
        <v>46266</v>
      </c>
      <c r="F11" s="42" t="str">
        <f>IF($R11="","",INDEX(Detail!$F$4:$F$303,$R11))</f>
        <v>Tuesday</v>
      </c>
      <c r="G11" s="41">
        <f>IF($R11="","",INDEX(Detail!$G$4:$G$303,$R11))</f>
        <v>3</v>
      </c>
      <c r="H11" s="44">
        <f>IF($R11="","",INDEX(Detail!$H$4:$H$303,$R11))</f>
        <v>12</v>
      </c>
      <c r="I11" s="44">
        <f>IF($R11="","",INDEX(Detail!$I$4:$I$303,$R11))</f>
        <v>0</v>
      </c>
      <c r="J11" s="44">
        <f>IF($R11="","",INDEX(Detail!$J$4:$J$303,$R11))</f>
        <v>12</v>
      </c>
      <c r="K11" s="44">
        <f>IF($R11="","",INDEX(Detail!$L$4:$L$303,$R11))</f>
        <v>4</v>
      </c>
      <c r="L11" s="42" t="str">
        <f>IF($R11="","",INDEX(Detail!$M$4:$M$303,$R11))</f>
        <v>🔺 OVER BY 4. h</v>
      </c>
      <c r="M11" s="41">
        <f>IF($R11="","",INDEX(Detail!$N$4:$N$303,$R11))</f>
        <v>1</v>
      </c>
      <c r="N11" s="45" t="str">
        <f t="shared" si="1"/>
        <v>Over by 4. h. Check for a duplicate entry or a typo.</v>
      </c>
      <c r="R11" s="46">
        <f>IFERROR(MATCH(ROW()-6,Detail!$O$4:$O$303,0),"")</f>
        <v>147</v>
      </c>
    </row>
    <row r="12" spans="2:18" x14ac:dyDescent="0.25">
      <c r="B12" s="41">
        <f t="shared" si="0"/>
        <v>6</v>
      </c>
      <c r="C12" s="42" t="str">
        <f>IF($R12="","",INDEX(Detail!$C$4:$C$303,$R12))</f>
        <v>K Martínez</v>
      </c>
      <c r="D12" s="42" t="str">
        <f>IF($R12="","",INDEX(Detail!$D$4:$D$303,$R12))</f>
        <v>A Camargo</v>
      </c>
      <c r="E12" s="43">
        <f>IF($R12="","",INDEX(Detail!$E$4:$E$303,$R12))</f>
        <v>46265</v>
      </c>
      <c r="F12" s="42" t="str">
        <f>IF($R12="","",INDEX(Detail!$F$4:$F$303,$R12))</f>
        <v>Monday</v>
      </c>
      <c r="G12" s="41">
        <f>IF($R12="","",INDEX(Detail!$G$4:$G$303,$R12))</f>
        <v>0</v>
      </c>
      <c r="H12" s="44">
        <f>IF($R12="","",INDEX(Detail!$H$4:$H$303,$R12))</f>
        <v>0</v>
      </c>
      <c r="I12" s="44">
        <f>IF($R12="","",INDEX(Detail!$I$4:$I$303,$R12))</f>
        <v>0</v>
      </c>
      <c r="J12" s="44">
        <f>IF($R12="","",INDEX(Detail!$J$4:$J$303,$R12))</f>
        <v>0</v>
      </c>
      <c r="K12" s="44">
        <f>IF($R12="","",INDEX(Detail!$L$4:$L$303,$R12))</f>
        <v>-8</v>
      </c>
      <c r="L12" s="42" t="str">
        <f>IF($R12="","",INDEX(Detail!$M$4:$M$303,$R12))</f>
        <v>⛔ NO ENTRY IN BTABS</v>
      </c>
      <c r="M12" s="41">
        <f>IF($R12="","",INDEX(Detail!$N$4:$N$303,$R12))</f>
        <v>3</v>
      </c>
      <c r="N12" s="45" t="str">
        <f t="shared" si="1"/>
        <v>Ask the landman to log this day in BTabs: there is no entry at all.</v>
      </c>
      <c r="R12" s="46">
        <f>IFERROR(MATCH(ROW()-6,Detail!$O$4:$O$303,0),"")</f>
        <v>161</v>
      </c>
    </row>
    <row r="13" spans="2:18" x14ac:dyDescent="0.25">
      <c r="B13" s="41" t="str">
        <f t="shared" si="0"/>
        <v/>
      </c>
      <c r="C13" s="42" t="str">
        <f>IF($R13="","",INDEX(Detail!$C$4:$C$303,$R13))</f>
        <v/>
      </c>
      <c r="D13" s="42" t="str">
        <f>IF($R13="","",INDEX(Detail!$D$4:$D$303,$R13))</f>
        <v/>
      </c>
      <c r="E13" s="43" t="str">
        <f>IF($R13="","",INDEX(Detail!$E$4:$E$303,$R13))</f>
        <v/>
      </c>
      <c r="F13" s="42" t="str">
        <f>IF($R13="","",INDEX(Detail!$F$4:$F$303,$R13))</f>
        <v/>
      </c>
      <c r="G13" s="41" t="str">
        <f>IF($R13="","",INDEX(Detail!$G$4:$G$303,$R13))</f>
        <v/>
      </c>
      <c r="H13" s="44" t="str">
        <f>IF($R13="","",INDEX(Detail!$H$4:$H$303,$R13))</f>
        <v/>
      </c>
      <c r="I13" s="44" t="str">
        <f>IF($R13="","",INDEX(Detail!$I$4:$I$303,$R13))</f>
        <v/>
      </c>
      <c r="J13" s="44" t="str">
        <f>IF($R13="","",INDEX(Detail!$J$4:$J$303,$R13))</f>
        <v/>
      </c>
      <c r="K13" s="44" t="str">
        <f>IF($R13="","",INDEX(Detail!$L$4:$L$303,$R13))</f>
        <v/>
      </c>
      <c r="L13" s="42" t="str">
        <f>IF($R13="","",INDEX(Detail!$M$4:$M$303,$R13))</f>
        <v/>
      </c>
      <c r="M13" s="41" t="str">
        <f>IF($R13="","",INDEX(Detail!$N$4:$N$303,$R13))</f>
        <v/>
      </c>
      <c r="N13" s="45" t="str">
        <f t="shared" si="1"/>
        <v/>
      </c>
      <c r="R13" s="46" t="str">
        <f>IFERROR(MATCH(ROW()-6,Detail!$O$4:$O$303,0),"")</f>
        <v/>
      </c>
    </row>
    <row r="14" spans="2:18" x14ac:dyDescent="0.25">
      <c r="B14" s="41" t="str">
        <f t="shared" si="0"/>
        <v/>
      </c>
      <c r="C14" s="42" t="str">
        <f>IF($R14="","",INDEX(Detail!$C$4:$C$303,$R14))</f>
        <v/>
      </c>
      <c r="D14" s="42" t="str">
        <f>IF($R14="","",INDEX(Detail!$D$4:$D$303,$R14))</f>
        <v/>
      </c>
      <c r="E14" s="43" t="str">
        <f>IF($R14="","",INDEX(Detail!$E$4:$E$303,$R14))</f>
        <v/>
      </c>
      <c r="F14" s="42" t="str">
        <f>IF($R14="","",INDEX(Detail!$F$4:$F$303,$R14))</f>
        <v/>
      </c>
      <c r="G14" s="41" t="str">
        <f>IF($R14="","",INDEX(Detail!$G$4:$G$303,$R14))</f>
        <v/>
      </c>
      <c r="H14" s="44" t="str">
        <f>IF($R14="","",INDEX(Detail!$H$4:$H$303,$R14))</f>
        <v/>
      </c>
      <c r="I14" s="44" t="str">
        <f>IF($R14="","",INDEX(Detail!$I$4:$I$303,$R14))</f>
        <v/>
      </c>
      <c r="J14" s="44" t="str">
        <f>IF($R14="","",INDEX(Detail!$J$4:$J$303,$R14))</f>
        <v/>
      </c>
      <c r="K14" s="44" t="str">
        <f>IF($R14="","",INDEX(Detail!$L$4:$L$303,$R14))</f>
        <v/>
      </c>
      <c r="L14" s="42" t="str">
        <f>IF($R14="","",INDEX(Detail!$M$4:$M$303,$R14))</f>
        <v/>
      </c>
      <c r="M14" s="41" t="str">
        <f>IF($R14="","",INDEX(Detail!$N$4:$N$303,$R14))</f>
        <v/>
      </c>
      <c r="N14" s="45" t="str">
        <f t="shared" si="1"/>
        <v/>
      </c>
      <c r="R14" s="46" t="str">
        <f>IFERROR(MATCH(ROW()-6,Detail!$O$4:$O$303,0),"")</f>
        <v/>
      </c>
    </row>
    <row r="15" spans="2:18" x14ac:dyDescent="0.25">
      <c r="B15" s="41" t="str">
        <f t="shared" si="0"/>
        <v/>
      </c>
      <c r="C15" s="42" t="str">
        <f>IF($R15="","",INDEX(Detail!$C$4:$C$303,$R15))</f>
        <v/>
      </c>
      <c r="D15" s="42" t="str">
        <f>IF($R15="","",INDEX(Detail!$D$4:$D$303,$R15))</f>
        <v/>
      </c>
      <c r="E15" s="43" t="str">
        <f>IF($R15="","",INDEX(Detail!$E$4:$E$303,$R15))</f>
        <v/>
      </c>
      <c r="F15" s="42" t="str">
        <f>IF($R15="","",INDEX(Detail!$F$4:$F$303,$R15))</f>
        <v/>
      </c>
      <c r="G15" s="41" t="str">
        <f>IF($R15="","",INDEX(Detail!$G$4:$G$303,$R15))</f>
        <v/>
      </c>
      <c r="H15" s="44" t="str">
        <f>IF($R15="","",INDEX(Detail!$H$4:$H$303,$R15))</f>
        <v/>
      </c>
      <c r="I15" s="44" t="str">
        <f>IF($R15="","",INDEX(Detail!$I$4:$I$303,$R15))</f>
        <v/>
      </c>
      <c r="J15" s="44" t="str">
        <f>IF($R15="","",INDEX(Detail!$J$4:$J$303,$R15))</f>
        <v/>
      </c>
      <c r="K15" s="44" t="str">
        <f>IF($R15="","",INDEX(Detail!$L$4:$L$303,$R15))</f>
        <v/>
      </c>
      <c r="L15" s="42" t="str">
        <f>IF($R15="","",INDEX(Detail!$M$4:$M$303,$R15))</f>
        <v/>
      </c>
      <c r="M15" s="41" t="str">
        <f>IF($R15="","",INDEX(Detail!$N$4:$N$303,$R15))</f>
        <v/>
      </c>
      <c r="N15" s="45" t="str">
        <f t="shared" si="1"/>
        <v/>
      </c>
      <c r="R15" s="46" t="str">
        <f>IFERROR(MATCH(ROW()-6,Detail!$O$4:$O$303,0),"")</f>
        <v/>
      </c>
    </row>
    <row r="16" spans="2:18" x14ac:dyDescent="0.25">
      <c r="B16" s="41" t="str">
        <f t="shared" si="0"/>
        <v/>
      </c>
      <c r="C16" s="42" t="str">
        <f>IF($R16="","",INDEX(Detail!$C$4:$C$303,$R16))</f>
        <v/>
      </c>
      <c r="D16" s="42" t="str">
        <f>IF($R16="","",INDEX(Detail!$D$4:$D$303,$R16))</f>
        <v/>
      </c>
      <c r="E16" s="43" t="str">
        <f>IF($R16="","",INDEX(Detail!$E$4:$E$303,$R16))</f>
        <v/>
      </c>
      <c r="F16" s="42" t="str">
        <f>IF($R16="","",INDEX(Detail!$F$4:$F$303,$R16))</f>
        <v/>
      </c>
      <c r="G16" s="41" t="str">
        <f>IF($R16="","",INDEX(Detail!$G$4:$G$303,$R16))</f>
        <v/>
      </c>
      <c r="H16" s="44" t="str">
        <f>IF($R16="","",INDEX(Detail!$H$4:$H$303,$R16))</f>
        <v/>
      </c>
      <c r="I16" s="44" t="str">
        <f>IF($R16="","",INDEX(Detail!$I$4:$I$303,$R16))</f>
        <v/>
      </c>
      <c r="J16" s="44" t="str">
        <f>IF($R16="","",INDEX(Detail!$J$4:$J$303,$R16))</f>
        <v/>
      </c>
      <c r="K16" s="44" t="str">
        <f>IF($R16="","",INDEX(Detail!$L$4:$L$303,$R16))</f>
        <v/>
      </c>
      <c r="L16" s="42" t="str">
        <f>IF($R16="","",INDEX(Detail!$M$4:$M$303,$R16))</f>
        <v/>
      </c>
      <c r="M16" s="41" t="str">
        <f>IF($R16="","",INDEX(Detail!$N$4:$N$303,$R16))</f>
        <v/>
      </c>
      <c r="N16" s="45" t="str">
        <f t="shared" si="1"/>
        <v/>
      </c>
      <c r="R16" s="46" t="str">
        <f>IFERROR(MATCH(ROW()-6,Detail!$O$4:$O$303,0),"")</f>
        <v/>
      </c>
    </row>
    <row r="17" spans="2:18" x14ac:dyDescent="0.25">
      <c r="B17" s="41" t="str">
        <f t="shared" si="0"/>
        <v/>
      </c>
      <c r="C17" s="42" t="str">
        <f>IF($R17="","",INDEX(Detail!$C$4:$C$303,$R17))</f>
        <v/>
      </c>
      <c r="D17" s="42" t="str">
        <f>IF($R17="","",INDEX(Detail!$D$4:$D$303,$R17))</f>
        <v/>
      </c>
      <c r="E17" s="43" t="str">
        <f>IF($R17="","",INDEX(Detail!$E$4:$E$303,$R17))</f>
        <v/>
      </c>
      <c r="F17" s="42" t="str">
        <f>IF($R17="","",INDEX(Detail!$F$4:$F$303,$R17))</f>
        <v/>
      </c>
      <c r="G17" s="41" t="str">
        <f>IF($R17="","",INDEX(Detail!$G$4:$G$303,$R17))</f>
        <v/>
      </c>
      <c r="H17" s="44" t="str">
        <f>IF($R17="","",INDEX(Detail!$H$4:$H$303,$R17))</f>
        <v/>
      </c>
      <c r="I17" s="44" t="str">
        <f>IF($R17="","",INDEX(Detail!$I$4:$I$303,$R17))</f>
        <v/>
      </c>
      <c r="J17" s="44" t="str">
        <f>IF($R17="","",INDEX(Detail!$J$4:$J$303,$R17))</f>
        <v/>
      </c>
      <c r="K17" s="44" t="str">
        <f>IF($R17="","",INDEX(Detail!$L$4:$L$303,$R17))</f>
        <v/>
      </c>
      <c r="L17" s="42" t="str">
        <f>IF($R17="","",INDEX(Detail!$M$4:$M$303,$R17))</f>
        <v/>
      </c>
      <c r="M17" s="41" t="str">
        <f>IF($R17="","",INDEX(Detail!$N$4:$N$303,$R17))</f>
        <v/>
      </c>
      <c r="N17" s="45" t="str">
        <f t="shared" si="1"/>
        <v/>
      </c>
      <c r="R17" s="46" t="str">
        <f>IFERROR(MATCH(ROW()-6,Detail!$O$4:$O$303,0),"")</f>
        <v/>
      </c>
    </row>
    <row r="18" spans="2:18" x14ac:dyDescent="0.25">
      <c r="B18" s="41" t="str">
        <f t="shared" si="0"/>
        <v/>
      </c>
      <c r="C18" s="42" t="str">
        <f>IF($R18="","",INDEX(Detail!$C$4:$C$303,$R18))</f>
        <v/>
      </c>
      <c r="D18" s="42" t="str">
        <f>IF($R18="","",INDEX(Detail!$D$4:$D$303,$R18))</f>
        <v/>
      </c>
      <c r="E18" s="43" t="str">
        <f>IF($R18="","",INDEX(Detail!$E$4:$E$303,$R18))</f>
        <v/>
      </c>
      <c r="F18" s="42" t="str">
        <f>IF($R18="","",INDEX(Detail!$F$4:$F$303,$R18))</f>
        <v/>
      </c>
      <c r="G18" s="41" t="str">
        <f>IF($R18="","",INDEX(Detail!$G$4:$G$303,$R18))</f>
        <v/>
      </c>
      <c r="H18" s="44" t="str">
        <f>IF($R18="","",INDEX(Detail!$H$4:$H$303,$R18))</f>
        <v/>
      </c>
      <c r="I18" s="44" t="str">
        <f>IF($R18="","",INDEX(Detail!$I$4:$I$303,$R18))</f>
        <v/>
      </c>
      <c r="J18" s="44" t="str">
        <f>IF($R18="","",INDEX(Detail!$J$4:$J$303,$R18))</f>
        <v/>
      </c>
      <c r="K18" s="44" t="str">
        <f>IF($R18="","",INDEX(Detail!$L$4:$L$303,$R18))</f>
        <v/>
      </c>
      <c r="L18" s="42" t="str">
        <f>IF($R18="","",INDEX(Detail!$M$4:$M$303,$R18))</f>
        <v/>
      </c>
      <c r="M18" s="41" t="str">
        <f>IF($R18="","",INDEX(Detail!$N$4:$N$303,$R18))</f>
        <v/>
      </c>
      <c r="N18" s="45" t="str">
        <f t="shared" si="1"/>
        <v/>
      </c>
      <c r="R18" s="46" t="str">
        <f>IFERROR(MATCH(ROW()-6,Detail!$O$4:$O$303,0),"")</f>
        <v/>
      </c>
    </row>
    <row r="19" spans="2:18" x14ac:dyDescent="0.25">
      <c r="B19" s="41" t="str">
        <f t="shared" si="0"/>
        <v/>
      </c>
      <c r="C19" s="42" t="str">
        <f>IF($R19="","",INDEX(Detail!$C$4:$C$303,$R19))</f>
        <v/>
      </c>
      <c r="D19" s="42" t="str">
        <f>IF($R19="","",INDEX(Detail!$D$4:$D$303,$R19))</f>
        <v/>
      </c>
      <c r="E19" s="43" t="str">
        <f>IF($R19="","",INDEX(Detail!$E$4:$E$303,$R19))</f>
        <v/>
      </c>
      <c r="F19" s="42" t="str">
        <f>IF($R19="","",INDEX(Detail!$F$4:$F$303,$R19))</f>
        <v/>
      </c>
      <c r="G19" s="41" t="str">
        <f>IF($R19="","",INDEX(Detail!$G$4:$G$303,$R19))</f>
        <v/>
      </c>
      <c r="H19" s="44" t="str">
        <f>IF($R19="","",INDEX(Detail!$H$4:$H$303,$R19))</f>
        <v/>
      </c>
      <c r="I19" s="44" t="str">
        <f>IF($R19="","",INDEX(Detail!$I$4:$I$303,$R19))</f>
        <v/>
      </c>
      <c r="J19" s="44" t="str">
        <f>IF($R19="","",INDEX(Detail!$J$4:$J$303,$R19))</f>
        <v/>
      </c>
      <c r="K19" s="44" t="str">
        <f>IF($R19="","",INDEX(Detail!$L$4:$L$303,$R19))</f>
        <v/>
      </c>
      <c r="L19" s="42" t="str">
        <f>IF($R19="","",INDEX(Detail!$M$4:$M$303,$R19))</f>
        <v/>
      </c>
      <c r="M19" s="41" t="str">
        <f>IF($R19="","",INDEX(Detail!$N$4:$N$303,$R19))</f>
        <v/>
      </c>
      <c r="N19" s="45" t="str">
        <f t="shared" si="1"/>
        <v/>
      </c>
      <c r="R19" s="46" t="str">
        <f>IFERROR(MATCH(ROW()-6,Detail!$O$4:$O$303,0),"")</f>
        <v/>
      </c>
    </row>
    <row r="20" spans="2:18" x14ac:dyDescent="0.25">
      <c r="B20" s="41" t="str">
        <f t="shared" si="0"/>
        <v/>
      </c>
      <c r="C20" s="42" t="str">
        <f>IF($R20="","",INDEX(Detail!$C$4:$C$303,$R20))</f>
        <v/>
      </c>
      <c r="D20" s="42" t="str">
        <f>IF($R20="","",INDEX(Detail!$D$4:$D$303,$R20))</f>
        <v/>
      </c>
      <c r="E20" s="43" t="str">
        <f>IF($R20="","",INDEX(Detail!$E$4:$E$303,$R20))</f>
        <v/>
      </c>
      <c r="F20" s="42" t="str">
        <f>IF($R20="","",INDEX(Detail!$F$4:$F$303,$R20))</f>
        <v/>
      </c>
      <c r="G20" s="41" t="str">
        <f>IF($R20="","",INDEX(Detail!$G$4:$G$303,$R20))</f>
        <v/>
      </c>
      <c r="H20" s="44" t="str">
        <f>IF($R20="","",INDEX(Detail!$H$4:$H$303,$R20))</f>
        <v/>
      </c>
      <c r="I20" s="44" t="str">
        <f>IF($R20="","",INDEX(Detail!$I$4:$I$303,$R20))</f>
        <v/>
      </c>
      <c r="J20" s="44" t="str">
        <f>IF($R20="","",INDEX(Detail!$J$4:$J$303,$R20))</f>
        <v/>
      </c>
      <c r="K20" s="44" t="str">
        <f>IF($R20="","",INDEX(Detail!$L$4:$L$303,$R20))</f>
        <v/>
      </c>
      <c r="L20" s="42" t="str">
        <f>IF($R20="","",INDEX(Detail!$M$4:$M$303,$R20))</f>
        <v/>
      </c>
      <c r="M20" s="41" t="str">
        <f>IF($R20="","",INDEX(Detail!$N$4:$N$303,$R20))</f>
        <v/>
      </c>
      <c r="N20" s="45" t="str">
        <f t="shared" si="1"/>
        <v/>
      </c>
      <c r="R20" s="46" t="str">
        <f>IFERROR(MATCH(ROW()-6,Detail!$O$4:$O$303,0),"")</f>
        <v/>
      </c>
    </row>
    <row r="21" spans="2:18" x14ac:dyDescent="0.25">
      <c r="B21" s="41" t="str">
        <f t="shared" si="0"/>
        <v/>
      </c>
      <c r="C21" s="42" t="str">
        <f>IF($R21="","",INDEX(Detail!$C$4:$C$303,$R21))</f>
        <v/>
      </c>
      <c r="D21" s="42" t="str">
        <f>IF($R21="","",INDEX(Detail!$D$4:$D$303,$R21))</f>
        <v/>
      </c>
      <c r="E21" s="43" t="str">
        <f>IF($R21="","",INDEX(Detail!$E$4:$E$303,$R21))</f>
        <v/>
      </c>
      <c r="F21" s="42" t="str">
        <f>IF($R21="","",INDEX(Detail!$F$4:$F$303,$R21))</f>
        <v/>
      </c>
      <c r="G21" s="41" t="str">
        <f>IF($R21="","",INDEX(Detail!$G$4:$G$303,$R21))</f>
        <v/>
      </c>
      <c r="H21" s="44" t="str">
        <f>IF($R21="","",INDEX(Detail!$H$4:$H$303,$R21))</f>
        <v/>
      </c>
      <c r="I21" s="44" t="str">
        <f>IF($R21="","",INDEX(Detail!$I$4:$I$303,$R21))</f>
        <v/>
      </c>
      <c r="J21" s="44" t="str">
        <f>IF($R21="","",INDEX(Detail!$J$4:$J$303,$R21))</f>
        <v/>
      </c>
      <c r="K21" s="44" t="str">
        <f>IF($R21="","",INDEX(Detail!$L$4:$L$303,$R21))</f>
        <v/>
      </c>
      <c r="L21" s="42" t="str">
        <f>IF($R21="","",INDEX(Detail!$M$4:$M$303,$R21))</f>
        <v/>
      </c>
      <c r="M21" s="41" t="str">
        <f>IF($R21="","",INDEX(Detail!$N$4:$N$303,$R21))</f>
        <v/>
      </c>
      <c r="N21" s="45" t="str">
        <f t="shared" si="1"/>
        <v/>
      </c>
      <c r="R21" s="46" t="str">
        <f>IFERROR(MATCH(ROW()-6,Detail!$O$4:$O$303,0),"")</f>
        <v/>
      </c>
    </row>
    <row r="22" spans="2:18" x14ac:dyDescent="0.25">
      <c r="B22" s="41" t="str">
        <f t="shared" si="0"/>
        <v/>
      </c>
      <c r="C22" s="42" t="str">
        <f>IF($R22="","",INDEX(Detail!$C$4:$C$303,$R22))</f>
        <v/>
      </c>
      <c r="D22" s="42" t="str">
        <f>IF($R22="","",INDEX(Detail!$D$4:$D$303,$R22))</f>
        <v/>
      </c>
      <c r="E22" s="43" t="str">
        <f>IF($R22="","",INDEX(Detail!$E$4:$E$303,$R22))</f>
        <v/>
      </c>
      <c r="F22" s="42" t="str">
        <f>IF($R22="","",INDEX(Detail!$F$4:$F$303,$R22))</f>
        <v/>
      </c>
      <c r="G22" s="41" t="str">
        <f>IF($R22="","",INDEX(Detail!$G$4:$G$303,$R22))</f>
        <v/>
      </c>
      <c r="H22" s="44" t="str">
        <f>IF($R22="","",INDEX(Detail!$H$4:$H$303,$R22))</f>
        <v/>
      </c>
      <c r="I22" s="44" t="str">
        <f>IF($R22="","",INDEX(Detail!$I$4:$I$303,$R22))</f>
        <v/>
      </c>
      <c r="J22" s="44" t="str">
        <f>IF($R22="","",INDEX(Detail!$J$4:$J$303,$R22))</f>
        <v/>
      </c>
      <c r="K22" s="44" t="str">
        <f>IF($R22="","",INDEX(Detail!$L$4:$L$303,$R22))</f>
        <v/>
      </c>
      <c r="L22" s="42" t="str">
        <f>IF($R22="","",INDEX(Detail!$M$4:$M$303,$R22))</f>
        <v/>
      </c>
      <c r="M22" s="41" t="str">
        <f>IF($R22="","",INDEX(Detail!$N$4:$N$303,$R22))</f>
        <v/>
      </c>
      <c r="N22" s="45" t="str">
        <f t="shared" si="1"/>
        <v/>
      </c>
      <c r="R22" s="46" t="str">
        <f>IFERROR(MATCH(ROW()-6,Detail!$O$4:$O$303,0),"")</f>
        <v/>
      </c>
    </row>
    <row r="23" spans="2:18" x14ac:dyDescent="0.25">
      <c r="B23" s="41" t="str">
        <f t="shared" si="0"/>
        <v/>
      </c>
      <c r="C23" s="42" t="str">
        <f>IF($R23="","",INDEX(Detail!$C$4:$C$303,$R23))</f>
        <v/>
      </c>
      <c r="D23" s="42" t="str">
        <f>IF($R23="","",INDEX(Detail!$D$4:$D$303,$R23))</f>
        <v/>
      </c>
      <c r="E23" s="43" t="str">
        <f>IF($R23="","",INDEX(Detail!$E$4:$E$303,$R23))</f>
        <v/>
      </c>
      <c r="F23" s="42" t="str">
        <f>IF($R23="","",INDEX(Detail!$F$4:$F$303,$R23))</f>
        <v/>
      </c>
      <c r="G23" s="41" t="str">
        <f>IF($R23="","",INDEX(Detail!$G$4:$G$303,$R23))</f>
        <v/>
      </c>
      <c r="H23" s="44" t="str">
        <f>IF($R23="","",INDEX(Detail!$H$4:$H$303,$R23))</f>
        <v/>
      </c>
      <c r="I23" s="44" t="str">
        <f>IF($R23="","",INDEX(Detail!$I$4:$I$303,$R23))</f>
        <v/>
      </c>
      <c r="J23" s="44" t="str">
        <f>IF($R23="","",INDEX(Detail!$J$4:$J$303,$R23))</f>
        <v/>
      </c>
      <c r="K23" s="44" t="str">
        <f>IF($R23="","",INDEX(Detail!$L$4:$L$303,$R23))</f>
        <v/>
      </c>
      <c r="L23" s="42" t="str">
        <f>IF($R23="","",INDEX(Detail!$M$4:$M$303,$R23))</f>
        <v/>
      </c>
      <c r="M23" s="41" t="str">
        <f>IF($R23="","",INDEX(Detail!$N$4:$N$303,$R23))</f>
        <v/>
      </c>
      <c r="N23" s="45" t="str">
        <f t="shared" si="1"/>
        <v/>
      </c>
      <c r="R23" s="46" t="str">
        <f>IFERROR(MATCH(ROW()-6,Detail!$O$4:$O$303,0),"")</f>
        <v/>
      </c>
    </row>
    <row r="24" spans="2:18" x14ac:dyDescent="0.25">
      <c r="B24" s="41" t="str">
        <f t="shared" si="0"/>
        <v/>
      </c>
      <c r="C24" s="42" t="str">
        <f>IF($R24="","",INDEX(Detail!$C$4:$C$303,$R24))</f>
        <v/>
      </c>
      <c r="D24" s="42" t="str">
        <f>IF($R24="","",INDEX(Detail!$D$4:$D$303,$R24))</f>
        <v/>
      </c>
      <c r="E24" s="43" t="str">
        <f>IF($R24="","",INDEX(Detail!$E$4:$E$303,$R24))</f>
        <v/>
      </c>
      <c r="F24" s="42" t="str">
        <f>IF($R24="","",INDEX(Detail!$F$4:$F$303,$R24))</f>
        <v/>
      </c>
      <c r="G24" s="41" t="str">
        <f>IF($R24="","",INDEX(Detail!$G$4:$G$303,$R24))</f>
        <v/>
      </c>
      <c r="H24" s="44" t="str">
        <f>IF($R24="","",INDEX(Detail!$H$4:$H$303,$R24))</f>
        <v/>
      </c>
      <c r="I24" s="44" t="str">
        <f>IF($R24="","",INDEX(Detail!$I$4:$I$303,$R24))</f>
        <v/>
      </c>
      <c r="J24" s="44" t="str">
        <f>IF($R24="","",INDEX(Detail!$J$4:$J$303,$R24))</f>
        <v/>
      </c>
      <c r="K24" s="44" t="str">
        <f>IF($R24="","",INDEX(Detail!$L$4:$L$303,$R24))</f>
        <v/>
      </c>
      <c r="L24" s="42" t="str">
        <f>IF($R24="","",INDEX(Detail!$M$4:$M$303,$R24))</f>
        <v/>
      </c>
      <c r="M24" s="41" t="str">
        <f>IF($R24="","",INDEX(Detail!$N$4:$N$303,$R24))</f>
        <v/>
      </c>
      <c r="N24" s="45" t="str">
        <f t="shared" si="1"/>
        <v/>
      </c>
      <c r="R24" s="46" t="str">
        <f>IFERROR(MATCH(ROW()-6,Detail!$O$4:$O$303,0),"")</f>
        <v/>
      </c>
    </row>
    <row r="25" spans="2:18" x14ac:dyDescent="0.25">
      <c r="B25" s="41" t="str">
        <f t="shared" si="0"/>
        <v/>
      </c>
      <c r="C25" s="42" t="str">
        <f>IF($R25="","",INDEX(Detail!$C$4:$C$303,$R25))</f>
        <v/>
      </c>
      <c r="D25" s="42" t="str">
        <f>IF($R25="","",INDEX(Detail!$D$4:$D$303,$R25))</f>
        <v/>
      </c>
      <c r="E25" s="43" t="str">
        <f>IF($R25="","",INDEX(Detail!$E$4:$E$303,$R25))</f>
        <v/>
      </c>
      <c r="F25" s="42" t="str">
        <f>IF($R25="","",INDEX(Detail!$F$4:$F$303,$R25))</f>
        <v/>
      </c>
      <c r="G25" s="41" t="str">
        <f>IF($R25="","",INDEX(Detail!$G$4:$G$303,$R25))</f>
        <v/>
      </c>
      <c r="H25" s="44" t="str">
        <f>IF($R25="","",INDEX(Detail!$H$4:$H$303,$R25))</f>
        <v/>
      </c>
      <c r="I25" s="44" t="str">
        <f>IF($R25="","",INDEX(Detail!$I$4:$I$303,$R25))</f>
        <v/>
      </c>
      <c r="J25" s="44" t="str">
        <f>IF($R25="","",INDEX(Detail!$J$4:$J$303,$R25))</f>
        <v/>
      </c>
      <c r="K25" s="44" t="str">
        <f>IF($R25="","",INDEX(Detail!$L$4:$L$303,$R25))</f>
        <v/>
      </c>
      <c r="L25" s="42" t="str">
        <f>IF($R25="","",INDEX(Detail!$M$4:$M$303,$R25))</f>
        <v/>
      </c>
      <c r="M25" s="41" t="str">
        <f>IF($R25="","",INDEX(Detail!$N$4:$N$303,$R25))</f>
        <v/>
      </c>
      <c r="N25" s="45" t="str">
        <f t="shared" si="1"/>
        <v/>
      </c>
      <c r="R25" s="46" t="str">
        <f>IFERROR(MATCH(ROW()-6,Detail!$O$4:$O$303,0),"")</f>
        <v/>
      </c>
    </row>
    <row r="26" spans="2:18" x14ac:dyDescent="0.25">
      <c r="B26" s="41" t="str">
        <f t="shared" si="0"/>
        <v/>
      </c>
      <c r="C26" s="42" t="str">
        <f>IF($R26="","",INDEX(Detail!$C$4:$C$303,$R26))</f>
        <v/>
      </c>
      <c r="D26" s="42" t="str">
        <f>IF($R26="","",INDEX(Detail!$D$4:$D$303,$R26))</f>
        <v/>
      </c>
      <c r="E26" s="43" t="str">
        <f>IF($R26="","",INDEX(Detail!$E$4:$E$303,$R26))</f>
        <v/>
      </c>
      <c r="F26" s="42" t="str">
        <f>IF($R26="","",INDEX(Detail!$F$4:$F$303,$R26))</f>
        <v/>
      </c>
      <c r="G26" s="41" t="str">
        <f>IF($R26="","",INDEX(Detail!$G$4:$G$303,$R26))</f>
        <v/>
      </c>
      <c r="H26" s="44" t="str">
        <f>IF($R26="","",INDEX(Detail!$H$4:$H$303,$R26))</f>
        <v/>
      </c>
      <c r="I26" s="44" t="str">
        <f>IF($R26="","",INDEX(Detail!$I$4:$I$303,$R26))</f>
        <v/>
      </c>
      <c r="J26" s="44" t="str">
        <f>IF($R26="","",INDEX(Detail!$J$4:$J$303,$R26))</f>
        <v/>
      </c>
      <c r="K26" s="44" t="str">
        <f>IF($R26="","",INDEX(Detail!$L$4:$L$303,$R26))</f>
        <v/>
      </c>
      <c r="L26" s="42" t="str">
        <f>IF($R26="","",INDEX(Detail!$M$4:$M$303,$R26))</f>
        <v/>
      </c>
      <c r="M26" s="41" t="str">
        <f>IF($R26="","",INDEX(Detail!$N$4:$N$303,$R26))</f>
        <v/>
      </c>
      <c r="N26" s="45" t="str">
        <f t="shared" si="1"/>
        <v/>
      </c>
      <c r="R26" s="46" t="str">
        <f>IFERROR(MATCH(ROW()-6,Detail!$O$4:$O$303,0),"")</f>
        <v/>
      </c>
    </row>
    <row r="27" spans="2:18" x14ac:dyDescent="0.25">
      <c r="B27" s="41" t="str">
        <f t="shared" si="0"/>
        <v/>
      </c>
      <c r="C27" s="42" t="str">
        <f>IF($R27="","",INDEX(Detail!$C$4:$C$303,$R27))</f>
        <v/>
      </c>
      <c r="D27" s="42" t="str">
        <f>IF($R27="","",INDEX(Detail!$D$4:$D$303,$R27))</f>
        <v/>
      </c>
      <c r="E27" s="43" t="str">
        <f>IF($R27="","",INDEX(Detail!$E$4:$E$303,$R27))</f>
        <v/>
      </c>
      <c r="F27" s="42" t="str">
        <f>IF($R27="","",INDEX(Detail!$F$4:$F$303,$R27))</f>
        <v/>
      </c>
      <c r="G27" s="41" t="str">
        <f>IF($R27="","",INDEX(Detail!$G$4:$G$303,$R27))</f>
        <v/>
      </c>
      <c r="H27" s="44" t="str">
        <f>IF($R27="","",INDEX(Detail!$H$4:$H$303,$R27))</f>
        <v/>
      </c>
      <c r="I27" s="44" t="str">
        <f>IF($R27="","",INDEX(Detail!$I$4:$I$303,$R27))</f>
        <v/>
      </c>
      <c r="J27" s="44" t="str">
        <f>IF($R27="","",INDEX(Detail!$J$4:$J$303,$R27))</f>
        <v/>
      </c>
      <c r="K27" s="44" t="str">
        <f>IF($R27="","",INDEX(Detail!$L$4:$L$303,$R27))</f>
        <v/>
      </c>
      <c r="L27" s="42" t="str">
        <f>IF($R27="","",INDEX(Detail!$M$4:$M$303,$R27))</f>
        <v/>
      </c>
      <c r="M27" s="41" t="str">
        <f>IF($R27="","",INDEX(Detail!$N$4:$N$303,$R27))</f>
        <v/>
      </c>
      <c r="N27" s="45" t="str">
        <f t="shared" si="1"/>
        <v/>
      </c>
      <c r="R27" s="46" t="str">
        <f>IFERROR(MATCH(ROW()-6,Detail!$O$4:$O$303,0),"")</f>
        <v/>
      </c>
    </row>
    <row r="28" spans="2:18" x14ac:dyDescent="0.25">
      <c r="B28" s="41" t="str">
        <f t="shared" si="0"/>
        <v/>
      </c>
      <c r="C28" s="42" t="str">
        <f>IF($R28="","",INDEX(Detail!$C$4:$C$303,$R28))</f>
        <v/>
      </c>
      <c r="D28" s="42" t="str">
        <f>IF($R28="","",INDEX(Detail!$D$4:$D$303,$R28))</f>
        <v/>
      </c>
      <c r="E28" s="43" t="str">
        <f>IF($R28="","",INDEX(Detail!$E$4:$E$303,$R28))</f>
        <v/>
      </c>
      <c r="F28" s="42" t="str">
        <f>IF($R28="","",INDEX(Detail!$F$4:$F$303,$R28))</f>
        <v/>
      </c>
      <c r="G28" s="41" t="str">
        <f>IF($R28="","",INDEX(Detail!$G$4:$G$303,$R28))</f>
        <v/>
      </c>
      <c r="H28" s="44" t="str">
        <f>IF($R28="","",INDEX(Detail!$H$4:$H$303,$R28))</f>
        <v/>
      </c>
      <c r="I28" s="44" t="str">
        <f>IF($R28="","",INDEX(Detail!$I$4:$I$303,$R28))</f>
        <v/>
      </c>
      <c r="J28" s="44" t="str">
        <f>IF($R28="","",INDEX(Detail!$J$4:$J$303,$R28))</f>
        <v/>
      </c>
      <c r="K28" s="44" t="str">
        <f>IF($R28="","",INDEX(Detail!$L$4:$L$303,$R28))</f>
        <v/>
      </c>
      <c r="L28" s="42" t="str">
        <f>IF($R28="","",INDEX(Detail!$M$4:$M$303,$R28))</f>
        <v/>
      </c>
      <c r="M28" s="41" t="str">
        <f>IF($R28="","",INDEX(Detail!$N$4:$N$303,$R28))</f>
        <v/>
      </c>
      <c r="N28" s="45" t="str">
        <f t="shared" si="1"/>
        <v/>
      </c>
      <c r="R28" s="46" t="str">
        <f>IFERROR(MATCH(ROW()-6,Detail!$O$4:$O$303,0),"")</f>
        <v/>
      </c>
    </row>
    <row r="29" spans="2:18" x14ac:dyDescent="0.25">
      <c r="B29" s="41" t="str">
        <f t="shared" si="0"/>
        <v/>
      </c>
      <c r="C29" s="42" t="str">
        <f>IF($R29="","",INDEX(Detail!$C$4:$C$303,$R29))</f>
        <v/>
      </c>
      <c r="D29" s="42" t="str">
        <f>IF($R29="","",INDEX(Detail!$D$4:$D$303,$R29))</f>
        <v/>
      </c>
      <c r="E29" s="43" t="str">
        <f>IF($R29="","",INDEX(Detail!$E$4:$E$303,$R29))</f>
        <v/>
      </c>
      <c r="F29" s="42" t="str">
        <f>IF($R29="","",INDEX(Detail!$F$4:$F$303,$R29))</f>
        <v/>
      </c>
      <c r="G29" s="41" t="str">
        <f>IF($R29="","",INDEX(Detail!$G$4:$G$303,$R29))</f>
        <v/>
      </c>
      <c r="H29" s="44" t="str">
        <f>IF($R29="","",INDEX(Detail!$H$4:$H$303,$R29))</f>
        <v/>
      </c>
      <c r="I29" s="44" t="str">
        <f>IF($R29="","",INDEX(Detail!$I$4:$I$303,$R29))</f>
        <v/>
      </c>
      <c r="J29" s="44" t="str">
        <f>IF($R29="","",INDEX(Detail!$J$4:$J$303,$R29))</f>
        <v/>
      </c>
      <c r="K29" s="44" t="str">
        <f>IF($R29="","",INDEX(Detail!$L$4:$L$303,$R29))</f>
        <v/>
      </c>
      <c r="L29" s="42" t="str">
        <f>IF($R29="","",INDEX(Detail!$M$4:$M$303,$R29))</f>
        <v/>
      </c>
      <c r="M29" s="41" t="str">
        <f>IF($R29="","",INDEX(Detail!$N$4:$N$303,$R29))</f>
        <v/>
      </c>
      <c r="N29" s="45" t="str">
        <f t="shared" si="1"/>
        <v/>
      </c>
      <c r="R29" s="46" t="str">
        <f>IFERROR(MATCH(ROW()-6,Detail!$O$4:$O$303,0),"")</f>
        <v/>
      </c>
    </row>
    <row r="30" spans="2:18" x14ac:dyDescent="0.25">
      <c r="B30" s="41" t="str">
        <f t="shared" si="0"/>
        <v/>
      </c>
      <c r="C30" s="42" t="str">
        <f>IF($R30="","",INDEX(Detail!$C$4:$C$303,$R30))</f>
        <v/>
      </c>
      <c r="D30" s="42" t="str">
        <f>IF($R30="","",INDEX(Detail!$D$4:$D$303,$R30))</f>
        <v/>
      </c>
      <c r="E30" s="43" t="str">
        <f>IF($R30="","",INDEX(Detail!$E$4:$E$303,$R30))</f>
        <v/>
      </c>
      <c r="F30" s="42" t="str">
        <f>IF($R30="","",INDEX(Detail!$F$4:$F$303,$R30))</f>
        <v/>
      </c>
      <c r="G30" s="41" t="str">
        <f>IF($R30="","",INDEX(Detail!$G$4:$G$303,$R30))</f>
        <v/>
      </c>
      <c r="H30" s="44" t="str">
        <f>IF($R30="","",INDEX(Detail!$H$4:$H$303,$R30))</f>
        <v/>
      </c>
      <c r="I30" s="44" t="str">
        <f>IF($R30="","",INDEX(Detail!$I$4:$I$303,$R30))</f>
        <v/>
      </c>
      <c r="J30" s="44" t="str">
        <f>IF($R30="","",INDEX(Detail!$J$4:$J$303,$R30))</f>
        <v/>
      </c>
      <c r="K30" s="44" t="str">
        <f>IF($R30="","",INDEX(Detail!$L$4:$L$303,$R30))</f>
        <v/>
      </c>
      <c r="L30" s="42" t="str">
        <f>IF($R30="","",INDEX(Detail!$M$4:$M$303,$R30))</f>
        <v/>
      </c>
      <c r="M30" s="41" t="str">
        <f>IF($R30="","",INDEX(Detail!$N$4:$N$303,$R30))</f>
        <v/>
      </c>
      <c r="N30" s="45" t="str">
        <f t="shared" si="1"/>
        <v/>
      </c>
      <c r="R30" s="46" t="str">
        <f>IFERROR(MATCH(ROW()-6,Detail!$O$4:$O$303,0),"")</f>
        <v/>
      </c>
    </row>
    <row r="31" spans="2:18" x14ac:dyDescent="0.25">
      <c r="B31" s="41" t="str">
        <f t="shared" si="0"/>
        <v/>
      </c>
      <c r="C31" s="42" t="str">
        <f>IF($R31="","",INDEX(Detail!$C$4:$C$303,$R31))</f>
        <v/>
      </c>
      <c r="D31" s="42" t="str">
        <f>IF($R31="","",INDEX(Detail!$D$4:$D$303,$R31))</f>
        <v/>
      </c>
      <c r="E31" s="43" t="str">
        <f>IF($R31="","",INDEX(Detail!$E$4:$E$303,$R31))</f>
        <v/>
      </c>
      <c r="F31" s="42" t="str">
        <f>IF($R31="","",INDEX(Detail!$F$4:$F$303,$R31))</f>
        <v/>
      </c>
      <c r="G31" s="41" t="str">
        <f>IF($R31="","",INDEX(Detail!$G$4:$G$303,$R31))</f>
        <v/>
      </c>
      <c r="H31" s="44" t="str">
        <f>IF($R31="","",INDEX(Detail!$H$4:$H$303,$R31))</f>
        <v/>
      </c>
      <c r="I31" s="44" t="str">
        <f>IF($R31="","",INDEX(Detail!$I$4:$I$303,$R31))</f>
        <v/>
      </c>
      <c r="J31" s="44" t="str">
        <f>IF($R31="","",INDEX(Detail!$J$4:$J$303,$R31))</f>
        <v/>
      </c>
      <c r="K31" s="44" t="str">
        <f>IF($R31="","",INDEX(Detail!$L$4:$L$303,$R31))</f>
        <v/>
      </c>
      <c r="L31" s="42" t="str">
        <f>IF($R31="","",INDEX(Detail!$M$4:$M$303,$R31))</f>
        <v/>
      </c>
      <c r="M31" s="41" t="str">
        <f>IF($R31="","",INDEX(Detail!$N$4:$N$303,$R31))</f>
        <v/>
      </c>
      <c r="N31" s="45" t="str">
        <f t="shared" si="1"/>
        <v/>
      </c>
      <c r="R31" s="46" t="str">
        <f>IFERROR(MATCH(ROW()-6,Detail!$O$4:$O$303,0),"")</f>
        <v/>
      </c>
    </row>
    <row r="32" spans="2:18" x14ac:dyDescent="0.25">
      <c r="B32" s="41" t="str">
        <f t="shared" si="0"/>
        <v/>
      </c>
      <c r="C32" s="42" t="str">
        <f>IF($R32="","",INDEX(Detail!$C$4:$C$303,$R32))</f>
        <v/>
      </c>
      <c r="D32" s="42" t="str">
        <f>IF($R32="","",INDEX(Detail!$D$4:$D$303,$R32))</f>
        <v/>
      </c>
      <c r="E32" s="43" t="str">
        <f>IF($R32="","",INDEX(Detail!$E$4:$E$303,$R32))</f>
        <v/>
      </c>
      <c r="F32" s="42" t="str">
        <f>IF($R32="","",INDEX(Detail!$F$4:$F$303,$R32))</f>
        <v/>
      </c>
      <c r="G32" s="41" t="str">
        <f>IF($R32="","",INDEX(Detail!$G$4:$G$303,$R32))</f>
        <v/>
      </c>
      <c r="H32" s="44" t="str">
        <f>IF($R32="","",INDEX(Detail!$H$4:$H$303,$R32))</f>
        <v/>
      </c>
      <c r="I32" s="44" t="str">
        <f>IF($R32="","",INDEX(Detail!$I$4:$I$303,$R32))</f>
        <v/>
      </c>
      <c r="J32" s="44" t="str">
        <f>IF($R32="","",INDEX(Detail!$J$4:$J$303,$R32))</f>
        <v/>
      </c>
      <c r="K32" s="44" t="str">
        <f>IF($R32="","",INDEX(Detail!$L$4:$L$303,$R32))</f>
        <v/>
      </c>
      <c r="L32" s="42" t="str">
        <f>IF($R32="","",INDEX(Detail!$M$4:$M$303,$R32))</f>
        <v/>
      </c>
      <c r="M32" s="41" t="str">
        <f>IF($R32="","",INDEX(Detail!$N$4:$N$303,$R32))</f>
        <v/>
      </c>
      <c r="N32" s="45" t="str">
        <f t="shared" si="1"/>
        <v/>
      </c>
      <c r="R32" s="46" t="str">
        <f>IFERROR(MATCH(ROW()-6,Detail!$O$4:$O$303,0),"")</f>
        <v/>
      </c>
    </row>
    <row r="33" spans="2:18" x14ac:dyDescent="0.25">
      <c r="B33" s="41" t="str">
        <f t="shared" si="0"/>
        <v/>
      </c>
      <c r="C33" s="42" t="str">
        <f>IF($R33="","",INDEX(Detail!$C$4:$C$303,$R33))</f>
        <v/>
      </c>
      <c r="D33" s="42" t="str">
        <f>IF($R33="","",INDEX(Detail!$D$4:$D$303,$R33))</f>
        <v/>
      </c>
      <c r="E33" s="43" t="str">
        <f>IF($R33="","",INDEX(Detail!$E$4:$E$303,$R33))</f>
        <v/>
      </c>
      <c r="F33" s="42" t="str">
        <f>IF($R33="","",INDEX(Detail!$F$4:$F$303,$R33))</f>
        <v/>
      </c>
      <c r="G33" s="41" t="str">
        <f>IF($R33="","",INDEX(Detail!$G$4:$G$303,$R33))</f>
        <v/>
      </c>
      <c r="H33" s="44" t="str">
        <f>IF($R33="","",INDEX(Detail!$H$4:$H$303,$R33))</f>
        <v/>
      </c>
      <c r="I33" s="44" t="str">
        <f>IF($R33="","",INDEX(Detail!$I$4:$I$303,$R33))</f>
        <v/>
      </c>
      <c r="J33" s="44" t="str">
        <f>IF($R33="","",INDEX(Detail!$J$4:$J$303,$R33))</f>
        <v/>
      </c>
      <c r="K33" s="44" t="str">
        <f>IF($R33="","",INDEX(Detail!$L$4:$L$303,$R33))</f>
        <v/>
      </c>
      <c r="L33" s="42" t="str">
        <f>IF($R33="","",INDEX(Detail!$M$4:$M$303,$R33))</f>
        <v/>
      </c>
      <c r="M33" s="41" t="str">
        <f>IF($R33="","",INDEX(Detail!$N$4:$N$303,$R33))</f>
        <v/>
      </c>
      <c r="N33" s="45" t="str">
        <f t="shared" si="1"/>
        <v/>
      </c>
      <c r="R33" s="46" t="str">
        <f>IFERROR(MATCH(ROW()-6,Detail!$O$4:$O$303,0),"")</f>
        <v/>
      </c>
    </row>
    <row r="34" spans="2:18" x14ac:dyDescent="0.25">
      <c r="B34" s="41" t="str">
        <f t="shared" si="0"/>
        <v/>
      </c>
      <c r="C34" s="42" t="str">
        <f>IF($R34="","",INDEX(Detail!$C$4:$C$303,$R34))</f>
        <v/>
      </c>
      <c r="D34" s="42" t="str">
        <f>IF($R34="","",INDEX(Detail!$D$4:$D$303,$R34))</f>
        <v/>
      </c>
      <c r="E34" s="43" t="str">
        <f>IF($R34="","",INDEX(Detail!$E$4:$E$303,$R34))</f>
        <v/>
      </c>
      <c r="F34" s="42" t="str">
        <f>IF($R34="","",INDEX(Detail!$F$4:$F$303,$R34))</f>
        <v/>
      </c>
      <c r="G34" s="41" t="str">
        <f>IF($R34="","",INDEX(Detail!$G$4:$G$303,$R34))</f>
        <v/>
      </c>
      <c r="H34" s="44" t="str">
        <f>IF($R34="","",INDEX(Detail!$H$4:$H$303,$R34))</f>
        <v/>
      </c>
      <c r="I34" s="44" t="str">
        <f>IF($R34="","",INDEX(Detail!$I$4:$I$303,$R34))</f>
        <v/>
      </c>
      <c r="J34" s="44" t="str">
        <f>IF($R34="","",INDEX(Detail!$J$4:$J$303,$R34))</f>
        <v/>
      </c>
      <c r="K34" s="44" t="str">
        <f>IF($R34="","",INDEX(Detail!$L$4:$L$303,$R34))</f>
        <v/>
      </c>
      <c r="L34" s="42" t="str">
        <f>IF($R34="","",INDEX(Detail!$M$4:$M$303,$R34))</f>
        <v/>
      </c>
      <c r="M34" s="41" t="str">
        <f>IF($R34="","",INDEX(Detail!$N$4:$N$303,$R34))</f>
        <v/>
      </c>
      <c r="N34" s="45" t="str">
        <f t="shared" si="1"/>
        <v/>
      </c>
      <c r="R34" s="46" t="str">
        <f>IFERROR(MATCH(ROW()-6,Detail!$O$4:$O$303,0),"")</f>
        <v/>
      </c>
    </row>
    <row r="35" spans="2:18" x14ac:dyDescent="0.25">
      <c r="B35" s="41" t="str">
        <f t="shared" si="0"/>
        <v/>
      </c>
      <c r="C35" s="42" t="str">
        <f>IF($R35="","",INDEX(Detail!$C$4:$C$303,$R35))</f>
        <v/>
      </c>
      <c r="D35" s="42" t="str">
        <f>IF($R35="","",INDEX(Detail!$D$4:$D$303,$R35))</f>
        <v/>
      </c>
      <c r="E35" s="43" t="str">
        <f>IF($R35="","",INDEX(Detail!$E$4:$E$303,$R35))</f>
        <v/>
      </c>
      <c r="F35" s="42" t="str">
        <f>IF($R35="","",INDEX(Detail!$F$4:$F$303,$R35))</f>
        <v/>
      </c>
      <c r="G35" s="41" t="str">
        <f>IF($R35="","",INDEX(Detail!$G$4:$G$303,$R35))</f>
        <v/>
      </c>
      <c r="H35" s="44" t="str">
        <f>IF($R35="","",INDEX(Detail!$H$4:$H$303,$R35))</f>
        <v/>
      </c>
      <c r="I35" s="44" t="str">
        <f>IF($R35="","",INDEX(Detail!$I$4:$I$303,$R35))</f>
        <v/>
      </c>
      <c r="J35" s="44" t="str">
        <f>IF($R35="","",INDEX(Detail!$J$4:$J$303,$R35))</f>
        <v/>
      </c>
      <c r="K35" s="44" t="str">
        <f>IF($R35="","",INDEX(Detail!$L$4:$L$303,$R35))</f>
        <v/>
      </c>
      <c r="L35" s="42" t="str">
        <f>IF($R35="","",INDEX(Detail!$M$4:$M$303,$R35))</f>
        <v/>
      </c>
      <c r="M35" s="41" t="str">
        <f>IF($R35="","",INDEX(Detail!$N$4:$N$303,$R35))</f>
        <v/>
      </c>
      <c r="N35" s="45" t="str">
        <f t="shared" si="1"/>
        <v/>
      </c>
      <c r="R35" s="46" t="str">
        <f>IFERROR(MATCH(ROW()-6,Detail!$O$4:$O$303,0),"")</f>
        <v/>
      </c>
    </row>
    <row r="36" spans="2:18" x14ac:dyDescent="0.25">
      <c r="B36" s="41" t="str">
        <f t="shared" si="0"/>
        <v/>
      </c>
      <c r="C36" s="42" t="str">
        <f>IF($R36="","",INDEX(Detail!$C$4:$C$303,$R36))</f>
        <v/>
      </c>
      <c r="D36" s="42" t="str">
        <f>IF($R36="","",INDEX(Detail!$D$4:$D$303,$R36))</f>
        <v/>
      </c>
      <c r="E36" s="43" t="str">
        <f>IF($R36="","",INDEX(Detail!$E$4:$E$303,$R36))</f>
        <v/>
      </c>
      <c r="F36" s="42" t="str">
        <f>IF($R36="","",INDEX(Detail!$F$4:$F$303,$R36))</f>
        <v/>
      </c>
      <c r="G36" s="41" t="str">
        <f>IF($R36="","",INDEX(Detail!$G$4:$G$303,$R36))</f>
        <v/>
      </c>
      <c r="H36" s="44" t="str">
        <f>IF($R36="","",INDEX(Detail!$H$4:$H$303,$R36))</f>
        <v/>
      </c>
      <c r="I36" s="44" t="str">
        <f>IF($R36="","",INDEX(Detail!$I$4:$I$303,$R36))</f>
        <v/>
      </c>
      <c r="J36" s="44" t="str">
        <f>IF($R36="","",INDEX(Detail!$J$4:$J$303,$R36))</f>
        <v/>
      </c>
      <c r="K36" s="44" t="str">
        <f>IF($R36="","",INDEX(Detail!$L$4:$L$303,$R36))</f>
        <v/>
      </c>
      <c r="L36" s="42" t="str">
        <f>IF($R36="","",INDEX(Detail!$M$4:$M$303,$R36))</f>
        <v/>
      </c>
      <c r="M36" s="41" t="str">
        <f>IF($R36="","",INDEX(Detail!$N$4:$N$303,$R36))</f>
        <v/>
      </c>
      <c r="N36" s="45" t="str">
        <f t="shared" si="1"/>
        <v/>
      </c>
      <c r="R36" s="46" t="str">
        <f>IFERROR(MATCH(ROW()-6,Detail!$O$4:$O$303,0),"")</f>
        <v/>
      </c>
    </row>
    <row r="37" spans="2:18" x14ac:dyDescent="0.25">
      <c r="B37" s="41" t="str">
        <f t="shared" si="0"/>
        <v/>
      </c>
      <c r="C37" s="42" t="str">
        <f>IF($R37="","",INDEX(Detail!$C$4:$C$303,$R37))</f>
        <v/>
      </c>
      <c r="D37" s="42" t="str">
        <f>IF($R37="","",INDEX(Detail!$D$4:$D$303,$R37))</f>
        <v/>
      </c>
      <c r="E37" s="43" t="str">
        <f>IF($R37="","",INDEX(Detail!$E$4:$E$303,$R37))</f>
        <v/>
      </c>
      <c r="F37" s="42" t="str">
        <f>IF($R37="","",INDEX(Detail!$F$4:$F$303,$R37))</f>
        <v/>
      </c>
      <c r="G37" s="41" t="str">
        <f>IF($R37="","",INDEX(Detail!$G$4:$G$303,$R37))</f>
        <v/>
      </c>
      <c r="H37" s="44" t="str">
        <f>IF($R37="","",INDEX(Detail!$H$4:$H$303,$R37))</f>
        <v/>
      </c>
      <c r="I37" s="44" t="str">
        <f>IF($R37="","",INDEX(Detail!$I$4:$I$303,$R37))</f>
        <v/>
      </c>
      <c r="J37" s="44" t="str">
        <f>IF($R37="","",INDEX(Detail!$J$4:$J$303,$R37))</f>
        <v/>
      </c>
      <c r="K37" s="44" t="str">
        <f>IF($R37="","",INDEX(Detail!$L$4:$L$303,$R37))</f>
        <v/>
      </c>
      <c r="L37" s="42" t="str">
        <f>IF($R37="","",INDEX(Detail!$M$4:$M$303,$R37))</f>
        <v/>
      </c>
      <c r="M37" s="41" t="str">
        <f>IF($R37="","",INDEX(Detail!$N$4:$N$303,$R37))</f>
        <v/>
      </c>
      <c r="N37" s="45" t="str">
        <f t="shared" si="1"/>
        <v/>
      </c>
      <c r="R37" s="46" t="str">
        <f>IFERROR(MATCH(ROW()-6,Detail!$O$4:$O$303,0),"")</f>
        <v/>
      </c>
    </row>
    <row r="38" spans="2:18" x14ac:dyDescent="0.25">
      <c r="B38" s="41" t="str">
        <f t="shared" si="0"/>
        <v/>
      </c>
      <c r="C38" s="42" t="str">
        <f>IF($R38="","",INDEX(Detail!$C$4:$C$303,$R38))</f>
        <v/>
      </c>
      <c r="D38" s="42" t="str">
        <f>IF($R38="","",INDEX(Detail!$D$4:$D$303,$R38))</f>
        <v/>
      </c>
      <c r="E38" s="43" t="str">
        <f>IF($R38="","",INDEX(Detail!$E$4:$E$303,$R38))</f>
        <v/>
      </c>
      <c r="F38" s="42" t="str">
        <f>IF($R38="","",INDEX(Detail!$F$4:$F$303,$R38))</f>
        <v/>
      </c>
      <c r="G38" s="41" t="str">
        <f>IF($R38="","",INDEX(Detail!$G$4:$G$303,$R38))</f>
        <v/>
      </c>
      <c r="H38" s="44" t="str">
        <f>IF($R38="","",INDEX(Detail!$H$4:$H$303,$R38))</f>
        <v/>
      </c>
      <c r="I38" s="44" t="str">
        <f>IF($R38="","",INDEX(Detail!$I$4:$I$303,$R38))</f>
        <v/>
      </c>
      <c r="J38" s="44" t="str">
        <f>IF($R38="","",INDEX(Detail!$J$4:$J$303,$R38))</f>
        <v/>
      </c>
      <c r="K38" s="44" t="str">
        <f>IF($R38="","",INDEX(Detail!$L$4:$L$303,$R38))</f>
        <v/>
      </c>
      <c r="L38" s="42" t="str">
        <f>IF($R38="","",INDEX(Detail!$M$4:$M$303,$R38))</f>
        <v/>
      </c>
      <c r="M38" s="41" t="str">
        <f>IF($R38="","",INDEX(Detail!$N$4:$N$303,$R38))</f>
        <v/>
      </c>
      <c r="N38" s="45" t="str">
        <f t="shared" si="1"/>
        <v/>
      </c>
      <c r="R38" s="46" t="str">
        <f>IFERROR(MATCH(ROW()-6,Detail!$O$4:$O$303,0),"")</f>
        <v/>
      </c>
    </row>
    <row r="39" spans="2:18" x14ac:dyDescent="0.25">
      <c r="B39" s="41" t="str">
        <f t="shared" ref="B39:B70" si="2">IF($R39="","",ROW()-6)</f>
        <v/>
      </c>
      <c r="C39" s="42" t="str">
        <f>IF($R39="","",INDEX(Detail!$C$4:$C$303,$R39))</f>
        <v/>
      </c>
      <c r="D39" s="42" t="str">
        <f>IF($R39="","",INDEX(Detail!$D$4:$D$303,$R39))</f>
        <v/>
      </c>
      <c r="E39" s="43" t="str">
        <f>IF($R39="","",INDEX(Detail!$E$4:$E$303,$R39))</f>
        <v/>
      </c>
      <c r="F39" s="42" t="str">
        <f>IF($R39="","",INDEX(Detail!$F$4:$F$303,$R39))</f>
        <v/>
      </c>
      <c r="G39" s="41" t="str">
        <f>IF($R39="","",INDEX(Detail!$G$4:$G$303,$R39))</f>
        <v/>
      </c>
      <c r="H39" s="44" t="str">
        <f>IF($R39="","",INDEX(Detail!$H$4:$H$303,$R39))</f>
        <v/>
      </c>
      <c r="I39" s="44" t="str">
        <f>IF($R39="","",INDEX(Detail!$I$4:$I$303,$R39))</f>
        <v/>
      </c>
      <c r="J39" s="44" t="str">
        <f>IF($R39="","",INDEX(Detail!$J$4:$J$303,$R39))</f>
        <v/>
      </c>
      <c r="K39" s="44" t="str">
        <f>IF($R39="","",INDEX(Detail!$L$4:$L$303,$R39))</f>
        <v/>
      </c>
      <c r="L39" s="42" t="str">
        <f>IF($R39="","",INDEX(Detail!$M$4:$M$303,$R39))</f>
        <v/>
      </c>
      <c r="M39" s="41" t="str">
        <f>IF($R39="","",INDEX(Detail!$N$4:$N$303,$R39))</f>
        <v/>
      </c>
      <c r="N39" s="45" t="str">
        <f t="shared" ref="N39:N70" si="3">IF($C39="","",IF($G39=0,"Ask the landman to log this day in BTabs: there is no entry at all.",IF($K39&lt;0,"Missing "&amp;TEXT(-$K39,"0.##")&amp;" h. Confirm whether they worked and did not bill, or whether they need to log Time Off / BPO Vacation with the hours in the detail.","Over by "&amp;TEXT($K39,"0.##")&amp;" h. Check for a duplicate entry or a typo.")))</f>
        <v/>
      </c>
      <c r="R39" s="46" t="str">
        <f>IFERROR(MATCH(ROW()-6,Detail!$O$4:$O$303,0),"")</f>
        <v/>
      </c>
    </row>
    <row r="40" spans="2:18" x14ac:dyDescent="0.25">
      <c r="B40" s="41" t="str">
        <f t="shared" si="2"/>
        <v/>
      </c>
      <c r="C40" s="42" t="str">
        <f>IF($R40="","",INDEX(Detail!$C$4:$C$303,$R40))</f>
        <v/>
      </c>
      <c r="D40" s="42" t="str">
        <f>IF($R40="","",INDEX(Detail!$D$4:$D$303,$R40))</f>
        <v/>
      </c>
      <c r="E40" s="43" t="str">
        <f>IF($R40="","",INDEX(Detail!$E$4:$E$303,$R40))</f>
        <v/>
      </c>
      <c r="F40" s="42" t="str">
        <f>IF($R40="","",INDEX(Detail!$F$4:$F$303,$R40))</f>
        <v/>
      </c>
      <c r="G40" s="41" t="str">
        <f>IF($R40="","",INDEX(Detail!$G$4:$G$303,$R40))</f>
        <v/>
      </c>
      <c r="H40" s="44" t="str">
        <f>IF($R40="","",INDEX(Detail!$H$4:$H$303,$R40))</f>
        <v/>
      </c>
      <c r="I40" s="44" t="str">
        <f>IF($R40="","",INDEX(Detail!$I$4:$I$303,$R40))</f>
        <v/>
      </c>
      <c r="J40" s="44" t="str">
        <f>IF($R40="","",INDEX(Detail!$J$4:$J$303,$R40))</f>
        <v/>
      </c>
      <c r="K40" s="44" t="str">
        <f>IF($R40="","",INDEX(Detail!$L$4:$L$303,$R40))</f>
        <v/>
      </c>
      <c r="L40" s="42" t="str">
        <f>IF($R40="","",INDEX(Detail!$M$4:$M$303,$R40))</f>
        <v/>
      </c>
      <c r="M40" s="41" t="str">
        <f>IF($R40="","",INDEX(Detail!$N$4:$N$303,$R40))</f>
        <v/>
      </c>
      <c r="N40" s="45" t="str">
        <f t="shared" si="3"/>
        <v/>
      </c>
      <c r="R40" s="46" t="str">
        <f>IFERROR(MATCH(ROW()-6,Detail!$O$4:$O$303,0),"")</f>
        <v/>
      </c>
    </row>
    <row r="41" spans="2:18" x14ac:dyDescent="0.25">
      <c r="B41" s="41" t="str">
        <f t="shared" si="2"/>
        <v/>
      </c>
      <c r="C41" s="42" t="str">
        <f>IF($R41="","",INDEX(Detail!$C$4:$C$303,$R41))</f>
        <v/>
      </c>
      <c r="D41" s="42" t="str">
        <f>IF($R41="","",INDEX(Detail!$D$4:$D$303,$R41))</f>
        <v/>
      </c>
      <c r="E41" s="43" t="str">
        <f>IF($R41="","",INDEX(Detail!$E$4:$E$303,$R41))</f>
        <v/>
      </c>
      <c r="F41" s="42" t="str">
        <f>IF($R41="","",INDEX(Detail!$F$4:$F$303,$R41))</f>
        <v/>
      </c>
      <c r="G41" s="41" t="str">
        <f>IF($R41="","",INDEX(Detail!$G$4:$G$303,$R41))</f>
        <v/>
      </c>
      <c r="H41" s="44" t="str">
        <f>IF($R41="","",INDEX(Detail!$H$4:$H$303,$R41))</f>
        <v/>
      </c>
      <c r="I41" s="44" t="str">
        <f>IF($R41="","",INDEX(Detail!$I$4:$I$303,$R41))</f>
        <v/>
      </c>
      <c r="J41" s="44" t="str">
        <f>IF($R41="","",INDEX(Detail!$J$4:$J$303,$R41))</f>
        <v/>
      </c>
      <c r="K41" s="44" t="str">
        <f>IF($R41="","",INDEX(Detail!$L$4:$L$303,$R41))</f>
        <v/>
      </c>
      <c r="L41" s="42" t="str">
        <f>IF($R41="","",INDEX(Detail!$M$4:$M$303,$R41))</f>
        <v/>
      </c>
      <c r="M41" s="41" t="str">
        <f>IF($R41="","",INDEX(Detail!$N$4:$N$303,$R41))</f>
        <v/>
      </c>
      <c r="N41" s="45" t="str">
        <f t="shared" si="3"/>
        <v/>
      </c>
      <c r="R41" s="46" t="str">
        <f>IFERROR(MATCH(ROW()-6,Detail!$O$4:$O$303,0),"")</f>
        <v/>
      </c>
    </row>
    <row r="42" spans="2:18" x14ac:dyDescent="0.25">
      <c r="B42" s="41" t="str">
        <f t="shared" si="2"/>
        <v/>
      </c>
      <c r="C42" s="42" t="str">
        <f>IF($R42="","",INDEX(Detail!$C$4:$C$303,$R42))</f>
        <v/>
      </c>
      <c r="D42" s="42" t="str">
        <f>IF($R42="","",INDEX(Detail!$D$4:$D$303,$R42))</f>
        <v/>
      </c>
      <c r="E42" s="43" t="str">
        <f>IF($R42="","",INDEX(Detail!$E$4:$E$303,$R42))</f>
        <v/>
      </c>
      <c r="F42" s="42" t="str">
        <f>IF($R42="","",INDEX(Detail!$F$4:$F$303,$R42))</f>
        <v/>
      </c>
      <c r="G42" s="41" t="str">
        <f>IF($R42="","",INDEX(Detail!$G$4:$G$303,$R42))</f>
        <v/>
      </c>
      <c r="H42" s="44" t="str">
        <f>IF($R42="","",INDEX(Detail!$H$4:$H$303,$R42))</f>
        <v/>
      </c>
      <c r="I42" s="44" t="str">
        <f>IF($R42="","",INDEX(Detail!$I$4:$I$303,$R42))</f>
        <v/>
      </c>
      <c r="J42" s="44" t="str">
        <f>IF($R42="","",INDEX(Detail!$J$4:$J$303,$R42))</f>
        <v/>
      </c>
      <c r="K42" s="44" t="str">
        <f>IF($R42="","",INDEX(Detail!$L$4:$L$303,$R42))</f>
        <v/>
      </c>
      <c r="L42" s="42" t="str">
        <f>IF($R42="","",INDEX(Detail!$M$4:$M$303,$R42))</f>
        <v/>
      </c>
      <c r="M42" s="41" t="str">
        <f>IF($R42="","",INDEX(Detail!$N$4:$N$303,$R42))</f>
        <v/>
      </c>
      <c r="N42" s="45" t="str">
        <f t="shared" si="3"/>
        <v/>
      </c>
      <c r="R42" s="46" t="str">
        <f>IFERROR(MATCH(ROW()-6,Detail!$O$4:$O$303,0),"")</f>
        <v/>
      </c>
    </row>
    <row r="43" spans="2:18" x14ac:dyDescent="0.25">
      <c r="B43" s="41" t="str">
        <f t="shared" si="2"/>
        <v/>
      </c>
      <c r="C43" s="42" t="str">
        <f>IF($R43="","",INDEX(Detail!$C$4:$C$303,$R43))</f>
        <v/>
      </c>
      <c r="D43" s="42" t="str">
        <f>IF($R43="","",INDEX(Detail!$D$4:$D$303,$R43))</f>
        <v/>
      </c>
      <c r="E43" s="43" t="str">
        <f>IF($R43="","",INDEX(Detail!$E$4:$E$303,$R43))</f>
        <v/>
      </c>
      <c r="F43" s="42" t="str">
        <f>IF($R43="","",INDEX(Detail!$F$4:$F$303,$R43))</f>
        <v/>
      </c>
      <c r="G43" s="41" t="str">
        <f>IF($R43="","",INDEX(Detail!$G$4:$G$303,$R43))</f>
        <v/>
      </c>
      <c r="H43" s="44" t="str">
        <f>IF($R43="","",INDEX(Detail!$H$4:$H$303,$R43))</f>
        <v/>
      </c>
      <c r="I43" s="44" t="str">
        <f>IF($R43="","",INDEX(Detail!$I$4:$I$303,$R43))</f>
        <v/>
      </c>
      <c r="J43" s="44" t="str">
        <f>IF($R43="","",INDEX(Detail!$J$4:$J$303,$R43))</f>
        <v/>
      </c>
      <c r="K43" s="44" t="str">
        <f>IF($R43="","",INDEX(Detail!$L$4:$L$303,$R43))</f>
        <v/>
      </c>
      <c r="L43" s="42" t="str">
        <f>IF($R43="","",INDEX(Detail!$M$4:$M$303,$R43))</f>
        <v/>
      </c>
      <c r="M43" s="41" t="str">
        <f>IF($R43="","",INDEX(Detail!$N$4:$N$303,$R43))</f>
        <v/>
      </c>
      <c r="N43" s="45" t="str">
        <f t="shared" si="3"/>
        <v/>
      </c>
      <c r="R43" s="46" t="str">
        <f>IFERROR(MATCH(ROW()-6,Detail!$O$4:$O$303,0),"")</f>
        <v/>
      </c>
    </row>
    <row r="44" spans="2:18" x14ac:dyDescent="0.25">
      <c r="B44" s="41" t="str">
        <f t="shared" si="2"/>
        <v/>
      </c>
      <c r="C44" s="42" t="str">
        <f>IF($R44="","",INDEX(Detail!$C$4:$C$303,$R44))</f>
        <v/>
      </c>
      <c r="D44" s="42" t="str">
        <f>IF($R44="","",INDEX(Detail!$D$4:$D$303,$R44))</f>
        <v/>
      </c>
      <c r="E44" s="43" t="str">
        <f>IF($R44="","",INDEX(Detail!$E$4:$E$303,$R44))</f>
        <v/>
      </c>
      <c r="F44" s="42" t="str">
        <f>IF($R44="","",INDEX(Detail!$F$4:$F$303,$R44))</f>
        <v/>
      </c>
      <c r="G44" s="41" t="str">
        <f>IF($R44="","",INDEX(Detail!$G$4:$G$303,$R44))</f>
        <v/>
      </c>
      <c r="H44" s="44" t="str">
        <f>IF($R44="","",INDEX(Detail!$H$4:$H$303,$R44))</f>
        <v/>
      </c>
      <c r="I44" s="44" t="str">
        <f>IF($R44="","",INDEX(Detail!$I$4:$I$303,$R44))</f>
        <v/>
      </c>
      <c r="J44" s="44" t="str">
        <f>IF($R44="","",INDEX(Detail!$J$4:$J$303,$R44))</f>
        <v/>
      </c>
      <c r="K44" s="44" t="str">
        <f>IF($R44="","",INDEX(Detail!$L$4:$L$303,$R44))</f>
        <v/>
      </c>
      <c r="L44" s="42" t="str">
        <f>IF($R44="","",INDEX(Detail!$M$4:$M$303,$R44))</f>
        <v/>
      </c>
      <c r="M44" s="41" t="str">
        <f>IF($R44="","",INDEX(Detail!$N$4:$N$303,$R44))</f>
        <v/>
      </c>
      <c r="N44" s="45" t="str">
        <f t="shared" si="3"/>
        <v/>
      </c>
      <c r="R44" s="46" t="str">
        <f>IFERROR(MATCH(ROW()-6,Detail!$O$4:$O$303,0),"")</f>
        <v/>
      </c>
    </row>
    <row r="45" spans="2:18" x14ac:dyDescent="0.25">
      <c r="B45" s="41" t="str">
        <f t="shared" si="2"/>
        <v/>
      </c>
      <c r="C45" s="42" t="str">
        <f>IF($R45="","",INDEX(Detail!$C$4:$C$303,$R45))</f>
        <v/>
      </c>
      <c r="D45" s="42" t="str">
        <f>IF($R45="","",INDEX(Detail!$D$4:$D$303,$R45))</f>
        <v/>
      </c>
      <c r="E45" s="43" t="str">
        <f>IF($R45="","",INDEX(Detail!$E$4:$E$303,$R45))</f>
        <v/>
      </c>
      <c r="F45" s="42" t="str">
        <f>IF($R45="","",INDEX(Detail!$F$4:$F$303,$R45))</f>
        <v/>
      </c>
      <c r="G45" s="41" t="str">
        <f>IF($R45="","",INDEX(Detail!$G$4:$G$303,$R45))</f>
        <v/>
      </c>
      <c r="H45" s="44" t="str">
        <f>IF($R45="","",INDEX(Detail!$H$4:$H$303,$R45))</f>
        <v/>
      </c>
      <c r="I45" s="44" t="str">
        <f>IF($R45="","",INDEX(Detail!$I$4:$I$303,$R45))</f>
        <v/>
      </c>
      <c r="J45" s="44" t="str">
        <f>IF($R45="","",INDEX(Detail!$J$4:$J$303,$R45))</f>
        <v/>
      </c>
      <c r="K45" s="44" t="str">
        <f>IF($R45="","",INDEX(Detail!$L$4:$L$303,$R45))</f>
        <v/>
      </c>
      <c r="L45" s="42" t="str">
        <f>IF($R45="","",INDEX(Detail!$M$4:$M$303,$R45))</f>
        <v/>
      </c>
      <c r="M45" s="41" t="str">
        <f>IF($R45="","",INDEX(Detail!$N$4:$N$303,$R45))</f>
        <v/>
      </c>
      <c r="N45" s="45" t="str">
        <f t="shared" si="3"/>
        <v/>
      </c>
      <c r="R45" s="46" t="str">
        <f>IFERROR(MATCH(ROW()-6,Detail!$O$4:$O$303,0),"")</f>
        <v/>
      </c>
    </row>
    <row r="46" spans="2:18" x14ac:dyDescent="0.25">
      <c r="B46" s="41" t="str">
        <f t="shared" si="2"/>
        <v/>
      </c>
      <c r="C46" s="42" t="str">
        <f>IF($R46="","",INDEX(Detail!$C$4:$C$303,$R46))</f>
        <v/>
      </c>
      <c r="D46" s="42" t="str">
        <f>IF($R46="","",INDEX(Detail!$D$4:$D$303,$R46))</f>
        <v/>
      </c>
      <c r="E46" s="43" t="str">
        <f>IF($R46="","",INDEX(Detail!$E$4:$E$303,$R46))</f>
        <v/>
      </c>
      <c r="F46" s="42" t="str">
        <f>IF($R46="","",INDEX(Detail!$F$4:$F$303,$R46))</f>
        <v/>
      </c>
      <c r="G46" s="41" t="str">
        <f>IF($R46="","",INDEX(Detail!$G$4:$G$303,$R46))</f>
        <v/>
      </c>
      <c r="H46" s="44" t="str">
        <f>IF($R46="","",INDEX(Detail!$H$4:$H$303,$R46))</f>
        <v/>
      </c>
      <c r="I46" s="44" t="str">
        <f>IF($R46="","",INDEX(Detail!$I$4:$I$303,$R46))</f>
        <v/>
      </c>
      <c r="J46" s="44" t="str">
        <f>IF($R46="","",INDEX(Detail!$J$4:$J$303,$R46))</f>
        <v/>
      </c>
      <c r="K46" s="44" t="str">
        <f>IF($R46="","",INDEX(Detail!$L$4:$L$303,$R46))</f>
        <v/>
      </c>
      <c r="L46" s="42" t="str">
        <f>IF($R46="","",INDEX(Detail!$M$4:$M$303,$R46))</f>
        <v/>
      </c>
      <c r="M46" s="41" t="str">
        <f>IF($R46="","",INDEX(Detail!$N$4:$N$303,$R46))</f>
        <v/>
      </c>
      <c r="N46" s="45" t="str">
        <f t="shared" si="3"/>
        <v/>
      </c>
      <c r="R46" s="46" t="str">
        <f>IFERROR(MATCH(ROW()-6,Detail!$O$4:$O$303,0),"")</f>
        <v/>
      </c>
    </row>
    <row r="47" spans="2:18" x14ac:dyDescent="0.25">
      <c r="B47" s="41" t="str">
        <f t="shared" si="2"/>
        <v/>
      </c>
      <c r="C47" s="42" t="str">
        <f>IF($R47="","",INDEX(Detail!$C$4:$C$303,$R47))</f>
        <v/>
      </c>
      <c r="D47" s="42" t="str">
        <f>IF($R47="","",INDEX(Detail!$D$4:$D$303,$R47))</f>
        <v/>
      </c>
      <c r="E47" s="43" t="str">
        <f>IF($R47="","",INDEX(Detail!$E$4:$E$303,$R47))</f>
        <v/>
      </c>
      <c r="F47" s="42" t="str">
        <f>IF($R47="","",INDEX(Detail!$F$4:$F$303,$R47))</f>
        <v/>
      </c>
      <c r="G47" s="41" t="str">
        <f>IF($R47="","",INDEX(Detail!$G$4:$G$303,$R47))</f>
        <v/>
      </c>
      <c r="H47" s="44" t="str">
        <f>IF($R47="","",INDEX(Detail!$H$4:$H$303,$R47))</f>
        <v/>
      </c>
      <c r="I47" s="44" t="str">
        <f>IF($R47="","",INDEX(Detail!$I$4:$I$303,$R47))</f>
        <v/>
      </c>
      <c r="J47" s="44" t="str">
        <f>IF($R47="","",INDEX(Detail!$J$4:$J$303,$R47))</f>
        <v/>
      </c>
      <c r="K47" s="44" t="str">
        <f>IF($R47="","",INDEX(Detail!$L$4:$L$303,$R47))</f>
        <v/>
      </c>
      <c r="L47" s="42" t="str">
        <f>IF($R47="","",INDEX(Detail!$M$4:$M$303,$R47))</f>
        <v/>
      </c>
      <c r="M47" s="41" t="str">
        <f>IF($R47="","",INDEX(Detail!$N$4:$N$303,$R47))</f>
        <v/>
      </c>
      <c r="N47" s="45" t="str">
        <f t="shared" si="3"/>
        <v/>
      </c>
      <c r="R47" s="46" t="str">
        <f>IFERROR(MATCH(ROW()-6,Detail!$O$4:$O$303,0),"")</f>
        <v/>
      </c>
    </row>
    <row r="48" spans="2:18" x14ac:dyDescent="0.25">
      <c r="B48" s="41" t="str">
        <f t="shared" si="2"/>
        <v/>
      </c>
      <c r="C48" s="42" t="str">
        <f>IF($R48="","",INDEX(Detail!$C$4:$C$303,$R48))</f>
        <v/>
      </c>
      <c r="D48" s="42" t="str">
        <f>IF($R48="","",INDEX(Detail!$D$4:$D$303,$R48))</f>
        <v/>
      </c>
      <c r="E48" s="43" t="str">
        <f>IF($R48="","",INDEX(Detail!$E$4:$E$303,$R48))</f>
        <v/>
      </c>
      <c r="F48" s="42" t="str">
        <f>IF($R48="","",INDEX(Detail!$F$4:$F$303,$R48))</f>
        <v/>
      </c>
      <c r="G48" s="41" t="str">
        <f>IF($R48="","",INDEX(Detail!$G$4:$G$303,$R48))</f>
        <v/>
      </c>
      <c r="H48" s="44" t="str">
        <f>IF($R48="","",INDEX(Detail!$H$4:$H$303,$R48))</f>
        <v/>
      </c>
      <c r="I48" s="44" t="str">
        <f>IF($R48="","",INDEX(Detail!$I$4:$I$303,$R48))</f>
        <v/>
      </c>
      <c r="J48" s="44" t="str">
        <f>IF($R48="","",INDEX(Detail!$J$4:$J$303,$R48))</f>
        <v/>
      </c>
      <c r="K48" s="44" t="str">
        <f>IF($R48="","",INDEX(Detail!$L$4:$L$303,$R48))</f>
        <v/>
      </c>
      <c r="L48" s="42" t="str">
        <f>IF($R48="","",INDEX(Detail!$M$4:$M$303,$R48))</f>
        <v/>
      </c>
      <c r="M48" s="41" t="str">
        <f>IF($R48="","",INDEX(Detail!$N$4:$N$303,$R48))</f>
        <v/>
      </c>
      <c r="N48" s="45" t="str">
        <f t="shared" si="3"/>
        <v/>
      </c>
      <c r="R48" s="46" t="str">
        <f>IFERROR(MATCH(ROW()-6,Detail!$O$4:$O$303,0),"")</f>
        <v/>
      </c>
    </row>
    <row r="49" spans="2:18" x14ac:dyDescent="0.25">
      <c r="B49" s="41" t="str">
        <f t="shared" si="2"/>
        <v/>
      </c>
      <c r="C49" s="42" t="str">
        <f>IF($R49="","",INDEX(Detail!$C$4:$C$303,$R49))</f>
        <v/>
      </c>
      <c r="D49" s="42" t="str">
        <f>IF($R49="","",INDEX(Detail!$D$4:$D$303,$R49))</f>
        <v/>
      </c>
      <c r="E49" s="43" t="str">
        <f>IF($R49="","",INDEX(Detail!$E$4:$E$303,$R49))</f>
        <v/>
      </c>
      <c r="F49" s="42" t="str">
        <f>IF($R49="","",INDEX(Detail!$F$4:$F$303,$R49))</f>
        <v/>
      </c>
      <c r="G49" s="41" t="str">
        <f>IF($R49="","",INDEX(Detail!$G$4:$G$303,$R49))</f>
        <v/>
      </c>
      <c r="H49" s="44" t="str">
        <f>IF($R49="","",INDEX(Detail!$H$4:$H$303,$R49))</f>
        <v/>
      </c>
      <c r="I49" s="44" t="str">
        <f>IF($R49="","",INDEX(Detail!$I$4:$I$303,$R49))</f>
        <v/>
      </c>
      <c r="J49" s="44" t="str">
        <f>IF($R49="","",INDEX(Detail!$J$4:$J$303,$R49))</f>
        <v/>
      </c>
      <c r="K49" s="44" t="str">
        <f>IF($R49="","",INDEX(Detail!$L$4:$L$303,$R49))</f>
        <v/>
      </c>
      <c r="L49" s="42" t="str">
        <f>IF($R49="","",INDEX(Detail!$M$4:$M$303,$R49))</f>
        <v/>
      </c>
      <c r="M49" s="41" t="str">
        <f>IF($R49="","",INDEX(Detail!$N$4:$N$303,$R49))</f>
        <v/>
      </c>
      <c r="N49" s="45" t="str">
        <f t="shared" si="3"/>
        <v/>
      </c>
      <c r="R49" s="46" t="str">
        <f>IFERROR(MATCH(ROW()-6,Detail!$O$4:$O$303,0),"")</f>
        <v/>
      </c>
    </row>
    <row r="50" spans="2:18" x14ac:dyDescent="0.25">
      <c r="B50" s="41" t="str">
        <f t="shared" si="2"/>
        <v/>
      </c>
      <c r="C50" s="42" t="str">
        <f>IF($R50="","",INDEX(Detail!$C$4:$C$303,$R50))</f>
        <v/>
      </c>
      <c r="D50" s="42" t="str">
        <f>IF($R50="","",INDEX(Detail!$D$4:$D$303,$R50))</f>
        <v/>
      </c>
      <c r="E50" s="43" t="str">
        <f>IF($R50="","",INDEX(Detail!$E$4:$E$303,$R50))</f>
        <v/>
      </c>
      <c r="F50" s="42" t="str">
        <f>IF($R50="","",INDEX(Detail!$F$4:$F$303,$R50))</f>
        <v/>
      </c>
      <c r="G50" s="41" t="str">
        <f>IF($R50="","",INDEX(Detail!$G$4:$G$303,$R50))</f>
        <v/>
      </c>
      <c r="H50" s="44" t="str">
        <f>IF($R50="","",INDEX(Detail!$H$4:$H$303,$R50))</f>
        <v/>
      </c>
      <c r="I50" s="44" t="str">
        <f>IF($R50="","",INDEX(Detail!$I$4:$I$303,$R50))</f>
        <v/>
      </c>
      <c r="J50" s="44" t="str">
        <f>IF($R50="","",INDEX(Detail!$J$4:$J$303,$R50))</f>
        <v/>
      </c>
      <c r="K50" s="44" t="str">
        <f>IF($R50="","",INDEX(Detail!$L$4:$L$303,$R50))</f>
        <v/>
      </c>
      <c r="L50" s="42" t="str">
        <f>IF($R50="","",INDEX(Detail!$M$4:$M$303,$R50))</f>
        <v/>
      </c>
      <c r="M50" s="41" t="str">
        <f>IF($R50="","",INDEX(Detail!$N$4:$N$303,$R50))</f>
        <v/>
      </c>
      <c r="N50" s="45" t="str">
        <f t="shared" si="3"/>
        <v/>
      </c>
      <c r="R50" s="46" t="str">
        <f>IFERROR(MATCH(ROW()-6,Detail!$O$4:$O$303,0),"")</f>
        <v/>
      </c>
    </row>
    <row r="51" spans="2:18" x14ac:dyDescent="0.25">
      <c r="B51" s="41" t="str">
        <f t="shared" si="2"/>
        <v/>
      </c>
      <c r="C51" s="42" t="str">
        <f>IF($R51="","",INDEX(Detail!$C$4:$C$303,$R51))</f>
        <v/>
      </c>
      <c r="D51" s="42" t="str">
        <f>IF($R51="","",INDEX(Detail!$D$4:$D$303,$R51))</f>
        <v/>
      </c>
      <c r="E51" s="43" t="str">
        <f>IF($R51="","",INDEX(Detail!$E$4:$E$303,$R51))</f>
        <v/>
      </c>
      <c r="F51" s="42" t="str">
        <f>IF($R51="","",INDEX(Detail!$F$4:$F$303,$R51))</f>
        <v/>
      </c>
      <c r="G51" s="41" t="str">
        <f>IF($R51="","",INDEX(Detail!$G$4:$G$303,$R51))</f>
        <v/>
      </c>
      <c r="H51" s="44" t="str">
        <f>IF($R51="","",INDEX(Detail!$H$4:$H$303,$R51))</f>
        <v/>
      </c>
      <c r="I51" s="44" t="str">
        <f>IF($R51="","",INDEX(Detail!$I$4:$I$303,$R51))</f>
        <v/>
      </c>
      <c r="J51" s="44" t="str">
        <f>IF($R51="","",INDEX(Detail!$J$4:$J$303,$R51))</f>
        <v/>
      </c>
      <c r="K51" s="44" t="str">
        <f>IF($R51="","",INDEX(Detail!$L$4:$L$303,$R51))</f>
        <v/>
      </c>
      <c r="L51" s="42" t="str">
        <f>IF($R51="","",INDEX(Detail!$M$4:$M$303,$R51))</f>
        <v/>
      </c>
      <c r="M51" s="41" t="str">
        <f>IF($R51="","",INDEX(Detail!$N$4:$N$303,$R51))</f>
        <v/>
      </c>
      <c r="N51" s="45" t="str">
        <f t="shared" si="3"/>
        <v/>
      </c>
      <c r="R51" s="46" t="str">
        <f>IFERROR(MATCH(ROW()-6,Detail!$O$4:$O$303,0),"")</f>
        <v/>
      </c>
    </row>
    <row r="52" spans="2:18" x14ac:dyDescent="0.25">
      <c r="B52" s="41" t="str">
        <f t="shared" si="2"/>
        <v/>
      </c>
      <c r="C52" s="42" t="str">
        <f>IF($R52="","",INDEX(Detail!$C$4:$C$303,$R52))</f>
        <v/>
      </c>
      <c r="D52" s="42" t="str">
        <f>IF($R52="","",INDEX(Detail!$D$4:$D$303,$R52))</f>
        <v/>
      </c>
      <c r="E52" s="43" t="str">
        <f>IF($R52="","",INDEX(Detail!$E$4:$E$303,$R52))</f>
        <v/>
      </c>
      <c r="F52" s="42" t="str">
        <f>IF($R52="","",INDEX(Detail!$F$4:$F$303,$R52))</f>
        <v/>
      </c>
      <c r="G52" s="41" t="str">
        <f>IF($R52="","",INDEX(Detail!$G$4:$G$303,$R52))</f>
        <v/>
      </c>
      <c r="H52" s="44" t="str">
        <f>IF($R52="","",INDEX(Detail!$H$4:$H$303,$R52))</f>
        <v/>
      </c>
      <c r="I52" s="44" t="str">
        <f>IF($R52="","",INDEX(Detail!$I$4:$I$303,$R52))</f>
        <v/>
      </c>
      <c r="J52" s="44" t="str">
        <f>IF($R52="","",INDEX(Detail!$J$4:$J$303,$R52))</f>
        <v/>
      </c>
      <c r="K52" s="44" t="str">
        <f>IF($R52="","",INDEX(Detail!$L$4:$L$303,$R52))</f>
        <v/>
      </c>
      <c r="L52" s="42" t="str">
        <f>IF($R52="","",INDEX(Detail!$M$4:$M$303,$R52))</f>
        <v/>
      </c>
      <c r="M52" s="41" t="str">
        <f>IF($R52="","",INDEX(Detail!$N$4:$N$303,$R52))</f>
        <v/>
      </c>
      <c r="N52" s="45" t="str">
        <f t="shared" si="3"/>
        <v/>
      </c>
      <c r="R52" s="46" t="str">
        <f>IFERROR(MATCH(ROW()-6,Detail!$O$4:$O$303,0),"")</f>
        <v/>
      </c>
    </row>
    <row r="53" spans="2:18" x14ac:dyDescent="0.25">
      <c r="B53" s="41" t="str">
        <f t="shared" si="2"/>
        <v/>
      </c>
      <c r="C53" s="42" t="str">
        <f>IF($R53="","",INDEX(Detail!$C$4:$C$303,$R53))</f>
        <v/>
      </c>
      <c r="D53" s="42" t="str">
        <f>IF($R53="","",INDEX(Detail!$D$4:$D$303,$R53))</f>
        <v/>
      </c>
      <c r="E53" s="43" t="str">
        <f>IF($R53="","",INDEX(Detail!$E$4:$E$303,$R53))</f>
        <v/>
      </c>
      <c r="F53" s="42" t="str">
        <f>IF($R53="","",INDEX(Detail!$F$4:$F$303,$R53))</f>
        <v/>
      </c>
      <c r="G53" s="41" t="str">
        <f>IF($R53="","",INDEX(Detail!$G$4:$G$303,$R53))</f>
        <v/>
      </c>
      <c r="H53" s="44" t="str">
        <f>IF($R53="","",INDEX(Detail!$H$4:$H$303,$R53))</f>
        <v/>
      </c>
      <c r="I53" s="44" t="str">
        <f>IF($R53="","",INDEX(Detail!$I$4:$I$303,$R53))</f>
        <v/>
      </c>
      <c r="J53" s="44" t="str">
        <f>IF($R53="","",INDEX(Detail!$J$4:$J$303,$R53))</f>
        <v/>
      </c>
      <c r="K53" s="44" t="str">
        <f>IF($R53="","",INDEX(Detail!$L$4:$L$303,$R53))</f>
        <v/>
      </c>
      <c r="L53" s="42" t="str">
        <f>IF($R53="","",INDEX(Detail!$M$4:$M$303,$R53))</f>
        <v/>
      </c>
      <c r="M53" s="41" t="str">
        <f>IF($R53="","",INDEX(Detail!$N$4:$N$303,$R53))</f>
        <v/>
      </c>
      <c r="N53" s="45" t="str">
        <f t="shared" si="3"/>
        <v/>
      </c>
      <c r="R53" s="46" t="str">
        <f>IFERROR(MATCH(ROW()-6,Detail!$O$4:$O$303,0),"")</f>
        <v/>
      </c>
    </row>
    <row r="54" spans="2:18" x14ac:dyDescent="0.25">
      <c r="B54" s="41" t="str">
        <f t="shared" si="2"/>
        <v/>
      </c>
      <c r="C54" s="42" t="str">
        <f>IF($R54="","",INDEX(Detail!$C$4:$C$303,$R54))</f>
        <v/>
      </c>
      <c r="D54" s="42" t="str">
        <f>IF($R54="","",INDEX(Detail!$D$4:$D$303,$R54))</f>
        <v/>
      </c>
      <c r="E54" s="43" t="str">
        <f>IF($R54="","",INDEX(Detail!$E$4:$E$303,$R54))</f>
        <v/>
      </c>
      <c r="F54" s="42" t="str">
        <f>IF($R54="","",INDEX(Detail!$F$4:$F$303,$R54))</f>
        <v/>
      </c>
      <c r="G54" s="41" t="str">
        <f>IF($R54="","",INDEX(Detail!$G$4:$G$303,$R54))</f>
        <v/>
      </c>
      <c r="H54" s="44" t="str">
        <f>IF($R54="","",INDEX(Detail!$H$4:$H$303,$R54))</f>
        <v/>
      </c>
      <c r="I54" s="44" t="str">
        <f>IF($R54="","",INDEX(Detail!$I$4:$I$303,$R54))</f>
        <v/>
      </c>
      <c r="J54" s="44" t="str">
        <f>IF($R54="","",INDEX(Detail!$J$4:$J$303,$R54))</f>
        <v/>
      </c>
      <c r="K54" s="44" t="str">
        <f>IF($R54="","",INDEX(Detail!$L$4:$L$303,$R54))</f>
        <v/>
      </c>
      <c r="L54" s="42" t="str">
        <f>IF($R54="","",INDEX(Detail!$M$4:$M$303,$R54))</f>
        <v/>
      </c>
      <c r="M54" s="41" t="str">
        <f>IF($R54="","",INDEX(Detail!$N$4:$N$303,$R54))</f>
        <v/>
      </c>
      <c r="N54" s="45" t="str">
        <f t="shared" si="3"/>
        <v/>
      </c>
      <c r="R54" s="46" t="str">
        <f>IFERROR(MATCH(ROW()-6,Detail!$O$4:$O$303,0),"")</f>
        <v/>
      </c>
    </row>
    <row r="55" spans="2:18" x14ac:dyDescent="0.25">
      <c r="B55" s="41" t="str">
        <f t="shared" si="2"/>
        <v/>
      </c>
      <c r="C55" s="42" t="str">
        <f>IF($R55="","",INDEX(Detail!$C$4:$C$303,$R55))</f>
        <v/>
      </c>
      <c r="D55" s="42" t="str">
        <f>IF($R55="","",INDEX(Detail!$D$4:$D$303,$R55))</f>
        <v/>
      </c>
      <c r="E55" s="43" t="str">
        <f>IF($R55="","",INDEX(Detail!$E$4:$E$303,$R55))</f>
        <v/>
      </c>
      <c r="F55" s="42" t="str">
        <f>IF($R55="","",INDEX(Detail!$F$4:$F$303,$R55))</f>
        <v/>
      </c>
      <c r="G55" s="41" t="str">
        <f>IF($R55="","",INDEX(Detail!$G$4:$G$303,$R55))</f>
        <v/>
      </c>
      <c r="H55" s="44" t="str">
        <f>IF($R55="","",INDEX(Detail!$H$4:$H$303,$R55))</f>
        <v/>
      </c>
      <c r="I55" s="44" t="str">
        <f>IF($R55="","",INDEX(Detail!$I$4:$I$303,$R55))</f>
        <v/>
      </c>
      <c r="J55" s="44" t="str">
        <f>IF($R55="","",INDEX(Detail!$J$4:$J$303,$R55))</f>
        <v/>
      </c>
      <c r="K55" s="44" t="str">
        <f>IF($R55="","",INDEX(Detail!$L$4:$L$303,$R55))</f>
        <v/>
      </c>
      <c r="L55" s="42" t="str">
        <f>IF($R55="","",INDEX(Detail!$M$4:$M$303,$R55))</f>
        <v/>
      </c>
      <c r="M55" s="41" t="str">
        <f>IF($R55="","",INDEX(Detail!$N$4:$N$303,$R55))</f>
        <v/>
      </c>
      <c r="N55" s="45" t="str">
        <f t="shared" si="3"/>
        <v/>
      </c>
      <c r="R55" s="46" t="str">
        <f>IFERROR(MATCH(ROW()-6,Detail!$O$4:$O$303,0),"")</f>
        <v/>
      </c>
    </row>
    <row r="56" spans="2:18" x14ac:dyDescent="0.25">
      <c r="B56" s="41" t="str">
        <f t="shared" si="2"/>
        <v/>
      </c>
      <c r="C56" s="42" t="str">
        <f>IF($R56="","",INDEX(Detail!$C$4:$C$303,$R56))</f>
        <v/>
      </c>
      <c r="D56" s="42" t="str">
        <f>IF($R56="","",INDEX(Detail!$D$4:$D$303,$R56))</f>
        <v/>
      </c>
      <c r="E56" s="43" t="str">
        <f>IF($R56="","",INDEX(Detail!$E$4:$E$303,$R56))</f>
        <v/>
      </c>
      <c r="F56" s="42" t="str">
        <f>IF($R56="","",INDEX(Detail!$F$4:$F$303,$R56))</f>
        <v/>
      </c>
      <c r="G56" s="41" t="str">
        <f>IF($R56="","",INDEX(Detail!$G$4:$G$303,$R56))</f>
        <v/>
      </c>
      <c r="H56" s="44" t="str">
        <f>IF($R56="","",INDEX(Detail!$H$4:$H$303,$R56))</f>
        <v/>
      </c>
      <c r="I56" s="44" t="str">
        <f>IF($R56="","",INDEX(Detail!$I$4:$I$303,$R56))</f>
        <v/>
      </c>
      <c r="J56" s="44" t="str">
        <f>IF($R56="","",INDEX(Detail!$J$4:$J$303,$R56))</f>
        <v/>
      </c>
      <c r="K56" s="44" t="str">
        <f>IF($R56="","",INDEX(Detail!$L$4:$L$303,$R56))</f>
        <v/>
      </c>
      <c r="L56" s="42" t="str">
        <f>IF($R56="","",INDEX(Detail!$M$4:$M$303,$R56))</f>
        <v/>
      </c>
      <c r="M56" s="41" t="str">
        <f>IF($R56="","",INDEX(Detail!$N$4:$N$303,$R56))</f>
        <v/>
      </c>
      <c r="N56" s="45" t="str">
        <f t="shared" si="3"/>
        <v/>
      </c>
      <c r="R56" s="46" t="str">
        <f>IFERROR(MATCH(ROW()-6,Detail!$O$4:$O$303,0),"")</f>
        <v/>
      </c>
    </row>
    <row r="57" spans="2:18" x14ac:dyDescent="0.25">
      <c r="B57" s="41" t="str">
        <f t="shared" si="2"/>
        <v/>
      </c>
      <c r="C57" s="42" t="str">
        <f>IF($R57="","",INDEX(Detail!$C$4:$C$303,$R57))</f>
        <v/>
      </c>
      <c r="D57" s="42" t="str">
        <f>IF($R57="","",INDEX(Detail!$D$4:$D$303,$R57))</f>
        <v/>
      </c>
      <c r="E57" s="43" t="str">
        <f>IF($R57="","",INDEX(Detail!$E$4:$E$303,$R57))</f>
        <v/>
      </c>
      <c r="F57" s="42" t="str">
        <f>IF($R57="","",INDEX(Detail!$F$4:$F$303,$R57))</f>
        <v/>
      </c>
      <c r="G57" s="41" t="str">
        <f>IF($R57="","",INDEX(Detail!$G$4:$G$303,$R57))</f>
        <v/>
      </c>
      <c r="H57" s="44" t="str">
        <f>IF($R57="","",INDEX(Detail!$H$4:$H$303,$R57))</f>
        <v/>
      </c>
      <c r="I57" s="44" t="str">
        <f>IF($R57="","",INDEX(Detail!$I$4:$I$303,$R57))</f>
        <v/>
      </c>
      <c r="J57" s="44" t="str">
        <f>IF($R57="","",INDEX(Detail!$J$4:$J$303,$R57))</f>
        <v/>
      </c>
      <c r="K57" s="44" t="str">
        <f>IF($R57="","",INDEX(Detail!$L$4:$L$303,$R57))</f>
        <v/>
      </c>
      <c r="L57" s="42" t="str">
        <f>IF($R57="","",INDEX(Detail!$M$4:$M$303,$R57))</f>
        <v/>
      </c>
      <c r="M57" s="41" t="str">
        <f>IF($R57="","",INDEX(Detail!$N$4:$N$303,$R57))</f>
        <v/>
      </c>
      <c r="N57" s="45" t="str">
        <f t="shared" si="3"/>
        <v/>
      </c>
      <c r="R57" s="46" t="str">
        <f>IFERROR(MATCH(ROW()-6,Detail!$O$4:$O$303,0),"")</f>
        <v/>
      </c>
    </row>
    <row r="58" spans="2:18" x14ac:dyDescent="0.25">
      <c r="B58" s="41" t="str">
        <f t="shared" si="2"/>
        <v/>
      </c>
      <c r="C58" s="42" t="str">
        <f>IF($R58="","",INDEX(Detail!$C$4:$C$303,$R58))</f>
        <v/>
      </c>
      <c r="D58" s="42" t="str">
        <f>IF($R58="","",INDEX(Detail!$D$4:$D$303,$R58))</f>
        <v/>
      </c>
      <c r="E58" s="43" t="str">
        <f>IF($R58="","",INDEX(Detail!$E$4:$E$303,$R58))</f>
        <v/>
      </c>
      <c r="F58" s="42" t="str">
        <f>IF($R58="","",INDEX(Detail!$F$4:$F$303,$R58))</f>
        <v/>
      </c>
      <c r="G58" s="41" t="str">
        <f>IF($R58="","",INDEX(Detail!$G$4:$G$303,$R58))</f>
        <v/>
      </c>
      <c r="H58" s="44" t="str">
        <f>IF($R58="","",INDEX(Detail!$H$4:$H$303,$R58))</f>
        <v/>
      </c>
      <c r="I58" s="44" t="str">
        <f>IF($R58="","",INDEX(Detail!$I$4:$I$303,$R58))</f>
        <v/>
      </c>
      <c r="J58" s="44" t="str">
        <f>IF($R58="","",INDEX(Detail!$J$4:$J$303,$R58))</f>
        <v/>
      </c>
      <c r="K58" s="44" t="str">
        <f>IF($R58="","",INDEX(Detail!$L$4:$L$303,$R58))</f>
        <v/>
      </c>
      <c r="L58" s="42" t="str">
        <f>IF($R58="","",INDEX(Detail!$M$4:$M$303,$R58))</f>
        <v/>
      </c>
      <c r="M58" s="41" t="str">
        <f>IF($R58="","",INDEX(Detail!$N$4:$N$303,$R58))</f>
        <v/>
      </c>
      <c r="N58" s="45" t="str">
        <f t="shared" si="3"/>
        <v/>
      </c>
      <c r="R58" s="46" t="str">
        <f>IFERROR(MATCH(ROW()-6,Detail!$O$4:$O$303,0),"")</f>
        <v/>
      </c>
    </row>
    <row r="59" spans="2:18" x14ac:dyDescent="0.25">
      <c r="B59" s="41" t="str">
        <f t="shared" si="2"/>
        <v/>
      </c>
      <c r="C59" s="42" t="str">
        <f>IF($R59="","",INDEX(Detail!$C$4:$C$303,$R59))</f>
        <v/>
      </c>
      <c r="D59" s="42" t="str">
        <f>IF($R59="","",INDEX(Detail!$D$4:$D$303,$R59))</f>
        <v/>
      </c>
      <c r="E59" s="43" t="str">
        <f>IF($R59="","",INDEX(Detail!$E$4:$E$303,$R59))</f>
        <v/>
      </c>
      <c r="F59" s="42" t="str">
        <f>IF($R59="","",INDEX(Detail!$F$4:$F$303,$R59))</f>
        <v/>
      </c>
      <c r="G59" s="41" t="str">
        <f>IF($R59="","",INDEX(Detail!$G$4:$G$303,$R59))</f>
        <v/>
      </c>
      <c r="H59" s="44" t="str">
        <f>IF($R59="","",INDEX(Detail!$H$4:$H$303,$R59))</f>
        <v/>
      </c>
      <c r="I59" s="44" t="str">
        <f>IF($R59="","",INDEX(Detail!$I$4:$I$303,$R59))</f>
        <v/>
      </c>
      <c r="J59" s="44" t="str">
        <f>IF($R59="","",INDEX(Detail!$J$4:$J$303,$R59))</f>
        <v/>
      </c>
      <c r="K59" s="44" t="str">
        <f>IF($R59="","",INDEX(Detail!$L$4:$L$303,$R59))</f>
        <v/>
      </c>
      <c r="L59" s="42" t="str">
        <f>IF($R59="","",INDEX(Detail!$M$4:$M$303,$R59))</f>
        <v/>
      </c>
      <c r="M59" s="41" t="str">
        <f>IF($R59="","",INDEX(Detail!$N$4:$N$303,$R59))</f>
        <v/>
      </c>
      <c r="N59" s="45" t="str">
        <f t="shared" si="3"/>
        <v/>
      </c>
      <c r="R59" s="46" t="str">
        <f>IFERROR(MATCH(ROW()-6,Detail!$O$4:$O$303,0),"")</f>
        <v/>
      </c>
    </row>
    <row r="60" spans="2:18" x14ac:dyDescent="0.25">
      <c r="B60" s="41" t="str">
        <f t="shared" si="2"/>
        <v/>
      </c>
      <c r="C60" s="42" t="str">
        <f>IF($R60="","",INDEX(Detail!$C$4:$C$303,$R60))</f>
        <v/>
      </c>
      <c r="D60" s="42" t="str">
        <f>IF($R60="","",INDEX(Detail!$D$4:$D$303,$R60))</f>
        <v/>
      </c>
      <c r="E60" s="43" t="str">
        <f>IF($R60="","",INDEX(Detail!$E$4:$E$303,$R60))</f>
        <v/>
      </c>
      <c r="F60" s="42" t="str">
        <f>IF($R60="","",INDEX(Detail!$F$4:$F$303,$R60))</f>
        <v/>
      </c>
      <c r="G60" s="41" t="str">
        <f>IF($R60="","",INDEX(Detail!$G$4:$G$303,$R60))</f>
        <v/>
      </c>
      <c r="H60" s="44" t="str">
        <f>IF($R60="","",INDEX(Detail!$H$4:$H$303,$R60))</f>
        <v/>
      </c>
      <c r="I60" s="44" t="str">
        <f>IF($R60="","",INDEX(Detail!$I$4:$I$303,$R60))</f>
        <v/>
      </c>
      <c r="J60" s="44" t="str">
        <f>IF($R60="","",INDEX(Detail!$J$4:$J$303,$R60))</f>
        <v/>
      </c>
      <c r="K60" s="44" t="str">
        <f>IF($R60="","",INDEX(Detail!$L$4:$L$303,$R60))</f>
        <v/>
      </c>
      <c r="L60" s="42" t="str">
        <f>IF($R60="","",INDEX(Detail!$M$4:$M$303,$R60))</f>
        <v/>
      </c>
      <c r="M60" s="41" t="str">
        <f>IF($R60="","",INDEX(Detail!$N$4:$N$303,$R60))</f>
        <v/>
      </c>
      <c r="N60" s="45" t="str">
        <f t="shared" si="3"/>
        <v/>
      </c>
      <c r="R60" s="46" t="str">
        <f>IFERROR(MATCH(ROW()-6,Detail!$O$4:$O$303,0),"")</f>
        <v/>
      </c>
    </row>
    <row r="61" spans="2:18" x14ac:dyDescent="0.25">
      <c r="B61" s="41" t="str">
        <f t="shared" si="2"/>
        <v/>
      </c>
      <c r="C61" s="42" t="str">
        <f>IF($R61="","",INDEX(Detail!$C$4:$C$303,$R61))</f>
        <v/>
      </c>
      <c r="D61" s="42" t="str">
        <f>IF($R61="","",INDEX(Detail!$D$4:$D$303,$R61))</f>
        <v/>
      </c>
      <c r="E61" s="43" t="str">
        <f>IF($R61="","",INDEX(Detail!$E$4:$E$303,$R61))</f>
        <v/>
      </c>
      <c r="F61" s="42" t="str">
        <f>IF($R61="","",INDEX(Detail!$F$4:$F$303,$R61))</f>
        <v/>
      </c>
      <c r="G61" s="41" t="str">
        <f>IF($R61="","",INDEX(Detail!$G$4:$G$303,$R61))</f>
        <v/>
      </c>
      <c r="H61" s="44" t="str">
        <f>IF($R61="","",INDEX(Detail!$H$4:$H$303,$R61))</f>
        <v/>
      </c>
      <c r="I61" s="44" t="str">
        <f>IF($R61="","",INDEX(Detail!$I$4:$I$303,$R61))</f>
        <v/>
      </c>
      <c r="J61" s="44" t="str">
        <f>IF($R61="","",INDEX(Detail!$J$4:$J$303,$R61))</f>
        <v/>
      </c>
      <c r="K61" s="44" t="str">
        <f>IF($R61="","",INDEX(Detail!$L$4:$L$303,$R61))</f>
        <v/>
      </c>
      <c r="L61" s="42" t="str">
        <f>IF($R61="","",INDEX(Detail!$M$4:$M$303,$R61))</f>
        <v/>
      </c>
      <c r="M61" s="41" t="str">
        <f>IF($R61="","",INDEX(Detail!$N$4:$N$303,$R61))</f>
        <v/>
      </c>
      <c r="N61" s="45" t="str">
        <f t="shared" si="3"/>
        <v/>
      </c>
      <c r="R61" s="46" t="str">
        <f>IFERROR(MATCH(ROW()-6,Detail!$O$4:$O$303,0),"")</f>
        <v/>
      </c>
    </row>
    <row r="62" spans="2:18" x14ac:dyDescent="0.25">
      <c r="B62" s="41" t="str">
        <f t="shared" si="2"/>
        <v/>
      </c>
      <c r="C62" s="42" t="str">
        <f>IF($R62="","",INDEX(Detail!$C$4:$C$303,$R62))</f>
        <v/>
      </c>
      <c r="D62" s="42" t="str">
        <f>IF($R62="","",INDEX(Detail!$D$4:$D$303,$R62))</f>
        <v/>
      </c>
      <c r="E62" s="43" t="str">
        <f>IF($R62="","",INDEX(Detail!$E$4:$E$303,$R62))</f>
        <v/>
      </c>
      <c r="F62" s="42" t="str">
        <f>IF($R62="","",INDEX(Detail!$F$4:$F$303,$R62))</f>
        <v/>
      </c>
      <c r="G62" s="41" t="str">
        <f>IF($R62="","",INDEX(Detail!$G$4:$G$303,$R62))</f>
        <v/>
      </c>
      <c r="H62" s="44" t="str">
        <f>IF($R62="","",INDEX(Detail!$H$4:$H$303,$R62))</f>
        <v/>
      </c>
      <c r="I62" s="44" t="str">
        <f>IF($R62="","",INDEX(Detail!$I$4:$I$303,$R62))</f>
        <v/>
      </c>
      <c r="J62" s="44" t="str">
        <f>IF($R62="","",INDEX(Detail!$J$4:$J$303,$R62))</f>
        <v/>
      </c>
      <c r="K62" s="44" t="str">
        <f>IF($R62="","",INDEX(Detail!$L$4:$L$303,$R62))</f>
        <v/>
      </c>
      <c r="L62" s="42" t="str">
        <f>IF($R62="","",INDEX(Detail!$M$4:$M$303,$R62))</f>
        <v/>
      </c>
      <c r="M62" s="41" t="str">
        <f>IF($R62="","",INDEX(Detail!$N$4:$N$303,$R62))</f>
        <v/>
      </c>
      <c r="N62" s="45" t="str">
        <f t="shared" si="3"/>
        <v/>
      </c>
      <c r="R62" s="46" t="str">
        <f>IFERROR(MATCH(ROW()-6,Detail!$O$4:$O$303,0),"")</f>
        <v/>
      </c>
    </row>
    <row r="63" spans="2:18" x14ac:dyDescent="0.25">
      <c r="B63" s="41" t="str">
        <f t="shared" si="2"/>
        <v/>
      </c>
      <c r="C63" s="42" t="str">
        <f>IF($R63="","",INDEX(Detail!$C$4:$C$303,$R63))</f>
        <v/>
      </c>
      <c r="D63" s="42" t="str">
        <f>IF($R63="","",INDEX(Detail!$D$4:$D$303,$R63))</f>
        <v/>
      </c>
      <c r="E63" s="43" t="str">
        <f>IF($R63="","",INDEX(Detail!$E$4:$E$303,$R63))</f>
        <v/>
      </c>
      <c r="F63" s="42" t="str">
        <f>IF($R63="","",INDEX(Detail!$F$4:$F$303,$R63))</f>
        <v/>
      </c>
      <c r="G63" s="41" t="str">
        <f>IF($R63="","",INDEX(Detail!$G$4:$G$303,$R63))</f>
        <v/>
      </c>
      <c r="H63" s="44" t="str">
        <f>IF($R63="","",INDEX(Detail!$H$4:$H$303,$R63))</f>
        <v/>
      </c>
      <c r="I63" s="44" t="str">
        <f>IF($R63="","",INDEX(Detail!$I$4:$I$303,$R63))</f>
        <v/>
      </c>
      <c r="J63" s="44" t="str">
        <f>IF($R63="","",INDEX(Detail!$J$4:$J$303,$R63))</f>
        <v/>
      </c>
      <c r="K63" s="44" t="str">
        <f>IF($R63="","",INDEX(Detail!$L$4:$L$303,$R63))</f>
        <v/>
      </c>
      <c r="L63" s="42" t="str">
        <f>IF($R63="","",INDEX(Detail!$M$4:$M$303,$R63))</f>
        <v/>
      </c>
      <c r="M63" s="41" t="str">
        <f>IF($R63="","",INDEX(Detail!$N$4:$N$303,$R63))</f>
        <v/>
      </c>
      <c r="N63" s="45" t="str">
        <f t="shared" si="3"/>
        <v/>
      </c>
      <c r="R63" s="46" t="str">
        <f>IFERROR(MATCH(ROW()-6,Detail!$O$4:$O$303,0),"")</f>
        <v/>
      </c>
    </row>
    <row r="64" spans="2:18" x14ac:dyDescent="0.25">
      <c r="B64" s="41" t="str">
        <f t="shared" si="2"/>
        <v/>
      </c>
      <c r="C64" s="42" t="str">
        <f>IF($R64="","",INDEX(Detail!$C$4:$C$303,$R64))</f>
        <v/>
      </c>
      <c r="D64" s="42" t="str">
        <f>IF($R64="","",INDEX(Detail!$D$4:$D$303,$R64))</f>
        <v/>
      </c>
      <c r="E64" s="43" t="str">
        <f>IF($R64="","",INDEX(Detail!$E$4:$E$303,$R64))</f>
        <v/>
      </c>
      <c r="F64" s="42" t="str">
        <f>IF($R64="","",INDEX(Detail!$F$4:$F$303,$R64))</f>
        <v/>
      </c>
      <c r="G64" s="41" t="str">
        <f>IF($R64="","",INDEX(Detail!$G$4:$G$303,$R64))</f>
        <v/>
      </c>
      <c r="H64" s="44" t="str">
        <f>IF($R64="","",INDEX(Detail!$H$4:$H$303,$R64))</f>
        <v/>
      </c>
      <c r="I64" s="44" t="str">
        <f>IF($R64="","",INDEX(Detail!$I$4:$I$303,$R64))</f>
        <v/>
      </c>
      <c r="J64" s="44" t="str">
        <f>IF($R64="","",INDEX(Detail!$J$4:$J$303,$R64))</f>
        <v/>
      </c>
      <c r="K64" s="44" t="str">
        <f>IF($R64="","",INDEX(Detail!$L$4:$L$303,$R64))</f>
        <v/>
      </c>
      <c r="L64" s="42" t="str">
        <f>IF($R64="","",INDEX(Detail!$M$4:$M$303,$R64))</f>
        <v/>
      </c>
      <c r="M64" s="41" t="str">
        <f>IF($R64="","",INDEX(Detail!$N$4:$N$303,$R64))</f>
        <v/>
      </c>
      <c r="N64" s="45" t="str">
        <f t="shared" si="3"/>
        <v/>
      </c>
      <c r="R64" s="46" t="str">
        <f>IFERROR(MATCH(ROW()-6,Detail!$O$4:$O$303,0),"")</f>
        <v/>
      </c>
    </row>
    <row r="65" spans="2:18" x14ac:dyDescent="0.25">
      <c r="B65" s="41" t="str">
        <f t="shared" si="2"/>
        <v/>
      </c>
      <c r="C65" s="42" t="str">
        <f>IF($R65="","",INDEX(Detail!$C$4:$C$303,$R65))</f>
        <v/>
      </c>
      <c r="D65" s="42" t="str">
        <f>IF($R65="","",INDEX(Detail!$D$4:$D$303,$R65))</f>
        <v/>
      </c>
      <c r="E65" s="43" t="str">
        <f>IF($R65="","",INDEX(Detail!$E$4:$E$303,$R65))</f>
        <v/>
      </c>
      <c r="F65" s="42" t="str">
        <f>IF($R65="","",INDEX(Detail!$F$4:$F$303,$R65))</f>
        <v/>
      </c>
      <c r="G65" s="41" t="str">
        <f>IF($R65="","",INDEX(Detail!$G$4:$G$303,$R65))</f>
        <v/>
      </c>
      <c r="H65" s="44" t="str">
        <f>IF($R65="","",INDEX(Detail!$H$4:$H$303,$R65))</f>
        <v/>
      </c>
      <c r="I65" s="44" t="str">
        <f>IF($R65="","",INDEX(Detail!$I$4:$I$303,$R65))</f>
        <v/>
      </c>
      <c r="J65" s="44" t="str">
        <f>IF($R65="","",INDEX(Detail!$J$4:$J$303,$R65))</f>
        <v/>
      </c>
      <c r="K65" s="44" t="str">
        <f>IF($R65="","",INDEX(Detail!$L$4:$L$303,$R65))</f>
        <v/>
      </c>
      <c r="L65" s="42" t="str">
        <f>IF($R65="","",INDEX(Detail!$M$4:$M$303,$R65))</f>
        <v/>
      </c>
      <c r="M65" s="41" t="str">
        <f>IF($R65="","",INDEX(Detail!$N$4:$N$303,$R65))</f>
        <v/>
      </c>
      <c r="N65" s="45" t="str">
        <f t="shared" si="3"/>
        <v/>
      </c>
      <c r="R65" s="46" t="str">
        <f>IFERROR(MATCH(ROW()-6,Detail!$O$4:$O$303,0),"")</f>
        <v/>
      </c>
    </row>
    <row r="66" spans="2:18" x14ac:dyDescent="0.25">
      <c r="B66" s="41" t="str">
        <f t="shared" si="2"/>
        <v/>
      </c>
      <c r="C66" s="42" t="str">
        <f>IF($R66="","",INDEX(Detail!$C$4:$C$303,$R66))</f>
        <v/>
      </c>
      <c r="D66" s="42" t="str">
        <f>IF($R66="","",INDEX(Detail!$D$4:$D$303,$R66))</f>
        <v/>
      </c>
      <c r="E66" s="43" t="str">
        <f>IF($R66="","",INDEX(Detail!$E$4:$E$303,$R66))</f>
        <v/>
      </c>
      <c r="F66" s="42" t="str">
        <f>IF($R66="","",INDEX(Detail!$F$4:$F$303,$R66))</f>
        <v/>
      </c>
      <c r="G66" s="41" t="str">
        <f>IF($R66="","",INDEX(Detail!$G$4:$G$303,$R66))</f>
        <v/>
      </c>
      <c r="H66" s="44" t="str">
        <f>IF($R66="","",INDEX(Detail!$H$4:$H$303,$R66))</f>
        <v/>
      </c>
      <c r="I66" s="44" t="str">
        <f>IF($R66="","",INDEX(Detail!$I$4:$I$303,$R66))</f>
        <v/>
      </c>
      <c r="J66" s="44" t="str">
        <f>IF($R66="","",INDEX(Detail!$J$4:$J$303,$R66))</f>
        <v/>
      </c>
      <c r="K66" s="44" t="str">
        <f>IF($R66="","",INDEX(Detail!$L$4:$L$303,$R66))</f>
        <v/>
      </c>
      <c r="L66" s="42" t="str">
        <f>IF($R66="","",INDEX(Detail!$M$4:$M$303,$R66))</f>
        <v/>
      </c>
      <c r="M66" s="41" t="str">
        <f>IF($R66="","",INDEX(Detail!$N$4:$N$303,$R66))</f>
        <v/>
      </c>
      <c r="N66" s="45" t="str">
        <f t="shared" si="3"/>
        <v/>
      </c>
      <c r="R66" s="46" t="str">
        <f>IFERROR(MATCH(ROW()-6,Detail!$O$4:$O$303,0),"")</f>
        <v/>
      </c>
    </row>
    <row r="67" spans="2:18" x14ac:dyDescent="0.25">
      <c r="B67" s="41" t="str">
        <f t="shared" si="2"/>
        <v/>
      </c>
      <c r="C67" s="42" t="str">
        <f>IF($R67="","",INDEX(Detail!$C$4:$C$303,$R67))</f>
        <v/>
      </c>
      <c r="D67" s="42" t="str">
        <f>IF($R67="","",INDEX(Detail!$D$4:$D$303,$R67))</f>
        <v/>
      </c>
      <c r="E67" s="43" t="str">
        <f>IF($R67="","",INDEX(Detail!$E$4:$E$303,$R67))</f>
        <v/>
      </c>
      <c r="F67" s="42" t="str">
        <f>IF($R67="","",INDEX(Detail!$F$4:$F$303,$R67))</f>
        <v/>
      </c>
      <c r="G67" s="41" t="str">
        <f>IF($R67="","",INDEX(Detail!$G$4:$G$303,$R67))</f>
        <v/>
      </c>
      <c r="H67" s="44" t="str">
        <f>IF($R67="","",INDEX(Detail!$H$4:$H$303,$R67))</f>
        <v/>
      </c>
      <c r="I67" s="44" t="str">
        <f>IF($R67="","",INDEX(Detail!$I$4:$I$303,$R67))</f>
        <v/>
      </c>
      <c r="J67" s="44" t="str">
        <f>IF($R67="","",INDEX(Detail!$J$4:$J$303,$R67))</f>
        <v/>
      </c>
      <c r="K67" s="44" t="str">
        <f>IF($R67="","",INDEX(Detail!$L$4:$L$303,$R67))</f>
        <v/>
      </c>
      <c r="L67" s="42" t="str">
        <f>IF($R67="","",INDEX(Detail!$M$4:$M$303,$R67))</f>
        <v/>
      </c>
      <c r="M67" s="41" t="str">
        <f>IF($R67="","",INDEX(Detail!$N$4:$N$303,$R67))</f>
        <v/>
      </c>
      <c r="N67" s="45" t="str">
        <f t="shared" si="3"/>
        <v/>
      </c>
      <c r="R67" s="46" t="str">
        <f>IFERROR(MATCH(ROW()-6,Detail!$O$4:$O$303,0),"")</f>
        <v/>
      </c>
    </row>
    <row r="68" spans="2:18" x14ac:dyDescent="0.25">
      <c r="B68" s="41" t="str">
        <f t="shared" si="2"/>
        <v/>
      </c>
      <c r="C68" s="42" t="str">
        <f>IF($R68="","",INDEX(Detail!$C$4:$C$303,$R68))</f>
        <v/>
      </c>
      <c r="D68" s="42" t="str">
        <f>IF($R68="","",INDEX(Detail!$D$4:$D$303,$R68))</f>
        <v/>
      </c>
      <c r="E68" s="43" t="str">
        <f>IF($R68="","",INDEX(Detail!$E$4:$E$303,$R68))</f>
        <v/>
      </c>
      <c r="F68" s="42" t="str">
        <f>IF($R68="","",INDEX(Detail!$F$4:$F$303,$R68))</f>
        <v/>
      </c>
      <c r="G68" s="41" t="str">
        <f>IF($R68="","",INDEX(Detail!$G$4:$G$303,$R68))</f>
        <v/>
      </c>
      <c r="H68" s="44" t="str">
        <f>IF($R68="","",INDEX(Detail!$H$4:$H$303,$R68))</f>
        <v/>
      </c>
      <c r="I68" s="44" t="str">
        <f>IF($R68="","",INDEX(Detail!$I$4:$I$303,$R68))</f>
        <v/>
      </c>
      <c r="J68" s="44" t="str">
        <f>IF($R68="","",INDEX(Detail!$J$4:$J$303,$R68))</f>
        <v/>
      </c>
      <c r="K68" s="44" t="str">
        <f>IF($R68="","",INDEX(Detail!$L$4:$L$303,$R68))</f>
        <v/>
      </c>
      <c r="L68" s="42" t="str">
        <f>IF($R68="","",INDEX(Detail!$M$4:$M$303,$R68))</f>
        <v/>
      </c>
      <c r="M68" s="41" t="str">
        <f>IF($R68="","",INDEX(Detail!$N$4:$N$303,$R68))</f>
        <v/>
      </c>
      <c r="N68" s="45" t="str">
        <f t="shared" si="3"/>
        <v/>
      </c>
      <c r="R68" s="46" t="str">
        <f>IFERROR(MATCH(ROW()-6,Detail!$O$4:$O$303,0),"")</f>
        <v/>
      </c>
    </row>
    <row r="69" spans="2:18" x14ac:dyDescent="0.25">
      <c r="B69" s="41" t="str">
        <f t="shared" si="2"/>
        <v/>
      </c>
      <c r="C69" s="42" t="str">
        <f>IF($R69="","",INDEX(Detail!$C$4:$C$303,$R69))</f>
        <v/>
      </c>
      <c r="D69" s="42" t="str">
        <f>IF($R69="","",INDEX(Detail!$D$4:$D$303,$R69))</f>
        <v/>
      </c>
      <c r="E69" s="43" t="str">
        <f>IF($R69="","",INDEX(Detail!$E$4:$E$303,$R69))</f>
        <v/>
      </c>
      <c r="F69" s="42" t="str">
        <f>IF($R69="","",INDEX(Detail!$F$4:$F$303,$R69))</f>
        <v/>
      </c>
      <c r="G69" s="41" t="str">
        <f>IF($R69="","",INDEX(Detail!$G$4:$G$303,$R69))</f>
        <v/>
      </c>
      <c r="H69" s="44" t="str">
        <f>IF($R69="","",INDEX(Detail!$H$4:$H$303,$R69))</f>
        <v/>
      </c>
      <c r="I69" s="44" t="str">
        <f>IF($R69="","",INDEX(Detail!$I$4:$I$303,$R69))</f>
        <v/>
      </c>
      <c r="J69" s="44" t="str">
        <f>IF($R69="","",INDEX(Detail!$J$4:$J$303,$R69))</f>
        <v/>
      </c>
      <c r="K69" s="44" t="str">
        <f>IF($R69="","",INDEX(Detail!$L$4:$L$303,$R69))</f>
        <v/>
      </c>
      <c r="L69" s="42" t="str">
        <f>IF($R69="","",INDEX(Detail!$M$4:$M$303,$R69))</f>
        <v/>
      </c>
      <c r="M69" s="41" t="str">
        <f>IF($R69="","",INDEX(Detail!$N$4:$N$303,$R69))</f>
        <v/>
      </c>
      <c r="N69" s="45" t="str">
        <f t="shared" si="3"/>
        <v/>
      </c>
      <c r="R69" s="46" t="str">
        <f>IFERROR(MATCH(ROW()-6,Detail!$O$4:$O$303,0),"")</f>
        <v/>
      </c>
    </row>
    <row r="70" spans="2:18" x14ac:dyDescent="0.25">
      <c r="B70" s="41" t="str">
        <f t="shared" si="2"/>
        <v/>
      </c>
      <c r="C70" s="42" t="str">
        <f>IF($R70="","",INDEX(Detail!$C$4:$C$303,$R70))</f>
        <v/>
      </c>
      <c r="D70" s="42" t="str">
        <f>IF($R70="","",INDEX(Detail!$D$4:$D$303,$R70))</f>
        <v/>
      </c>
      <c r="E70" s="43" t="str">
        <f>IF($R70="","",INDEX(Detail!$E$4:$E$303,$R70))</f>
        <v/>
      </c>
      <c r="F70" s="42" t="str">
        <f>IF($R70="","",INDEX(Detail!$F$4:$F$303,$R70))</f>
        <v/>
      </c>
      <c r="G70" s="41" t="str">
        <f>IF($R70="","",INDEX(Detail!$G$4:$G$303,$R70))</f>
        <v/>
      </c>
      <c r="H70" s="44" t="str">
        <f>IF($R70="","",INDEX(Detail!$H$4:$H$303,$R70))</f>
        <v/>
      </c>
      <c r="I70" s="44" t="str">
        <f>IF($R70="","",INDEX(Detail!$I$4:$I$303,$R70))</f>
        <v/>
      </c>
      <c r="J70" s="44" t="str">
        <f>IF($R70="","",INDEX(Detail!$J$4:$J$303,$R70))</f>
        <v/>
      </c>
      <c r="K70" s="44" t="str">
        <f>IF($R70="","",INDEX(Detail!$L$4:$L$303,$R70))</f>
        <v/>
      </c>
      <c r="L70" s="42" t="str">
        <f>IF($R70="","",INDEX(Detail!$M$4:$M$303,$R70))</f>
        <v/>
      </c>
      <c r="M70" s="41" t="str">
        <f>IF($R70="","",INDEX(Detail!$N$4:$N$303,$R70))</f>
        <v/>
      </c>
      <c r="N70" s="45" t="str">
        <f t="shared" si="3"/>
        <v/>
      </c>
      <c r="R70" s="46" t="str">
        <f>IFERROR(MATCH(ROW()-6,Detail!$O$4:$O$303,0),"")</f>
        <v/>
      </c>
    </row>
    <row r="71" spans="2:18" x14ac:dyDescent="0.25">
      <c r="B71" s="41" t="str">
        <f t="shared" ref="B71:B96" si="4">IF($R71="","",ROW()-6)</f>
        <v/>
      </c>
      <c r="C71" s="42" t="str">
        <f>IF($R71="","",INDEX(Detail!$C$4:$C$303,$R71))</f>
        <v/>
      </c>
      <c r="D71" s="42" t="str">
        <f>IF($R71="","",INDEX(Detail!$D$4:$D$303,$R71))</f>
        <v/>
      </c>
      <c r="E71" s="43" t="str">
        <f>IF($R71="","",INDEX(Detail!$E$4:$E$303,$R71))</f>
        <v/>
      </c>
      <c r="F71" s="42" t="str">
        <f>IF($R71="","",INDEX(Detail!$F$4:$F$303,$R71))</f>
        <v/>
      </c>
      <c r="G71" s="41" t="str">
        <f>IF($R71="","",INDEX(Detail!$G$4:$G$303,$R71))</f>
        <v/>
      </c>
      <c r="H71" s="44" t="str">
        <f>IF($R71="","",INDEX(Detail!$H$4:$H$303,$R71))</f>
        <v/>
      </c>
      <c r="I71" s="44" t="str">
        <f>IF($R71="","",INDEX(Detail!$I$4:$I$303,$R71))</f>
        <v/>
      </c>
      <c r="J71" s="44" t="str">
        <f>IF($R71="","",INDEX(Detail!$J$4:$J$303,$R71))</f>
        <v/>
      </c>
      <c r="K71" s="44" t="str">
        <f>IF($R71="","",INDEX(Detail!$L$4:$L$303,$R71))</f>
        <v/>
      </c>
      <c r="L71" s="42" t="str">
        <f>IF($R71="","",INDEX(Detail!$M$4:$M$303,$R71))</f>
        <v/>
      </c>
      <c r="M71" s="41" t="str">
        <f>IF($R71="","",INDEX(Detail!$N$4:$N$303,$R71))</f>
        <v/>
      </c>
      <c r="N71" s="45" t="str">
        <f t="shared" ref="N71:N96" si="5">IF($C71="","",IF($G71=0,"Ask the landman to log this day in BTabs: there is no entry at all.",IF($K71&lt;0,"Missing "&amp;TEXT(-$K71,"0.##")&amp;" h. Confirm whether they worked and did not bill, or whether they need to log Time Off / BPO Vacation with the hours in the detail.","Over by "&amp;TEXT($K71,"0.##")&amp;" h. Check for a duplicate entry or a typo.")))</f>
        <v/>
      </c>
      <c r="R71" s="46" t="str">
        <f>IFERROR(MATCH(ROW()-6,Detail!$O$4:$O$303,0),"")</f>
        <v/>
      </c>
    </row>
    <row r="72" spans="2:18" x14ac:dyDescent="0.25">
      <c r="B72" s="41" t="str">
        <f t="shared" si="4"/>
        <v/>
      </c>
      <c r="C72" s="42" t="str">
        <f>IF($R72="","",INDEX(Detail!$C$4:$C$303,$R72))</f>
        <v/>
      </c>
      <c r="D72" s="42" t="str">
        <f>IF($R72="","",INDEX(Detail!$D$4:$D$303,$R72))</f>
        <v/>
      </c>
      <c r="E72" s="43" t="str">
        <f>IF($R72="","",INDEX(Detail!$E$4:$E$303,$R72))</f>
        <v/>
      </c>
      <c r="F72" s="42" t="str">
        <f>IF($R72="","",INDEX(Detail!$F$4:$F$303,$R72))</f>
        <v/>
      </c>
      <c r="G72" s="41" t="str">
        <f>IF($R72="","",INDEX(Detail!$G$4:$G$303,$R72))</f>
        <v/>
      </c>
      <c r="H72" s="44" t="str">
        <f>IF($R72="","",INDEX(Detail!$H$4:$H$303,$R72))</f>
        <v/>
      </c>
      <c r="I72" s="44" t="str">
        <f>IF($R72="","",INDEX(Detail!$I$4:$I$303,$R72))</f>
        <v/>
      </c>
      <c r="J72" s="44" t="str">
        <f>IF($R72="","",INDEX(Detail!$J$4:$J$303,$R72))</f>
        <v/>
      </c>
      <c r="K72" s="44" t="str">
        <f>IF($R72="","",INDEX(Detail!$L$4:$L$303,$R72))</f>
        <v/>
      </c>
      <c r="L72" s="42" t="str">
        <f>IF($R72="","",INDEX(Detail!$M$4:$M$303,$R72))</f>
        <v/>
      </c>
      <c r="M72" s="41" t="str">
        <f>IF($R72="","",INDEX(Detail!$N$4:$N$303,$R72))</f>
        <v/>
      </c>
      <c r="N72" s="45" t="str">
        <f t="shared" si="5"/>
        <v/>
      </c>
      <c r="R72" s="46" t="str">
        <f>IFERROR(MATCH(ROW()-6,Detail!$O$4:$O$303,0),"")</f>
        <v/>
      </c>
    </row>
    <row r="73" spans="2:18" x14ac:dyDescent="0.25">
      <c r="B73" s="41" t="str">
        <f t="shared" si="4"/>
        <v/>
      </c>
      <c r="C73" s="42" t="str">
        <f>IF($R73="","",INDEX(Detail!$C$4:$C$303,$R73))</f>
        <v/>
      </c>
      <c r="D73" s="42" t="str">
        <f>IF($R73="","",INDEX(Detail!$D$4:$D$303,$R73))</f>
        <v/>
      </c>
      <c r="E73" s="43" t="str">
        <f>IF($R73="","",INDEX(Detail!$E$4:$E$303,$R73))</f>
        <v/>
      </c>
      <c r="F73" s="42" t="str">
        <f>IF($R73="","",INDEX(Detail!$F$4:$F$303,$R73))</f>
        <v/>
      </c>
      <c r="G73" s="41" t="str">
        <f>IF($R73="","",INDEX(Detail!$G$4:$G$303,$R73))</f>
        <v/>
      </c>
      <c r="H73" s="44" t="str">
        <f>IF($R73="","",INDEX(Detail!$H$4:$H$303,$R73))</f>
        <v/>
      </c>
      <c r="I73" s="44" t="str">
        <f>IF($R73="","",INDEX(Detail!$I$4:$I$303,$R73))</f>
        <v/>
      </c>
      <c r="J73" s="44" t="str">
        <f>IF($R73="","",INDEX(Detail!$J$4:$J$303,$R73))</f>
        <v/>
      </c>
      <c r="K73" s="44" t="str">
        <f>IF($R73="","",INDEX(Detail!$L$4:$L$303,$R73))</f>
        <v/>
      </c>
      <c r="L73" s="42" t="str">
        <f>IF($R73="","",INDEX(Detail!$M$4:$M$303,$R73))</f>
        <v/>
      </c>
      <c r="M73" s="41" t="str">
        <f>IF($R73="","",INDEX(Detail!$N$4:$N$303,$R73))</f>
        <v/>
      </c>
      <c r="N73" s="45" t="str">
        <f t="shared" si="5"/>
        <v/>
      </c>
      <c r="R73" s="46" t="str">
        <f>IFERROR(MATCH(ROW()-6,Detail!$O$4:$O$303,0),"")</f>
        <v/>
      </c>
    </row>
    <row r="74" spans="2:18" x14ac:dyDescent="0.25">
      <c r="B74" s="41" t="str">
        <f t="shared" si="4"/>
        <v/>
      </c>
      <c r="C74" s="42" t="str">
        <f>IF($R74="","",INDEX(Detail!$C$4:$C$303,$R74))</f>
        <v/>
      </c>
      <c r="D74" s="42" t="str">
        <f>IF($R74="","",INDEX(Detail!$D$4:$D$303,$R74))</f>
        <v/>
      </c>
      <c r="E74" s="43" t="str">
        <f>IF($R74="","",INDEX(Detail!$E$4:$E$303,$R74))</f>
        <v/>
      </c>
      <c r="F74" s="42" t="str">
        <f>IF($R74="","",INDEX(Detail!$F$4:$F$303,$R74))</f>
        <v/>
      </c>
      <c r="G74" s="41" t="str">
        <f>IF($R74="","",INDEX(Detail!$G$4:$G$303,$R74))</f>
        <v/>
      </c>
      <c r="H74" s="44" t="str">
        <f>IF($R74="","",INDEX(Detail!$H$4:$H$303,$R74))</f>
        <v/>
      </c>
      <c r="I74" s="44" t="str">
        <f>IF($R74="","",INDEX(Detail!$I$4:$I$303,$R74))</f>
        <v/>
      </c>
      <c r="J74" s="44" t="str">
        <f>IF($R74="","",INDEX(Detail!$J$4:$J$303,$R74))</f>
        <v/>
      </c>
      <c r="K74" s="44" t="str">
        <f>IF($R74="","",INDEX(Detail!$L$4:$L$303,$R74))</f>
        <v/>
      </c>
      <c r="L74" s="42" t="str">
        <f>IF($R74="","",INDEX(Detail!$M$4:$M$303,$R74))</f>
        <v/>
      </c>
      <c r="M74" s="41" t="str">
        <f>IF($R74="","",INDEX(Detail!$N$4:$N$303,$R74))</f>
        <v/>
      </c>
      <c r="N74" s="45" t="str">
        <f t="shared" si="5"/>
        <v/>
      </c>
      <c r="R74" s="46" t="str">
        <f>IFERROR(MATCH(ROW()-6,Detail!$O$4:$O$303,0),"")</f>
        <v/>
      </c>
    </row>
    <row r="75" spans="2:18" x14ac:dyDescent="0.25">
      <c r="B75" s="41" t="str">
        <f t="shared" si="4"/>
        <v/>
      </c>
      <c r="C75" s="42" t="str">
        <f>IF($R75="","",INDEX(Detail!$C$4:$C$303,$R75))</f>
        <v/>
      </c>
      <c r="D75" s="42" t="str">
        <f>IF($R75="","",INDEX(Detail!$D$4:$D$303,$R75))</f>
        <v/>
      </c>
      <c r="E75" s="43" t="str">
        <f>IF($R75="","",INDEX(Detail!$E$4:$E$303,$R75))</f>
        <v/>
      </c>
      <c r="F75" s="42" t="str">
        <f>IF($R75="","",INDEX(Detail!$F$4:$F$303,$R75))</f>
        <v/>
      </c>
      <c r="G75" s="41" t="str">
        <f>IF($R75="","",INDEX(Detail!$G$4:$G$303,$R75))</f>
        <v/>
      </c>
      <c r="H75" s="44" t="str">
        <f>IF($R75="","",INDEX(Detail!$H$4:$H$303,$R75))</f>
        <v/>
      </c>
      <c r="I75" s="44" t="str">
        <f>IF($R75="","",INDEX(Detail!$I$4:$I$303,$R75))</f>
        <v/>
      </c>
      <c r="J75" s="44" t="str">
        <f>IF($R75="","",INDEX(Detail!$J$4:$J$303,$R75))</f>
        <v/>
      </c>
      <c r="K75" s="44" t="str">
        <f>IF($R75="","",INDEX(Detail!$L$4:$L$303,$R75))</f>
        <v/>
      </c>
      <c r="L75" s="42" t="str">
        <f>IF($R75="","",INDEX(Detail!$M$4:$M$303,$R75))</f>
        <v/>
      </c>
      <c r="M75" s="41" t="str">
        <f>IF($R75="","",INDEX(Detail!$N$4:$N$303,$R75))</f>
        <v/>
      </c>
      <c r="N75" s="45" t="str">
        <f t="shared" si="5"/>
        <v/>
      </c>
      <c r="R75" s="46" t="str">
        <f>IFERROR(MATCH(ROW()-6,Detail!$O$4:$O$303,0),"")</f>
        <v/>
      </c>
    </row>
    <row r="76" spans="2:18" x14ac:dyDescent="0.25">
      <c r="B76" s="41" t="str">
        <f t="shared" si="4"/>
        <v/>
      </c>
      <c r="C76" s="42" t="str">
        <f>IF($R76="","",INDEX(Detail!$C$4:$C$303,$R76))</f>
        <v/>
      </c>
      <c r="D76" s="42" t="str">
        <f>IF($R76="","",INDEX(Detail!$D$4:$D$303,$R76))</f>
        <v/>
      </c>
      <c r="E76" s="43" t="str">
        <f>IF($R76="","",INDEX(Detail!$E$4:$E$303,$R76))</f>
        <v/>
      </c>
      <c r="F76" s="42" t="str">
        <f>IF($R76="","",INDEX(Detail!$F$4:$F$303,$R76))</f>
        <v/>
      </c>
      <c r="G76" s="41" t="str">
        <f>IF($R76="","",INDEX(Detail!$G$4:$G$303,$R76))</f>
        <v/>
      </c>
      <c r="H76" s="44" t="str">
        <f>IF($R76="","",INDEX(Detail!$H$4:$H$303,$R76))</f>
        <v/>
      </c>
      <c r="I76" s="44" t="str">
        <f>IF($R76="","",INDEX(Detail!$I$4:$I$303,$R76))</f>
        <v/>
      </c>
      <c r="J76" s="44" t="str">
        <f>IF($R76="","",INDEX(Detail!$J$4:$J$303,$R76))</f>
        <v/>
      </c>
      <c r="K76" s="44" t="str">
        <f>IF($R76="","",INDEX(Detail!$L$4:$L$303,$R76))</f>
        <v/>
      </c>
      <c r="L76" s="42" t="str">
        <f>IF($R76="","",INDEX(Detail!$M$4:$M$303,$R76))</f>
        <v/>
      </c>
      <c r="M76" s="41" t="str">
        <f>IF($R76="","",INDEX(Detail!$N$4:$N$303,$R76))</f>
        <v/>
      </c>
      <c r="N76" s="45" t="str">
        <f t="shared" si="5"/>
        <v/>
      </c>
      <c r="R76" s="46" t="str">
        <f>IFERROR(MATCH(ROW()-6,Detail!$O$4:$O$303,0),"")</f>
        <v/>
      </c>
    </row>
    <row r="77" spans="2:18" x14ac:dyDescent="0.25">
      <c r="B77" s="41" t="str">
        <f t="shared" si="4"/>
        <v/>
      </c>
      <c r="C77" s="42" t="str">
        <f>IF($R77="","",INDEX(Detail!$C$4:$C$303,$R77))</f>
        <v/>
      </c>
      <c r="D77" s="42" t="str">
        <f>IF($R77="","",INDEX(Detail!$D$4:$D$303,$R77))</f>
        <v/>
      </c>
      <c r="E77" s="43" t="str">
        <f>IF($R77="","",INDEX(Detail!$E$4:$E$303,$R77))</f>
        <v/>
      </c>
      <c r="F77" s="42" t="str">
        <f>IF($R77="","",INDEX(Detail!$F$4:$F$303,$R77))</f>
        <v/>
      </c>
      <c r="G77" s="41" t="str">
        <f>IF($R77="","",INDEX(Detail!$G$4:$G$303,$R77))</f>
        <v/>
      </c>
      <c r="H77" s="44" t="str">
        <f>IF($R77="","",INDEX(Detail!$H$4:$H$303,$R77))</f>
        <v/>
      </c>
      <c r="I77" s="44" t="str">
        <f>IF($R77="","",INDEX(Detail!$I$4:$I$303,$R77))</f>
        <v/>
      </c>
      <c r="J77" s="44" t="str">
        <f>IF($R77="","",INDEX(Detail!$J$4:$J$303,$R77))</f>
        <v/>
      </c>
      <c r="K77" s="44" t="str">
        <f>IF($R77="","",INDEX(Detail!$L$4:$L$303,$R77))</f>
        <v/>
      </c>
      <c r="L77" s="42" t="str">
        <f>IF($R77="","",INDEX(Detail!$M$4:$M$303,$R77))</f>
        <v/>
      </c>
      <c r="M77" s="41" t="str">
        <f>IF($R77="","",INDEX(Detail!$N$4:$N$303,$R77))</f>
        <v/>
      </c>
      <c r="N77" s="45" t="str">
        <f t="shared" si="5"/>
        <v/>
      </c>
      <c r="R77" s="46" t="str">
        <f>IFERROR(MATCH(ROW()-6,Detail!$O$4:$O$303,0),"")</f>
        <v/>
      </c>
    </row>
    <row r="78" spans="2:18" x14ac:dyDescent="0.25">
      <c r="B78" s="41" t="str">
        <f t="shared" si="4"/>
        <v/>
      </c>
      <c r="C78" s="42" t="str">
        <f>IF($R78="","",INDEX(Detail!$C$4:$C$303,$R78))</f>
        <v/>
      </c>
      <c r="D78" s="42" t="str">
        <f>IF($R78="","",INDEX(Detail!$D$4:$D$303,$R78))</f>
        <v/>
      </c>
      <c r="E78" s="43" t="str">
        <f>IF($R78="","",INDEX(Detail!$E$4:$E$303,$R78))</f>
        <v/>
      </c>
      <c r="F78" s="42" t="str">
        <f>IF($R78="","",INDEX(Detail!$F$4:$F$303,$R78))</f>
        <v/>
      </c>
      <c r="G78" s="41" t="str">
        <f>IF($R78="","",INDEX(Detail!$G$4:$G$303,$R78))</f>
        <v/>
      </c>
      <c r="H78" s="44" t="str">
        <f>IF($R78="","",INDEX(Detail!$H$4:$H$303,$R78))</f>
        <v/>
      </c>
      <c r="I78" s="44" t="str">
        <f>IF($R78="","",INDEX(Detail!$I$4:$I$303,$R78))</f>
        <v/>
      </c>
      <c r="J78" s="44" t="str">
        <f>IF($R78="","",INDEX(Detail!$J$4:$J$303,$R78))</f>
        <v/>
      </c>
      <c r="K78" s="44" t="str">
        <f>IF($R78="","",INDEX(Detail!$L$4:$L$303,$R78))</f>
        <v/>
      </c>
      <c r="L78" s="42" t="str">
        <f>IF($R78="","",INDEX(Detail!$M$4:$M$303,$R78))</f>
        <v/>
      </c>
      <c r="M78" s="41" t="str">
        <f>IF($R78="","",INDEX(Detail!$N$4:$N$303,$R78))</f>
        <v/>
      </c>
      <c r="N78" s="45" t="str">
        <f t="shared" si="5"/>
        <v/>
      </c>
      <c r="R78" s="46" t="str">
        <f>IFERROR(MATCH(ROW()-6,Detail!$O$4:$O$303,0),"")</f>
        <v/>
      </c>
    </row>
    <row r="79" spans="2:18" x14ac:dyDescent="0.25">
      <c r="B79" s="41" t="str">
        <f t="shared" si="4"/>
        <v/>
      </c>
      <c r="C79" s="42" t="str">
        <f>IF($R79="","",INDEX(Detail!$C$4:$C$303,$R79))</f>
        <v/>
      </c>
      <c r="D79" s="42" t="str">
        <f>IF($R79="","",INDEX(Detail!$D$4:$D$303,$R79))</f>
        <v/>
      </c>
      <c r="E79" s="43" t="str">
        <f>IF($R79="","",INDEX(Detail!$E$4:$E$303,$R79))</f>
        <v/>
      </c>
      <c r="F79" s="42" t="str">
        <f>IF($R79="","",INDEX(Detail!$F$4:$F$303,$R79))</f>
        <v/>
      </c>
      <c r="G79" s="41" t="str">
        <f>IF($R79="","",INDEX(Detail!$G$4:$G$303,$R79))</f>
        <v/>
      </c>
      <c r="H79" s="44" t="str">
        <f>IF($R79="","",INDEX(Detail!$H$4:$H$303,$R79))</f>
        <v/>
      </c>
      <c r="I79" s="44" t="str">
        <f>IF($R79="","",INDEX(Detail!$I$4:$I$303,$R79))</f>
        <v/>
      </c>
      <c r="J79" s="44" t="str">
        <f>IF($R79="","",INDEX(Detail!$J$4:$J$303,$R79))</f>
        <v/>
      </c>
      <c r="K79" s="44" t="str">
        <f>IF($R79="","",INDEX(Detail!$L$4:$L$303,$R79))</f>
        <v/>
      </c>
      <c r="L79" s="42" t="str">
        <f>IF($R79="","",INDEX(Detail!$M$4:$M$303,$R79))</f>
        <v/>
      </c>
      <c r="M79" s="41" t="str">
        <f>IF($R79="","",INDEX(Detail!$N$4:$N$303,$R79))</f>
        <v/>
      </c>
      <c r="N79" s="45" t="str">
        <f t="shared" si="5"/>
        <v/>
      </c>
      <c r="R79" s="46" t="str">
        <f>IFERROR(MATCH(ROW()-6,Detail!$O$4:$O$303,0),"")</f>
        <v/>
      </c>
    </row>
    <row r="80" spans="2:18" x14ac:dyDescent="0.25">
      <c r="B80" s="41" t="str">
        <f t="shared" si="4"/>
        <v/>
      </c>
      <c r="C80" s="42" t="str">
        <f>IF($R80="","",INDEX(Detail!$C$4:$C$303,$R80))</f>
        <v/>
      </c>
      <c r="D80" s="42" t="str">
        <f>IF($R80="","",INDEX(Detail!$D$4:$D$303,$R80))</f>
        <v/>
      </c>
      <c r="E80" s="43" t="str">
        <f>IF($R80="","",INDEX(Detail!$E$4:$E$303,$R80))</f>
        <v/>
      </c>
      <c r="F80" s="42" t="str">
        <f>IF($R80="","",INDEX(Detail!$F$4:$F$303,$R80))</f>
        <v/>
      </c>
      <c r="G80" s="41" t="str">
        <f>IF($R80="","",INDEX(Detail!$G$4:$G$303,$R80))</f>
        <v/>
      </c>
      <c r="H80" s="44" t="str">
        <f>IF($R80="","",INDEX(Detail!$H$4:$H$303,$R80))</f>
        <v/>
      </c>
      <c r="I80" s="44" t="str">
        <f>IF($R80="","",INDEX(Detail!$I$4:$I$303,$R80))</f>
        <v/>
      </c>
      <c r="J80" s="44" t="str">
        <f>IF($R80="","",INDEX(Detail!$J$4:$J$303,$R80))</f>
        <v/>
      </c>
      <c r="K80" s="44" t="str">
        <f>IF($R80="","",INDEX(Detail!$L$4:$L$303,$R80))</f>
        <v/>
      </c>
      <c r="L80" s="42" t="str">
        <f>IF($R80="","",INDEX(Detail!$M$4:$M$303,$R80))</f>
        <v/>
      </c>
      <c r="M80" s="41" t="str">
        <f>IF($R80="","",INDEX(Detail!$N$4:$N$303,$R80))</f>
        <v/>
      </c>
      <c r="N80" s="45" t="str">
        <f t="shared" si="5"/>
        <v/>
      </c>
      <c r="R80" s="46" t="str">
        <f>IFERROR(MATCH(ROW()-6,Detail!$O$4:$O$303,0),"")</f>
        <v/>
      </c>
    </row>
    <row r="81" spans="2:18" x14ac:dyDescent="0.25">
      <c r="B81" s="41" t="str">
        <f t="shared" si="4"/>
        <v/>
      </c>
      <c r="C81" s="42" t="str">
        <f>IF($R81="","",INDEX(Detail!$C$4:$C$303,$R81))</f>
        <v/>
      </c>
      <c r="D81" s="42" t="str">
        <f>IF($R81="","",INDEX(Detail!$D$4:$D$303,$R81))</f>
        <v/>
      </c>
      <c r="E81" s="43" t="str">
        <f>IF($R81="","",INDEX(Detail!$E$4:$E$303,$R81))</f>
        <v/>
      </c>
      <c r="F81" s="42" t="str">
        <f>IF($R81="","",INDEX(Detail!$F$4:$F$303,$R81))</f>
        <v/>
      </c>
      <c r="G81" s="41" t="str">
        <f>IF($R81="","",INDEX(Detail!$G$4:$G$303,$R81))</f>
        <v/>
      </c>
      <c r="H81" s="44" t="str">
        <f>IF($R81="","",INDEX(Detail!$H$4:$H$303,$R81))</f>
        <v/>
      </c>
      <c r="I81" s="44" t="str">
        <f>IF($R81="","",INDEX(Detail!$I$4:$I$303,$R81))</f>
        <v/>
      </c>
      <c r="J81" s="44" t="str">
        <f>IF($R81="","",INDEX(Detail!$J$4:$J$303,$R81))</f>
        <v/>
      </c>
      <c r="K81" s="44" t="str">
        <f>IF($R81="","",INDEX(Detail!$L$4:$L$303,$R81))</f>
        <v/>
      </c>
      <c r="L81" s="42" t="str">
        <f>IF($R81="","",INDEX(Detail!$M$4:$M$303,$R81))</f>
        <v/>
      </c>
      <c r="M81" s="41" t="str">
        <f>IF($R81="","",INDEX(Detail!$N$4:$N$303,$R81))</f>
        <v/>
      </c>
      <c r="N81" s="45" t="str">
        <f t="shared" si="5"/>
        <v/>
      </c>
      <c r="R81" s="46" t="str">
        <f>IFERROR(MATCH(ROW()-6,Detail!$O$4:$O$303,0),"")</f>
        <v/>
      </c>
    </row>
    <row r="82" spans="2:18" x14ac:dyDescent="0.25">
      <c r="B82" s="41" t="str">
        <f t="shared" si="4"/>
        <v/>
      </c>
      <c r="C82" s="42" t="str">
        <f>IF($R82="","",INDEX(Detail!$C$4:$C$303,$R82))</f>
        <v/>
      </c>
      <c r="D82" s="42" t="str">
        <f>IF($R82="","",INDEX(Detail!$D$4:$D$303,$R82))</f>
        <v/>
      </c>
      <c r="E82" s="43" t="str">
        <f>IF($R82="","",INDEX(Detail!$E$4:$E$303,$R82))</f>
        <v/>
      </c>
      <c r="F82" s="42" t="str">
        <f>IF($R82="","",INDEX(Detail!$F$4:$F$303,$R82))</f>
        <v/>
      </c>
      <c r="G82" s="41" t="str">
        <f>IF($R82="","",INDEX(Detail!$G$4:$G$303,$R82))</f>
        <v/>
      </c>
      <c r="H82" s="44" t="str">
        <f>IF($R82="","",INDEX(Detail!$H$4:$H$303,$R82))</f>
        <v/>
      </c>
      <c r="I82" s="44" t="str">
        <f>IF($R82="","",INDEX(Detail!$I$4:$I$303,$R82))</f>
        <v/>
      </c>
      <c r="J82" s="44" t="str">
        <f>IF($R82="","",INDEX(Detail!$J$4:$J$303,$R82))</f>
        <v/>
      </c>
      <c r="K82" s="44" t="str">
        <f>IF($R82="","",INDEX(Detail!$L$4:$L$303,$R82))</f>
        <v/>
      </c>
      <c r="L82" s="42" t="str">
        <f>IF($R82="","",INDEX(Detail!$M$4:$M$303,$R82))</f>
        <v/>
      </c>
      <c r="M82" s="41" t="str">
        <f>IF($R82="","",INDEX(Detail!$N$4:$N$303,$R82))</f>
        <v/>
      </c>
      <c r="N82" s="45" t="str">
        <f t="shared" si="5"/>
        <v/>
      </c>
      <c r="R82" s="46" t="str">
        <f>IFERROR(MATCH(ROW()-6,Detail!$O$4:$O$303,0),"")</f>
        <v/>
      </c>
    </row>
    <row r="83" spans="2:18" x14ac:dyDescent="0.25">
      <c r="B83" s="41" t="str">
        <f t="shared" si="4"/>
        <v/>
      </c>
      <c r="C83" s="42" t="str">
        <f>IF($R83="","",INDEX(Detail!$C$4:$C$303,$R83))</f>
        <v/>
      </c>
      <c r="D83" s="42" t="str">
        <f>IF($R83="","",INDEX(Detail!$D$4:$D$303,$R83))</f>
        <v/>
      </c>
      <c r="E83" s="43" t="str">
        <f>IF($R83="","",INDEX(Detail!$E$4:$E$303,$R83))</f>
        <v/>
      </c>
      <c r="F83" s="42" t="str">
        <f>IF($R83="","",INDEX(Detail!$F$4:$F$303,$R83))</f>
        <v/>
      </c>
      <c r="G83" s="41" t="str">
        <f>IF($R83="","",INDEX(Detail!$G$4:$G$303,$R83))</f>
        <v/>
      </c>
      <c r="H83" s="44" t="str">
        <f>IF($R83="","",INDEX(Detail!$H$4:$H$303,$R83))</f>
        <v/>
      </c>
      <c r="I83" s="44" t="str">
        <f>IF($R83="","",INDEX(Detail!$I$4:$I$303,$R83))</f>
        <v/>
      </c>
      <c r="J83" s="44" t="str">
        <f>IF($R83="","",INDEX(Detail!$J$4:$J$303,$R83))</f>
        <v/>
      </c>
      <c r="K83" s="44" t="str">
        <f>IF($R83="","",INDEX(Detail!$L$4:$L$303,$R83))</f>
        <v/>
      </c>
      <c r="L83" s="42" t="str">
        <f>IF($R83="","",INDEX(Detail!$M$4:$M$303,$R83))</f>
        <v/>
      </c>
      <c r="M83" s="41" t="str">
        <f>IF($R83="","",INDEX(Detail!$N$4:$N$303,$R83))</f>
        <v/>
      </c>
      <c r="N83" s="45" t="str">
        <f t="shared" si="5"/>
        <v/>
      </c>
      <c r="R83" s="46" t="str">
        <f>IFERROR(MATCH(ROW()-6,Detail!$O$4:$O$303,0),"")</f>
        <v/>
      </c>
    </row>
    <row r="84" spans="2:18" x14ac:dyDescent="0.25">
      <c r="B84" s="41" t="str">
        <f t="shared" si="4"/>
        <v/>
      </c>
      <c r="C84" s="42" t="str">
        <f>IF($R84="","",INDEX(Detail!$C$4:$C$303,$R84))</f>
        <v/>
      </c>
      <c r="D84" s="42" t="str">
        <f>IF($R84="","",INDEX(Detail!$D$4:$D$303,$R84))</f>
        <v/>
      </c>
      <c r="E84" s="43" t="str">
        <f>IF($R84="","",INDEX(Detail!$E$4:$E$303,$R84))</f>
        <v/>
      </c>
      <c r="F84" s="42" t="str">
        <f>IF($R84="","",INDEX(Detail!$F$4:$F$303,$R84))</f>
        <v/>
      </c>
      <c r="G84" s="41" t="str">
        <f>IF($R84="","",INDEX(Detail!$G$4:$G$303,$R84))</f>
        <v/>
      </c>
      <c r="H84" s="44" t="str">
        <f>IF($R84="","",INDEX(Detail!$H$4:$H$303,$R84))</f>
        <v/>
      </c>
      <c r="I84" s="44" t="str">
        <f>IF($R84="","",INDEX(Detail!$I$4:$I$303,$R84))</f>
        <v/>
      </c>
      <c r="J84" s="44" t="str">
        <f>IF($R84="","",INDEX(Detail!$J$4:$J$303,$R84))</f>
        <v/>
      </c>
      <c r="K84" s="44" t="str">
        <f>IF($R84="","",INDEX(Detail!$L$4:$L$303,$R84))</f>
        <v/>
      </c>
      <c r="L84" s="42" t="str">
        <f>IF($R84="","",INDEX(Detail!$M$4:$M$303,$R84))</f>
        <v/>
      </c>
      <c r="M84" s="41" t="str">
        <f>IF($R84="","",INDEX(Detail!$N$4:$N$303,$R84))</f>
        <v/>
      </c>
      <c r="N84" s="45" t="str">
        <f t="shared" si="5"/>
        <v/>
      </c>
      <c r="R84" s="46" t="str">
        <f>IFERROR(MATCH(ROW()-6,Detail!$O$4:$O$303,0),"")</f>
        <v/>
      </c>
    </row>
    <row r="85" spans="2:18" x14ac:dyDescent="0.25">
      <c r="B85" s="41" t="str">
        <f t="shared" si="4"/>
        <v/>
      </c>
      <c r="C85" s="42" t="str">
        <f>IF($R85="","",INDEX(Detail!$C$4:$C$303,$R85))</f>
        <v/>
      </c>
      <c r="D85" s="42" t="str">
        <f>IF($R85="","",INDEX(Detail!$D$4:$D$303,$R85))</f>
        <v/>
      </c>
      <c r="E85" s="43" t="str">
        <f>IF($R85="","",INDEX(Detail!$E$4:$E$303,$R85))</f>
        <v/>
      </c>
      <c r="F85" s="42" t="str">
        <f>IF($R85="","",INDEX(Detail!$F$4:$F$303,$R85))</f>
        <v/>
      </c>
      <c r="G85" s="41" t="str">
        <f>IF($R85="","",INDEX(Detail!$G$4:$G$303,$R85))</f>
        <v/>
      </c>
      <c r="H85" s="44" t="str">
        <f>IF($R85="","",INDEX(Detail!$H$4:$H$303,$R85))</f>
        <v/>
      </c>
      <c r="I85" s="44" t="str">
        <f>IF($R85="","",INDEX(Detail!$I$4:$I$303,$R85))</f>
        <v/>
      </c>
      <c r="J85" s="44" t="str">
        <f>IF($R85="","",INDEX(Detail!$J$4:$J$303,$R85))</f>
        <v/>
      </c>
      <c r="K85" s="44" t="str">
        <f>IF($R85="","",INDEX(Detail!$L$4:$L$303,$R85))</f>
        <v/>
      </c>
      <c r="L85" s="42" t="str">
        <f>IF($R85="","",INDEX(Detail!$M$4:$M$303,$R85))</f>
        <v/>
      </c>
      <c r="M85" s="41" t="str">
        <f>IF($R85="","",INDEX(Detail!$N$4:$N$303,$R85))</f>
        <v/>
      </c>
      <c r="N85" s="45" t="str">
        <f t="shared" si="5"/>
        <v/>
      </c>
      <c r="R85" s="46" t="str">
        <f>IFERROR(MATCH(ROW()-6,Detail!$O$4:$O$303,0),"")</f>
        <v/>
      </c>
    </row>
    <row r="86" spans="2:18" x14ac:dyDescent="0.25">
      <c r="B86" s="41" t="str">
        <f t="shared" si="4"/>
        <v/>
      </c>
      <c r="C86" s="42" t="str">
        <f>IF($R86="","",INDEX(Detail!$C$4:$C$303,$R86))</f>
        <v/>
      </c>
      <c r="D86" s="42" t="str">
        <f>IF($R86="","",INDEX(Detail!$D$4:$D$303,$R86))</f>
        <v/>
      </c>
      <c r="E86" s="43" t="str">
        <f>IF($R86="","",INDEX(Detail!$E$4:$E$303,$R86))</f>
        <v/>
      </c>
      <c r="F86" s="42" t="str">
        <f>IF($R86="","",INDEX(Detail!$F$4:$F$303,$R86))</f>
        <v/>
      </c>
      <c r="G86" s="41" t="str">
        <f>IF($R86="","",INDEX(Detail!$G$4:$G$303,$R86))</f>
        <v/>
      </c>
      <c r="H86" s="44" t="str">
        <f>IF($R86="","",INDEX(Detail!$H$4:$H$303,$R86))</f>
        <v/>
      </c>
      <c r="I86" s="44" t="str">
        <f>IF($R86="","",INDEX(Detail!$I$4:$I$303,$R86))</f>
        <v/>
      </c>
      <c r="J86" s="44" t="str">
        <f>IF($R86="","",INDEX(Detail!$J$4:$J$303,$R86))</f>
        <v/>
      </c>
      <c r="K86" s="44" t="str">
        <f>IF($R86="","",INDEX(Detail!$L$4:$L$303,$R86))</f>
        <v/>
      </c>
      <c r="L86" s="42" t="str">
        <f>IF($R86="","",INDEX(Detail!$M$4:$M$303,$R86))</f>
        <v/>
      </c>
      <c r="M86" s="41" t="str">
        <f>IF($R86="","",INDEX(Detail!$N$4:$N$303,$R86))</f>
        <v/>
      </c>
      <c r="N86" s="45" t="str">
        <f t="shared" si="5"/>
        <v/>
      </c>
      <c r="R86" s="46" t="str">
        <f>IFERROR(MATCH(ROW()-6,Detail!$O$4:$O$303,0),"")</f>
        <v/>
      </c>
    </row>
    <row r="87" spans="2:18" x14ac:dyDescent="0.25">
      <c r="B87" s="41" t="str">
        <f t="shared" si="4"/>
        <v/>
      </c>
      <c r="C87" s="42" t="str">
        <f>IF($R87="","",INDEX(Detail!$C$4:$C$303,$R87))</f>
        <v/>
      </c>
      <c r="D87" s="42" t="str">
        <f>IF($R87="","",INDEX(Detail!$D$4:$D$303,$R87))</f>
        <v/>
      </c>
      <c r="E87" s="43" t="str">
        <f>IF($R87="","",INDEX(Detail!$E$4:$E$303,$R87))</f>
        <v/>
      </c>
      <c r="F87" s="42" t="str">
        <f>IF($R87="","",INDEX(Detail!$F$4:$F$303,$R87))</f>
        <v/>
      </c>
      <c r="G87" s="41" t="str">
        <f>IF($R87="","",INDEX(Detail!$G$4:$G$303,$R87))</f>
        <v/>
      </c>
      <c r="H87" s="44" t="str">
        <f>IF($R87="","",INDEX(Detail!$H$4:$H$303,$R87))</f>
        <v/>
      </c>
      <c r="I87" s="44" t="str">
        <f>IF($R87="","",INDEX(Detail!$I$4:$I$303,$R87))</f>
        <v/>
      </c>
      <c r="J87" s="44" t="str">
        <f>IF($R87="","",INDEX(Detail!$J$4:$J$303,$R87))</f>
        <v/>
      </c>
      <c r="K87" s="44" t="str">
        <f>IF($R87="","",INDEX(Detail!$L$4:$L$303,$R87))</f>
        <v/>
      </c>
      <c r="L87" s="42" t="str">
        <f>IF($R87="","",INDEX(Detail!$M$4:$M$303,$R87))</f>
        <v/>
      </c>
      <c r="M87" s="41" t="str">
        <f>IF($R87="","",INDEX(Detail!$N$4:$N$303,$R87))</f>
        <v/>
      </c>
      <c r="N87" s="45" t="str">
        <f t="shared" si="5"/>
        <v/>
      </c>
      <c r="R87" s="46" t="str">
        <f>IFERROR(MATCH(ROW()-6,Detail!$O$4:$O$303,0),"")</f>
        <v/>
      </c>
    </row>
    <row r="88" spans="2:18" x14ac:dyDescent="0.25">
      <c r="B88" s="41" t="str">
        <f t="shared" si="4"/>
        <v/>
      </c>
      <c r="C88" s="42" t="str">
        <f>IF($R88="","",INDEX(Detail!$C$4:$C$303,$R88))</f>
        <v/>
      </c>
      <c r="D88" s="42" t="str">
        <f>IF($R88="","",INDEX(Detail!$D$4:$D$303,$R88))</f>
        <v/>
      </c>
      <c r="E88" s="43" t="str">
        <f>IF($R88="","",INDEX(Detail!$E$4:$E$303,$R88))</f>
        <v/>
      </c>
      <c r="F88" s="42" t="str">
        <f>IF($R88="","",INDEX(Detail!$F$4:$F$303,$R88))</f>
        <v/>
      </c>
      <c r="G88" s="41" t="str">
        <f>IF($R88="","",INDEX(Detail!$G$4:$G$303,$R88))</f>
        <v/>
      </c>
      <c r="H88" s="44" t="str">
        <f>IF($R88="","",INDEX(Detail!$H$4:$H$303,$R88))</f>
        <v/>
      </c>
      <c r="I88" s="44" t="str">
        <f>IF($R88="","",INDEX(Detail!$I$4:$I$303,$R88))</f>
        <v/>
      </c>
      <c r="J88" s="44" t="str">
        <f>IF($R88="","",INDEX(Detail!$J$4:$J$303,$R88))</f>
        <v/>
      </c>
      <c r="K88" s="44" t="str">
        <f>IF($R88="","",INDEX(Detail!$L$4:$L$303,$R88))</f>
        <v/>
      </c>
      <c r="L88" s="42" t="str">
        <f>IF($R88="","",INDEX(Detail!$M$4:$M$303,$R88))</f>
        <v/>
      </c>
      <c r="M88" s="41" t="str">
        <f>IF($R88="","",INDEX(Detail!$N$4:$N$303,$R88))</f>
        <v/>
      </c>
      <c r="N88" s="45" t="str">
        <f t="shared" si="5"/>
        <v/>
      </c>
      <c r="R88" s="46" t="str">
        <f>IFERROR(MATCH(ROW()-6,Detail!$O$4:$O$303,0),"")</f>
        <v/>
      </c>
    </row>
    <row r="89" spans="2:18" x14ac:dyDescent="0.25">
      <c r="B89" s="41" t="str">
        <f t="shared" si="4"/>
        <v/>
      </c>
      <c r="C89" s="42" t="str">
        <f>IF($R89="","",INDEX(Detail!$C$4:$C$303,$R89))</f>
        <v/>
      </c>
      <c r="D89" s="42" t="str">
        <f>IF($R89="","",INDEX(Detail!$D$4:$D$303,$R89))</f>
        <v/>
      </c>
      <c r="E89" s="43" t="str">
        <f>IF($R89="","",INDEX(Detail!$E$4:$E$303,$R89))</f>
        <v/>
      </c>
      <c r="F89" s="42" t="str">
        <f>IF($R89="","",INDEX(Detail!$F$4:$F$303,$R89))</f>
        <v/>
      </c>
      <c r="G89" s="41" t="str">
        <f>IF($R89="","",INDEX(Detail!$G$4:$G$303,$R89))</f>
        <v/>
      </c>
      <c r="H89" s="44" t="str">
        <f>IF($R89="","",INDEX(Detail!$H$4:$H$303,$R89))</f>
        <v/>
      </c>
      <c r="I89" s="44" t="str">
        <f>IF($R89="","",INDEX(Detail!$I$4:$I$303,$R89))</f>
        <v/>
      </c>
      <c r="J89" s="44" t="str">
        <f>IF($R89="","",INDEX(Detail!$J$4:$J$303,$R89))</f>
        <v/>
      </c>
      <c r="K89" s="44" t="str">
        <f>IF($R89="","",INDEX(Detail!$L$4:$L$303,$R89))</f>
        <v/>
      </c>
      <c r="L89" s="42" t="str">
        <f>IF($R89="","",INDEX(Detail!$M$4:$M$303,$R89))</f>
        <v/>
      </c>
      <c r="M89" s="41" t="str">
        <f>IF($R89="","",INDEX(Detail!$N$4:$N$303,$R89))</f>
        <v/>
      </c>
      <c r="N89" s="45" t="str">
        <f t="shared" si="5"/>
        <v/>
      </c>
      <c r="R89" s="46" t="str">
        <f>IFERROR(MATCH(ROW()-6,Detail!$O$4:$O$303,0),"")</f>
        <v/>
      </c>
    </row>
    <row r="90" spans="2:18" x14ac:dyDescent="0.25">
      <c r="B90" s="41" t="str">
        <f t="shared" si="4"/>
        <v/>
      </c>
      <c r="C90" s="42" t="str">
        <f>IF($R90="","",INDEX(Detail!$C$4:$C$303,$R90))</f>
        <v/>
      </c>
      <c r="D90" s="42" t="str">
        <f>IF($R90="","",INDEX(Detail!$D$4:$D$303,$R90))</f>
        <v/>
      </c>
      <c r="E90" s="43" t="str">
        <f>IF($R90="","",INDEX(Detail!$E$4:$E$303,$R90))</f>
        <v/>
      </c>
      <c r="F90" s="42" t="str">
        <f>IF($R90="","",INDEX(Detail!$F$4:$F$303,$R90))</f>
        <v/>
      </c>
      <c r="G90" s="41" t="str">
        <f>IF($R90="","",INDEX(Detail!$G$4:$G$303,$R90))</f>
        <v/>
      </c>
      <c r="H90" s="44" t="str">
        <f>IF($R90="","",INDEX(Detail!$H$4:$H$303,$R90))</f>
        <v/>
      </c>
      <c r="I90" s="44" t="str">
        <f>IF($R90="","",INDEX(Detail!$I$4:$I$303,$R90))</f>
        <v/>
      </c>
      <c r="J90" s="44" t="str">
        <f>IF($R90="","",INDEX(Detail!$J$4:$J$303,$R90))</f>
        <v/>
      </c>
      <c r="K90" s="44" t="str">
        <f>IF($R90="","",INDEX(Detail!$L$4:$L$303,$R90))</f>
        <v/>
      </c>
      <c r="L90" s="42" t="str">
        <f>IF($R90="","",INDEX(Detail!$M$4:$M$303,$R90))</f>
        <v/>
      </c>
      <c r="M90" s="41" t="str">
        <f>IF($R90="","",INDEX(Detail!$N$4:$N$303,$R90))</f>
        <v/>
      </c>
      <c r="N90" s="45" t="str">
        <f t="shared" si="5"/>
        <v/>
      </c>
      <c r="R90" s="46" t="str">
        <f>IFERROR(MATCH(ROW()-6,Detail!$O$4:$O$303,0),"")</f>
        <v/>
      </c>
    </row>
    <row r="91" spans="2:18" x14ac:dyDescent="0.25">
      <c r="B91" s="41" t="str">
        <f t="shared" si="4"/>
        <v/>
      </c>
      <c r="C91" s="42" t="str">
        <f>IF($R91="","",INDEX(Detail!$C$4:$C$303,$R91))</f>
        <v/>
      </c>
      <c r="D91" s="42" t="str">
        <f>IF($R91="","",INDEX(Detail!$D$4:$D$303,$R91))</f>
        <v/>
      </c>
      <c r="E91" s="43" t="str">
        <f>IF($R91="","",INDEX(Detail!$E$4:$E$303,$R91))</f>
        <v/>
      </c>
      <c r="F91" s="42" t="str">
        <f>IF($R91="","",INDEX(Detail!$F$4:$F$303,$R91))</f>
        <v/>
      </c>
      <c r="G91" s="41" t="str">
        <f>IF($R91="","",INDEX(Detail!$G$4:$G$303,$R91))</f>
        <v/>
      </c>
      <c r="H91" s="44" t="str">
        <f>IF($R91="","",INDEX(Detail!$H$4:$H$303,$R91))</f>
        <v/>
      </c>
      <c r="I91" s="44" t="str">
        <f>IF($R91="","",INDEX(Detail!$I$4:$I$303,$R91))</f>
        <v/>
      </c>
      <c r="J91" s="44" t="str">
        <f>IF($R91="","",INDEX(Detail!$J$4:$J$303,$R91))</f>
        <v/>
      </c>
      <c r="K91" s="44" t="str">
        <f>IF($R91="","",INDEX(Detail!$L$4:$L$303,$R91))</f>
        <v/>
      </c>
      <c r="L91" s="42" t="str">
        <f>IF($R91="","",INDEX(Detail!$M$4:$M$303,$R91))</f>
        <v/>
      </c>
      <c r="M91" s="41" t="str">
        <f>IF($R91="","",INDEX(Detail!$N$4:$N$303,$R91))</f>
        <v/>
      </c>
      <c r="N91" s="45" t="str">
        <f t="shared" si="5"/>
        <v/>
      </c>
      <c r="R91" s="46" t="str">
        <f>IFERROR(MATCH(ROW()-6,Detail!$O$4:$O$303,0),"")</f>
        <v/>
      </c>
    </row>
    <row r="92" spans="2:18" x14ac:dyDescent="0.25">
      <c r="B92" s="41" t="str">
        <f t="shared" si="4"/>
        <v/>
      </c>
      <c r="C92" s="42" t="str">
        <f>IF($R92="","",INDEX(Detail!$C$4:$C$303,$R92))</f>
        <v/>
      </c>
      <c r="D92" s="42" t="str">
        <f>IF($R92="","",INDEX(Detail!$D$4:$D$303,$R92))</f>
        <v/>
      </c>
      <c r="E92" s="43" t="str">
        <f>IF($R92="","",INDEX(Detail!$E$4:$E$303,$R92))</f>
        <v/>
      </c>
      <c r="F92" s="42" t="str">
        <f>IF($R92="","",INDEX(Detail!$F$4:$F$303,$R92))</f>
        <v/>
      </c>
      <c r="G92" s="41" t="str">
        <f>IF($R92="","",INDEX(Detail!$G$4:$G$303,$R92))</f>
        <v/>
      </c>
      <c r="H92" s="44" t="str">
        <f>IF($R92="","",INDEX(Detail!$H$4:$H$303,$R92))</f>
        <v/>
      </c>
      <c r="I92" s="44" t="str">
        <f>IF($R92="","",INDEX(Detail!$I$4:$I$303,$R92))</f>
        <v/>
      </c>
      <c r="J92" s="44" t="str">
        <f>IF($R92="","",INDEX(Detail!$J$4:$J$303,$R92))</f>
        <v/>
      </c>
      <c r="K92" s="44" t="str">
        <f>IF($R92="","",INDEX(Detail!$L$4:$L$303,$R92))</f>
        <v/>
      </c>
      <c r="L92" s="42" t="str">
        <f>IF($R92="","",INDEX(Detail!$M$4:$M$303,$R92))</f>
        <v/>
      </c>
      <c r="M92" s="41" t="str">
        <f>IF($R92="","",INDEX(Detail!$N$4:$N$303,$R92))</f>
        <v/>
      </c>
      <c r="N92" s="45" t="str">
        <f t="shared" si="5"/>
        <v/>
      </c>
      <c r="R92" s="46" t="str">
        <f>IFERROR(MATCH(ROW()-6,Detail!$O$4:$O$303,0),"")</f>
        <v/>
      </c>
    </row>
    <row r="93" spans="2:18" x14ac:dyDescent="0.25">
      <c r="B93" s="41" t="str">
        <f t="shared" si="4"/>
        <v/>
      </c>
      <c r="C93" s="42" t="str">
        <f>IF($R93="","",INDEX(Detail!$C$4:$C$303,$R93))</f>
        <v/>
      </c>
      <c r="D93" s="42" t="str">
        <f>IF($R93="","",INDEX(Detail!$D$4:$D$303,$R93))</f>
        <v/>
      </c>
      <c r="E93" s="43" t="str">
        <f>IF($R93="","",INDEX(Detail!$E$4:$E$303,$R93))</f>
        <v/>
      </c>
      <c r="F93" s="42" t="str">
        <f>IF($R93="","",INDEX(Detail!$F$4:$F$303,$R93))</f>
        <v/>
      </c>
      <c r="G93" s="41" t="str">
        <f>IF($R93="","",INDEX(Detail!$G$4:$G$303,$R93))</f>
        <v/>
      </c>
      <c r="H93" s="44" t="str">
        <f>IF($R93="","",INDEX(Detail!$H$4:$H$303,$R93))</f>
        <v/>
      </c>
      <c r="I93" s="44" t="str">
        <f>IF($R93="","",INDEX(Detail!$I$4:$I$303,$R93))</f>
        <v/>
      </c>
      <c r="J93" s="44" t="str">
        <f>IF($R93="","",INDEX(Detail!$J$4:$J$303,$R93))</f>
        <v/>
      </c>
      <c r="K93" s="44" t="str">
        <f>IF($R93="","",INDEX(Detail!$L$4:$L$303,$R93))</f>
        <v/>
      </c>
      <c r="L93" s="42" t="str">
        <f>IF($R93="","",INDEX(Detail!$M$4:$M$303,$R93))</f>
        <v/>
      </c>
      <c r="M93" s="41" t="str">
        <f>IF($R93="","",INDEX(Detail!$N$4:$N$303,$R93))</f>
        <v/>
      </c>
      <c r="N93" s="45" t="str">
        <f t="shared" si="5"/>
        <v/>
      </c>
      <c r="R93" s="46" t="str">
        <f>IFERROR(MATCH(ROW()-6,Detail!$O$4:$O$303,0),"")</f>
        <v/>
      </c>
    </row>
    <row r="94" spans="2:18" x14ac:dyDescent="0.25">
      <c r="B94" s="41" t="str">
        <f t="shared" si="4"/>
        <v/>
      </c>
      <c r="C94" s="42" t="str">
        <f>IF($R94="","",INDEX(Detail!$C$4:$C$303,$R94))</f>
        <v/>
      </c>
      <c r="D94" s="42" t="str">
        <f>IF($R94="","",INDEX(Detail!$D$4:$D$303,$R94))</f>
        <v/>
      </c>
      <c r="E94" s="43" t="str">
        <f>IF($R94="","",INDEX(Detail!$E$4:$E$303,$R94))</f>
        <v/>
      </c>
      <c r="F94" s="42" t="str">
        <f>IF($R94="","",INDEX(Detail!$F$4:$F$303,$R94))</f>
        <v/>
      </c>
      <c r="G94" s="41" t="str">
        <f>IF($R94="","",INDEX(Detail!$G$4:$G$303,$R94))</f>
        <v/>
      </c>
      <c r="H94" s="44" t="str">
        <f>IF($R94="","",INDEX(Detail!$H$4:$H$303,$R94))</f>
        <v/>
      </c>
      <c r="I94" s="44" t="str">
        <f>IF($R94="","",INDEX(Detail!$I$4:$I$303,$R94))</f>
        <v/>
      </c>
      <c r="J94" s="44" t="str">
        <f>IF($R94="","",INDEX(Detail!$J$4:$J$303,$R94))</f>
        <v/>
      </c>
      <c r="K94" s="44" t="str">
        <f>IF($R94="","",INDEX(Detail!$L$4:$L$303,$R94))</f>
        <v/>
      </c>
      <c r="L94" s="42" t="str">
        <f>IF($R94="","",INDEX(Detail!$M$4:$M$303,$R94))</f>
        <v/>
      </c>
      <c r="M94" s="41" t="str">
        <f>IF($R94="","",INDEX(Detail!$N$4:$N$303,$R94))</f>
        <v/>
      </c>
      <c r="N94" s="45" t="str">
        <f t="shared" si="5"/>
        <v/>
      </c>
      <c r="R94" s="46" t="str">
        <f>IFERROR(MATCH(ROW()-6,Detail!$O$4:$O$303,0),"")</f>
        <v/>
      </c>
    </row>
    <row r="95" spans="2:18" x14ac:dyDescent="0.25">
      <c r="B95" s="41" t="str">
        <f t="shared" si="4"/>
        <v/>
      </c>
      <c r="C95" s="42" t="str">
        <f>IF($R95="","",INDEX(Detail!$C$4:$C$303,$R95))</f>
        <v/>
      </c>
      <c r="D95" s="42" t="str">
        <f>IF($R95="","",INDEX(Detail!$D$4:$D$303,$R95))</f>
        <v/>
      </c>
      <c r="E95" s="43" t="str">
        <f>IF($R95="","",INDEX(Detail!$E$4:$E$303,$R95))</f>
        <v/>
      </c>
      <c r="F95" s="42" t="str">
        <f>IF($R95="","",INDEX(Detail!$F$4:$F$303,$R95))</f>
        <v/>
      </c>
      <c r="G95" s="41" t="str">
        <f>IF($R95="","",INDEX(Detail!$G$4:$G$303,$R95))</f>
        <v/>
      </c>
      <c r="H95" s="44" t="str">
        <f>IF($R95="","",INDEX(Detail!$H$4:$H$303,$R95))</f>
        <v/>
      </c>
      <c r="I95" s="44" t="str">
        <f>IF($R95="","",INDEX(Detail!$I$4:$I$303,$R95))</f>
        <v/>
      </c>
      <c r="J95" s="44" t="str">
        <f>IF($R95="","",INDEX(Detail!$J$4:$J$303,$R95))</f>
        <v/>
      </c>
      <c r="K95" s="44" t="str">
        <f>IF($R95="","",INDEX(Detail!$L$4:$L$303,$R95))</f>
        <v/>
      </c>
      <c r="L95" s="42" t="str">
        <f>IF($R95="","",INDEX(Detail!$M$4:$M$303,$R95))</f>
        <v/>
      </c>
      <c r="M95" s="41" t="str">
        <f>IF($R95="","",INDEX(Detail!$N$4:$N$303,$R95))</f>
        <v/>
      </c>
      <c r="N95" s="45" t="str">
        <f t="shared" si="5"/>
        <v/>
      </c>
      <c r="R95" s="46" t="str">
        <f>IFERROR(MATCH(ROW()-6,Detail!$O$4:$O$303,0),"")</f>
        <v/>
      </c>
    </row>
    <row r="96" spans="2:18" x14ac:dyDescent="0.25">
      <c r="B96" s="41" t="str">
        <f t="shared" si="4"/>
        <v/>
      </c>
      <c r="C96" s="42" t="str">
        <f>IF($R96="","",INDEX(Detail!$C$4:$C$303,$R96))</f>
        <v/>
      </c>
      <c r="D96" s="42" t="str">
        <f>IF($R96="","",INDEX(Detail!$D$4:$D$303,$R96))</f>
        <v/>
      </c>
      <c r="E96" s="43" t="str">
        <f>IF($R96="","",INDEX(Detail!$E$4:$E$303,$R96))</f>
        <v/>
      </c>
      <c r="F96" s="42" t="str">
        <f>IF($R96="","",INDEX(Detail!$F$4:$F$303,$R96))</f>
        <v/>
      </c>
      <c r="G96" s="41" t="str">
        <f>IF($R96="","",INDEX(Detail!$G$4:$G$303,$R96))</f>
        <v/>
      </c>
      <c r="H96" s="44" t="str">
        <f>IF($R96="","",INDEX(Detail!$H$4:$H$303,$R96))</f>
        <v/>
      </c>
      <c r="I96" s="44" t="str">
        <f>IF($R96="","",INDEX(Detail!$I$4:$I$303,$R96))</f>
        <v/>
      </c>
      <c r="J96" s="44" t="str">
        <f>IF($R96="","",INDEX(Detail!$J$4:$J$303,$R96))</f>
        <v/>
      </c>
      <c r="K96" s="44" t="str">
        <f>IF($R96="","",INDEX(Detail!$L$4:$L$303,$R96))</f>
        <v/>
      </c>
      <c r="L96" s="42" t="str">
        <f>IF($R96="","",INDEX(Detail!$M$4:$M$303,$R96))</f>
        <v/>
      </c>
      <c r="M96" s="41" t="str">
        <f>IF($R96="","",INDEX(Detail!$N$4:$N$303,$R96))</f>
        <v/>
      </c>
      <c r="N96" s="45" t="str">
        <f t="shared" si="5"/>
        <v/>
      </c>
      <c r="R96" s="46" t="str">
        <f>IFERROR(MATCH(ROW()-6,Detail!$O$4:$O$303,0),"")</f>
        <v/>
      </c>
    </row>
  </sheetData>
  <autoFilter ref="B6:N96" xr:uid="{00000000-0009-0000-0000-000002000000}"/>
  <mergeCells count="4">
    <mergeCell ref="B2:N2"/>
    <mergeCell ref="B3:N3"/>
    <mergeCell ref="B5:D5"/>
    <mergeCell ref="F5:N5"/>
  </mergeCells>
  <conditionalFormatting sqref="B7:N96">
    <cfRule type="expression" dxfId="28" priority="5">
      <formula>AND($C7&lt;&gt;"",MOD(ROW(),2)=0)</formula>
    </cfRule>
    <cfRule type="expression" dxfId="27" priority="6">
      <formula>$C7&lt;&gt;""</formula>
    </cfRule>
  </conditionalFormatting>
  <conditionalFormatting sqref="L7:L96">
    <cfRule type="expression" dxfId="26" priority="2">
      <formula>$M7=2</formula>
    </cfRule>
    <cfRule type="expression" dxfId="25" priority="3">
      <formula>$M7=3</formula>
    </cfRule>
    <cfRule type="expression" dxfId="24" priority="4">
      <formula>$M7=1</formula>
    </cfRule>
  </conditionalFormatting>
  <pageMargins left="0.3" right="0.3" top="0.4" bottom="0.4" header="0.511811023622047" footer="0.511811023622047"/>
  <pageSetup paperSize="9" fitToHeight="0"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98900"/>
    <pageSetUpPr fitToPage="1"/>
  </sheetPr>
  <dimension ref="B2:S98"/>
  <sheetViews>
    <sheetView showGridLines="0" zoomScaleNormal="100" workbookViewId="0">
      <pane xSplit="1" ySplit="8" topLeftCell="B9" activePane="bottomRight" state="frozen"/>
      <selection pane="topRight" activeCell="B1" sqref="B1"/>
      <selection pane="bottomLeft" activeCell="A9" sqref="A9"/>
      <selection pane="bottomRight" activeCell="M37" sqref="M37"/>
    </sheetView>
  </sheetViews>
  <sheetFormatPr defaultColWidth="8.7109375" defaultRowHeight="15" x14ac:dyDescent="0.25"/>
  <cols>
    <col min="1" max="1" width="2" customWidth="1"/>
    <col min="2" max="2" width="5" customWidth="1"/>
    <col min="3" max="3" width="22" customWidth="1"/>
    <col min="4" max="4" width="19" customWidth="1"/>
    <col min="5" max="5" width="12" customWidth="1"/>
    <col min="6" max="6" width="11" customWidth="1"/>
    <col min="7" max="7" width="16" customWidth="1"/>
    <col min="8" max="8" width="12" customWidth="1"/>
    <col min="9" max="10" width="11" customWidth="1"/>
    <col min="11" max="11" width="12" customWidth="1"/>
    <col min="12" max="12" width="34" customWidth="1"/>
    <col min="13" max="13" width="60" customWidth="1"/>
    <col min="18" max="18" width="8" hidden="1" customWidth="1"/>
    <col min="19" max="19" width="13" hidden="1" customWidth="1"/>
  </cols>
  <sheetData>
    <row r="2" spans="2:19" ht="33.75" customHeight="1" x14ac:dyDescent="0.25">
      <c r="B2" s="116" t="s">
        <v>94</v>
      </c>
      <c r="C2" s="116"/>
      <c r="D2" s="116"/>
      <c r="E2" s="116"/>
      <c r="F2" s="116"/>
      <c r="G2" s="116"/>
      <c r="H2" s="116"/>
      <c r="I2" s="116"/>
      <c r="J2" s="116"/>
      <c r="K2" s="116"/>
      <c r="L2" s="116"/>
      <c r="S2" s="47">
        <f>Config!$C$9</f>
        <v>8</v>
      </c>
    </row>
    <row r="3" spans="2:19" ht="19.5" customHeight="1" x14ac:dyDescent="0.25">
      <c r="B3" s="117" t="s">
        <v>95</v>
      </c>
      <c r="C3" s="117"/>
      <c r="D3" s="117"/>
      <c r="E3" s="117"/>
      <c r="F3" s="117"/>
      <c r="G3" s="117"/>
      <c r="H3" s="117"/>
      <c r="I3" s="117"/>
      <c r="J3" s="117"/>
      <c r="K3" s="117"/>
      <c r="L3" s="117"/>
      <c r="S3" s="48">
        <f>Config!$C$10</f>
        <v>0</v>
      </c>
    </row>
    <row r="5" spans="2:19" ht="15.75" customHeight="1" x14ac:dyDescent="0.25">
      <c r="B5" s="153" t="s">
        <v>96</v>
      </c>
      <c r="C5" s="153"/>
      <c r="D5" s="153" t="s">
        <v>97</v>
      </c>
      <c r="E5" s="153"/>
      <c r="F5" s="151" t="s">
        <v>98</v>
      </c>
      <c r="G5" s="151"/>
      <c r="H5" s="151" t="s">
        <v>99</v>
      </c>
      <c r="I5" s="151"/>
      <c r="J5" s="151" t="s">
        <v>100</v>
      </c>
      <c r="K5" s="151"/>
      <c r="L5" s="154" t="s">
        <v>101</v>
      </c>
      <c r="M5" s="154"/>
    </row>
    <row r="6" spans="2:19" ht="27.75" customHeight="1" x14ac:dyDescent="0.25">
      <c r="B6" s="160">
        <f>SUMPRODUCT(RawBtabs!$U$2:$U$1500,RawBtabs!$W$2:$W$1500,RawBtabs!$S$2:$S$1500)</f>
        <v>159</v>
      </c>
      <c r="C6" s="160"/>
      <c r="D6" s="161">
        <f>SUMPRODUCT(RawBtabs!$X$2:$X$1500,RawBtabs!$W$2:$W$1500,RawBtabs!$S$2:$S$1500)</f>
        <v>24</v>
      </c>
      <c r="E6" s="161"/>
      <c r="F6" s="162">
        <f>SUMPRODUCT(--(RawBtabs!$H$2:$H$1500=Config!$C$21),RawBtabs!$W$2:$W$1500,RawBtabs!$S$2:$S$1500)</f>
        <v>14</v>
      </c>
      <c r="G6" s="162"/>
      <c r="H6" s="162">
        <f>SUMPRODUCT(--(RawBtabs!$H$2:$H$1500=Config!$C$22),RawBtabs!$W$2:$W$1500,RawBtabs!$S$2:$S$1500)</f>
        <v>10</v>
      </c>
      <c r="I6" s="162"/>
      <c r="J6" s="162">
        <f>SUMPRODUCT(--(RawBtabs!$H$2:$H$1500=Config!$C$23),RawBtabs!$W$2:$W$1500,RawBtabs!$S$2:$S$1500)</f>
        <v>0</v>
      </c>
      <c r="K6" s="162"/>
      <c r="L6" s="159">
        <f>SUMPRODUCT(RawBtabs!$X$2:$X$1500,RawBtabs!$W$2:$W$1500,RawBtabs!$S$2:$S$1500,--(RawBtabs!$U$2:$U$1500=0))</f>
        <v>0</v>
      </c>
      <c r="M6" s="159"/>
    </row>
    <row r="8" spans="2:19" ht="30" customHeight="1" x14ac:dyDescent="0.25">
      <c r="B8" s="49" t="s">
        <v>58</v>
      </c>
      <c r="C8" s="49" t="s">
        <v>83</v>
      </c>
      <c r="D8" s="49" t="s">
        <v>84</v>
      </c>
      <c r="E8" s="49" t="s">
        <v>85</v>
      </c>
      <c r="F8" s="49" t="s">
        <v>86</v>
      </c>
      <c r="G8" s="49" t="s">
        <v>102</v>
      </c>
      <c r="H8" s="49" t="s">
        <v>103</v>
      </c>
      <c r="I8" s="49" t="s">
        <v>104</v>
      </c>
      <c r="J8" s="49" t="s">
        <v>105</v>
      </c>
      <c r="K8" s="49" t="s">
        <v>90</v>
      </c>
      <c r="L8" s="49" t="s">
        <v>106</v>
      </c>
      <c r="M8" s="49" t="s">
        <v>107</v>
      </c>
    </row>
    <row r="9" spans="2:19" x14ac:dyDescent="0.25">
      <c r="B9" s="41">
        <f t="shared" ref="B9:B40" si="0">IF($R9="","",ROW()-8)</f>
        <v>1</v>
      </c>
      <c r="C9" s="42" t="str">
        <f>IF($R9="","",INDEX(RawBtabs!$A$2:$A$1500,$R9))</f>
        <v>J Castillo</v>
      </c>
      <c r="D9" s="42" t="str">
        <f>IF($C9="","",IFERROR(INDEX(BPOworkers!$E$6:$E$105,MATCH($C9,BPOworkers!$B$6:$B$105,0)),""))</f>
        <v>J S Bermudez</v>
      </c>
      <c r="E9" s="43">
        <f>IF($R9="","",INDEX(RawBtabs!$C$2:$C$1500,$R9))</f>
        <v>46269</v>
      </c>
      <c r="F9" s="42" t="str">
        <f>IF($C9="","",IFERROR(INDEX(Config!$F$7:$F$11,$E9-Config!$C$7+1),""))</f>
        <v>Friday</v>
      </c>
      <c r="G9" s="42" t="str">
        <f>IF($R9="","",INDEX(RawBtabs!$H$2:$H$1500,$R9))</f>
        <v>Time Off</v>
      </c>
      <c r="H9" s="41" t="str">
        <f>IF($R9="","",INDEX(RawBtabs!$B$2:$B$1500,$R9))</f>
        <v>Approved</v>
      </c>
      <c r="I9" s="44">
        <f>IF($R9="","",INDEX(RawBtabs!$U$2:$U$1500,$R9))</f>
        <v>8</v>
      </c>
      <c r="J9" s="50">
        <f>IF($R9="","",INDEX(RawBtabs!$K$2:$K$1500,$R9))</f>
        <v>0</v>
      </c>
      <c r="K9" s="44">
        <f>IF($C9="","",SUMIFS(RawBtabs!$V$2:$V$1500,RawBtabs!$A$2:$A$1500,$C9,RawBtabs!$C$2:$C$1500,$E9))</f>
        <v>8</v>
      </c>
      <c r="L9" s="42" t="str">
        <f>IF($C9="","",IF($I9=0,"⚠️ The detail does not state the hours",IF(ABS($K9-Config!$C$9)&lt;=Config!$C$10,"✅ Full day ("&amp;TEXT($K9,"0.##")&amp;" h)",IF($K9&lt;Config!$C$9,"🔻 Incomplete day: "&amp;TEXT($K9,"0.##")&amp;" h of "&amp;TEXT(Config!$C$9,"0")&amp;" h","🔺 Day exceeded: "&amp;TEXT($K9,"0.##")&amp;" h"))))</f>
        <v>✅ Full day (8. h)</v>
      </c>
      <c r="M9" s="45" t="str">
        <f>IF($R9="","",INDEX(RawBtabs!$Q$2:$Q$1500,$R9))</f>
        <v>8 hours not worked medical leave. 8 Hours not billed</v>
      </c>
      <c r="R9" s="46">
        <f>IFERROR(MATCH(ROW()-8,RawBtabs!$Z$2:$Z$1500,0),"")</f>
        <v>167</v>
      </c>
    </row>
    <row r="10" spans="2:19" x14ac:dyDescent="0.25">
      <c r="B10" s="41">
        <f t="shared" si="0"/>
        <v>2</v>
      </c>
      <c r="C10" s="42" t="str">
        <f>IF($R10="","",INDEX(RawBtabs!$A$2:$A$1500,$R10))</f>
        <v>A Lopez</v>
      </c>
      <c r="D10" s="42" t="str">
        <f>IF($C10="","",IFERROR(INDEX(BPOworkers!$E$6:$E$105,MATCH($C10,BPOworkers!$B$6:$B$105,0)),""))</f>
        <v>S Romero</v>
      </c>
      <c r="E10" s="43">
        <f>IF($R10="","",INDEX(RawBtabs!$C$2:$C$1500,$R10))</f>
        <v>46269</v>
      </c>
      <c r="F10" s="42" t="str">
        <f>IF($C10="","",IFERROR(INDEX(Config!$F$7:$F$11,$E10-Config!$C$7+1),""))</f>
        <v>Friday</v>
      </c>
      <c r="G10" s="42" t="str">
        <f>IF($R10="","",INDEX(RawBtabs!$H$2:$H$1500,$R10))</f>
        <v>Time Off</v>
      </c>
      <c r="H10" s="41" t="str">
        <f>IF($R10="","",INDEX(RawBtabs!$B$2:$B$1500,$R10))</f>
        <v>Approved</v>
      </c>
      <c r="I10" s="44">
        <f>IF($R10="","",INDEX(RawBtabs!$U$2:$U$1500,$R10))</f>
        <v>2</v>
      </c>
      <c r="J10" s="50">
        <f>IF($R10="","",INDEX(RawBtabs!$K$2:$K$1500,$R10))</f>
        <v>0</v>
      </c>
      <c r="K10" s="44">
        <f>IF($C10="","",SUMIFS(RawBtabs!$V$2:$V$1500,RawBtabs!$A$2:$A$1500,$C10,RawBtabs!$C$2:$C$1500,$E10))</f>
        <v>8</v>
      </c>
      <c r="L10" s="42" t="str">
        <f>IF($C10="","",IF($I10=0,"⚠️ The detail does not state the hours",IF(ABS($K10-Config!$C$9)&lt;=Config!$C$10,"✅ Full day ("&amp;TEXT($K10,"0.##")&amp;" h)",IF($K10&lt;Config!$C$9,"🔻 Incomplete day: "&amp;TEXT($K10,"0.##")&amp;" h of "&amp;TEXT(Config!$C$9,"0")&amp;" h","🔺 Day exceeded: "&amp;TEXT($K10,"0.##")&amp;" h"))))</f>
        <v>✅ Full day (8. h)</v>
      </c>
      <c r="M10" s="45" t="str">
        <f>IF($R10="","",INDEX(RawBtabs!$Q$2:$Q$1500,$R10))</f>
        <v>2 hours</v>
      </c>
      <c r="R10" s="46">
        <f>IFERROR(MATCH(ROW()-8,RawBtabs!$Z$2:$Z$1500,0),"")</f>
        <v>177</v>
      </c>
    </row>
    <row r="11" spans="2:19" x14ac:dyDescent="0.25">
      <c r="B11" s="41">
        <f t="shared" si="0"/>
        <v>3</v>
      </c>
      <c r="C11" s="42" t="str">
        <f>IF($R11="","",INDEX(RawBtabs!$A$2:$A$1500,$R11))</f>
        <v>C Mesa</v>
      </c>
      <c r="D11" s="42" t="str">
        <f>IF($C11="","",IFERROR(INDEX(BPOworkers!$E$6:$E$105,MATCH($C11,BPOworkers!$B$6:$B$105,0)),""))</f>
        <v>M Leon</v>
      </c>
      <c r="E11" s="43">
        <f>IF($R11="","",INDEX(RawBtabs!$C$2:$C$1500,$R11))</f>
        <v>46269</v>
      </c>
      <c r="F11" s="42" t="str">
        <f>IF($C11="","",IFERROR(INDEX(Config!$F$7:$F$11,$E11-Config!$C$7+1),""))</f>
        <v>Friday</v>
      </c>
      <c r="G11" s="42" t="str">
        <f>IF($R11="","",INDEX(RawBtabs!$H$2:$H$1500,$R11))</f>
        <v>BPO Vacation</v>
      </c>
      <c r="H11" s="41" t="str">
        <f>IF($R11="","",INDEX(RawBtabs!$B$2:$B$1500,$R11))</f>
        <v>Approved</v>
      </c>
      <c r="I11" s="44">
        <f>IF($R11="","",INDEX(RawBtabs!$U$2:$U$1500,$R11))</f>
        <v>8</v>
      </c>
      <c r="J11" s="50">
        <f>IF($R11="","",INDEX(RawBtabs!$K$2:$K$1500,$R11))</f>
        <v>0</v>
      </c>
      <c r="K11" s="44">
        <f>IF($C11="","",SUMIFS(RawBtabs!$V$2:$V$1500,RawBtabs!$A$2:$A$1500,$C11,RawBtabs!$C$2:$C$1500,$E11))</f>
        <v>8</v>
      </c>
      <c r="L11" s="42" t="str">
        <f>IF($C11="","",IF($I11=0,"⚠️ The detail does not state the hours",IF(ABS($K11-Config!$C$9)&lt;=Config!$C$10,"✅ Full day ("&amp;TEXT($K11,"0.##")&amp;" h)",IF($K11&lt;Config!$C$9,"🔻 Incomplete day: "&amp;TEXT($K11,"0.##")&amp;" h of "&amp;TEXT(Config!$C$9,"0")&amp;" h","🔺 Day exceeded: "&amp;TEXT($K11,"0.##")&amp;" h"))))</f>
        <v>✅ Full day (8. h)</v>
      </c>
      <c r="M11" s="45" t="str">
        <f>IF($R11="","",INDEX(RawBtabs!$Q$2:$Q$1500,$R11))</f>
        <v>8 hours of paid vacations</v>
      </c>
      <c r="R11" s="46">
        <f>IFERROR(MATCH(ROW()-8,RawBtabs!$Z$2:$Z$1500,0),"")</f>
        <v>181</v>
      </c>
    </row>
    <row r="12" spans="2:19" x14ac:dyDescent="0.25">
      <c r="B12" s="41">
        <f t="shared" si="0"/>
        <v>4</v>
      </c>
      <c r="C12" s="42" t="str">
        <f>IF($R12="","",INDEX(RawBtabs!$A$2:$A$1500,$R12))</f>
        <v>O Moreno</v>
      </c>
      <c r="D12" s="42" t="str">
        <f>IF($C12="","",IFERROR(INDEX(BPOworkers!$E$6:$E$105,MATCH($C12,BPOworkers!$B$6:$B$105,0)),""))</f>
        <v>R Sanchez</v>
      </c>
      <c r="E12" s="43">
        <f>IF($R12="","",INDEX(RawBtabs!$C$2:$C$1500,$R12))</f>
        <v>46269</v>
      </c>
      <c r="F12" s="42" t="str">
        <f>IF($C12="","",IFERROR(INDEX(Config!$F$7:$F$11,$E12-Config!$C$7+1),""))</f>
        <v>Friday</v>
      </c>
      <c r="G12" s="42" t="str">
        <f>IF($R12="","",INDEX(RawBtabs!$H$2:$H$1500,$R12))</f>
        <v>Time Off</v>
      </c>
      <c r="H12" s="41" t="str">
        <f>IF($R12="","",INDEX(RawBtabs!$B$2:$B$1500,$R12))</f>
        <v>Approved</v>
      </c>
      <c r="I12" s="44">
        <f>IF($R12="","",INDEX(RawBtabs!$U$2:$U$1500,$R12))</f>
        <v>8</v>
      </c>
      <c r="J12" s="50">
        <f>IF($R12="","",INDEX(RawBtabs!$K$2:$K$1500,$R12))</f>
        <v>0</v>
      </c>
      <c r="K12" s="44">
        <f>IF($C12="","",SUMIFS(RawBtabs!$V$2:$V$1500,RawBtabs!$A$2:$A$1500,$C12,RawBtabs!$C$2:$C$1500,$E12))</f>
        <v>8</v>
      </c>
      <c r="L12" s="42" t="str">
        <f>IF($C12="","",IF($I12=0,"⚠️ The detail does not state the hours",IF(ABS($K12-Config!$C$9)&lt;=Config!$C$10,"✅ Full day ("&amp;TEXT($K12,"0.##")&amp;" h)",IF($K12&lt;Config!$C$9,"🔻 Incomplete day: "&amp;TEXT($K12,"0.##")&amp;" h of "&amp;TEXT(Config!$C$9,"0")&amp;" h","🔺 Day exceeded: "&amp;TEXT($K12,"0.##")&amp;" h"))))</f>
        <v>✅ Full day (8. h)</v>
      </c>
      <c r="M12" s="45" t="str">
        <f>IF($R12="","",INDEX(RawBtabs!$Q$2:$Q$1500,$R12))</f>
        <v>8 hours nor billed for medical leave.</v>
      </c>
      <c r="R12" s="46">
        <f>IFERROR(MATCH(ROW()-8,RawBtabs!$Z$2:$Z$1500,0),"")</f>
        <v>214</v>
      </c>
    </row>
    <row r="13" spans="2:19" x14ac:dyDescent="0.25">
      <c r="B13" s="41">
        <f t="shared" si="0"/>
        <v>5</v>
      </c>
      <c r="C13" s="42" t="str">
        <f>IF($R13="","",INDEX(RawBtabs!$A$2:$A$1500,$R13))</f>
        <v>J Castillo</v>
      </c>
      <c r="D13" s="42" t="str">
        <f>IF($C13="","",IFERROR(INDEX(BPOworkers!$E$6:$E$105,MATCH($C13,BPOworkers!$B$6:$B$105,0)),""))</f>
        <v>J S Bermudez</v>
      </c>
      <c r="E13" s="43">
        <f>IF($R13="","",INDEX(RawBtabs!$C$2:$C$1500,$R13))</f>
        <v>46268</v>
      </c>
      <c r="F13" s="42" t="str">
        <f>IF($C13="","",IFERROR(INDEX(Config!$F$7:$F$11,$E13-Config!$C$7+1),""))</f>
        <v>Thursday</v>
      </c>
      <c r="G13" s="42" t="str">
        <f>IF($R13="","",INDEX(RawBtabs!$H$2:$H$1500,$R13))</f>
        <v>Time Off</v>
      </c>
      <c r="H13" s="41" t="str">
        <f>IF($R13="","",INDEX(RawBtabs!$B$2:$B$1500,$R13))</f>
        <v>Approved</v>
      </c>
      <c r="I13" s="44">
        <f>IF($R13="","",INDEX(RawBtabs!$U$2:$U$1500,$R13))</f>
        <v>8</v>
      </c>
      <c r="J13" s="50">
        <f>IF($R13="","",INDEX(RawBtabs!$K$2:$K$1500,$R13))</f>
        <v>0</v>
      </c>
      <c r="K13" s="44">
        <f>IF($C13="","",SUMIFS(RawBtabs!$V$2:$V$1500,RawBtabs!$A$2:$A$1500,$C13,RawBtabs!$C$2:$C$1500,$E13))</f>
        <v>8</v>
      </c>
      <c r="L13" s="42" t="str">
        <f>IF($C13="","",IF($I13=0,"⚠️ The detail does not state the hours",IF(ABS($K13-Config!$C$9)&lt;=Config!$C$10,"✅ Full day ("&amp;TEXT($K13,"0.##")&amp;" h)",IF($K13&lt;Config!$C$9,"🔻 Incomplete day: "&amp;TEXT($K13,"0.##")&amp;" h of "&amp;TEXT(Config!$C$9,"0")&amp;" h","🔺 Day exceeded: "&amp;TEXT($K13,"0.##")&amp;" h"))))</f>
        <v>✅ Full day (8. h)</v>
      </c>
      <c r="M13" s="45" t="str">
        <f>IF($R13="","",INDEX(RawBtabs!$Q$2:$Q$1500,$R13))</f>
        <v>8 hours not worked medical leave. 8 Hours not billed</v>
      </c>
      <c r="R13" s="46">
        <f>IFERROR(MATCH(ROW()-8,RawBtabs!$Z$2:$Z$1500,0),"")</f>
        <v>312</v>
      </c>
    </row>
    <row r="14" spans="2:19" x14ac:dyDescent="0.25">
      <c r="B14" s="41">
        <f t="shared" si="0"/>
        <v>6</v>
      </c>
      <c r="C14" s="42" t="str">
        <f>IF($R14="","",INDEX(RawBtabs!$A$2:$A$1500,$R14))</f>
        <v>C Mesa</v>
      </c>
      <c r="D14" s="42" t="str">
        <f>IF($C14="","",IFERROR(INDEX(BPOworkers!$E$6:$E$105,MATCH($C14,BPOworkers!$B$6:$B$105,0)),""))</f>
        <v>M Leon</v>
      </c>
      <c r="E14" s="43">
        <f>IF($R14="","",INDEX(RawBtabs!$C$2:$C$1500,$R14))</f>
        <v>46268</v>
      </c>
      <c r="F14" s="42" t="str">
        <f>IF($C14="","",IFERROR(INDEX(Config!$F$7:$F$11,$E14-Config!$C$7+1),""))</f>
        <v>Thursday</v>
      </c>
      <c r="G14" s="42" t="str">
        <f>IF($R14="","",INDEX(RawBtabs!$H$2:$H$1500,$R14))</f>
        <v>BPO Vacation</v>
      </c>
      <c r="H14" s="41" t="str">
        <f>IF($R14="","",INDEX(RawBtabs!$B$2:$B$1500,$R14))</f>
        <v>Approved</v>
      </c>
      <c r="I14" s="44">
        <f>IF($R14="","",INDEX(RawBtabs!$U$2:$U$1500,$R14))</f>
        <v>8</v>
      </c>
      <c r="J14" s="50">
        <f>IF($R14="","",INDEX(RawBtabs!$K$2:$K$1500,$R14))</f>
        <v>0</v>
      </c>
      <c r="K14" s="44">
        <f>IF($C14="","",SUMIFS(RawBtabs!$V$2:$V$1500,RawBtabs!$A$2:$A$1500,$C14,RawBtabs!$C$2:$C$1500,$E14))</f>
        <v>8</v>
      </c>
      <c r="L14" s="42" t="str">
        <f>IF($C14="","",IF($I14=0,"⚠️ The detail does not state the hours",IF(ABS($K14-Config!$C$9)&lt;=Config!$C$10,"✅ Full day ("&amp;TEXT($K14,"0.##")&amp;" h)",IF($K14&lt;Config!$C$9,"🔻 Incomplete day: "&amp;TEXT($K14,"0.##")&amp;" h of "&amp;TEXT(Config!$C$9,"0")&amp;" h","🔺 Day exceeded: "&amp;TEXT($K14,"0.##")&amp;" h"))))</f>
        <v>✅ Full day (8. h)</v>
      </c>
      <c r="M14" s="45" t="str">
        <f>IF($R14="","",INDEX(RawBtabs!$Q$2:$Q$1500,$R14))</f>
        <v>8 hours of paid vacations</v>
      </c>
      <c r="R14" s="46">
        <f>IFERROR(MATCH(ROW()-8,RawBtabs!$Z$2:$Z$1500,0),"")</f>
        <v>325</v>
      </c>
    </row>
    <row r="15" spans="2:19" x14ac:dyDescent="0.25">
      <c r="B15" s="41">
        <f t="shared" si="0"/>
        <v>7</v>
      </c>
      <c r="C15" s="42" t="str">
        <f>IF($R15="","",INDEX(RawBtabs!$A$2:$A$1500,$R15))</f>
        <v>J Castillo</v>
      </c>
      <c r="D15" s="42" t="str">
        <f>IF($C15="","",IFERROR(INDEX(BPOworkers!$E$6:$E$105,MATCH($C15,BPOworkers!$B$6:$B$105,0)),""))</f>
        <v>J S Bermudez</v>
      </c>
      <c r="E15" s="43">
        <f>IF($R15="","",INDEX(RawBtabs!$C$2:$C$1500,$R15))</f>
        <v>46267</v>
      </c>
      <c r="F15" s="42" t="str">
        <f>IF($C15="","",IFERROR(INDEX(Config!$F$7:$F$11,$E15-Config!$C$7+1),""))</f>
        <v>Wednesday</v>
      </c>
      <c r="G15" s="42" t="str">
        <f>IF($R15="","",INDEX(RawBtabs!$H$2:$H$1500,$R15))</f>
        <v>Time Off</v>
      </c>
      <c r="H15" s="41" t="str">
        <f>IF($R15="","",INDEX(RawBtabs!$B$2:$B$1500,$R15))</f>
        <v>Approved</v>
      </c>
      <c r="I15" s="44">
        <f>IF($R15="","",INDEX(RawBtabs!$U$2:$U$1500,$R15))</f>
        <v>8</v>
      </c>
      <c r="J15" s="50">
        <f>IF($R15="","",INDEX(RawBtabs!$K$2:$K$1500,$R15))</f>
        <v>0</v>
      </c>
      <c r="K15" s="44">
        <f>IF($C15="","",SUMIFS(RawBtabs!$V$2:$V$1500,RawBtabs!$A$2:$A$1500,$C15,RawBtabs!$C$2:$C$1500,$E15))</f>
        <v>8</v>
      </c>
      <c r="L15" s="42" t="str">
        <f>IF($C15="","",IF($I15=0,"⚠️ The detail does not state the hours",IF(ABS($K15-Config!$C$9)&lt;=Config!$C$10,"✅ Full day ("&amp;TEXT($K15,"0.##")&amp;" h)",IF($K15&lt;Config!$C$9,"🔻 Incomplete day: "&amp;TEXT($K15,"0.##")&amp;" h of "&amp;TEXT(Config!$C$9,"0")&amp;" h","🔺 Day exceeded: "&amp;TEXT($K15,"0.##")&amp;" h"))))</f>
        <v>✅ Full day (8. h)</v>
      </c>
      <c r="M15" s="45" t="str">
        <f>IF($R15="","",INDEX(RawBtabs!$Q$2:$Q$1500,$R15))</f>
        <v>8 hours not worked medical leave. 8 Hours not billed</v>
      </c>
      <c r="R15" s="46">
        <f>IFERROR(MATCH(ROW()-8,RawBtabs!$Z$2:$Z$1500,0),"")</f>
        <v>461</v>
      </c>
    </row>
    <row r="16" spans="2:19" x14ac:dyDescent="0.25">
      <c r="B16" s="41">
        <f t="shared" si="0"/>
        <v>8</v>
      </c>
      <c r="C16" s="42" t="str">
        <f>IF($R16="","",INDEX(RawBtabs!$A$2:$A$1500,$R16))</f>
        <v>A Lopez</v>
      </c>
      <c r="D16" s="42" t="str">
        <f>IF($C16="","",IFERROR(INDEX(BPOworkers!$E$6:$E$105,MATCH($C16,BPOworkers!$B$6:$B$105,0)),""))</f>
        <v>S Romero</v>
      </c>
      <c r="E16" s="43">
        <f>IF($R16="","",INDEX(RawBtabs!$C$2:$C$1500,$R16))</f>
        <v>46267</v>
      </c>
      <c r="F16" s="42" t="str">
        <f>IF($C16="","",IFERROR(INDEX(Config!$F$7:$F$11,$E16-Config!$C$7+1),""))</f>
        <v>Wednesday</v>
      </c>
      <c r="G16" s="42" t="str">
        <f>IF($R16="","",INDEX(RawBtabs!$H$2:$H$1500,$R16))</f>
        <v>Time Off</v>
      </c>
      <c r="H16" s="41" t="str">
        <f>IF($R16="","",INDEX(RawBtabs!$B$2:$B$1500,$R16))</f>
        <v>Approved</v>
      </c>
      <c r="I16" s="44">
        <f>IF($R16="","",INDEX(RawBtabs!$U$2:$U$1500,$R16))</f>
        <v>3</v>
      </c>
      <c r="J16" s="50">
        <f>IF($R16="","",INDEX(RawBtabs!$K$2:$K$1500,$R16))</f>
        <v>0</v>
      </c>
      <c r="K16" s="44">
        <f>IF($C16="","",SUMIFS(RawBtabs!$V$2:$V$1500,RawBtabs!$A$2:$A$1500,$C16,RawBtabs!$C$2:$C$1500,$E16))</f>
        <v>8</v>
      </c>
      <c r="L16" s="42" t="str">
        <f>IF($C16="","",IF($I16=0,"⚠️ The detail does not state the hours",IF(ABS($K16-Config!$C$9)&lt;=Config!$C$10,"✅ Full day ("&amp;TEXT($K16,"0.##")&amp;" h)",IF($K16&lt;Config!$C$9,"🔻 Incomplete day: "&amp;TEXT($K16,"0.##")&amp;" h of "&amp;TEXT(Config!$C$9,"0")&amp;" h","🔺 Day exceeded: "&amp;TEXT($K16,"0.##")&amp;" h"))))</f>
        <v>✅ Full day (8. h)</v>
      </c>
      <c r="M16" s="45" t="str">
        <f>IF($R16="","",INDEX(RawBtabs!$Q$2:$Q$1500,$R16))</f>
        <v>3 hours</v>
      </c>
      <c r="R16" s="46">
        <f>IFERROR(MATCH(ROW()-8,RawBtabs!$Z$2:$Z$1500,0),"")</f>
        <v>470</v>
      </c>
    </row>
    <row r="17" spans="2:18" x14ac:dyDescent="0.25">
      <c r="B17" s="41">
        <f t="shared" si="0"/>
        <v>9</v>
      </c>
      <c r="C17" s="42" t="str">
        <f>IF($R17="","",INDEX(RawBtabs!$A$2:$A$1500,$R17))</f>
        <v>C Mesa</v>
      </c>
      <c r="D17" s="42" t="str">
        <f>IF($C17="","",IFERROR(INDEX(BPOworkers!$E$6:$E$105,MATCH($C17,BPOworkers!$B$6:$B$105,0)),""))</f>
        <v>M Leon</v>
      </c>
      <c r="E17" s="43">
        <f>IF($R17="","",INDEX(RawBtabs!$C$2:$C$1500,$R17))</f>
        <v>46267</v>
      </c>
      <c r="F17" s="42" t="str">
        <f>IF($C17="","",IFERROR(INDEX(Config!$F$7:$F$11,$E17-Config!$C$7+1),""))</f>
        <v>Wednesday</v>
      </c>
      <c r="G17" s="42" t="str">
        <f>IF($R17="","",INDEX(RawBtabs!$H$2:$H$1500,$R17))</f>
        <v>BPO Vacation</v>
      </c>
      <c r="H17" s="41" t="str">
        <f>IF($R17="","",INDEX(RawBtabs!$B$2:$B$1500,$R17))</f>
        <v>Approved</v>
      </c>
      <c r="I17" s="44">
        <f>IF($R17="","",INDEX(RawBtabs!$U$2:$U$1500,$R17))</f>
        <v>8</v>
      </c>
      <c r="J17" s="50">
        <f>IF($R17="","",INDEX(RawBtabs!$K$2:$K$1500,$R17))</f>
        <v>0</v>
      </c>
      <c r="K17" s="44">
        <f>IF($C17="","",SUMIFS(RawBtabs!$V$2:$V$1500,RawBtabs!$A$2:$A$1500,$C17,RawBtabs!$C$2:$C$1500,$E17))</f>
        <v>8</v>
      </c>
      <c r="L17" s="42" t="str">
        <f>IF($C17="","",IF($I17=0,"⚠️ The detail does not state the hours",IF(ABS($K17-Config!$C$9)&lt;=Config!$C$10,"✅ Full day ("&amp;TEXT($K17,"0.##")&amp;" h)",IF($K17&lt;Config!$C$9,"🔻 Incomplete day: "&amp;TEXT($K17,"0.##")&amp;" h of "&amp;TEXT(Config!$C$9,"0")&amp;" h","🔺 Day exceeded: "&amp;TEXT($K17,"0.##")&amp;" h"))))</f>
        <v>✅ Full day (8. h)</v>
      </c>
      <c r="M17" s="45" t="str">
        <f>IF($R17="","",INDEX(RawBtabs!$Q$2:$Q$1500,$R17))</f>
        <v>8 hours of paid vacations</v>
      </c>
      <c r="R17" s="46">
        <f>IFERROR(MATCH(ROW()-8,RawBtabs!$Z$2:$Z$1500,0),"")</f>
        <v>474</v>
      </c>
    </row>
    <row r="18" spans="2:18" x14ac:dyDescent="0.25">
      <c r="B18" s="41">
        <f t="shared" si="0"/>
        <v>10</v>
      </c>
      <c r="C18" s="42" t="str">
        <f>IF($R18="","",INDEX(RawBtabs!$A$2:$A$1500,$R18))</f>
        <v>J Gonzalez</v>
      </c>
      <c r="D18" s="42" t="str">
        <f>IF($C18="","",IFERROR(INDEX(BPOworkers!$E$6:$E$105,MATCH($C18,BPOworkers!$B$6:$B$105,0)),""))</f>
        <v>R Sanchez</v>
      </c>
      <c r="E18" s="43">
        <f>IF($R18="","",INDEX(RawBtabs!$C$2:$C$1500,$R18))</f>
        <v>46267</v>
      </c>
      <c r="F18" s="42" t="str">
        <f>IF($C18="","",IFERROR(INDEX(Config!$F$7:$F$11,$E18-Config!$C$7+1),""))</f>
        <v>Wednesday</v>
      </c>
      <c r="G18" s="42" t="str">
        <f>IF($R18="","",INDEX(RawBtabs!$H$2:$H$1500,$R18))</f>
        <v>BPO Vacation</v>
      </c>
      <c r="H18" s="41" t="str">
        <f>IF($R18="","",INDEX(RawBtabs!$B$2:$B$1500,$R18))</f>
        <v>Approved</v>
      </c>
      <c r="I18" s="44">
        <f>IF($R18="","",INDEX(RawBtabs!$U$2:$U$1500,$R18))</f>
        <v>8</v>
      </c>
      <c r="J18" s="50">
        <f>IF($R18="","",INDEX(RawBtabs!$K$2:$K$1500,$R18))</f>
        <v>0</v>
      </c>
      <c r="K18" s="44">
        <f>IF($C18="","",SUMIFS(RawBtabs!$V$2:$V$1500,RawBtabs!$A$2:$A$1500,$C18,RawBtabs!$C$2:$C$1500,$E18))</f>
        <v>8</v>
      </c>
      <c r="L18" s="42" t="str">
        <f>IF($C18="","",IF($I18=0,"⚠️ The detail does not state the hours",IF(ABS($K18-Config!$C$9)&lt;=Config!$C$10,"✅ Full day ("&amp;TEXT($K18,"0.##")&amp;" h)",IF($K18&lt;Config!$C$9,"🔻 Incomplete day: "&amp;TEXT($K18,"0.##")&amp;" h of "&amp;TEXT(Config!$C$9,"0")&amp;" h","🔺 Day exceeded: "&amp;TEXT($K18,"0.##")&amp;" h"))))</f>
        <v>✅ Full day (8. h)</v>
      </c>
      <c r="M18" s="45" t="str">
        <f>IF($R18="","",INDEX(RawBtabs!$Q$2:$Q$1500,$R18))</f>
        <v>8 hours of paid vacations</v>
      </c>
      <c r="R18" s="46">
        <f>IFERROR(MATCH(ROW()-8,RawBtabs!$Z$2:$Z$1500,0),"")</f>
        <v>475</v>
      </c>
    </row>
    <row r="19" spans="2:18" x14ac:dyDescent="0.25">
      <c r="B19" s="41">
        <f t="shared" si="0"/>
        <v>11</v>
      </c>
      <c r="C19" s="42" t="str">
        <f>IF($R19="","",INDEX(RawBtabs!$A$2:$A$1500,$R19))</f>
        <v>A Camargo</v>
      </c>
      <c r="D19" s="42" t="str">
        <f>IF($C19="","",IFERROR(INDEX(BPOworkers!$E$6:$E$105,MATCH($C19,BPOworkers!$B$6:$B$105,0)),""))</f>
        <v>BPO Management</v>
      </c>
      <c r="E19" s="43">
        <f>IF($R19="","",INDEX(RawBtabs!$C$2:$C$1500,$R19))</f>
        <v>46266</v>
      </c>
      <c r="F19" s="42" t="str">
        <f>IF($C19="","",IFERROR(INDEX(Config!$F$7:$F$11,$E19-Config!$C$7+1),""))</f>
        <v>Tuesday</v>
      </c>
      <c r="G19" s="42" t="str">
        <f>IF($R19="","",INDEX(RawBtabs!$H$2:$H$1500,$R19))</f>
        <v>Time Off</v>
      </c>
      <c r="H19" s="41" t="str">
        <f>IF($R19="","",INDEX(RawBtabs!$B$2:$B$1500,$R19))</f>
        <v>Approved</v>
      </c>
      <c r="I19" s="44">
        <f>IF($R19="","",INDEX(RawBtabs!$U$2:$U$1500,$R19))</f>
        <v>4</v>
      </c>
      <c r="J19" s="50">
        <f>IF($R19="","",INDEX(RawBtabs!$K$2:$K$1500,$R19))</f>
        <v>0</v>
      </c>
      <c r="K19" s="44">
        <f>IF($C19="","",SUMIFS(RawBtabs!$V$2:$V$1500,RawBtabs!$A$2:$A$1500,$C19,RawBtabs!$C$2:$C$1500,$E19))</f>
        <v>8</v>
      </c>
      <c r="L19" s="42" t="str">
        <f>IF($C19="","",IF($I19=0,"⚠️ The detail does not state the hours",IF(ABS($K19-Config!$C$9)&lt;=Config!$C$10,"✅ Full day ("&amp;TEXT($K19,"0.##")&amp;" h)",IF($K19&lt;Config!$C$9,"🔻 Incomplete day: "&amp;TEXT($K19,"0.##")&amp;" h of "&amp;TEXT(Config!$C$9,"0")&amp;" h","🔺 Day exceeded: "&amp;TEXT($K19,"0.##")&amp;" h"))))</f>
        <v>✅ Full day (8. h)</v>
      </c>
      <c r="M19" s="45" t="str">
        <f>IF($R19="","",INDEX(RawBtabs!$Q$2:$Q$1500,$R19))</f>
        <v>4 hours not billed.</v>
      </c>
      <c r="R19" s="46">
        <f>IFERROR(MATCH(ROW()-8,RawBtabs!$Z$2:$Z$1500,0),"")</f>
        <v>609</v>
      </c>
    </row>
    <row r="20" spans="2:18" x14ac:dyDescent="0.25">
      <c r="B20" s="41">
        <f t="shared" si="0"/>
        <v>12</v>
      </c>
      <c r="C20" s="42" t="str">
        <f>IF($R20="","",INDEX(RawBtabs!$A$2:$A$1500,$R20))</f>
        <v>J Castillo</v>
      </c>
      <c r="D20" s="42" t="str">
        <f>IF($C20="","",IFERROR(INDEX(BPOworkers!$E$6:$E$105,MATCH($C20,BPOworkers!$B$6:$B$105,0)),""))</f>
        <v>J S Bermudez</v>
      </c>
      <c r="E20" s="43">
        <f>IF($R20="","",INDEX(RawBtabs!$C$2:$C$1500,$R20))</f>
        <v>46266</v>
      </c>
      <c r="F20" s="42" t="str">
        <f>IF($C20="","",IFERROR(INDEX(Config!$F$7:$F$11,$E20-Config!$C$7+1),""))</f>
        <v>Tuesday</v>
      </c>
      <c r="G20" s="42" t="str">
        <f>IF($R20="","",INDEX(RawBtabs!$H$2:$H$1500,$R20))</f>
        <v>Time Off</v>
      </c>
      <c r="H20" s="41" t="str">
        <f>IF($R20="","",INDEX(RawBtabs!$B$2:$B$1500,$R20))</f>
        <v>Approved</v>
      </c>
      <c r="I20" s="44">
        <f>IF($R20="","",INDEX(RawBtabs!$U$2:$U$1500,$R20))</f>
        <v>2</v>
      </c>
      <c r="J20" s="50">
        <f>IF($R20="","",INDEX(RawBtabs!$K$2:$K$1500,$R20))</f>
        <v>0</v>
      </c>
      <c r="K20" s="44">
        <f>IF($C20="","",SUMIFS(RawBtabs!$V$2:$V$1500,RawBtabs!$A$2:$A$1500,$C20,RawBtabs!$C$2:$C$1500,$E20))</f>
        <v>8</v>
      </c>
      <c r="L20" s="42" t="str">
        <f>IF($C20="","",IF($I20=0,"⚠️ The detail does not state the hours",IF(ABS($K20-Config!$C$9)&lt;=Config!$C$10,"✅ Full day ("&amp;TEXT($K20,"0.##")&amp;" h)",IF($K20&lt;Config!$C$9,"🔻 Incomplete day: "&amp;TEXT($K20,"0.##")&amp;" h of "&amp;TEXT(Config!$C$9,"0")&amp;" h","🔺 Day exceeded: "&amp;TEXT($K20,"0.##")&amp;" h"))))</f>
        <v>✅ Full day (8. h)</v>
      </c>
      <c r="M20" s="45" t="str">
        <f>IF($R20="","",INDEX(RawBtabs!$Q$2:$Q$1500,$R20))</f>
        <v>2 hours not worked medical leave. 2 Hours not billed</v>
      </c>
      <c r="R20" s="46">
        <f>IFERROR(MATCH(ROW()-8,RawBtabs!$Z$2:$Z$1500,0),"")</f>
        <v>615</v>
      </c>
    </row>
    <row r="21" spans="2:18" x14ac:dyDescent="0.25">
      <c r="B21" s="41">
        <f t="shared" si="0"/>
        <v>13</v>
      </c>
      <c r="C21" s="42" t="str">
        <f>IF($R21="","",INDEX(RawBtabs!$A$2:$A$1500,$R21))</f>
        <v>A Lopez</v>
      </c>
      <c r="D21" s="42" t="str">
        <f>IF($C21="","",IFERROR(INDEX(BPOworkers!$E$6:$E$105,MATCH($C21,BPOworkers!$B$6:$B$105,0)),""))</f>
        <v>S Romero</v>
      </c>
      <c r="E21" s="43">
        <f>IF($R21="","",INDEX(RawBtabs!$C$2:$C$1500,$R21))</f>
        <v>46266</v>
      </c>
      <c r="F21" s="42" t="str">
        <f>IF($C21="","",IFERROR(INDEX(Config!$F$7:$F$11,$E21-Config!$C$7+1),""))</f>
        <v>Tuesday</v>
      </c>
      <c r="G21" s="42" t="str">
        <f>IF($R21="","",INDEX(RawBtabs!$H$2:$H$1500,$R21))</f>
        <v>Time Off</v>
      </c>
      <c r="H21" s="41" t="str">
        <f>IF($R21="","",INDEX(RawBtabs!$B$2:$B$1500,$R21))</f>
        <v>Approved</v>
      </c>
      <c r="I21" s="44">
        <f>IF($R21="","",INDEX(RawBtabs!$U$2:$U$1500,$R21))</f>
        <v>1</v>
      </c>
      <c r="J21" s="50">
        <f>IF($R21="","",INDEX(RawBtabs!$K$2:$K$1500,$R21))</f>
        <v>0</v>
      </c>
      <c r="K21" s="44">
        <f>IF($C21="","",SUMIFS(RawBtabs!$V$2:$V$1500,RawBtabs!$A$2:$A$1500,$C21,RawBtabs!$C$2:$C$1500,$E21))</f>
        <v>8</v>
      </c>
      <c r="L21" s="42" t="str">
        <f>IF($C21="","",IF($I21=0,"⚠️ The detail does not state the hours",IF(ABS($K21-Config!$C$9)&lt;=Config!$C$10,"✅ Full day ("&amp;TEXT($K21,"0.##")&amp;" h)",IF($K21&lt;Config!$C$9,"🔻 Incomplete day: "&amp;TEXT($K21,"0.##")&amp;" h of "&amp;TEXT(Config!$C$9,"0")&amp;" h","🔺 Day exceeded: "&amp;TEXT($K21,"0.##")&amp;" h"))))</f>
        <v>✅ Full day (8. h)</v>
      </c>
      <c r="M21" s="45" t="str">
        <f>IF($R21="","",INDEX(RawBtabs!$Q$2:$Q$1500,$R21))</f>
        <v>1 hours</v>
      </c>
      <c r="R21" s="46">
        <f>IFERROR(MATCH(ROW()-8,RawBtabs!$Z$2:$Z$1500,0),"")</f>
        <v>626</v>
      </c>
    </row>
    <row r="22" spans="2:18" x14ac:dyDescent="0.25">
      <c r="B22" s="41">
        <f t="shared" si="0"/>
        <v>14</v>
      </c>
      <c r="C22" s="42" t="str">
        <f>IF($R22="","",INDEX(RawBtabs!$A$2:$A$1500,$R22))</f>
        <v>C Mesa</v>
      </c>
      <c r="D22" s="42" t="str">
        <f>IF($C22="","",IFERROR(INDEX(BPOworkers!$E$6:$E$105,MATCH($C22,BPOworkers!$B$6:$B$105,0)),""))</f>
        <v>M Leon</v>
      </c>
      <c r="E22" s="43">
        <f>IF($R22="","",INDEX(RawBtabs!$C$2:$C$1500,$R22))</f>
        <v>46266</v>
      </c>
      <c r="F22" s="42" t="str">
        <f>IF($C22="","",IFERROR(INDEX(Config!$F$7:$F$11,$E22-Config!$C$7+1),""))</f>
        <v>Tuesday</v>
      </c>
      <c r="G22" s="42" t="str">
        <f>IF($R22="","",INDEX(RawBtabs!$H$2:$H$1500,$R22))</f>
        <v>BPO Vacation</v>
      </c>
      <c r="H22" s="41" t="str">
        <f>IF($R22="","",INDEX(RawBtabs!$B$2:$B$1500,$R22))</f>
        <v>Approved</v>
      </c>
      <c r="I22" s="44">
        <f>IF($R22="","",INDEX(RawBtabs!$U$2:$U$1500,$R22))</f>
        <v>8</v>
      </c>
      <c r="J22" s="50">
        <f>IF($R22="","",INDEX(RawBtabs!$K$2:$K$1500,$R22))</f>
        <v>0</v>
      </c>
      <c r="K22" s="44">
        <f>IF($C22="","",SUMIFS(RawBtabs!$V$2:$V$1500,RawBtabs!$A$2:$A$1500,$C22,RawBtabs!$C$2:$C$1500,$E22))</f>
        <v>8</v>
      </c>
      <c r="L22" s="42" t="str">
        <f>IF($C22="","",IF($I22=0,"⚠️ The detail does not state the hours",IF(ABS($K22-Config!$C$9)&lt;=Config!$C$10,"✅ Full day ("&amp;TEXT($K22,"0.##")&amp;" h)",IF($K22&lt;Config!$C$9,"🔻 Incomplete day: "&amp;TEXT($K22,"0.##")&amp;" h of "&amp;TEXT(Config!$C$9,"0")&amp;" h","🔺 Day exceeded: "&amp;TEXT($K22,"0.##")&amp;" h"))))</f>
        <v>✅ Full day (8. h)</v>
      </c>
      <c r="M22" s="45" t="str">
        <f>IF($R22="","",INDEX(RawBtabs!$Q$2:$Q$1500,$R22))</f>
        <v>8 hours of paid vacations</v>
      </c>
      <c r="R22" s="46">
        <f>IFERROR(MATCH(ROW()-8,RawBtabs!$Z$2:$Z$1500,0),"")</f>
        <v>634</v>
      </c>
    </row>
    <row r="23" spans="2:18" x14ac:dyDescent="0.25">
      <c r="B23" s="41">
        <f t="shared" si="0"/>
        <v>15</v>
      </c>
      <c r="C23" s="42" t="str">
        <f>IF($R23="","",INDEX(RawBtabs!$A$2:$A$1500,$R23))</f>
        <v>J Gonzalez</v>
      </c>
      <c r="D23" s="42" t="str">
        <f>IF($C23="","",IFERROR(INDEX(BPOworkers!$E$6:$E$105,MATCH($C23,BPOworkers!$B$6:$B$105,0)),""))</f>
        <v>R Sanchez</v>
      </c>
      <c r="E23" s="43">
        <f>IF($R23="","",INDEX(RawBtabs!$C$2:$C$1500,$R23))</f>
        <v>46266</v>
      </c>
      <c r="F23" s="42" t="str">
        <f>IF($C23="","",IFERROR(INDEX(Config!$F$7:$F$11,$E23-Config!$C$7+1),""))</f>
        <v>Tuesday</v>
      </c>
      <c r="G23" s="42" t="str">
        <f>IF($R23="","",INDEX(RawBtabs!$H$2:$H$1500,$R23))</f>
        <v>BPO Vacation</v>
      </c>
      <c r="H23" s="41" t="str">
        <f>IF($R23="","",INDEX(RawBtabs!$B$2:$B$1500,$R23))</f>
        <v>Approved</v>
      </c>
      <c r="I23" s="44">
        <f>IF($R23="","",INDEX(RawBtabs!$U$2:$U$1500,$R23))</f>
        <v>8</v>
      </c>
      <c r="J23" s="50">
        <f>IF($R23="","",INDEX(RawBtabs!$K$2:$K$1500,$R23))</f>
        <v>0</v>
      </c>
      <c r="K23" s="44">
        <f>IF($C23="","",SUMIFS(RawBtabs!$V$2:$V$1500,RawBtabs!$A$2:$A$1500,$C23,RawBtabs!$C$2:$C$1500,$E23))</f>
        <v>8</v>
      </c>
      <c r="L23" s="42" t="str">
        <f>IF($C23="","",IF($I23=0,"⚠️ The detail does not state the hours",IF(ABS($K23-Config!$C$9)&lt;=Config!$C$10,"✅ Full day ("&amp;TEXT($K23,"0.##")&amp;" h)",IF($K23&lt;Config!$C$9,"🔻 Incomplete day: "&amp;TEXT($K23,"0.##")&amp;" h of "&amp;TEXT(Config!$C$9,"0")&amp;" h","🔺 Day exceeded: "&amp;TEXT($K23,"0.##")&amp;" h"))))</f>
        <v>✅ Full day (8. h)</v>
      </c>
      <c r="M23" s="45" t="str">
        <f>IF($R23="","",INDEX(RawBtabs!$Q$2:$Q$1500,$R23))</f>
        <v>8 hours of paid vacations</v>
      </c>
      <c r="R23" s="46">
        <f>IFERROR(MATCH(ROW()-8,RawBtabs!$Z$2:$Z$1500,0),"")</f>
        <v>635</v>
      </c>
    </row>
    <row r="24" spans="2:18" x14ac:dyDescent="0.25">
      <c r="B24" s="41">
        <f t="shared" si="0"/>
        <v>16</v>
      </c>
      <c r="C24" s="42" t="str">
        <f>IF($R24="","",INDEX(RawBtabs!$A$2:$A$1500,$R24))</f>
        <v>L Alfonso</v>
      </c>
      <c r="D24" s="42" t="str">
        <f>IF($C24="","",IFERROR(INDEX(BPOworkers!$E$6:$E$105,MATCH($C24,BPOworkers!$B$6:$B$105,0)),""))</f>
        <v>R Sanchez</v>
      </c>
      <c r="E24" s="43">
        <f>IF($R24="","",INDEX(RawBtabs!$C$2:$C$1500,$R24))</f>
        <v>46266</v>
      </c>
      <c r="F24" s="42" t="str">
        <f>IF($C24="","",IFERROR(INDEX(Config!$F$7:$F$11,$E24-Config!$C$7+1),""))</f>
        <v>Tuesday</v>
      </c>
      <c r="G24" s="42" t="str">
        <f>IF($R24="","",INDEX(RawBtabs!$H$2:$H$1500,$R24))</f>
        <v>Time Off</v>
      </c>
      <c r="H24" s="41" t="str">
        <f>IF($R24="","",INDEX(RawBtabs!$B$2:$B$1500,$R24))</f>
        <v>Approved</v>
      </c>
      <c r="I24" s="44">
        <f>IF($R24="","",INDEX(RawBtabs!$U$2:$U$1500,$R24))</f>
        <v>8</v>
      </c>
      <c r="J24" s="50">
        <f>IF($R24="","",INDEX(RawBtabs!$K$2:$K$1500,$R24))</f>
        <v>0</v>
      </c>
      <c r="K24" s="44">
        <f>IF($C24="","",SUMIFS(RawBtabs!$V$2:$V$1500,RawBtabs!$A$2:$A$1500,$C24,RawBtabs!$C$2:$C$1500,$E24))</f>
        <v>8</v>
      </c>
      <c r="L24" s="42" t="str">
        <f>IF($C24="","",IF($I24=0,"⚠️ The detail does not state the hours",IF(ABS($K24-Config!$C$9)&lt;=Config!$C$10,"✅ Full day ("&amp;TEXT($K24,"0.##")&amp;" h)",IF($K24&lt;Config!$C$9,"🔻 Incomplete day: "&amp;TEXT($K24,"0.##")&amp;" h of "&amp;TEXT(Config!$C$9,"0")&amp;" h","🔺 Day exceeded: "&amp;TEXT($K24,"0.##")&amp;" h"))))</f>
        <v>✅ Full day (8. h)</v>
      </c>
      <c r="M24" s="45" t="str">
        <f>IF($R24="","",INDEX(RawBtabs!$Q$2:$Q$1500,$R24))</f>
        <v>8 hours not billed</v>
      </c>
      <c r="R24" s="46">
        <f>IFERROR(MATCH(ROW()-8,RawBtabs!$Z$2:$Z$1500,0),"")</f>
        <v>652</v>
      </c>
    </row>
    <row r="25" spans="2:18" x14ac:dyDescent="0.25">
      <c r="B25" s="41">
        <f t="shared" si="0"/>
        <v>17</v>
      </c>
      <c r="C25" s="42" t="str">
        <f>IF($R25="","",INDEX(RawBtabs!$A$2:$A$1500,$R25))</f>
        <v>L Escobar</v>
      </c>
      <c r="D25" s="42" t="str">
        <f>IF($C25="","",IFERROR(INDEX(BPOworkers!$E$6:$E$105,MATCH($C25,BPOworkers!$B$6:$B$105,0)),""))</f>
        <v>J S Bermudez</v>
      </c>
      <c r="E25" s="43">
        <f>IF($R25="","",INDEX(RawBtabs!$C$2:$C$1500,$R25))</f>
        <v>46266</v>
      </c>
      <c r="F25" s="42" t="str">
        <f>IF($C25="","",IFERROR(INDEX(Config!$F$7:$F$11,$E25-Config!$C$7+1),""))</f>
        <v>Tuesday</v>
      </c>
      <c r="G25" s="42" t="str">
        <f>IF($R25="","",INDEX(RawBtabs!$H$2:$H$1500,$R25))</f>
        <v>BPO Vacation</v>
      </c>
      <c r="H25" s="41" t="str">
        <f>IF($R25="","",INDEX(RawBtabs!$B$2:$B$1500,$R25))</f>
        <v>Approved</v>
      </c>
      <c r="I25" s="44">
        <f>IF($R25="","",INDEX(RawBtabs!$U$2:$U$1500,$R25))</f>
        <v>8</v>
      </c>
      <c r="J25" s="50">
        <f>IF($R25="","",INDEX(RawBtabs!$K$2:$K$1500,$R25))</f>
        <v>0</v>
      </c>
      <c r="K25" s="44">
        <f>IF($C25="","",SUMIFS(RawBtabs!$V$2:$V$1500,RawBtabs!$A$2:$A$1500,$C25,RawBtabs!$C$2:$C$1500,$E25))</f>
        <v>8</v>
      </c>
      <c r="L25" s="42" t="str">
        <f>IF($C25="","",IF($I25=0,"⚠️ The detail does not state the hours",IF(ABS($K25-Config!$C$9)&lt;=Config!$C$10,"✅ Full day ("&amp;TEXT($K25,"0.##")&amp;" h)",IF($K25&lt;Config!$C$9,"🔻 Incomplete day: "&amp;TEXT($K25,"0.##")&amp;" h of "&amp;TEXT(Config!$C$9,"0")&amp;" h","🔺 Day exceeded: "&amp;TEXT($K25,"0.##")&amp;" h"))))</f>
        <v>✅ Full day (8. h)</v>
      </c>
      <c r="M25" s="45" t="str">
        <f>IF($R25="","",INDEX(RawBtabs!$Q$2:$Q$1500,$R25))</f>
        <v>8 hours of paid vacations</v>
      </c>
      <c r="R25" s="46">
        <f>IFERROR(MATCH(ROW()-8,RawBtabs!$Z$2:$Z$1500,0),"")</f>
        <v>653</v>
      </c>
    </row>
    <row r="26" spans="2:18" x14ac:dyDescent="0.25">
      <c r="B26" s="41">
        <f t="shared" si="0"/>
        <v>18</v>
      </c>
      <c r="C26" s="42" t="str">
        <f>IF($R26="","",INDEX(RawBtabs!$A$2:$A$1500,$R26))</f>
        <v>A Camargo</v>
      </c>
      <c r="D26" s="42" t="str">
        <f>IF($C26="","",IFERROR(INDEX(BPOworkers!$E$6:$E$105,MATCH($C26,BPOworkers!$B$6:$B$105,0)),""))</f>
        <v>BPO Management</v>
      </c>
      <c r="E26" s="43">
        <f>IF($R26="","",INDEX(RawBtabs!$C$2:$C$1500,$R26))</f>
        <v>46265</v>
      </c>
      <c r="F26" s="42" t="str">
        <f>IF($C26="","",IFERROR(INDEX(Config!$F$7:$F$11,$E26-Config!$C$7+1),""))</f>
        <v>Monday</v>
      </c>
      <c r="G26" s="42" t="str">
        <f>IF($R26="","",INDEX(RawBtabs!$H$2:$H$1500,$R26))</f>
        <v>Time Off</v>
      </c>
      <c r="H26" s="41" t="str">
        <f>IF($R26="","",INDEX(RawBtabs!$B$2:$B$1500,$R26))</f>
        <v>Approved</v>
      </c>
      <c r="I26" s="44">
        <f>IF($R26="","",INDEX(RawBtabs!$U$2:$U$1500,$R26))</f>
        <v>6</v>
      </c>
      <c r="J26" s="50">
        <f>IF($R26="","",INDEX(RawBtabs!$K$2:$K$1500,$R26))</f>
        <v>0</v>
      </c>
      <c r="K26" s="44">
        <f>IF($C26="","",SUMIFS(RawBtabs!$V$2:$V$1500,RawBtabs!$A$2:$A$1500,$C26,RawBtabs!$C$2:$C$1500,$E26))</f>
        <v>8</v>
      </c>
      <c r="L26" s="42" t="str">
        <f>IF($C26="","",IF($I26=0,"⚠️ The detail does not state the hours",IF(ABS($K26-Config!$C$9)&lt;=Config!$C$10,"✅ Full day ("&amp;TEXT($K26,"0.##")&amp;" h)",IF($K26&lt;Config!$C$9,"🔻 Incomplete day: "&amp;TEXT($K26,"0.##")&amp;" h of "&amp;TEXT(Config!$C$9,"0")&amp;" h","🔺 Day exceeded: "&amp;TEXT($K26,"0.##")&amp;" h"))))</f>
        <v>✅ Full day (8. h)</v>
      </c>
      <c r="M26" s="45" t="str">
        <f>IF($R26="","",INDEX(RawBtabs!$Q$2:$Q$1500,$R26))</f>
        <v>6 hours not billed.</v>
      </c>
      <c r="R26" s="46">
        <f>IFERROR(MATCH(ROW()-8,RawBtabs!$Z$2:$Z$1500,0),"")</f>
        <v>778</v>
      </c>
    </row>
    <row r="27" spans="2:18" x14ac:dyDescent="0.25">
      <c r="B27" s="41">
        <f t="shared" si="0"/>
        <v>19</v>
      </c>
      <c r="C27" s="42" t="str">
        <f>IF($R27="","",INDEX(RawBtabs!$A$2:$A$1500,$R27))</f>
        <v>A Lopez</v>
      </c>
      <c r="D27" s="42" t="str">
        <f>IF($C27="","",IFERROR(INDEX(BPOworkers!$E$6:$E$105,MATCH($C27,BPOworkers!$B$6:$B$105,0)),""))</f>
        <v>S Romero</v>
      </c>
      <c r="E27" s="43">
        <f>IF($R27="","",INDEX(RawBtabs!$C$2:$C$1500,$R27))</f>
        <v>46265</v>
      </c>
      <c r="F27" s="42" t="str">
        <f>IF($C27="","",IFERROR(INDEX(Config!$F$7:$F$11,$E27-Config!$C$7+1),""))</f>
        <v>Monday</v>
      </c>
      <c r="G27" s="42" t="str">
        <f>IF($R27="","",INDEX(RawBtabs!$H$2:$H$1500,$R27))</f>
        <v>Time Off</v>
      </c>
      <c r="H27" s="41" t="str">
        <f>IF($R27="","",INDEX(RawBtabs!$B$2:$B$1500,$R27))</f>
        <v>Unapproved</v>
      </c>
      <c r="I27" s="44">
        <f>IF($R27="","",INDEX(RawBtabs!$U$2:$U$1500,$R27))</f>
        <v>5</v>
      </c>
      <c r="J27" s="50">
        <f>IF($R27="","",INDEX(RawBtabs!$K$2:$K$1500,$R27))</f>
        <v>0</v>
      </c>
      <c r="K27" s="44">
        <f>IF($C27="","",SUMIFS(RawBtabs!$V$2:$V$1500,RawBtabs!$A$2:$A$1500,$C27,RawBtabs!$C$2:$C$1500,$E27))</f>
        <v>8</v>
      </c>
      <c r="L27" s="42" t="str">
        <f>IF($C27="","",IF($I27=0,"⚠️ The detail does not state the hours",IF(ABS($K27-Config!$C$9)&lt;=Config!$C$10,"✅ Full day ("&amp;TEXT($K27,"0.##")&amp;" h)",IF($K27&lt;Config!$C$9,"🔻 Incomplete day: "&amp;TEXT($K27,"0.##")&amp;" h of "&amp;TEXT(Config!$C$9,"0")&amp;" h","🔺 Day exceeded: "&amp;TEXT($K27,"0.##")&amp;" h"))))</f>
        <v>✅ Full day (8. h)</v>
      </c>
      <c r="M27" s="45" t="str">
        <f>IF($R27="","",INDEX(RawBtabs!$Q$2:$Q$1500,$R27))</f>
        <v>5 hours</v>
      </c>
      <c r="R27" s="46">
        <f>IFERROR(MATCH(ROW()-8,RawBtabs!$Z$2:$Z$1500,0),"")</f>
        <v>790</v>
      </c>
    </row>
    <row r="28" spans="2:18" x14ac:dyDescent="0.25">
      <c r="B28" s="41">
        <f t="shared" si="0"/>
        <v>20</v>
      </c>
      <c r="C28" s="42" t="str">
        <f>IF($R28="","",INDEX(RawBtabs!$A$2:$A$1500,$R28))</f>
        <v>C Mesa</v>
      </c>
      <c r="D28" s="42" t="str">
        <f>IF($C28="","",IFERROR(INDEX(BPOworkers!$E$6:$E$105,MATCH($C28,BPOworkers!$B$6:$B$105,0)),""))</f>
        <v>M Leon</v>
      </c>
      <c r="E28" s="43">
        <f>IF($R28="","",INDEX(RawBtabs!$C$2:$C$1500,$R28))</f>
        <v>46265</v>
      </c>
      <c r="F28" s="42" t="str">
        <f>IF($C28="","",IFERROR(INDEX(Config!$F$7:$F$11,$E28-Config!$C$7+1),""))</f>
        <v>Monday</v>
      </c>
      <c r="G28" s="42" t="str">
        <f>IF($R28="","",INDEX(RawBtabs!$H$2:$H$1500,$R28))</f>
        <v>BPO Vacation</v>
      </c>
      <c r="H28" s="41" t="str">
        <f>IF($R28="","",INDEX(RawBtabs!$B$2:$B$1500,$R28))</f>
        <v>Approved</v>
      </c>
      <c r="I28" s="44">
        <f>IF($R28="","",INDEX(RawBtabs!$U$2:$U$1500,$R28))</f>
        <v>8</v>
      </c>
      <c r="J28" s="50">
        <f>IF($R28="","",INDEX(RawBtabs!$K$2:$K$1500,$R28))</f>
        <v>0</v>
      </c>
      <c r="K28" s="44">
        <f>IF($C28="","",SUMIFS(RawBtabs!$V$2:$V$1500,RawBtabs!$A$2:$A$1500,$C28,RawBtabs!$C$2:$C$1500,$E28))</f>
        <v>8</v>
      </c>
      <c r="L28" s="42" t="str">
        <f>IF($C28="","",IF($I28=0,"⚠️ The detail does not state the hours",IF(ABS($K28-Config!$C$9)&lt;=Config!$C$10,"✅ Full day ("&amp;TEXT($K28,"0.##")&amp;" h)",IF($K28&lt;Config!$C$9,"🔻 Incomplete day: "&amp;TEXT($K28,"0.##")&amp;" h of "&amp;TEXT(Config!$C$9,"0")&amp;" h","🔺 Day exceeded: "&amp;TEXT($K28,"0.##")&amp;" h"))))</f>
        <v>✅ Full day (8. h)</v>
      </c>
      <c r="M28" s="45" t="str">
        <f>IF($R28="","",INDEX(RawBtabs!$Q$2:$Q$1500,$R28))</f>
        <v>8 hours of paid vacations</v>
      </c>
      <c r="R28" s="46">
        <f>IFERROR(MATCH(ROW()-8,RawBtabs!$Z$2:$Z$1500,0),"")</f>
        <v>793</v>
      </c>
    </row>
    <row r="29" spans="2:18" x14ac:dyDescent="0.25">
      <c r="B29" s="41">
        <f t="shared" si="0"/>
        <v>21</v>
      </c>
      <c r="C29" s="42" t="str">
        <f>IF($R29="","",INDEX(RawBtabs!$A$2:$A$1500,$R29))</f>
        <v>J Gonzalez</v>
      </c>
      <c r="D29" s="42" t="str">
        <f>IF($C29="","",IFERROR(INDEX(BPOworkers!$E$6:$E$105,MATCH($C29,BPOworkers!$B$6:$B$105,0)),""))</f>
        <v>R Sanchez</v>
      </c>
      <c r="E29" s="43">
        <f>IF($R29="","",INDEX(RawBtabs!$C$2:$C$1500,$R29))</f>
        <v>46265</v>
      </c>
      <c r="F29" s="42" t="str">
        <f>IF($C29="","",IFERROR(INDEX(Config!$F$7:$F$11,$E29-Config!$C$7+1),""))</f>
        <v>Monday</v>
      </c>
      <c r="G29" s="42" t="str">
        <f>IF($R29="","",INDEX(RawBtabs!$H$2:$H$1500,$R29))</f>
        <v>BPO Vacation</v>
      </c>
      <c r="H29" s="41" t="str">
        <f>IF($R29="","",INDEX(RawBtabs!$B$2:$B$1500,$R29))</f>
        <v>Approved</v>
      </c>
      <c r="I29" s="44">
        <f>IF($R29="","",INDEX(RawBtabs!$U$2:$U$1500,$R29))</f>
        <v>8</v>
      </c>
      <c r="J29" s="50">
        <f>IF($R29="","",INDEX(RawBtabs!$K$2:$K$1500,$R29))</f>
        <v>0</v>
      </c>
      <c r="K29" s="44">
        <f>IF($C29="","",SUMIFS(RawBtabs!$V$2:$V$1500,RawBtabs!$A$2:$A$1500,$C29,RawBtabs!$C$2:$C$1500,$E29))</f>
        <v>8</v>
      </c>
      <c r="L29" s="42" t="str">
        <f>IF($C29="","",IF($I29=0,"⚠️ The detail does not state the hours",IF(ABS($K29-Config!$C$9)&lt;=Config!$C$10,"✅ Full day ("&amp;TEXT($K29,"0.##")&amp;" h)",IF($K29&lt;Config!$C$9,"🔻 Incomplete day: "&amp;TEXT($K29,"0.##")&amp;" h of "&amp;TEXT(Config!$C$9,"0")&amp;" h","🔺 Day exceeded: "&amp;TEXT($K29,"0.##")&amp;" h"))))</f>
        <v>✅ Full day (8. h)</v>
      </c>
      <c r="M29" s="45" t="str">
        <f>IF($R29="","",INDEX(RawBtabs!$Q$2:$Q$1500,$R29))</f>
        <v>8 hours of paid vacations</v>
      </c>
      <c r="R29" s="46">
        <f>IFERROR(MATCH(ROW()-8,RawBtabs!$Z$2:$Z$1500,0),"")</f>
        <v>794</v>
      </c>
    </row>
    <row r="30" spans="2:18" x14ac:dyDescent="0.25">
      <c r="B30" s="41">
        <f t="shared" si="0"/>
        <v>22</v>
      </c>
      <c r="C30" s="42" t="str">
        <f>IF($R30="","",INDEX(RawBtabs!$A$2:$A$1500,$R30))</f>
        <v>J Reyes</v>
      </c>
      <c r="D30" s="42" t="str">
        <f>IF($C30="","",IFERROR(INDEX(BPOworkers!$E$6:$E$105,MATCH($C30,BPOworkers!$B$6:$B$105,0)),""))</f>
        <v>M Leon</v>
      </c>
      <c r="E30" s="43">
        <f>IF($R30="","",INDEX(RawBtabs!$C$2:$C$1500,$R30))</f>
        <v>46265</v>
      </c>
      <c r="F30" s="42" t="str">
        <f>IF($C30="","",IFERROR(INDEX(Config!$F$7:$F$11,$E30-Config!$C$7+1),""))</f>
        <v>Monday</v>
      </c>
      <c r="G30" s="42" t="str">
        <f>IF($R30="","",INDEX(RawBtabs!$H$2:$H$1500,$R30))</f>
        <v>Time Off</v>
      </c>
      <c r="H30" s="41" t="str">
        <f>IF($R30="","",INDEX(RawBtabs!$B$2:$B$1500,$R30))</f>
        <v>Approved</v>
      </c>
      <c r="I30" s="44">
        <f>IF($R30="","",INDEX(RawBtabs!$U$2:$U$1500,$R30))</f>
        <v>8</v>
      </c>
      <c r="J30" s="50">
        <f>IF($R30="","",INDEX(RawBtabs!$K$2:$K$1500,$R30))</f>
        <v>0</v>
      </c>
      <c r="K30" s="44">
        <f>IF($C30="","",SUMIFS(RawBtabs!$V$2:$V$1500,RawBtabs!$A$2:$A$1500,$C30,RawBtabs!$C$2:$C$1500,$E30))</f>
        <v>8</v>
      </c>
      <c r="L30" s="42" t="str">
        <f>IF($C30="","",IF($I30=0,"⚠️ The detail does not state the hours",IF(ABS($K30-Config!$C$9)&lt;=Config!$C$10,"✅ Full day ("&amp;TEXT($K30,"0.##")&amp;" h)",IF($K30&lt;Config!$C$9,"🔻 Incomplete day: "&amp;TEXT($K30,"0.##")&amp;" h of "&amp;TEXT(Config!$C$9,"0")&amp;" h","🔺 Day exceeded: "&amp;TEXT($K30,"0.##")&amp;" h"))))</f>
        <v>✅ Full day (8. h)</v>
      </c>
      <c r="M30" s="45" t="str">
        <f>IF($R30="","",INDEX(RawBtabs!$Q$2:$Q$1500,$R30))</f>
        <v>8 hours not billed</v>
      </c>
      <c r="R30" s="46">
        <f>IFERROR(MATCH(ROW()-8,RawBtabs!$Z$2:$Z$1500,0),"")</f>
        <v>805</v>
      </c>
    </row>
    <row r="31" spans="2:18" x14ac:dyDescent="0.25">
      <c r="B31" s="41">
        <f t="shared" si="0"/>
        <v>23</v>
      </c>
      <c r="C31" s="42" t="str">
        <f>IF($R31="","",INDEX(RawBtabs!$A$2:$A$1500,$R31))</f>
        <v>L Alfonso</v>
      </c>
      <c r="D31" s="42" t="str">
        <f>IF($C31="","",IFERROR(INDEX(BPOworkers!$E$6:$E$105,MATCH($C31,BPOworkers!$B$6:$B$105,0)),""))</f>
        <v>R Sanchez</v>
      </c>
      <c r="E31" s="43">
        <f>IF($R31="","",INDEX(RawBtabs!$C$2:$C$1500,$R31))</f>
        <v>46265</v>
      </c>
      <c r="F31" s="42" t="str">
        <f>IF($C31="","",IFERROR(INDEX(Config!$F$7:$F$11,$E31-Config!$C$7+1),""))</f>
        <v>Monday</v>
      </c>
      <c r="G31" s="42" t="str">
        <f>IF($R31="","",INDEX(RawBtabs!$H$2:$H$1500,$R31))</f>
        <v>Time Off</v>
      </c>
      <c r="H31" s="41" t="str">
        <f>IF($R31="","",INDEX(RawBtabs!$B$2:$B$1500,$R31))</f>
        <v>Approved</v>
      </c>
      <c r="I31" s="44">
        <f>IF($R31="","",INDEX(RawBtabs!$U$2:$U$1500,$R31))</f>
        <v>8</v>
      </c>
      <c r="J31" s="50">
        <f>IF($R31="","",INDEX(RawBtabs!$K$2:$K$1500,$R31))</f>
        <v>0</v>
      </c>
      <c r="K31" s="44">
        <f>IF($C31="","",SUMIFS(RawBtabs!$V$2:$V$1500,RawBtabs!$A$2:$A$1500,$C31,RawBtabs!$C$2:$C$1500,$E31))</f>
        <v>8</v>
      </c>
      <c r="L31" s="42" t="str">
        <f>IF($C31="","",IF($I31=0,"⚠️ The detail does not state the hours",IF(ABS($K31-Config!$C$9)&lt;=Config!$C$10,"✅ Full day ("&amp;TEXT($K31,"0.##")&amp;" h)",IF($K31&lt;Config!$C$9,"🔻 Incomplete day: "&amp;TEXT($K31,"0.##")&amp;" h of "&amp;TEXT(Config!$C$9,"0")&amp;" h","🔺 Day exceeded: "&amp;TEXT($K31,"0.##")&amp;" h"))))</f>
        <v>✅ Full day (8. h)</v>
      </c>
      <c r="M31" s="45" t="str">
        <f>IF($R31="","",INDEX(RawBtabs!$Q$2:$Q$1500,$R31))</f>
        <v>8 hours not billed</v>
      </c>
      <c r="R31" s="46">
        <f>IFERROR(MATCH(ROW()-8,RawBtabs!$Z$2:$Z$1500,0),"")</f>
        <v>808</v>
      </c>
    </row>
    <row r="32" spans="2:18" x14ac:dyDescent="0.25">
      <c r="B32" s="41">
        <f t="shared" si="0"/>
        <v>24</v>
      </c>
      <c r="C32" s="42" t="str">
        <f>IF($R32="","",INDEX(RawBtabs!$A$2:$A$1500,$R32))</f>
        <v>L Escobar</v>
      </c>
      <c r="D32" s="42" t="str">
        <f>IF($C32="","",IFERROR(INDEX(BPOworkers!$E$6:$E$105,MATCH($C32,BPOworkers!$B$6:$B$105,0)),""))</f>
        <v>J S Bermudez</v>
      </c>
      <c r="E32" s="43">
        <f>IF($R32="","",INDEX(RawBtabs!$C$2:$C$1500,$R32))</f>
        <v>46265</v>
      </c>
      <c r="F32" s="42" t="str">
        <f>IF($C32="","",IFERROR(INDEX(Config!$F$7:$F$11,$E32-Config!$C$7+1),""))</f>
        <v>Monday</v>
      </c>
      <c r="G32" s="42" t="str">
        <f>IF($R32="","",INDEX(RawBtabs!$H$2:$H$1500,$R32))</f>
        <v>BPO Vacation</v>
      </c>
      <c r="H32" s="41" t="str">
        <f>IF($R32="","",INDEX(RawBtabs!$B$2:$B$1500,$R32))</f>
        <v>Approved</v>
      </c>
      <c r="I32" s="44">
        <f>IF($R32="","",INDEX(RawBtabs!$U$2:$U$1500,$R32))</f>
        <v>8</v>
      </c>
      <c r="J32" s="50">
        <f>IF($R32="","",INDEX(RawBtabs!$K$2:$K$1500,$R32))</f>
        <v>0</v>
      </c>
      <c r="K32" s="44">
        <f>IF($C32="","",SUMIFS(RawBtabs!$V$2:$V$1500,RawBtabs!$A$2:$A$1500,$C32,RawBtabs!$C$2:$C$1500,$E32))</f>
        <v>8</v>
      </c>
      <c r="L32" s="42" t="str">
        <f>IF($C32="","",IF($I32=0,"⚠️ The detail does not state the hours",IF(ABS($K32-Config!$C$9)&lt;=Config!$C$10,"✅ Full day ("&amp;TEXT($K32,"0.##")&amp;" h)",IF($K32&lt;Config!$C$9,"🔻 Incomplete day: "&amp;TEXT($K32,"0.##")&amp;" h of "&amp;TEXT(Config!$C$9,"0")&amp;" h","🔺 Day exceeded: "&amp;TEXT($K32,"0.##")&amp;" h"))))</f>
        <v>✅ Full day (8. h)</v>
      </c>
      <c r="M32" s="45" t="str">
        <f>IF($R32="","",INDEX(RawBtabs!$Q$2:$Q$1500,$R32))</f>
        <v>8 hours of paid vacations</v>
      </c>
      <c r="R32" s="46">
        <f>IFERROR(MATCH(ROW()-8,RawBtabs!$Z$2:$Z$1500,0),"")</f>
        <v>809</v>
      </c>
    </row>
    <row r="33" spans="2:18" x14ac:dyDescent="0.25">
      <c r="B33" s="41" t="str">
        <f t="shared" si="0"/>
        <v/>
      </c>
      <c r="C33" s="42" t="str">
        <f>IF($R33="","",INDEX(RawBtabs!$A$2:$A$1500,$R33))</f>
        <v/>
      </c>
      <c r="D33" s="42" t="str">
        <f>IF($C33="","",IFERROR(INDEX(BPOworkers!$E$6:$E$105,MATCH($C33,BPOworkers!$B$6:$B$105,0)),""))</f>
        <v/>
      </c>
      <c r="E33" s="43" t="str">
        <f>IF($R33="","",INDEX(RawBtabs!$C$2:$C$1500,$R33))</f>
        <v/>
      </c>
      <c r="F33" s="42" t="str">
        <f>IF($C33="","",IFERROR(INDEX(Config!$F$7:$F$11,$E33-Config!$C$7+1),""))</f>
        <v/>
      </c>
      <c r="G33" s="42" t="str">
        <f>IF($R33="","",INDEX(RawBtabs!$H$2:$H$1500,$R33))</f>
        <v/>
      </c>
      <c r="H33" s="41" t="str">
        <f>IF($R33="","",INDEX(RawBtabs!$B$2:$B$1500,$R33))</f>
        <v/>
      </c>
      <c r="I33" s="44" t="str">
        <f>IF($R33="","",INDEX(RawBtabs!$U$2:$U$1500,$R33))</f>
        <v/>
      </c>
      <c r="J33" s="50" t="str">
        <f>IF($R33="","",INDEX(RawBtabs!$K$2:$K$1500,$R33))</f>
        <v/>
      </c>
      <c r="K33" s="44" t="str">
        <f>IF($C33="","",SUMIFS(RawBtabs!$V$2:$V$1500,RawBtabs!$A$2:$A$1500,$C33,RawBtabs!$C$2:$C$1500,$E33))</f>
        <v/>
      </c>
      <c r="L33" s="42" t="str">
        <f>IF($C33="","",IF($I33=0,"⚠️ The detail does not state the hours",IF(ABS($K33-Config!$C$9)&lt;=Config!$C$10,"✅ Full day ("&amp;TEXT($K33,"0.##")&amp;" h)",IF($K33&lt;Config!$C$9,"🔻 Incomplete day: "&amp;TEXT($K33,"0.##")&amp;" h of "&amp;TEXT(Config!$C$9,"0")&amp;" h","🔺 Day exceeded: "&amp;TEXT($K33,"0.##")&amp;" h"))))</f>
        <v/>
      </c>
      <c r="M33" s="45" t="str">
        <f>IF($R33="","",INDEX(RawBtabs!$Q$2:$Q$1500,$R33))</f>
        <v/>
      </c>
      <c r="R33" s="46" t="str">
        <f>IFERROR(MATCH(ROW()-8,RawBtabs!$Z$2:$Z$1500,0),"")</f>
        <v/>
      </c>
    </row>
    <row r="34" spans="2:18" x14ac:dyDescent="0.25">
      <c r="B34" s="41" t="str">
        <f t="shared" si="0"/>
        <v/>
      </c>
      <c r="C34" s="42" t="str">
        <f>IF($R34="","",INDEX(RawBtabs!$A$2:$A$1500,$R34))</f>
        <v/>
      </c>
      <c r="D34" s="42" t="str">
        <f>IF($C34="","",IFERROR(INDEX(BPOworkers!$E$6:$E$105,MATCH($C34,BPOworkers!$B$6:$B$105,0)),""))</f>
        <v/>
      </c>
      <c r="E34" s="43" t="str">
        <f>IF($R34="","",INDEX(RawBtabs!$C$2:$C$1500,$R34))</f>
        <v/>
      </c>
      <c r="F34" s="42" t="str">
        <f>IF($C34="","",IFERROR(INDEX(Config!$F$7:$F$11,$E34-Config!$C$7+1),""))</f>
        <v/>
      </c>
      <c r="G34" s="42" t="str">
        <f>IF($R34="","",INDEX(RawBtabs!$H$2:$H$1500,$R34))</f>
        <v/>
      </c>
      <c r="H34" s="41" t="str">
        <f>IF($R34="","",INDEX(RawBtabs!$B$2:$B$1500,$R34))</f>
        <v/>
      </c>
      <c r="I34" s="44" t="str">
        <f>IF($R34="","",INDEX(RawBtabs!$U$2:$U$1500,$R34))</f>
        <v/>
      </c>
      <c r="J34" s="50" t="str">
        <f>IF($R34="","",INDEX(RawBtabs!$K$2:$K$1500,$R34))</f>
        <v/>
      </c>
      <c r="K34" s="44" t="str">
        <f>IF($C34="","",SUMIFS(RawBtabs!$V$2:$V$1500,RawBtabs!$A$2:$A$1500,$C34,RawBtabs!$C$2:$C$1500,$E34))</f>
        <v/>
      </c>
      <c r="L34" s="42" t="str">
        <f>IF($C34="","",IF($I34=0,"⚠️ The detail does not state the hours",IF(ABS($K34-Config!$C$9)&lt;=Config!$C$10,"✅ Full day ("&amp;TEXT($K34,"0.##")&amp;" h)",IF($K34&lt;Config!$C$9,"🔻 Incomplete day: "&amp;TEXT($K34,"0.##")&amp;" h of "&amp;TEXT(Config!$C$9,"0")&amp;" h","🔺 Day exceeded: "&amp;TEXT($K34,"0.##")&amp;" h"))))</f>
        <v/>
      </c>
      <c r="M34" s="45" t="str">
        <f>IF($R34="","",INDEX(RawBtabs!$Q$2:$Q$1500,$R34))</f>
        <v/>
      </c>
      <c r="R34" s="46" t="str">
        <f>IFERROR(MATCH(ROW()-8,RawBtabs!$Z$2:$Z$1500,0),"")</f>
        <v/>
      </c>
    </row>
    <row r="35" spans="2:18" x14ac:dyDescent="0.25">
      <c r="B35" s="41" t="str">
        <f t="shared" si="0"/>
        <v/>
      </c>
      <c r="C35" s="42" t="str">
        <f>IF($R35="","",INDEX(RawBtabs!$A$2:$A$1500,$R35))</f>
        <v/>
      </c>
      <c r="D35" s="42" t="str">
        <f>IF($C35="","",IFERROR(INDEX(BPOworkers!$E$6:$E$105,MATCH($C35,BPOworkers!$B$6:$B$105,0)),""))</f>
        <v/>
      </c>
      <c r="E35" s="43" t="str">
        <f>IF($R35="","",INDEX(RawBtabs!$C$2:$C$1500,$R35))</f>
        <v/>
      </c>
      <c r="F35" s="42" t="str">
        <f>IF($C35="","",IFERROR(INDEX(Config!$F$7:$F$11,$E35-Config!$C$7+1),""))</f>
        <v/>
      </c>
      <c r="G35" s="42" t="str">
        <f>IF($R35="","",INDEX(RawBtabs!$H$2:$H$1500,$R35))</f>
        <v/>
      </c>
      <c r="H35" s="41" t="str">
        <f>IF($R35="","",INDEX(RawBtabs!$B$2:$B$1500,$R35))</f>
        <v/>
      </c>
      <c r="I35" s="44" t="str">
        <f>IF($R35="","",INDEX(RawBtabs!$U$2:$U$1500,$R35))</f>
        <v/>
      </c>
      <c r="J35" s="50" t="str">
        <f>IF($R35="","",INDEX(RawBtabs!$K$2:$K$1500,$R35))</f>
        <v/>
      </c>
      <c r="K35" s="44" t="str">
        <f>IF($C35="","",SUMIFS(RawBtabs!$V$2:$V$1500,RawBtabs!$A$2:$A$1500,$C35,RawBtabs!$C$2:$C$1500,$E35))</f>
        <v/>
      </c>
      <c r="L35" s="42" t="str">
        <f>IF($C35="","",IF($I35=0,"⚠️ The detail does not state the hours",IF(ABS($K35-Config!$C$9)&lt;=Config!$C$10,"✅ Full day ("&amp;TEXT($K35,"0.##")&amp;" h)",IF($K35&lt;Config!$C$9,"🔻 Incomplete day: "&amp;TEXT($K35,"0.##")&amp;" h of "&amp;TEXT(Config!$C$9,"0")&amp;" h","🔺 Day exceeded: "&amp;TEXT($K35,"0.##")&amp;" h"))))</f>
        <v/>
      </c>
      <c r="M35" s="45" t="str">
        <f>IF($R35="","",INDEX(RawBtabs!$Q$2:$Q$1500,$R35))</f>
        <v/>
      </c>
      <c r="R35" s="46" t="str">
        <f>IFERROR(MATCH(ROW()-8,RawBtabs!$Z$2:$Z$1500,0),"")</f>
        <v/>
      </c>
    </row>
    <row r="36" spans="2:18" x14ac:dyDescent="0.25">
      <c r="B36" s="41" t="str">
        <f t="shared" si="0"/>
        <v/>
      </c>
      <c r="C36" s="42" t="str">
        <f>IF($R36="","",INDEX(RawBtabs!$A$2:$A$1500,$R36))</f>
        <v/>
      </c>
      <c r="D36" s="42" t="str">
        <f>IF($C36="","",IFERROR(INDEX(BPOworkers!$E$6:$E$105,MATCH($C36,BPOworkers!$B$6:$B$105,0)),""))</f>
        <v/>
      </c>
      <c r="E36" s="43" t="str">
        <f>IF($R36="","",INDEX(RawBtabs!$C$2:$C$1500,$R36))</f>
        <v/>
      </c>
      <c r="F36" s="42" t="str">
        <f>IF($C36="","",IFERROR(INDEX(Config!$F$7:$F$11,$E36-Config!$C$7+1),""))</f>
        <v/>
      </c>
      <c r="G36" s="42" t="str">
        <f>IF($R36="","",INDEX(RawBtabs!$H$2:$H$1500,$R36))</f>
        <v/>
      </c>
      <c r="H36" s="41" t="str">
        <f>IF($R36="","",INDEX(RawBtabs!$B$2:$B$1500,$R36))</f>
        <v/>
      </c>
      <c r="I36" s="44" t="str">
        <f>IF($R36="","",INDEX(RawBtabs!$U$2:$U$1500,$R36))</f>
        <v/>
      </c>
      <c r="J36" s="50" t="str">
        <f>IF($R36="","",INDEX(RawBtabs!$K$2:$K$1500,$R36))</f>
        <v/>
      </c>
      <c r="K36" s="44" t="str">
        <f>IF($C36="","",SUMIFS(RawBtabs!$V$2:$V$1500,RawBtabs!$A$2:$A$1500,$C36,RawBtabs!$C$2:$C$1500,$E36))</f>
        <v/>
      </c>
      <c r="L36" s="42" t="str">
        <f>IF($C36="","",IF($I36=0,"⚠️ The detail does not state the hours",IF(ABS($K36-Config!$C$9)&lt;=Config!$C$10,"✅ Full day ("&amp;TEXT($K36,"0.##")&amp;" h)",IF($K36&lt;Config!$C$9,"🔻 Incomplete day: "&amp;TEXT($K36,"0.##")&amp;" h of "&amp;TEXT(Config!$C$9,"0")&amp;" h","🔺 Day exceeded: "&amp;TEXT($K36,"0.##")&amp;" h"))))</f>
        <v/>
      </c>
      <c r="M36" s="45" t="str">
        <f>IF($R36="","",INDEX(RawBtabs!$Q$2:$Q$1500,$R36))</f>
        <v/>
      </c>
      <c r="R36" s="46" t="str">
        <f>IFERROR(MATCH(ROW()-8,RawBtabs!$Z$2:$Z$1500,0),"")</f>
        <v/>
      </c>
    </row>
    <row r="37" spans="2:18" x14ac:dyDescent="0.25">
      <c r="B37" s="41" t="str">
        <f t="shared" si="0"/>
        <v/>
      </c>
      <c r="C37" s="42" t="str">
        <f>IF($R37="","",INDEX(RawBtabs!$A$2:$A$1500,$R37))</f>
        <v/>
      </c>
      <c r="D37" s="42" t="str">
        <f>IF($C37="","",IFERROR(INDEX(BPOworkers!$E$6:$E$105,MATCH($C37,BPOworkers!$B$6:$B$105,0)),""))</f>
        <v/>
      </c>
      <c r="E37" s="43" t="str">
        <f>IF($R37="","",INDEX(RawBtabs!$C$2:$C$1500,$R37))</f>
        <v/>
      </c>
      <c r="F37" s="42" t="str">
        <f>IF($C37="","",IFERROR(INDEX(Config!$F$7:$F$11,$E37-Config!$C$7+1),""))</f>
        <v/>
      </c>
      <c r="G37" s="42" t="str">
        <f>IF($R37="","",INDEX(RawBtabs!$H$2:$H$1500,$R37))</f>
        <v/>
      </c>
      <c r="H37" s="41" t="str">
        <f>IF($R37="","",INDEX(RawBtabs!$B$2:$B$1500,$R37))</f>
        <v/>
      </c>
      <c r="I37" s="44" t="str">
        <f>IF($R37="","",INDEX(RawBtabs!$U$2:$U$1500,$R37))</f>
        <v/>
      </c>
      <c r="J37" s="50" t="str">
        <f>IF($R37="","",INDEX(RawBtabs!$K$2:$K$1500,$R37))</f>
        <v/>
      </c>
      <c r="K37" s="44" t="str">
        <f>IF($C37="","",SUMIFS(RawBtabs!$V$2:$V$1500,RawBtabs!$A$2:$A$1500,$C37,RawBtabs!$C$2:$C$1500,$E37))</f>
        <v/>
      </c>
      <c r="L37" s="42" t="str">
        <f>IF($C37="","",IF($I37=0,"⚠️ The detail does not state the hours",IF(ABS($K37-Config!$C$9)&lt;=Config!$C$10,"✅ Full day ("&amp;TEXT($K37,"0.##")&amp;" h)",IF($K37&lt;Config!$C$9,"🔻 Incomplete day: "&amp;TEXT($K37,"0.##")&amp;" h of "&amp;TEXT(Config!$C$9,"0")&amp;" h","🔺 Day exceeded: "&amp;TEXT($K37,"0.##")&amp;" h"))))</f>
        <v/>
      </c>
      <c r="M37" s="45" t="str">
        <f>IF($R37="","",INDEX(RawBtabs!$Q$2:$Q$1500,$R37))</f>
        <v/>
      </c>
      <c r="R37" s="46" t="str">
        <f>IFERROR(MATCH(ROW()-8,RawBtabs!$Z$2:$Z$1500,0),"")</f>
        <v/>
      </c>
    </row>
    <row r="38" spans="2:18" x14ac:dyDescent="0.25">
      <c r="B38" s="41" t="str">
        <f t="shared" si="0"/>
        <v/>
      </c>
      <c r="C38" s="42" t="str">
        <f>IF($R38="","",INDEX(RawBtabs!$A$2:$A$1500,$R38))</f>
        <v/>
      </c>
      <c r="D38" s="42" t="str">
        <f>IF($C38="","",IFERROR(INDEX(BPOworkers!$E$6:$E$105,MATCH($C38,BPOworkers!$B$6:$B$105,0)),""))</f>
        <v/>
      </c>
      <c r="E38" s="43" t="str">
        <f>IF($R38="","",INDEX(RawBtabs!$C$2:$C$1500,$R38))</f>
        <v/>
      </c>
      <c r="F38" s="42" t="str">
        <f>IF($C38="","",IFERROR(INDEX(Config!$F$7:$F$11,$E38-Config!$C$7+1),""))</f>
        <v/>
      </c>
      <c r="G38" s="42" t="str">
        <f>IF($R38="","",INDEX(RawBtabs!$H$2:$H$1500,$R38))</f>
        <v/>
      </c>
      <c r="H38" s="41" t="str">
        <f>IF($R38="","",INDEX(RawBtabs!$B$2:$B$1500,$R38))</f>
        <v/>
      </c>
      <c r="I38" s="44" t="str">
        <f>IF($R38="","",INDEX(RawBtabs!$U$2:$U$1500,$R38))</f>
        <v/>
      </c>
      <c r="J38" s="50" t="str">
        <f>IF($R38="","",INDEX(RawBtabs!$K$2:$K$1500,$R38))</f>
        <v/>
      </c>
      <c r="K38" s="44" t="str">
        <f>IF($C38="","",SUMIFS(RawBtabs!$V$2:$V$1500,RawBtabs!$A$2:$A$1500,$C38,RawBtabs!$C$2:$C$1500,$E38))</f>
        <v/>
      </c>
      <c r="L38" s="42" t="str">
        <f>IF($C38="","",IF($I38=0,"⚠️ The detail does not state the hours",IF(ABS($K38-Config!$C$9)&lt;=Config!$C$10,"✅ Full day ("&amp;TEXT($K38,"0.##")&amp;" h)",IF($K38&lt;Config!$C$9,"🔻 Incomplete day: "&amp;TEXT($K38,"0.##")&amp;" h of "&amp;TEXT(Config!$C$9,"0")&amp;" h","🔺 Day exceeded: "&amp;TEXT($K38,"0.##")&amp;" h"))))</f>
        <v/>
      </c>
      <c r="M38" s="45" t="str">
        <f>IF($R38="","",INDEX(RawBtabs!$Q$2:$Q$1500,$R38))</f>
        <v/>
      </c>
      <c r="R38" s="46" t="str">
        <f>IFERROR(MATCH(ROW()-8,RawBtabs!$Z$2:$Z$1500,0),"")</f>
        <v/>
      </c>
    </row>
    <row r="39" spans="2:18" x14ac:dyDescent="0.25">
      <c r="B39" s="41" t="str">
        <f t="shared" si="0"/>
        <v/>
      </c>
      <c r="C39" s="42" t="str">
        <f>IF($R39="","",INDEX(RawBtabs!$A$2:$A$1500,$R39))</f>
        <v/>
      </c>
      <c r="D39" s="42" t="str">
        <f>IF($C39="","",IFERROR(INDEX(BPOworkers!$E$6:$E$105,MATCH($C39,BPOworkers!$B$6:$B$105,0)),""))</f>
        <v/>
      </c>
      <c r="E39" s="43" t="str">
        <f>IF($R39="","",INDEX(RawBtabs!$C$2:$C$1500,$R39))</f>
        <v/>
      </c>
      <c r="F39" s="42" t="str">
        <f>IF($C39="","",IFERROR(INDEX(Config!$F$7:$F$11,$E39-Config!$C$7+1),""))</f>
        <v/>
      </c>
      <c r="G39" s="42" t="str">
        <f>IF($R39="","",INDEX(RawBtabs!$H$2:$H$1500,$R39))</f>
        <v/>
      </c>
      <c r="H39" s="41" t="str">
        <f>IF($R39="","",INDEX(RawBtabs!$B$2:$B$1500,$R39))</f>
        <v/>
      </c>
      <c r="I39" s="44" t="str">
        <f>IF($R39="","",INDEX(RawBtabs!$U$2:$U$1500,$R39))</f>
        <v/>
      </c>
      <c r="J39" s="50" t="str">
        <f>IF($R39="","",INDEX(RawBtabs!$K$2:$K$1500,$R39))</f>
        <v/>
      </c>
      <c r="K39" s="44" t="str">
        <f>IF($C39="","",SUMIFS(RawBtabs!$V$2:$V$1500,RawBtabs!$A$2:$A$1500,$C39,RawBtabs!$C$2:$C$1500,$E39))</f>
        <v/>
      </c>
      <c r="L39" s="42" t="str">
        <f>IF($C39="","",IF($I39=0,"⚠️ The detail does not state the hours",IF(ABS($K39-Config!$C$9)&lt;=Config!$C$10,"✅ Full day ("&amp;TEXT($K39,"0.##")&amp;" h)",IF($K39&lt;Config!$C$9,"🔻 Incomplete day: "&amp;TEXT($K39,"0.##")&amp;" h of "&amp;TEXT(Config!$C$9,"0")&amp;" h","🔺 Day exceeded: "&amp;TEXT($K39,"0.##")&amp;" h"))))</f>
        <v/>
      </c>
      <c r="M39" s="45" t="str">
        <f>IF($R39="","",INDEX(RawBtabs!$Q$2:$Q$1500,$R39))</f>
        <v/>
      </c>
      <c r="R39" s="46" t="str">
        <f>IFERROR(MATCH(ROW()-8,RawBtabs!$Z$2:$Z$1500,0),"")</f>
        <v/>
      </c>
    </row>
    <row r="40" spans="2:18" x14ac:dyDescent="0.25">
      <c r="B40" s="41" t="str">
        <f t="shared" si="0"/>
        <v/>
      </c>
      <c r="C40" s="42" t="str">
        <f>IF($R40="","",INDEX(RawBtabs!$A$2:$A$1500,$R40))</f>
        <v/>
      </c>
      <c r="D40" s="42" t="str">
        <f>IF($C40="","",IFERROR(INDEX(BPOworkers!$E$6:$E$105,MATCH($C40,BPOworkers!$B$6:$B$105,0)),""))</f>
        <v/>
      </c>
      <c r="E40" s="43" t="str">
        <f>IF($R40="","",INDEX(RawBtabs!$C$2:$C$1500,$R40))</f>
        <v/>
      </c>
      <c r="F40" s="42" t="str">
        <f>IF($C40="","",IFERROR(INDEX(Config!$F$7:$F$11,$E40-Config!$C$7+1),""))</f>
        <v/>
      </c>
      <c r="G40" s="42" t="str">
        <f>IF($R40="","",INDEX(RawBtabs!$H$2:$H$1500,$R40))</f>
        <v/>
      </c>
      <c r="H40" s="41" t="str">
        <f>IF($R40="","",INDEX(RawBtabs!$B$2:$B$1500,$R40))</f>
        <v/>
      </c>
      <c r="I40" s="44" t="str">
        <f>IF($R40="","",INDEX(RawBtabs!$U$2:$U$1500,$R40))</f>
        <v/>
      </c>
      <c r="J40" s="50" t="str">
        <f>IF($R40="","",INDEX(RawBtabs!$K$2:$K$1500,$R40))</f>
        <v/>
      </c>
      <c r="K40" s="44" t="str">
        <f>IF($C40="","",SUMIFS(RawBtabs!$V$2:$V$1500,RawBtabs!$A$2:$A$1500,$C40,RawBtabs!$C$2:$C$1500,$E40))</f>
        <v/>
      </c>
      <c r="L40" s="42" t="str">
        <f>IF($C40="","",IF($I40=0,"⚠️ The detail does not state the hours",IF(ABS($K40-Config!$C$9)&lt;=Config!$C$10,"✅ Full day ("&amp;TEXT($K40,"0.##")&amp;" h)",IF($K40&lt;Config!$C$9,"🔻 Incomplete day: "&amp;TEXT($K40,"0.##")&amp;" h of "&amp;TEXT(Config!$C$9,"0")&amp;" h","🔺 Day exceeded: "&amp;TEXT($K40,"0.##")&amp;" h"))))</f>
        <v/>
      </c>
      <c r="M40" s="45" t="str">
        <f>IF($R40="","",INDEX(RawBtabs!$Q$2:$Q$1500,$R40))</f>
        <v/>
      </c>
      <c r="R40" s="46" t="str">
        <f>IFERROR(MATCH(ROW()-8,RawBtabs!$Z$2:$Z$1500,0),"")</f>
        <v/>
      </c>
    </row>
    <row r="41" spans="2:18" x14ac:dyDescent="0.25">
      <c r="B41" s="41" t="str">
        <f t="shared" ref="B41:B72" si="1">IF($R41="","",ROW()-8)</f>
        <v/>
      </c>
      <c r="C41" s="42" t="str">
        <f>IF($R41="","",INDEX(RawBtabs!$A$2:$A$1500,$R41))</f>
        <v/>
      </c>
      <c r="D41" s="42" t="str">
        <f>IF($C41="","",IFERROR(INDEX(BPOworkers!$E$6:$E$105,MATCH($C41,BPOworkers!$B$6:$B$105,0)),""))</f>
        <v/>
      </c>
      <c r="E41" s="43" t="str">
        <f>IF($R41="","",INDEX(RawBtabs!$C$2:$C$1500,$R41))</f>
        <v/>
      </c>
      <c r="F41" s="42" t="str">
        <f>IF($C41="","",IFERROR(INDEX(Config!$F$7:$F$11,$E41-Config!$C$7+1),""))</f>
        <v/>
      </c>
      <c r="G41" s="42" t="str">
        <f>IF($R41="","",INDEX(RawBtabs!$H$2:$H$1500,$R41))</f>
        <v/>
      </c>
      <c r="H41" s="41" t="str">
        <f>IF($R41="","",INDEX(RawBtabs!$B$2:$B$1500,$R41))</f>
        <v/>
      </c>
      <c r="I41" s="44" t="str">
        <f>IF($R41="","",INDEX(RawBtabs!$U$2:$U$1500,$R41))</f>
        <v/>
      </c>
      <c r="J41" s="50" t="str">
        <f>IF($R41="","",INDEX(RawBtabs!$K$2:$K$1500,$R41))</f>
        <v/>
      </c>
      <c r="K41" s="44" t="str">
        <f>IF($C41="","",SUMIFS(RawBtabs!$V$2:$V$1500,RawBtabs!$A$2:$A$1500,$C41,RawBtabs!$C$2:$C$1500,$E41))</f>
        <v/>
      </c>
      <c r="L41" s="42" t="str">
        <f>IF($C41="","",IF($I41=0,"⚠️ The detail does not state the hours",IF(ABS($K41-Config!$C$9)&lt;=Config!$C$10,"✅ Full day ("&amp;TEXT($K41,"0.##")&amp;" h)",IF($K41&lt;Config!$C$9,"🔻 Incomplete day: "&amp;TEXT($K41,"0.##")&amp;" h of "&amp;TEXT(Config!$C$9,"0")&amp;" h","🔺 Day exceeded: "&amp;TEXT($K41,"0.##")&amp;" h"))))</f>
        <v/>
      </c>
      <c r="M41" s="45" t="str">
        <f>IF($R41="","",INDEX(RawBtabs!$Q$2:$Q$1500,$R41))</f>
        <v/>
      </c>
      <c r="R41" s="46" t="str">
        <f>IFERROR(MATCH(ROW()-8,RawBtabs!$Z$2:$Z$1500,0),"")</f>
        <v/>
      </c>
    </row>
    <row r="42" spans="2:18" x14ac:dyDescent="0.25">
      <c r="B42" s="41" t="str">
        <f t="shared" si="1"/>
        <v/>
      </c>
      <c r="C42" s="42" t="str">
        <f>IF($R42="","",INDEX(RawBtabs!$A$2:$A$1500,$R42))</f>
        <v/>
      </c>
      <c r="D42" s="42" t="str">
        <f>IF($C42="","",IFERROR(INDEX(BPOworkers!$E$6:$E$105,MATCH($C42,BPOworkers!$B$6:$B$105,0)),""))</f>
        <v/>
      </c>
      <c r="E42" s="43" t="str">
        <f>IF($R42="","",INDEX(RawBtabs!$C$2:$C$1500,$R42))</f>
        <v/>
      </c>
      <c r="F42" s="42" t="str">
        <f>IF($C42="","",IFERROR(INDEX(Config!$F$7:$F$11,$E42-Config!$C$7+1),""))</f>
        <v/>
      </c>
      <c r="G42" s="42" t="str">
        <f>IF($R42="","",INDEX(RawBtabs!$H$2:$H$1500,$R42))</f>
        <v/>
      </c>
      <c r="H42" s="41" t="str">
        <f>IF($R42="","",INDEX(RawBtabs!$B$2:$B$1500,$R42))</f>
        <v/>
      </c>
      <c r="I42" s="44" t="str">
        <f>IF($R42="","",INDEX(RawBtabs!$U$2:$U$1500,$R42))</f>
        <v/>
      </c>
      <c r="J42" s="50" t="str">
        <f>IF($R42="","",INDEX(RawBtabs!$K$2:$K$1500,$R42))</f>
        <v/>
      </c>
      <c r="K42" s="44" t="str">
        <f>IF($C42="","",SUMIFS(RawBtabs!$V$2:$V$1500,RawBtabs!$A$2:$A$1500,$C42,RawBtabs!$C$2:$C$1500,$E42))</f>
        <v/>
      </c>
      <c r="L42" s="42" t="str">
        <f>IF($C42="","",IF($I42=0,"⚠️ The detail does not state the hours",IF(ABS($K42-Config!$C$9)&lt;=Config!$C$10,"✅ Full day ("&amp;TEXT($K42,"0.##")&amp;" h)",IF($K42&lt;Config!$C$9,"🔻 Incomplete day: "&amp;TEXT($K42,"0.##")&amp;" h of "&amp;TEXT(Config!$C$9,"0")&amp;" h","🔺 Day exceeded: "&amp;TEXT($K42,"0.##")&amp;" h"))))</f>
        <v/>
      </c>
      <c r="M42" s="45" t="str">
        <f>IF($R42="","",INDEX(RawBtabs!$Q$2:$Q$1500,$R42))</f>
        <v/>
      </c>
      <c r="R42" s="46" t="str">
        <f>IFERROR(MATCH(ROW()-8,RawBtabs!$Z$2:$Z$1500,0),"")</f>
        <v/>
      </c>
    </row>
    <row r="43" spans="2:18" x14ac:dyDescent="0.25">
      <c r="B43" s="41" t="str">
        <f t="shared" si="1"/>
        <v/>
      </c>
      <c r="C43" s="42" t="str">
        <f>IF($R43="","",INDEX(RawBtabs!$A$2:$A$1500,$R43))</f>
        <v/>
      </c>
      <c r="D43" s="42" t="str">
        <f>IF($C43="","",IFERROR(INDEX(BPOworkers!$E$6:$E$105,MATCH($C43,BPOworkers!$B$6:$B$105,0)),""))</f>
        <v/>
      </c>
      <c r="E43" s="43" t="str">
        <f>IF($R43="","",INDEX(RawBtabs!$C$2:$C$1500,$R43))</f>
        <v/>
      </c>
      <c r="F43" s="42" t="str">
        <f>IF($C43="","",IFERROR(INDEX(Config!$F$7:$F$11,$E43-Config!$C$7+1),""))</f>
        <v/>
      </c>
      <c r="G43" s="42" t="str">
        <f>IF($R43="","",INDEX(RawBtabs!$H$2:$H$1500,$R43))</f>
        <v/>
      </c>
      <c r="H43" s="41" t="str">
        <f>IF($R43="","",INDEX(RawBtabs!$B$2:$B$1500,$R43))</f>
        <v/>
      </c>
      <c r="I43" s="44" t="str">
        <f>IF($R43="","",INDEX(RawBtabs!$U$2:$U$1500,$R43))</f>
        <v/>
      </c>
      <c r="J43" s="50" t="str">
        <f>IF($R43="","",INDEX(RawBtabs!$K$2:$K$1500,$R43))</f>
        <v/>
      </c>
      <c r="K43" s="44" t="str">
        <f>IF($C43="","",SUMIFS(RawBtabs!$V$2:$V$1500,RawBtabs!$A$2:$A$1500,$C43,RawBtabs!$C$2:$C$1500,$E43))</f>
        <v/>
      </c>
      <c r="L43" s="42" t="str">
        <f>IF($C43="","",IF($I43=0,"⚠️ The detail does not state the hours",IF(ABS($K43-Config!$C$9)&lt;=Config!$C$10,"✅ Full day ("&amp;TEXT($K43,"0.##")&amp;" h)",IF($K43&lt;Config!$C$9,"🔻 Incomplete day: "&amp;TEXT($K43,"0.##")&amp;" h of "&amp;TEXT(Config!$C$9,"0")&amp;" h","🔺 Day exceeded: "&amp;TEXT($K43,"0.##")&amp;" h"))))</f>
        <v/>
      </c>
      <c r="M43" s="45" t="str">
        <f>IF($R43="","",INDEX(RawBtabs!$Q$2:$Q$1500,$R43))</f>
        <v/>
      </c>
      <c r="R43" s="46" t="str">
        <f>IFERROR(MATCH(ROW()-8,RawBtabs!$Z$2:$Z$1500,0),"")</f>
        <v/>
      </c>
    </row>
    <row r="44" spans="2:18" x14ac:dyDescent="0.25">
      <c r="B44" s="41" t="str">
        <f t="shared" si="1"/>
        <v/>
      </c>
      <c r="C44" s="42" t="str">
        <f>IF($R44="","",INDEX(RawBtabs!$A$2:$A$1500,$R44))</f>
        <v/>
      </c>
      <c r="D44" s="42" t="str">
        <f>IF($C44="","",IFERROR(INDEX(BPOworkers!$E$6:$E$105,MATCH($C44,BPOworkers!$B$6:$B$105,0)),""))</f>
        <v/>
      </c>
      <c r="E44" s="43" t="str">
        <f>IF($R44="","",INDEX(RawBtabs!$C$2:$C$1500,$R44))</f>
        <v/>
      </c>
      <c r="F44" s="42" t="str">
        <f>IF($C44="","",IFERROR(INDEX(Config!$F$7:$F$11,$E44-Config!$C$7+1),""))</f>
        <v/>
      </c>
      <c r="G44" s="42" t="str">
        <f>IF($R44="","",INDEX(RawBtabs!$H$2:$H$1500,$R44))</f>
        <v/>
      </c>
      <c r="H44" s="41" t="str">
        <f>IF($R44="","",INDEX(RawBtabs!$B$2:$B$1500,$R44))</f>
        <v/>
      </c>
      <c r="I44" s="44" t="str">
        <f>IF($R44="","",INDEX(RawBtabs!$U$2:$U$1500,$R44))</f>
        <v/>
      </c>
      <c r="J44" s="50" t="str">
        <f>IF($R44="","",INDEX(RawBtabs!$K$2:$K$1500,$R44))</f>
        <v/>
      </c>
      <c r="K44" s="44" t="str">
        <f>IF($C44="","",SUMIFS(RawBtabs!$V$2:$V$1500,RawBtabs!$A$2:$A$1500,$C44,RawBtabs!$C$2:$C$1500,$E44))</f>
        <v/>
      </c>
      <c r="L44" s="42" t="str">
        <f>IF($C44="","",IF($I44=0,"⚠️ The detail does not state the hours",IF(ABS($K44-Config!$C$9)&lt;=Config!$C$10,"✅ Full day ("&amp;TEXT($K44,"0.##")&amp;" h)",IF($K44&lt;Config!$C$9,"🔻 Incomplete day: "&amp;TEXT($K44,"0.##")&amp;" h of "&amp;TEXT(Config!$C$9,"0")&amp;" h","🔺 Day exceeded: "&amp;TEXT($K44,"0.##")&amp;" h"))))</f>
        <v/>
      </c>
      <c r="M44" s="45" t="str">
        <f>IF($R44="","",INDEX(RawBtabs!$Q$2:$Q$1500,$R44))</f>
        <v/>
      </c>
      <c r="R44" s="46" t="str">
        <f>IFERROR(MATCH(ROW()-8,RawBtabs!$Z$2:$Z$1500,0),"")</f>
        <v/>
      </c>
    </row>
    <row r="45" spans="2:18" x14ac:dyDescent="0.25">
      <c r="B45" s="41" t="str">
        <f t="shared" si="1"/>
        <v/>
      </c>
      <c r="C45" s="42" t="str">
        <f>IF($R45="","",INDEX(RawBtabs!$A$2:$A$1500,$R45))</f>
        <v/>
      </c>
      <c r="D45" s="42" t="str">
        <f>IF($C45="","",IFERROR(INDEX(BPOworkers!$E$6:$E$105,MATCH($C45,BPOworkers!$B$6:$B$105,0)),""))</f>
        <v/>
      </c>
      <c r="E45" s="43" t="str">
        <f>IF($R45="","",INDEX(RawBtabs!$C$2:$C$1500,$R45))</f>
        <v/>
      </c>
      <c r="F45" s="42" t="str">
        <f>IF($C45="","",IFERROR(INDEX(Config!$F$7:$F$11,$E45-Config!$C$7+1),""))</f>
        <v/>
      </c>
      <c r="G45" s="42" t="str">
        <f>IF($R45="","",INDEX(RawBtabs!$H$2:$H$1500,$R45))</f>
        <v/>
      </c>
      <c r="H45" s="41" t="str">
        <f>IF($R45="","",INDEX(RawBtabs!$B$2:$B$1500,$R45))</f>
        <v/>
      </c>
      <c r="I45" s="44" t="str">
        <f>IF($R45="","",INDEX(RawBtabs!$U$2:$U$1500,$R45))</f>
        <v/>
      </c>
      <c r="J45" s="50" t="str">
        <f>IF($R45="","",INDEX(RawBtabs!$K$2:$K$1500,$R45))</f>
        <v/>
      </c>
      <c r="K45" s="44" t="str">
        <f>IF($C45="","",SUMIFS(RawBtabs!$V$2:$V$1500,RawBtabs!$A$2:$A$1500,$C45,RawBtabs!$C$2:$C$1500,$E45))</f>
        <v/>
      </c>
      <c r="L45" s="42" t="str">
        <f>IF($C45="","",IF($I45=0,"⚠️ The detail does not state the hours",IF(ABS($K45-Config!$C$9)&lt;=Config!$C$10,"✅ Full day ("&amp;TEXT($K45,"0.##")&amp;" h)",IF($K45&lt;Config!$C$9,"🔻 Incomplete day: "&amp;TEXT($K45,"0.##")&amp;" h of "&amp;TEXT(Config!$C$9,"0")&amp;" h","🔺 Day exceeded: "&amp;TEXT($K45,"0.##")&amp;" h"))))</f>
        <v/>
      </c>
      <c r="M45" s="45" t="str">
        <f>IF($R45="","",INDEX(RawBtabs!$Q$2:$Q$1500,$R45))</f>
        <v/>
      </c>
      <c r="R45" s="46" t="str">
        <f>IFERROR(MATCH(ROW()-8,RawBtabs!$Z$2:$Z$1500,0),"")</f>
        <v/>
      </c>
    </row>
    <row r="46" spans="2:18" x14ac:dyDescent="0.25">
      <c r="B46" s="41" t="str">
        <f t="shared" si="1"/>
        <v/>
      </c>
      <c r="C46" s="42" t="str">
        <f>IF($R46="","",INDEX(RawBtabs!$A$2:$A$1500,$R46))</f>
        <v/>
      </c>
      <c r="D46" s="42" t="str">
        <f>IF($C46="","",IFERROR(INDEX(BPOworkers!$E$6:$E$105,MATCH($C46,BPOworkers!$B$6:$B$105,0)),""))</f>
        <v/>
      </c>
      <c r="E46" s="43" t="str">
        <f>IF($R46="","",INDEX(RawBtabs!$C$2:$C$1500,$R46))</f>
        <v/>
      </c>
      <c r="F46" s="42" t="str">
        <f>IF($C46="","",IFERROR(INDEX(Config!$F$7:$F$11,$E46-Config!$C$7+1),""))</f>
        <v/>
      </c>
      <c r="G46" s="42" t="str">
        <f>IF($R46="","",INDEX(RawBtabs!$H$2:$H$1500,$R46))</f>
        <v/>
      </c>
      <c r="H46" s="41" t="str">
        <f>IF($R46="","",INDEX(RawBtabs!$B$2:$B$1500,$R46))</f>
        <v/>
      </c>
      <c r="I46" s="44" t="str">
        <f>IF($R46="","",INDEX(RawBtabs!$U$2:$U$1500,$R46))</f>
        <v/>
      </c>
      <c r="J46" s="50" t="str">
        <f>IF($R46="","",INDEX(RawBtabs!$K$2:$K$1500,$R46))</f>
        <v/>
      </c>
      <c r="K46" s="44" t="str">
        <f>IF($C46="","",SUMIFS(RawBtabs!$V$2:$V$1500,RawBtabs!$A$2:$A$1500,$C46,RawBtabs!$C$2:$C$1500,$E46))</f>
        <v/>
      </c>
      <c r="L46" s="42" t="str">
        <f>IF($C46="","",IF($I46=0,"⚠️ The detail does not state the hours",IF(ABS($K46-Config!$C$9)&lt;=Config!$C$10,"✅ Full day ("&amp;TEXT($K46,"0.##")&amp;" h)",IF($K46&lt;Config!$C$9,"🔻 Incomplete day: "&amp;TEXT($K46,"0.##")&amp;" h of "&amp;TEXT(Config!$C$9,"0")&amp;" h","🔺 Day exceeded: "&amp;TEXT($K46,"0.##")&amp;" h"))))</f>
        <v/>
      </c>
      <c r="M46" s="45" t="str">
        <f>IF($R46="","",INDEX(RawBtabs!$Q$2:$Q$1500,$R46))</f>
        <v/>
      </c>
      <c r="R46" s="46" t="str">
        <f>IFERROR(MATCH(ROW()-8,RawBtabs!$Z$2:$Z$1500,0),"")</f>
        <v/>
      </c>
    </row>
    <row r="47" spans="2:18" x14ac:dyDescent="0.25">
      <c r="B47" s="41" t="str">
        <f t="shared" si="1"/>
        <v/>
      </c>
      <c r="C47" s="42" t="str">
        <f>IF($R47="","",INDEX(RawBtabs!$A$2:$A$1500,$R47))</f>
        <v/>
      </c>
      <c r="D47" s="42" t="str">
        <f>IF($C47="","",IFERROR(INDEX(BPOworkers!$E$6:$E$105,MATCH($C47,BPOworkers!$B$6:$B$105,0)),""))</f>
        <v/>
      </c>
      <c r="E47" s="43" t="str">
        <f>IF($R47="","",INDEX(RawBtabs!$C$2:$C$1500,$R47))</f>
        <v/>
      </c>
      <c r="F47" s="42" t="str">
        <f>IF($C47="","",IFERROR(INDEX(Config!$F$7:$F$11,$E47-Config!$C$7+1),""))</f>
        <v/>
      </c>
      <c r="G47" s="42" t="str">
        <f>IF($R47="","",INDEX(RawBtabs!$H$2:$H$1500,$R47))</f>
        <v/>
      </c>
      <c r="H47" s="41" t="str">
        <f>IF($R47="","",INDEX(RawBtabs!$B$2:$B$1500,$R47))</f>
        <v/>
      </c>
      <c r="I47" s="44" t="str">
        <f>IF($R47="","",INDEX(RawBtabs!$U$2:$U$1500,$R47))</f>
        <v/>
      </c>
      <c r="J47" s="50" t="str">
        <f>IF($R47="","",INDEX(RawBtabs!$K$2:$K$1500,$R47))</f>
        <v/>
      </c>
      <c r="K47" s="44" t="str">
        <f>IF($C47="","",SUMIFS(RawBtabs!$V$2:$V$1500,RawBtabs!$A$2:$A$1500,$C47,RawBtabs!$C$2:$C$1500,$E47))</f>
        <v/>
      </c>
      <c r="L47" s="42" t="str">
        <f>IF($C47="","",IF($I47=0,"⚠️ The detail does not state the hours",IF(ABS($K47-Config!$C$9)&lt;=Config!$C$10,"✅ Full day ("&amp;TEXT($K47,"0.##")&amp;" h)",IF($K47&lt;Config!$C$9,"🔻 Incomplete day: "&amp;TEXT($K47,"0.##")&amp;" h of "&amp;TEXT(Config!$C$9,"0")&amp;" h","🔺 Day exceeded: "&amp;TEXT($K47,"0.##")&amp;" h"))))</f>
        <v/>
      </c>
      <c r="M47" s="45" t="str">
        <f>IF($R47="","",INDEX(RawBtabs!$Q$2:$Q$1500,$R47))</f>
        <v/>
      </c>
      <c r="R47" s="46" t="str">
        <f>IFERROR(MATCH(ROW()-8,RawBtabs!$Z$2:$Z$1500,0),"")</f>
        <v/>
      </c>
    </row>
    <row r="48" spans="2:18" x14ac:dyDescent="0.25">
      <c r="B48" s="41" t="str">
        <f t="shared" si="1"/>
        <v/>
      </c>
      <c r="C48" s="42" t="str">
        <f>IF($R48="","",INDEX(RawBtabs!$A$2:$A$1500,$R48))</f>
        <v/>
      </c>
      <c r="D48" s="42" t="str">
        <f>IF($C48="","",IFERROR(INDEX(BPOworkers!$E$6:$E$105,MATCH($C48,BPOworkers!$B$6:$B$105,0)),""))</f>
        <v/>
      </c>
      <c r="E48" s="43" t="str">
        <f>IF($R48="","",INDEX(RawBtabs!$C$2:$C$1500,$R48))</f>
        <v/>
      </c>
      <c r="F48" s="42" t="str">
        <f>IF($C48="","",IFERROR(INDEX(Config!$F$7:$F$11,$E48-Config!$C$7+1),""))</f>
        <v/>
      </c>
      <c r="G48" s="42" t="str">
        <f>IF($R48="","",INDEX(RawBtabs!$H$2:$H$1500,$R48))</f>
        <v/>
      </c>
      <c r="H48" s="41" t="str">
        <f>IF($R48="","",INDEX(RawBtabs!$B$2:$B$1500,$R48))</f>
        <v/>
      </c>
      <c r="I48" s="44" t="str">
        <f>IF($R48="","",INDEX(RawBtabs!$U$2:$U$1500,$R48))</f>
        <v/>
      </c>
      <c r="J48" s="50" t="str">
        <f>IF($R48="","",INDEX(RawBtabs!$K$2:$K$1500,$R48))</f>
        <v/>
      </c>
      <c r="K48" s="44" t="str">
        <f>IF($C48="","",SUMIFS(RawBtabs!$V$2:$V$1500,RawBtabs!$A$2:$A$1500,$C48,RawBtabs!$C$2:$C$1500,$E48))</f>
        <v/>
      </c>
      <c r="L48" s="42" t="str">
        <f>IF($C48="","",IF($I48=0,"⚠️ The detail does not state the hours",IF(ABS($K48-Config!$C$9)&lt;=Config!$C$10,"✅ Full day ("&amp;TEXT($K48,"0.##")&amp;" h)",IF($K48&lt;Config!$C$9,"🔻 Incomplete day: "&amp;TEXT($K48,"0.##")&amp;" h of "&amp;TEXT(Config!$C$9,"0")&amp;" h","🔺 Day exceeded: "&amp;TEXT($K48,"0.##")&amp;" h"))))</f>
        <v/>
      </c>
      <c r="M48" s="45" t="str">
        <f>IF($R48="","",INDEX(RawBtabs!$Q$2:$Q$1500,$R48))</f>
        <v/>
      </c>
      <c r="R48" s="46" t="str">
        <f>IFERROR(MATCH(ROW()-8,RawBtabs!$Z$2:$Z$1500,0),"")</f>
        <v/>
      </c>
    </row>
    <row r="49" spans="2:18" x14ac:dyDescent="0.25">
      <c r="B49" s="41" t="str">
        <f t="shared" si="1"/>
        <v/>
      </c>
      <c r="C49" s="42" t="str">
        <f>IF($R49="","",INDEX(RawBtabs!$A$2:$A$1500,$R49))</f>
        <v/>
      </c>
      <c r="D49" s="42" t="str">
        <f>IF($C49="","",IFERROR(INDEX(BPOworkers!$E$6:$E$105,MATCH($C49,BPOworkers!$B$6:$B$105,0)),""))</f>
        <v/>
      </c>
      <c r="E49" s="43" t="str">
        <f>IF($R49="","",INDEX(RawBtabs!$C$2:$C$1500,$R49))</f>
        <v/>
      </c>
      <c r="F49" s="42" t="str">
        <f>IF($C49="","",IFERROR(INDEX(Config!$F$7:$F$11,$E49-Config!$C$7+1),""))</f>
        <v/>
      </c>
      <c r="G49" s="42" t="str">
        <f>IF($R49="","",INDEX(RawBtabs!$H$2:$H$1500,$R49))</f>
        <v/>
      </c>
      <c r="H49" s="41" t="str">
        <f>IF($R49="","",INDEX(RawBtabs!$B$2:$B$1500,$R49))</f>
        <v/>
      </c>
      <c r="I49" s="44" t="str">
        <f>IF($R49="","",INDEX(RawBtabs!$U$2:$U$1500,$R49))</f>
        <v/>
      </c>
      <c r="J49" s="50" t="str">
        <f>IF($R49="","",INDEX(RawBtabs!$K$2:$K$1500,$R49))</f>
        <v/>
      </c>
      <c r="K49" s="44" t="str">
        <f>IF($C49="","",SUMIFS(RawBtabs!$V$2:$V$1500,RawBtabs!$A$2:$A$1500,$C49,RawBtabs!$C$2:$C$1500,$E49))</f>
        <v/>
      </c>
      <c r="L49" s="42" t="str">
        <f>IF($C49="","",IF($I49=0,"⚠️ The detail does not state the hours",IF(ABS($K49-Config!$C$9)&lt;=Config!$C$10,"✅ Full day ("&amp;TEXT($K49,"0.##")&amp;" h)",IF($K49&lt;Config!$C$9,"🔻 Incomplete day: "&amp;TEXT($K49,"0.##")&amp;" h of "&amp;TEXT(Config!$C$9,"0")&amp;" h","🔺 Day exceeded: "&amp;TEXT($K49,"0.##")&amp;" h"))))</f>
        <v/>
      </c>
      <c r="M49" s="45" t="str">
        <f>IF($R49="","",INDEX(RawBtabs!$Q$2:$Q$1500,$R49))</f>
        <v/>
      </c>
      <c r="R49" s="46" t="str">
        <f>IFERROR(MATCH(ROW()-8,RawBtabs!$Z$2:$Z$1500,0),"")</f>
        <v/>
      </c>
    </row>
    <row r="50" spans="2:18" x14ac:dyDescent="0.25">
      <c r="B50" s="41" t="str">
        <f t="shared" si="1"/>
        <v/>
      </c>
      <c r="C50" s="42" t="str">
        <f>IF($R50="","",INDEX(RawBtabs!$A$2:$A$1500,$R50))</f>
        <v/>
      </c>
      <c r="D50" s="42" t="str">
        <f>IF($C50="","",IFERROR(INDEX(BPOworkers!$E$6:$E$105,MATCH($C50,BPOworkers!$B$6:$B$105,0)),""))</f>
        <v/>
      </c>
      <c r="E50" s="43" t="str">
        <f>IF($R50="","",INDEX(RawBtabs!$C$2:$C$1500,$R50))</f>
        <v/>
      </c>
      <c r="F50" s="42" t="str">
        <f>IF($C50="","",IFERROR(INDEX(Config!$F$7:$F$11,$E50-Config!$C$7+1),""))</f>
        <v/>
      </c>
      <c r="G50" s="42" t="str">
        <f>IF($R50="","",INDEX(RawBtabs!$H$2:$H$1500,$R50))</f>
        <v/>
      </c>
      <c r="H50" s="41" t="str">
        <f>IF($R50="","",INDEX(RawBtabs!$B$2:$B$1500,$R50))</f>
        <v/>
      </c>
      <c r="I50" s="44" t="str">
        <f>IF($R50="","",INDEX(RawBtabs!$U$2:$U$1500,$R50))</f>
        <v/>
      </c>
      <c r="J50" s="50" t="str">
        <f>IF($R50="","",INDEX(RawBtabs!$K$2:$K$1500,$R50))</f>
        <v/>
      </c>
      <c r="K50" s="44" t="str">
        <f>IF($C50="","",SUMIFS(RawBtabs!$V$2:$V$1500,RawBtabs!$A$2:$A$1500,$C50,RawBtabs!$C$2:$C$1500,$E50))</f>
        <v/>
      </c>
      <c r="L50" s="42" t="str">
        <f>IF($C50="","",IF($I50=0,"⚠️ The detail does not state the hours",IF(ABS($K50-Config!$C$9)&lt;=Config!$C$10,"✅ Full day ("&amp;TEXT($K50,"0.##")&amp;" h)",IF($K50&lt;Config!$C$9,"🔻 Incomplete day: "&amp;TEXT($K50,"0.##")&amp;" h of "&amp;TEXT(Config!$C$9,"0")&amp;" h","🔺 Day exceeded: "&amp;TEXT($K50,"0.##")&amp;" h"))))</f>
        <v/>
      </c>
      <c r="M50" s="45" t="str">
        <f>IF($R50="","",INDEX(RawBtabs!$Q$2:$Q$1500,$R50))</f>
        <v/>
      </c>
      <c r="R50" s="46" t="str">
        <f>IFERROR(MATCH(ROW()-8,RawBtabs!$Z$2:$Z$1500,0),"")</f>
        <v/>
      </c>
    </row>
    <row r="51" spans="2:18" x14ac:dyDescent="0.25">
      <c r="B51" s="41" t="str">
        <f t="shared" si="1"/>
        <v/>
      </c>
      <c r="C51" s="42" t="str">
        <f>IF($R51="","",INDEX(RawBtabs!$A$2:$A$1500,$R51))</f>
        <v/>
      </c>
      <c r="D51" s="42" t="str">
        <f>IF($C51="","",IFERROR(INDEX(BPOworkers!$E$6:$E$105,MATCH($C51,BPOworkers!$B$6:$B$105,0)),""))</f>
        <v/>
      </c>
      <c r="E51" s="43" t="str">
        <f>IF($R51="","",INDEX(RawBtabs!$C$2:$C$1500,$R51))</f>
        <v/>
      </c>
      <c r="F51" s="42" t="str">
        <f>IF($C51="","",IFERROR(INDEX(Config!$F$7:$F$11,$E51-Config!$C$7+1),""))</f>
        <v/>
      </c>
      <c r="G51" s="42" t="str">
        <f>IF($R51="","",INDEX(RawBtabs!$H$2:$H$1500,$R51))</f>
        <v/>
      </c>
      <c r="H51" s="41" t="str">
        <f>IF($R51="","",INDEX(RawBtabs!$B$2:$B$1500,$R51))</f>
        <v/>
      </c>
      <c r="I51" s="44" t="str">
        <f>IF($R51="","",INDEX(RawBtabs!$U$2:$U$1500,$R51))</f>
        <v/>
      </c>
      <c r="J51" s="50" t="str">
        <f>IF($R51="","",INDEX(RawBtabs!$K$2:$K$1500,$R51))</f>
        <v/>
      </c>
      <c r="K51" s="44" t="str">
        <f>IF($C51="","",SUMIFS(RawBtabs!$V$2:$V$1500,RawBtabs!$A$2:$A$1500,$C51,RawBtabs!$C$2:$C$1500,$E51))</f>
        <v/>
      </c>
      <c r="L51" s="42" t="str">
        <f>IF($C51="","",IF($I51=0,"⚠️ The detail does not state the hours",IF(ABS($K51-Config!$C$9)&lt;=Config!$C$10,"✅ Full day ("&amp;TEXT($K51,"0.##")&amp;" h)",IF($K51&lt;Config!$C$9,"🔻 Incomplete day: "&amp;TEXT($K51,"0.##")&amp;" h of "&amp;TEXT(Config!$C$9,"0")&amp;" h","🔺 Day exceeded: "&amp;TEXT($K51,"0.##")&amp;" h"))))</f>
        <v/>
      </c>
      <c r="M51" s="45" t="str">
        <f>IF($R51="","",INDEX(RawBtabs!$Q$2:$Q$1500,$R51))</f>
        <v/>
      </c>
      <c r="R51" s="46" t="str">
        <f>IFERROR(MATCH(ROW()-8,RawBtabs!$Z$2:$Z$1500,0),"")</f>
        <v/>
      </c>
    </row>
    <row r="52" spans="2:18" x14ac:dyDescent="0.25">
      <c r="B52" s="41" t="str">
        <f t="shared" si="1"/>
        <v/>
      </c>
      <c r="C52" s="42" t="str">
        <f>IF($R52="","",INDEX(RawBtabs!$A$2:$A$1500,$R52))</f>
        <v/>
      </c>
      <c r="D52" s="42" t="str">
        <f>IF($C52="","",IFERROR(INDEX(BPOworkers!$E$6:$E$105,MATCH($C52,BPOworkers!$B$6:$B$105,0)),""))</f>
        <v/>
      </c>
      <c r="E52" s="43" t="str">
        <f>IF($R52="","",INDEX(RawBtabs!$C$2:$C$1500,$R52))</f>
        <v/>
      </c>
      <c r="F52" s="42" t="str">
        <f>IF($C52="","",IFERROR(INDEX(Config!$F$7:$F$11,$E52-Config!$C$7+1),""))</f>
        <v/>
      </c>
      <c r="G52" s="42" t="str">
        <f>IF($R52="","",INDEX(RawBtabs!$H$2:$H$1500,$R52))</f>
        <v/>
      </c>
      <c r="H52" s="41" t="str">
        <f>IF($R52="","",INDEX(RawBtabs!$B$2:$B$1500,$R52))</f>
        <v/>
      </c>
      <c r="I52" s="44" t="str">
        <f>IF($R52="","",INDEX(RawBtabs!$U$2:$U$1500,$R52))</f>
        <v/>
      </c>
      <c r="J52" s="50" t="str">
        <f>IF($R52="","",INDEX(RawBtabs!$K$2:$K$1500,$R52))</f>
        <v/>
      </c>
      <c r="K52" s="44" t="str">
        <f>IF($C52="","",SUMIFS(RawBtabs!$V$2:$V$1500,RawBtabs!$A$2:$A$1500,$C52,RawBtabs!$C$2:$C$1500,$E52))</f>
        <v/>
      </c>
      <c r="L52" s="42" t="str">
        <f>IF($C52="","",IF($I52=0,"⚠️ The detail does not state the hours",IF(ABS($K52-Config!$C$9)&lt;=Config!$C$10,"✅ Full day ("&amp;TEXT($K52,"0.##")&amp;" h)",IF($K52&lt;Config!$C$9,"🔻 Incomplete day: "&amp;TEXT($K52,"0.##")&amp;" h of "&amp;TEXT(Config!$C$9,"0")&amp;" h","🔺 Day exceeded: "&amp;TEXT($K52,"0.##")&amp;" h"))))</f>
        <v/>
      </c>
      <c r="M52" s="45" t="str">
        <f>IF($R52="","",INDEX(RawBtabs!$Q$2:$Q$1500,$R52))</f>
        <v/>
      </c>
      <c r="R52" s="46" t="str">
        <f>IFERROR(MATCH(ROW()-8,RawBtabs!$Z$2:$Z$1500,0),"")</f>
        <v/>
      </c>
    </row>
    <row r="53" spans="2:18" x14ac:dyDescent="0.25">
      <c r="B53" s="41" t="str">
        <f t="shared" si="1"/>
        <v/>
      </c>
      <c r="C53" s="42" t="str">
        <f>IF($R53="","",INDEX(RawBtabs!$A$2:$A$1500,$R53))</f>
        <v/>
      </c>
      <c r="D53" s="42" t="str">
        <f>IF($C53="","",IFERROR(INDEX(BPOworkers!$E$6:$E$105,MATCH($C53,BPOworkers!$B$6:$B$105,0)),""))</f>
        <v/>
      </c>
      <c r="E53" s="43" t="str">
        <f>IF($R53="","",INDEX(RawBtabs!$C$2:$C$1500,$R53))</f>
        <v/>
      </c>
      <c r="F53" s="42" t="str">
        <f>IF($C53="","",IFERROR(INDEX(Config!$F$7:$F$11,$E53-Config!$C$7+1),""))</f>
        <v/>
      </c>
      <c r="G53" s="42" t="str">
        <f>IF($R53="","",INDEX(RawBtabs!$H$2:$H$1500,$R53))</f>
        <v/>
      </c>
      <c r="H53" s="41" t="str">
        <f>IF($R53="","",INDEX(RawBtabs!$B$2:$B$1500,$R53))</f>
        <v/>
      </c>
      <c r="I53" s="44" t="str">
        <f>IF($R53="","",INDEX(RawBtabs!$U$2:$U$1500,$R53))</f>
        <v/>
      </c>
      <c r="J53" s="50" t="str">
        <f>IF($R53="","",INDEX(RawBtabs!$K$2:$K$1500,$R53))</f>
        <v/>
      </c>
      <c r="K53" s="44" t="str">
        <f>IF($C53="","",SUMIFS(RawBtabs!$V$2:$V$1500,RawBtabs!$A$2:$A$1500,$C53,RawBtabs!$C$2:$C$1500,$E53))</f>
        <v/>
      </c>
      <c r="L53" s="42" t="str">
        <f>IF($C53="","",IF($I53=0,"⚠️ The detail does not state the hours",IF(ABS($K53-Config!$C$9)&lt;=Config!$C$10,"✅ Full day ("&amp;TEXT($K53,"0.##")&amp;" h)",IF($K53&lt;Config!$C$9,"🔻 Incomplete day: "&amp;TEXT($K53,"0.##")&amp;" h of "&amp;TEXT(Config!$C$9,"0")&amp;" h","🔺 Day exceeded: "&amp;TEXT($K53,"0.##")&amp;" h"))))</f>
        <v/>
      </c>
      <c r="M53" s="45" t="str">
        <f>IF($R53="","",INDEX(RawBtabs!$Q$2:$Q$1500,$R53))</f>
        <v/>
      </c>
      <c r="R53" s="46" t="str">
        <f>IFERROR(MATCH(ROW()-8,RawBtabs!$Z$2:$Z$1500,0),"")</f>
        <v/>
      </c>
    </row>
    <row r="54" spans="2:18" x14ac:dyDescent="0.25">
      <c r="B54" s="41" t="str">
        <f t="shared" si="1"/>
        <v/>
      </c>
      <c r="C54" s="42" t="str">
        <f>IF($R54="","",INDEX(RawBtabs!$A$2:$A$1500,$R54))</f>
        <v/>
      </c>
      <c r="D54" s="42" t="str">
        <f>IF($C54="","",IFERROR(INDEX(BPOworkers!$E$6:$E$105,MATCH($C54,BPOworkers!$B$6:$B$105,0)),""))</f>
        <v/>
      </c>
      <c r="E54" s="43" t="str">
        <f>IF($R54="","",INDEX(RawBtabs!$C$2:$C$1500,$R54))</f>
        <v/>
      </c>
      <c r="F54" s="42" t="str">
        <f>IF($C54="","",IFERROR(INDEX(Config!$F$7:$F$11,$E54-Config!$C$7+1),""))</f>
        <v/>
      </c>
      <c r="G54" s="42" t="str">
        <f>IF($R54="","",INDEX(RawBtabs!$H$2:$H$1500,$R54))</f>
        <v/>
      </c>
      <c r="H54" s="41" t="str">
        <f>IF($R54="","",INDEX(RawBtabs!$B$2:$B$1500,$R54))</f>
        <v/>
      </c>
      <c r="I54" s="44" t="str">
        <f>IF($R54="","",INDEX(RawBtabs!$U$2:$U$1500,$R54))</f>
        <v/>
      </c>
      <c r="J54" s="50" t="str">
        <f>IF($R54="","",INDEX(RawBtabs!$K$2:$K$1500,$R54))</f>
        <v/>
      </c>
      <c r="K54" s="44" t="str">
        <f>IF($C54="","",SUMIFS(RawBtabs!$V$2:$V$1500,RawBtabs!$A$2:$A$1500,$C54,RawBtabs!$C$2:$C$1500,$E54))</f>
        <v/>
      </c>
      <c r="L54" s="42" t="str">
        <f>IF($C54="","",IF($I54=0,"⚠️ The detail does not state the hours",IF(ABS($K54-Config!$C$9)&lt;=Config!$C$10,"✅ Full day ("&amp;TEXT($K54,"0.##")&amp;" h)",IF($K54&lt;Config!$C$9,"🔻 Incomplete day: "&amp;TEXT($K54,"0.##")&amp;" h of "&amp;TEXT(Config!$C$9,"0")&amp;" h","🔺 Day exceeded: "&amp;TEXT($K54,"0.##")&amp;" h"))))</f>
        <v/>
      </c>
      <c r="M54" s="45" t="str">
        <f>IF($R54="","",INDEX(RawBtabs!$Q$2:$Q$1500,$R54))</f>
        <v/>
      </c>
      <c r="R54" s="46" t="str">
        <f>IFERROR(MATCH(ROW()-8,RawBtabs!$Z$2:$Z$1500,0),"")</f>
        <v/>
      </c>
    </row>
    <row r="55" spans="2:18" x14ac:dyDescent="0.25">
      <c r="B55" s="41" t="str">
        <f t="shared" si="1"/>
        <v/>
      </c>
      <c r="C55" s="42" t="str">
        <f>IF($R55="","",INDEX(RawBtabs!$A$2:$A$1500,$R55))</f>
        <v/>
      </c>
      <c r="D55" s="42" t="str">
        <f>IF($C55="","",IFERROR(INDEX(BPOworkers!$E$6:$E$105,MATCH($C55,BPOworkers!$B$6:$B$105,0)),""))</f>
        <v/>
      </c>
      <c r="E55" s="43" t="str">
        <f>IF($R55="","",INDEX(RawBtabs!$C$2:$C$1500,$R55))</f>
        <v/>
      </c>
      <c r="F55" s="42" t="str">
        <f>IF($C55="","",IFERROR(INDEX(Config!$F$7:$F$11,$E55-Config!$C$7+1),""))</f>
        <v/>
      </c>
      <c r="G55" s="42" t="str">
        <f>IF($R55="","",INDEX(RawBtabs!$H$2:$H$1500,$R55))</f>
        <v/>
      </c>
      <c r="H55" s="41" t="str">
        <f>IF($R55="","",INDEX(RawBtabs!$B$2:$B$1500,$R55))</f>
        <v/>
      </c>
      <c r="I55" s="44" t="str">
        <f>IF($R55="","",INDEX(RawBtabs!$U$2:$U$1500,$R55))</f>
        <v/>
      </c>
      <c r="J55" s="50" t="str">
        <f>IF($R55="","",INDEX(RawBtabs!$K$2:$K$1500,$R55))</f>
        <v/>
      </c>
      <c r="K55" s="44" t="str">
        <f>IF($C55="","",SUMIFS(RawBtabs!$V$2:$V$1500,RawBtabs!$A$2:$A$1500,$C55,RawBtabs!$C$2:$C$1500,$E55))</f>
        <v/>
      </c>
      <c r="L55" s="42" t="str">
        <f>IF($C55="","",IF($I55=0,"⚠️ The detail does not state the hours",IF(ABS($K55-Config!$C$9)&lt;=Config!$C$10,"✅ Full day ("&amp;TEXT($K55,"0.##")&amp;" h)",IF($K55&lt;Config!$C$9,"🔻 Incomplete day: "&amp;TEXT($K55,"0.##")&amp;" h of "&amp;TEXT(Config!$C$9,"0")&amp;" h","🔺 Day exceeded: "&amp;TEXT($K55,"0.##")&amp;" h"))))</f>
        <v/>
      </c>
      <c r="M55" s="45" t="str">
        <f>IF($R55="","",INDEX(RawBtabs!$Q$2:$Q$1500,$R55))</f>
        <v/>
      </c>
      <c r="R55" s="46" t="str">
        <f>IFERROR(MATCH(ROW()-8,RawBtabs!$Z$2:$Z$1500,0),"")</f>
        <v/>
      </c>
    </row>
    <row r="56" spans="2:18" x14ac:dyDescent="0.25">
      <c r="B56" s="41" t="str">
        <f t="shared" si="1"/>
        <v/>
      </c>
      <c r="C56" s="42" t="str">
        <f>IF($R56="","",INDEX(RawBtabs!$A$2:$A$1500,$R56))</f>
        <v/>
      </c>
      <c r="D56" s="42" t="str">
        <f>IF($C56="","",IFERROR(INDEX(BPOworkers!$E$6:$E$105,MATCH($C56,BPOworkers!$B$6:$B$105,0)),""))</f>
        <v/>
      </c>
      <c r="E56" s="43" t="str">
        <f>IF($R56="","",INDEX(RawBtabs!$C$2:$C$1500,$R56))</f>
        <v/>
      </c>
      <c r="F56" s="42" t="str">
        <f>IF($C56="","",IFERROR(INDEX(Config!$F$7:$F$11,$E56-Config!$C$7+1),""))</f>
        <v/>
      </c>
      <c r="G56" s="42" t="str">
        <f>IF($R56="","",INDEX(RawBtabs!$H$2:$H$1500,$R56))</f>
        <v/>
      </c>
      <c r="H56" s="41" t="str">
        <f>IF($R56="","",INDEX(RawBtabs!$B$2:$B$1500,$R56))</f>
        <v/>
      </c>
      <c r="I56" s="44" t="str">
        <f>IF($R56="","",INDEX(RawBtabs!$U$2:$U$1500,$R56))</f>
        <v/>
      </c>
      <c r="J56" s="50" t="str">
        <f>IF($R56="","",INDEX(RawBtabs!$K$2:$K$1500,$R56))</f>
        <v/>
      </c>
      <c r="K56" s="44" t="str">
        <f>IF($C56="","",SUMIFS(RawBtabs!$V$2:$V$1500,RawBtabs!$A$2:$A$1500,$C56,RawBtabs!$C$2:$C$1500,$E56))</f>
        <v/>
      </c>
      <c r="L56" s="42" t="str">
        <f>IF($C56="","",IF($I56=0,"⚠️ The detail does not state the hours",IF(ABS($K56-Config!$C$9)&lt;=Config!$C$10,"✅ Full day ("&amp;TEXT($K56,"0.##")&amp;" h)",IF($K56&lt;Config!$C$9,"🔻 Incomplete day: "&amp;TEXT($K56,"0.##")&amp;" h of "&amp;TEXT(Config!$C$9,"0")&amp;" h","🔺 Day exceeded: "&amp;TEXT($K56,"0.##")&amp;" h"))))</f>
        <v/>
      </c>
      <c r="M56" s="45" t="str">
        <f>IF($R56="","",INDEX(RawBtabs!$Q$2:$Q$1500,$R56))</f>
        <v/>
      </c>
      <c r="R56" s="46" t="str">
        <f>IFERROR(MATCH(ROW()-8,RawBtabs!$Z$2:$Z$1500,0),"")</f>
        <v/>
      </c>
    </row>
    <row r="57" spans="2:18" x14ac:dyDescent="0.25">
      <c r="B57" s="41" t="str">
        <f t="shared" si="1"/>
        <v/>
      </c>
      <c r="C57" s="42" t="str">
        <f>IF($R57="","",INDEX(RawBtabs!$A$2:$A$1500,$R57))</f>
        <v/>
      </c>
      <c r="D57" s="42" t="str">
        <f>IF($C57="","",IFERROR(INDEX(BPOworkers!$E$6:$E$105,MATCH($C57,BPOworkers!$B$6:$B$105,0)),""))</f>
        <v/>
      </c>
      <c r="E57" s="43" t="str">
        <f>IF($R57="","",INDEX(RawBtabs!$C$2:$C$1500,$R57))</f>
        <v/>
      </c>
      <c r="F57" s="42" t="str">
        <f>IF($C57="","",IFERROR(INDEX(Config!$F$7:$F$11,$E57-Config!$C$7+1),""))</f>
        <v/>
      </c>
      <c r="G57" s="42" t="str">
        <f>IF($R57="","",INDEX(RawBtabs!$H$2:$H$1500,$R57))</f>
        <v/>
      </c>
      <c r="H57" s="41" t="str">
        <f>IF($R57="","",INDEX(RawBtabs!$B$2:$B$1500,$R57))</f>
        <v/>
      </c>
      <c r="I57" s="44" t="str">
        <f>IF($R57="","",INDEX(RawBtabs!$U$2:$U$1500,$R57))</f>
        <v/>
      </c>
      <c r="J57" s="50" t="str">
        <f>IF($R57="","",INDEX(RawBtabs!$K$2:$K$1500,$R57))</f>
        <v/>
      </c>
      <c r="K57" s="44" t="str">
        <f>IF($C57="","",SUMIFS(RawBtabs!$V$2:$V$1500,RawBtabs!$A$2:$A$1500,$C57,RawBtabs!$C$2:$C$1500,$E57))</f>
        <v/>
      </c>
      <c r="L57" s="42" t="str">
        <f>IF($C57="","",IF($I57=0,"⚠️ The detail does not state the hours",IF(ABS($K57-Config!$C$9)&lt;=Config!$C$10,"✅ Full day ("&amp;TEXT($K57,"0.##")&amp;" h)",IF($K57&lt;Config!$C$9,"🔻 Incomplete day: "&amp;TEXT($K57,"0.##")&amp;" h of "&amp;TEXT(Config!$C$9,"0")&amp;" h","🔺 Day exceeded: "&amp;TEXT($K57,"0.##")&amp;" h"))))</f>
        <v/>
      </c>
      <c r="M57" s="45" t="str">
        <f>IF($R57="","",INDEX(RawBtabs!$Q$2:$Q$1500,$R57))</f>
        <v/>
      </c>
      <c r="R57" s="46" t="str">
        <f>IFERROR(MATCH(ROW()-8,RawBtabs!$Z$2:$Z$1500,0),"")</f>
        <v/>
      </c>
    </row>
    <row r="58" spans="2:18" x14ac:dyDescent="0.25">
      <c r="B58" s="41" t="str">
        <f t="shared" si="1"/>
        <v/>
      </c>
      <c r="C58" s="42" t="str">
        <f>IF($R58="","",INDEX(RawBtabs!$A$2:$A$1500,$R58))</f>
        <v/>
      </c>
      <c r="D58" s="42" t="str">
        <f>IF($C58="","",IFERROR(INDEX(BPOworkers!$E$6:$E$105,MATCH($C58,BPOworkers!$B$6:$B$105,0)),""))</f>
        <v/>
      </c>
      <c r="E58" s="43" t="str">
        <f>IF($R58="","",INDEX(RawBtabs!$C$2:$C$1500,$R58))</f>
        <v/>
      </c>
      <c r="F58" s="42" t="str">
        <f>IF($C58="","",IFERROR(INDEX(Config!$F$7:$F$11,$E58-Config!$C$7+1),""))</f>
        <v/>
      </c>
      <c r="G58" s="42" t="str">
        <f>IF($R58="","",INDEX(RawBtabs!$H$2:$H$1500,$R58))</f>
        <v/>
      </c>
      <c r="H58" s="41" t="str">
        <f>IF($R58="","",INDEX(RawBtabs!$B$2:$B$1500,$R58))</f>
        <v/>
      </c>
      <c r="I58" s="44" t="str">
        <f>IF($R58="","",INDEX(RawBtabs!$U$2:$U$1500,$R58))</f>
        <v/>
      </c>
      <c r="J58" s="50" t="str">
        <f>IF($R58="","",INDEX(RawBtabs!$K$2:$K$1500,$R58))</f>
        <v/>
      </c>
      <c r="K58" s="44" t="str">
        <f>IF($C58="","",SUMIFS(RawBtabs!$V$2:$V$1500,RawBtabs!$A$2:$A$1500,$C58,RawBtabs!$C$2:$C$1500,$E58))</f>
        <v/>
      </c>
      <c r="L58" s="42" t="str">
        <f>IF($C58="","",IF($I58=0,"⚠️ The detail does not state the hours",IF(ABS($K58-Config!$C$9)&lt;=Config!$C$10,"✅ Full day ("&amp;TEXT($K58,"0.##")&amp;" h)",IF($K58&lt;Config!$C$9,"🔻 Incomplete day: "&amp;TEXT($K58,"0.##")&amp;" h of "&amp;TEXT(Config!$C$9,"0")&amp;" h","🔺 Day exceeded: "&amp;TEXT($K58,"0.##")&amp;" h"))))</f>
        <v/>
      </c>
      <c r="M58" s="45" t="str">
        <f>IF($R58="","",INDEX(RawBtabs!$Q$2:$Q$1500,$R58))</f>
        <v/>
      </c>
      <c r="R58" s="46" t="str">
        <f>IFERROR(MATCH(ROW()-8,RawBtabs!$Z$2:$Z$1500,0),"")</f>
        <v/>
      </c>
    </row>
    <row r="59" spans="2:18" x14ac:dyDescent="0.25">
      <c r="B59" s="41" t="str">
        <f t="shared" si="1"/>
        <v/>
      </c>
      <c r="C59" s="42" t="str">
        <f>IF($R59="","",INDEX(RawBtabs!$A$2:$A$1500,$R59))</f>
        <v/>
      </c>
      <c r="D59" s="42" t="str">
        <f>IF($C59="","",IFERROR(INDEX(BPOworkers!$E$6:$E$105,MATCH($C59,BPOworkers!$B$6:$B$105,0)),""))</f>
        <v/>
      </c>
      <c r="E59" s="43" t="str">
        <f>IF($R59="","",INDEX(RawBtabs!$C$2:$C$1500,$R59))</f>
        <v/>
      </c>
      <c r="F59" s="42" t="str">
        <f>IF($C59="","",IFERROR(INDEX(Config!$F$7:$F$11,$E59-Config!$C$7+1),""))</f>
        <v/>
      </c>
      <c r="G59" s="42" t="str">
        <f>IF($R59="","",INDEX(RawBtabs!$H$2:$H$1500,$R59))</f>
        <v/>
      </c>
      <c r="H59" s="41" t="str">
        <f>IF($R59="","",INDEX(RawBtabs!$B$2:$B$1500,$R59))</f>
        <v/>
      </c>
      <c r="I59" s="44" t="str">
        <f>IF($R59="","",INDEX(RawBtabs!$U$2:$U$1500,$R59))</f>
        <v/>
      </c>
      <c r="J59" s="50" t="str">
        <f>IF($R59="","",INDEX(RawBtabs!$K$2:$K$1500,$R59))</f>
        <v/>
      </c>
      <c r="K59" s="44" t="str">
        <f>IF($C59="","",SUMIFS(RawBtabs!$V$2:$V$1500,RawBtabs!$A$2:$A$1500,$C59,RawBtabs!$C$2:$C$1500,$E59))</f>
        <v/>
      </c>
      <c r="L59" s="42" t="str">
        <f>IF($C59="","",IF($I59=0,"⚠️ The detail does not state the hours",IF(ABS($K59-Config!$C$9)&lt;=Config!$C$10,"✅ Full day ("&amp;TEXT($K59,"0.##")&amp;" h)",IF($K59&lt;Config!$C$9,"🔻 Incomplete day: "&amp;TEXT($K59,"0.##")&amp;" h of "&amp;TEXT(Config!$C$9,"0")&amp;" h","🔺 Day exceeded: "&amp;TEXT($K59,"0.##")&amp;" h"))))</f>
        <v/>
      </c>
      <c r="M59" s="45" t="str">
        <f>IF($R59="","",INDEX(RawBtabs!$Q$2:$Q$1500,$R59))</f>
        <v/>
      </c>
      <c r="R59" s="46" t="str">
        <f>IFERROR(MATCH(ROW()-8,RawBtabs!$Z$2:$Z$1500,0),"")</f>
        <v/>
      </c>
    </row>
    <row r="60" spans="2:18" x14ac:dyDescent="0.25">
      <c r="B60" s="41" t="str">
        <f t="shared" si="1"/>
        <v/>
      </c>
      <c r="C60" s="42" t="str">
        <f>IF($R60="","",INDEX(RawBtabs!$A$2:$A$1500,$R60))</f>
        <v/>
      </c>
      <c r="D60" s="42" t="str">
        <f>IF($C60="","",IFERROR(INDEX(BPOworkers!$E$6:$E$105,MATCH($C60,BPOworkers!$B$6:$B$105,0)),""))</f>
        <v/>
      </c>
      <c r="E60" s="43" t="str">
        <f>IF($R60="","",INDEX(RawBtabs!$C$2:$C$1500,$R60))</f>
        <v/>
      </c>
      <c r="F60" s="42" t="str">
        <f>IF($C60="","",IFERROR(INDEX(Config!$F$7:$F$11,$E60-Config!$C$7+1),""))</f>
        <v/>
      </c>
      <c r="G60" s="42" t="str">
        <f>IF($R60="","",INDEX(RawBtabs!$H$2:$H$1500,$R60))</f>
        <v/>
      </c>
      <c r="H60" s="41" t="str">
        <f>IF($R60="","",INDEX(RawBtabs!$B$2:$B$1500,$R60))</f>
        <v/>
      </c>
      <c r="I60" s="44" t="str">
        <f>IF($R60="","",INDEX(RawBtabs!$U$2:$U$1500,$R60))</f>
        <v/>
      </c>
      <c r="J60" s="50" t="str">
        <f>IF($R60="","",INDEX(RawBtabs!$K$2:$K$1500,$R60))</f>
        <v/>
      </c>
      <c r="K60" s="44" t="str">
        <f>IF($C60="","",SUMIFS(RawBtabs!$V$2:$V$1500,RawBtabs!$A$2:$A$1500,$C60,RawBtabs!$C$2:$C$1500,$E60))</f>
        <v/>
      </c>
      <c r="L60" s="42" t="str">
        <f>IF($C60="","",IF($I60=0,"⚠️ The detail does not state the hours",IF(ABS($K60-Config!$C$9)&lt;=Config!$C$10,"✅ Full day ("&amp;TEXT($K60,"0.##")&amp;" h)",IF($K60&lt;Config!$C$9,"🔻 Incomplete day: "&amp;TEXT($K60,"0.##")&amp;" h of "&amp;TEXT(Config!$C$9,"0")&amp;" h","🔺 Day exceeded: "&amp;TEXT($K60,"0.##")&amp;" h"))))</f>
        <v/>
      </c>
      <c r="M60" s="45" t="str">
        <f>IF($R60="","",INDEX(RawBtabs!$Q$2:$Q$1500,$R60))</f>
        <v/>
      </c>
      <c r="R60" s="46" t="str">
        <f>IFERROR(MATCH(ROW()-8,RawBtabs!$Z$2:$Z$1500,0),"")</f>
        <v/>
      </c>
    </row>
    <row r="61" spans="2:18" x14ac:dyDescent="0.25">
      <c r="B61" s="41" t="str">
        <f t="shared" si="1"/>
        <v/>
      </c>
      <c r="C61" s="42" t="str">
        <f>IF($R61="","",INDEX(RawBtabs!$A$2:$A$1500,$R61))</f>
        <v/>
      </c>
      <c r="D61" s="42" t="str">
        <f>IF($C61="","",IFERROR(INDEX(BPOworkers!$E$6:$E$105,MATCH($C61,BPOworkers!$B$6:$B$105,0)),""))</f>
        <v/>
      </c>
      <c r="E61" s="43" t="str">
        <f>IF($R61="","",INDEX(RawBtabs!$C$2:$C$1500,$R61))</f>
        <v/>
      </c>
      <c r="F61" s="42" t="str">
        <f>IF($C61="","",IFERROR(INDEX(Config!$F$7:$F$11,$E61-Config!$C$7+1),""))</f>
        <v/>
      </c>
      <c r="G61" s="42" t="str">
        <f>IF($R61="","",INDEX(RawBtabs!$H$2:$H$1500,$R61))</f>
        <v/>
      </c>
      <c r="H61" s="41" t="str">
        <f>IF($R61="","",INDEX(RawBtabs!$B$2:$B$1500,$R61))</f>
        <v/>
      </c>
      <c r="I61" s="44" t="str">
        <f>IF($R61="","",INDEX(RawBtabs!$U$2:$U$1500,$R61))</f>
        <v/>
      </c>
      <c r="J61" s="50" t="str">
        <f>IF($R61="","",INDEX(RawBtabs!$K$2:$K$1500,$R61))</f>
        <v/>
      </c>
      <c r="K61" s="44" t="str">
        <f>IF($C61="","",SUMIFS(RawBtabs!$V$2:$V$1500,RawBtabs!$A$2:$A$1500,$C61,RawBtabs!$C$2:$C$1500,$E61))</f>
        <v/>
      </c>
      <c r="L61" s="42" t="str">
        <f>IF($C61="","",IF($I61=0,"⚠️ The detail does not state the hours",IF(ABS($K61-Config!$C$9)&lt;=Config!$C$10,"✅ Full day ("&amp;TEXT($K61,"0.##")&amp;" h)",IF($K61&lt;Config!$C$9,"🔻 Incomplete day: "&amp;TEXT($K61,"0.##")&amp;" h of "&amp;TEXT(Config!$C$9,"0")&amp;" h","🔺 Day exceeded: "&amp;TEXT($K61,"0.##")&amp;" h"))))</f>
        <v/>
      </c>
      <c r="M61" s="45" t="str">
        <f>IF($R61="","",INDEX(RawBtabs!$Q$2:$Q$1500,$R61))</f>
        <v/>
      </c>
      <c r="R61" s="46" t="str">
        <f>IFERROR(MATCH(ROW()-8,RawBtabs!$Z$2:$Z$1500,0),"")</f>
        <v/>
      </c>
    </row>
    <row r="62" spans="2:18" x14ac:dyDescent="0.25">
      <c r="B62" s="41" t="str">
        <f t="shared" si="1"/>
        <v/>
      </c>
      <c r="C62" s="42" t="str">
        <f>IF($R62="","",INDEX(RawBtabs!$A$2:$A$1500,$R62))</f>
        <v/>
      </c>
      <c r="D62" s="42" t="str">
        <f>IF($C62="","",IFERROR(INDEX(BPOworkers!$E$6:$E$105,MATCH($C62,BPOworkers!$B$6:$B$105,0)),""))</f>
        <v/>
      </c>
      <c r="E62" s="43" t="str">
        <f>IF($R62="","",INDEX(RawBtabs!$C$2:$C$1500,$R62))</f>
        <v/>
      </c>
      <c r="F62" s="42" t="str">
        <f>IF($C62="","",IFERROR(INDEX(Config!$F$7:$F$11,$E62-Config!$C$7+1),""))</f>
        <v/>
      </c>
      <c r="G62" s="42" t="str">
        <f>IF($R62="","",INDEX(RawBtabs!$H$2:$H$1500,$R62))</f>
        <v/>
      </c>
      <c r="H62" s="41" t="str">
        <f>IF($R62="","",INDEX(RawBtabs!$B$2:$B$1500,$R62))</f>
        <v/>
      </c>
      <c r="I62" s="44" t="str">
        <f>IF($R62="","",INDEX(RawBtabs!$U$2:$U$1500,$R62))</f>
        <v/>
      </c>
      <c r="J62" s="50" t="str">
        <f>IF($R62="","",INDEX(RawBtabs!$K$2:$K$1500,$R62))</f>
        <v/>
      </c>
      <c r="K62" s="44" t="str">
        <f>IF($C62="","",SUMIFS(RawBtabs!$V$2:$V$1500,RawBtabs!$A$2:$A$1500,$C62,RawBtabs!$C$2:$C$1500,$E62))</f>
        <v/>
      </c>
      <c r="L62" s="42" t="str">
        <f>IF($C62="","",IF($I62=0,"⚠️ The detail does not state the hours",IF(ABS($K62-Config!$C$9)&lt;=Config!$C$10,"✅ Full day ("&amp;TEXT($K62,"0.##")&amp;" h)",IF($K62&lt;Config!$C$9,"🔻 Incomplete day: "&amp;TEXT($K62,"0.##")&amp;" h of "&amp;TEXT(Config!$C$9,"0")&amp;" h","🔺 Day exceeded: "&amp;TEXT($K62,"0.##")&amp;" h"))))</f>
        <v/>
      </c>
      <c r="M62" s="45" t="str">
        <f>IF($R62="","",INDEX(RawBtabs!$Q$2:$Q$1500,$R62))</f>
        <v/>
      </c>
      <c r="R62" s="46" t="str">
        <f>IFERROR(MATCH(ROW()-8,RawBtabs!$Z$2:$Z$1500,0),"")</f>
        <v/>
      </c>
    </row>
    <row r="63" spans="2:18" x14ac:dyDescent="0.25">
      <c r="B63" s="41" t="str">
        <f t="shared" si="1"/>
        <v/>
      </c>
      <c r="C63" s="42" t="str">
        <f>IF($R63="","",INDEX(RawBtabs!$A$2:$A$1500,$R63))</f>
        <v/>
      </c>
      <c r="D63" s="42" t="str">
        <f>IF($C63="","",IFERROR(INDEX(BPOworkers!$E$6:$E$105,MATCH($C63,BPOworkers!$B$6:$B$105,0)),""))</f>
        <v/>
      </c>
      <c r="E63" s="43" t="str">
        <f>IF($R63="","",INDEX(RawBtabs!$C$2:$C$1500,$R63))</f>
        <v/>
      </c>
      <c r="F63" s="42" t="str">
        <f>IF($C63="","",IFERROR(INDEX(Config!$F$7:$F$11,$E63-Config!$C$7+1),""))</f>
        <v/>
      </c>
      <c r="G63" s="42" t="str">
        <f>IF($R63="","",INDEX(RawBtabs!$H$2:$H$1500,$R63))</f>
        <v/>
      </c>
      <c r="H63" s="41" t="str">
        <f>IF($R63="","",INDEX(RawBtabs!$B$2:$B$1500,$R63))</f>
        <v/>
      </c>
      <c r="I63" s="44" t="str">
        <f>IF($R63="","",INDEX(RawBtabs!$U$2:$U$1500,$R63))</f>
        <v/>
      </c>
      <c r="J63" s="50" t="str">
        <f>IF($R63="","",INDEX(RawBtabs!$K$2:$K$1500,$R63))</f>
        <v/>
      </c>
      <c r="K63" s="44" t="str">
        <f>IF($C63="","",SUMIFS(RawBtabs!$V$2:$V$1500,RawBtabs!$A$2:$A$1500,$C63,RawBtabs!$C$2:$C$1500,$E63))</f>
        <v/>
      </c>
      <c r="L63" s="42" t="str">
        <f>IF($C63="","",IF($I63=0,"⚠️ The detail does not state the hours",IF(ABS($K63-Config!$C$9)&lt;=Config!$C$10,"✅ Full day ("&amp;TEXT($K63,"0.##")&amp;" h)",IF($K63&lt;Config!$C$9,"🔻 Incomplete day: "&amp;TEXT($K63,"0.##")&amp;" h of "&amp;TEXT(Config!$C$9,"0")&amp;" h","🔺 Day exceeded: "&amp;TEXT($K63,"0.##")&amp;" h"))))</f>
        <v/>
      </c>
      <c r="M63" s="45" t="str">
        <f>IF($R63="","",INDEX(RawBtabs!$Q$2:$Q$1500,$R63))</f>
        <v/>
      </c>
      <c r="R63" s="46" t="str">
        <f>IFERROR(MATCH(ROW()-8,RawBtabs!$Z$2:$Z$1500,0),"")</f>
        <v/>
      </c>
    </row>
    <row r="64" spans="2:18" x14ac:dyDescent="0.25">
      <c r="B64" s="41" t="str">
        <f t="shared" si="1"/>
        <v/>
      </c>
      <c r="C64" s="42" t="str">
        <f>IF($R64="","",INDEX(RawBtabs!$A$2:$A$1500,$R64))</f>
        <v/>
      </c>
      <c r="D64" s="42" t="str">
        <f>IF($C64="","",IFERROR(INDEX(BPOworkers!$E$6:$E$105,MATCH($C64,BPOworkers!$B$6:$B$105,0)),""))</f>
        <v/>
      </c>
      <c r="E64" s="43" t="str">
        <f>IF($R64="","",INDEX(RawBtabs!$C$2:$C$1500,$R64))</f>
        <v/>
      </c>
      <c r="F64" s="42" t="str">
        <f>IF($C64="","",IFERROR(INDEX(Config!$F$7:$F$11,$E64-Config!$C$7+1),""))</f>
        <v/>
      </c>
      <c r="G64" s="42" t="str">
        <f>IF($R64="","",INDEX(RawBtabs!$H$2:$H$1500,$R64))</f>
        <v/>
      </c>
      <c r="H64" s="41" t="str">
        <f>IF($R64="","",INDEX(RawBtabs!$B$2:$B$1500,$R64))</f>
        <v/>
      </c>
      <c r="I64" s="44" t="str">
        <f>IF($R64="","",INDEX(RawBtabs!$U$2:$U$1500,$R64))</f>
        <v/>
      </c>
      <c r="J64" s="50" t="str">
        <f>IF($R64="","",INDEX(RawBtabs!$K$2:$K$1500,$R64))</f>
        <v/>
      </c>
      <c r="K64" s="44" t="str">
        <f>IF($C64="","",SUMIFS(RawBtabs!$V$2:$V$1500,RawBtabs!$A$2:$A$1500,$C64,RawBtabs!$C$2:$C$1500,$E64))</f>
        <v/>
      </c>
      <c r="L64" s="42" t="str">
        <f>IF($C64="","",IF($I64=0,"⚠️ The detail does not state the hours",IF(ABS($K64-Config!$C$9)&lt;=Config!$C$10,"✅ Full day ("&amp;TEXT($K64,"0.##")&amp;" h)",IF($K64&lt;Config!$C$9,"🔻 Incomplete day: "&amp;TEXT($K64,"0.##")&amp;" h of "&amp;TEXT(Config!$C$9,"0")&amp;" h","🔺 Day exceeded: "&amp;TEXT($K64,"0.##")&amp;" h"))))</f>
        <v/>
      </c>
      <c r="M64" s="45" t="str">
        <f>IF($R64="","",INDEX(RawBtabs!$Q$2:$Q$1500,$R64))</f>
        <v/>
      </c>
      <c r="R64" s="46" t="str">
        <f>IFERROR(MATCH(ROW()-8,RawBtabs!$Z$2:$Z$1500,0),"")</f>
        <v/>
      </c>
    </row>
    <row r="65" spans="2:18" x14ac:dyDescent="0.25">
      <c r="B65" s="41" t="str">
        <f t="shared" si="1"/>
        <v/>
      </c>
      <c r="C65" s="42" t="str">
        <f>IF($R65="","",INDEX(RawBtabs!$A$2:$A$1500,$R65))</f>
        <v/>
      </c>
      <c r="D65" s="42" t="str">
        <f>IF($C65="","",IFERROR(INDEX(BPOworkers!$E$6:$E$105,MATCH($C65,BPOworkers!$B$6:$B$105,0)),""))</f>
        <v/>
      </c>
      <c r="E65" s="43" t="str">
        <f>IF($R65="","",INDEX(RawBtabs!$C$2:$C$1500,$R65))</f>
        <v/>
      </c>
      <c r="F65" s="42" t="str">
        <f>IF($C65="","",IFERROR(INDEX(Config!$F$7:$F$11,$E65-Config!$C$7+1),""))</f>
        <v/>
      </c>
      <c r="G65" s="42" t="str">
        <f>IF($R65="","",INDEX(RawBtabs!$H$2:$H$1500,$R65))</f>
        <v/>
      </c>
      <c r="H65" s="41" t="str">
        <f>IF($R65="","",INDEX(RawBtabs!$B$2:$B$1500,$R65))</f>
        <v/>
      </c>
      <c r="I65" s="44" t="str">
        <f>IF($R65="","",INDEX(RawBtabs!$U$2:$U$1500,$R65))</f>
        <v/>
      </c>
      <c r="J65" s="50" t="str">
        <f>IF($R65="","",INDEX(RawBtabs!$K$2:$K$1500,$R65))</f>
        <v/>
      </c>
      <c r="K65" s="44" t="str">
        <f>IF($C65="","",SUMIFS(RawBtabs!$V$2:$V$1500,RawBtabs!$A$2:$A$1500,$C65,RawBtabs!$C$2:$C$1500,$E65))</f>
        <v/>
      </c>
      <c r="L65" s="42" t="str">
        <f>IF($C65="","",IF($I65=0,"⚠️ The detail does not state the hours",IF(ABS($K65-Config!$C$9)&lt;=Config!$C$10,"✅ Full day ("&amp;TEXT($K65,"0.##")&amp;" h)",IF($K65&lt;Config!$C$9,"🔻 Incomplete day: "&amp;TEXT($K65,"0.##")&amp;" h of "&amp;TEXT(Config!$C$9,"0")&amp;" h","🔺 Day exceeded: "&amp;TEXT($K65,"0.##")&amp;" h"))))</f>
        <v/>
      </c>
      <c r="M65" s="45" t="str">
        <f>IF($R65="","",INDEX(RawBtabs!$Q$2:$Q$1500,$R65))</f>
        <v/>
      </c>
      <c r="R65" s="46" t="str">
        <f>IFERROR(MATCH(ROW()-8,RawBtabs!$Z$2:$Z$1500,0),"")</f>
        <v/>
      </c>
    </row>
    <row r="66" spans="2:18" x14ac:dyDescent="0.25">
      <c r="B66" s="41" t="str">
        <f t="shared" si="1"/>
        <v/>
      </c>
      <c r="C66" s="42" t="str">
        <f>IF($R66="","",INDEX(RawBtabs!$A$2:$A$1500,$R66))</f>
        <v/>
      </c>
      <c r="D66" s="42" t="str">
        <f>IF($C66="","",IFERROR(INDEX(BPOworkers!$E$6:$E$105,MATCH($C66,BPOworkers!$B$6:$B$105,0)),""))</f>
        <v/>
      </c>
      <c r="E66" s="43" t="str">
        <f>IF($R66="","",INDEX(RawBtabs!$C$2:$C$1500,$R66))</f>
        <v/>
      </c>
      <c r="F66" s="42" t="str">
        <f>IF($C66="","",IFERROR(INDEX(Config!$F$7:$F$11,$E66-Config!$C$7+1),""))</f>
        <v/>
      </c>
      <c r="G66" s="42" t="str">
        <f>IF($R66="","",INDEX(RawBtabs!$H$2:$H$1500,$R66))</f>
        <v/>
      </c>
      <c r="H66" s="41" t="str">
        <f>IF($R66="","",INDEX(RawBtabs!$B$2:$B$1500,$R66))</f>
        <v/>
      </c>
      <c r="I66" s="44" t="str">
        <f>IF($R66="","",INDEX(RawBtabs!$U$2:$U$1500,$R66))</f>
        <v/>
      </c>
      <c r="J66" s="50" t="str">
        <f>IF($R66="","",INDEX(RawBtabs!$K$2:$K$1500,$R66))</f>
        <v/>
      </c>
      <c r="K66" s="44" t="str">
        <f>IF($C66="","",SUMIFS(RawBtabs!$V$2:$V$1500,RawBtabs!$A$2:$A$1500,$C66,RawBtabs!$C$2:$C$1500,$E66))</f>
        <v/>
      </c>
      <c r="L66" s="42" t="str">
        <f>IF($C66="","",IF($I66=0,"⚠️ The detail does not state the hours",IF(ABS($K66-Config!$C$9)&lt;=Config!$C$10,"✅ Full day ("&amp;TEXT($K66,"0.##")&amp;" h)",IF($K66&lt;Config!$C$9,"🔻 Incomplete day: "&amp;TEXT($K66,"0.##")&amp;" h of "&amp;TEXT(Config!$C$9,"0")&amp;" h","🔺 Day exceeded: "&amp;TEXT($K66,"0.##")&amp;" h"))))</f>
        <v/>
      </c>
      <c r="M66" s="45" t="str">
        <f>IF($R66="","",INDEX(RawBtabs!$Q$2:$Q$1500,$R66))</f>
        <v/>
      </c>
      <c r="R66" s="46" t="str">
        <f>IFERROR(MATCH(ROW()-8,RawBtabs!$Z$2:$Z$1500,0),"")</f>
        <v/>
      </c>
    </row>
    <row r="67" spans="2:18" x14ac:dyDescent="0.25">
      <c r="B67" s="41" t="str">
        <f t="shared" si="1"/>
        <v/>
      </c>
      <c r="C67" s="42" t="str">
        <f>IF($R67="","",INDEX(RawBtabs!$A$2:$A$1500,$R67))</f>
        <v/>
      </c>
      <c r="D67" s="42" t="str">
        <f>IF($C67="","",IFERROR(INDEX(BPOworkers!$E$6:$E$105,MATCH($C67,BPOworkers!$B$6:$B$105,0)),""))</f>
        <v/>
      </c>
      <c r="E67" s="43" t="str">
        <f>IF($R67="","",INDEX(RawBtabs!$C$2:$C$1500,$R67))</f>
        <v/>
      </c>
      <c r="F67" s="42" t="str">
        <f>IF($C67="","",IFERROR(INDEX(Config!$F$7:$F$11,$E67-Config!$C$7+1),""))</f>
        <v/>
      </c>
      <c r="G67" s="42" t="str">
        <f>IF($R67="","",INDEX(RawBtabs!$H$2:$H$1500,$R67))</f>
        <v/>
      </c>
      <c r="H67" s="41" t="str">
        <f>IF($R67="","",INDEX(RawBtabs!$B$2:$B$1500,$R67))</f>
        <v/>
      </c>
      <c r="I67" s="44" t="str">
        <f>IF($R67="","",INDEX(RawBtabs!$U$2:$U$1500,$R67))</f>
        <v/>
      </c>
      <c r="J67" s="50" t="str">
        <f>IF($R67="","",INDEX(RawBtabs!$K$2:$K$1500,$R67))</f>
        <v/>
      </c>
      <c r="K67" s="44" t="str">
        <f>IF($C67="","",SUMIFS(RawBtabs!$V$2:$V$1500,RawBtabs!$A$2:$A$1500,$C67,RawBtabs!$C$2:$C$1500,$E67))</f>
        <v/>
      </c>
      <c r="L67" s="42" t="str">
        <f>IF($C67="","",IF($I67=0,"⚠️ The detail does not state the hours",IF(ABS($K67-Config!$C$9)&lt;=Config!$C$10,"✅ Full day ("&amp;TEXT($K67,"0.##")&amp;" h)",IF($K67&lt;Config!$C$9,"🔻 Incomplete day: "&amp;TEXT($K67,"0.##")&amp;" h of "&amp;TEXT(Config!$C$9,"0")&amp;" h","🔺 Day exceeded: "&amp;TEXT($K67,"0.##")&amp;" h"))))</f>
        <v/>
      </c>
      <c r="M67" s="45" t="str">
        <f>IF($R67="","",INDEX(RawBtabs!$Q$2:$Q$1500,$R67))</f>
        <v/>
      </c>
      <c r="R67" s="46" t="str">
        <f>IFERROR(MATCH(ROW()-8,RawBtabs!$Z$2:$Z$1500,0),"")</f>
        <v/>
      </c>
    </row>
    <row r="68" spans="2:18" x14ac:dyDescent="0.25">
      <c r="B68" s="41" t="str">
        <f t="shared" si="1"/>
        <v/>
      </c>
      <c r="C68" s="42" t="str">
        <f>IF($R68="","",INDEX(RawBtabs!$A$2:$A$1500,$R68))</f>
        <v/>
      </c>
      <c r="D68" s="42" t="str">
        <f>IF($C68="","",IFERROR(INDEX(BPOworkers!$E$6:$E$105,MATCH($C68,BPOworkers!$B$6:$B$105,0)),""))</f>
        <v/>
      </c>
      <c r="E68" s="43" t="str">
        <f>IF($R68="","",INDEX(RawBtabs!$C$2:$C$1500,$R68))</f>
        <v/>
      </c>
      <c r="F68" s="42" t="str">
        <f>IF($C68="","",IFERROR(INDEX(Config!$F$7:$F$11,$E68-Config!$C$7+1),""))</f>
        <v/>
      </c>
      <c r="G68" s="42" t="str">
        <f>IF($R68="","",INDEX(RawBtabs!$H$2:$H$1500,$R68))</f>
        <v/>
      </c>
      <c r="H68" s="41" t="str">
        <f>IF($R68="","",INDEX(RawBtabs!$B$2:$B$1500,$R68))</f>
        <v/>
      </c>
      <c r="I68" s="44" t="str">
        <f>IF($R68="","",INDEX(RawBtabs!$U$2:$U$1500,$R68))</f>
        <v/>
      </c>
      <c r="J68" s="50" t="str">
        <f>IF($R68="","",INDEX(RawBtabs!$K$2:$K$1500,$R68))</f>
        <v/>
      </c>
      <c r="K68" s="44" t="str">
        <f>IF($C68="","",SUMIFS(RawBtabs!$V$2:$V$1500,RawBtabs!$A$2:$A$1500,$C68,RawBtabs!$C$2:$C$1500,$E68))</f>
        <v/>
      </c>
      <c r="L68" s="42" t="str">
        <f>IF($C68="","",IF($I68=0,"⚠️ The detail does not state the hours",IF(ABS($K68-Config!$C$9)&lt;=Config!$C$10,"✅ Full day ("&amp;TEXT($K68,"0.##")&amp;" h)",IF($K68&lt;Config!$C$9,"🔻 Incomplete day: "&amp;TEXT($K68,"0.##")&amp;" h of "&amp;TEXT(Config!$C$9,"0")&amp;" h","🔺 Day exceeded: "&amp;TEXT($K68,"0.##")&amp;" h"))))</f>
        <v/>
      </c>
      <c r="M68" s="45" t="str">
        <f>IF($R68="","",INDEX(RawBtabs!$Q$2:$Q$1500,$R68))</f>
        <v/>
      </c>
      <c r="R68" s="46" t="str">
        <f>IFERROR(MATCH(ROW()-8,RawBtabs!$Z$2:$Z$1500,0),"")</f>
        <v/>
      </c>
    </row>
    <row r="69" spans="2:18" x14ac:dyDescent="0.25">
      <c r="B69" s="41" t="str">
        <f t="shared" si="1"/>
        <v/>
      </c>
      <c r="C69" s="42" t="str">
        <f>IF($R69="","",INDEX(RawBtabs!$A$2:$A$1500,$R69))</f>
        <v/>
      </c>
      <c r="D69" s="42" t="str">
        <f>IF($C69="","",IFERROR(INDEX(BPOworkers!$E$6:$E$105,MATCH($C69,BPOworkers!$B$6:$B$105,0)),""))</f>
        <v/>
      </c>
      <c r="E69" s="43" t="str">
        <f>IF($R69="","",INDEX(RawBtabs!$C$2:$C$1500,$R69))</f>
        <v/>
      </c>
      <c r="F69" s="42" t="str">
        <f>IF($C69="","",IFERROR(INDEX(Config!$F$7:$F$11,$E69-Config!$C$7+1),""))</f>
        <v/>
      </c>
      <c r="G69" s="42" t="str">
        <f>IF($R69="","",INDEX(RawBtabs!$H$2:$H$1500,$R69))</f>
        <v/>
      </c>
      <c r="H69" s="41" t="str">
        <f>IF($R69="","",INDEX(RawBtabs!$B$2:$B$1500,$R69))</f>
        <v/>
      </c>
      <c r="I69" s="44" t="str">
        <f>IF($R69="","",INDEX(RawBtabs!$U$2:$U$1500,$R69))</f>
        <v/>
      </c>
      <c r="J69" s="50" t="str">
        <f>IF($R69="","",INDEX(RawBtabs!$K$2:$K$1500,$R69))</f>
        <v/>
      </c>
      <c r="K69" s="44" t="str">
        <f>IF($C69="","",SUMIFS(RawBtabs!$V$2:$V$1500,RawBtabs!$A$2:$A$1500,$C69,RawBtabs!$C$2:$C$1500,$E69))</f>
        <v/>
      </c>
      <c r="L69" s="42" t="str">
        <f>IF($C69="","",IF($I69=0,"⚠️ The detail does not state the hours",IF(ABS($K69-Config!$C$9)&lt;=Config!$C$10,"✅ Full day ("&amp;TEXT($K69,"0.##")&amp;" h)",IF($K69&lt;Config!$C$9,"🔻 Incomplete day: "&amp;TEXT($K69,"0.##")&amp;" h of "&amp;TEXT(Config!$C$9,"0")&amp;" h","🔺 Day exceeded: "&amp;TEXT($K69,"0.##")&amp;" h"))))</f>
        <v/>
      </c>
      <c r="M69" s="45" t="str">
        <f>IF($R69="","",INDEX(RawBtabs!$Q$2:$Q$1500,$R69))</f>
        <v/>
      </c>
      <c r="R69" s="46" t="str">
        <f>IFERROR(MATCH(ROW()-8,RawBtabs!$Z$2:$Z$1500,0),"")</f>
        <v/>
      </c>
    </row>
    <row r="70" spans="2:18" x14ac:dyDescent="0.25">
      <c r="B70" s="41" t="str">
        <f t="shared" si="1"/>
        <v/>
      </c>
      <c r="C70" s="42" t="str">
        <f>IF($R70="","",INDEX(RawBtabs!$A$2:$A$1500,$R70))</f>
        <v/>
      </c>
      <c r="D70" s="42" t="str">
        <f>IF($C70="","",IFERROR(INDEX(BPOworkers!$E$6:$E$105,MATCH($C70,BPOworkers!$B$6:$B$105,0)),""))</f>
        <v/>
      </c>
      <c r="E70" s="43" t="str">
        <f>IF($R70="","",INDEX(RawBtabs!$C$2:$C$1500,$R70))</f>
        <v/>
      </c>
      <c r="F70" s="42" t="str">
        <f>IF($C70="","",IFERROR(INDEX(Config!$F$7:$F$11,$E70-Config!$C$7+1),""))</f>
        <v/>
      </c>
      <c r="G70" s="42" t="str">
        <f>IF($R70="","",INDEX(RawBtabs!$H$2:$H$1500,$R70))</f>
        <v/>
      </c>
      <c r="H70" s="41" t="str">
        <f>IF($R70="","",INDEX(RawBtabs!$B$2:$B$1500,$R70))</f>
        <v/>
      </c>
      <c r="I70" s="44" t="str">
        <f>IF($R70="","",INDEX(RawBtabs!$U$2:$U$1500,$R70))</f>
        <v/>
      </c>
      <c r="J70" s="50" t="str">
        <f>IF($R70="","",INDEX(RawBtabs!$K$2:$K$1500,$R70))</f>
        <v/>
      </c>
      <c r="K70" s="44" t="str">
        <f>IF($C70="","",SUMIFS(RawBtabs!$V$2:$V$1500,RawBtabs!$A$2:$A$1500,$C70,RawBtabs!$C$2:$C$1500,$E70))</f>
        <v/>
      </c>
      <c r="L70" s="42" t="str">
        <f>IF($C70="","",IF($I70=0,"⚠️ The detail does not state the hours",IF(ABS($K70-Config!$C$9)&lt;=Config!$C$10,"✅ Full day ("&amp;TEXT($K70,"0.##")&amp;" h)",IF($K70&lt;Config!$C$9,"🔻 Incomplete day: "&amp;TEXT($K70,"0.##")&amp;" h of "&amp;TEXT(Config!$C$9,"0")&amp;" h","🔺 Day exceeded: "&amp;TEXT($K70,"0.##")&amp;" h"))))</f>
        <v/>
      </c>
      <c r="M70" s="45" t="str">
        <f>IF($R70="","",INDEX(RawBtabs!$Q$2:$Q$1500,$R70))</f>
        <v/>
      </c>
      <c r="R70" s="46" t="str">
        <f>IFERROR(MATCH(ROW()-8,RawBtabs!$Z$2:$Z$1500,0),"")</f>
        <v/>
      </c>
    </row>
    <row r="71" spans="2:18" x14ac:dyDescent="0.25">
      <c r="B71" s="41" t="str">
        <f t="shared" si="1"/>
        <v/>
      </c>
      <c r="C71" s="42" t="str">
        <f>IF($R71="","",INDEX(RawBtabs!$A$2:$A$1500,$R71))</f>
        <v/>
      </c>
      <c r="D71" s="42" t="str">
        <f>IF($C71="","",IFERROR(INDEX(BPOworkers!$E$6:$E$105,MATCH($C71,BPOworkers!$B$6:$B$105,0)),""))</f>
        <v/>
      </c>
      <c r="E71" s="43" t="str">
        <f>IF($R71="","",INDEX(RawBtabs!$C$2:$C$1500,$R71))</f>
        <v/>
      </c>
      <c r="F71" s="42" t="str">
        <f>IF($C71="","",IFERROR(INDEX(Config!$F$7:$F$11,$E71-Config!$C$7+1),""))</f>
        <v/>
      </c>
      <c r="G71" s="42" t="str">
        <f>IF($R71="","",INDEX(RawBtabs!$H$2:$H$1500,$R71))</f>
        <v/>
      </c>
      <c r="H71" s="41" t="str">
        <f>IF($R71="","",INDEX(RawBtabs!$B$2:$B$1500,$R71))</f>
        <v/>
      </c>
      <c r="I71" s="44" t="str">
        <f>IF($R71="","",INDEX(RawBtabs!$U$2:$U$1500,$R71))</f>
        <v/>
      </c>
      <c r="J71" s="50" t="str">
        <f>IF($R71="","",INDEX(RawBtabs!$K$2:$K$1500,$R71))</f>
        <v/>
      </c>
      <c r="K71" s="44" t="str">
        <f>IF($C71="","",SUMIFS(RawBtabs!$V$2:$V$1500,RawBtabs!$A$2:$A$1500,$C71,RawBtabs!$C$2:$C$1500,$E71))</f>
        <v/>
      </c>
      <c r="L71" s="42" t="str">
        <f>IF($C71="","",IF($I71=0,"⚠️ The detail does not state the hours",IF(ABS($K71-Config!$C$9)&lt;=Config!$C$10,"✅ Full day ("&amp;TEXT($K71,"0.##")&amp;" h)",IF($K71&lt;Config!$C$9,"🔻 Incomplete day: "&amp;TEXT($K71,"0.##")&amp;" h of "&amp;TEXT(Config!$C$9,"0")&amp;" h","🔺 Day exceeded: "&amp;TEXT($K71,"0.##")&amp;" h"))))</f>
        <v/>
      </c>
      <c r="M71" s="45" t="str">
        <f>IF($R71="","",INDEX(RawBtabs!$Q$2:$Q$1500,$R71))</f>
        <v/>
      </c>
      <c r="R71" s="46" t="str">
        <f>IFERROR(MATCH(ROW()-8,RawBtabs!$Z$2:$Z$1500,0),"")</f>
        <v/>
      </c>
    </row>
    <row r="72" spans="2:18" x14ac:dyDescent="0.25">
      <c r="B72" s="41" t="str">
        <f t="shared" si="1"/>
        <v/>
      </c>
      <c r="C72" s="42" t="str">
        <f>IF($R72="","",INDEX(RawBtabs!$A$2:$A$1500,$R72))</f>
        <v/>
      </c>
      <c r="D72" s="42" t="str">
        <f>IF($C72="","",IFERROR(INDEX(BPOworkers!$E$6:$E$105,MATCH($C72,BPOworkers!$B$6:$B$105,0)),""))</f>
        <v/>
      </c>
      <c r="E72" s="43" t="str">
        <f>IF($R72="","",INDEX(RawBtabs!$C$2:$C$1500,$R72))</f>
        <v/>
      </c>
      <c r="F72" s="42" t="str">
        <f>IF($C72="","",IFERROR(INDEX(Config!$F$7:$F$11,$E72-Config!$C$7+1),""))</f>
        <v/>
      </c>
      <c r="G72" s="42" t="str">
        <f>IF($R72="","",INDEX(RawBtabs!$H$2:$H$1500,$R72))</f>
        <v/>
      </c>
      <c r="H72" s="41" t="str">
        <f>IF($R72="","",INDEX(RawBtabs!$B$2:$B$1500,$R72))</f>
        <v/>
      </c>
      <c r="I72" s="44" t="str">
        <f>IF($R72="","",INDEX(RawBtabs!$U$2:$U$1500,$R72))</f>
        <v/>
      </c>
      <c r="J72" s="50" t="str">
        <f>IF($R72="","",INDEX(RawBtabs!$K$2:$K$1500,$R72))</f>
        <v/>
      </c>
      <c r="K72" s="44" t="str">
        <f>IF($C72="","",SUMIFS(RawBtabs!$V$2:$V$1500,RawBtabs!$A$2:$A$1500,$C72,RawBtabs!$C$2:$C$1500,$E72))</f>
        <v/>
      </c>
      <c r="L72" s="42" t="str">
        <f>IF($C72="","",IF($I72=0,"⚠️ The detail does not state the hours",IF(ABS($K72-Config!$C$9)&lt;=Config!$C$10,"✅ Full day ("&amp;TEXT($K72,"0.##")&amp;" h)",IF($K72&lt;Config!$C$9,"🔻 Incomplete day: "&amp;TEXT($K72,"0.##")&amp;" h of "&amp;TEXT(Config!$C$9,"0")&amp;" h","🔺 Day exceeded: "&amp;TEXT($K72,"0.##")&amp;" h"))))</f>
        <v/>
      </c>
      <c r="M72" s="45" t="str">
        <f>IF($R72="","",INDEX(RawBtabs!$Q$2:$Q$1500,$R72))</f>
        <v/>
      </c>
      <c r="R72" s="46" t="str">
        <f>IFERROR(MATCH(ROW()-8,RawBtabs!$Z$2:$Z$1500,0),"")</f>
        <v/>
      </c>
    </row>
    <row r="73" spans="2:18" x14ac:dyDescent="0.25">
      <c r="B73" s="41" t="str">
        <f t="shared" ref="B73:B98" si="2">IF($R73="","",ROW()-8)</f>
        <v/>
      </c>
      <c r="C73" s="42" t="str">
        <f>IF($R73="","",INDEX(RawBtabs!$A$2:$A$1500,$R73))</f>
        <v/>
      </c>
      <c r="D73" s="42" t="str">
        <f>IF($C73="","",IFERROR(INDEX(BPOworkers!$E$6:$E$105,MATCH($C73,BPOworkers!$B$6:$B$105,0)),""))</f>
        <v/>
      </c>
      <c r="E73" s="43" t="str">
        <f>IF($R73="","",INDEX(RawBtabs!$C$2:$C$1500,$R73))</f>
        <v/>
      </c>
      <c r="F73" s="42" t="str">
        <f>IF($C73="","",IFERROR(INDEX(Config!$F$7:$F$11,$E73-Config!$C$7+1),""))</f>
        <v/>
      </c>
      <c r="G73" s="42" t="str">
        <f>IF($R73="","",INDEX(RawBtabs!$H$2:$H$1500,$R73))</f>
        <v/>
      </c>
      <c r="H73" s="41" t="str">
        <f>IF($R73="","",INDEX(RawBtabs!$B$2:$B$1500,$R73))</f>
        <v/>
      </c>
      <c r="I73" s="44" t="str">
        <f>IF($R73="","",INDEX(RawBtabs!$U$2:$U$1500,$R73))</f>
        <v/>
      </c>
      <c r="J73" s="50" t="str">
        <f>IF($R73="","",INDEX(RawBtabs!$K$2:$K$1500,$R73))</f>
        <v/>
      </c>
      <c r="K73" s="44" t="str">
        <f>IF($C73="","",SUMIFS(RawBtabs!$V$2:$V$1500,RawBtabs!$A$2:$A$1500,$C73,RawBtabs!$C$2:$C$1500,$E73))</f>
        <v/>
      </c>
      <c r="L73" s="42" t="str">
        <f>IF($C73="","",IF($I73=0,"⚠️ The detail does not state the hours",IF(ABS($K73-Config!$C$9)&lt;=Config!$C$10,"✅ Full day ("&amp;TEXT($K73,"0.##")&amp;" h)",IF($K73&lt;Config!$C$9,"🔻 Incomplete day: "&amp;TEXT($K73,"0.##")&amp;" h of "&amp;TEXT(Config!$C$9,"0")&amp;" h","🔺 Day exceeded: "&amp;TEXT($K73,"0.##")&amp;" h"))))</f>
        <v/>
      </c>
      <c r="M73" s="45" t="str">
        <f>IF($R73="","",INDEX(RawBtabs!$Q$2:$Q$1500,$R73))</f>
        <v/>
      </c>
      <c r="R73" s="46" t="str">
        <f>IFERROR(MATCH(ROW()-8,RawBtabs!$Z$2:$Z$1500,0),"")</f>
        <v/>
      </c>
    </row>
    <row r="74" spans="2:18" x14ac:dyDescent="0.25">
      <c r="B74" s="41" t="str">
        <f t="shared" si="2"/>
        <v/>
      </c>
      <c r="C74" s="42" t="str">
        <f>IF($R74="","",INDEX(RawBtabs!$A$2:$A$1500,$R74))</f>
        <v/>
      </c>
      <c r="D74" s="42" t="str">
        <f>IF($C74="","",IFERROR(INDEX(BPOworkers!$E$6:$E$105,MATCH($C74,BPOworkers!$B$6:$B$105,0)),""))</f>
        <v/>
      </c>
      <c r="E74" s="43" t="str">
        <f>IF($R74="","",INDEX(RawBtabs!$C$2:$C$1500,$R74))</f>
        <v/>
      </c>
      <c r="F74" s="42" t="str">
        <f>IF($C74="","",IFERROR(INDEX(Config!$F$7:$F$11,$E74-Config!$C$7+1),""))</f>
        <v/>
      </c>
      <c r="G74" s="42" t="str">
        <f>IF($R74="","",INDEX(RawBtabs!$H$2:$H$1500,$R74))</f>
        <v/>
      </c>
      <c r="H74" s="41" t="str">
        <f>IF($R74="","",INDEX(RawBtabs!$B$2:$B$1500,$R74))</f>
        <v/>
      </c>
      <c r="I74" s="44" t="str">
        <f>IF($R74="","",INDEX(RawBtabs!$U$2:$U$1500,$R74))</f>
        <v/>
      </c>
      <c r="J74" s="50" t="str">
        <f>IF($R74="","",INDEX(RawBtabs!$K$2:$K$1500,$R74))</f>
        <v/>
      </c>
      <c r="K74" s="44" t="str">
        <f>IF($C74="","",SUMIFS(RawBtabs!$V$2:$V$1500,RawBtabs!$A$2:$A$1500,$C74,RawBtabs!$C$2:$C$1500,$E74))</f>
        <v/>
      </c>
      <c r="L74" s="42" t="str">
        <f>IF($C74="","",IF($I74=0,"⚠️ The detail does not state the hours",IF(ABS($K74-Config!$C$9)&lt;=Config!$C$10,"✅ Full day ("&amp;TEXT($K74,"0.##")&amp;" h)",IF($K74&lt;Config!$C$9,"🔻 Incomplete day: "&amp;TEXT($K74,"0.##")&amp;" h of "&amp;TEXT(Config!$C$9,"0")&amp;" h","🔺 Day exceeded: "&amp;TEXT($K74,"0.##")&amp;" h"))))</f>
        <v/>
      </c>
      <c r="M74" s="45" t="str">
        <f>IF($R74="","",INDEX(RawBtabs!$Q$2:$Q$1500,$R74))</f>
        <v/>
      </c>
      <c r="R74" s="46" t="str">
        <f>IFERROR(MATCH(ROW()-8,RawBtabs!$Z$2:$Z$1500,0),"")</f>
        <v/>
      </c>
    </row>
    <row r="75" spans="2:18" x14ac:dyDescent="0.25">
      <c r="B75" s="41" t="str">
        <f t="shared" si="2"/>
        <v/>
      </c>
      <c r="C75" s="42" t="str">
        <f>IF($R75="","",INDEX(RawBtabs!$A$2:$A$1500,$R75))</f>
        <v/>
      </c>
      <c r="D75" s="42" t="str">
        <f>IF($C75="","",IFERROR(INDEX(BPOworkers!$E$6:$E$105,MATCH($C75,BPOworkers!$B$6:$B$105,0)),""))</f>
        <v/>
      </c>
      <c r="E75" s="43" t="str">
        <f>IF($R75="","",INDEX(RawBtabs!$C$2:$C$1500,$R75))</f>
        <v/>
      </c>
      <c r="F75" s="42" t="str">
        <f>IF($C75="","",IFERROR(INDEX(Config!$F$7:$F$11,$E75-Config!$C$7+1),""))</f>
        <v/>
      </c>
      <c r="G75" s="42" t="str">
        <f>IF($R75="","",INDEX(RawBtabs!$H$2:$H$1500,$R75))</f>
        <v/>
      </c>
      <c r="H75" s="41" t="str">
        <f>IF($R75="","",INDEX(RawBtabs!$B$2:$B$1500,$R75))</f>
        <v/>
      </c>
      <c r="I75" s="44" t="str">
        <f>IF($R75="","",INDEX(RawBtabs!$U$2:$U$1500,$R75))</f>
        <v/>
      </c>
      <c r="J75" s="50" t="str">
        <f>IF($R75="","",INDEX(RawBtabs!$K$2:$K$1500,$R75))</f>
        <v/>
      </c>
      <c r="K75" s="44" t="str">
        <f>IF($C75="","",SUMIFS(RawBtabs!$V$2:$V$1500,RawBtabs!$A$2:$A$1500,$C75,RawBtabs!$C$2:$C$1500,$E75))</f>
        <v/>
      </c>
      <c r="L75" s="42" t="str">
        <f>IF($C75="","",IF($I75=0,"⚠️ The detail does not state the hours",IF(ABS($K75-Config!$C$9)&lt;=Config!$C$10,"✅ Full day ("&amp;TEXT($K75,"0.##")&amp;" h)",IF($K75&lt;Config!$C$9,"🔻 Incomplete day: "&amp;TEXT($K75,"0.##")&amp;" h of "&amp;TEXT(Config!$C$9,"0")&amp;" h","🔺 Day exceeded: "&amp;TEXT($K75,"0.##")&amp;" h"))))</f>
        <v/>
      </c>
      <c r="M75" s="45" t="str">
        <f>IF($R75="","",INDEX(RawBtabs!$Q$2:$Q$1500,$R75))</f>
        <v/>
      </c>
      <c r="R75" s="46" t="str">
        <f>IFERROR(MATCH(ROW()-8,RawBtabs!$Z$2:$Z$1500,0),"")</f>
        <v/>
      </c>
    </row>
    <row r="76" spans="2:18" x14ac:dyDescent="0.25">
      <c r="B76" s="41" t="str">
        <f t="shared" si="2"/>
        <v/>
      </c>
      <c r="C76" s="42" t="str">
        <f>IF($R76="","",INDEX(RawBtabs!$A$2:$A$1500,$R76))</f>
        <v/>
      </c>
      <c r="D76" s="42" t="str">
        <f>IF($C76="","",IFERROR(INDEX(BPOworkers!$E$6:$E$105,MATCH($C76,BPOworkers!$B$6:$B$105,0)),""))</f>
        <v/>
      </c>
      <c r="E76" s="43" t="str">
        <f>IF($R76="","",INDEX(RawBtabs!$C$2:$C$1500,$R76))</f>
        <v/>
      </c>
      <c r="F76" s="42" t="str">
        <f>IF($C76="","",IFERROR(INDEX(Config!$F$7:$F$11,$E76-Config!$C$7+1),""))</f>
        <v/>
      </c>
      <c r="G76" s="42" t="str">
        <f>IF($R76="","",INDEX(RawBtabs!$H$2:$H$1500,$R76))</f>
        <v/>
      </c>
      <c r="H76" s="41" t="str">
        <f>IF($R76="","",INDEX(RawBtabs!$B$2:$B$1500,$R76))</f>
        <v/>
      </c>
      <c r="I76" s="44" t="str">
        <f>IF($R76="","",INDEX(RawBtabs!$U$2:$U$1500,$R76))</f>
        <v/>
      </c>
      <c r="J76" s="50" t="str">
        <f>IF($R76="","",INDEX(RawBtabs!$K$2:$K$1500,$R76))</f>
        <v/>
      </c>
      <c r="K76" s="44" t="str">
        <f>IF($C76="","",SUMIFS(RawBtabs!$V$2:$V$1500,RawBtabs!$A$2:$A$1500,$C76,RawBtabs!$C$2:$C$1500,$E76))</f>
        <v/>
      </c>
      <c r="L76" s="42" t="str">
        <f>IF($C76="","",IF($I76=0,"⚠️ The detail does not state the hours",IF(ABS($K76-Config!$C$9)&lt;=Config!$C$10,"✅ Full day ("&amp;TEXT($K76,"0.##")&amp;" h)",IF($K76&lt;Config!$C$9,"🔻 Incomplete day: "&amp;TEXT($K76,"0.##")&amp;" h of "&amp;TEXT(Config!$C$9,"0")&amp;" h","🔺 Day exceeded: "&amp;TEXT($K76,"0.##")&amp;" h"))))</f>
        <v/>
      </c>
      <c r="M76" s="45" t="str">
        <f>IF($R76="","",INDEX(RawBtabs!$Q$2:$Q$1500,$R76))</f>
        <v/>
      </c>
      <c r="R76" s="46" t="str">
        <f>IFERROR(MATCH(ROW()-8,RawBtabs!$Z$2:$Z$1500,0),"")</f>
        <v/>
      </c>
    </row>
    <row r="77" spans="2:18" x14ac:dyDescent="0.25">
      <c r="B77" s="41" t="str">
        <f t="shared" si="2"/>
        <v/>
      </c>
      <c r="C77" s="42" t="str">
        <f>IF($R77="","",INDEX(RawBtabs!$A$2:$A$1500,$R77))</f>
        <v/>
      </c>
      <c r="D77" s="42" t="str">
        <f>IF($C77="","",IFERROR(INDEX(BPOworkers!$E$6:$E$105,MATCH($C77,BPOworkers!$B$6:$B$105,0)),""))</f>
        <v/>
      </c>
      <c r="E77" s="43" t="str">
        <f>IF($R77="","",INDEX(RawBtabs!$C$2:$C$1500,$R77))</f>
        <v/>
      </c>
      <c r="F77" s="42" t="str">
        <f>IF($C77="","",IFERROR(INDEX(Config!$F$7:$F$11,$E77-Config!$C$7+1),""))</f>
        <v/>
      </c>
      <c r="G77" s="42" t="str">
        <f>IF($R77="","",INDEX(RawBtabs!$H$2:$H$1500,$R77))</f>
        <v/>
      </c>
      <c r="H77" s="41" t="str">
        <f>IF($R77="","",INDEX(RawBtabs!$B$2:$B$1500,$R77))</f>
        <v/>
      </c>
      <c r="I77" s="44" t="str">
        <f>IF($R77="","",INDEX(RawBtabs!$U$2:$U$1500,$R77))</f>
        <v/>
      </c>
      <c r="J77" s="50" t="str">
        <f>IF($R77="","",INDEX(RawBtabs!$K$2:$K$1500,$R77))</f>
        <v/>
      </c>
      <c r="K77" s="44" t="str">
        <f>IF($C77="","",SUMIFS(RawBtabs!$V$2:$V$1500,RawBtabs!$A$2:$A$1500,$C77,RawBtabs!$C$2:$C$1500,$E77))</f>
        <v/>
      </c>
      <c r="L77" s="42" t="str">
        <f>IF($C77="","",IF($I77=0,"⚠️ The detail does not state the hours",IF(ABS($K77-Config!$C$9)&lt;=Config!$C$10,"✅ Full day ("&amp;TEXT($K77,"0.##")&amp;" h)",IF($K77&lt;Config!$C$9,"🔻 Incomplete day: "&amp;TEXT($K77,"0.##")&amp;" h of "&amp;TEXT(Config!$C$9,"0")&amp;" h","🔺 Day exceeded: "&amp;TEXT($K77,"0.##")&amp;" h"))))</f>
        <v/>
      </c>
      <c r="M77" s="45" t="str">
        <f>IF($R77="","",INDEX(RawBtabs!$Q$2:$Q$1500,$R77))</f>
        <v/>
      </c>
      <c r="R77" s="46" t="str">
        <f>IFERROR(MATCH(ROW()-8,RawBtabs!$Z$2:$Z$1500,0),"")</f>
        <v/>
      </c>
    </row>
    <row r="78" spans="2:18" x14ac:dyDescent="0.25">
      <c r="B78" s="41" t="str">
        <f t="shared" si="2"/>
        <v/>
      </c>
      <c r="C78" s="42" t="str">
        <f>IF($R78="","",INDEX(RawBtabs!$A$2:$A$1500,$R78))</f>
        <v/>
      </c>
      <c r="D78" s="42" t="str">
        <f>IF($C78="","",IFERROR(INDEX(BPOworkers!$E$6:$E$105,MATCH($C78,BPOworkers!$B$6:$B$105,0)),""))</f>
        <v/>
      </c>
      <c r="E78" s="43" t="str">
        <f>IF($R78="","",INDEX(RawBtabs!$C$2:$C$1500,$R78))</f>
        <v/>
      </c>
      <c r="F78" s="42" t="str">
        <f>IF($C78="","",IFERROR(INDEX(Config!$F$7:$F$11,$E78-Config!$C$7+1),""))</f>
        <v/>
      </c>
      <c r="G78" s="42" t="str">
        <f>IF($R78="","",INDEX(RawBtabs!$H$2:$H$1500,$R78))</f>
        <v/>
      </c>
      <c r="H78" s="41" t="str">
        <f>IF($R78="","",INDEX(RawBtabs!$B$2:$B$1500,$R78))</f>
        <v/>
      </c>
      <c r="I78" s="44" t="str">
        <f>IF($R78="","",INDEX(RawBtabs!$U$2:$U$1500,$R78))</f>
        <v/>
      </c>
      <c r="J78" s="50" t="str">
        <f>IF($R78="","",INDEX(RawBtabs!$K$2:$K$1500,$R78))</f>
        <v/>
      </c>
      <c r="K78" s="44" t="str">
        <f>IF($C78="","",SUMIFS(RawBtabs!$V$2:$V$1500,RawBtabs!$A$2:$A$1500,$C78,RawBtabs!$C$2:$C$1500,$E78))</f>
        <v/>
      </c>
      <c r="L78" s="42" t="str">
        <f>IF($C78="","",IF($I78=0,"⚠️ The detail does not state the hours",IF(ABS($K78-Config!$C$9)&lt;=Config!$C$10,"✅ Full day ("&amp;TEXT($K78,"0.##")&amp;" h)",IF($K78&lt;Config!$C$9,"🔻 Incomplete day: "&amp;TEXT($K78,"0.##")&amp;" h of "&amp;TEXT(Config!$C$9,"0")&amp;" h","🔺 Day exceeded: "&amp;TEXT($K78,"0.##")&amp;" h"))))</f>
        <v/>
      </c>
      <c r="M78" s="45" t="str">
        <f>IF($R78="","",INDEX(RawBtabs!$Q$2:$Q$1500,$R78))</f>
        <v/>
      </c>
      <c r="R78" s="46" t="str">
        <f>IFERROR(MATCH(ROW()-8,RawBtabs!$Z$2:$Z$1500,0),"")</f>
        <v/>
      </c>
    </row>
    <row r="79" spans="2:18" x14ac:dyDescent="0.25">
      <c r="B79" s="41" t="str">
        <f t="shared" si="2"/>
        <v/>
      </c>
      <c r="C79" s="42" t="str">
        <f>IF($R79="","",INDEX(RawBtabs!$A$2:$A$1500,$R79))</f>
        <v/>
      </c>
      <c r="D79" s="42" t="str">
        <f>IF($C79="","",IFERROR(INDEX(BPOworkers!$E$6:$E$105,MATCH($C79,BPOworkers!$B$6:$B$105,0)),""))</f>
        <v/>
      </c>
      <c r="E79" s="43" t="str">
        <f>IF($R79="","",INDEX(RawBtabs!$C$2:$C$1500,$R79))</f>
        <v/>
      </c>
      <c r="F79" s="42" t="str">
        <f>IF($C79="","",IFERROR(INDEX(Config!$F$7:$F$11,$E79-Config!$C$7+1),""))</f>
        <v/>
      </c>
      <c r="G79" s="42" t="str">
        <f>IF($R79="","",INDEX(RawBtabs!$H$2:$H$1500,$R79))</f>
        <v/>
      </c>
      <c r="H79" s="41" t="str">
        <f>IF($R79="","",INDEX(RawBtabs!$B$2:$B$1500,$R79))</f>
        <v/>
      </c>
      <c r="I79" s="44" t="str">
        <f>IF($R79="","",INDEX(RawBtabs!$U$2:$U$1500,$R79))</f>
        <v/>
      </c>
      <c r="J79" s="50" t="str">
        <f>IF($R79="","",INDEX(RawBtabs!$K$2:$K$1500,$R79))</f>
        <v/>
      </c>
      <c r="K79" s="44" t="str">
        <f>IF($C79="","",SUMIFS(RawBtabs!$V$2:$V$1500,RawBtabs!$A$2:$A$1500,$C79,RawBtabs!$C$2:$C$1500,$E79))</f>
        <v/>
      </c>
      <c r="L79" s="42" t="str">
        <f>IF($C79="","",IF($I79=0,"⚠️ The detail does not state the hours",IF(ABS($K79-Config!$C$9)&lt;=Config!$C$10,"✅ Full day ("&amp;TEXT($K79,"0.##")&amp;" h)",IF($K79&lt;Config!$C$9,"🔻 Incomplete day: "&amp;TEXT($K79,"0.##")&amp;" h of "&amp;TEXT(Config!$C$9,"0")&amp;" h","🔺 Day exceeded: "&amp;TEXT($K79,"0.##")&amp;" h"))))</f>
        <v/>
      </c>
      <c r="M79" s="45" t="str">
        <f>IF($R79="","",INDEX(RawBtabs!$Q$2:$Q$1500,$R79))</f>
        <v/>
      </c>
      <c r="R79" s="46" t="str">
        <f>IFERROR(MATCH(ROW()-8,RawBtabs!$Z$2:$Z$1500,0),"")</f>
        <v/>
      </c>
    </row>
    <row r="80" spans="2:18" x14ac:dyDescent="0.25">
      <c r="B80" s="41" t="str">
        <f t="shared" si="2"/>
        <v/>
      </c>
      <c r="C80" s="42" t="str">
        <f>IF($R80="","",INDEX(RawBtabs!$A$2:$A$1500,$R80))</f>
        <v/>
      </c>
      <c r="D80" s="42" t="str">
        <f>IF($C80="","",IFERROR(INDEX(BPOworkers!$E$6:$E$105,MATCH($C80,BPOworkers!$B$6:$B$105,0)),""))</f>
        <v/>
      </c>
      <c r="E80" s="43" t="str">
        <f>IF($R80="","",INDEX(RawBtabs!$C$2:$C$1500,$R80))</f>
        <v/>
      </c>
      <c r="F80" s="42" t="str">
        <f>IF($C80="","",IFERROR(INDEX(Config!$F$7:$F$11,$E80-Config!$C$7+1),""))</f>
        <v/>
      </c>
      <c r="G80" s="42" t="str">
        <f>IF($R80="","",INDEX(RawBtabs!$H$2:$H$1500,$R80))</f>
        <v/>
      </c>
      <c r="H80" s="41" t="str">
        <f>IF($R80="","",INDEX(RawBtabs!$B$2:$B$1500,$R80))</f>
        <v/>
      </c>
      <c r="I80" s="44" t="str">
        <f>IF($R80="","",INDEX(RawBtabs!$U$2:$U$1500,$R80))</f>
        <v/>
      </c>
      <c r="J80" s="50" t="str">
        <f>IF($R80="","",INDEX(RawBtabs!$K$2:$K$1500,$R80))</f>
        <v/>
      </c>
      <c r="K80" s="44" t="str">
        <f>IF($C80="","",SUMIFS(RawBtabs!$V$2:$V$1500,RawBtabs!$A$2:$A$1500,$C80,RawBtabs!$C$2:$C$1500,$E80))</f>
        <v/>
      </c>
      <c r="L80" s="42" t="str">
        <f>IF($C80="","",IF($I80=0,"⚠️ The detail does not state the hours",IF(ABS($K80-Config!$C$9)&lt;=Config!$C$10,"✅ Full day ("&amp;TEXT($K80,"0.##")&amp;" h)",IF($K80&lt;Config!$C$9,"🔻 Incomplete day: "&amp;TEXT($K80,"0.##")&amp;" h of "&amp;TEXT(Config!$C$9,"0")&amp;" h","🔺 Day exceeded: "&amp;TEXT($K80,"0.##")&amp;" h"))))</f>
        <v/>
      </c>
      <c r="M80" s="45" t="str">
        <f>IF($R80="","",INDEX(RawBtabs!$Q$2:$Q$1500,$R80))</f>
        <v/>
      </c>
      <c r="R80" s="46" t="str">
        <f>IFERROR(MATCH(ROW()-8,RawBtabs!$Z$2:$Z$1500,0),"")</f>
        <v/>
      </c>
    </row>
    <row r="81" spans="2:18" x14ac:dyDescent="0.25">
      <c r="B81" s="41" t="str">
        <f t="shared" si="2"/>
        <v/>
      </c>
      <c r="C81" s="42" t="str">
        <f>IF($R81="","",INDEX(RawBtabs!$A$2:$A$1500,$R81))</f>
        <v/>
      </c>
      <c r="D81" s="42" t="str">
        <f>IF($C81="","",IFERROR(INDEX(BPOworkers!$E$6:$E$105,MATCH($C81,BPOworkers!$B$6:$B$105,0)),""))</f>
        <v/>
      </c>
      <c r="E81" s="43" t="str">
        <f>IF($R81="","",INDEX(RawBtabs!$C$2:$C$1500,$R81))</f>
        <v/>
      </c>
      <c r="F81" s="42" t="str">
        <f>IF($C81="","",IFERROR(INDEX(Config!$F$7:$F$11,$E81-Config!$C$7+1),""))</f>
        <v/>
      </c>
      <c r="G81" s="42" t="str">
        <f>IF($R81="","",INDEX(RawBtabs!$H$2:$H$1500,$R81))</f>
        <v/>
      </c>
      <c r="H81" s="41" t="str">
        <f>IF($R81="","",INDEX(RawBtabs!$B$2:$B$1500,$R81))</f>
        <v/>
      </c>
      <c r="I81" s="44" t="str">
        <f>IF($R81="","",INDEX(RawBtabs!$U$2:$U$1500,$R81))</f>
        <v/>
      </c>
      <c r="J81" s="50" t="str">
        <f>IF($R81="","",INDEX(RawBtabs!$K$2:$K$1500,$R81))</f>
        <v/>
      </c>
      <c r="K81" s="44" t="str">
        <f>IF($C81="","",SUMIFS(RawBtabs!$V$2:$V$1500,RawBtabs!$A$2:$A$1500,$C81,RawBtabs!$C$2:$C$1500,$E81))</f>
        <v/>
      </c>
      <c r="L81" s="42" t="str">
        <f>IF($C81="","",IF($I81=0,"⚠️ The detail does not state the hours",IF(ABS($K81-Config!$C$9)&lt;=Config!$C$10,"✅ Full day ("&amp;TEXT($K81,"0.##")&amp;" h)",IF($K81&lt;Config!$C$9,"🔻 Incomplete day: "&amp;TEXT($K81,"0.##")&amp;" h of "&amp;TEXT(Config!$C$9,"0")&amp;" h","🔺 Day exceeded: "&amp;TEXT($K81,"0.##")&amp;" h"))))</f>
        <v/>
      </c>
      <c r="M81" s="45" t="str">
        <f>IF($R81="","",INDEX(RawBtabs!$Q$2:$Q$1500,$R81))</f>
        <v/>
      </c>
      <c r="R81" s="46" t="str">
        <f>IFERROR(MATCH(ROW()-8,RawBtabs!$Z$2:$Z$1500,0),"")</f>
        <v/>
      </c>
    </row>
    <row r="82" spans="2:18" x14ac:dyDescent="0.25">
      <c r="B82" s="41" t="str">
        <f t="shared" si="2"/>
        <v/>
      </c>
      <c r="C82" s="42" t="str">
        <f>IF($R82="","",INDEX(RawBtabs!$A$2:$A$1500,$R82))</f>
        <v/>
      </c>
      <c r="D82" s="42" t="str">
        <f>IF($C82="","",IFERROR(INDEX(BPOworkers!$E$6:$E$105,MATCH($C82,BPOworkers!$B$6:$B$105,0)),""))</f>
        <v/>
      </c>
      <c r="E82" s="43" t="str">
        <f>IF($R82="","",INDEX(RawBtabs!$C$2:$C$1500,$R82))</f>
        <v/>
      </c>
      <c r="F82" s="42" t="str">
        <f>IF($C82="","",IFERROR(INDEX(Config!$F$7:$F$11,$E82-Config!$C$7+1),""))</f>
        <v/>
      </c>
      <c r="G82" s="42" t="str">
        <f>IF($R82="","",INDEX(RawBtabs!$H$2:$H$1500,$R82))</f>
        <v/>
      </c>
      <c r="H82" s="41" t="str">
        <f>IF($R82="","",INDEX(RawBtabs!$B$2:$B$1500,$R82))</f>
        <v/>
      </c>
      <c r="I82" s="44" t="str">
        <f>IF($R82="","",INDEX(RawBtabs!$U$2:$U$1500,$R82))</f>
        <v/>
      </c>
      <c r="J82" s="50" t="str">
        <f>IF($R82="","",INDEX(RawBtabs!$K$2:$K$1500,$R82))</f>
        <v/>
      </c>
      <c r="K82" s="44" t="str">
        <f>IF($C82="","",SUMIFS(RawBtabs!$V$2:$V$1500,RawBtabs!$A$2:$A$1500,$C82,RawBtabs!$C$2:$C$1500,$E82))</f>
        <v/>
      </c>
      <c r="L82" s="42" t="str">
        <f>IF($C82="","",IF($I82=0,"⚠️ The detail does not state the hours",IF(ABS($K82-Config!$C$9)&lt;=Config!$C$10,"✅ Full day ("&amp;TEXT($K82,"0.##")&amp;" h)",IF($K82&lt;Config!$C$9,"🔻 Incomplete day: "&amp;TEXT($K82,"0.##")&amp;" h of "&amp;TEXT(Config!$C$9,"0")&amp;" h","🔺 Day exceeded: "&amp;TEXT($K82,"0.##")&amp;" h"))))</f>
        <v/>
      </c>
      <c r="M82" s="45" t="str">
        <f>IF($R82="","",INDEX(RawBtabs!$Q$2:$Q$1500,$R82))</f>
        <v/>
      </c>
      <c r="R82" s="46" t="str">
        <f>IFERROR(MATCH(ROW()-8,RawBtabs!$Z$2:$Z$1500,0),"")</f>
        <v/>
      </c>
    </row>
    <row r="83" spans="2:18" x14ac:dyDescent="0.25">
      <c r="B83" s="41" t="str">
        <f t="shared" si="2"/>
        <v/>
      </c>
      <c r="C83" s="42" t="str">
        <f>IF($R83="","",INDEX(RawBtabs!$A$2:$A$1500,$R83))</f>
        <v/>
      </c>
      <c r="D83" s="42" t="str">
        <f>IF($C83="","",IFERROR(INDEX(BPOworkers!$E$6:$E$105,MATCH($C83,BPOworkers!$B$6:$B$105,0)),""))</f>
        <v/>
      </c>
      <c r="E83" s="43" t="str">
        <f>IF($R83="","",INDEX(RawBtabs!$C$2:$C$1500,$R83))</f>
        <v/>
      </c>
      <c r="F83" s="42" t="str">
        <f>IF($C83="","",IFERROR(INDEX(Config!$F$7:$F$11,$E83-Config!$C$7+1),""))</f>
        <v/>
      </c>
      <c r="G83" s="42" t="str">
        <f>IF($R83="","",INDEX(RawBtabs!$H$2:$H$1500,$R83))</f>
        <v/>
      </c>
      <c r="H83" s="41" t="str">
        <f>IF($R83="","",INDEX(RawBtabs!$B$2:$B$1500,$R83))</f>
        <v/>
      </c>
      <c r="I83" s="44" t="str">
        <f>IF($R83="","",INDEX(RawBtabs!$U$2:$U$1500,$R83))</f>
        <v/>
      </c>
      <c r="J83" s="50" t="str">
        <f>IF($R83="","",INDEX(RawBtabs!$K$2:$K$1500,$R83))</f>
        <v/>
      </c>
      <c r="K83" s="44" t="str">
        <f>IF($C83="","",SUMIFS(RawBtabs!$V$2:$V$1500,RawBtabs!$A$2:$A$1500,$C83,RawBtabs!$C$2:$C$1500,$E83))</f>
        <v/>
      </c>
      <c r="L83" s="42" t="str">
        <f>IF($C83="","",IF($I83=0,"⚠️ The detail does not state the hours",IF(ABS($K83-Config!$C$9)&lt;=Config!$C$10,"✅ Full day ("&amp;TEXT($K83,"0.##")&amp;" h)",IF($K83&lt;Config!$C$9,"🔻 Incomplete day: "&amp;TEXT($K83,"0.##")&amp;" h of "&amp;TEXT(Config!$C$9,"0")&amp;" h","🔺 Day exceeded: "&amp;TEXT($K83,"0.##")&amp;" h"))))</f>
        <v/>
      </c>
      <c r="M83" s="45" t="str">
        <f>IF($R83="","",INDEX(RawBtabs!$Q$2:$Q$1500,$R83))</f>
        <v/>
      </c>
      <c r="R83" s="46" t="str">
        <f>IFERROR(MATCH(ROW()-8,RawBtabs!$Z$2:$Z$1500,0),"")</f>
        <v/>
      </c>
    </row>
    <row r="84" spans="2:18" x14ac:dyDescent="0.25">
      <c r="B84" s="41" t="str">
        <f t="shared" si="2"/>
        <v/>
      </c>
      <c r="C84" s="42" t="str">
        <f>IF($R84="","",INDEX(RawBtabs!$A$2:$A$1500,$R84))</f>
        <v/>
      </c>
      <c r="D84" s="42" t="str">
        <f>IF($C84="","",IFERROR(INDEX(BPOworkers!$E$6:$E$105,MATCH($C84,BPOworkers!$B$6:$B$105,0)),""))</f>
        <v/>
      </c>
      <c r="E84" s="43" t="str">
        <f>IF($R84="","",INDEX(RawBtabs!$C$2:$C$1500,$R84))</f>
        <v/>
      </c>
      <c r="F84" s="42" t="str">
        <f>IF($C84="","",IFERROR(INDEX(Config!$F$7:$F$11,$E84-Config!$C$7+1),""))</f>
        <v/>
      </c>
      <c r="G84" s="42" t="str">
        <f>IF($R84="","",INDEX(RawBtabs!$H$2:$H$1500,$R84))</f>
        <v/>
      </c>
      <c r="H84" s="41" t="str">
        <f>IF($R84="","",INDEX(RawBtabs!$B$2:$B$1500,$R84))</f>
        <v/>
      </c>
      <c r="I84" s="44" t="str">
        <f>IF($R84="","",INDEX(RawBtabs!$U$2:$U$1500,$R84))</f>
        <v/>
      </c>
      <c r="J84" s="50" t="str">
        <f>IF($R84="","",INDEX(RawBtabs!$K$2:$K$1500,$R84))</f>
        <v/>
      </c>
      <c r="K84" s="44" t="str">
        <f>IF($C84="","",SUMIFS(RawBtabs!$V$2:$V$1500,RawBtabs!$A$2:$A$1500,$C84,RawBtabs!$C$2:$C$1500,$E84))</f>
        <v/>
      </c>
      <c r="L84" s="42" t="str">
        <f>IF($C84="","",IF($I84=0,"⚠️ The detail does not state the hours",IF(ABS($K84-Config!$C$9)&lt;=Config!$C$10,"✅ Full day ("&amp;TEXT($K84,"0.##")&amp;" h)",IF($K84&lt;Config!$C$9,"🔻 Incomplete day: "&amp;TEXT($K84,"0.##")&amp;" h of "&amp;TEXT(Config!$C$9,"0")&amp;" h","🔺 Day exceeded: "&amp;TEXT($K84,"0.##")&amp;" h"))))</f>
        <v/>
      </c>
      <c r="M84" s="45" t="str">
        <f>IF($R84="","",INDEX(RawBtabs!$Q$2:$Q$1500,$R84))</f>
        <v/>
      </c>
      <c r="R84" s="46" t="str">
        <f>IFERROR(MATCH(ROW()-8,RawBtabs!$Z$2:$Z$1500,0),"")</f>
        <v/>
      </c>
    </row>
    <row r="85" spans="2:18" x14ac:dyDescent="0.25">
      <c r="B85" s="41" t="str">
        <f t="shared" si="2"/>
        <v/>
      </c>
      <c r="C85" s="42" t="str">
        <f>IF($R85="","",INDEX(RawBtabs!$A$2:$A$1500,$R85))</f>
        <v/>
      </c>
      <c r="D85" s="42" t="str">
        <f>IF($C85="","",IFERROR(INDEX(BPOworkers!$E$6:$E$105,MATCH($C85,BPOworkers!$B$6:$B$105,0)),""))</f>
        <v/>
      </c>
      <c r="E85" s="43" t="str">
        <f>IF($R85="","",INDEX(RawBtabs!$C$2:$C$1500,$R85))</f>
        <v/>
      </c>
      <c r="F85" s="42" t="str">
        <f>IF($C85="","",IFERROR(INDEX(Config!$F$7:$F$11,$E85-Config!$C$7+1),""))</f>
        <v/>
      </c>
      <c r="G85" s="42" t="str">
        <f>IF($R85="","",INDEX(RawBtabs!$H$2:$H$1500,$R85))</f>
        <v/>
      </c>
      <c r="H85" s="41" t="str">
        <f>IF($R85="","",INDEX(RawBtabs!$B$2:$B$1500,$R85))</f>
        <v/>
      </c>
      <c r="I85" s="44" t="str">
        <f>IF($R85="","",INDEX(RawBtabs!$U$2:$U$1500,$R85))</f>
        <v/>
      </c>
      <c r="J85" s="50" t="str">
        <f>IF($R85="","",INDEX(RawBtabs!$K$2:$K$1500,$R85))</f>
        <v/>
      </c>
      <c r="K85" s="44" t="str">
        <f>IF($C85="","",SUMIFS(RawBtabs!$V$2:$V$1500,RawBtabs!$A$2:$A$1500,$C85,RawBtabs!$C$2:$C$1500,$E85))</f>
        <v/>
      </c>
      <c r="L85" s="42" t="str">
        <f>IF($C85="","",IF($I85=0,"⚠️ The detail does not state the hours",IF(ABS($K85-Config!$C$9)&lt;=Config!$C$10,"✅ Full day ("&amp;TEXT($K85,"0.##")&amp;" h)",IF($K85&lt;Config!$C$9,"🔻 Incomplete day: "&amp;TEXT($K85,"0.##")&amp;" h of "&amp;TEXT(Config!$C$9,"0")&amp;" h","🔺 Day exceeded: "&amp;TEXT($K85,"0.##")&amp;" h"))))</f>
        <v/>
      </c>
      <c r="M85" s="45" t="str">
        <f>IF($R85="","",INDEX(RawBtabs!$Q$2:$Q$1500,$R85))</f>
        <v/>
      </c>
      <c r="R85" s="46" t="str">
        <f>IFERROR(MATCH(ROW()-8,RawBtabs!$Z$2:$Z$1500,0),"")</f>
        <v/>
      </c>
    </row>
    <row r="86" spans="2:18" x14ac:dyDescent="0.25">
      <c r="B86" s="41" t="str">
        <f t="shared" si="2"/>
        <v/>
      </c>
      <c r="C86" s="42" t="str">
        <f>IF($R86="","",INDEX(RawBtabs!$A$2:$A$1500,$R86))</f>
        <v/>
      </c>
      <c r="D86" s="42" t="str">
        <f>IF($C86="","",IFERROR(INDEX(BPOworkers!$E$6:$E$105,MATCH($C86,BPOworkers!$B$6:$B$105,0)),""))</f>
        <v/>
      </c>
      <c r="E86" s="43" t="str">
        <f>IF($R86="","",INDEX(RawBtabs!$C$2:$C$1500,$R86))</f>
        <v/>
      </c>
      <c r="F86" s="42" t="str">
        <f>IF($C86="","",IFERROR(INDEX(Config!$F$7:$F$11,$E86-Config!$C$7+1),""))</f>
        <v/>
      </c>
      <c r="G86" s="42" t="str">
        <f>IF($R86="","",INDEX(RawBtabs!$H$2:$H$1500,$R86))</f>
        <v/>
      </c>
      <c r="H86" s="41" t="str">
        <f>IF($R86="","",INDEX(RawBtabs!$B$2:$B$1500,$R86))</f>
        <v/>
      </c>
      <c r="I86" s="44" t="str">
        <f>IF($R86="","",INDEX(RawBtabs!$U$2:$U$1500,$R86))</f>
        <v/>
      </c>
      <c r="J86" s="50" t="str">
        <f>IF($R86="","",INDEX(RawBtabs!$K$2:$K$1500,$R86))</f>
        <v/>
      </c>
      <c r="K86" s="44" t="str">
        <f>IF($C86="","",SUMIFS(RawBtabs!$V$2:$V$1500,RawBtabs!$A$2:$A$1500,$C86,RawBtabs!$C$2:$C$1500,$E86))</f>
        <v/>
      </c>
      <c r="L86" s="42" t="str">
        <f>IF($C86="","",IF($I86=0,"⚠️ The detail does not state the hours",IF(ABS($K86-Config!$C$9)&lt;=Config!$C$10,"✅ Full day ("&amp;TEXT($K86,"0.##")&amp;" h)",IF($K86&lt;Config!$C$9,"🔻 Incomplete day: "&amp;TEXT($K86,"0.##")&amp;" h of "&amp;TEXT(Config!$C$9,"0")&amp;" h","🔺 Day exceeded: "&amp;TEXT($K86,"0.##")&amp;" h"))))</f>
        <v/>
      </c>
      <c r="M86" s="45" t="str">
        <f>IF($R86="","",INDEX(RawBtabs!$Q$2:$Q$1500,$R86))</f>
        <v/>
      </c>
      <c r="R86" s="46" t="str">
        <f>IFERROR(MATCH(ROW()-8,RawBtabs!$Z$2:$Z$1500,0),"")</f>
        <v/>
      </c>
    </row>
    <row r="87" spans="2:18" x14ac:dyDescent="0.25">
      <c r="B87" s="41" t="str">
        <f t="shared" si="2"/>
        <v/>
      </c>
      <c r="C87" s="42" t="str">
        <f>IF($R87="","",INDEX(RawBtabs!$A$2:$A$1500,$R87))</f>
        <v/>
      </c>
      <c r="D87" s="42" t="str">
        <f>IF($C87="","",IFERROR(INDEX(BPOworkers!$E$6:$E$105,MATCH($C87,BPOworkers!$B$6:$B$105,0)),""))</f>
        <v/>
      </c>
      <c r="E87" s="43" t="str">
        <f>IF($R87="","",INDEX(RawBtabs!$C$2:$C$1500,$R87))</f>
        <v/>
      </c>
      <c r="F87" s="42" t="str">
        <f>IF($C87="","",IFERROR(INDEX(Config!$F$7:$F$11,$E87-Config!$C$7+1),""))</f>
        <v/>
      </c>
      <c r="G87" s="42" t="str">
        <f>IF($R87="","",INDEX(RawBtabs!$H$2:$H$1500,$R87))</f>
        <v/>
      </c>
      <c r="H87" s="41" t="str">
        <f>IF($R87="","",INDEX(RawBtabs!$B$2:$B$1500,$R87))</f>
        <v/>
      </c>
      <c r="I87" s="44" t="str">
        <f>IF($R87="","",INDEX(RawBtabs!$U$2:$U$1500,$R87))</f>
        <v/>
      </c>
      <c r="J87" s="50" t="str">
        <f>IF($R87="","",INDEX(RawBtabs!$K$2:$K$1500,$R87))</f>
        <v/>
      </c>
      <c r="K87" s="44" t="str">
        <f>IF($C87="","",SUMIFS(RawBtabs!$V$2:$V$1500,RawBtabs!$A$2:$A$1500,$C87,RawBtabs!$C$2:$C$1500,$E87))</f>
        <v/>
      </c>
      <c r="L87" s="42" t="str">
        <f>IF($C87="","",IF($I87=0,"⚠️ The detail does not state the hours",IF(ABS($K87-Config!$C$9)&lt;=Config!$C$10,"✅ Full day ("&amp;TEXT($K87,"0.##")&amp;" h)",IF($K87&lt;Config!$C$9,"🔻 Incomplete day: "&amp;TEXT($K87,"0.##")&amp;" h of "&amp;TEXT(Config!$C$9,"0")&amp;" h","🔺 Day exceeded: "&amp;TEXT($K87,"0.##")&amp;" h"))))</f>
        <v/>
      </c>
      <c r="M87" s="45" t="str">
        <f>IF($R87="","",INDEX(RawBtabs!$Q$2:$Q$1500,$R87))</f>
        <v/>
      </c>
      <c r="R87" s="46" t="str">
        <f>IFERROR(MATCH(ROW()-8,RawBtabs!$Z$2:$Z$1500,0),"")</f>
        <v/>
      </c>
    </row>
    <row r="88" spans="2:18" x14ac:dyDescent="0.25">
      <c r="B88" s="41" t="str">
        <f t="shared" si="2"/>
        <v/>
      </c>
      <c r="C88" s="42" t="str">
        <f>IF($R88="","",INDEX(RawBtabs!$A$2:$A$1500,$R88))</f>
        <v/>
      </c>
      <c r="D88" s="42" t="str">
        <f>IF($C88="","",IFERROR(INDEX(BPOworkers!$E$6:$E$105,MATCH($C88,BPOworkers!$B$6:$B$105,0)),""))</f>
        <v/>
      </c>
      <c r="E88" s="43" t="str">
        <f>IF($R88="","",INDEX(RawBtabs!$C$2:$C$1500,$R88))</f>
        <v/>
      </c>
      <c r="F88" s="42" t="str">
        <f>IF($C88="","",IFERROR(INDEX(Config!$F$7:$F$11,$E88-Config!$C$7+1),""))</f>
        <v/>
      </c>
      <c r="G88" s="42" t="str">
        <f>IF($R88="","",INDEX(RawBtabs!$H$2:$H$1500,$R88))</f>
        <v/>
      </c>
      <c r="H88" s="41" t="str">
        <f>IF($R88="","",INDEX(RawBtabs!$B$2:$B$1500,$R88))</f>
        <v/>
      </c>
      <c r="I88" s="44" t="str">
        <f>IF($R88="","",INDEX(RawBtabs!$U$2:$U$1500,$R88))</f>
        <v/>
      </c>
      <c r="J88" s="50" t="str">
        <f>IF($R88="","",INDEX(RawBtabs!$K$2:$K$1500,$R88))</f>
        <v/>
      </c>
      <c r="K88" s="44" t="str">
        <f>IF($C88="","",SUMIFS(RawBtabs!$V$2:$V$1500,RawBtabs!$A$2:$A$1500,$C88,RawBtabs!$C$2:$C$1500,$E88))</f>
        <v/>
      </c>
      <c r="L88" s="42" t="str">
        <f>IF($C88="","",IF($I88=0,"⚠️ The detail does not state the hours",IF(ABS($K88-Config!$C$9)&lt;=Config!$C$10,"✅ Full day ("&amp;TEXT($K88,"0.##")&amp;" h)",IF($K88&lt;Config!$C$9,"🔻 Incomplete day: "&amp;TEXT($K88,"0.##")&amp;" h of "&amp;TEXT(Config!$C$9,"0")&amp;" h","🔺 Day exceeded: "&amp;TEXT($K88,"0.##")&amp;" h"))))</f>
        <v/>
      </c>
      <c r="M88" s="45" t="str">
        <f>IF($R88="","",INDEX(RawBtabs!$Q$2:$Q$1500,$R88))</f>
        <v/>
      </c>
      <c r="R88" s="46" t="str">
        <f>IFERROR(MATCH(ROW()-8,RawBtabs!$Z$2:$Z$1500,0),"")</f>
        <v/>
      </c>
    </row>
    <row r="89" spans="2:18" x14ac:dyDescent="0.25">
      <c r="B89" s="41" t="str">
        <f t="shared" si="2"/>
        <v/>
      </c>
      <c r="C89" s="42" t="str">
        <f>IF($R89="","",INDEX(RawBtabs!$A$2:$A$1500,$R89))</f>
        <v/>
      </c>
      <c r="D89" s="42" t="str">
        <f>IF($C89="","",IFERROR(INDEX(BPOworkers!$E$6:$E$105,MATCH($C89,BPOworkers!$B$6:$B$105,0)),""))</f>
        <v/>
      </c>
      <c r="E89" s="43" t="str">
        <f>IF($R89="","",INDEX(RawBtabs!$C$2:$C$1500,$R89))</f>
        <v/>
      </c>
      <c r="F89" s="42" t="str">
        <f>IF($C89="","",IFERROR(INDEX(Config!$F$7:$F$11,$E89-Config!$C$7+1),""))</f>
        <v/>
      </c>
      <c r="G89" s="42" t="str">
        <f>IF($R89="","",INDEX(RawBtabs!$H$2:$H$1500,$R89))</f>
        <v/>
      </c>
      <c r="H89" s="41" t="str">
        <f>IF($R89="","",INDEX(RawBtabs!$B$2:$B$1500,$R89))</f>
        <v/>
      </c>
      <c r="I89" s="44" t="str">
        <f>IF($R89="","",INDEX(RawBtabs!$U$2:$U$1500,$R89))</f>
        <v/>
      </c>
      <c r="J89" s="50" t="str">
        <f>IF($R89="","",INDEX(RawBtabs!$K$2:$K$1500,$R89))</f>
        <v/>
      </c>
      <c r="K89" s="44" t="str">
        <f>IF($C89="","",SUMIFS(RawBtabs!$V$2:$V$1500,RawBtabs!$A$2:$A$1500,$C89,RawBtabs!$C$2:$C$1500,$E89))</f>
        <v/>
      </c>
      <c r="L89" s="42" t="str">
        <f>IF($C89="","",IF($I89=0,"⚠️ The detail does not state the hours",IF(ABS($K89-Config!$C$9)&lt;=Config!$C$10,"✅ Full day ("&amp;TEXT($K89,"0.##")&amp;" h)",IF($K89&lt;Config!$C$9,"🔻 Incomplete day: "&amp;TEXT($K89,"0.##")&amp;" h of "&amp;TEXT(Config!$C$9,"0")&amp;" h","🔺 Day exceeded: "&amp;TEXT($K89,"0.##")&amp;" h"))))</f>
        <v/>
      </c>
      <c r="M89" s="45" t="str">
        <f>IF($R89="","",INDEX(RawBtabs!$Q$2:$Q$1500,$R89))</f>
        <v/>
      </c>
      <c r="R89" s="46" t="str">
        <f>IFERROR(MATCH(ROW()-8,RawBtabs!$Z$2:$Z$1500,0),"")</f>
        <v/>
      </c>
    </row>
    <row r="90" spans="2:18" x14ac:dyDescent="0.25">
      <c r="B90" s="41" t="str">
        <f t="shared" si="2"/>
        <v/>
      </c>
      <c r="C90" s="42" t="str">
        <f>IF($R90="","",INDEX(RawBtabs!$A$2:$A$1500,$R90))</f>
        <v/>
      </c>
      <c r="D90" s="42" t="str">
        <f>IF($C90="","",IFERROR(INDEX(BPOworkers!$E$6:$E$105,MATCH($C90,BPOworkers!$B$6:$B$105,0)),""))</f>
        <v/>
      </c>
      <c r="E90" s="43" t="str">
        <f>IF($R90="","",INDEX(RawBtabs!$C$2:$C$1500,$R90))</f>
        <v/>
      </c>
      <c r="F90" s="42" t="str">
        <f>IF($C90="","",IFERROR(INDEX(Config!$F$7:$F$11,$E90-Config!$C$7+1),""))</f>
        <v/>
      </c>
      <c r="G90" s="42" t="str">
        <f>IF($R90="","",INDEX(RawBtabs!$H$2:$H$1500,$R90))</f>
        <v/>
      </c>
      <c r="H90" s="41" t="str">
        <f>IF($R90="","",INDEX(RawBtabs!$B$2:$B$1500,$R90))</f>
        <v/>
      </c>
      <c r="I90" s="44" t="str">
        <f>IF($R90="","",INDEX(RawBtabs!$U$2:$U$1500,$R90))</f>
        <v/>
      </c>
      <c r="J90" s="50" t="str">
        <f>IF($R90="","",INDEX(RawBtabs!$K$2:$K$1500,$R90))</f>
        <v/>
      </c>
      <c r="K90" s="44" t="str">
        <f>IF($C90="","",SUMIFS(RawBtabs!$V$2:$V$1500,RawBtabs!$A$2:$A$1500,$C90,RawBtabs!$C$2:$C$1500,$E90))</f>
        <v/>
      </c>
      <c r="L90" s="42" t="str">
        <f>IF($C90="","",IF($I90=0,"⚠️ The detail does not state the hours",IF(ABS($K90-Config!$C$9)&lt;=Config!$C$10,"✅ Full day ("&amp;TEXT($K90,"0.##")&amp;" h)",IF($K90&lt;Config!$C$9,"🔻 Incomplete day: "&amp;TEXT($K90,"0.##")&amp;" h of "&amp;TEXT(Config!$C$9,"0")&amp;" h","🔺 Day exceeded: "&amp;TEXT($K90,"0.##")&amp;" h"))))</f>
        <v/>
      </c>
      <c r="M90" s="45" t="str">
        <f>IF($R90="","",INDEX(RawBtabs!$Q$2:$Q$1500,$R90))</f>
        <v/>
      </c>
      <c r="R90" s="46" t="str">
        <f>IFERROR(MATCH(ROW()-8,RawBtabs!$Z$2:$Z$1500,0),"")</f>
        <v/>
      </c>
    </row>
    <row r="91" spans="2:18" x14ac:dyDescent="0.25">
      <c r="B91" s="41" t="str">
        <f t="shared" si="2"/>
        <v/>
      </c>
      <c r="C91" s="42" t="str">
        <f>IF($R91="","",INDEX(RawBtabs!$A$2:$A$1500,$R91))</f>
        <v/>
      </c>
      <c r="D91" s="42" t="str">
        <f>IF($C91="","",IFERROR(INDEX(BPOworkers!$E$6:$E$105,MATCH($C91,BPOworkers!$B$6:$B$105,0)),""))</f>
        <v/>
      </c>
      <c r="E91" s="43" t="str">
        <f>IF($R91="","",INDEX(RawBtabs!$C$2:$C$1500,$R91))</f>
        <v/>
      </c>
      <c r="F91" s="42" t="str">
        <f>IF($C91="","",IFERROR(INDEX(Config!$F$7:$F$11,$E91-Config!$C$7+1),""))</f>
        <v/>
      </c>
      <c r="G91" s="42" t="str">
        <f>IF($R91="","",INDEX(RawBtabs!$H$2:$H$1500,$R91))</f>
        <v/>
      </c>
      <c r="H91" s="41" t="str">
        <f>IF($R91="","",INDEX(RawBtabs!$B$2:$B$1500,$R91))</f>
        <v/>
      </c>
      <c r="I91" s="44" t="str">
        <f>IF($R91="","",INDEX(RawBtabs!$U$2:$U$1500,$R91))</f>
        <v/>
      </c>
      <c r="J91" s="50" t="str">
        <f>IF($R91="","",INDEX(RawBtabs!$K$2:$K$1500,$R91))</f>
        <v/>
      </c>
      <c r="K91" s="44" t="str">
        <f>IF($C91="","",SUMIFS(RawBtabs!$V$2:$V$1500,RawBtabs!$A$2:$A$1500,$C91,RawBtabs!$C$2:$C$1500,$E91))</f>
        <v/>
      </c>
      <c r="L91" s="42" t="str">
        <f>IF($C91="","",IF($I91=0,"⚠️ The detail does not state the hours",IF(ABS($K91-Config!$C$9)&lt;=Config!$C$10,"✅ Full day ("&amp;TEXT($K91,"0.##")&amp;" h)",IF($K91&lt;Config!$C$9,"🔻 Incomplete day: "&amp;TEXT($K91,"0.##")&amp;" h of "&amp;TEXT(Config!$C$9,"0")&amp;" h","🔺 Day exceeded: "&amp;TEXT($K91,"0.##")&amp;" h"))))</f>
        <v/>
      </c>
      <c r="M91" s="45" t="str">
        <f>IF($R91="","",INDEX(RawBtabs!$Q$2:$Q$1500,$R91))</f>
        <v/>
      </c>
      <c r="R91" s="46" t="str">
        <f>IFERROR(MATCH(ROW()-8,RawBtabs!$Z$2:$Z$1500,0),"")</f>
        <v/>
      </c>
    </row>
    <row r="92" spans="2:18" x14ac:dyDescent="0.25">
      <c r="B92" s="41" t="str">
        <f t="shared" si="2"/>
        <v/>
      </c>
      <c r="C92" s="42" t="str">
        <f>IF($R92="","",INDEX(RawBtabs!$A$2:$A$1500,$R92))</f>
        <v/>
      </c>
      <c r="D92" s="42" t="str">
        <f>IF($C92="","",IFERROR(INDEX(BPOworkers!$E$6:$E$105,MATCH($C92,BPOworkers!$B$6:$B$105,0)),""))</f>
        <v/>
      </c>
      <c r="E92" s="43" t="str">
        <f>IF($R92="","",INDEX(RawBtabs!$C$2:$C$1500,$R92))</f>
        <v/>
      </c>
      <c r="F92" s="42" t="str">
        <f>IF($C92="","",IFERROR(INDEX(Config!$F$7:$F$11,$E92-Config!$C$7+1),""))</f>
        <v/>
      </c>
      <c r="G92" s="42" t="str">
        <f>IF($R92="","",INDEX(RawBtabs!$H$2:$H$1500,$R92))</f>
        <v/>
      </c>
      <c r="H92" s="41" t="str">
        <f>IF($R92="","",INDEX(RawBtabs!$B$2:$B$1500,$R92))</f>
        <v/>
      </c>
      <c r="I92" s="44" t="str">
        <f>IF($R92="","",INDEX(RawBtabs!$U$2:$U$1500,$R92))</f>
        <v/>
      </c>
      <c r="J92" s="50" t="str">
        <f>IF($R92="","",INDEX(RawBtabs!$K$2:$K$1500,$R92))</f>
        <v/>
      </c>
      <c r="K92" s="44" t="str">
        <f>IF($C92="","",SUMIFS(RawBtabs!$V$2:$V$1500,RawBtabs!$A$2:$A$1500,$C92,RawBtabs!$C$2:$C$1500,$E92))</f>
        <v/>
      </c>
      <c r="L92" s="42" t="str">
        <f>IF($C92="","",IF($I92=0,"⚠️ The detail does not state the hours",IF(ABS($K92-Config!$C$9)&lt;=Config!$C$10,"✅ Full day ("&amp;TEXT($K92,"0.##")&amp;" h)",IF($K92&lt;Config!$C$9,"🔻 Incomplete day: "&amp;TEXT($K92,"0.##")&amp;" h of "&amp;TEXT(Config!$C$9,"0")&amp;" h","🔺 Day exceeded: "&amp;TEXT($K92,"0.##")&amp;" h"))))</f>
        <v/>
      </c>
      <c r="M92" s="45" t="str">
        <f>IF($R92="","",INDEX(RawBtabs!$Q$2:$Q$1500,$R92))</f>
        <v/>
      </c>
      <c r="R92" s="46" t="str">
        <f>IFERROR(MATCH(ROW()-8,RawBtabs!$Z$2:$Z$1500,0),"")</f>
        <v/>
      </c>
    </row>
    <row r="93" spans="2:18" x14ac:dyDescent="0.25">
      <c r="B93" s="41" t="str">
        <f t="shared" si="2"/>
        <v/>
      </c>
      <c r="C93" s="42" t="str">
        <f>IF($R93="","",INDEX(RawBtabs!$A$2:$A$1500,$R93))</f>
        <v/>
      </c>
      <c r="D93" s="42" t="str">
        <f>IF($C93="","",IFERROR(INDEX(BPOworkers!$E$6:$E$105,MATCH($C93,BPOworkers!$B$6:$B$105,0)),""))</f>
        <v/>
      </c>
      <c r="E93" s="43" t="str">
        <f>IF($R93="","",INDEX(RawBtabs!$C$2:$C$1500,$R93))</f>
        <v/>
      </c>
      <c r="F93" s="42" t="str">
        <f>IF($C93="","",IFERROR(INDEX(Config!$F$7:$F$11,$E93-Config!$C$7+1),""))</f>
        <v/>
      </c>
      <c r="G93" s="42" t="str">
        <f>IF($R93="","",INDEX(RawBtabs!$H$2:$H$1500,$R93))</f>
        <v/>
      </c>
      <c r="H93" s="41" t="str">
        <f>IF($R93="","",INDEX(RawBtabs!$B$2:$B$1500,$R93))</f>
        <v/>
      </c>
      <c r="I93" s="44" t="str">
        <f>IF($R93="","",INDEX(RawBtabs!$U$2:$U$1500,$R93))</f>
        <v/>
      </c>
      <c r="J93" s="50" t="str">
        <f>IF($R93="","",INDEX(RawBtabs!$K$2:$K$1500,$R93))</f>
        <v/>
      </c>
      <c r="K93" s="44" t="str">
        <f>IF($C93="","",SUMIFS(RawBtabs!$V$2:$V$1500,RawBtabs!$A$2:$A$1500,$C93,RawBtabs!$C$2:$C$1500,$E93))</f>
        <v/>
      </c>
      <c r="L93" s="42" t="str">
        <f>IF($C93="","",IF($I93=0,"⚠️ The detail does not state the hours",IF(ABS($K93-Config!$C$9)&lt;=Config!$C$10,"✅ Full day ("&amp;TEXT($K93,"0.##")&amp;" h)",IF($K93&lt;Config!$C$9,"🔻 Incomplete day: "&amp;TEXT($K93,"0.##")&amp;" h of "&amp;TEXT(Config!$C$9,"0")&amp;" h","🔺 Day exceeded: "&amp;TEXT($K93,"0.##")&amp;" h"))))</f>
        <v/>
      </c>
      <c r="M93" s="45" t="str">
        <f>IF($R93="","",INDEX(RawBtabs!$Q$2:$Q$1500,$R93))</f>
        <v/>
      </c>
      <c r="R93" s="46" t="str">
        <f>IFERROR(MATCH(ROW()-8,RawBtabs!$Z$2:$Z$1500,0),"")</f>
        <v/>
      </c>
    </row>
    <row r="94" spans="2:18" x14ac:dyDescent="0.25">
      <c r="B94" s="41" t="str">
        <f t="shared" si="2"/>
        <v/>
      </c>
      <c r="C94" s="42" t="str">
        <f>IF($R94="","",INDEX(RawBtabs!$A$2:$A$1500,$R94))</f>
        <v/>
      </c>
      <c r="D94" s="42" t="str">
        <f>IF($C94="","",IFERROR(INDEX(BPOworkers!$E$6:$E$105,MATCH($C94,BPOworkers!$B$6:$B$105,0)),""))</f>
        <v/>
      </c>
      <c r="E94" s="43" t="str">
        <f>IF($R94="","",INDEX(RawBtabs!$C$2:$C$1500,$R94))</f>
        <v/>
      </c>
      <c r="F94" s="42" t="str">
        <f>IF($C94="","",IFERROR(INDEX(Config!$F$7:$F$11,$E94-Config!$C$7+1),""))</f>
        <v/>
      </c>
      <c r="G94" s="42" t="str">
        <f>IF($R94="","",INDEX(RawBtabs!$H$2:$H$1500,$R94))</f>
        <v/>
      </c>
      <c r="H94" s="41" t="str">
        <f>IF($R94="","",INDEX(RawBtabs!$B$2:$B$1500,$R94))</f>
        <v/>
      </c>
      <c r="I94" s="44" t="str">
        <f>IF($R94="","",INDEX(RawBtabs!$U$2:$U$1500,$R94))</f>
        <v/>
      </c>
      <c r="J94" s="50" t="str">
        <f>IF($R94="","",INDEX(RawBtabs!$K$2:$K$1500,$R94))</f>
        <v/>
      </c>
      <c r="K94" s="44" t="str">
        <f>IF($C94="","",SUMIFS(RawBtabs!$V$2:$V$1500,RawBtabs!$A$2:$A$1500,$C94,RawBtabs!$C$2:$C$1500,$E94))</f>
        <v/>
      </c>
      <c r="L94" s="42" t="str">
        <f>IF($C94="","",IF($I94=0,"⚠️ The detail does not state the hours",IF(ABS($K94-Config!$C$9)&lt;=Config!$C$10,"✅ Full day ("&amp;TEXT($K94,"0.##")&amp;" h)",IF($K94&lt;Config!$C$9,"🔻 Incomplete day: "&amp;TEXT($K94,"0.##")&amp;" h of "&amp;TEXT(Config!$C$9,"0")&amp;" h","🔺 Day exceeded: "&amp;TEXT($K94,"0.##")&amp;" h"))))</f>
        <v/>
      </c>
      <c r="M94" s="45" t="str">
        <f>IF($R94="","",INDEX(RawBtabs!$Q$2:$Q$1500,$R94))</f>
        <v/>
      </c>
      <c r="R94" s="46" t="str">
        <f>IFERROR(MATCH(ROW()-8,RawBtabs!$Z$2:$Z$1500,0),"")</f>
        <v/>
      </c>
    </row>
    <row r="95" spans="2:18" x14ac:dyDescent="0.25">
      <c r="B95" s="41" t="str">
        <f t="shared" si="2"/>
        <v/>
      </c>
      <c r="C95" s="42" t="str">
        <f>IF($R95="","",INDEX(RawBtabs!$A$2:$A$1500,$R95))</f>
        <v/>
      </c>
      <c r="D95" s="42" t="str">
        <f>IF($C95="","",IFERROR(INDEX(BPOworkers!$E$6:$E$105,MATCH($C95,BPOworkers!$B$6:$B$105,0)),""))</f>
        <v/>
      </c>
      <c r="E95" s="43" t="str">
        <f>IF($R95="","",INDEX(RawBtabs!$C$2:$C$1500,$R95))</f>
        <v/>
      </c>
      <c r="F95" s="42" t="str">
        <f>IF($C95="","",IFERROR(INDEX(Config!$F$7:$F$11,$E95-Config!$C$7+1),""))</f>
        <v/>
      </c>
      <c r="G95" s="42" t="str">
        <f>IF($R95="","",INDEX(RawBtabs!$H$2:$H$1500,$R95))</f>
        <v/>
      </c>
      <c r="H95" s="41" t="str">
        <f>IF($R95="","",INDEX(RawBtabs!$B$2:$B$1500,$R95))</f>
        <v/>
      </c>
      <c r="I95" s="44" t="str">
        <f>IF($R95="","",INDEX(RawBtabs!$U$2:$U$1500,$R95))</f>
        <v/>
      </c>
      <c r="J95" s="50" t="str">
        <f>IF($R95="","",INDEX(RawBtabs!$K$2:$K$1500,$R95))</f>
        <v/>
      </c>
      <c r="K95" s="44" t="str">
        <f>IF($C95="","",SUMIFS(RawBtabs!$V$2:$V$1500,RawBtabs!$A$2:$A$1500,$C95,RawBtabs!$C$2:$C$1500,$E95))</f>
        <v/>
      </c>
      <c r="L95" s="42" t="str">
        <f>IF($C95="","",IF($I95=0,"⚠️ The detail does not state the hours",IF(ABS($K95-Config!$C$9)&lt;=Config!$C$10,"✅ Full day ("&amp;TEXT($K95,"0.##")&amp;" h)",IF($K95&lt;Config!$C$9,"🔻 Incomplete day: "&amp;TEXT($K95,"0.##")&amp;" h of "&amp;TEXT(Config!$C$9,"0")&amp;" h","🔺 Day exceeded: "&amp;TEXT($K95,"0.##")&amp;" h"))))</f>
        <v/>
      </c>
      <c r="M95" s="45" t="str">
        <f>IF($R95="","",INDEX(RawBtabs!$Q$2:$Q$1500,$R95))</f>
        <v/>
      </c>
      <c r="R95" s="46" t="str">
        <f>IFERROR(MATCH(ROW()-8,RawBtabs!$Z$2:$Z$1500,0),"")</f>
        <v/>
      </c>
    </row>
    <row r="96" spans="2:18" x14ac:dyDescent="0.25">
      <c r="B96" s="41" t="str">
        <f t="shared" si="2"/>
        <v/>
      </c>
      <c r="C96" s="42" t="str">
        <f>IF($R96="","",INDEX(RawBtabs!$A$2:$A$1500,$R96))</f>
        <v/>
      </c>
      <c r="D96" s="42" t="str">
        <f>IF($C96="","",IFERROR(INDEX(BPOworkers!$E$6:$E$105,MATCH($C96,BPOworkers!$B$6:$B$105,0)),""))</f>
        <v/>
      </c>
      <c r="E96" s="43" t="str">
        <f>IF($R96="","",INDEX(RawBtabs!$C$2:$C$1500,$R96))</f>
        <v/>
      </c>
      <c r="F96" s="42" t="str">
        <f>IF($C96="","",IFERROR(INDEX(Config!$F$7:$F$11,$E96-Config!$C$7+1),""))</f>
        <v/>
      </c>
      <c r="G96" s="42" t="str">
        <f>IF($R96="","",INDEX(RawBtabs!$H$2:$H$1500,$R96))</f>
        <v/>
      </c>
      <c r="H96" s="41" t="str">
        <f>IF($R96="","",INDEX(RawBtabs!$B$2:$B$1500,$R96))</f>
        <v/>
      </c>
      <c r="I96" s="44" t="str">
        <f>IF($R96="","",INDEX(RawBtabs!$U$2:$U$1500,$R96))</f>
        <v/>
      </c>
      <c r="J96" s="50" t="str">
        <f>IF($R96="","",INDEX(RawBtabs!$K$2:$K$1500,$R96))</f>
        <v/>
      </c>
      <c r="K96" s="44" t="str">
        <f>IF($C96="","",SUMIFS(RawBtabs!$V$2:$V$1500,RawBtabs!$A$2:$A$1500,$C96,RawBtabs!$C$2:$C$1500,$E96))</f>
        <v/>
      </c>
      <c r="L96" s="42" t="str">
        <f>IF($C96="","",IF($I96=0,"⚠️ The detail does not state the hours",IF(ABS($K96-Config!$C$9)&lt;=Config!$C$10,"✅ Full day ("&amp;TEXT($K96,"0.##")&amp;" h)",IF($K96&lt;Config!$C$9,"🔻 Incomplete day: "&amp;TEXT($K96,"0.##")&amp;" h of "&amp;TEXT(Config!$C$9,"0")&amp;" h","🔺 Day exceeded: "&amp;TEXT($K96,"0.##")&amp;" h"))))</f>
        <v/>
      </c>
      <c r="M96" s="45" t="str">
        <f>IF($R96="","",INDEX(RawBtabs!$Q$2:$Q$1500,$R96))</f>
        <v/>
      </c>
      <c r="R96" s="46" t="str">
        <f>IFERROR(MATCH(ROW()-8,RawBtabs!$Z$2:$Z$1500,0),"")</f>
        <v/>
      </c>
    </row>
    <row r="97" spans="2:18" x14ac:dyDescent="0.25">
      <c r="B97" s="41" t="str">
        <f t="shared" si="2"/>
        <v/>
      </c>
      <c r="C97" s="42" t="str">
        <f>IF($R97="","",INDEX(RawBtabs!$A$2:$A$1500,$R97))</f>
        <v/>
      </c>
      <c r="D97" s="42" t="str">
        <f>IF($C97="","",IFERROR(INDEX(BPOworkers!$E$6:$E$105,MATCH($C97,BPOworkers!$B$6:$B$105,0)),""))</f>
        <v/>
      </c>
      <c r="E97" s="43" t="str">
        <f>IF($R97="","",INDEX(RawBtabs!$C$2:$C$1500,$R97))</f>
        <v/>
      </c>
      <c r="F97" s="42" t="str">
        <f>IF($C97="","",IFERROR(INDEX(Config!$F$7:$F$11,$E97-Config!$C$7+1),""))</f>
        <v/>
      </c>
      <c r="G97" s="42" t="str">
        <f>IF($R97="","",INDEX(RawBtabs!$H$2:$H$1500,$R97))</f>
        <v/>
      </c>
      <c r="H97" s="41" t="str">
        <f>IF($R97="","",INDEX(RawBtabs!$B$2:$B$1500,$R97))</f>
        <v/>
      </c>
      <c r="I97" s="44" t="str">
        <f>IF($R97="","",INDEX(RawBtabs!$U$2:$U$1500,$R97))</f>
        <v/>
      </c>
      <c r="J97" s="50" t="str">
        <f>IF($R97="","",INDEX(RawBtabs!$K$2:$K$1500,$R97))</f>
        <v/>
      </c>
      <c r="K97" s="44" t="str">
        <f>IF($C97="","",SUMIFS(RawBtabs!$V$2:$V$1500,RawBtabs!$A$2:$A$1500,$C97,RawBtabs!$C$2:$C$1500,$E97))</f>
        <v/>
      </c>
      <c r="L97" s="42" t="str">
        <f>IF($C97="","",IF($I97=0,"⚠️ The detail does not state the hours",IF(ABS($K97-Config!$C$9)&lt;=Config!$C$10,"✅ Full day ("&amp;TEXT($K97,"0.##")&amp;" h)",IF($K97&lt;Config!$C$9,"🔻 Incomplete day: "&amp;TEXT($K97,"0.##")&amp;" h of "&amp;TEXT(Config!$C$9,"0")&amp;" h","🔺 Day exceeded: "&amp;TEXT($K97,"0.##")&amp;" h"))))</f>
        <v/>
      </c>
      <c r="M97" s="45" t="str">
        <f>IF($R97="","",INDEX(RawBtabs!$Q$2:$Q$1500,$R97))</f>
        <v/>
      </c>
      <c r="R97" s="46" t="str">
        <f>IFERROR(MATCH(ROW()-8,RawBtabs!$Z$2:$Z$1500,0),"")</f>
        <v/>
      </c>
    </row>
    <row r="98" spans="2:18" x14ac:dyDescent="0.25">
      <c r="B98" s="41" t="str">
        <f t="shared" si="2"/>
        <v/>
      </c>
      <c r="C98" s="42" t="str">
        <f>IF($R98="","",INDEX(RawBtabs!$A$2:$A$1500,$R98))</f>
        <v/>
      </c>
      <c r="D98" s="42" t="str">
        <f>IF($C98="","",IFERROR(INDEX(BPOworkers!$E$6:$E$105,MATCH($C98,BPOworkers!$B$6:$B$105,0)),""))</f>
        <v/>
      </c>
      <c r="E98" s="43" t="str">
        <f>IF($R98="","",INDEX(RawBtabs!$C$2:$C$1500,$R98))</f>
        <v/>
      </c>
      <c r="F98" s="42" t="str">
        <f>IF($C98="","",IFERROR(INDEX(Config!$F$7:$F$11,$E98-Config!$C$7+1),""))</f>
        <v/>
      </c>
      <c r="G98" s="42" t="str">
        <f>IF($R98="","",INDEX(RawBtabs!$H$2:$H$1500,$R98))</f>
        <v/>
      </c>
      <c r="H98" s="41" t="str">
        <f>IF($R98="","",INDEX(RawBtabs!$B$2:$B$1500,$R98))</f>
        <v/>
      </c>
      <c r="I98" s="44" t="str">
        <f>IF($R98="","",INDEX(RawBtabs!$U$2:$U$1500,$R98))</f>
        <v/>
      </c>
      <c r="J98" s="50" t="str">
        <f>IF($R98="","",INDEX(RawBtabs!$K$2:$K$1500,$R98))</f>
        <v/>
      </c>
      <c r="K98" s="44" t="str">
        <f>IF($C98="","",SUMIFS(RawBtabs!$V$2:$V$1500,RawBtabs!$A$2:$A$1500,$C98,RawBtabs!$C$2:$C$1500,$E98))</f>
        <v/>
      </c>
      <c r="L98" s="42" t="str">
        <f>IF($C98="","",IF($I98=0,"⚠️ The detail does not state the hours",IF(ABS($K98-Config!$C$9)&lt;=Config!$C$10,"✅ Full day ("&amp;TEXT($K98,"0.##")&amp;" h)",IF($K98&lt;Config!$C$9,"🔻 Incomplete day: "&amp;TEXT($K98,"0.##")&amp;" h of "&amp;TEXT(Config!$C$9,"0")&amp;" h","🔺 Day exceeded: "&amp;TEXT($K98,"0.##")&amp;" h"))))</f>
        <v/>
      </c>
      <c r="M98" s="45" t="str">
        <f>IF($R98="","",INDEX(RawBtabs!$Q$2:$Q$1500,$R98))</f>
        <v/>
      </c>
      <c r="R98" s="46" t="str">
        <f>IFERROR(MATCH(ROW()-8,RawBtabs!$Z$2:$Z$1500,0),"")</f>
        <v/>
      </c>
    </row>
  </sheetData>
  <autoFilter ref="B8:M98" xr:uid="{00000000-0009-0000-0000-000003000000}"/>
  <mergeCells count="14">
    <mergeCell ref="B2:L2"/>
    <mergeCell ref="B3:L3"/>
    <mergeCell ref="B5:C5"/>
    <mergeCell ref="D5:E5"/>
    <mergeCell ref="F5:G5"/>
    <mergeCell ref="H5:I5"/>
    <mergeCell ref="J5:K5"/>
    <mergeCell ref="L5:M5"/>
    <mergeCell ref="L6:M6"/>
    <mergeCell ref="B6:C6"/>
    <mergeCell ref="D6:E6"/>
    <mergeCell ref="F6:G6"/>
    <mergeCell ref="H6:I6"/>
    <mergeCell ref="J6:K6"/>
  </mergeCells>
  <conditionalFormatting sqref="B9:M98">
    <cfRule type="expression" dxfId="23" priority="5">
      <formula>AND($C9&lt;&gt;"",MOD(ROW(),2)=0)</formula>
    </cfRule>
    <cfRule type="expression" dxfId="22" priority="6">
      <formula>$C9&lt;&gt;""</formula>
    </cfRule>
  </conditionalFormatting>
  <conditionalFormatting sqref="L9:L98">
    <cfRule type="expression" dxfId="21" priority="2">
      <formula>AND($C9&lt;&gt;"",$I9=0)</formula>
    </cfRule>
    <cfRule type="expression" dxfId="20" priority="3">
      <formula>AND($C9&lt;&gt;"",ABS($K9-$S$2)&lt;=$S$3)</formula>
    </cfRule>
    <cfRule type="expression" dxfId="19" priority="4">
      <formula>$C9&lt;&gt;""</formula>
    </cfRule>
  </conditionalFormatting>
  <pageMargins left="0.3" right="0.3" top="0.4" bottom="0.4" header="0.511811023622047" footer="0.511811023622047"/>
  <pageSetup paperSize="9" fitToHeight="0" orientation="landscape"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2C6F"/>
    <pageSetUpPr fitToPage="1"/>
  </sheetPr>
  <dimension ref="B2:N32"/>
  <sheetViews>
    <sheetView showGridLines="0" topLeftCell="A18" zoomScaleNormal="100" workbookViewId="0">
      <selection activeCell="J42" sqref="J42"/>
    </sheetView>
  </sheetViews>
  <sheetFormatPr defaultColWidth="8.7109375" defaultRowHeight="15" x14ac:dyDescent="0.25"/>
  <cols>
    <col min="1" max="1" width="2" customWidth="1"/>
    <col min="2" max="2" width="24" customWidth="1"/>
    <col min="3" max="5" width="10" customWidth="1"/>
    <col min="6" max="6" width="9" customWidth="1"/>
    <col min="7" max="7" width="10" customWidth="1"/>
    <col min="8" max="8" width="16" customWidth="1"/>
    <col min="9" max="9" width="18" customWidth="1"/>
    <col min="10" max="10" width="40" customWidth="1"/>
    <col min="11" max="11" width="14" customWidth="1"/>
    <col min="12" max="12" width="18" customWidth="1"/>
    <col min="13" max="13" width="12" customWidth="1"/>
    <col min="14" max="14" width="40" customWidth="1"/>
  </cols>
  <sheetData>
    <row r="2" spans="2:14" ht="33.75" customHeight="1" x14ac:dyDescent="0.25">
      <c r="B2" s="116" t="s">
        <v>108</v>
      </c>
      <c r="C2" s="116"/>
      <c r="D2" s="116"/>
      <c r="E2" s="116"/>
      <c r="F2" s="116"/>
      <c r="G2" s="116"/>
      <c r="H2" s="116"/>
      <c r="I2" s="116"/>
      <c r="J2" s="116"/>
      <c r="K2" s="116"/>
      <c r="L2" s="116"/>
      <c r="M2" s="116"/>
      <c r="N2" s="116"/>
    </row>
    <row r="3" spans="2:14" ht="19.5" customHeight="1" x14ac:dyDescent="0.25">
      <c r="B3" s="117" t="s">
        <v>109</v>
      </c>
      <c r="C3" s="117"/>
      <c r="D3" s="117"/>
      <c r="E3" s="117"/>
      <c r="F3" s="117"/>
      <c r="G3" s="117"/>
      <c r="H3" s="117"/>
      <c r="I3" s="117"/>
      <c r="J3" s="117"/>
      <c r="K3" s="117"/>
      <c r="L3" s="117"/>
      <c r="M3" s="117"/>
      <c r="N3" s="117"/>
    </row>
    <row r="5" spans="2:14" ht="19.5" customHeight="1" x14ac:dyDescent="0.25">
      <c r="B5" s="167" t="s">
        <v>110</v>
      </c>
      <c r="C5" s="167"/>
      <c r="D5" s="167"/>
      <c r="E5" s="167"/>
      <c r="F5" s="167"/>
      <c r="G5" s="167"/>
      <c r="H5" s="167"/>
      <c r="I5" s="167"/>
      <c r="J5" s="167"/>
      <c r="K5" s="167"/>
      <c r="L5" s="167"/>
      <c r="M5" s="167"/>
      <c r="N5" s="167"/>
    </row>
    <row r="6" spans="2:14" ht="30" customHeight="1" x14ac:dyDescent="0.25">
      <c r="B6" s="51" t="s">
        <v>60</v>
      </c>
      <c r="C6" s="51" t="s">
        <v>111</v>
      </c>
      <c r="D6" s="51" t="s">
        <v>112</v>
      </c>
      <c r="E6" s="51" t="s">
        <v>113</v>
      </c>
      <c r="F6" s="51" t="s">
        <v>114</v>
      </c>
      <c r="G6" s="51" t="s">
        <v>88</v>
      </c>
      <c r="H6" s="51" t="s">
        <v>115</v>
      </c>
      <c r="I6" s="51" t="s">
        <v>116</v>
      </c>
      <c r="J6" s="51" t="s">
        <v>67</v>
      </c>
      <c r="K6" s="51" t="s">
        <v>117</v>
      </c>
      <c r="L6" s="51" t="s">
        <v>118</v>
      </c>
      <c r="M6" s="51" t="s">
        <v>85</v>
      </c>
      <c r="N6" s="51" t="s">
        <v>119</v>
      </c>
    </row>
    <row r="7" spans="2:14" x14ac:dyDescent="0.25">
      <c r="B7" s="31" t="s">
        <v>120</v>
      </c>
      <c r="C7" s="52">
        <f>COUNTIF(Dashboard!$D$10:$D$69,$B7)</f>
        <v>4</v>
      </c>
      <c r="D7" s="52">
        <f>COUNTIFS(Dashboard!$D$10:$D$69,$B7,Dashboard!$Q$10:$Q$69,0)</f>
        <v>2</v>
      </c>
      <c r="E7" s="52">
        <f>COUNTIFS(Dashboard!$D$10:$D$69,$B7,Dashboard!$Q$10:$Q$69,1)+COUNTIFS(Dashboard!$D$10:$D$69,$B7,Dashboard!$Q$10:$Q$69,2)</f>
        <v>1</v>
      </c>
      <c r="F7" s="52">
        <f>COUNTIFS(Dashboard!$D$10:$D$69,$B7,Dashboard!$Q$10:$Q$69,3)</f>
        <v>1</v>
      </c>
      <c r="G7" s="29">
        <f>SUMIFS(Dashboard!$J$10:$J$69,Dashboard!$D$10:$D$69,$B7)</f>
        <v>160</v>
      </c>
      <c r="H7" s="29">
        <f>SUMIFS(Dashboard!$K$10:$K$69,Dashboard!$D$10:$D$69,$B7)</f>
        <v>160</v>
      </c>
      <c r="I7" s="53">
        <f t="shared" ref="I7:I15" si="0">IFERROR($D7/$C7,0)</f>
        <v>0.5</v>
      </c>
      <c r="J7" s="52">
        <f>COUNTIFS(Detail!$D$4:$D$303,$B7,Detail!$N$4:$N$303,"&gt;0")</f>
        <v>3</v>
      </c>
      <c r="K7" s="54" t="s">
        <v>121</v>
      </c>
      <c r="L7" s="54"/>
      <c r="M7" s="55"/>
      <c r="N7" s="56"/>
    </row>
    <row r="8" spans="2:14" x14ac:dyDescent="0.25">
      <c r="B8" s="31" t="s">
        <v>122</v>
      </c>
      <c r="C8" s="52">
        <f>COUNTIF(Dashboard!$D$10:$D$69,$B8)</f>
        <v>1</v>
      </c>
      <c r="D8" s="52">
        <f>COUNTIFS(Dashboard!$D$10:$D$69,$B8,Dashboard!$Q$10:$Q$69,0)</f>
        <v>1</v>
      </c>
      <c r="E8" s="52">
        <f>COUNTIFS(Dashboard!$D$10:$D$69,$B8,Dashboard!$Q$10:$Q$69,1)+COUNTIFS(Dashboard!$D$10:$D$69,$B8,Dashboard!$Q$10:$Q$69,2)</f>
        <v>0</v>
      </c>
      <c r="F8" s="52">
        <f>COUNTIFS(Dashboard!$D$10:$D$69,$B8,Dashboard!$Q$10:$Q$69,3)</f>
        <v>0</v>
      </c>
      <c r="G8" s="29">
        <f>SUMIFS(Dashboard!$J$10:$J$69,Dashboard!$D$10:$D$69,$B8)</f>
        <v>40</v>
      </c>
      <c r="H8" s="29">
        <f>SUMIFS(Dashboard!$K$10:$K$69,Dashboard!$D$10:$D$69,$B8)</f>
        <v>40</v>
      </c>
      <c r="I8" s="53">
        <f t="shared" si="0"/>
        <v>1</v>
      </c>
      <c r="J8" s="52">
        <f>COUNTIFS(Detail!$D$4:$D$303,$B8,Detail!$N$4:$N$303,"&gt;0")</f>
        <v>0</v>
      </c>
      <c r="K8" s="54" t="s">
        <v>121</v>
      </c>
      <c r="L8" s="54"/>
      <c r="M8" s="55"/>
      <c r="N8" s="56"/>
    </row>
    <row r="9" spans="2:14" x14ac:dyDescent="0.25">
      <c r="B9" s="31" t="s">
        <v>123</v>
      </c>
      <c r="C9" s="52">
        <f>COUNTIF(Dashboard!$D$10:$D$69,$B9)</f>
        <v>4</v>
      </c>
      <c r="D9" s="52">
        <f>COUNTIFS(Dashboard!$D$10:$D$69,$B9,Dashboard!$Q$10:$Q$69,0)</f>
        <v>3</v>
      </c>
      <c r="E9" s="52">
        <f>COUNTIFS(Dashboard!$D$10:$D$69,$B9,Dashboard!$Q$10:$Q$69,1)+COUNTIFS(Dashboard!$D$10:$D$69,$B9,Dashboard!$Q$10:$Q$69,2)</f>
        <v>1</v>
      </c>
      <c r="F9" s="52">
        <f>COUNTIFS(Dashboard!$D$10:$D$69,$B9,Dashboard!$Q$10:$Q$69,3)</f>
        <v>0</v>
      </c>
      <c r="G9" s="29">
        <f>SUMIFS(Dashboard!$J$10:$J$69,Dashboard!$D$10:$D$69,$B9)</f>
        <v>168</v>
      </c>
      <c r="H9" s="29">
        <f>SUMIFS(Dashboard!$K$10:$K$69,Dashboard!$D$10:$D$69,$B9)</f>
        <v>160</v>
      </c>
      <c r="I9" s="53">
        <f t="shared" si="0"/>
        <v>0.75</v>
      </c>
      <c r="J9" s="52">
        <f>COUNTIFS(Detail!$D$4:$D$303,$B9,Detail!$N$4:$N$303,"&gt;0")</f>
        <v>1</v>
      </c>
      <c r="K9" s="54" t="s">
        <v>121</v>
      </c>
      <c r="L9" s="54"/>
      <c r="M9" s="55"/>
      <c r="N9" s="56"/>
    </row>
    <row r="10" spans="2:14" x14ac:dyDescent="0.25">
      <c r="B10" s="31" t="s">
        <v>124</v>
      </c>
      <c r="C10" s="52">
        <f>COUNTIF(Dashboard!$D$10:$D$69,$B10)</f>
        <v>5</v>
      </c>
      <c r="D10" s="52">
        <f>COUNTIFS(Dashboard!$D$10:$D$69,$B10,Dashboard!$Q$10:$Q$69,0)</f>
        <v>3</v>
      </c>
      <c r="E10" s="52">
        <f>COUNTIFS(Dashboard!$D$10:$D$69,$B10,Dashboard!$Q$10:$Q$69,1)+COUNTIFS(Dashboard!$D$10:$D$69,$B10,Dashboard!$Q$10:$Q$69,2)</f>
        <v>1</v>
      </c>
      <c r="F10" s="52">
        <f>COUNTIFS(Dashboard!$D$10:$D$69,$B10,Dashboard!$Q$10:$Q$69,3)</f>
        <v>1</v>
      </c>
      <c r="G10" s="29">
        <f>SUMIFS(Dashboard!$J$10:$J$69,Dashboard!$D$10:$D$69,$B10)</f>
        <v>200</v>
      </c>
      <c r="H10" s="29">
        <f>SUMIFS(Dashboard!$K$10:$K$69,Dashboard!$D$10:$D$69,$B10)</f>
        <v>200</v>
      </c>
      <c r="I10" s="53">
        <f t="shared" si="0"/>
        <v>0.6</v>
      </c>
      <c r="J10" s="52">
        <f>COUNTIFS(Detail!$D$4:$D$303,$B10,Detail!$N$4:$N$303,"&gt;0")</f>
        <v>2</v>
      </c>
      <c r="K10" s="54" t="s">
        <v>121</v>
      </c>
      <c r="L10" s="54"/>
      <c r="M10" s="55"/>
      <c r="N10" s="56"/>
    </row>
    <row r="11" spans="2:14" x14ac:dyDescent="0.25">
      <c r="B11" s="31" t="s">
        <v>125</v>
      </c>
      <c r="C11" s="52">
        <f>COUNTIF(Dashboard!$D$10:$D$69,$B11)</f>
        <v>5</v>
      </c>
      <c r="D11" s="52">
        <f>COUNTIFS(Dashboard!$D$10:$D$69,$B11,Dashboard!$Q$10:$Q$69,0)</f>
        <v>5</v>
      </c>
      <c r="E11" s="52">
        <f>COUNTIFS(Dashboard!$D$10:$D$69,$B11,Dashboard!$Q$10:$Q$69,1)+COUNTIFS(Dashboard!$D$10:$D$69,$B11,Dashboard!$Q$10:$Q$69,2)</f>
        <v>0</v>
      </c>
      <c r="F11" s="52">
        <f>COUNTIFS(Dashboard!$D$10:$D$69,$B11,Dashboard!$Q$10:$Q$69,3)</f>
        <v>0</v>
      </c>
      <c r="G11" s="29">
        <f>SUMIFS(Dashboard!$J$10:$J$69,Dashboard!$D$10:$D$69,$B11)</f>
        <v>200</v>
      </c>
      <c r="H11" s="29">
        <f>SUMIFS(Dashboard!$K$10:$K$69,Dashboard!$D$10:$D$69,$B11)</f>
        <v>200</v>
      </c>
      <c r="I11" s="53">
        <f t="shared" si="0"/>
        <v>1</v>
      </c>
      <c r="J11" s="52">
        <f>COUNTIFS(Detail!$D$4:$D$303,$B11,Detail!$N$4:$N$303,"&gt;0")</f>
        <v>0</v>
      </c>
      <c r="K11" s="54" t="s">
        <v>121</v>
      </c>
      <c r="L11" s="54"/>
      <c r="M11" s="55"/>
      <c r="N11" s="56"/>
    </row>
    <row r="12" spans="2:14" x14ac:dyDescent="0.25">
      <c r="B12" s="31" t="s">
        <v>126</v>
      </c>
      <c r="C12" s="52">
        <f>COUNTIF(Dashboard!$D$10:$D$69,$B12)</f>
        <v>5</v>
      </c>
      <c r="D12" s="52">
        <f>COUNTIFS(Dashboard!$D$10:$D$69,$B12,Dashboard!$Q$10:$Q$69,0)</f>
        <v>5</v>
      </c>
      <c r="E12" s="52">
        <f>COUNTIFS(Dashboard!$D$10:$D$69,$B12,Dashboard!$Q$10:$Q$69,1)+COUNTIFS(Dashboard!$D$10:$D$69,$B12,Dashboard!$Q$10:$Q$69,2)</f>
        <v>0</v>
      </c>
      <c r="F12" s="52">
        <f>COUNTIFS(Dashboard!$D$10:$D$69,$B12,Dashboard!$Q$10:$Q$69,3)</f>
        <v>0</v>
      </c>
      <c r="G12" s="29">
        <f>SUMIFS(Dashboard!$J$10:$J$69,Dashboard!$D$10:$D$69,$B12)</f>
        <v>200</v>
      </c>
      <c r="H12" s="29">
        <f>SUMIFS(Dashboard!$K$10:$K$69,Dashboard!$D$10:$D$69,$B12)</f>
        <v>200</v>
      </c>
      <c r="I12" s="53">
        <f t="shared" si="0"/>
        <v>1</v>
      </c>
      <c r="J12" s="52">
        <f>COUNTIFS(Detail!$D$4:$D$303,$B12,Detail!$N$4:$N$303,"&gt;0")</f>
        <v>0</v>
      </c>
      <c r="K12" s="54" t="s">
        <v>121</v>
      </c>
      <c r="L12" s="54"/>
      <c r="M12" s="55"/>
      <c r="N12" s="56"/>
    </row>
    <row r="13" spans="2:14" x14ac:dyDescent="0.25">
      <c r="B13" s="31" t="s">
        <v>127</v>
      </c>
      <c r="C13" s="52">
        <f>COUNTIF(Dashboard!$D$10:$D$69,$B13)</f>
        <v>5</v>
      </c>
      <c r="D13" s="52">
        <f>COUNTIFS(Dashboard!$D$10:$D$69,$B13,Dashboard!$Q$10:$Q$69,0)</f>
        <v>5</v>
      </c>
      <c r="E13" s="52">
        <f>COUNTIFS(Dashboard!$D$10:$D$69,$B13,Dashboard!$Q$10:$Q$69,1)+COUNTIFS(Dashboard!$D$10:$D$69,$B13,Dashboard!$Q$10:$Q$69,2)</f>
        <v>0</v>
      </c>
      <c r="F13" s="52">
        <f>COUNTIFS(Dashboard!$D$10:$D$69,$B13,Dashboard!$Q$10:$Q$69,3)</f>
        <v>0</v>
      </c>
      <c r="G13" s="29">
        <f>SUMIFS(Dashboard!$J$10:$J$69,Dashboard!$D$10:$D$69,$B13)</f>
        <v>200</v>
      </c>
      <c r="H13" s="29">
        <f>SUMIFS(Dashboard!$K$10:$K$69,Dashboard!$D$10:$D$69,$B13)</f>
        <v>200</v>
      </c>
      <c r="I13" s="53">
        <f t="shared" si="0"/>
        <v>1</v>
      </c>
      <c r="J13" s="52">
        <f>COUNTIFS(Detail!$D$4:$D$303,$B13,Detail!$N$4:$N$303,"&gt;0")</f>
        <v>0</v>
      </c>
      <c r="K13" s="54" t="s">
        <v>121</v>
      </c>
      <c r="L13" s="54"/>
      <c r="M13" s="55"/>
      <c r="N13" s="56"/>
    </row>
    <row r="14" spans="2:14" x14ac:dyDescent="0.25">
      <c r="B14" s="31" t="s">
        <v>128</v>
      </c>
      <c r="C14" s="52">
        <f>COUNTIF(Dashboard!$D$10:$D$69,$B14)</f>
        <v>9</v>
      </c>
      <c r="D14" s="52">
        <f>COUNTIFS(Dashboard!$D$10:$D$69,$B14,Dashboard!$Q$10:$Q$69,0)</f>
        <v>9</v>
      </c>
      <c r="E14" s="52">
        <f>COUNTIFS(Dashboard!$D$10:$D$69,$B14,Dashboard!$Q$10:$Q$69,1)+COUNTIFS(Dashboard!$D$10:$D$69,$B14,Dashboard!$Q$10:$Q$69,2)</f>
        <v>0</v>
      </c>
      <c r="F14" s="52">
        <f>COUNTIFS(Dashboard!$D$10:$D$69,$B14,Dashboard!$Q$10:$Q$69,3)</f>
        <v>0</v>
      </c>
      <c r="G14" s="29">
        <f>SUMIFS(Dashboard!$J$10:$J$69,Dashboard!$D$10:$D$69,$B14)</f>
        <v>360</v>
      </c>
      <c r="H14" s="29">
        <f>SUMIFS(Dashboard!$K$10:$K$69,Dashboard!$D$10:$D$69,$B14)</f>
        <v>360</v>
      </c>
      <c r="I14" s="53">
        <f t="shared" si="0"/>
        <v>1</v>
      </c>
      <c r="J14" s="52">
        <f>COUNTIFS(Detail!$D$4:$D$303,$B14,Detail!$N$4:$N$303,"&gt;0")</f>
        <v>0</v>
      </c>
      <c r="K14" s="54" t="s">
        <v>121</v>
      </c>
      <c r="L14" s="54"/>
      <c r="M14" s="55"/>
      <c r="N14" s="56"/>
    </row>
    <row r="15" spans="2:14" x14ac:dyDescent="0.25">
      <c r="B15" s="57" t="s">
        <v>129</v>
      </c>
      <c r="C15" s="58">
        <f t="shared" ref="C15:H15" si="1">SUM(C7:C14)</f>
        <v>38</v>
      </c>
      <c r="D15" s="58">
        <f t="shared" si="1"/>
        <v>33</v>
      </c>
      <c r="E15" s="58">
        <f t="shared" si="1"/>
        <v>3</v>
      </c>
      <c r="F15" s="58">
        <f t="shared" si="1"/>
        <v>2</v>
      </c>
      <c r="G15" s="59">
        <f t="shared" si="1"/>
        <v>1528</v>
      </c>
      <c r="H15" s="59">
        <f t="shared" si="1"/>
        <v>1520</v>
      </c>
      <c r="I15" s="60">
        <f t="shared" si="0"/>
        <v>0.86842105263157898</v>
      </c>
      <c r="J15" s="58">
        <f>SUM(J7:J14)</f>
        <v>6</v>
      </c>
      <c r="K15" s="61"/>
      <c r="L15" s="61"/>
      <c r="M15" s="61"/>
      <c r="N15" s="61"/>
    </row>
    <row r="17" spans="2:14" ht="19.5" customHeight="1" x14ac:dyDescent="0.25">
      <c r="B17" s="167" t="s">
        <v>130</v>
      </c>
      <c r="C17" s="167"/>
      <c r="D17" s="167"/>
      <c r="E17" s="167"/>
      <c r="F17" s="167"/>
      <c r="G17" s="167"/>
      <c r="H17" s="167"/>
      <c r="I17" s="167"/>
      <c r="J17" s="167"/>
      <c r="K17" s="167"/>
      <c r="L17" s="167"/>
      <c r="M17" s="167"/>
      <c r="N17" s="167"/>
    </row>
    <row r="18" spans="2:14" ht="30" customHeight="1" x14ac:dyDescent="0.25">
      <c r="B18" s="51" t="s">
        <v>58</v>
      </c>
      <c r="C18" s="169" t="s">
        <v>131</v>
      </c>
      <c r="D18" s="169"/>
      <c r="E18" s="169"/>
      <c r="F18" s="169"/>
      <c r="G18" s="51" t="s">
        <v>132</v>
      </c>
      <c r="H18" s="51" t="s">
        <v>133</v>
      </c>
      <c r="I18" s="51" t="s">
        <v>134</v>
      </c>
      <c r="J18" s="51" t="s">
        <v>135</v>
      </c>
      <c r="K18" s="51" t="s">
        <v>117</v>
      </c>
    </row>
    <row r="19" spans="2:14" ht="30" customHeight="1" x14ac:dyDescent="0.25">
      <c r="B19" s="62">
        <v>1</v>
      </c>
      <c r="C19" s="166" t="s">
        <v>136</v>
      </c>
      <c r="D19" s="166"/>
      <c r="E19" s="166"/>
      <c r="F19" s="166"/>
      <c r="G19" s="63">
        <f>COUNTIF(Detail!$G$4:$G$303,0)</f>
        <v>2</v>
      </c>
      <c r="H19" s="62" t="str">
        <f t="shared" ref="H19:H24" si="2">IF($G19=0,"✅ ALL GOOD","⚠️ REVIEW")</f>
        <v>⚠️ REVIEW</v>
      </c>
      <c r="I19" s="64" t="s">
        <v>137</v>
      </c>
      <c r="J19" s="32" t="s">
        <v>138</v>
      </c>
      <c r="K19" s="54" t="s">
        <v>121</v>
      </c>
    </row>
    <row r="20" spans="2:14" ht="30" customHeight="1" x14ac:dyDescent="0.25">
      <c r="B20" s="62">
        <v>2</v>
      </c>
      <c r="C20" s="166" t="s">
        <v>139</v>
      </c>
      <c r="D20" s="166"/>
      <c r="E20" s="166"/>
      <c r="F20" s="166"/>
      <c r="G20" s="63">
        <f>COUNTIFS(Detail!$G$4:$G$303,"&gt;0",Detail!$L$4:$L$303,"&lt;0")</f>
        <v>0</v>
      </c>
      <c r="H20" s="62" t="str">
        <f t="shared" si="2"/>
        <v>✅ ALL GOOD</v>
      </c>
      <c r="I20" s="64" t="s">
        <v>137</v>
      </c>
      <c r="J20" s="32" t="s">
        <v>140</v>
      </c>
      <c r="K20" s="54" t="s">
        <v>121</v>
      </c>
    </row>
    <row r="21" spans="2:14" ht="30" customHeight="1" x14ac:dyDescent="0.25">
      <c r="B21" s="62">
        <v>3</v>
      </c>
      <c r="C21" s="166" t="s">
        <v>141</v>
      </c>
      <c r="D21" s="166"/>
      <c r="E21" s="166"/>
      <c r="F21" s="166"/>
      <c r="G21" s="63">
        <f>COUNTIFS(Detail!$G$4:$G$303,"&gt;0",Detail!$L$4:$L$303,"&gt;0")</f>
        <v>4</v>
      </c>
      <c r="H21" s="62" t="str">
        <f t="shared" si="2"/>
        <v>⚠️ REVIEW</v>
      </c>
      <c r="I21" s="64" t="s">
        <v>137</v>
      </c>
      <c r="J21" s="32" t="s">
        <v>142</v>
      </c>
      <c r="K21" s="54" t="s">
        <v>121</v>
      </c>
    </row>
    <row r="22" spans="2:14" ht="30" customHeight="1" x14ac:dyDescent="0.25">
      <c r="B22" s="62">
        <v>4</v>
      </c>
      <c r="C22" s="166" t="s">
        <v>143</v>
      </c>
      <c r="D22" s="166"/>
      <c r="E22" s="166"/>
      <c r="F22" s="166"/>
      <c r="G22" s="63">
        <f>SUMPRODUCT(RawBtabs!$X$2:$X$1500,RawBtabs!$W$2:$W$1500,RawBtabs!$S$2:$S$1500,--(RawBtabs!$U$2:$U$1500=0))</f>
        <v>0</v>
      </c>
      <c r="H22" s="62" t="str">
        <f t="shared" si="2"/>
        <v>✅ ALL GOOD</v>
      </c>
      <c r="I22" s="64" t="s">
        <v>144</v>
      </c>
      <c r="J22" s="32" t="s">
        <v>145</v>
      </c>
      <c r="K22" s="54" t="s">
        <v>121</v>
      </c>
    </row>
    <row r="23" spans="2:14" ht="30" customHeight="1" x14ac:dyDescent="0.25">
      <c r="B23" s="62">
        <v>5</v>
      </c>
      <c r="C23" s="166" t="s">
        <v>146</v>
      </c>
      <c r="D23" s="166"/>
      <c r="E23" s="166"/>
      <c r="F23" s="166"/>
      <c r="G23" s="63">
        <f>SUMPRODUCT(--(RawBtabs!$B$2:$B$1500="Unapproved"),RawBtabs!$W$2:$W$1500,RawBtabs!$S$2:$S$1500)</f>
        <v>14</v>
      </c>
      <c r="H23" s="62" t="str">
        <f t="shared" si="2"/>
        <v>⚠️ REVIEW</v>
      </c>
      <c r="I23" s="64" t="s">
        <v>147</v>
      </c>
      <c r="J23" s="32" t="s">
        <v>148</v>
      </c>
      <c r="K23" s="54" t="s">
        <v>121</v>
      </c>
    </row>
    <row r="24" spans="2:14" ht="30" customHeight="1" x14ac:dyDescent="0.25">
      <c r="B24" s="62">
        <v>6</v>
      </c>
      <c r="C24" s="166" t="s">
        <v>149</v>
      </c>
      <c r="D24" s="166"/>
      <c r="E24" s="166"/>
      <c r="F24" s="166"/>
      <c r="G24" s="63">
        <f>COUNTIF(Dashboard!$M$10:$M$69,0)</f>
        <v>0</v>
      </c>
      <c r="H24" s="62" t="str">
        <f t="shared" si="2"/>
        <v>✅ ALL GOOD</v>
      </c>
      <c r="I24" s="64" t="s">
        <v>150</v>
      </c>
      <c r="J24" s="32" t="s">
        <v>151</v>
      </c>
      <c r="K24" s="54" t="s">
        <v>121</v>
      </c>
    </row>
    <row r="25" spans="2:14" ht="30" customHeight="1" x14ac:dyDescent="0.25">
      <c r="B25" s="62">
        <v>7</v>
      </c>
      <c r="C25" s="166" t="s">
        <v>152</v>
      </c>
      <c r="D25" s="166"/>
      <c r="E25" s="166"/>
      <c r="F25" s="166"/>
      <c r="G25" s="63">
        <f>COUNTIF(Dashboard!$Q$10:$Q$69,0)</f>
        <v>33</v>
      </c>
      <c r="H25" s="62" t="str">
        <f>IF($G25=Config!$C$14,"✅ ALL GOOD","⚠️ REVIEW")</f>
        <v>⚠️ REVIEW</v>
      </c>
      <c r="I25" s="64" t="s">
        <v>150</v>
      </c>
      <c r="J25" s="32" t="s">
        <v>153</v>
      </c>
      <c r="K25" s="54" t="s">
        <v>121</v>
      </c>
    </row>
    <row r="27" spans="2:14" ht="19.5" customHeight="1" x14ac:dyDescent="0.25">
      <c r="B27" s="167" t="s">
        <v>154</v>
      </c>
      <c r="C27" s="167"/>
      <c r="D27" s="167"/>
      <c r="E27" s="167"/>
      <c r="F27" s="167"/>
      <c r="G27" s="167"/>
      <c r="H27" s="167"/>
      <c r="I27" s="167"/>
      <c r="J27" s="167"/>
      <c r="K27" s="167"/>
      <c r="L27" s="167"/>
      <c r="M27" s="167"/>
      <c r="N27" s="167"/>
    </row>
    <row r="28" spans="2:14" ht="21.75" customHeight="1" x14ac:dyDescent="0.25">
      <c r="B28" s="163" t="s">
        <v>155</v>
      </c>
      <c r="C28" s="163"/>
      <c r="D28" s="163"/>
      <c r="E28" s="168" t="str">
        <f>TEXT(Config!$C$7,"dd/mm/yyyy")&amp;"  to  "&amp;TEXT(Config!$C$8,"dd/mm/yyyy")</f>
        <v>31/08/2026  to  04/09/2026</v>
      </c>
      <c r="F28" s="168"/>
      <c r="G28" s="168"/>
      <c r="H28" s="168"/>
      <c r="I28" s="168"/>
      <c r="J28" s="168"/>
      <c r="K28" s="168"/>
      <c r="L28" s="168"/>
      <c r="M28" s="168"/>
      <c r="N28" s="168"/>
    </row>
    <row r="29" spans="2:14" ht="21.75" customHeight="1" x14ac:dyDescent="0.25">
      <c r="B29" s="163" t="s">
        <v>156</v>
      </c>
      <c r="C29" s="163"/>
      <c r="D29" s="163"/>
      <c r="E29" s="164" t="s">
        <v>157</v>
      </c>
      <c r="F29" s="164"/>
      <c r="G29" s="164"/>
      <c r="H29" s="164"/>
      <c r="I29" s="164"/>
      <c r="J29" s="164"/>
      <c r="K29" s="164"/>
      <c r="L29" s="164"/>
      <c r="M29" s="164"/>
      <c r="N29" s="164"/>
    </row>
    <row r="30" spans="2:14" ht="21.75" customHeight="1" x14ac:dyDescent="0.25">
      <c r="B30" s="163" t="s">
        <v>158</v>
      </c>
      <c r="C30" s="163"/>
      <c r="D30" s="163"/>
      <c r="E30" s="165"/>
      <c r="F30" s="165"/>
      <c r="G30" s="165"/>
      <c r="H30" s="165"/>
      <c r="I30" s="165"/>
      <c r="J30" s="165"/>
      <c r="K30" s="165"/>
      <c r="L30" s="165"/>
      <c r="M30" s="165"/>
      <c r="N30" s="165"/>
    </row>
    <row r="31" spans="2:14" ht="21.75" customHeight="1" x14ac:dyDescent="0.25">
      <c r="B31" s="163" t="s">
        <v>159</v>
      </c>
      <c r="C31" s="163"/>
      <c r="D31" s="163"/>
      <c r="E31" s="164" t="s">
        <v>160</v>
      </c>
      <c r="F31" s="164"/>
      <c r="G31" s="164"/>
      <c r="H31" s="164"/>
      <c r="I31" s="164"/>
      <c r="J31" s="164"/>
      <c r="K31" s="164"/>
      <c r="L31" s="164"/>
      <c r="M31" s="164"/>
      <c r="N31" s="164"/>
    </row>
    <row r="32" spans="2:14" ht="21.75" customHeight="1" x14ac:dyDescent="0.25">
      <c r="B32" s="163" t="s">
        <v>161</v>
      </c>
      <c r="C32" s="163"/>
      <c r="D32" s="163"/>
      <c r="E32" s="164" t="s">
        <v>162</v>
      </c>
      <c r="F32" s="164"/>
      <c r="G32" s="164"/>
      <c r="H32" s="164"/>
      <c r="I32" s="164"/>
      <c r="J32" s="164"/>
      <c r="K32" s="164"/>
      <c r="L32" s="164"/>
      <c r="M32" s="164"/>
      <c r="N32" s="164"/>
    </row>
  </sheetData>
  <mergeCells count="23">
    <mergeCell ref="B2:N2"/>
    <mergeCell ref="B3:N3"/>
    <mergeCell ref="B5:N5"/>
    <mergeCell ref="B17:N17"/>
    <mergeCell ref="C18:F18"/>
    <mergeCell ref="C19:F19"/>
    <mergeCell ref="C20:F20"/>
    <mergeCell ref="C21:F21"/>
    <mergeCell ref="C22:F22"/>
    <mergeCell ref="C23:F23"/>
    <mergeCell ref="C24:F24"/>
    <mergeCell ref="C25:F25"/>
    <mergeCell ref="B27:N27"/>
    <mergeCell ref="B28:D28"/>
    <mergeCell ref="E28:N28"/>
    <mergeCell ref="B32:D32"/>
    <mergeCell ref="E32:N32"/>
    <mergeCell ref="B29:D29"/>
    <mergeCell ref="E29:N29"/>
    <mergeCell ref="B30:D30"/>
    <mergeCell ref="E30:N30"/>
    <mergeCell ref="B31:D31"/>
    <mergeCell ref="E31:N31"/>
  </mergeCells>
  <conditionalFormatting sqref="D7:D14">
    <cfRule type="expression" dxfId="18" priority="4">
      <formula>D7&gt;0</formula>
    </cfRule>
  </conditionalFormatting>
  <conditionalFormatting sqref="E7:E14">
    <cfRule type="expression" dxfId="17" priority="2">
      <formula>E7&gt;0</formula>
    </cfRule>
  </conditionalFormatting>
  <conditionalFormatting sqref="F7:F14">
    <cfRule type="expression" dxfId="16" priority="3">
      <formula>F7&gt;0</formula>
    </cfRule>
  </conditionalFormatting>
  <conditionalFormatting sqref="H19:H25">
    <cfRule type="expression" dxfId="15" priority="6">
      <formula>$H19="✅ ALL GOOD"</formula>
    </cfRule>
    <cfRule type="expression" dxfId="14" priority="7">
      <formula>$H19&lt;&gt;""</formula>
    </cfRule>
  </conditionalFormatting>
  <conditionalFormatting sqref="J7:J14">
    <cfRule type="expression" dxfId="13" priority="5">
      <formula>J7&gt;0</formula>
    </cfRule>
  </conditionalFormatting>
  <dataValidations count="1">
    <dataValidation type="list" allowBlank="1" promptTitle="Sign-off" prompt="Choose: Pending / Reviewed / Escalated to HR" sqref="K7:K14 K19:K25" xr:uid="{00000000-0002-0000-0400-000000000000}">
      <formula1>"Pending,Reviewed,Escalated to HR"</formula1>
      <formula2>0</formula2>
    </dataValidation>
  </dataValidations>
  <pageMargins left="0.3" right="0.3" top="0.4" bottom="0.4" header="0.511811023622047" footer="0.511811023622047"/>
  <pageSetup paperSize="9" fitToHeight="0" orientation="landscape" horizontalDpi="300" verticalDpi="300"/>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6FB2"/>
    <pageSetUpPr fitToPage="1"/>
  </sheetPr>
  <dimension ref="B2:J40"/>
  <sheetViews>
    <sheetView showGridLines="0" zoomScaleNormal="100" workbookViewId="0">
      <pane xSplit="1" ySplit="10" topLeftCell="B11" activePane="bottomRight" state="frozen"/>
      <selection pane="topRight" activeCell="B1" sqref="B1"/>
      <selection pane="bottomLeft" activeCell="A11" sqref="A11"/>
      <selection pane="bottomRight" activeCell="C21" sqref="C21:E21"/>
    </sheetView>
  </sheetViews>
  <sheetFormatPr defaultColWidth="8.7109375" defaultRowHeight="15" x14ac:dyDescent="0.25"/>
  <cols>
    <col min="1" max="1" width="2" customWidth="1"/>
    <col min="2" max="2" width="5" customWidth="1"/>
    <col min="3" max="3" width="52" customWidth="1"/>
    <col min="4" max="4" width="10" customWidth="1"/>
    <col min="5" max="5" width="16" customWidth="1"/>
    <col min="6" max="7" width="54" customWidth="1"/>
    <col min="8" max="8" width="20" customWidth="1"/>
    <col min="10" max="10" width="6" hidden="1" customWidth="1"/>
  </cols>
  <sheetData>
    <row r="2" spans="2:10" ht="33.75" customHeight="1" x14ac:dyDescent="0.25">
      <c r="B2" s="116" t="s">
        <v>163</v>
      </c>
      <c r="C2" s="116"/>
      <c r="D2" s="116"/>
      <c r="E2" s="116"/>
      <c r="F2" s="116"/>
      <c r="G2" s="116"/>
      <c r="H2" s="116"/>
    </row>
    <row r="3" spans="2:10" ht="19.5" customHeight="1" x14ac:dyDescent="0.25">
      <c r="B3" s="117" t="s">
        <v>164</v>
      </c>
      <c r="C3" s="117"/>
      <c r="D3" s="117"/>
      <c r="E3" s="117"/>
      <c r="F3" s="117"/>
      <c r="G3" s="117"/>
      <c r="H3" s="117"/>
    </row>
    <row r="5" spans="2:10" ht="19.5" customHeight="1" x14ac:dyDescent="0.25">
      <c r="B5" s="171" t="s">
        <v>165</v>
      </c>
      <c r="C5" s="171"/>
      <c r="D5" s="171"/>
      <c r="E5" s="171"/>
      <c r="F5" s="171"/>
      <c r="G5" s="171"/>
      <c r="H5" s="171"/>
      <c r="J5" s="23" t="s">
        <v>166</v>
      </c>
    </row>
    <row r="6" spans="2:10" x14ac:dyDescent="0.25">
      <c r="B6" s="172" t="str">
        <f>IF(Config!$C$15=0,$J$5,IF(Config!$C$17=0,$J$6,IF(Config!$C$18=0,$J$7,$J$8&amp;"   "&amp;TEXT(Config!$C$15,"0")&amp;" rows pasted  ·  "&amp;TEXT(Config!$C$17,"0")&amp;" inside the selected week  ·  "&amp;TEXT(Config!$C$18,"0")&amp;" of those belong to the BPO roster.")))</f>
        <v>✅ Data looks loaded.   858 rows pasted  ·  733 inside the selected week  ·  283 of those belong to the BPO roster.</v>
      </c>
      <c r="C6" s="172"/>
      <c r="D6" s="172"/>
      <c r="E6" s="172"/>
      <c r="F6" s="172"/>
      <c r="G6" s="172"/>
      <c r="H6" s="172"/>
      <c r="J6" s="23" t="s">
        <v>167</v>
      </c>
    </row>
    <row r="7" spans="2:10" x14ac:dyDescent="0.25">
      <c r="B7" s="172"/>
      <c r="C7" s="172"/>
      <c r="D7" s="172"/>
      <c r="E7" s="172"/>
      <c r="F7" s="172"/>
      <c r="G7" s="172"/>
      <c r="H7" s="172"/>
      <c r="J7" s="23" t="s">
        <v>168</v>
      </c>
    </row>
    <row r="8" spans="2:10" x14ac:dyDescent="0.25">
      <c r="J8" s="23" t="s">
        <v>169</v>
      </c>
    </row>
    <row r="9" spans="2:10" ht="19.5" customHeight="1" x14ac:dyDescent="0.25">
      <c r="B9" s="171" t="s">
        <v>170</v>
      </c>
      <c r="C9" s="171"/>
      <c r="D9" s="171"/>
      <c r="E9" s="171"/>
      <c r="F9" s="171"/>
      <c r="G9" s="171"/>
      <c r="H9" s="171"/>
    </row>
    <row r="10" spans="2:10" ht="27.75" customHeight="1" x14ac:dyDescent="0.25">
      <c r="B10" s="65" t="s">
        <v>58</v>
      </c>
      <c r="C10" s="65" t="s">
        <v>171</v>
      </c>
      <c r="D10" s="65" t="s">
        <v>172</v>
      </c>
      <c r="E10" s="65" t="s">
        <v>133</v>
      </c>
      <c r="F10" s="65" t="s">
        <v>173</v>
      </c>
      <c r="G10" s="65" t="s">
        <v>174</v>
      </c>
      <c r="H10" s="65" t="s">
        <v>175</v>
      </c>
    </row>
    <row r="11" spans="2:10" ht="42" customHeight="1" x14ac:dyDescent="0.25">
      <c r="B11" s="62">
        <v>1</v>
      </c>
      <c r="C11" s="66" t="s">
        <v>176</v>
      </c>
      <c r="D11" s="67">
        <f>Config!$C$15</f>
        <v>858</v>
      </c>
      <c r="E11" s="62" t="str">
        <f>IF($D11&gt;0,"✅ ALL GOOD","⛔ NO DATA")</f>
        <v>✅ ALL GOOD</v>
      </c>
      <c r="F11" s="32" t="s">
        <v>177</v>
      </c>
      <c r="G11" s="32" t="s">
        <v>178</v>
      </c>
      <c r="H11" s="68" t="s">
        <v>179</v>
      </c>
      <c r="J11" s="46">
        <f>IF($D11&gt;0,0,2)</f>
        <v>0</v>
      </c>
    </row>
    <row r="12" spans="2:10" ht="42" customHeight="1" x14ac:dyDescent="0.25">
      <c r="B12" s="62">
        <v>2</v>
      </c>
      <c r="C12" s="66" t="s">
        <v>180</v>
      </c>
      <c r="D12" s="67">
        <f>Config!$C$17</f>
        <v>733</v>
      </c>
      <c r="E12" s="62" t="str">
        <f>IF($D12&gt;0,"✅ ALL GOOD","⛔ NO DATA")</f>
        <v>✅ ALL GOOD</v>
      </c>
      <c r="F12" s="32" t="s">
        <v>181</v>
      </c>
      <c r="G12" s="32" t="s">
        <v>182</v>
      </c>
      <c r="H12" s="68" t="s">
        <v>30</v>
      </c>
      <c r="J12" s="46">
        <f>IF($D12&gt;0,0,2)</f>
        <v>0</v>
      </c>
    </row>
    <row r="13" spans="2:10" ht="42" customHeight="1" x14ac:dyDescent="0.25">
      <c r="B13" s="62">
        <v>3</v>
      </c>
      <c r="C13" s="66" t="s">
        <v>183</v>
      </c>
      <c r="D13" s="67">
        <f>Config!$C$18</f>
        <v>283</v>
      </c>
      <c r="E13" s="62" t="str">
        <f>IF($D13&gt;0,"✅ ALL GOOD","⛔ NO DATA")</f>
        <v>✅ ALL GOOD</v>
      </c>
      <c r="F13" s="32" t="s">
        <v>184</v>
      </c>
      <c r="G13" s="32" t="s">
        <v>185</v>
      </c>
      <c r="H13" s="68" t="s">
        <v>32</v>
      </c>
      <c r="J13" s="46">
        <f>IF($D13&gt;0,0,2)</f>
        <v>0</v>
      </c>
    </row>
    <row r="14" spans="2:10" ht="42" customHeight="1" x14ac:dyDescent="0.25">
      <c r="B14" s="62">
        <v>4</v>
      </c>
      <c r="C14" s="66" t="s">
        <v>186</v>
      </c>
      <c r="D14" s="67">
        <f>SUM(RawBtabs!$AC$2:$AC$1500)</f>
        <v>1</v>
      </c>
      <c r="E14" s="62" t="str">
        <f>IF($D14=0,"✅ ALL GOOD","⚠️ REVIEW")</f>
        <v>⚠️ REVIEW</v>
      </c>
      <c r="F14" s="32" t="s">
        <v>187</v>
      </c>
      <c r="G14" s="32" t="s">
        <v>188</v>
      </c>
      <c r="H14" s="68" t="s">
        <v>189</v>
      </c>
      <c r="J14" s="46">
        <f>IF($D14=0,0,1)</f>
        <v>1</v>
      </c>
    </row>
    <row r="15" spans="2:10" ht="42" customHeight="1" x14ac:dyDescent="0.25">
      <c r="B15" s="62">
        <v>5</v>
      </c>
      <c r="C15" s="66" t="s">
        <v>190</v>
      </c>
      <c r="D15" s="67">
        <f>SUM(RawBtabs!$AF$2:$AF$1500)</f>
        <v>11</v>
      </c>
      <c r="E15" s="62" t="str">
        <f>IF($D15=0,"✅ ALL GOOD","⚠️ REVIEW")</f>
        <v>⚠️ REVIEW</v>
      </c>
      <c r="F15" s="32" t="s">
        <v>191</v>
      </c>
      <c r="G15" s="32" t="s">
        <v>192</v>
      </c>
      <c r="H15" s="68" t="s">
        <v>193</v>
      </c>
      <c r="J15" s="46">
        <f>IF($D15=0,0,1)</f>
        <v>1</v>
      </c>
    </row>
    <row r="16" spans="2:10" ht="42" customHeight="1" x14ac:dyDescent="0.25">
      <c r="B16" s="62">
        <v>6</v>
      </c>
      <c r="C16" s="66" t="s">
        <v>194</v>
      </c>
      <c r="D16" s="67">
        <f>SUM(RawBtabs!$AG$2:$AG$1500)</f>
        <v>50</v>
      </c>
      <c r="E16" s="62" t="str">
        <f>"ℹ️ FOR INFO"</f>
        <v>ℹ️ FOR INFO</v>
      </c>
      <c r="F16" s="32" t="s">
        <v>195</v>
      </c>
      <c r="G16" s="32" t="s">
        <v>196</v>
      </c>
      <c r="H16" s="68" t="s">
        <v>197</v>
      </c>
      <c r="J16" s="46">
        <f>3</f>
        <v>3</v>
      </c>
    </row>
    <row r="17" spans="2:10" ht="42" customHeight="1" x14ac:dyDescent="0.25">
      <c r="B17" s="62">
        <v>7</v>
      </c>
      <c r="C17" s="66" t="s">
        <v>198</v>
      </c>
      <c r="D17" s="67">
        <f>SUM(RawBtabs!$AI$2:$AI$1500)</f>
        <v>8</v>
      </c>
      <c r="E17" s="62" t="str">
        <f t="shared" ref="E17:E23" si="0">IF($D17=0,"✅ ALL GOOD","⚠️ REVIEW")</f>
        <v>⚠️ REVIEW</v>
      </c>
      <c r="F17" s="32" t="s">
        <v>199</v>
      </c>
      <c r="G17" s="32" t="s">
        <v>200</v>
      </c>
      <c r="H17" s="68" t="s">
        <v>201</v>
      </c>
      <c r="J17" s="46">
        <f t="shared" ref="J17:J23" si="1">IF($D17=0,0,1)</f>
        <v>1</v>
      </c>
    </row>
    <row r="18" spans="2:10" ht="42" customHeight="1" x14ac:dyDescent="0.25">
      <c r="B18" s="62">
        <v>8</v>
      </c>
      <c r="C18" s="66" t="s">
        <v>202</v>
      </c>
      <c r="D18" s="67">
        <f>SUM(RawBtabs!$AJ$2:$AJ$1500)</f>
        <v>0</v>
      </c>
      <c r="E18" s="62" t="str">
        <f t="shared" si="0"/>
        <v>✅ ALL GOOD</v>
      </c>
      <c r="F18" s="32" t="s">
        <v>203</v>
      </c>
      <c r="G18" s="32" t="s">
        <v>204</v>
      </c>
      <c r="H18" s="68" t="s">
        <v>205</v>
      </c>
      <c r="J18" s="46">
        <f t="shared" si="1"/>
        <v>0</v>
      </c>
    </row>
    <row r="19" spans="2:10" ht="42" customHeight="1" x14ac:dyDescent="0.25">
      <c r="B19" s="62">
        <v>9</v>
      </c>
      <c r="C19" s="66" t="s">
        <v>206</v>
      </c>
      <c r="D19" s="67">
        <f>SUM(RawBtabs!$AK$2:$AK$1500)</f>
        <v>0</v>
      </c>
      <c r="E19" s="62" t="str">
        <f t="shared" si="0"/>
        <v>✅ ALL GOOD</v>
      </c>
      <c r="F19" s="32" t="s">
        <v>207</v>
      </c>
      <c r="G19" s="32" t="s">
        <v>208</v>
      </c>
      <c r="H19" s="68" t="s">
        <v>209</v>
      </c>
      <c r="J19" s="46">
        <f t="shared" si="1"/>
        <v>0</v>
      </c>
    </row>
    <row r="20" spans="2:10" ht="42" customHeight="1" x14ac:dyDescent="0.25">
      <c r="B20" s="62">
        <v>10</v>
      </c>
      <c r="C20" s="66" t="s">
        <v>210</v>
      </c>
      <c r="D20" s="67">
        <f>SUM(RawBtabs!$AL$2:$AL$1500)</f>
        <v>0</v>
      </c>
      <c r="E20" s="62" t="str">
        <f t="shared" si="0"/>
        <v>✅ ALL GOOD</v>
      </c>
      <c r="F20" s="32" t="s">
        <v>211</v>
      </c>
      <c r="G20" s="32" t="s">
        <v>212</v>
      </c>
      <c r="H20" s="68" t="s">
        <v>18</v>
      </c>
      <c r="J20" s="46">
        <f t="shared" si="1"/>
        <v>0</v>
      </c>
    </row>
    <row r="21" spans="2:10" ht="42" customHeight="1" x14ac:dyDescent="0.25">
      <c r="B21" s="62">
        <v>11</v>
      </c>
      <c r="C21" s="66" t="s">
        <v>213</v>
      </c>
      <c r="D21" s="67">
        <f>SUMPRODUCT(--(RawBtabs!$B$2:$B$1500="Unapproved"),RawBtabs!$W$2:$W$1500,RawBtabs!$S$2:$S$1500)</f>
        <v>14</v>
      </c>
      <c r="E21" s="62" t="str">
        <f t="shared" si="0"/>
        <v>⚠️ REVIEW</v>
      </c>
      <c r="F21" s="32" t="s">
        <v>214</v>
      </c>
      <c r="G21" s="32" t="s">
        <v>215</v>
      </c>
      <c r="H21" s="68" t="s">
        <v>216</v>
      </c>
      <c r="J21" s="46">
        <f t="shared" si="1"/>
        <v>1</v>
      </c>
    </row>
    <row r="22" spans="2:10" ht="42" customHeight="1" x14ac:dyDescent="0.25">
      <c r="B22" s="62">
        <v>12</v>
      </c>
      <c r="C22" s="66" t="s">
        <v>217</v>
      </c>
      <c r="D22" s="67">
        <f>SUMPRODUCT(--(RawBtabs!$B$2:$B$1500="Rejected"),RawBtabs!$W$2:$W$1500,RawBtabs!$S$2:$S$1500)</f>
        <v>0</v>
      </c>
      <c r="E22" s="62" t="str">
        <f t="shared" si="0"/>
        <v>✅ ALL GOOD</v>
      </c>
      <c r="F22" s="32" t="s">
        <v>218</v>
      </c>
      <c r="G22" s="32" t="s">
        <v>219</v>
      </c>
      <c r="H22" s="68" t="s">
        <v>216</v>
      </c>
      <c r="J22" s="46">
        <f t="shared" si="1"/>
        <v>0</v>
      </c>
    </row>
    <row r="23" spans="2:10" ht="42" customHeight="1" x14ac:dyDescent="0.25">
      <c r="B23" s="62">
        <v>13</v>
      </c>
      <c r="C23" s="66" t="s">
        <v>220</v>
      </c>
      <c r="D23" s="67">
        <f>SUMPRODUCT(--(BPOworkers!$B$6:$B$105&lt;&gt;""),--(COUNTIF(RawBtabs!$A$2:$A$1500,BPOworkers!$B$6:$B$105)=0))</f>
        <v>0</v>
      </c>
      <c r="E23" s="62" t="str">
        <f t="shared" si="0"/>
        <v>✅ ALL GOOD</v>
      </c>
      <c r="F23" s="32" t="s">
        <v>221</v>
      </c>
      <c r="G23" s="32" t="s">
        <v>222</v>
      </c>
      <c r="H23" s="68" t="s">
        <v>14</v>
      </c>
      <c r="J23" s="46">
        <f t="shared" si="1"/>
        <v>0</v>
      </c>
    </row>
    <row r="25" spans="2:10" ht="19.5" customHeight="1" x14ac:dyDescent="0.25">
      <c r="B25" s="171" t="s">
        <v>223</v>
      </c>
      <c r="C25" s="171"/>
      <c r="D25" s="171"/>
      <c r="E25" s="171"/>
      <c r="F25" s="171"/>
      <c r="G25" s="171"/>
      <c r="H25" s="171"/>
    </row>
    <row r="26" spans="2:10" x14ac:dyDescent="0.25">
      <c r="B26" s="65" t="s">
        <v>58</v>
      </c>
      <c r="C26" s="65" t="s">
        <v>224</v>
      </c>
      <c r="D26" s="65" t="s">
        <v>225</v>
      </c>
      <c r="E26" s="65" t="s">
        <v>226</v>
      </c>
      <c r="F26" s="65" t="s">
        <v>227</v>
      </c>
      <c r="G26" s="65" t="s">
        <v>93</v>
      </c>
      <c r="H26" s="65"/>
    </row>
    <row r="27" spans="2:10" ht="25.5" customHeight="1" x14ac:dyDescent="0.25">
      <c r="B27" s="69">
        <f t="shared" ref="B27:B34" si="2">IF($C27="","",ROW()-26)</f>
        <v>1</v>
      </c>
      <c r="C27" s="70" t="str">
        <f>IFERROR(INDEX(RawBtabs!$A$2:$A$1500,MATCH(ROW()-26,RawBtabs!$AE$2:$AE$1500,0)),"")</f>
        <v>C Lara</v>
      </c>
      <c r="D27" s="69">
        <f>IF($C27="","",COUNTIF(RawBtabs!$A$2:$A$1500,$C27))</f>
        <v>10</v>
      </c>
      <c r="E27" s="71">
        <f>IF($C27="","",SUMIFS(RawBtabs!$T$2:$T$1500,RawBtabs!$A$2:$A$1500,$C27,RawBtabs!$C$2:$C$1500,"&gt;="&amp;Config!$C$7,RawBtabs!$C$2:$C$1500,"&lt;="&amp;Config!$C$8))</f>
        <v>32</v>
      </c>
      <c r="F27" s="45" t="str">
        <f t="shared" ref="F27:F34" si="3">IF($C27="","","This person is billing in BTabs but is invisible to the whole report.")</f>
        <v>This person is billing in BTabs but is invisible to the whole report.</v>
      </c>
      <c r="G27" s="45" t="str">
        <f t="shared" ref="G27:G34" si="4">IF($C27="","","If they belong to BPO, add them to the BPOworkers tab. If not, ignore - the dot-less name is just a coincidence.")</f>
        <v>If they belong to BPO, add them to the BPOworkers tab. If not, ignore - the dot-less name is just a coincidence.</v>
      </c>
    </row>
    <row r="28" spans="2:10" ht="25.5" customHeight="1" x14ac:dyDescent="0.25">
      <c r="B28" s="69" t="str">
        <f t="shared" si="2"/>
        <v/>
      </c>
      <c r="C28" s="70" t="str">
        <f>IFERROR(INDEX(RawBtabs!$A$2:$A$1500,MATCH(ROW()-26,RawBtabs!$AE$2:$AE$1500,0)),"")</f>
        <v/>
      </c>
      <c r="D28" s="69" t="str">
        <f>IF($C28="","",COUNTIF(RawBtabs!$A$2:$A$1500,$C28))</f>
        <v/>
      </c>
      <c r="E28" s="71" t="str">
        <f>IF($C28="","",SUMIFS(RawBtabs!$T$2:$T$1500,RawBtabs!$A$2:$A$1500,$C28,RawBtabs!$C$2:$C$1500,"&gt;="&amp;Config!$C$7,RawBtabs!$C$2:$C$1500,"&lt;="&amp;Config!$C$8))</f>
        <v/>
      </c>
      <c r="F28" s="45" t="str">
        <f t="shared" si="3"/>
        <v/>
      </c>
      <c r="G28" s="45" t="str">
        <f t="shared" si="4"/>
        <v/>
      </c>
    </row>
    <row r="29" spans="2:10" ht="25.5" customHeight="1" x14ac:dyDescent="0.25">
      <c r="B29" s="69" t="str">
        <f t="shared" si="2"/>
        <v/>
      </c>
      <c r="C29" s="70" t="str">
        <f>IFERROR(INDEX(RawBtabs!$A$2:$A$1500,MATCH(ROW()-26,RawBtabs!$AE$2:$AE$1500,0)),"")</f>
        <v/>
      </c>
      <c r="D29" s="69" t="str">
        <f>IF($C29="","",COUNTIF(RawBtabs!$A$2:$A$1500,$C29))</f>
        <v/>
      </c>
      <c r="E29" s="71" t="str">
        <f>IF($C29="","",SUMIFS(RawBtabs!$T$2:$T$1500,RawBtabs!$A$2:$A$1500,$C29,RawBtabs!$C$2:$C$1500,"&gt;="&amp;Config!$C$7,RawBtabs!$C$2:$C$1500,"&lt;="&amp;Config!$C$8))</f>
        <v/>
      </c>
      <c r="F29" s="45" t="str">
        <f t="shared" si="3"/>
        <v/>
      </c>
      <c r="G29" s="45" t="str">
        <f t="shared" si="4"/>
        <v/>
      </c>
    </row>
    <row r="30" spans="2:10" ht="25.5" customHeight="1" x14ac:dyDescent="0.25">
      <c r="B30" s="69" t="str">
        <f t="shared" si="2"/>
        <v/>
      </c>
      <c r="C30" s="70" t="str">
        <f>IFERROR(INDEX(RawBtabs!$A$2:$A$1500,MATCH(ROW()-26,RawBtabs!$AE$2:$AE$1500,0)),"")</f>
        <v/>
      </c>
      <c r="D30" s="69" t="str">
        <f>IF($C30="","",COUNTIF(RawBtabs!$A$2:$A$1500,$C30))</f>
        <v/>
      </c>
      <c r="E30" s="71" t="str">
        <f>IF($C30="","",SUMIFS(RawBtabs!$T$2:$T$1500,RawBtabs!$A$2:$A$1500,$C30,RawBtabs!$C$2:$C$1500,"&gt;="&amp;Config!$C$7,RawBtabs!$C$2:$C$1500,"&lt;="&amp;Config!$C$8))</f>
        <v/>
      </c>
      <c r="F30" s="45" t="str">
        <f t="shared" si="3"/>
        <v/>
      </c>
      <c r="G30" s="45" t="str">
        <f t="shared" si="4"/>
        <v/>
      </c>
    </row>
    <row r="31" spans="2:10" ht="25.5" customHeight="1" x14ac:dyDescent="0.25">
      <c r="B31" s="69" t="str">
        <f t="shared" si="2"/>
        <v/>
      </c>
      <c r="C31" s="70" t="str">
        <f>IFERROR(INDEX(RawBtabs!$A$2:$A$1500,MATCH(ROW()-26,RawBtabs!$AE$2:$AE$1500,0)),"")</f>
        <v/>
      </c>
      <c r="D31" s="69" t="str">
        <f>IF($C31="","",COUNTIF(RawBtabs!$A$2:$A$1500,$C31))</f>
        <v/>
      </c>
      <c r="E31" s="71" t="str">
        <f>IF($C31="","",SUMIFS(RawBtabs!$T$2:$T$1500,RawBtabs!$A$2:$A$1500,$C31,RawBtabs!$C$2:$C$1500,"&gt;="&amp;Config!$C$7,RawBtabs!$C$2:$C$1500,"&lt;="&amp;Config!$C$8))</f>
        <v/>
      </c>
      <c r="F31" s="45" t="str">
        <f t="shared" si="3"/>
        <v/>
      </c>
      <c r="G31" s="45" t="str">
        <f t="shared" si="4"/>
        <v/>
      </c>
    </row>
    <row r="32" spans="2:10" ht="25.5" customHeight="1" x14ac:dyDescent="0.25">
      <c r="B32" s="69" t="str">
        <f t="shared" si="2"/>
        <v/>
      </c>
      <c r="C32" s="70" t="str">
        <f>IFERROR(INDEX(RawBtabs!$A$2:$A$1500,MATCH(ROW()-26,RawBtabs!$AE$2:$AE$1500,0)),"")</f>
        <v/>
      </c>
      <c r="D32" s="69" t="str">
        <f>IF($C32="","",COUNTIF(RawBtabs!$A$2:$A$1500,$C32))</f>
        <v/>
      </c>
      <c r="E32" s="71" t="str">
        <f>IF($C32="","",SUMIFS(RawBtabs!$T$2:$T$1500,RawBtabs!$A$2:$A$1500,$C32,RawBtabs!$C$2:$C$1500,"&gt;="&amp;Config!$C$7,RawBtabs!$C$2:$C$1500,"&lt;="&amp;Config!$C$8))</f>
        <v/>
      </c>
      <c r="F32" s="45" t="str">
        <f t="shared" si="3"/>
        <v/>
      </c>
      <c r="G32" s="45" t="str">
        <f t="shared" si="4"/>
        <v/>
      </c>
    </row>
    <row r="33" spans="2:8" ht="25.5" customHeight="1" x14ac:dyDescent="0.25">
      <c r="B33" s="69" t="str">
        <f t="shared" si="2"/>
        <v/>
      </c>
      <c r="C33" s="70" t="str">
        <f>IFERROR(INDEX(RawBtabs!$A$2:$A$1500,MATCH(ROW()-26,RawBtabs!$AE$2:$AE$1500,0)),"")</f>
        <v/>
      </c>
      <c r="D33" s="69" t="str">
        <f>IF($C33="","",COUNTIF(RawBtabs!$A$2:$A$1500,$C33))</f>
        <v/>
      </c>
      <c r="E33" s="71" t="str">
        <f>IF($C33="","",SUMIFS(RawBtabs!$T$2:$T$1500,RawBtabs!$A$2:$A$1500,$C33,RawBtabs!$C$2:$C$1500,"&gt;="&amp;Config!$C$7,RawBtabs!$C$2:$C$1500,"&lt;="&amp;Config!$C$8))</f>
        <v/>
      </c>
      <c r="F33" s="45" t="str">
        <f t="shared" si="3"/>
        <v/>
      </c>
      <c r="G33" s="45" t="str">
        <f t="shared" si="4"/>
        <v/>
      </c>
    </row>
    <row r="34" spans="2:8" ht="25.5" customHeight="1" x14ac:dyDescent="0.25">
      <c r="B34" s="69" t="str">
        <f t="shared" si="2"/>
        <v/>
      </c>
      <c r="C34" s="70" t="str">
        <f>IFERROR(INDEX(RawBtabs!$A$2:$A$1500,MATCH(ROW()-26,RawBtabs!$AE$2:$AE$1500,0)),"")</f>
        <v/>
      </c>
      <c r="D34" s="69" t="str">
        <f>IF($C34="","",COUNTIF(RawBtabs!$A$2:$A$1500,$C34))</f>
        <v/>
      </c>
      <c r="E34" s="71" t="str">
        <f>IF($C34="","",SUMIFS(RawBtabs!$T$2:$T$1500,RawBtabs!$A$2:$A$1500,$C34,RawBtabs!$C$2:$C$1500,"&gt;="&amp;Config!$C$7,RawBtabs!$C$2:$C$1500,"&lt;="&amp;Config!$C$8))</f>
        <v/>
      </c>
      <c r="F34" s="45" t="str">
        <f t="shared" si="3"/>
        <v/>
      </c>
      <c r="G34" s="45" t="str">
        <f t="shared" si="4"/>
        <v/>
      </c>
    </row>
    <row r="36" spans="2:8" ht="19.5" customHeight="1" x14ac:dyDescent="0.25">
      <c r="B36" s="171" t="s">
        <v>228</v>
      </c>
      <c r="C36" s="171"/>
      <c r="D36" s="171"/>
      <c r="E36" s="171"/>
      <c r="F36" s="171"/>
      <c r="G36" s="171"/>
      <c r="H36" s="171"/>
    </row>
    <row r="37" spans="2:8" ht="39.75" customHeight="1" x14ac:dyDescent="0.25">
      <c r="B37" s="170" t="s">
        <v>229</v>
      </c>
      <c r="C37" s="170"/>
      <c r="D37" s="113" t="s">
        <v>230</v>
      </c>
      <c r="E37" s="113"/>
      <c r="F37" s="113"/>
      <c r="G37" s="113"/>
      <c r="H37" s="113"/>
    </row>
    <row r="38" spans="2:8" ht="39.75" customHeight="1" x14ac:dyDescent="0.25">
      <c r="B38" s="170" t="s">
        <v>231</v>
      </c>
      <c r="C38" s="170"/>
      <c r="D38" s="113" t="s">
        <v>232</v>
      </c>
      <c r="E38" s="113"/>
      <c r="F38" s="113"/>
      <c r="G38" s="113"/>
      <c r="H38" s="113"/>
    </row>
    <row r="39" spans="2:8" ht="39.75" customHeight="1" x14ac:dyDescent="0.25">
      <c r="B39" s="170" t="s">
        <v>233</v>
      </c>
      <c r="C39" s="170"/>
      <c r="D39" s="113" t="s">
        <v>234</v>
      </c>
      <c r="E39" s="113"/>
      <c r="F39" s="113"/>
      <c r="G39" s="113"/>
      <c r="H39" s="113"/>
    </row>
    <row r="40" spans="2:8" ht="39.75" customHeight="1" x14ac:dyDescent="0.25">
      <c r="B40" s="170" t="s">
        <v>235</v>
      </c>
      <c r="C40" s="170"/>
      <c r="D40" s="113" t="s">
        <v>236</v>
      </c>
      <c r="E40" s="113"/>
      <c r="F40" s="113"/>
      <c r="G40" s="113"/>
      <c r="H40" s="113"/>
    </row>
  </sheetData>
  <mergeCells count="15">
    <mergeCell ref="B2:H2"/>
    <mergeCell ref="B3:H3"/>
    <mergeCell ref="B5:H5"/>
    <mergeCell ref="B6:H7"/>
    <mergeCell ref="B9:H9"/>
    <mergeCell ref="B39:C39"/>
    <mergeCell ref="D39:H39"/>
    <mergeCell ref="B40:C40"/>
    <mergeCell ref="D40:H40"/>
    <mergeCell ref="B25:H25"/>
    <mergeCell ref="B36:H36"/>
    <mergeCell ref="B37:C37"/>
    <mergeCell ref="D37:H37"/>
    <mergeCell ref="B38:C38"/>
    <mergeCell ref="D38:H38"/>
  </mergeCells>
  <conditionalFormatting sqref="B6:H7">
    <cfRule type="expression" dxfId="12" priority="2">
      <formula>LEFT($B$6,1)="✅"</formula>
    </cfRule>
    <cfRule type="expression" dxfId="11" priority="3">
      <formula>LEFT($B$6,1)&lt;&gt;""</formula>
    </cfRule>
  </conditionalFormatting>
  <conditionalFormatting sqref="B27:H34">
    <cfRule type="expression" dxfId="10" priority="9">
      <formula>AND($C27&lt;&gt;"",MOD(ROW(),2)=0)</formula>
    </cfRule>
    <cfRule type="expression" dxfId="9" priority="10">
      <formula>$C27&lt;&gt;""</formula>
    </cfRule>
  </conditionalFormatting>
  <conditionalFormatting sqref="D11:D23">
    <cfRule type="expression" dxfId="8" priority="8">
      <formula>AND($J11=1,$D11&gt;0)</formula>
    </cfRule>
  </conditionalFormatting>
  <conditionalFormatting sqref="E11:E23">
    <cfRule type="expression" dxfId="7" priority="4">
      <formula>$J11=0</formula>
    </cfRule>
    <cfRule type="expression" dxfId="6" priority="5">
      <formula>$J11=1</formula>
    </cfRule>
    <cfRule type="expression" dxfId="5" priority="6">
      <formula>$J11=2</formula>
    </cfRule>
    <cfRule type="expression" dxfId="4" priority="7">
      <formula>$J11=3</formula>
    </cfRule>
  </conditionalFormatting>
  <pageMargins left="0.3" right="0.3" top="0.4" bottom="0.4"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F5A70"/>
    <pageSetUpPr fitToPage="1"/>
  </sheetPr>
  <dimension ref="B2:F111"/>
  <sheetViews>
    <sheetView showGridLines="0" zoomScaleNormal="100" workbookViewId="0">
      <pane xSplit="1" ySplit="5" topLeftCell="B6" activePane="bottomRight" state="frozen"/>
      <selection pane="topRight" activeCell="B1" sqref="B1"/>
      <selection pane="bottomLeft" activeCell="A6" sqref="A6"/>
      <selection pane="bottomRight" activeCell="L24" sqref="L24"/>
    </sheetView>
  </sheetViews>
  <sheetFormatPr defaultColWidth="8.7109375" defaultRowHeight="15" x14ac:dyDescent="0.25"/>
  <cols>
    <col min="1" max="1" width="2" customWidth="1"/>
    <col min="2" max="2" width="26" customWidth="1"/>
    <col min="3" max="3" width="30" customWidth="1"/>
    <col min="4" max="5" width="52" customWidth="1"/>
    <col min="6" max="6" width="44" customWidth="1"/>
  </cols>
  <sheetData>
    <row r="2" spans="2:6" ht="33.75" customHeight="1" x14ac:dyDescent="0.25">
      <c r="B2" s="116" t="s">
        <v>237</v>
      </c>
      <c r="C2" s="116"/>
      <c r="D2" s="116"/>
      <c r="E2" s="116"/>
      <c r="F2" s="116"/>
    </row>
    <row r="3" spans="2:6" ht="19.5" customHeight="1" x14ac:dyDescent="0.25">
      <c r="B3" s="117" t="s">
        <v>238</v>
      </c>
      <c r="C3" s="117"/>
      <c r="D3" s="117"/>
      <c r="E3" s="117"/>
      <c r="F3" s="117"/>
    </row>
    <row r="6" spans="2:6" ht="19.5" customHeight="1" x14ac:dyDescent="0.25">
      <c r="B6" s="114" t="s">
        <v>239</v>
      </c>
      <c r="C6" s="114"/>
      <c r="D6" s="114"/>
      <c r="E6" s="114"/>
      <c r="F6" s="114"/>
    </row>
    <row r="7" spans="2:6" ht="21.75" customHeight="1" x14ac:dyDescent="0.25">
      <c r="B7" s="118" t="s">
        <v>240</v>
      </c>
      <c r="C7" s="118"/>
      <c r="D7" s="118"/>
      <c r="E7" s="118"/>
      <c r="F7" s="118"/>
    </row>
    <row r="8" spans="2:6" ht="21.75" customHeight="1" x14ac:dyDescent="0.25">
      <c r="B8" s="118"/>
      <c r="C8" s="118"/>
      <c r="D8" s="118"/>
      <c r="E8" s="118"/>
      <c r="F8" s="118"/>
    </row>
    <row r="9" spans="2:6" ht="21.75" customHeight="1" x14ac:dyDescent="0.25">
      <c r="B9" s="118"/>
      <c r="C9" s="118"/>
      <c r="D9" s="118"/>
      <c r="E9" s="118"/>
      <c r="F9" s="118"/>
    </row>
    <row r="10" spans="2:6" ht="21.75" customHeight="1" x14ac:dyDescent="0.25">
      <c r="B10" s="118"/>
      <c r="C10" s="118"/>
      <c r="D10" s="118"/>
      <c r="E10" s="118"/>
      <c r="F10" s="118"/>
    </row>
    <row r="13" spans="2:6" ht="19.5" customHeight="1" x14ac:dyDescent="0.25">
      <c r="B13" s="114" t="s">
        <v>241</v>
      </c>
      <c r="C13" s="114"/>
      <c r="D13" s="114"/>
      <c r="E13" s="114"/>
      <c r="F13" s="114"/>
    </row>
    <row r="14" spans="2:6" ht="24" customHeight="1" x14ac:dyDescent="0.25">
      <c r="B14" s="72" t="s">
        <v>242</v>
      </c>
      <c r="C14" s="72" t="s">
        <v>243</v>
      </c>
      <c r="D14" s="115" t="s">
        <v>244</v>
      </c>
      <c r="E14" s="115"/>
      <c r="F14" s="115"/>
    </row>
    <row r="15" spans="2:6" ht="18" customHeight="1" x14ac:dyDescent="0.25">
      <c r="B15" s="73" t="s">
        <v>245</v>
      </c>
      <c r="C15" s="32" t="s">
        <v>246</v>
      </c>
      <c r="D15" s="113" t="s">
        <v>247</v>
      </c>
      <c r="E15" s="113"/>
      <c r="F15" s="113"/>
    </row>
    <row r="16" spans="2:6" ht="18" customHeight="1" x14ac:dyDescent="0.25">
      <c r="B16" s="73" t="s">
        <v>248</v>
      </c>
      <c r="C16" s="32" t="s">
        <v>249</v>
      </c>
      <c r="D16" s="113" t="s">
        <v>250</v>
      </c>
      <c r="E16" s="113"/>
      <c r="F16" s="113"/>
    </row>
    <row r="17" spans="2:6" ht="18" customHeight="1" x14ac:dyDescent="0.25">
      <c r="B17" s="73" t="s">
        <v>251</v>
      </c>
      <c r="C17" s="32" t="s">
        <v>252</v>
      </c>
      <c r="D17" s="113" t="s">
        <v>250</v>
      </c>
      <c r="E17" s="113"/>
      <c r="F17" s="113"/>
    </row>
    <row r="18" spans="2:6" ht="18" customHeight="1" x14ac:dyDescent="0.25">
      <c r="B18" s="73" t="s">
        <v>253</v>
      </c>
      <c r="C18" s="32" t="s">
        <v>254</v>
      </c>
      <c r="D18" s="113" t="s">
        <v>250</v>
      </c>
      <c r="E18" s="113"/>
      <c r="F18" s="113"/>
    </row>
    <row r="19" spans="2:6" ht="18" customHeight="1" x14ac:dyDescent="0.25">
      <c r="B19" s="73" t="s">
        <v>255</v>
      </c>
      <c r="C19" s="32" t="s">
        <v>256</v>
      </c>
      <c r="D19" s="113" t="s">
        <v>250</v>
      </c>
      <c r="E19" s="113"/>
      <c r="F19" s="113"/>
    </row>
    <row r="20" spans="2:6" ht="18" customHeight="1" x14ac:dyDescent="0.25">
      <c r="B20" s="73" t="s">
        <v>257</v>
      </c>
      <c r="C20" s="32" t="s">
        <v>258</v>
      </c>
      <c r="D20" s="113" t="s">
        <v>250</v>
      </c>
      <c r="E20" s="113"/>
      <c r="F20" s="113"/>
    </row>
    <row r="21" spans="2:6" ht="18" customHeight="1" x14ac:dyDescent="0.25">
      <c r="B21" s="73" t="s">
        <v>259</v>
      </c>
      <c r="C21" s="32" t="s">
        <v>260</v>
      </c>
      <c r="D21" s="113" t="s">
        <v>250</v>
      </c>
      <c r="E21" s="113"/>
      <c r="F21" s="113"/>
    </row>
    <row r="22" spans="2:6" ht="18" customHeight="1" x14ac:dyDescent="0.25">
      <c r="B22" s="73" t="s">
        <v>261</v>
      </c>
      <c r="C22" s="32" t="s">
        <v>262</v>
      </c>
      <c r="D22" s="113" t="s">
        <v>250</v>
      </c>
      <c r="E22" s="113"/>
      <c r="F22" s="113"/>
    </row>
    <row r="23" spans="2:6" ht="18" customHeight="1" x14ac:dyDescent="0.25">
      <c r="B23" s="73" t="s">
        <v>263</v>
      </c>
      <c r="C23" s="32" t="s">
        <v>264</v>
      </c>
      <c r="D23" s="113" t="s">
        <v>265</v>
      </c>
      <c r="E23" s="113"/>
      <c r="F23" s="113"/>
    </row>
    <row r="26" spans="2:6" ht="19.5" customHeight="1" x14ac:dyDescent="0.25">
      <c r="B26" s="114" t="s">
        <v>266</v>
      </c>
      <c r="C26" s="114"/>
      <c r="D26" s="114"/>
      <c r="E26" s="114"/>
      <c r="F26" s="114"/>
    </row>
    <row r="27" spans="2:6" ht="24" customHeight="1" x14ac:dyDescent="0.25">
      <c r="B27" s="72" t="s">
        <v>267</v>
      </c>
      <c r="C27" s="72" t="s">
        <v>268</v>
      </c>
      <c r="D27" s="72" t="s">
        <v>269</v>
      </c>
      <c r="E27" s="115" t="s">
        <v>93</v>
      </c>
      <c r="F27" s="115"/>
    </row>
    <row r="28" spans="2:6" ht="43.5" customHeight="1" x14ac:dyDescent="0.25">
      <c r="B28" s="2" t="s">
        <v>270</v>
      </c>
      <c r="C28" s="32" t="s">
        <v>271</v>
      </c>
      <c r="D28" s="32" t="s">
        <v>272</v>
      </c>
      <c r="E28" s="113" t="s">
        <v>273</v>
      </c>
      <c r="F28" s="113"/>
    </row>
    <row r="29" spans="2:6" ht="43.5" customHeight="1" x14ac:dyDescent="0.25">
      <c r="B29" s="1" t="s">
        <v>274</v>
      </c>
      <c r="C29" s="32" t="s">
        <v>275</v>
      </c>
      <c r="D29" s="32" t="s">
        <v>276</v>
      </c>
      <c r="E29" s="113" t="s">
        <v>277</v>
      </c>
      <c r="F29" s="113"/>
    </row>
    <row r="30" spans="2:6" ht="43.5" customHeight="1" x14ac:dyDescent="0.25">
      <c r="B30" s="21" t="s">
        <v>278</v>
      </c>
      <c r="C30" s="32" t="s">
        <v>279</v>
      </c>
      <c r="D30" s="32" t="s">
        <v>280</v>
      </c>
      <c r="E30" s="113" t="s">
        <v>281</v>
      </c>
      <c r="F30" s="113"/>
    </row>
    <row r="31" spans="2:6" ht="43.5" customHeight="1" x14ac:dyDescent="0.25">
      <c r="B31" s="22" t="s">
        <v>282</v>
      </c>
      <c r="C31" s="32" t="s">
        <v>283</v>
      </c>
      <c r="D31" s="32" t="s">
        <v>284</v>
      </c>
      <c r="E31" s="113" t="s">
        <v>285</v>
      </c>
      <c r="F31" s="113"/>
    </row>
    <row r="32" spans="2:6" ht="43.5" customHeight="1" x14ac:dyDescent="0.25">
      <c r="B32" s="3" t="s">
        <v>286</v>
      </c>
      <c r="C32" s="32" t="s">
        <v>287</v>
      </c>
      <c r="D32" s="32" t="s">
        <v>288</v>
      </c>
      <c r="E32" s="113" t="s">
        <v>289</v>
      </c>
      <c r="F32" s="113"/>
    </row>
    <row r="33" spans="2:6" ht="43.5" customHeight="1" x14ac:dyDescent="0.25">
      <c r="B33" s="74" t="s">
        <v>290</v>
      </c>
      <c r="C33" s="32" t="s">
        <v>291</v>
      </c>
      <c r="D33" s="32" t="s">
        <v>292</v>
      </c>
      <c r="E33" s="113" t="s">
        <v>293</v>
      </c>
      <c r="F33" s="113"/>
    </row>
    <row r="36" spans="2:6" ht="19.5" customHeight="1" x14ac:dyDescent="0.25">
      <c r="B36" s="114" t="s">
        <v>294</v>
      </c>
      <c r="C36" s="114"/>
      <c r="D36" s="114"/>
      <c r="E36" s="114"/>
      <c r="F36" s="114"/>
    </row>
    <row r="37" spans="2:6" ht="24" customHeight="1" x14ac:dyDescent="0.25">
      <c r="B37" s="72" t="s">
        <v>295</v>
      </c>
      <c r="C37" s="72" t="s">
        <v>296</v>
      </c>
      <c r="D37" s="72" t="s">
        <v>297</v>
      </c>
      <c r="E37" s="115" t="s">
        <v>298</v>
      </c>
      <c r="F37" s="115"/>
    </row>
    <row r="38" spans="2:6" ht="43.5" customHeight="1" x14ac:dyDescent="0.25">
      <c r="B38" s="73" t="s">
        <v>299</v>
      </c>
      <c r="C38" s="32" t="s">
        <v>300</v>
      </c>
      <c r="D38" s="32" t="s">
        <v>301</v>
      </c>
      <c r="E38" s="113" t="s">
        <v>293</v>
      </c>
      <c r="F38" s="113"/>
    </row>
    <row r="39" spans="2:6" ht="43.5" customHeight="1" x14ac:dyDescent="0.25">
      <c r="B39" s="73" t="s">
        <v>302</v>
      </c>
      <c r="C39" s="32" t="s">
        <v>303</v>
      </c>
      <c r="D39" s="32" t="s">
        <v>304</v>
      </c>
      <c r="E39" s="113" t="s">
        <v>305</v>
      </c>
      <c r="F39" s="113"/>
    </row>
    <row r="40" spans="2:6" ht="43.5" customHeight="1" x14ac:dyDescent="0.25">
      <c r="B40" s="73" t="s">
        <v>306</v>
      </c>
      <c r="C40" s="32" t="s">
        <v>307</v>
      </c>
      <c r="D40" s="32" t="s">
        <v>308</v>
      </c>
      <c r="E40" s="113" t="s">
        <v>309</v>
      </c>
      <c r="F40" s="113"/>
    </row>
    <row r="41" spans="2:6" ht="43.5" customHeight="1" x14ac:dyDescent="0.25">
      <c r="B41" s="73" t="s">
        <v>310</v>
      </c>
      <c r="C41" s="32" t="s">
        <v>311</v>
      </c>
      <c r="D41" s="32" t="s">
        <v>312</v>
      </c>
      <c r="E41" s="113" t="s">
        <v>313</v>
      </c>
      <c r="F41" s="113"/>
    </row>
    <row r="42" spans="2:6" ht="43.5" customHeight="1" x14ac:dyDescent="0.25">
      <c r="B42" s="73" t="s">
        <v>314</v>
      </c>
      <c r="C42" s="32" t="s">
        <v>315</v>
      </c>
      <c r="D42" s="32" t="s">
        <v>316</v>
      </c>
      <c r="E42" s="113" t="s">
        <v>317</v>
      </c>
      <c r="F42" s="113"/>
    </row>
    <row r="43" spans="2:6" ht="43.5" customHeight="1" x14ac:dyDescent="0.25">
      <c r="B43" s="73" t="s">
        <v>318</v>
      </c>
      <c r="C43" s="32" t="s">
        <v>319</v>
      </c>
      <c r="D43" s="32" t="s">
        <v>320</v>
      </c>
      <c r="E43" s="113" t="s">
        <v>321</v>
      </c>
      <c r="F43" s="113"/>
    </row>
    <row r="46" spans="2:6" ht="19.5" customHeight="1" x14ac:dyDescent="0.25">
      <c r="B46" s="114" t="s">
        <v>322</v>
      </c>
      <c r="C46" s="114"/>
      <c r="D46" s="114"/>
      <c r="E46" s="114"/>
      <c r="F46" s="114"/>
    </row>
    <row r="47" spans="2:6" ht="24" customHeight="1" x14ac:dyDescent="0.25">
      <c r="B47" s="72" t="s">
        <v>295</v>
      </c>
      <c r="C47" s="72" t="s">
        <v>296</v>
      </c>
      <c r="D47" s="115" t="s">
        <v>298</v>
      </c>
      <c r="E47" s="115"/>
      <c r="F47" s="115"/>
    </row>
    <row r="48" spans="2:6" ht="24" customHeight="1" x14ac:dyDescent="0.25">
      <c r="B48" s="73" t="s">
        <v>323</v>
      </c>
      <c r="C48" s="32" t="s">
        <v>324</v>
      </c>
      <c r="D48" s="113" t="s">
        <v>325</v>
      </c>
      <c r="E48" s="113"/>
      <c r="F48" s="113"/>
    </row>
    <row r="49" spans="2:6" ht="24" customHeight="1" x14ac:dyDescent="0.25">
      <c r="B49" s="73" t="s">
        <v>326</v>
      </c>
      <c r="C49" s="32" t="s">
        <v>327</v>
      </c>
      <c r="D49" s="113" t="s">
        <v>293</v>
      </c>
      <c r="E49" s="113"/>
      <c r="F49" s="113"/>
    </row>
    <row r="50" spans="2:6" ht="24" customHeight="1" x14ac:dyDescent="0.25">
      <c r="B50" s="73" t="s">
        <v>328</v>
      </c>
      <c r="C50" s="32" t="s">
        <v>329</v>
      </c>
      <c r="D50" s="113" t="s">
        <v>330</v>
      </c>
      <c r="E50" s="113"/>
      <c r="F50" s="113"/>
    </row>
    <row r="51" spans="2:6" ht="24" customHeight="1" x14ac:dyDescent="0.25">
      <c r="B51" s="73" t="s">
        <v>331</v>
      </c>
      <c r="C51" s="32" t="s">
        <v>332</v>
      </c>
      <c r="D51" s="113" t="s">
        <v>333</v>
      </c>
      <c r="E51" s="113"/>
      <c r="F51" s="113"/>
    </row>
    <row r="54" spans="2:6" ht="19.5" customHeight="1" x14ac:dyDescent="0.25">
      <c r="B54" s="114" t="s">
        <v>334</v>
      </c>
      <c r="C54" s="114"/>
      <c r="D54" s="114"/>
      <c r="E54" s="114"/>
      <c r="F54" s="114"/>
    </row>
    <row r="55" spans="2:6" ht="24" customHeight="1" x14ac:dyDescent="0.25">
      <c r="B55" s="72" t="s">
        <v>295</v>
      </c>
      <c r="C55" s="72" t="s">
        <v>296</v>
      </c>
      <c r="D55" s="115" t="s">
        <v>298</v>
      </c>
      <c r="E55" s="115"/>
      <c r="F55" s="115"/>
    </row>
    <row r="56" spans="2:6" ht="39.75" customHeight="1" x14ac:dyDescent="0.25">
      <c r="B56" s="73" t="s">
        <v>335</v>
      </c>
      <c r="C56" s="32" t="s">
        <v>336</v>
      </c>
      <c r="D56" s="113" t="s">
        <v>293</v>
      </c>
      <c r="E56" s="113"/>
      <c r="F56" s="113"/>
    </row>
    <row r="57" spans="2:6" ht="39.75" customHeight="1" x14ac:dyDescent="0.25">
      <c r="B57" s="73" t="s">
        <v>337</v>
      </c>
      <c r="C57" s="32" t="s">
        <v>338</v>
      </c>
      <c r="D57" s="113" t="s">
        <v>339</v>
      </c>
      <c r="E57" s="113"/>
      <c r="F57" s="113"/>
    </row>
    <row r="58" spans="2:6" ht="39.75" customHeight="1" x14ac:dyDescent="0.25">
      <c r="B58" s="73" t="s">
        <v>340</v>
      </c>
      <c r="C58" s="32" t="s">
        <v>341</v>
      </c>
      <c r="D58" s="113" t="s">
        <v>342</v>
      </c>
      <c r="E58" s="113"/>
      <c r="F58" s="113"/>
    </row>
    <row r="59" spans="2:6" ht="39.75" customHeight="1" x14ac:dyDescent="0.25">
      <c r="B59" s="73" t="s">
        <v>343</v>
      </c>
      <c r="C59" s="32" t="s">
        <v>344</v>
      </c>
      <c r="D59" s="113" t="s">
        <v>345</v>
      </c>
      <c r="E59" s="113"/>
      <c r="F59" s="113"/>
    </row>
    <row r="62" spans="2:6" ht="19.5" customHeight="1" x14ac:dyDescent="0.25">
      <c r="B62" s="114" t="s">
        <v>346</v>
      </c>
      <c r="C62" s="114"/>
      <c r="D62" s="114"/>
      <c r="E62" s="114"/>
      <c r="F62" s="114"/>
    </row>
    <row r="63" spans="2:6" ht="24" customHeight="1" x14ac:dyDescent="0.25">
      <c r="B63" s="72" t="s">
        <v>69</v>
      </c>
      <c r="C63" s="72" t="s">
        <v>244</v>
      </c>
      <c r="D63" s="115" t="s">
        <v>347</v>
      </c>
      <c r="E63" s="115"/>
      <c r="F63" s="115"/>
    </row>
    <row r="64" spans="2:6" ht="19.5" customHeight="1" x14ac:dyDescent="0.25">
      <c r="B64" s="73" t="s">
        <v>245</v>
      </c>
      <c r="C64" s="32" t="s">
        <v>348</v>
      </c>
      <c r="D64" s="113" t="s">
        <v>37</v>
      </c>
      <c r="E64" s="113"/>
      <c r="F64" s="113"/>
    </row>
    <row r="65" spans="2:6" ht="19.5" customHeight="1" x14ac:dyDescent="0.25">
      <c r="B65" s="73" t="s">
        <v>263</v>
      </c>
      <c r="C65" s="32" t="s">
        <v>349</v>
      </c>
      <c r="D65" s="113" t="s">
        <v>41</v>
      </c>
      <c r="E65" s="113"/>
      <c r="F65" s="113"/>
    </row>
    <row r="66" spans="2:6" ht="19.5" customHeight="1" x14ac:dyDescent="0.25">
      <c r="B66" s="73" t="s">
        <v>350</v>
      </c>
      <c r="C66" s="32" t="s">
        <v>351</v>
      </c>
      <c r="D66" s="113" t="s">
        <v>39</v>
      </c>
      <c r="E66" s="113"/>
      <c r="F66" s="113"/>
    </row>
    <row r="67" spans="2:6" ht="19.5" customHeight="1" x14ac:dyDescent="0.25">
      <c r="B67" s="73" t="s">
        <v>352</v>
      </c>
      <c r="C67" s="32" t="s">
        <v>353</v>
      </c>
      <c r="D67" s="113" t="s">
        <v>43</v>
      </c>
      <c r="E67" s="113"/>
      <c r="F67" s="113"/>
    </row>
    <row r="70" spans="2:6" ht="19.5" customHeight="1" x14ac:dyDescent="0.25">
      <c r="B70" s="114" t="s">
        <v>354</v>
      </c>
      <c r="C70" s="114"/>
      <c r="D70" s="114"/>
      <c r="E70" s="114"/>
      <c r="F70" s="114"/>
    </row>
    <row r="71" spans="2:6" ht="24" customHeight="1" x14ac:dyDescent="0.25">
      <c r="B71" s="72" t="s">
        <v>355</v>
      </c>
      <c r="C71" s="72" t="s">
        <v>356</v>
      </c>
      <c r="D71" s="115" t="s">
        <v>357</v>
      </c>
      <c r="E71" s="115"/>
      <c r="F71" s="115"/>
    </row>
    <row r="72" spans="2:6" ht="37.5" customHeight="1" x14ac:dyDescent="0.25">
      <c r="B72" s="73" t="s">
        <v>59</v>
      </c>
      <c r="C72" s="32" t="s">
        <v>358</v>
      </c>
      <c r="D72" s="113" t="s">
        <v>359</v>
      </c>
      <c r="E72" s="113"/>
      <c r="F72" s="113"/>
    </row>
    <row r="73" spans="2:6" ht="37.5" customHeight="1" x14ac:dyDescent="0.25">
      <c r="B73" s="73" t="s">
        <v>60</v>
      </c>
      <c r="C73" s="32" t="s">
        <v>360</v>
      </c>
      <c r="D73" s="113" t="s">
        <v>361</v>
      </c>
      <c r="E73" s="113"/>
      <c r="F73" s="113"/>
    </row>
    <row r="74" spans="2:6" ht="37.5" customHeight="1" x14ac:dyDescent="0.25">
      <c r="B74" s="73" t="s">
        <v>362</v>
      </c>
      <c r="C74" s="32" t="s">
        <v>363</v>
      </c>
      <c r="D74" s="113" t="s">
        <v>364</v>
      </c>
      <c r="E74" s="113"/>
      <c r="F74" s="113"/>
    </row>
    <row r="75" spans="2:6" ht="37.5" customHeight="1" x14ac:dyDescent="0.25">
      <c r="B75" s="73" t="s">
        <v>62</v>
      </c>
      <c r="C75" s="32" t="s">
        <v>365</v>
      </c>
      <c r="D75" s="113" t="s">
        <v>366</v>
      </c>
      <c r="E75" s="113"/>
      <c r="F75" s="113"/>
    </row>
    <row r="76" spans="2:6" ht="37.5" customHeight="1" x14ac:dyDescent="0.25">
      <c r="B76" s="73" t="s">
        <v>63</v>
      </c>
      <c r="C76" s="32" t="s">
        <v>367</v>
      </c>
      <c r="D76" s="113" t="s">
        <v>368</v>
      </c>
      <c r="E76" s="113"/>
      <c r="F76" s="113"/>
    </row>
    <row r="77" spans="2:6" ht="37.5" customHeight="1" x14ac:dyDescent="0.25">
      <c r="B77" s="73" t="s">
        <v>64</v>
      </c>
      <c r="C77" s="32" t="s">
        <v>369</v>
      </c>
      <c r="D77" s="113" t="s">
        <v>370</v>
      </c>
      <c r="E77" s="113"/>
      <c r="F77" s="113"/>
    </row>
    <row r="78" spans="2:6" ht="37.5" customHeight="1" x14ac:dyDescent="0.25">
      <c r="B78" s="73" t="s">
        <v>65</v>
      </c>
      <c r="C78" s="32" t="s">
        <v>371</v>
      </c>
      <c r="D78" s="113" t="s">
        <v>372</v>
      </c>
      <c r="E78" s="113"/>
      <c r="F78" s="113"/>
    </row>
    <row r="79" spans="2:6" ht="37.5" customHeight="1" x14ac:dyDescent="0.25">
      <c r="B79" s="73" t="s">
        <v>66</v>
      </c>
      <c r="C79" s="32" t="s">
        <v>373</v>
      </c>
      <c r="D79" s="113" t="s">
        <v>374</v>
      </c>
      <c r="E79" s="113"/>
      <c r="F79" s="113"/>
    </row>
    <row r="80" spans="2:6" ht="37.5" customHeight="1" x14ac:dyDescent="0.25">
      <c r="B80" s="73" t="s">
        <v>67</v>
      </c>
      <c r="C80" s="32" t="s">
        <v>375</v>
      </c>
      <c r="D80" s="113" t="s">
        <v>376</v>
      </c>
      <c r="E80" s="113"/>
      <c r="F80" s="113"/>
    </row>
    <row r="81" spans="2:6" ht="37.5" customHeight="1" x14ac:dyDescent="0.25">
      <c r="B81" s="73" t="s">
        <v>68</v>
      </c>
      <c r="C81" s="32" t="s">
        <v>377</v>
      </c>
      <c r="D81" s="113" t="s">
        <v>378</v>
      </c>
      <c r="E81" s="113"/>
      <c r="F81" s="113"/>
    </row>
    <row r="82" spans="2:6" ht="37.5" customHeight="1" x14ac:dyDescent="0.25">
      <c r="B82" s="73" t="s">
        <v>379</v>
      </c>
      <c r="C82" s="32" t="s">
        <v>380</v>
      </c>
      <c r="D82" s="113" t="s">
        <v>381</v>
      </c>
      <c r="E82" s="113"/>
      <c r="F82" s="113"/>
    </row>
    <row r="85" spans="2:6" ht="19.5" customHeight="1" x14ac:dyDescent="0.25">
      <c r="B85" s="114" t="s">
        <v>382</v>
      </c>
      <c r="C85" s="114"/>
      <c r="D85" s="114"/>
      <c r="E85" s="114"/>
      <c r="F85" s="114"/>
    </row>
    <row r="86" spans="2:6" ht="24" customHeight="1" x14ac:dyDescent="0.25">
      <c r="B86" s="72" t="s">
        <v>355</v>
      </c>
      <c r="C86" s="72" t="s">
        <v>383</v>
      </c>
      <c r="D86" s="115" t="s">
        <v>357</v>
      </c>
      <c r="E86" s="115"/>
      <c r="F86" s="115"/>
    </row>
    <row r="87" spans="2:6" ht="25.5" customHeight="1" x14ac:dyDescent="0.25">
      <c r="B87" s="73" t="s">
        <v>87</v>
      </c>
      <c r="C87" s="32" t="s">
        <v>16</v>
      </c>
      <c r="D87" s="113" t="s">
        <v>384</v>
      </c>
      <c r="E87" s="113"/>
      <c r="F87" s="113"/>
    </row>
    <row r="88" spans="2:6" ht="25.5" customHeight="1" x14ac:dyDescent="0.25">
      <c r="B88" s="73" t="s">
        <v>88</v>
      </c>
      <c r="C88" s="32" t="s">
        <v>16</v>
      </c>
      <c r="D88" s="113" t="s">
        <v>385</v>
      </c>
      <c r="E88" s="113"/>
      <c r="F88" s="113"/>
    </row>
    <row r="89" spans="2:6" ht="25.5" customHeight="1" x14ac:dyDescent="0.25">
      <c r="B89" s="73" t="s">
        <v>89</v>
      </c>
      <c r="C89" s="32" t="s">
        <v>16</v>
      </c>
      <c r="D89" s="113" t="s">
        <v>386</v>
      </c>
      <c r="E89" s="113"/>
      <c r="F89" s="113"/>
    </row>
    <row r="90" spans="2:6" ht="25.5" customHeight="1" x14ac:dyDescent="0.25">
      <c r="B90" s="73" t="s">
        <v>90</v>
      </c>
      <c r="C90" s="32" t="s">
        <v>387</v>
      </c>
      <c r="D90" s="113" t="s">
        <v>388</v>
      </c>
      <c r="E90" s="113"/>
      <c r="F90" s="113"/>
    </row>
    <row r="91" spans="2:6" ht="25.5" customHeight="1" x14ac:dyDescent="0.25">
      <c r="B91" s="73" t="s">
        <v>93</v>
      </c>
      <c r="C91" s="32" t="s">
        <v>16</v>
      </c>
      <c r="D91" s="113" t="s">
        <v>389</v>
      </c>
      <c r="E91" s="113"/>
      <c r="F91" s="113"/>
    </row>
    <row r="92" spans="2:6" ht="25.5" customHeight="1" x14ac:dyDescent="0.25">
      <c r="B92" s="73" t="s">
        <v>104</v>
      </c>
      <c r="C92" s="32" t="s">
        <v>18</v>
      </c>
      <c r="D92" s="113" t="s">
        <v>390</v>
      </c>
      <c r="E92" s="113"/>
      <c r="F92" s="113"/>
    </row>
    <row r="93" spans="2:6" ht="25.5" customHeight="1" x14ac:dyDescent="0.25">
      <c r="B93" s="73" t="s">
        <v>105</v>
      </c>
      <c r="C93" s="32" t="s">
        <v>18</v>
      </c>
      <c r="D93" s="113" t="s">
        <v>391</v>
      </c>
      <c r="E93" s="113"/>
      <c r="F93" s="113"/>
    </row>
    <row r="94" spans="2:6" ht="25.5" customHeight="1" x14ac:dyDescent="0.25">
      <c r="B94" s="73" t="s">
        <v>103</v>
      </c>
      <c r="C94" s="32" t="s">
        <v>18</v>
      </c>
      <c r="D94" s="113" t="s">
        <v>392</v>
      </c>
      <c r="E94" s="113"/>
      <c r="F94" s="113"/>
    </row>
    <row r="95" spans="2:6" ht="25.5" customHeight="1" x14ac:dyDescent="0.25">
      <c r="B95" s="73" t="s">
        <v>107</v>
      </c>
      <c r="C95" s="32" t="s">
        <v>18</v>
      </c>
      <c r="D95" s="113" t="s">
        <v>393</v>
      </c>
      <c r="E95" s="113"/>
      <c r="F95" s="113"/>
    </row>
    <row r="98" spans="2:6" ht="19.5" customHeight="1" x14ac:dyDescent="0.25">
      <c r="B98" s="114" t="s">
        <v>394</v>
      </c>
      <c r="C98" s="114"/>
      <c r="D98" s="114"/>
      <c r="E98" s="114"/>
      <c r="F98" s="114"/>
    </row>
    <row r="99" spans="2:6" ht="24" customHeight="1" x14ac:dyDescent="0.25">
      <c r="B99" s="72" t="s">
        <v>395</v>
      </c>
      <c r="C99" s="115" t="s">
        <v>244</v>
      </c>
      <c r="D99" s="115"/>
      <c r="E99" s="115"/>
      <c r="F99" s="115"/>
    </row>
    <row r="100" spans="2:6" ht="25.5" customHeight="1" x14ac:dyDescent="0.25">
      <c r="B100" s="73" t="s">
        <v>396</v>
      </c>
      <c r="C100" s="113" t="s">
        <v>397</v>
      </c>
      <c r="D100" s="113"/>
      <c r="E100" s="113"/>
      <c r="F100" s="113"/>
    </row>
    <row r="101" spans="2:6" ht="25.5" customHeight="1" x14ac:dyDescent="0.25">
      <c r="B101" s="73" t="s">
        <v>83</v>
      </c>
      <c r="C101" s="113" t="s">
        <v>398</v>
      </c>
      <c r="D101" s="113"/>
      <c r="E101" s="113"/>
      <c r="F101" s="113"/>
    </row>
    <row r="102" spans="2:6" ht="25.5" customHeight="1" x14ac:dyDescent="0.25">
      <c r="B102" s="73" t="s">
        <v>399</v>
      </c>
      <c r="C102" s="113" t="s">
        <v>400</v>
      </c>
      <c r="D102" s="113"/>
      <c r="E102" s="113"/>
      <c r="F102" s="113"/>
    </row>
    <row r="103" spans="2:6" ht="25.5" customHeight="1" x14ac:dyDescent="0.25">
      <c r="B103" s="73" t="s">
        <v>401</v>
      </c>
      <c r="C103" s="113" t="s">
        <v>402</v>
      </c>
      <c r="D103" s="113"/>
      <c r="E103" s="113"/>
      <c r="F103" s="113"/>
    </row>
    <row r="104" spans="2:6" ht="25.5" customHeight="1" x14ac:dyDescent="0.25">
      <c r="B104" s="73" t="s">
        <v>403</v>
      </c>
      <c r="C104" s="113" t="s">
        <v>404</v>
      </c>
      <c r="D104" s="113"/>
      <c r="E104" s="113"/>
      <c r="F104" s="113"/>
    </row>
    <row r="105" spans="2:6" ht="25.5" customHeight="1" x14ac:dyDescent="0.25">
      <c r="B105" s="73" t="s">
        <v>405</v>
      </c>
      <c r="C105" s="113" t="s">
        <v>406</v>
      </c>
      <c r="D105" s="113"/>
      <c r="E105" s="113"/>
      <c r="F105" s="113"/>
    </row>
    <row r="106" spans="2:6" ht="25.5" customHeight="1" x14ac:dyDescent="0.25">
      <c r="B106" s="73" t="s">
        <v>407</v>
      </c>
      <c r="C106" s="113" t="s">
        <v>408</v>
      </c>
      <c r="D106" s="113"/>
      <c r="E106" s="113"/>
      <c r="F106" s="113"/>
    </row>
    <row r="107" spans="2:6" ht="25.5" customHeight="1" x14ac:dyDescent="0.25">
      <c r="B107" s="73" t="s">
        <v>409</v>
      </c>
      <c r="C107" s="113" t="s">
        <v>410</v>
      </c>
      <c r="D107" s="113"/>
      <c r="E107" s="113"/>
      <c r="F107" s="113"/>
    </row>
    <row r="108" spans="2:6" ht="25.5" customHeight="1" x14ac:dyDescent="0.25">
      <c r="B108" s="73" t="s">
        <v>411</v>
      </c>
      <c r="C108" s="113" t="s">
        <v>412</v>
      </c>
      <c r="D108" s="113"/>
      <c r="E108" s="113"/>
      <c r="F108" s="113"/>
    </row>
    <row r="109" spans="2:6" ht="25.5" customHeight="1" x14ac:dyDescent="0.25">
      <c r="B109" s="73" t="s">
        <v>413</v>
      </c>
      <c r="C109" s="113" t="s">
        <v>414</v>
      </c>
      <c r="D109" s="113"/>
      <c r="E109" s="113"/>
      <c r="F109" s="113"/>
    </row>
    <row r="110" spans="2:6" ht="25.5" customHeight="1" x14ac:dyDescent="0.25">
      <c r="B110" s="73" t="s">
        <v>415</v>
      </c>
      <c r="C110" s="113" t="s">
        <v>416</v>
      </c>
      <c r="D110" s="113"/>
      <c r="E110" s="113"/>
      <c r="F110" s="113"/>
    </row>
    <row r="111" spans="2:6" ht="25.5" customHeight="1" x14ac:dyDescent="0.25">
      <c r="B111" s="73" t="s">
        <v>417</v>
      </c>
      <c r="C111" s="113" t="s">
        <v>418</v>
      </c>
      <c r="D111" s="113"/>
      <c r="E111" s="113"/>
      <c r="F111" s="113"/>
    </row>
  </sheetData>
  <mergeCells count="87">
    <mergeCell ref="B2:F2"/>
    <mergeCell ref="B3:F3"/>
    <mergeCell ref="B6:F6"/>
    <mergeCell ref="B7:F10"/>
    <mergeCell ref="B13:F13"/>
    <mergeCell ref="D14:F14"/>
    <mergeCell ref="D15:F15"/>
    <mergeCell ref="D16:F16"/>
    <mergeCell ref="D17:F17"/>
    <mergeCell ref="D18:F18"/>
    <mergeCell ref="D19:F19"/>
    <mergeCell ref="D20:F20"/>
    <mergeCell ref="D21:F21"/>
    <mergeCell ref="D22:F22"/>
    <mergeCell ref="D23:F23"/>
    <mergeCell ref="B26:F26"/>
    <mergeCell ref="E27:F27"/>
    <mergeCell ref="E28:F28"/>
    <mergeCell ref="E29:F29"/>
    <mergeCell ref="E30:F30"/>
    <mergeCell ref="E31:F31"/>
    <mergeCell ref="E32:F32"/>
    <mergeCell ref="E33:F33"/>
    <mergeCell ref="B36:F36"/>
    <mergeCell ref="E37:F37"/>
    <mergeCell ref="E38:F38"/>
    <mergeCell ref="E39:F39"/>
    <mergeCell ref="E40:F40"/>
    <mergeCell ref="E41:F41"/>
    <mergeCell ref="E42:F42"/>
    <mergeCell ref="E43:F43"/>
    <mergeCell ref="B46:F46"/>
    <mergeCell ref="D47:F47"/>
    <mergeCell ref="D48:F48"/>
    <mergeCell ref="D49:F49"/>
    <mergeCell ref="D50:F50"/>
    <mergeCell ref="D51:F51"/>
    <mergeCell ref="B54:F54"/>
    <mergeCell ref="D55:F55"/>
    <mergeCell ref="D56:F56"/>
    <mergeCell ref="D57:F57"/>
    <mergeCell ref="D58:F58"/>
    <mergeCell ref="D59:F59"/>
    <mergeCell ref="B62:F62"/>
    <mergeCell ref="D63:F63"/>
    <mergeCell ref="D64:F64"/>
    <mergeCell ref="D65:F65"/>
    <mergeCell ref="D66:F66"/>
    <mergeCell ref="D67:F67"/>
    <mergeCell ref="B70:F70"/>
    <mergeCell ref="D71:F71"/>
    <mergeCell ref="D72:F72"/>
    <mergeCell ref="D73:F73"/>
    <mergeCell ref="D74:F74"/>
    <mergeCell ref="D75:F75"/>
    <mergeCell ref="D76:F76"/>
    <mergeCell ref="D77:F77"/>
    <mergeCell ref="D78:F78"/>
    <mergeCell ref="D79:F79"/>
    <mergeCell ref="D80:F80"/>
    <mergeCell ref="D81:F81"/>
    <mergeCell ref="D82:F82"/>
    <mergeCell ref="B85:F85"/>
    <mergeCell ref="D86:F86"/>
    <mergeCell ref="D87:F87"/>
    <mergeCell ref="D88:F88"/>
    <mergeCell ref="D89:F89"/>
    <mergeCell ref="D90:F90"/>
    <mergeCell ref="D91:F91"/>
    <mergeCell ref="D92:F92"/>
    <mergeCell ref="D93:F93"/>
    <mergeCell ref="D94:F94"/>
    <mergeCell ref="D95:F95"/>
    <mergeCell ref="B98:F98"/>
    <mergeCell ref="C99:F99"/>
    <mergeCell ref="C100:F100"/>
    <mergeCell ref="C101:F101"/>
    <mergeCell ref="C102:F102"/>
    <mergeCell ref="C103:F103"/>
    <mergeCell ref="C104:F104"/>
    <mergeCell ref="C110:F110"/>
    <mergeCell ref="C111:F111"/>
    <mergeCell ref="C105:F105"/>
    <mergeCell ref="C106:F106"/>
    <mergeCell ref="C107:F107"/>
    <mergeCell ref="C108:F108"/>
    <mergeCell ref="C109:F109"/>
  </mergeCells>
  <pageMargins left="0.3" right="0.3" top="0.4" bottom="0.4"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pageSetUpPr fitToPage="1"/>
  </sheetPr>
  <dimension ref="B2:AK65"/>
  <sheetViews>
    <sheetView showGridLines="0" zoomScaleNormal="100" workbookViewId="0">
      <pane xSplit="5" ySplit="5" topLeftCell="F6" activePane="bottomRight" state="frozen"/>
      <selection pane="topRight" activeCell="F1" sqref="F1"/>
      <selection pane="bottomLeft" activeCell="A6" sqref="A6"/>
      <selection pane="bottomRight"/>
    </sheetView>
  </sheetViews>
  <sheetFormatPr defaultColWidth="8.7109375" defaultRowHeight="15" x14ac:dyDescent="0.25"/>
  <cols>
    <col min="1" max="1" width="2" customWidth="1"/>
    <col min="2" max="2" width="22" customWidth="1"/>
    <col min="3" max="3" width="13" customWidth="1"/>
    <col min="4" max="4" width="12" customWidth="1"/>
    <col min="5" max="5" width="14" customWidth="1"/>
    <col min="6" max="36" width="9" customWidth="1"/>
    <col min="37" max="37" width="13" customWidth="1"/>
  </cols>
  <sheetData>
    <row r="2" spans="2:37" ht="33.75" customHeight="1" x14ac:dyDescent="0.25">
      <c r="B2" s="116" t="s">
        <v>419</v>
      </c>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row>
    <row r="3" spans="2:37" ht="19.5" customHeight="1" x14ac:dyDescent="0.25">
      <c r="B3" s="117" t="s">
        <v>420</v>
      </c>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row>
    <row r="5" spans="2:37" ht="33.75" customHeight="1" x14ac:dyDescent="0.25">
      <c r="B5" s="75" t="s">
        <v>83</v>
      </c>
      <c r="C5" s="75" t="s">
        <v>421</v>
      </c>
      <c r="D5" s="75" t="s">
        <v>422</v>
      </c>
      <c r="E5" s="75" t="s">
        <v>423</v>
      </c>
      <c r="F5" s="26" t="s">
        <v>424</v>
      </c>
      <c r="G5" s="26" t="s">
        <v>425</v>
      </c>
      <c r="H5" s="26" t="s">
        <v>426</v>
      </c>
      <c r="I5" s="26" t="s">
        <v>427</v>
      </c>
      <c r="J5" s="26" t="s">
        <v>428</v>
      </c>
      <c r="K5" s="26" t="s">
        <v>429</v>
      </c>
      <c r="L5" s="26" t="s">
        <v>430</v>
      </c>
      <c r="M5" s="26" t="s">
        <v>431</v>
      </c>
      <c r="N5" s="26" t="s">
        <v>432</v>
      </c>
      <c r="O5" s="26" t="s">
        <v>433</v>
      </c>
      <c r="P5" s="26" t="s">
        <v>434</v>
      </c>
      <c r="Q5" s="26" t="s">
        <v>435</v>
      </c>
      <c r="R5" s="26" t="s">
        <v>436</v>
      </c>
      <c r="S5" s="26" t="s">
        <v>437</v>
      </c>
      <c r="T5" s="26" t="s">
        <v>438</v>
      </c>
      <c r="U5" s="26" t="s">
        <v>439</v>
      </c>
      <c r="V5" s="26" t="s">
        <v>440</v>
      </c>
      <c r="W5" s="26" t="s">
        <v>441</v>
      </c>
      <c r="X5" s="26" t="s">
        <v>442</v>
      </c>
      <c r="Y5" s="26" t="s">
        <v>443</v>
      </c>
      <c r="Z5" s="26" t="s">
        <v>444</v>
      </c>
      <c r="AA5" s="26" t="s">
        <v>445</v>
      </c>
      <c r="AB5" s="26" t="s">
        <v>446</v>
      </c>
      <c r="AC5" s="26" t="s">
        <v>447</v>
      </c>
      <c r="AD5" s="26" t="s">
        <v>448</v>
      </c>
      <c r="AE5" s="26" t="s">
        <v>449</v>
      </c>
      <c r="AF5" s="26" t="s">
        <v>450</v>
      </c>
      <c r="AG5" s="26" t="s">
        <v>451</v>
      </c>
      <c r="AH5" s="26" t="s">
        <v>452</v>
      </c>
      <c r="AI5" s="26" t="s">
        <v>453</v>
      </c>
      <c r="AJ5" s="26" t="s">
        <v>454</v>
      </c>
      <c r="AK5" s="76" t="s">
        <v>455</v>
      </c>
    </row>
    <row r="6" spans="2:37" x14ac:dyDescent="0.25">
      <c r="B6" s="4" t="s">
        <v>120</v>
      </c>
      <c r="C6" s="77">
        <v>2</v>
      </c>
      <c r="D6" s="78">
        <f t="shared" ref="D6:D37" si="0">IF($B6="","",SUM(F6:AK6))</f>
        <v>1</v>
      </c>
      <c r="E6" s="62" t="str">
        <f t="shared" ref="E6:E37" si="1">IF($B6="","",IF($D6&gt;=15,"🔴 HIGH",IF($D6&gt;=6,"🟠 MEDIUM","🟢 LOW")))</f>
        <v>🟢 LOW</v>
      </c>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v>1</v>
      </c>
      <c r="AJ6" s="79"/>
      <c r="AK6" s="80">
        <f>IF($B6="","",IFERROR(INDEX(Dashboard!$O$10:$O$69,MATCH($B6,Dashboard!$C$10:$C$69,0)),""))</f>
        <v>0</v>
      </c>
    </row>
    <row r="7" spans="2:37" x14ac:dyDescent="0.25">
      <c r="B7" s="4" t="s">
        <v>456</v>
      </c>
      <c r="C7" s="77">
        <v>1</v>
      </c>
      <c r="D7" s="78">
        <f t="shared" si="0"/>
        <v>1</v>
      </c>
      <c r="E7" s="62" t="str">
        <f t="shared" si="1"/>
        <v>🟢 LOW</v>
      </c>
      <c r="F7" s="79"/>
      <c r="G7" s="79"/>
      <c r="H7" s="79"/>
      <c r="I7" s="79"/>
      <c r="J7" s="79"/>
      <c r="K7" s="79"/>
      <c r="L7" s="79">
        <v>1</v>
      </c>
      <c r="M7" s="79"/>
      <c r="N7" s="79"/>
      <c r="O7" s="79"/>
      <c r="P7" s="79"/>
      <c r="Q7" s="79"/>
      <c r="R7" s="79"/>
      <c r="S7" s="79"/>
      <c r="T7" s="79"/>
      <c r="U7" s="79"/>
      <c r="V7" s="79"/>
      <c r="W7" s="79"/>
      <c r="X7" s="79"/>
      <c r="Y7" s="79"/>
      <c r="Z7" s="79"/>
      <c r="AA7" s="79"/>
      <c r="AB7" s="79"/>
      <c r="AC7" s="79"/>
      <c r="AD7" s="79"/>
      <c r="AE7" s="79"/>
      <c r="AF7" s="79"/>
      <c r="AG7" s="79"/>
      <c r="AH7" s="79"/>
      <c r="AI7" s="79"/>
      <c r="AJ7" s="79"/>
      <c r="AK7" s="80" t="str">
        <f>IF($B7="","",IFERROR(INDEX(Dashboard!$O$10:$O$69,MATCH($B7,Dashboard!$C$10:$C$69,0)),""))</f>
        <v/>
      </c>
    </row>
    <row r="8" spans="2:37" x14ac:dyDescent="0.25">
      <c r="B8" s="4" t="s">
        <v>457</v>
      </c>
      <c r="C8" s="77">
        <v>8</v>
      </c>
      <c r="D8" s="78">
        <f t="shared" si="0"/>
        <v>7</v>
      </c>
      <c r="E8" s="62" t="str">
        <f t="shared" si="1"/>
        <v>🟠 MEDIUM</v>
      </c>
      <c r="F8" s="79">
        <v>2</v>
      </c>
      <c r="G8" s="79"/>
      <c r="H8" s="79"/>
      <c r="I8" s="79"/>
      <c r="J8" s="79">
        <v>1</v>
      </c>
      <c r="K8" s="79"/>
      <c r="L8" s="79"/>
      <c r="M8" s="79"/>
      <c r="N8" s="79"/>
      <c r="O8" s="79"/>
      <c r="P8" s="79"/>
      <c r="Q8" s="79"/>
      <c r="R8" s="79"/>
      <c r="S8" s="79">
        <v>1</v>
      </c>
      <c r="T8" s="79"/>
      <c r="U8" s="79"/>
      <c r="V8" s="79"/>
      <c r="W8" s="79"/>
      <c r="X8" s="79"/>
      <c r="Y8" s="79"/>
      <c r="Z8" s="79"/>
      <c r="AA8" s="79"/>
      <c r="AB8" s="79">
        <v>1</v>
      </c>
      <c r="AC8" s="79"/>
      <c r="AD8" s="79"/>
      <c r="AE8" s="79"/>
      <c r="AF8" s="79"/>
      <c r="AG8" s="79"/>
      <c r="AH8" s="79">
        <v>2</v>
      </c>
      <c r="AI8" s="79"/>
      <c r="AJ8" s="79"/>
      <c r="AK8" s="80">
        <f>IF($B8="","",IFERROR(INDEX(Dashboard!$O$10:$O$69,MATCH($B8,Dashboard!$C$10:$C$69,0)),""))</f>
        <v>0</v>
      </c>
    </row>
    <row r="9" spans="2:37" x14ac:dyDescent="0.25">
      <c r="B9" s="4" t="s">
        <v>122</v>
      </c>
      <c r="C9" s="77">
        <v>17</v>
      </c>
      <c r="D9" s="78">
        <f t="shared" si="0"/>
        <v>15</v>
      </c>
      <c r="E9" s="62" t="str">
        <f t="shared" si="1"/>
        <v>🔴 HIGH</v>
      </c>
      <c r="F9" s="79"/>
      <c r="G9" s="79"/>
      <c r="H9" s="79"/>
      <c r="I9" s="79"/>
      <c r="J9" s="79"/>
      <c r="K9" s="79">
        <v>1</v>
      </c>
      <c r="L9" s="79">
        <v>1</v>
      </c>
      <c r="M9" s="79"/>
      <c r="N9" s="79">
        <v>1</v>
      </c>
      <c r="O9" s="79">
        <v>2</v>
      </c>
      <c r="P9" s="79"/>
      <c r="Q9" s="79"/>
      <c r="R9" s="79"/>
      <c r="S9" s="79">
        <v>1</v>
      </c>
      <c r="T9" s="79"/>
      <c r="U9" s="79"/>
      <c r="V9" s="79"/>
      <c r="W9" s="79">
        <v>1</v>
      </c>
      <c r="X9" s="79"/>
      <c r="Y9" s="79">
        <v>1</v>
      </c>
      <c r="Z9" s="79"/>
      <c r="AA9" s="79">
        <v>1</v>
      </c>
      <c r="AB9" s="79">
        <v>1</v>
      </c>
      <c r="AC9" s="79"/>
      <c r="AD9" s="79"/>
      <c r="AE9" s="79">
        <v>1</v>
      </c>
      <c r="AF9" s="79"/>
      <c r="AG9" s="79"/>
      <c r="AH9" s="79">
        <v>1</v>
      </c>
      <c r="AI9" s="79">
        <v>2</v>
      </c>
      <c r="AJ9" s="79">
        <v>1</v>
      </c>
      <c r="AK9" s="80">
        <f>IF($B9="","",IFERROR(INDEX(Dashboard!$O$10:$O$69,MATCH($B9,Dashboard!$C$10:$C$69,0)),""))</f>
        <v>0</v>
      </c>
    </row>
    <row r="10" spans="2:37" x14ac:dyDescent="0.25">
      <c r="B10" s="4" t="s">
        <v>458</v>
      </c>
      <c r="C10" s="77">
        <v>18</v>
      </c>
      <c r="D10" s="78">
        <f t="shared" si="0"/>
        <v>18</v>
      </c>
      <c r="E10" s="62" t="str">
        <f t="shared" si="1"/>
        <v>🔴 HIGH</v>
      </c>
      <c r="F10" s="79"/>
      <c r="G10" s="79">
        <v>3</v>
      </c>
      <c r="H10" s="79"/>
      <c r="I10" s="79"/>
      <c r="J10" s="79">
        <v>7</v>
      </c>
      <c r="K10" s="79"/>
      <c r="L10" s="79">
        <v>1</v>
      </c>
      <c r="M10" s="79"/>
      <c r="N10" s="79"/>
      <c r="O10" s="79"/>
      <c r="P10" s="79">
        <v>1</v>
      </c>
      <c r="Q10" s="79">
        <v>1</v>
      </c>
      <c r="R10" s="79"/>
      <c r="S10" s="79"/>
      <c r="T10" s="79"/>
      <c r="U10" s="79"/>
      <c r="V10" s="79">
        <v>2</v>
      </c>
      <c r="W10" s="79"/>
      <c r="X10" s="79"/>
      <c r="Y10" s="79"/>
      <c r="Z10" s="79"/>
      <c r="AA10" s="79"/>
      <c r="AB10" s="79"/>
      <c r="AC10" s="79"/>
      <c r="AD10" s="79">
        <v>1</v>
      </c>
      <c r="AE10" s="79"/>
      <c r="AF10" s="79"/>
      <c r="AG10" s="79"/>
      <c r="AH10" s="79">
        <v>1</v>
      </c>
      <c r="AI10" s="79"/>
      <c r="AJ10" s="79"/>
      <c r="AK10" s="80">
        <f>IF($B10="","",IFERROR(INDEX(Dashboard!$O$10:$O$69,MATCH($B10,Dashboard!$C$10:$C$69,0)),""))</f>
        <v>1</v>
      </c>
    </row>
    <row r="11" spans="2:37" x14ac:dyDescent="0.25">
      <c r="B11" s="4" t="s">
        <v>459</v>
      </c>
      <c r="C11" s="77">
        <v>24</v>
      </c>
      <c r="D11" s="78">
        <f t="shared" si="0"/>
        <v>23</v>
      </c>
      <c r="E11" s="62" t="str">
        <f t="shared" si="1"/>
        <v>🔴 HIGH</v>
      </c>
      <c r="F11" s="79">
        <v>1</v>
      </c>
      <c r="G11" s="79">
        <v>1</v>
      </c>
      <c r="H11" s="79">
        <v>2</v>
      </c>
      <c r="I11" s="79">
        <v>1</v>
      </c>
      <c r="J11" s="79">
        <v>1</v>
      </c>
      <c r="K11" s="79"/>
      <c r="L11" s="79">
        <v>13</v>
      </c>
      <c r="M11" s="79"/>
      <c r="N11" s="79"/>
      <c r="O11" s="79"/>
      <c r="P11" s="79"/>
      <c r="Q11" s="79"/>
      <c r="R11" s="79"/>
      <c r="S11" s="79">
        <v>1</v>
      </c>
      <c r="T11" s="79"/>
      <c r="U11" s="79">
        <v>1</v>
      </c>
      <c r="V11" s="79"/>
      <c r="W11" s="79"/>
      <c r="X11" s="79"/>
      <c r="Y11" s="79"/>
      <c r="Z11" s="79"/>
      <c r="AA11" s="79"/>
      <c r="AB11" s="79"/>
      <c r="AC11" s="79"/>
      <c r="AD11" s="79">
        <v>1</v>
      </c>
      <c r="AE11" s="79"/>
      <c r="AF11" s="79"/>
      <c r="AG11" s="79"/>
      <c r="AH11" s="79"/>
      <c r="AI11" s="79"/>
      <c r="AJ11" s="79">
        <v>1</v>
      </c>
      <c r="AK11" s="80" t="str">
        <f>IF($B11="","",IFERROR(INDEX(Dashboard!$O$10:$O$69,MATCH($B11,Dashboard!$C$10:$C$69,0)),""))</f>
        <v/>
      </c>
    </row>
    <row r="12" spans="2:37" x14ac:dyDescent="0.25">
      <c r="B12" s="4" t="s">
        <v>460</v>
      </c>
      <c r="C12" s="77">
        <v>4</v>
      </c>
      <c r="D12" s="78">
        <f t="shared" si="0"/>
        <v>3</v>
      </c>
      <c r="E12" s="62" t="str">
        <f t="shared" si="1"/>
        <v>🟢 LOW</v>
      </c>
      <c r="F12" s="79"/>
      <c r="G12" s="79">
        <v>1</v>
      </c>
      <c r="H12" s="79"/>
      <c r="I12" s="79"/>
      <c r="J12" s="79"/>
      <c r="K12" s="79"/>
      <c r="L12" s="79"/>
      <c r="M12" s="79"/>
      <c r="N12" s="79"/>
      <c r="O12" s="79"/>
      <c r="P12" s="79"/>
      <c r="Q12" s="79"/>
      <c r="R12" s="79"/>
      <c r="S12" s="79"/>
      <c r="T12" s="79">
        <v>1</v>
      </c>
      <c r="U12" s="79"/>
      <c r="V12" s="79"/>
      <c r="W12" s="79"/>
      <c r="X12" s="79"/>
      <c r="Y12" s="79"/>
      <c r="Z12" s="79">
        <v>1</v>
      </c>
      <c r="AA12" s="79"/>
      <c r="AB12" s="79"/>
      <c r="AC12" s="79"/>
      <c r="AD12" s="79"/>
      <c r="AE12" s="79"/>
      <c r="AF12" s="79"/>
      <c r="AG12" s="79"/>
      <c r="AH12" s="79"/>
      <c r="AI12" s="79"/>
      <c r="AJ12" s="79"/>
      <c r="AK12" s="80">
        <f>IF($B12="","",IFERROR(INDEX(Dashboard!$O$10:$O$69,MATCH($B12,Dashboard!$C$10:$C$69,0)),""))</f>
        <v>0</v>
      </c>
    </row>
    <row r="13" spans="2:37" x14ac:dyDescent="0.25">
      <c r="B13" s="4" t="s">
        <v>461</v>
      </c>
      <c r="C13" s="77">
        <v>18</v>
      </c>
      <c r="D13" s="78">
        <f t="shared" si="0"/>
        <v>16</v>
      </c>
      <c r="E13" s="62" t="str">
        <f t="shared" si="1"/>
        <v>🔴 HIGH</v>
      </c>
      <c r="F13" s="79"/>
      <c r="G13" s="79"/>
      <c r="H13" s="79">
        <v>1</v>
      </c>
      <c r="I13" s="79"/>
      <c r="J13" s="79">
        <v>1</v>
      </c>
      <c r="K13" s="79"/>
      <c r="L13" s="79"/>
      <c r="M13" s="79"/>
      <c r="N13" s="79">
        <v>1</v>
      </c>
      <c r="O13" s="79"/>
      <c r="P13" s="79"/>
      <c r="Q13" s="79"/>
      <c r="R13" s="79"/>
      <c r="S13" s="79"/>
      <c r="T13" s="79">
        <v>3</v>
      </c>
      <c r="U13" s="79">
        <v>1</v>
      </c>
      <c r="V13" s="79">
        <v>1</v>
      </c>
      <c r="W13" s="79">
        <v>1</v>
      </c>
      <c r="X13" s="79"/>
      <c r="Y13" s="79"/>
      <c r="Z13" s="79"/>
      <c r="AA13" s="79">
        <v>1</v>
      </c>
      <c r="AB13" s="79"/>
      <c r="AC13" s="79"/>
      <c r="AD13" s="79">
        <v>1</v>
      </c>
      <c r="AE13" s="79"/>
      <c r="AF13" s="79"/>
      <c r="AG13" s="79"/>
      <c r="AH13" s="79">
        <v>2</v>
      </c>
      <c r="AI13" s="79">
        <v>2</v>
      </c>
      <c r="AJ13" s="79">
        <v>1</v>
      </c>
      <c r="AK13" s="80">
        <f>IF($B13="","",IFERROR(INDEX(Dashboard!$O$10:$O$69,MATCH($B13,Dashboard!$C$10:$C$69,0)),""))</f>
        <v>0</v>
      </c>
    </row>
    <row r="14" spans="2:37" x14ac:dyDescent="0.25">
      <c r="B14" s="4" t="s">
        <v>462</v>
      </c>
      <c r="C14" s="77">
        <v>5</v>
      </c>
      <c r="D14" s="78">
        <f t="shared" si="0"/>
        <v>5</v>
      </c>
      <c r="E14" s="62" t="str">
        <f t="shared" si="1"/>
        <v>🟢 LOW</v>
      </c>
      <c r="F14" s="79"/>
      <c r="G14" s="79"/>
      <c r="H14" s="79"/>
      <c r="I14" s="79"/>
      <c r="J14" s="79">
        <v>2</v>
      </c>
      <c r="K14" s="79"/>
      <c r="L14" s="79"/>
      <c r="M14" s="79">
        <v>1</v>
      </c>
      <c r="N14" s="79"/>
      <c r="O14" s="79"/>
      <c r="P14" s="79"/>
      <c r="Q14" s="79"/>
      <c r="R14" s="79"/>
      <c r="S14" s="79">
        <v>1</v>
      </c>
      <c r="T14" s="79"/>
      <c r="U14" s="79"/>
      <c r="V14" s="79"/>
      <c r="W14" s="79"/>
      <c r="X14" s="79"/>
      <c r="Y14" s="79"/>
      <c r="Z14" s="79"/>
      <c r="AA14" s="79"/>
      <c r="AB14" s="79"/>
      <c r="AC14" s="79"/>
      <c r="AD14" s="79"/>
      <c r="AE14" s="79"/>
      <c r="AF14" s="79"/>
      <c r="AG14" s="79"/>
      <c r="AH14" s="79"/>
      <c r="AI14" s="79"/>
      <c r="AJ14" s="79"/>
      <c r="AK14" s="80">
        <f>IF($B14="","",IFERROR(INDEX(Dashboard!$O$10:$O$69,MATCH($B14,Dashboard!$C$10:$C$69,0)),""))</f>
        <v>1</v>
      </c>
    </row>
    <row r="15" spans="2:37" x14ac:dyDescent="0.25">
      <c r="B15" s="4" t="s">
        <v>463</v>
      </c>
      <c r="C15" s="77">
        <v>21</v>
      </c>
      <c r="D15" s="78">
        <f t="shared" si="0"/>
        <v>20</v>
      </c>
      <c r="E15" s="62" t="str">
        <f t="shared" si="1"/>
        <v>🔴 HIGH</v>
      </c>
      <c r="F15" s="79"/>
      <c r="G15" s="79"/>
      <c r="H15" s="79">
        <v>1</v>
      </c>
      <c r="I15" s="79"/>
      <c r="J15" s="79"/>
      <c r="K15" s="79"/>
      <c r="L15" s="79"/>
      <c r="M15" s="79"/>
      <c r="N15" s="79"/>
      <c r="O15" s="79">
        <v>1</v>
      </c>
      <c r="P15" s="79">
        <v>1</v>
      </c>
      <c r="Q15" s="79"/>
      <c r="R15" s="79">
        <v>1</v>
      </c>
      <c r="S15" s="79">
        <v>3</v>
      </c>
      <c r="T15" s="79">
        <v>2</v>
      </c>
      <c r="U15" s="79"/>
      <c r="V15" s="79">
        <v>3</v>
      </c>
      <c r="W15" s="79">
        <v>1</v>
      </c>
      <c r="X15" s="79"/>
      <c r="Y15" s="79">
        <v>1</v>
      </c>
      <c r="Z15" s="79">
        <v>2</v>
      </c>
      <c r="AA15" s="79">
        <v>3</v>
      </c>
      <c r="AB15" s="79">
        <v>1</v>
      </c>
      <c r="AC15" s="79"/>
      <c r="AD15" s="79"/>
      <c r="AE15" s="79"/>
      <c r="AF15" s="79"/>
      <c r="AG15" s="79"/>
      <c r="AH15" s="79"/>
      <c r="AI15" s="79"/>
      <c r="AJ15" s="79"/>
      <c r="AK15" s="80" t="str">
        <f>IF($B15="","",IFERROR(INDEX(Dashboard!$O$10:$O$69,MATCH($B15,Dashboard!$C$10:$C$69,0)),""))</f>
        <v/>
      </c>
    </row>
    <row r="16" spans="2:37" x14ac:dyDescent="0.25">
      <c r="B16" s="4" t="s">
        <v>123</v>
      </c>
      <c r="C16" s="77">
        <v>10</v>
      </c>
      <c r="D16" s="78">
        <f t="shared" si="0"/>
        <v>10</v>
      </c>
      <c r="E16" s="62" t="str">
        <f t="shared" si="1"/>
        <v>🟠 MEDIUM</v>
      </c>
      <c r="F16" s="79"/>
      <c r="G16" s="79"/>
      <c r="H16" s="79"/>
      <c r="I16" s="79">
        <v>2</v>
      </c>
      <c r="J16" s="79"/>
      <c r="K16" s="79"/>
      <c r="L16" s="79"/>
      <c r="M16" s="79"/>
      <c r="N16" s="79"/>
      <c r="O16" s="79"/>
      <c r="P16" s="79"/>
      <c r="Q16" s="79"/>
      <c r="R16" s="79"/>
      <c r="S16" s="79"/>
      <c r="T16" s="79"/>
      <c r="U16" s="79"/>
      <c r="V16" s="79"/>
      <c r="W16" s="79"/>
      <c r="X16" s="79"/>
      <c r="Y16" s="79">
        <v>2</v>
      </c>
      <c r="Z16" s="79"/>
      <c r="AA16" s="79"/>
      <c r="AB16" s="79">
        <v>1</v>
      </c>
      <c r="AC16" s="79"/>
      <c r="AD16" s="79"/>
      <c r="AE16" s="79">
        <v>1</v>
      </c>
      <c r="AF16" s="79"/>
      <c r="AG16" s="79">
        <v>1</v>
      </c>
      <c r="AH16" s="79">
        <v>1</v>
      </c>
      <c r="AI16" s="79">
        <v>1</v>
      </c>
      <c r="AJ16" s="79">
        <v>1</v>
      </c>
      <c r="AK16" s="80">
        <f>IF($B16="","",IFERROR(INDEX(Dashboard!$O$10:$O$69,MATCH($B16,Dashboard!$C$10:$C$69,0)),""))</f>
        <v>0</v>
      </c>
    </row>
    <row r="17" spans="2:37" x14ac:dyDescent="0.25">
      <c r="B17" s="4" t="s">
        <v>464</v>
      </c>
      <c r="C17" s="77">
        <v>3</v>
      </c>
      <c r="D17" s="78">
        <f t="shared" si="0"/>
        <v>2</v>
      </c>
      <c r="E17" s="62" t="str">
        <f t="shared" si="1"/>
        <v>🟢 LOW</v>
      </c>
      <c r="F17" s="79"/>
      <c r="G17" s="79">
        <v>1</v>
      </c>
      <c r="H17" s="79"/>
      <c r="I17" s="79"/>
      <c r="J17" s="79"/>
      <c r="K17" s="79"/>
      <c r="L17" s="79"/>
      <c r="M17" s="79"/>
      <c r="N17" s="79"/>
      <c r="O17" s="79"/>
      <c r="P17" s="79"/>
      <c r="Q17" s="79"/>
      <c r="R17" s="79"/>
      <c r="S17" s="79"/>
      <c r="T17" s="79">
        <v>1</v>
      </c>
      <c r="U17" s="79"/>
      <c r="V17" s="79"/>
      <c r="W17" s="79"/>
      <c r="X17" s="79"/>
      <c r="Y17" s="79"/>
      <c r="Z17" s="79"/>
      <c r="AA17" s="79"/>
      <c r="AB17" s="79"/>
      <c r="AC17" s="79"/>
      <c r="AD17" s="79"/>
      <c r="AE17" s="79"/>
      <c r="AF17" s="79"/>
      <c r="AG17" s="79"/>
      <c r="AH17" s="79"/>
      <c r="AI17" s="79"/>
      <c r="AJ17" s="79"/>
      <c r="AK17" s="80">
        <f>IF($B17="","",IFERROR(INDEX(Dashboard!$O$10:$O$69,MATCH($B17,Dashboard!$C$10:$C$69,0)),""))</f>
        <v>0</v>
      </c>
    </row>
    <row r="18" spans="2:37" x14ac:dyDescent="0.25">
      <c r="B18" s="4" t="s">
        <v>465</v>
      </c>
      <c r="C18" s="77">
        <v>2</v>
      </c>
      <c r="D18" s="78">
        <f t="shared" si="0"/>
        <v>1</v>
      </c>
      <c r="E18" s="62" t="str">
        <f t="shared" si="1"/>
        <v>🟢 LOW</v>
      </c>
      <c r="F18" s="79"/>
      <c r="G18" s="79"/>
      <c r="H18" s="79"/>
      <c r="I18" s="79"/>
      <c r="J18" s="79"/>
      <c r="K18" s="79"/>
      <c r="L18" s="79"/>
      <c r="M18" s="79"/>
      <c r="N18" s="79"/>
      <c r="O18" s="79"/>
      <c r="P18" s="79"/>
      <c r="Q18" s="79"/>
      <c r="R18" s="79"/>
      <c r="S18" s="79"/>
      <c r="T18" s="79"/>
      <c r="U18" s="79"/>
      <c r="V18" s="79"/>
      <c r="W18" s="79"/>
      <c r="X18" s="79"/>
      <c r="Y18" s="79"/>
      <c r="Z18" s="79"/>
      <c r="AA18" s="79">
        <v>1</v>
      </c>
      <c r="AB18" s="79"/>
      <c r="AC18" s="79"/>
      <c r="AD18" s="79"/>
      <c r="AE18" s="79"/>
      <c r="AF18" s="79"/>
      <c r="AG18" s="79"/>
      <c r="AH18" s="79"/>
      <c r="AI18" s="79"/>
      <c r="AJ18" s="79"/>
      <c r="AK18" s="80">
        <f>IF($B18="","",IFERROR(INDEX(Dashboard!$O$10:$O$69,MATCH($B18,Dashboard!$C$10:$C$69,0)),""))</f>
        <v>0</v>
      </c>
    </row>
    <row r="19" spans="2:37" x14ac:dyDescent="0.25">
      <c r="B19" s="4" t="s">
        <v>466</v>
      </c>
      <c r="C19" s="77">
        <v>10</v>
      </c>
      <c r="D19" s="78">
        <f t="shared" si="0"/>
        <v>9</v>
      </c>
      <c r="E19" s="62" t="str">
        <f t="shared" si="1"/>
        <v>🟠 MEDIUM</v>
      </c>
      <c r="F19" s="79"/>
      <c r="G19" s="79"/>
      <c r="H19" s="79">
        <v>1</v>
      </c>
      <c r="I19" s="79">
        <v>2</v>
      </c>
      <c r="J19" s="79"/>
      <c r="K19" s="79"/>
      <c r="L19" s="79">
        <v>1</v>
      </c>
      <c r="M19" s="79"/>
      <c r="N19" s="79"/>
      <c r="O19" s="79"/>
      <c r="P19" s="79"/>
      <c r="Q19" s="79"/>
      <c r="R19" s="79">
        <v>2</v>
      </c>
      <c r="S19" s="79"/>
      <c r="T19" s="79"/>
      <c r="U19" s="79"/>
      <c r="V19" s="79"/>
      <c r="W19" s="79">
        <v>2</v>
      </c>
      <c r="X19" s="79"/>
      <c r="Y19" s="79"/>
      <c r="Z19" s="79"/>
      <c r="AA19" s="79"/>
      <c r="AB19" s="79">
        <v>1</v>
      </c>
      <c r="AC19" s="79"/>
      <c r="AD19" s="79"/>
      <c r="AE19" s="79"/>
      <c r="AF19" s="79"/>
      <c r="AG19" s="79"/>
      <c r="AH19" s="79"/>
      <c r="AI19" s="79"/>
      <c r="AJ19" s="79"/>
      <c r="AK19" s="80">
        <f>IF($B19="","",IFERROR(INDEX(Dashboard!$O$10:$O$69,MATCH($B19,Dashboard!$C$10:$C$69,0)),""))</f>
        <v>0</v>
      </c>
    </row>
    <row r="20" spans="2:37" x14ac:dyDescent="0.25">
      <c r="B20" s="4" t="s">
        <v>467</v>
      </c>
      <c r="C20" s="77">
        <v>1</v>
      </c>
      <c r="D20" s="78">
        <f t="shared" si="0"/>
        <v>1</v>
      </c>
      <c r="E20" s="62" t="str">
        <f t="shared" si="1"/>
        <v>🟢 LOW</v>
      </c>
      <c r="F20" s="79"/>
      <c r="G20" s="79"/>
      <c r="H20" s="79">
        <v>1</v>
      </c>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80" t="str">
        <f>IF($B20="","",IFERROR(INDEX(Dashboard!$O$10:$O$69,MATCH($B20,Dashboard!$C$10:$C$69,0)),""))</f>
        <v/>
      </c>
    </row>
    <row r="21" spans="2:37" x14ac:dyDescent="0.25">
      <c r="B21" s="4" t="s">
        <v>468</v>
      </c>
      <c r="C21" s="77">
        <v>11</v>
      </c>
      <c r="D21" s="78">
        <f t="shared" si="0"/>
        <v>11</v>
      </c>
      <c r="E21" s="62" t="str">
        <f t="shared" si="1"/>
        <v>🟠 MEDIUM</v>
      </c>
      <c r="F21" s="79"/>
      <c r="G21" s="79">
        <v>6</v>
      </c>
      <c r="H21" s="79"/>
      <c r="I21" s="79">
        <v>1</v>
      </c>
      <c r="J21" s="79"/>
      <c r="K21" s="79"/>
      <c r="L21" s="79"/>
      <c r="M21" s="79"/>
      <c r="N21" s="79"/>
      <c r="O21" s="79"/>
      <c r="P21" s="79"/>
      <c r="Q21" s="79"/>
      <c r="R21" s="79"/>
      <c r="S21" s="79"/>
      <c r="T21" s="79"/>
      <c r="U21" s="79"/>
      <c r="V21" s="79"/>
      <c r="W21" s="79"/>
      <c r="X21" s="79"/>
      <c r="Y21" s="79"/>
      <c r="Z21" s="79">
        <v>1</v>
      </c>
      <c r="AA21" s="79"/>
      <c r="AB21" s="79"/>
      <c r="AC21" s="79"/>
      <c r="AD21" s="79"/>
      <c r="AE21" s="79"/>
      <c r="AF21" s="79"/>
      <c r="AG21" s="79"/>
      <c r="AH21" s="79">
        <v>1</v>
      </c>
      <c r="AI21" s="79">
        <v>1</v>
      </c>
      <c r="AJ21" s="79"/>
      <c r="AK21" s="80">
        <f>IF($B21="","",IFERROR(INDEX(Dashboard!$O$10:$O$69,MATCH($B21,Dashboard!$C$10:$C$69,0)),""))</f>
        <v>1</v>
      </c>
    </row>
    <row r="22" spans="2:37" x14ac:dyDescent="0.25">
      <c r="B22" s="4" t="s">
        <v>469</v>
      </c>
      <c r="C22" s="77">
        <v>6</v>
      </c>
      <c r="D22" s="78">
        <f t="shared" si="0"/>
        <v>4</v>
      </c>
      <c r="E22" s="62" t="str">
        <f t="shared" si="1"/>
        <v>🟢 LOW</v>
      </c>
      <c r="F22" s="79"/>
      <c r="G22" s="79">
        <v>1</v>
      </c>
      <c r="H22" s="79"/>
      <c r="I22" s="79">
        <v>1</v>
      </c>
      <c r="J22" s="79"/>
      <c r="K22" s="79"/>
      <c r="L22" s="79">
        <v>1</v>
      </c>
      <c r="M22" s="79"/>
      <c r="N22" s="79">
        <v>1</v>
      </c>
      <c r="O22" s="79"/>
      <c r="P22" s="79"/>
      <c r="Q22" s="79"/>
      <c r="R22" s="79"/>
      <c r="S22" s="79"/>
      <c r="T22" s="79"/>
      <c r="U22" s="79"/>
      <c r="V22" s="79"/>
      <c r="W22" s="79"/>
      <c r="X22" s="79"/>
      <c r="Y22" s="79"/>
      <c r="Z22" s="79"/>
      <c r="AA22" s="79"/>
      <c r="AB22" s="79"/>
      <c r="AC22" s="79"/>
      <c r="AD22" s="79"/>
      <c r="AE22" s="79"/>
      <c r="AF22" s="79"/>
      <c r="AG22" s="79"/>
      <c r="AH22" s="79"/>
      <c r="AI22" s="79"/>
      <c r="AJ22" s="79"/>
      <c r="AK22" s="80" t="str">
        <f>IF($B22="","",IFERROR(INDEX(Dashboard!$O$10:$O$69,MATCH($B22,Dashboard!$C$10:$C$69,0)),""))</f>
        <v/>
      </c>
    </row>
    <row r="23" spans="2:37" x14ac:dyDescent="0.25">
      <c r="B23" s="4" t="s">
        <v>470</v>
      </c>
      <c r="C23" s="77">
        <v>15</v>
      </c>
      <c r="D23" s="78">
        <f t="shared" si="0"/>
        <v>14</v>
      </c>
      <c r="E23" s="62" t="str">
        <f t="shared" si="1"/>
        <v>🟠 MEDIUM</v>
      </c>
      <c r="F23" s="79"/>
      <c r="G23" s="79">
        <v>2</v>
      </c>
      <c r="H23" s="79">
        <v>2</v>
      </c>
      <c r="I23" s="79">
        <v>3</v>
      </c>
      <c r="J23" s="79">
        <v>3</v>
      </c>
      <c r="K23" s="79"/>
      <c r="L23" s="79">
        <v>1</v>
      </c>
      <c r="M23" s="79">
        <v>1</v>
      </c>
      <c r="N23" s="79"/>
      <c r="O23" s="79"/>
      <c r="P23" s="79"/>
      <c r="Q23" s="79"/>
      <c r="R23" s="79">
        <v>1</v>
      </c>
      <c r="S23" s="79"/>
      <c r="T23" s="79"/>
      <c r="U23" s="79"/>
      <c r="V23" s="79"/>
      <c r="W23" s="79"/>
      <c r="X23" s="79"/>
      <c r="Y23" s="79"/>
      <c r="Z23" s="79"/>
      <c r="AA23" s="79"/>
      <c r="AB23" s="79"/>
      <c r="AC23" s="79"/>
      <c r="AD23" s="79"/>
      <c r="AE23" s="79"/>
      <c r="AF23" s="79"/>
      <c r="AG23" s="79"/>
      <c r="AH23" s="79"/>
      <c r="AI23" s="79">
        <v>1</v>
      </c>
      <c r="AJ23" s="79"/>
      <c r="AK23" s="80">
        <f>IF($B23="","",IFERROR(INDEX(Dashboard!$O$10:$O$69,MATCH($B23,Dashboard!$C$10:$C$69,0)),""))</f>
        <v>0</v>
      </c>
    </row>
    <row r="24" spans="2:37" x14ac:dyDescent="0.25">
      <c r="B24" s="4" t="s">
        <v>471</v>
      </c>
      <c r="C24" s="77">
        <v>2</v>
      </c>
      <c r="D24" s="78">
        <f t="shared" si="0"/>
        <v>1</v>
      </c>
      <c r="E24" s="62" t="str">
        <f t="shared" si="1"/>
        <v>🟢 LOW</v>
      </c>
      <c r="F24" s="79"/>
      <c r="G24" s="79"/>
      <c r="H24" s="79">
        <v>1</v>
      </c>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80" t="str">
        <f>IF($B24="","",IFERROR(INDEX(Dashboard!$O$10:$O$69,MATCH($B24,Dashboard!$C$10:$C$69,0)),""))</f>
        <v/>
      </c>
    </row>
    <row r="25" spans="2:37" x14ac:dyDescent="0.25">
      <c r="B25" s="4" t="s">
        <v>472</v>
      </c>
      <c r="C25" s="77">
        <v>10</v>
      </c>
      <c r="D25" s="78">
        <f t="shared" si="0"/>
        <v>7</v>
      </c>
      <c r="E25" s="62" t="str">
        <f t="shared" si="1"/>
        <v>🟠 MEDIUM</v>
      </c>
      <c r="F25" s="79"/>
      <c r="G25" s="79">
        <v>1</v>
      </c>
      <c r="H25" s="79"/>
      <c r="I25" s="79">
        <v>2</v>
      </c>
      <c r="J25" s="79"/>
      <c r="K25" s="79"/>
      <c r="L25" s="79"/>
      <c r="M25" s="79"/>
      <c r="N25" s="79"/>
      <c r="O25" s="79"/>
      <c r="P25" s="79"/>
      <c r="Q25" s="79"/>
      <c r="R25" s="79"/>
      <c r="S25" s="79"/>
      <c r="T25" s="79"/>
      <c r="U25" s="79"/>
      <c r="V25" s="79"/>
      <c r="W25" s="79"/>
      <c r="X25" s="79"/>
      <c r="Y25" s="79"/>
      <c r="Z25" s="79"/>
      <c r="AA25" s="79"/>
      <c r="AB25" s="79"/>
      <c r="AC25" s="79"/>
      <c r="AD25" s="79">
        <v>2</v>
      </c>
      <c r="AE25" s="79">
        <v>1</v>
      </c>
      <c r="AF25" s="79"/>
      <c r="AG25" s="79"/>
      <c r="AH25" s="79"/>
      <c r="AI25" s="79">
        <v>1</v>
      </c>
      <c r="AJ25" s="79"/>
      <c r="AK25" s="80">
        <f>IF($B25="","",IFERROR(INDEX(Dashboard!$O$10:$O$69,MATCH($B25,Dashboard!$C$10:$C$69,0)),""))</f>
        <v>0</v>
      </c>
    </row>
    <row r="26" spans="2:37" x14ac:dyDescent="0.25">
      <c r="B26" s="4" t="s">
        <v>473</v>
      </c>
      <c r="C26" s="77">
        <v>4</v>
      </c>
      <c r="D26" s="78">
        <f t="shared" si="0"/>
        <v>3</v>
      </c>
      <c r="E26" s="62" t="str">
        <f t="shared" si="1"/>
        <v>🟢 LOW</v>
      </c>
      <c r="F26" s="79"/>
      <c r="G26" s="79">
        <v>1</v>
      </c>
      <c r="H26" s="79"/>
      <c r="I26" s="79"/>
      <c r="J26" s="79"/>
      <c r="K26" s="79"/>
      <c r="L26" s="79"/>
      <c r="M26" s="79"/>
      <c r="N26" s="79"/>
      <c r="O26" s="79"/>
      <c r="P26" s="79"/>
      <c r="Q26" s="79"/>
      <c r="R26" s="79"/>
      <c r="S26" s="79"/>
      <c r="T26" s="79"/>
      <c r="U26" s="79"/>
      <c r="V26" s="79">
        <v>1</v>
      </c>
      <c r="W26" s="79"/>
      <c r="X26" s="79"/>
      <c r="Y26" s="79"/>
      <c r="Z26" s="79"/>
      <c r="AA26" s="79"/>
      <c r="AB26" s="79"/>
      <c r="AC26" s="79"/>
      <c r="AD26" s="79"/>
      <c r="AE26" s="79"/>
      <c r="AF26" s="79"/>
      <c r="AG26" s="79"/>
      <c r="AH26" s="79"/>
      <c r="AI26" s="79"/>
      <c r="AJ26" s="79">
        <v>1</v>
      </c>
      <c r="AK26" s="80">
        <f>IF($B26="","",IFERROR(INDEX(Dashboard!$O$10:$O$69,MATCH($B26,Dashboard!$C$10:$C$69,0)),""))</f>
        <v>0</v>
      </c>
    </row>
    <row r="27" spans="2:37" x14ac:dyDescent="0.25">
      <c r="B27" s="4" t="s">
        <v>124</v>
      </c>
      <c r="C27" s="77">
        <v>15</v>
      </c>
      <c r="D27" s="78">
        <f t="shared" si="0"/>
        <v>14</v>
      </c>
      <c r="E27" s="62" t="str">
        <f t="shared" si="1"/>
        <v>🟠 MEDIUM</v>
      </c>
      <c r="F27" s="79"/>
      <c r="G27" s="79">
        <v>2</v>
      </c>
      <c r="H27" s="79"/>
      <c r="I27" s="79"/>
      <c r="J27" s="79">
        <v>2</v>
      </c>
      <c r="K27" s="79"/>
      <c r="L27" s="79"/>
      <c r="M27" s="79"/>
      <c r="N27" s="79"/>
      <c r="O27" s="79">
        <v>1</v>
      </c>
      <c r="P27" s="79"/>
      <c r="Q27" s="79"/>
      <c r="R27" s="79"/>
      <c r="S27" s="79"/>
      <c r="T27" s="79"/>
      <c r="U27" s="79"/>
      <c r="V27" s="79"/>
      <c r="W27" s="79">
        <v>1</v>
      </c>
      <c r="X27" s="79"/>
      <c r="Y27" s="79"/>
      <c r="Z27" s="79"/>
      <c r="AA27" s="79">
        <v>3</v>
      </c>
      <c r="AB27" s="79">
        <v>1</v>
      </c>
      <c r="AC27" s="79"/>
      <c r="AD27" s="79">
        <v>2</v>
      </c>
      <c r="AE27" s="79">
        <v>1</v>
      </c>
      <c r="AF27" s="79"/>
      <c r="AG27" s="79"/>
      <c r="AH27" s="79"/>
      <c r="AI27" s="79">
        <v>1</v>
      </c>
      <c r="AJ27" s="79"/>
      <c r="AK27" s="80">
        <f>IF($B27="","",IFERROR(INDEX(Dashboard!$O$10:$O$69,MATCH($B27,Dashboard!$C$10:$C$69,0)),""))</f>
        <v>0</v>
      </c>
    </row>
    <row r="28" spans="2:37" x14ac:dyDescent="0.25">
      <c r="B28" s="4" t="s">
        <v>474</v>
      </c>
      <c r="C28" s="77">
        <v>3</v>
      </c>
      <c r="D28" s="78">
        <f t="shared" si="0"/>
        <v>3</v>
      </c>
      <c r="E28" s="62" t="str">
        <f t="shared" si="1"/>
        <v>🟢 LOW</v>
      </c>
      <c r="F28" s="79"/>
      <c r="G28" s="79"/>
      <c r="H28" s="79"/>
      <c r="I28" s="79"/>
      <c r="J28" s="79"/>
      <c r="K28" s="79"/>
      <c r="L28" s="79"/>
      <c r="M28" s="79"/>
      <c r="N28" s="79"/>
      <c r="O28" s="79"/>
      <c r="P28" s="79"/>
      <c r="Q28" s="79"/>
      <c r="R28" s="79"/>
      <c r="S28" s="79"/>
      <c r="T28" s="79">
        <v>2</v>
      </c>
      <c r="U28" s="79"/>
      <c r="V28" s="79"/>
      <c r="W28" s="79"/>
      <c r="X28" s="79"/>
      <c r="Y28" s="79"/>
      <c r="Z28" s="79"/>
      <c r="AA28" s="79"/>
      <c r="AB28" s="79">
        <v>1</v>
      </c>
      <c r="AC28" s="79"/>
      <c r="AD28" s="79"/>
      <c r="AE28" s="79"/>
      <c r="AF28" s="79"/>
      <c r="AG28" s="79"/>
      <c r="AH28" s="79"/>
      <c r="AI28" s="79"/>
      <c r="AJ28" s="79"/>
      <c r="AK28" s="80">
        <f>IF($B28="","",IFERROR(INDEX(Dashboard!$O$10:$O$69,MATCH($B28,Dashboard!$C$10:$C$69,0)),""))</f>
        <v>0</v>
      </c>
    </row>
    <row r="29" spans="2:37" x14ac:dyDescent="0.25">
      <c r="B29" s="4" t="s">
        <v>475</v>
      </c>
      <c r="C29" s="77">
        <v>5</v>
      </c>
      <c r="D29" s="78">
        <f t="shared" si="0"/>
        <v>4</v>
      </c>
      <c r="E29" s="62" t="str">
        <f t="shared" si="1"/>
        <v>🟢 LOW</v>
      </c>
      <c r="F29" s="79"/>
      <c r="G29" s="79"/>
      <c r="H29" s="79">
        <v>1</v>
      </c>
      <c r="I29" s="79"/>
      <c r="J29" s="79"/>
      <c r="K29" s="79"/>
      <c r="L29" s="79"/>
      <c r="M29" s="79"/>
      <c r="N29" s="79"/>
      <c r="O29" s="79"/>
      <c r="P29" s="79">
        <v>1</v>
      </c>
      <c r="Q29" s="79"/>
      <c r="R29" s="79"/>
      <c r="S29" s="79"/>
      <c r="T29" s="79"/>
      <c r="U29" s="79"/>
      <c r="V29" s="79"/>
      <c r="W29" s="79"/>
      <c r="X29" s="79"/>
      <c r="Y29" s="79"/>
      <c r="Z29" s="79"/>
      <c r="AA29" s="79"/>
      <c r="AB29" s="79"/>
      <c r="AC29" s="79"/>
      <c r="AD29" s="79"/>
      <c r="AE29" s="79">
        <v>1</v>
      </c>
      <c r="AF29" s="79">
        <v>1</v>
      </c>
      <c r="AG29" s="79"/>
      <c r="AH29" s="79"/>
      <c r="AI29" s="79"/>
      <c r="AJ29" s="79"/>
      <c r="AK29" s="80">
        <f>IF($B29="","",IFERROR(INDEX(Dashboard!$O$10:$O$69,MATCH($B29,Dashboard!$C$10:$C$69,0)),""))</f>
        <v>0</v>
      </c>
    </row>
    <row r="30" spans="2:37" x14ac:dyDescent="0.25">
      <c r="B30" s="4" t="s">
        <v>476</v>
      </c>
      <c r="C30" s="77">
        <v>27</v>
      </c>
      <c r="D30" s="78">
        <f t="shared" si="0"/>
        <v>26</v>
      </c>
      <c r="E30" s="62" t="str">
        <f t="shared" si="1"/>
        <v>🔴 HIGH</v>
      </c>
      <c r="F30" s="79"/>
      <c r="G30" s="79">
        <v>1</v>
      </c>
      <c r="H30" s="79">
        <v>2</v>
      </c>
      <c r="I30" s="79"/>
      <c r="J30" s="79">
        <v>2</v>
      </c>
      <c r="K30" s="79">
        <v>1</v>
      </c>
      <c r="L30" s="79">
        <v>4</v>
      </c>
      <c r="M30" s="79"/>
      <c r="N30" s="79"/>
      <c r="O30" s="79">
        <v>1</v>
      </c>
      <c r="P30" s="79">
        <v>1</v>
      </c>
      <c r="Q30" s="79">
        <v>1</v>
      </c>
      <c r="R30" s="79">
        <v>3</v>
      </c>
      <c r="S30" s="79">
        <v>3</v>
      </c>
      <c r="T30" s="79">
        <v>2</v>
      </c>
      <c r="U30" s="79">
        <v>1</v>
      </c>
      <c r="V30" s="79">
        <v>3</v>
      </c>
      <c r="W30" s="79">
        <v>1</v>
      </c>
      <c r="X30" s="79"/>
      <c r="Y30" s="79"/>
      <c r="Z30" s="79"/>
      <c r="AA30" s="79"/>
      <c r="AB30" s="79"/>
      <c r="AC30" s="79"/>
      <c r="AD30" s="79"/>
      <c r="AE30" s="79"/>
      <c r="AF30" s="79"/>
      <c r="AG30" s="79"/>
      <c r="AH30" s="79"/>
      <c r="AI30" s="79"/>
      <c r="AJ30" s="79"/>
      <c r="AK30" s="80" t="str">
        <f>IF($B30="","",IFERROR(INDEX(Dashboard!$O$10:$O$69,MATCH($B30,Dashboard!$C$10:$C$69,0)),""))</f>
        <v/>
      </c>
    </row>
    <row r="31" spans="2:37" x14ac:dyDescent="0.25">
      <c r="B31" s="4" t="s">
        <v>477</v>
      </c>
      <c r="C31" s="77">
        <v>9</v>
      </c>
      <c r="D31" s="78">
        <f t="shared" si="0"/>
        <v>8</v>
      </c>
      <c r="E31" s="62" t="str">
        <f t="shared" si="1"/>
        <v>🟠 MEDIUM</v>
      </c>
      <c r="F31" s="79"/>
      <c r="G31" s="79">
        <v>3</v>
      </c>
      <c r="H31" s="79"/>
      <c r="I31" s="79"/>
      <c r="J31" s="79"/>
      <c r="K31" s="79"/>
      <c r="L31" s="79"/>
      <c r="M31" s="79"/>
      <c r="N31" s="79"/>
      <c r="O31" s="79"/>
      <c r="P31" s="79"/>
      <c r="Q31" s="79"/>
      <c r="R31" s="79"/>
      <c r="S31" s="79"/>
      <c r="T31" s="79"/>
      <c r="U31" s="79"/>
      <c r="V31" s="79"/>
      <c r="W31" s="79">
        <v>2</v>
      </c>
      <c r="X31" s="79"/>
      <c r="Y31" s="79"/>
      <c r="Z31" s="79"/>
      <c r="AA31" s="79"/>
      <c r="AB31" s="79">
        <v>2</v>
      </c>
      <c r="AC31" s="79"/>
      <c r="AD31" s="79"/>
      <c r="AE31" s="79"/>
      <c r="AF31" s="79"/>
      <c r="AG31" s="79"/>
      <c r="AH31" s="79"/>
      <c r="AI31" s="79"/>
      <c r="AJ31" s="79">
        <v>1</v>
      </c>
      <c r="AK31" s="80">
        <f>IF($B31="","",IFERROR(INDEX(Dashboard!$O$10:$O$69,MATCH($B31,Dashboard!$C$10:$C$69,0)),""))</f>
        <v>0</v>
      </c>
    </row>
    <row r="32" spans="2:37" x14ac:dyDescent="0.25">
      <c r="B32" s="4" t="s">
        <v>478</v>
      </c>
      <c r="C32" s="77">
        <v>14</v>
      </c>
      <c r="D32" s="78">
        <f t="shared" si="0"/>
        <v>13</v>
      </c>
      <c r="E32" s="62" t="str">
        <f t="shared" si="1"/>
        <v>🟠 MEDIUM</v>
      </c>
      <c r="F32" s="79"/>
      <c r="G32" s="79"/>
      <c r="H32" s="79">
        <v>1</v>
      </c>
      <c r="I32" s="79"/>
      <c r="J32" s="79">
        <v>3</v>
      </c>
      <c r="K32" s="79"/>
      <c r="L32" s="79"/>
      <c r="M32" s="79"/>
      <c r="N32" s="79"/>
      <c r="O32" s="79">
        <v>1</v>
      </c>
      <c r="P32" s="79">
        <v>1</v>
      </c>
      <c r="Q32" s="79"/>
      <c r="R32" s="79"/>
      <c r="S32" s="79"/>
      <c r="T32" s="79">
        <v>1</v>
      </c>
      <c r="U32" s="79">
        <v>3</v>
      </c>
      <c r="V32" s="79"/>
      <c r="W32" s="79"/>
      <c r="X32" s="79"/>
      <c r="Y32" s="79"/>
      <c r="Z32" s="79"/>
      <c r="AA32" s="79">
        <v>1</v>
      </c>
      <c r="AB32" s="79"/>
      <c r="AC32" s="79"/>
      <c r="AD32" s="79">
        <v>1</v>
      </c>
      <c r="AE32" s="79"/>
      <c r="AF32" s="79"/>
      <c r="AG32" s="79"/>
      <c r="AH32" s="79"/>
      <c r="AI32" s="79"/>
      <c r="AJ32" s="79">
        <v>1</v>
      </c>
      <c r="AK32" s="80">
        <f>IF($B32="","",IFERROR(INDEX(Dashboard!$O$10:$O$69,MATCH($B32,Dashboard!$C$10:$C$69,0)),""))</f>
        <v>0</v>
      </c>
    </row>
    <row r="33" spans="2:37" x14ac:dyDescent="0.25">
      <c r="B33" s="4" t="s">
        <v>479</v>
      </c>
      <c r="C33" s="77">
        <v>23</v>
      </c>
      <c r="D33" s="78">
        <f t="shared" si="0"/>
        <v>22</v>
      </c>
      <c r="E33" s="62" t="str">
        <f t="shared" si="1"/>
        <v>🔴 HIGH</v>
      </c>
      <c r="F33" s="79"/>
      <c r="G33" s="79"/>
      <c r="H33" s="79">
        <v>3</v>
      </c>
      <c r="I33" s="79">
        <v>1</v>
      </c>
      <c r="J33" s="79">
        <v>1</v>
      </c>
      <c r="K33" s="79"/>
      <c r="L33" s="79"/>
      <c r="M33" s="79"/>
      <c r="N33" s="79"/>
      <c r="O33" s="79">
        <v>2</v>
      </c>
      <c r="P33" s="79">
        <v>3</v>
      </c>
      <c r="Q33" s="79"/>
      <c r="R33" s="79"/>
      <c r="S33" s="79"/>
      <c r="T33" s="79"/>
      <c r="U33" s="79"/>
      <c r="V33" s="79">
        <v>2</v>
      </c>
      <c r="W33" s="79"/>
      <c r="X33" s="79">
        <v>1</v>
      </c>
      <c r="Y33" s="79">
        <v>2</v>
      </c>
      <c r="Z33" s="79">
        <v>1</v>
      </c>
      <c r="AA33" s="79">
        <v>2</v>
      </c>
      <c r="AB33" s="79">
        <v>3</v>
      </c>
      <c r="AC33" s="79">
        <v>1</v>
      </c>
      <c r="AD33" s="79"/>
      <c r="AE33" s="79"/>
      <c r="AF33" s="79"/>
      <c r="AG33" s="79"/>
      <c r="AH33" s="79"/>
      <c r="AI33" s="79"/>
      <c r="AJ33" s="79"/>
      <c r="AK33" s="80" t="str">
        <f>IF($B33="","",IFERROR(INDEX(Dashboard!$O$10:$O$69,MATCH($B33,Dashboard!$C$10:$C$69,0)),""))</f>
        <v/>
      </c>
    </row>
    <row r="34" spans="2:37" x14ac:dyDescent="0.25">
      <c r="B34" s="4" t="s">
        <v>480</v>
      </c>
      <c r="C34" s="77">
        <v>1</v>
      </c>
      <c r="D34" s="78">
        <f t="shared" si="0"/>
        <v>1</v>
      </c>
      <c r="E34" s="62" t="str">
        <f t="shared" si="1"/>
        <v>🟢 LOW</v>
      </c>
      <c r="F34" s="79"/>
      <c r="G34" s="79"/>
      <c r="H34" s="79"/>
      <c r="I34" s="79"/>
      <c r="J34" s="79">
        <v>1</v>
      </c>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80" t="str">
        <f>IF($B34="","",IFERROR(INDEX(Dashboard!$O$10:$O$69,MATCH($B34,Dashboard!$C$10:$C$69,0)),""))</f>
        <v/>
      </c>
    </row>
    <row r="35" spans="2:37" x14ac:dyDescent="0.25">
      <c r="B35" s="4" t="s">
        <v>481</v>
      </c>
      <c r="C35" s="77">
        <v>9</v>
      </c>
      <c r="D35" s="78">
        <f t="shared" si="0"/>
        <v>8</v>
      </c>
      <c r="E35" s="62" t="str">
        <f t="shared" si="1"/>
        <v>🟠 MEDIUM</v>
      </c>
      <c r="F35" s="79">
        <v>1</v>
      </c>
      <c r="G35" s="79"/>
      <c r="H35" s="79"/>
      <c r="I35" s="79">
        <v>1</v>
      </c>
      <c r="J35" s="79">
        <v>2</v>
      </c>
      <c r="K35" s="79">
        <v>1</v>
      </c>
      <c r="L35" s="79">
        <v>1</v>
      </c>
      <c r="M35" s="79"/>
      <c r="N35" s="79"/>
      <c r="O35" s="79"/>
      <c r="P35" s="79"/>
      <c r="Q35" s="79"/>
      <c r="R35" s="79"/>
      <c r="S35" s="79"/>
      <c r="T35" s="79"/>
      <c r="U35" s="79"/>
      <c r="V35" s="79"/>
      <c r="W35" s="79"/>
      <c r="X35" s="79"/>
      <c r="Y35" s="79"/>
      <c r="Z35" s="79"/>
      <c r="AA35" s="79">
        <v>1</v>
      </c>
      <c r="AB35" s="79"/>
      <c r="AC35" s="79">
        <v>1</v>
      </c>
      <c r="AD35" s="79"/>
      <c r="AE35" s="79"/>
      <c r="AF35" s="79"/>
      <c r="AG35" s="79"/>
      <c r="AH35" s="79"/>
      <c r="AI35" s="79"/>
      <c r="AJ35" s="79"/>
      <c r="AK35" s="80">
        <f>IF($B35="","",IFERROR(INDEX(Dashboard!$O$10:$O$69,MATCH($B35,Dashboard!$C$10:$C$69,0)),""))</f>
        <v>0</v>
      </c>
    </row>
    <row r="36" spans="2:37" x14ac:dyDescent="0.25">
      <c r="B36" s="4" t="s">
        <v>482</v>
      </c>
      <c r="C36" s="77">
        <v>27</v>
      </c>
      <c r="D36" s="78">
        <f t="shared" si="0"/>
        <v>23</v>
      </c>
      <c r="E36" s="62" t="str">
        <f t="shared" si="1"/>
        <v>🔴 HIGH</v>
      </c>
      <c r="F36" s="79"/>
      <c r="G36" s="79">
        <v>4</v>
      </c>
      <c r="H36" s="79"/>
      <c r="I36" s="79">
        <v>1</v>
      </c>
      <c r="J36" s="79">
        <v>5</v>
      </c>
      <c r="K36" s="79"/>
      <c r="L36" s="79"/>
      <c r="M36" s="79">
        <v>1</v>
      </c>
      <c r="N36" s="79"/>
      <c r="O36" s="79"/>
      <c r="P36" s="79">
        <v>1</v>
      </c>
      <c r="Q36" s="79"/>
      <c r="R36" s="79"/>
      <c r="S36" s="79">
        <v>1</v>
      </c>
      <c r="T36" s="79">
        <v>1</v>
      </c>
      <c r="U36" s="79"/>
      <c r="V36" s="79">
        <v>1</v>
      </c>
      <c r="W36" s="79"/>
      <c r="X36" s="79"/>
      <c r="Y36" s="79">
        <v>1</v>
      </c>
      <c r="Z36" s="79">
        <v>2</v>
      </c>
      <c r="AA36" s="79"/>
      <c r="AB36" s="79">
        <v>1</v>
      </c>
      <c r="AC36" s="79"/>
      <c r="AD36" s="79"/>
      <c r="AE36" s="79">
        <v>2</v>
      </c>
      <c r="AF36" s="79">
        <v>1</v>
      </c>
      <c r="AG36" s="79"/>
      <c r="AH36" s="79"/>
      <c r="AI36" s="79"/>
      <c r="AJ36" s="79">
        <v>1</v>
      </c>
      <c r="AK36" s="80">
        <f>IF($B36="","",IFERROR(INDEX(Dashboard!$O$10:$O$69,MATCH($B36,Dashboard!$C$10:$C$69,0)),""))</f>
        <v>0</v>
      </c>
    </row>
    <row r="37" spans="2:37" x14ac:dyDescent="0.25">
      <c r="B37" s="4" t="s">
        <v>125</v>
      </c>
      <c r="C37" s="77">
        <v>9</v>
      </c>
      <c r="D37" s="78">
        <f t="shared" si="0"/>
        <v>8</v>
      </c>
      <c r="E37" s="62" t="str">
        <f t="shared" si="1"/>
        <v>🟠 MEDIUM</v>
      </c>
      <c r="F37" s="79"/>
      <c r="G37" s="79">
        <v>3</v>
      </c>
      <c r="H37" s="79">
        <v>3</v>
      </c>
      <c r="I37" s="79">
        <v>1</v>
      </c>
      <c r="J37" s="79"/>
      <c r="K37" s="79"/>
      <c r="L37" s="79"/>
      <c r="M37" s="79"/>
      <c r="N37" s="79"/>
      <c r="O37" s="79"/>
      <c r="P37" s="79"/>
      <c r="Q37" s="79"/>
      <c r="R37" s="79"/>
      <c r="S37" s="79">
        <v>1</v>
      </c>
      <c r="T37" s="79"/>
      <c r="U37" s="79"/>
      <c r="V37" s="79"/>
      <c r="W37" s="79"/>
      <c r="X37" s="79"/>
      <c r="Y37" s="79"/>
      <c r="Z37" s="79"/>
      <c r="AA37" s="79"/>
      <c r="AB37" s="79"/>
      <c r="AC37" s="79"/>
      <c r="AD37" s="79"/>
      <c r="AE37" s="79"/>
      <c r="AF37" s="79"/>
      <c r="AG37" s="79"/>
      <c r="AH37" s="79"/>
      <c r="AI37" s="79"/>
      <c r="AJ37" s="79"/>
      <c r="AK37" s="80">
        <f>IF($B37="","",IFERROR(INDEX(Dashboard!$O$10:$O$69,MATCH($B37,Dashboard!$C$10:$C$69,0)),""))</f>
        <v>0</v>
      </c>
    </row>
    <row r="38" spans="2:37" x14ac:dyDescent="0.25">
      <c r="B38" s="4" t="s">
        <v>483</v>
      </c>
      <c r="C38" s="77">
        <v>7</v>
      </c>
      <c r="D38" s="78">
        <f t="shared" ref="D38:D60" si="2">IF($B38="","",SUM(F38:AK38))</f>
        <v>7</v>
      </c>
      <c r="E38" s="62" t="str">
        <f t="shared" ref="E38:E60" si="3">IF($B38="","",IF($D38&gt;=15,"🔴 HIGH",IF($D38&gt;=6,"🟠 MEDIUM","🟢 LOW")))</f>
        <v>🟠 MEDIUM</v>
      </c>
      <c r="F38" s="79"/>
      <c r="G38" s="79"/>
      <c r="H38" s="79"/>
      <c r="I38" s="79">
        <v>2</v>
      </c>
      <c r="J38" s="79"/>
      <c r="K38" s="79"/>
      <c r="L38" s="79">
        <v>1</v>
      </c>
      <c r="M38" s="79"/>
      <c r="N38" s="79"/>
      <c r="O38" s="79"/>
      <c r="P38" s="79"/>
      <c r="Q38" s="79"/>
      <c r="R38" s="79"/>
      <c r="S38" s="79"/>
      <c r="T38" s="79"/>
      <c r="U38" s="79"/>
      <c r="V38" s="79"/>
      <c r="W38" s="79"/>
      <c r="X38" s="79"/>
      <c r="Y38" s="79"/>
      <c r="Z38" s="79"/>
      <c r="AA38" s="79">
        <v>1</v>
      </c>
      <c r="AB38" s="79">
        <v>1</v>
      </c>
      <c r="AC38" s="79"/>
      <c r="AD38" s="79">
        <v>1</v>
      </c>
      <c r="AE38" s="79"/>
      <c r="AF38" s="79">
        <v>1</v>
      </c>
      <c r="AG38" s="79"/>
      <c r="AH38" s="79"/>
      <c r="AI38" s="79"/>
      <c r="AJ38" s="79"/>
      <c r="AK38" s="80">
        <f>IF($B38="","",IFERROR(INDEX(Dashboard!$O$10:$O$69,MATCH($B38,Dashboard!$C$10:$C$69,0)),""))</f>
        <v>0</v>
      </c>
    </row>
    <row r="39" spans="2:37" x14ac:dyDescent="0.25">
      <c r="B39" s="4" t="s">
        <v>484</v>
      </c>
      <c r="C39" s="77">
        <v>2</v>
      </c>
      <c r="D39" s="78">
        <f t="shared" si="2"/>
        <v>1</v>
      </c>
      <c r="E39" s="62" t="str">
        <f t="shared" si="3"/>
        <v>🟢 LOW</v>
      </c>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v>1</v>
      </c>
      <c r="AE39" s="79"/>
      <c r="AF39" s="79"/>
      <c r="AG39" s="79"/>
      <c r="AH39" s="79"/>
      <c r="AI39" s="79"/>
      <c r="AJ39" s="79"/>
      <c r="AK39" s="80">
        <f>IF($B39="","",IFERROR(INDEX(Dashboard!$O$10:$O$69,MATCH($B39,Dashboard!$C$10:$C$69,0)),""))</f>
        <v>0</v>
      </c>
    </row>
    <row r="40" spans="2:37" x14ac:dyDescent="0.25">
      <c r="B40" s="4" t="s">
        <v>485</v>
      </c>
      <c r="C40" s="77">
        <v>6</v>
      </c>
      <c r="D40" s="78">
        <f t="shared" si="2"/>
        <v>5</v>
      </c>
      <c r="E40" s="62" t="str">
        <f t="shared" si="3"/>
        <v>🟢 LOW</v>
      </c>
      <c r="F40" s="79"/>
      <c r="G40" s="79">
        <v>1</v>
      </c>
      <c r="H40" s="79">
        <v>1</v>
      </c>
      <c r="I40" s="79"/>
      <c r="J40" s="79"/>
      <c r="K40" s="79"/>
      <c r="L40" s="79">
        <v>1</v>
      </c>
      <c r="M40" s="79"/>
      <c r="N40" s="79"/>
      <c r="O40" s="79"/>
      <c r="P40" s="79">
        <v>1</v>
      </c>
      <c r="Q40" s="79"/>
      <c r="R40" s="79"/>
      <c r="S40" s="79"/>
      <c r="T40" s="79"/>
      <c r="U40" s="79"/>
      <c r="V40" s="79"/>
      <c r="W40" s="79">
        <v>1</v>
      </c>
      <c r="X40" s="79"/>
      <c r="Y40" s="79"/>
      <c r="Z40" s="79"/>
      <c r="AA40" s="79"/>
      <c r="AB40" s="79"/>
      <c r="AC40" s="79"/>
      <c r="AD40" s="79"/>
      <c r="AE40" s="79"/>
      <c r="AF40" s="79"/>
      <c r="AG40" s="79"/>
      <c r="AH40" s="79"/>
      <c r="AI40" s="79"/>
      <c r="AJ40" s="79"/>
      <c r="AK40" s="80" t="str">
        <f>IF($B40="","",IFERROR(INDEX(Dashboard!$O$10:$O$69,MATCH($B40,Dashboard!$C$10:$C$69,0)),""))</f>
        <v/>
      </c>
    </row>
    <row r="41" spans="2:37" x14ac:dyDescent="0.25">
      <c r="B41" s="4" t="s">
        <v>126</v>
      </c>
      <c r="C41" s="77">
        <v>6</v>
      </c>
      <c r="D41" s="78">
        <f t="shared" si="2"/>
        <v>6</v>
      </c>
      <c r="E41" s="62" t="str">
        <f t="shared" si="3"/>
        <v>🟠 MEDIUM</v>
      </c>
      <c r="F41" s="79"/>
      <c r="G41" s="79">
        <v>3</v>
      </c>
      <c r="H41" s="79"/>
      <c r="I41" s="79"/>
      <c r="J41" s="79"/>
      <c r="K41" s="79"/>
      <c r="L41" s="79"/>
      <c r="M41" s="79"/>
      <c r="N41" s="79"/>
      <c r="O41" s="79"/>
      <c r="P41" s="79">
        <v>1</v>
      </c>
      <c r="Q41" s="79"/>
      <c r="R41" s="79"/>
      <c r="S41" s="79"/>
      <c r="T41" s="79"/>
      <c r="U41" s="79"/>
      <c r="V41" s="79"/>
      <c r="W41" s="79"/>
      <c r="X41" s="79"/>
      <c r="Y41" s="79"/>
      <c r="Z41" s="79">
        <v>1</v>
      </c>
      <c r="AA41" s="79"/>
      <c r="AB41" s="79">
        <v>1</v>
      </c>
      <c r="AC41" s="79"/>
      <c r="AD41" s="79"/>
      <c r="AE41" s="79"/>
      <c r="AF41" s="79"/>
      <c r="AG41" s="79"/>
      <c r="AH41" s="79"/>
      <c r="AI41" s="79"/>
      <c r="AJ41" s="79"/>
      <c r="AK41" s="80">
        <f>IF($B41="","",IFERROR(INDEX(Dashboard!$O$10:$O$69,MATCH($B41,Dashboard!$C$10:$C$69,0)),""))</f>
        <v>0</v>
      </c>
    </row>
    <row r="42" spans="2:37" x14ac:dyDescent="0.25">
      <c r="B42" s="4" t="s">
        <v>127</v>
      </c>
      <c r="C42" s="77">
        <v>1</v>
      </c>
      <c r="D42" s="78">
        <f t="shared" si="2"/>
        <v>0</v>
      </c>
      <c r="E42" s="62" t="str">
        <f t="shared" si="3"/>
        <v>🟢 LOW</v>
      </c>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80">
        <f>IF($B42="","",IFERROR(INDEX(Dashboard!$O$10:$O$69,MATCH($B42,Dashboard!$C$10:$C$69,0)),""))</f>
        <v>0</v>
      </c>
    </row>
    <row r="43" spans="2:37" x14ac:dyDescent="0.25">
      <c r="B43" s="4" t="s">
        <v>486</v>
      </c>
      <c r="C43" s="77"/>
      <c r="D43" s="78">
        <f t="shared" si="2"/>
        <v>0</v>
      </c>
      <c r="E43" s="62" t="str">
        <f t="shared" si="3"/>
        <v>🟢 LOW</v>
      </c>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80" t="str">
        <f>IF($B43="","",IFERROR(INDEX(Dashboard!$O$10:$O$69,MATCH($B43,Dashboard!$C$10:$C$69,0)),""))</f>
        <v/>
      </c>
    </row>
    <row r="44" spans="2:37" x14ac:dyDescent="0.25">
      <c r="B44" s="4" t="s">
        <v>487</v>
      </c>
      <c r="C44" s="77">
        <v>5</v>
      </c>
      <c r="D44" s="78">
        <f t="shared" si="2"/>
        <v>4</v>
      </c>
      <c r="E44" s="62" t="str">
        <f t="shared" si="3"/>
        <v>🟢 LOW</v>
      </c>
      <c r="F44" s="79"/>
      <c r="G44" s="79"/>
      <c r="H44" s="79">
        <v>1</v>
      </c>
      <c r="I44" s="79"/>
      <c r="J44" s="79">
        <v>1</v>
      </c>
      <c r="K44" s="79"/>
      <c r="L44" s="79">
        <v>2</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80">
        <f>IF($B44="","",IFERROR(INDEX(Dashboard!$O$10:$O$69,MATCH($B44,Dashboard!$C$10:$C$69,0)),""))</f>
        <v>0</v>
      </c>
    </row>
    <row r="45" spans="2:37" x14ac:dyDescent="0.25">
      <c r="B45" s="4" t="s">
        <v>488</v>
      </c>
      <c r="C45" s="77">
        <v>5</v>
      </c>
      <c r="D45" s="78">
        <f t="shared" si="2"/>
        <v>4</v>
      </c>
      <c r="E45" s="62" t="str">
        <f t="shared" si="3"/>
        <v>🟢 LOW</v>
      </c>
      <c r="F45" s="79"/>
      <c r="G45" s="79"/>
      <c r="H45" s="79">
        <v>1</v>
      </c>
      <c r="I45" s="79"/>
      <c r="J45" s="79">
        <v>1</v>
      </c>
      <c r="K45" s="79">
        <v>1</v>
      </c>
      <c r="L45" s="79"/>
      <c r="M45" s="79"/>
      <c r="N45" s="79"/>
      <c r="O45" s="79"/>
      <c r="P45" s="79"/>
      <c r="Q45" s="79"/>
      <c r="R45" s="79"/>
      <c r="S45" s="79"/>
      <c r="T45" s="79"/>
      <c r="U45" s="79"/>
      <c r="V45" s="79"/>
      <c r="W45" s="79"/>
      <c r="X45" s="79">
        <v>1</v>
      </c>
      <c r="Y45" s="79"/>
      <c r="Z45" s="79"/>
      <c r="AA45" s="79"/>
      <c r="AB45" s="79"/>
      <c r="AC45" s="79"/>
      <c r="AD45" s="79"/>
      <c r="AE45" s="79"/>
      <c r="AF45" s="79"/>
      <c r="AG45" s="79"/>
      <c r="AH45" s="79"/>
      <c r="AI45" s="79"/>
      <c r="AJ45" s="79"/>
      <c r="AK45" s="80">
        <f>IF($B45="","",IFERROR(INDEX(Dashboard!$O$10:$O$69,MATCH($B45,Dashboard!$C$10:$C$69,0)),""))</f>
        <v>0</v>
      </c>
    </row>
    <row r="46" spans="2:37" x14ac:dyDescent="0.25">
      <c r="B46" s="4" t="s">
        <v>489</v>
      </c>
      <c r="C46" s="77">
        <v>9</v>
      </c>
      <c r="D46" s="78">
        <f t="shared" si="2"/>
        <v>7</v>
      </c>
      <c r="E46" s="62" t="str">
        <f t="shared" si="3"/>
        <v>🟠 MEDIUM</v>
      </c>
      <c r="F46" s="79"/>
      <c r="G46" s="79"/>
      <c r="H46" s="79">
        <v>2</v>
      </c>
      <c r="I46" s="79"/>
      <c r="J46" s="79"/>
      <c r="K46" s="79"/>
      <c r="L46" s="79"/>
      <c r="M46" s="79">
        <v>1</v>
      </c>
      <c r="N46" s="79">
        <v>1</v>
      </c>
      <c r="O46" s="79"/>
      <c r="P46" s="79"/>
      <c r="Q46" s="79"/>
      <c r="R46" s="79"/>
      <c r="S46" s="79"/>
      <c r="T46" s="79"/>
      <c r="U46" s="79"/>
      <c r="V46" s="79"/>
      <c r="W46" s="79"/>
      <c r="X46" s="79"/>
      <c r="Y46" s="79"/>
      <c r="Z46" s="79"/>
      <c r="AA46" s="79">
        <v>1</v>
      </c>
      <c r="AB46" s="79">
        <v>1</v>
      </c>
      <c r="AC46" s="79"/>
      <c r="AD46" s="79">
        <v>1</v>
      </c>
      <c r="AE46" s="79"/>
      <c r="AF46" s="79"/>
      <c r="AG46" s="79"/>
      <c r="AH46" s="79"/>
      <c r="AI46" s="79"/>
      <c r="AJ46" s="79"/>
      <c r="AK46" s="80">
        <f>IF($B46="","",IFERROR(INDEX(Dashboard!$O$10:$O$69,MATCH($B46,Dashboard!$C$10:$C$69,0)),""))</f>
        <v>0</v>
      </c>
    </row>
    <row r="47" spans="2:37" x14ac:dyDescent="0.25">
      <c r="B47" s="4" t="s">
        <v>490</v>
      </c>
      <c r="C47" s="77">
        <v>3</v>
      </c>
      <c r="D47" s="78">
        <f t="shared" si="2"/>
        <v>2</v>
      </c>
      <c r="E47" s="62" t="str">
        <f t="shared" si="3"/>
        <v>🟢 LOW</v>
      </c>
      <c r="F47" s="79"/>
      <c r="G47" s="79"/>
      <c r="H47" s="79">
        <v>2</v>
      </c>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80" t="str">
        <f>IF($B47="","",IFERROR(INDEX(Dashboard!$O$10:$O$69,MATCH($B47,Dashboard!$C$10:$C$69,0)),""))</f>
        <v/>
      </c>
    </row>
    <row r="48" spans="2:37" x14ac:dyDescent="0.25">
      <c r="B48" s="4" t="s">
        <v>491</v>
      </c>
      <c r="C48" s="77">
        <v>12</v>
      </c>
      <c r="D48" s="78">
        <f t="shared" si="2"/>
        <v>11</v>
      </c>
      <c r="E48" s="62" t="str">
        <f t="shared" si="3"/>
        <v>🟠 MEDIUM</v>
      </c>
      <c r="F48" s="79"/>
      <c r="G48" s="79"/>
      <c r="H48" s="79"/>
      <c r="I48" s="79">
        <v>3</v>
      </c>
      <c r="J48" s="79"/>
      <c r="K48" s="79"/>
      <c r="L48" s="79"/>
      <c r="M48" s="79"/>
      <c r="N48" s="79"/>
      <c r="O48" s="79"/>
      <c r="P48" s="79"/>
      <c r="Q48" s="79"/>
      <c r="R48" s="79"/>
      <c r="S48" s="79"/>
      <c r="T48" s="79"/>
      <c r="U48" s="79">
        <v>1</v>
      </c>
      <c r="V48" s="79">
        <v>2</v>
      </c>
      <c r="W48" s="79">
        <v>1</v>
      </c>
      <c r="X48" s="79"/>
      <c r="Y48" s="79"/>
      <c r="Z48" s="79"/>
      <c r="AA48" s="79">
        <v>1</v>
      </c>
      <c r="AB48" s="79"/>
      <c r="AC48" s="79">
        <v>2</v>
      </c>
      <c r="AD48" s="79">
        <v>1</v>
      </c>
      <c r="AE48" s="79"/>
      <c r="AF48" s="79"/>
      <c r="AG48" s="79"/>
      <c r="AH48" s="79"/>
      <c r="AI48" s="79"/>
      <c r="AJ48" s="79"/>
      <c r="AK48" s="80">
        <f>IF($B48="","",IFERROR(INDEX(Dashboard!$O$10:$O$69,MATCH($B48,Dashboard!$C$10:$C$69,0)),""))</f>
        <v>0</v>
      </c>
    </row>
    <row r="49" spans="2:37" x14ac:dyDescent="0.25">
      <c r="B49" s="4" t="s">
        <v>492</v>
      </c>
      <c r="C49" s="77">
        <v>3</v>
      </c>
      <c r="D49" s="78">
        <f t="shared" si="2"/>
        <v>3</v>
      </c>
      <c r="E49" s="62" t="str">
        <f t="shared" si="3"/>
        <v>🟢 LOW</v>
      </c>
      <c r="F49" s="79"/>
      <c r="G49" s="79"/>
      <c r="H49" s="79"/>
      <c r="I49" s="79">
        <v>1</v>
      </c>
      <c r="J49" s="79">
        <v>2</v>
      </c>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80" t="str">
        <f>IF($B49="","",IFERROR(INDEX(Dashboard!$O$10:$O$69,MATCH($B49,Dashboard!$C$10:$C$69,0)),""))</f>
        <v/>
      </c>
    </row>
    <row r="50" spans="2:37" x14ac:dyDescent="0.25">
      <c r="B50" s="4" t="s">
        <v>493</v>
      </c>
      <c r="C50" s="77">
        <v>5</v>
      </c>
      <c r="D50" s="78">
        <f t="shared" si="2"/>
        <v>4</v>
      </c>
      <c r="E50" s="62" t="str">
        <f t="shared" si="3"/>
        <v>🟢 LOW</v>
      </c>
      <c r="F50" s="79"/>
      <c r="G50" s="79"/>
      <c r="H50" s="79"/>
      <c r="I50" s="79">
        <v>1</v>
      </c>
      <c r="J50" s="79"/>
      <c r="K50" s="79">
        <v>1</v>
      </c>
      <c r="L50" s="79"/>
      <c r="M50" s="79"/>
      <c r="N50" s="79"/>
      <c r="O50" s="79"/>
      <c r="P50" s="79"/>
      <c r="Q50" s="79"/>
      <c r="R50" s="79"/>
      <c r="S50" s="79"/>
      <c r="T50" s="79"/>
      <c r="U50" s="79"/>
      <c r="V50" s="79"/>
      <c r="W50" s="79"/>
      <c r="X50" s="79"/>
      <c r="Y50" s="79"/>
      <c r="Z50" s="79"/>
      <c r="AA50" s="79">
        <v>1</v>
      </c>
      <c r="AB50" s="79">
        <v>1</v>
      </c>
      <c r="AC50" s="79"/>
      <c r="AD50" s="79"/>
      <c r="AE50" s="79"/>
      <c r="AF50" s="79"/>
      <c r="AG50" s="79"/>
      <c r="AH50" s="79"/>
      <c r="AI50" s="79"/>
      <c r="AJ50" s="79"/>
      <c r="AK50" s="80">
        <f>IF($B50="","",IFERROR(INDEX(Dashboard!$O$10:$O$69,MATCH($B50,Dashboard!$C$10:$C$69,0)),""))</f>
        <v>0</v>
      </c>
    </row>
    <row r="51" spans="2:37" x14ac:dyDescent="0.25">
      <c r="B51" s="4" t="s">
        <v>494</v>
      </c>
      <c r="C51" s="77">
        <v>6</v>
      </c>
      <c r="D51" s="78">
        <f t="shared" si="2"/>
        <v>5</v>
      </c>
      <c r="E51" s="62" t="str">
        <f t="shared" si="3"/>
        <v>🟢 LOW</v>
      </c>
      <c r="F51" s="79"/>
      <c r="G51" s="79"/>
      <c r="H51" s="79"/>
      <c r="I51" s="79"/>
      <c r="J51" s="79">
        <v>2</v>
      </c>
      <c r="K51" s="79">
        <v>2</v>
      </c>
      <c r="L51" s="79"/>
      <c r="M51" s="79"/>
      <c r="N51" s="79"/>
      <c r="O51" s="79"/>
      <c r="P51" s="79"/>
      <c r="Q51" s="79">
        <v>1</v>
      </c>
      <c r="R51" s="79"/>
      <c r="S51" s="79"/>
      <c r="T51" s="79"/>
      <c r="U51" s="79"/>
      <c r="V51" s="79"/>
      <c r="W51" s="79"/>
      <c r="X51" s="79"/>
      <c r="Y51" s="79"/>
      <c r="Z51" s="79"/>
      <c r="AA51" s="79"/>
      <c r="AB51" s="79"/>
      <c r="AC51" s="79"/>
      <c r="AD51" s="79"/>
      <c r="AE51" s="79"/>
      <c r="AF51" s="79"/>
      <c r="AG51" s="79"/>
      <c r="AH51" s="79"/>
      <c r="AI51" s="79"/>
      <c r="AJ51" s="79"/>
      <c r="AK51" s="80">
        <f>IF($B51="","",IFERROR(INDEX(Dashboard!$O$10:$O$69,MATCH($B51,Dashboard!$C$10:$C$69,0)),""))</f>
        <v>0</v>
      </c>
    </row>
    <row r="52" spans="2:37" x14ac:dyDescent="0.25">
      <c r="B52" s="4" t="s">
        <v>495</v>
      </c>
      <c r="C52" s="77">
        <v>1</v>
      </c>
      <c r="D52" s="78">
        <f t="shared" si="2"/>
        <v>1</v>
      </c>
      <c r="E52" s="62" t="str">
        <f t="shared" si="3"/>
        <v>🟢 LOW</v>
      </c>
      <c r="F52" s="79"/>
      <c r="G52" s="79"/>
      <c r="H52" s="79"/>
      <c r="I52" s="79"/>
      <c r="J52" s="79">
        <v>1</v>
      </c>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80" t="str">
        <f>IF($B52="","",IFERROR(INDEX(Dashboard!$O$10:$O$69,MATCH($B52,Dashboard!$C$10:$C$69,0)),""))</f>
        <v/>
      </c>
    </row>
    <row r="53" spans="2:37" x14ac:dyDescent="0.25">
      <c r="B53" s="4" t="s">
        <v>496</v>
      </c>
      <c r="C53" s="77">
        <v>7</v>
      </c>
      <c r="D53" s="78">
        <f t="shared" si="2"/>
        <v>8</v>
      </c>
      <c r="E53" s="62" t="str">
        <f t="shared" si="3"/>
        <v>🟠 MEDIUM</v>
      </c>
      <c r="F53" s="79"/>
      <c r="G53" s="79"/>
      <c r="H53" s="79"/>
      <c r="I53" s="79"/>
      <c r="J53" s="79"/>
      <c r="K53" s="79"/>
      <c r="L53" s="79">
        <v>1</v>
      </c>
      <c r="M53" s="79"/>
      <c r="N53" s="79"/>
      <c r="O53" s="79"/>
      <c r="P53" s="79"/>
      <c r="Q53" s="79">
        <v>1</v>
      </c>
      <c r="R53" s="79"/>
      <c r="S53" s="79"/>
      <c r="T53" s="79">
        <v>1</v>
      </c>
      <c r="U53" s="79"/>
      <c r="V53" s="79">
        <v>1</v>
      </c>
      <c r="W53" s="79"/>
      <c r="X53" s="79"/>
      <c r="Y53" s="79"/>
      <c r="Z53" s="79"/>
      <c r="AA53" s="79"/>
      <c r="AB53" s="79"/>
      <c r="AC53" s="79"/>
      <c r="AD53" s="79">
        <v>1</v>
      </c>
      <c r="AE53" s="79"/>
      <c r="AF53" s="79"/>
      <c r="AG53" s="79"/>
      <c r="AH53" s="79">
        <v>1</v>
      </c>
      <c r="AI53" s="79"/>
      <c r="AJ53" s="79"/>
      <c r="AK53" s="80">
        <f>IF($B53="","",IFERROR(INDEX(Dashboard!$O$10:$O$69,MATCH($B53,Dashboard!$C$10:$C$69,0)),""))</f>
        <v>2</v>
      </c>
    </row>
    <row r="54" spans="2:37" x14ac:dyDescent="0.25">
      <c r="B54" s="4" t="s">
        <v>497</v>
      </c>
      <c r="C54" s="77">
        <v>2</v>
      </c>
      <c r="D54" s="78">
        <f t="shared" si="2"/>
        <v>1</v>
      </c>
      <c r="E54" s="62" t="str">
        <f t="shared" si="3"/>
        <v>🟢 LOW</v>
      </c>
      <c r="F54" s="79"/>
      <c r="G54" s="79"/>
      <c r="H54" s="79"/>
      <c r="I54" s="79"/>
      <c r="J54" s="79"/>
      <c r="K54" s="79"/>
      <c r="L54" s="79">
        <v>1</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80" t="str">
        <f>IF($B54="","",IFERROR(INDEX(Dashboard!$O$10:$O$69,MATCH($B54,Dashboard!$C$10:$C$69,0)),""))</f>
        <v/>
      </c>
    </row>
    <row r="55" spans="2:37" x14ac:dyDescent="0.25">
      <c r="B55" s="4" t="s">
        <v>498</v>
      </c>
      <c r="C55" s="77">
        <v>1</v>
      </c>
      <c r="D55" s="78">
        <f t="shared" si="2"/>
        <v>1</v>
      </c>
      <c r="E55" s="62" t="str">
        <f t="shared" si="3"/>
        <v>🟢 LOW</v>
      </c>
      <c r="F55" s="79"/>
      <c r="G55" s="79"/>
      <c r="H55" s="79"/>
      <c r="I55" s="79"/>
      <c r="J55" s="79"/>
      <c r="K55" s="79"/>
      <c r="L55" s="79">
        <v>1</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80" t="str">
        <f>IF($B55="","",IFERROR(INDEX(Dashboard!$O$10:$O$69,MATCH($B55,Dashboard!$C$10:$C$69,0)),""))</f>
        <v/>
      </c>
    </row>
    <row r="56" spans="2:37" x14ac:dyDescent="0.25">
      <c r="B56" s="4" t="s">
        <v>499</v>
      </c>
      <c r="C56" s="77">
        <v>1</v>
      </c>
      <c r="D56" s="78">
        <f t="shared" si="2"/>
        <v>0</v>
      </c>
      <c r="E56" s="62" t="str">
        <f t="shared" si="3"/>
        <v>🟢 LOW</v>
      </c>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80" t="str">
        <f>IF($B56="","",IFERROR(INDEX(Dashboard!$O$10:$O$69,MATCH($B56,Dashboard!$C$10:$C$69,0)),""))</f>
        <v/>
      </c>
    </row>
    <row r="57" spans="2:37" x14ac:dyDescent="0.25">
      <c r="B57" s="4" t="s">
        <v>500</v>
      </c>
      <c r="C57" s="77">
        <v>1</v>
      </c>
      <c r="D57" s="78">
        <f t="shared" si="2"/>
        <v>1</v>
      </c>
      <c r="E57" s="62" t="str">
        <f t="shared" si="3"/>
        <v>🟢 LOW</v>
      </c>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80">
        <f>IF($B57="","",IFERROR(INDEX(Dashboard!$O$10:$O$69,MATCH($B57,Dashboard!$C$10:$C$69,0)),""))</f>
        <v>1</v>
      </c>
    </row>
    <row r="58" spans="2:37" x14ac:dyDescent="0.25">
      <c r="B58" s="4" t="s">
        <v>501</v>
      </c>
      <c r="C58" s="77">
        <v>4</v>
      </c>
      <c r="D58" s="78">
        <f t="shared" si="2"/>
        <v>3</v>
      </c>
      <c r="E58" s="62" t="str">
        <f t="shared" si="3"/>
        <v>🟢 LOW</v>
      </c>
      <c r="F58" s="79"/>
      <c r="G58" s="79"/>
      <c r="H58" s="79"/>
      <c r="I58" s="79"/>
      <c r="J58" s="79"/>
      <c r="K58" s="79"/>
      <c r="L58" s="79"/>
      <c r="M58" s="79"/>
      <c r="N58" s="79"/>
      <c r="O58" s="79"/>
      <c r="P58" s="79"/>
      <c r="Q58" s="79"/>
      <c r="R58" s="79"/>
      <c r="S58" s="79"/>
      <c r="T58" s="79"/>
      <c r="U58" s="79"/>
      <c r="V58" s="79"/>
      <c r="W58" s="79"/>
      <c r="X58" s="79"/>
      <c r="Y58" s="79"/>
      <c r="Z58" s="79"/>
      <c r="AA58" s="79"/>
      <c r="AB58" s="79">
        <v>1</v>
      </c>
      <c r="AC58" s="79"/>
      <c r="AD58" s="79"/>
      <c r="AE58" s="79"/>
      <c r="AF58" s="79"/>
      <c r="AG58" s="79">
        <v>1</v>
      </c>
      <c r="AH58" s="79"/>
      <c r="AI58" s="79">
        <v>1</v>
      </c>
      <c r="AJ58" s="79"/>
      <c r="AK58" s="80">
        <f>IF($B58="","",IFERROR(INDEX(Dashboard!$O$10:$O$69,MATCH($B58,Dashboard!$C$10:$C$69,0)),""))</f>
        <v>0</v>
      </c>
    </row>
    <row r="59" spans="2:37" x14ac:dyDescent="0.25">
      <c r="B59" s="4" t="s">
        <v>502</v>
      </c>
      <c r="C59" s="77">
        <v>4</v>
      </c>
      <c r="D59" s="78">
        <f t="shared" si="2"/>
        <v>3</v>
      </c>
      <c r="E59" s="62" t="str">
        <f t="shared" si="3"/>
        <v>🟢 LOW</v>
      </c>
      <c r="F59" s="79"/>
      <c r="G59" s="79"/>
      <c r="H59" s="79"/>
      <c r="I59" s="79"/>
      <c r="J59" s="79"/>
      <c r="K59" s="79"/>
      <c r="L59" s="79"/>
      <c r="M59" s="79"/>
      <c r="N59" s="79"/>
      <c r="O59" s="79"/>
      <c r="P59" s="79"/>
      <c r="Q59" s="79"/>
      <c r="R59" s="79">
        <v>1</v>
      </c>
      <c r="S59" s="79"/>
      <c r="T59" s="79"/>
      <c r="U59" s="79"/>
      <c r="V59" s="79"/>
      <c r="W59" s="79"/>
      <c r="X59" s="79"/>
      <c r="Y59" s="79"/>
      <c r="Z59" s="79"/>
      <c r="AA59" s="79"/>
      <c r="AB59" s="79"/>
      <c r="AC59" s="79">
        <v>1</v>
      </c>
      <c r="AD59" s="79"/>
      <c r="AE59" s="79"/>
      <c r="AF59" s="79"/>
      <c r="AG59" s="79"/>
      <c r="AH59" s="79">
        <v>1</v>
      </c>
      <c r="AI59" s="79"/>
      <c r="AJ59" s="79"/>
      <c r="AK59" s="80">
        <f>IF($B59="","",IFERROR(INDEX(Dashboard!$O$10:$O$69,MATCH($B59,Dashboard!$C$10:$C$69,0)),""))</f>
        <v>0</v>
      </c>
    </row>
    <row r="60" spans="2:37" x14ac:dyDescent="0.25">
      <c r="B60" s="4" t="s">
        <v>503</v>
      </c>
      <c r="C60" s="77">
        <v>1</v>
      </c>
      <c r="D60" s="78">
        <f t="shared" si="2"/>
        <v>0</v>
      </c>
      <c r="E60" s="62" t="str">
        <f t="shared" si="3"/>
        <v>🟢 LOW</v>
      </c>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80">
        <f>IF($B60="","",IFERROR(INDEX(Dashboard!$O$10:$O$69,MATCH($B60,Dashboard!$C$10:$C$69,0)),""))</f>
        <v>0</v>
      </c>
    </row>
    <row r="61" spans="2:37" x14ac:dyDescent="0.25">
      <c r="B61" s="57" t="s">
        <v>504</v>
      </c>
      <c r="C61" s="58">
        <f>SUM(C6:C60)</f>
        <v>426</v>
      </c>
      <c r="D61" s="58">
        <f>SUM(D6:D60)</f>
        <v>379</v>
      </c>
      <c r="E61" s="61"/>
      <c r="F61" s="58">
        <f t="shared" ref="F61:AK61" si="4">SUM(F6:F60)</f>
        <v>4</v>
      </c>
      <c r="G61" s="58">
        <f t="shared" si="4"/>
        <v>34</v>
      </c>
      <c r="H61" s="58">
        <f t="shared" si="4"/>
        <v>26</v>
      </c>
      <c r="I61" s="58">
        <f t="shared" si="4"/>
        <v>23</v>
      </c>
      <c r="J61" s="58">
        <f t="shared" si="4"/>
        <v>38</v>
      </c>
      <c r="K61" s="58">
        <f t="shared" si="4"/>
        <v>7</v>
      </c>
      <c r="L61" s="58">
        <f t="shared" si="4"/>
        <v>31</v>
      </c>
      <c r="M61" s="58">
        <f t="shared" si="4"/>
        <v>4</v>
      </c>
      <c r="N61" s="58">
        <f t="shared" si="4"/>
        <v>4</v>
      </c>
      <c r="O61" s="58">
        <f t="shared" si="4"/>
        <v>8</v>
      </c>
      <c r="P61" s="58">
        <f t="shared" si="4"/>
        <v>11</v>
      </c>
      <c r="Q61" s="58">
        <f t="shared" si="4"/>
        <v>4</v>
      </c>
      <c r="R61" s="58">
        <f t="shared" si="4"/>
        <v>8</v>
      </c>
      <c r="S61" s="58">
        <f t="shared" si="4"/>
        <v>12</v>
      </c>
      <c r="T61" s="58">
        <f t="shared" si="4"/>
        <v>14</v>
      </c>
      <c r="U61" s="58">
        <f t="shared" si="4"/>
        <v>7</v>
      </c>
      <c r="V61" s="58">
        <f t="shared" si="4"/>
        <v>16</v>
      </c>
      <c r="W61" s="58">
        <f t="shared" si="4"/>
        <v>11</v>
      </c>
      <c r="X61" s="58">
        <f t="shared" si="4"/>
        <v>2</v>
      </c>
      <c r="Y61" s="58">
        <f t="shared" si="4"/>
        <v>7</v>
      </c>
      <c r="Z61" s="58">
        <f t="shared" si="4"/>
        <v>8</v>
      </c>
      <c r="AA61" s="58">
        <f t="shared" si="4"/>
        <v>17</v>
      </c>
      <c r="AB61" s="58">
        <f t="shared" si="4"/>
        <v>18</v>
      </c>
      <c r="AC61" s="58">
        <f t="shared" si="4"/>
        <v>5</v>
      </c>
      <c r="AD61" s="58">
        <f t="shared" si="4"/>
        <v>13</v>
      </c>
      <c r="AE61" s="58">
        <f t="shared" si="4"/>
        <v>7</v>
      </c>
      <c r="AF61" s="58">
        <f t="shared" si="4"/>
        <v>3</v>
      </c>
      <c r="AG61" s="58">
        <f t="shared" si="4"/>
        <v>2</v>
      </c>
      <c r="AH61" s="58">
        <f t="shared" si="4"/>
        <v>10</v>
      </c>
      <c r="AI61" s="58">
        <f t="shared" si="4"/>
        <v>11</v>
      </c>
      <c r="AJ61" s="58">
        <f t="shared" si="4"/>
        <v>8</v>
      </c>
      <c r="AK61" s="58">
        <f t="shared" si="4"/>
        <v>6</v>
      </c>
    </row>
    <row r="63" spans="2:37" ht="15" customHeight="1" x14ac:dyDescent="0.25">
      <c r="B63" s="173" t="s">
        <v>505</v>
      </c>
      <c r="C63" s="173"/>
      <c r="D63" s="173"/>
      <c r="E63" s="173"/>
      <c r="F63" s="173"/>
      <c r="G63" s="173"/>
      <c r="H63" s="173"/>
      <c r="I63" s="173"/>
      <c r="J63" s="173"/>
      <c r="K63" s="173"/>
      <c r="L63" s="173"/>
    </row>
    <row r="64" spans="2:37" x14ac:dyDescent="0.25">
      <c r="B64" s="173"/>
      <c r="C64" s="173"/>
      <c r="D64" s="173"/>
      <c r="E64" s="173"/>
      <c r="F64" s="173"/>
      <c r="G64" s="173"/>
      <c r="H64" s="173"/>
      <c r="I64" s="173"/>
      <c r="J64" s="173"/>
      <c r="K64" s="173"/>
      <c r="L64" s="173"/>
    </row>
    <row r="65" spans="2:12" x14ac:dyDescent="0.25">
      <c r="B65" s="173"/>
      <c r="C65" s="173"/>
      <c r="D65" s="173"/>
      <c r="E65" s="173"/>
      <c r="F65" s="173"/>
      <c r="G65" s="173"/>
      <c r="H65" s="173"/>
      <c r="I65" s="173"/>
      <c r="J65" s="173"/>
      <c r="K65" s="173"/>
      <c r="L65" s="173"/>
    </row>
  </sheetData>
  <autoFilter ref="B5:AK60" xr:uid="{00000000-0009-0000-0000-000007000000}"/>
  <mergeCells count="3">
    <mergeCell ref="B2:AK2"/>
    <mergeCell ref="B3:AK3"/>
    <mergeCell ref="B63:L65"/>
  </mergeCells>
  <conditionalFormatting sqref="E6:E60">
    <cfRule type="expression" dxfId="3" priority="2">
      <formula>$D6&gt;=15</formula>
    </cfRule>
    <cfRule type="expression" dxfId="2" priority="3">
      <formula>$D6&gt;=6</formula>
    </cfRule>
    <cfRule type="expression" dxfId="1" priority="4">
      <formula>$B6&lt;&gt;""</formula>
    </cfRule>
  </conditionalFormatting>
  <conditionalFormatting sqref="AK6:AK60">
    <cfRule type="expression" dxfId="0" priority="5">
      <formula>AND(ISNUMBER(AK6),AK6&gt;0)</formula>
    </cfRule>
  </conditionalFormatting>
  <pageMargins left="0.3" right="0.3" top="0.4" bottom="0.4" header="0.511811023622047" footer="0.511811023622047"/>
  <pageSetup paperSize="9" fitToHeight="0" orientation="landscape"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FBFBF"/>
    <pageSetUpPr fitToPage="1"/>
  </sheetPr>
  <dimension ref="B2:O303"/>
  <sheetViews>
    <sheetView showGridLines="0" zoomScaleNormal="100" workbookViewId="0">
      <pane xSplit="1" ySplit="3" topLeftCell="B4" activePane="bottomRight" state="frozen"/>
      <selection pane="topRight" activeCell="B1" sqref="B1"/>
      <selection pane="bottomLeft" activeCell="A4" sqref="A4"/>
      <selection pane="bottomRight" activeCell="B2" sqref="B2:O2"/>
    </sheetView>
  </sheetViews>
  <sheetFormatPr defaultColWidth="8.7109375" defaultRowHeight="15" x14ac:dyDescent="0.25"/>
  <cols>
    <col min="1" max="1" width="2" customWidth="1"/>
    <col min="2" max="2" width="5" customWidth="1"/>
    <col min="3" max="3" width="22" customWidth="1"/>
    <col min="4" max="4" width="20" customWidth="1"/>
    <col min="5" max="5" width="12" customWidth="1"/>
    <col min="6" max="6" width="11" customWidth="1"/>
    <col min="7" max="9" width="10" customWidth="1"/>
    <col min="10" max="12" width="11" customWidth="1"/>
    <col min="13" max="13" width="30" customWidth="1"/>
    <col min="14" max="14" width="6" customWidth="1"/>
    <col min="15" max="15" width="9" customWidth="1"/>
  </cols>
  <sheetData>
    <row r="2" spans="2:15" ht="33.75" customHeight="1" x14ac:dyDescent="0.25">
      <c r="B2" s="116" t="s">
        <v>506</v>
      </c>
      <c r="C2" s="116"/>
      <c r="D2" s="116"/>
      <c r="E2" s="116"/>
      <c r="F2" s="116"/>
      <c r="G2" s="116"/>
      <c r="H2" s="116"/>
      <c r="I2" s="116"/>
      <c r="J2" s="116"/>
      <c r="K2" s="116"/>
      <c r="L2" s="116"/>
      <c r="M2" s="116"/>
      <c r="N2" s="116"/>
      <c r="O2" s="116"/>
    </row>
    <row r="3" spans="2:15" ht="19.5" customHeight="1" x14ac:dyDescent="0.25">
      <c r="B3" s="117" t="s">
        <v>507</v>
      </c>
      <c r="C3" s="117"/>
      <c r="D3" s="117"/>
      <c r="E3" s="117"/>
      <c r="F3" s="117"/>
      <c r="G3" s="117"/>
      <c r="H3" s="117"/>
      <c r="I3" s="117"/>
      <c r="J3" s="117"/>
      <c r="K3" s="117"/>
      <c r="L3" s="117"/>
      <c r="M3" s="117"/>
      <c r="N3" s="117"/>
      <c r="O3" s="117"/>
    </row>
    <row r="4" spans="2:15" x14ac:dyDescent="0.25">
      <c r="B4" s="81">
        <f t="shared" ref="B4:B67" si="0">IF($C4="","",INT((ROW()-4)/5)+1)</f>
        <v>1</v>
      </c>
      <c r="C4" s="82" t="str">
        <f>IF(INT((ROW()-4)/5)+1&gt;Config!$C$14,"",INDEX(BPOworkers!$B$6:$B$105,INT((ROW()-4)/5)+1))</f>
        <v>A Camargo</v>
      </c>
      <c r="D4" s="82" t="str">
        <f>IF($C4="","",IFERROR(INDEX(BPOworkers!$E$6:$E$105,MATCH($C4,BPOworkers!$B$6:$B$105,0)),""))</f>
        <v>BPO Management</v>
      </c>
      <c r="E4" s="83">
        <f>IF($C4="","",Config!$C$7+MOD(ROW()-4,5))</f>
        <v>46265</v>
      </c>
      <c r="F4" s="82" t="str">
        <f>IF($C4="","",INDEX(Config!$F$7:$F$11,MOD(ROW()-4,5)+1))</f>
        <v>Monday</v>
      </c>
      <c r="G4" s="81">
        <f>IF($C4="","",COUNTIFS(RawBtabs!$A$2:$A$1500,$C4,RawBtabs!$C$2:$C$1500,$E4))</f>
        <v>2</v>
      </c>
      <c r="H4" s="84">
        <f>IF($C4="","",SUMIFS(RawBtabs!$T$2:$T$1500,RawBtabs!$A$2:$A$1500,$C4,RawBtabs!$C$2:$C$1500,$E4))</f>
        <v>2</v>
      </c>
      <c r="I4" s="84">
        <f>IF($C4="","",SUMIFS(RawBtabs!$U$2:$U$1500,RawBtabs!$A$2:$A$1500,$C4,RawBtabs!$C$2:$C$1500,$E4))</f>
        <v>6</v>
      </c>
      <c r="J4" s="84">
        <f t="shared" ref="J4:J67" si="1">IF($C4="","",$H4+$I4)</f>
        <v>8</v>
      </c>
      <c r="K4" s="85">
        <f>IF($C4="","",$J4/Config!$C$9)</f>
        <v>1</v>
      </c>
      <c r="L4" s="84">
        <f>IF($C4="","",$J4-Config!$C$9)</f>
        <v>0</v>
      </c>
      <c r="M4" s="82" t="str">
        <f>IF($C4="","",IF($G4=0,"⛔ NO ENTRY IN BTABS",IF(ABS($L4)&lt;=Config!$C$10,"✅ OK ("&amp;TEXT($J4,"0.##")&amp;" h)",IF($L4&lt;0,"🔻 MISSING "&amp;TEXT(-$L4,"0.##")&amp;" h","🔺 OVER BY "&amp;TEXT($L4,"0.##")&amp;" h"))))</f>
        <v>✅ OK (8. h)</v>
      </c>
      <c r="N4" s="81">
        <f>IF($C4="","",IF($G4=0,3,IF(ABS($L4)&lt;=Config!$C$10,0,IF($L4&lt;0,2,1))))</f>
        <v>0</v>
      </c>
      <c r="O4" s="81" t="str">
        <f>IF($C4="","",IF($N4&gt;0,COUNTIFS($N$4:$N4,"&gt;0"),""))</f>
        <v/>
      </c>
    </row>
    <row r="5" spans="2:15" x14ac:dyDescent="0.25">
      <c r="B5" s="86">
        <f t="shared" si="0"/>
        <v>1</v>
      </c>
      <c r="C5" s="87" t="str">
        <f>IF(INT((ROW()-4)/5)+1&gt;Config!$C$14,"",INDEX(BPOworkers!$B$6:$B$105,INT((ROW()-4)/5)+1))</f>
        <v>A Camargo</v>
      </c>
      <c r="D5" s="87" t="str">
        <f>IF($C5="","",IFERROR(INDEX(BPOworkers!$E$6:$E$105,MATCH($C5,BPOworkers!$B$6:$B$105,0)),""))</f>
        <v>BPO Management</v>
      </c>
      <c r="E5" s="88">
        <f>IF($C5="","",Config!$C$7+MOD(ROW()-4,5))</f>
        <v>46266</v>
      </c>
      <c r="F5" s="87" t="str">
        <f>IF($C5="","",INDEX(Config!$F$7:$F$11,MOD(ROW()-4,5)+1))</f>
        <v>Tuesday</v>
      </c>
      <c r="G5" s="86">
        <f>IF($C5="","",COUNTIFS(RawBtabs!$A$2:$A$1500,$C5,RawBtabs!$C$2:$C$1500,$E5))</f>
        <v>2</v>
      </c>
      <c r="H5" s="89">
        <f>IF($C5="","",SUMIFS(RawBtabs!$T$2:$T$1500,RawBtabs!$A$2:$A$1500,$C5,RawBtabs!$C$2:$C$1500,$E5))</f>
        <v>4</v>
      </c>
      <c r="I5" s="89">
        <f>IF($C5="","",SUMIFS(RawBtabs!$U$2:$U$1500,RawBtabs!$A$2:$A$1500,$C5,RawBtabs!$C$2:$C$1500,$E5))</f>
        <v>4</v>
      </c>
      <c r="J5" s="89">
        <f t="shared" si="1"/>
        <v>8</v>
      </c>
      <c r="K5" s="90">
        <f>IF($C5="","",$J5/Config!$C$9)</f>
        <v>1</v>
      </c>
      <c r="L5" s="89">
        <f>IF($C5="","",$J5-Config!$C$9)</f>
        <v>0</v>
      </c>
      <c r="M5" s="87" t="str">
        <f>IF($C5="","",IF($G5=0,"⛔ NO ENTRY IN BTABS",IF(ABS($L5)&lt;=Config!$C$10,"✅ OK ("&amp;TEXT($J5,"0.##")&amp;" h)",IF($L5&lt;0,"🔻 MISSING "&amp;TEXT(-$L5,"0.##")&amp;" h","🔺 OVER BY "&amp;TEXT($L5,"0.##")&amp;" h"))))</f>
        <v>✅ OK (8. h)</v>
      </c>
      <c r="N5" s="86">
        <f>IF($C5="","",IF($G5=0,3,IF(ABS($L5)&lt;=Config!$C$10,0,IF($L5&lt;0,2,1))))</f>
        <v>0</v>
      </c>
      <c r="O5" s="86" t="str">
        <f>IF($C5="","",IF($N5&gt;0,COUNTIFS($N$4:$N5,"&gt;0"),""))</f>
        <v/>
      </c>
    </row>
    <row r="6" spans="2:15" x14ac:dyDescent="0.25">
      <c r="B6" s="81">
        <f t="shared" si="0"/>
        <v>1</v>
      </c>
      <c r="C6" s="82" t="str">
        <f>IF(INT((ROW()-4)/5)+1&gt;Config!$C$14,"",INDEX(BPOworkers!$B$6:$B$105,INT((ROW()-4)/5)+1))</f>
        <v>A Camargo</v>
      </c>
      <c r="D6" s="82" t="str">
        <f>IF($C6="","",IFERROR(INDEX(BPOworkers!$E$6:$E$105,MATCH($C6,BPOworkers!$B$6:$B$105,0)),""))</f>
        <v>BPO Management</v>
      </c>
      <c r="E6" s="83">
        <f>IF($C6="","",Config!$C$7+MOD(ROW()-4,5))</f>
        <v>46267</v>
      </c>
      <c r="F6" s="82" t="str">
        <f>IF($C6="","",INDEX(Config!$F$7:$F$11,MOD(ROW()-4,5)+1))</f>
        <v>Wednesday</v>
      </c>
      <c r="G6" s="81">
        <f>IF($C6="","",COUNTIFS(RawBtabs!$A$2:$A$1500,$C6,RawBtabs!$C$2:$C$1500,$E6))</f>
        <v>2</v>
      </c>
      <c r="H6" s="84">
        <f>IF($C6="","",SUMIFS(RawBtabs!$T$2:$T$1500,RawBtabs!$A$2:$A$1500,$C6,RawBtabs!$C$2:$C$1500,$E6))</f>
        <v>8</v>
      </c>
      <c r="I6" s="84">
        <f>IF($C6="","",SUMIFS(RawBtabs!$U$2:$U$1500,RawBtabs!$A$2:$A$1500,$C6,RawBtabs!$C$2:$C$1500,$E6))</f>
        <v>0</v>
      </c>
      <c r="J6" s="84">
        <f t="shared" si="1"/>
        <v>8</v>
      </c>
      <c r="K6" s="85">
        <f>IF($C6="","",$J6/Config!$C$9)</f>
        <v>1</v>
      </c>
      <c r="L6" s="84">
        <f>IF($C6="","",$J6-Config!$C$9)</f>
        <v>0</v>
      </c>
      <c r="M6" s="82" t="str">
        <f>IF($C6="","",IF($G6=0,"⛔ NO ENTRY IN BTABS",IF(ABS($L6)&lt;=Config!$C$10,"✅ OK ("&amp;TEXT($J6,"0.##")&amp;" h)",IF($L6&lt;0,"🔻 MISSING "&amp;TEXT(-$L6,"0.##")&amp;" h","🔺 OVER BY "&amp;TEXT($L6,"0.##")&amp;" h"))))</f>
        <v>✅ OK (8. h)</v>
      </c>
      <c r="N6" s="81">
        <f>IF($C6="","",IF($G6=0,3,IF(ABS($L6)&lt;=Config!$C$10,0,IF($L6&lt;0,2,1))))</f>
        <v>0</v>
      </c>
      <c r="O6" s="81" t="str">
        <f>IF($C6="","",IF($N6&gt;0,COUNTIFS($N$4:$N6,"&gt;0"),""))</f>
        <v/>
      </c>
    </row>
    <row r="7" spans="2:15" x14ac:dyDescent="0.25">
      <c r="B7" s="81">
        <f t="shared" si="0"/>
        <v>1</v>
      </c>
      <c r="C7" s="82" t="str">
        <f>IF(INT((ROW()-4)/5)+1&gt;Config!$C$14,"",INDEX(BPOworkers!$B$6:$B$105,INT((ROW()-4)/5)+1))</f>
        <v>A Camargo</v>
      </c>
      <c r="D7" s="82" t="str">
        <f>IF($C7="","",IFERROR(INDEX(BPOworkers!$E$6:$E$105,MATCH($C7,BPOworkers!$B$6:$B$105,0)),""))</f>
        <v>BPO Management</v>
      </c>
      <c r="E7" s="83">
        <f>IF($C7="","",Config!$C$7+MOD(ROW()-4,5))</f>
        <v>46268</v>
      </c>
      <c r="F7" s="82" t="str">
        <f>IF($C7="","",INDEX(Config!$F$7:$F$11,MOD(ROW()-4,5)+1))</f>
        <v>Thursday</v>
      </c>
      <c r="G7" s="81">
        <f>IF($C7="","",COUNTIFS(RawBtabs!$A$2:$A$1500,$C7,RawBtabs!$C$2:$C$1500,$E7))</f>
        <v>3</v>
      </c>
      <c r="H7" s="84">
        <f>IF($C7="","",SUMIFS(RawBtabs!$T$2:$T$1500,RawBtabs!$A$2:$A$1500,$C7,RawBtabs!$C$2:$C$1500,$E7))</f>
        <v>8</v>
      </c>
      <c r="I7" s="84">
        <f>IF($C7="","",SUMIFS(RawBtabs!$U$2:$U$1500,RawBtabs!$A$2:$A$1500,$C7,RawBtabs!$C$2:$C$1500,$E7))</f>
        <v>0</v>
      </c>
      <c r="J7" s="84">
        <f t="shared" si="1"/>
        <v>8</v>
      </c>
      <c r="K7" s="85">
        <f>IF($C7="","",$J7/Config!$C$9)</f>
        <v>1</v>
      </c>
      <c r="L7" s="84">
        <f>IF($C7="","",$J7-Config!$C$9)</f>
        <v>0</v>
      </c>
      <c r="M7" s="82" t="str">
        <f>IF($C7="","",IF($G7=0,"⛔ NO ENTRY IN BTABS",IF(ABS($L7)&lt;=Config!$C$10,"✅ OK ("&amp;TEXT($J7,"0.##")&amp;" h)",IF($L7&lt;0,"🔻 MISSING "&amp;TEXT(-$L7,"0.##")&amp;" h","🔺 OVER BY "&amp;TEXT($L7,"0.##")&amp;" h"))))</f>
        <v>✅ OK (8. h)</v>
      </c>
      <c r="N7" s="81">
        <f>IF($C7="","",IF($G7=0,3,IF(ABS($L7)&lt;=Config!$C$10,0,IF($L7&lt;0,2,1))))</f>
        <v>0</v>
      </c>
      <c r="O7" s="81" t="str">
        <f>IF($C7="","",IF($N7&gt;0,COUNTIFS($N$4:$N7,"&gt;0"),""))</f>
        <v/>
      </c>
    </row>
    <row r="8" spans="2:15" x14ac:dyDescent="0.25">
      <c r="B8" s="81">
        <f t="shared" si="0"/>
        <v>1</v>
      </c>
      <c r="C8" s="82" t="str">
        <f>IF(INT((ROW()-4)/5)+1&gt;Config!$C$14,"",INDEX(BPOworkers!$B$6:$B$105,INT((ROW()-4)/5)+1))</f>
        <v>A Camargo</v>
      </c>
      <c r="D8" s="82" t="str">
        <f>IF($C8="","",IFERROR(INDEX(BPOworkers!$E$6:$E$105,MATCH($C8,BPOworkers!$B$6:$B$105,0)),""))</f>
        <v>BPO Management</v>
      </c>
      <c r="E8" s="83">
        <f>IF($C8="","",Config!$C$7+MOD(ROW()-4,5))</f>
        <v>46269</v>
      </c>
      <c r="F8" s="82" t="str">
        <f>IF($C8="","",INDEX(Config!$F$7:$F$11,MOD(ROW()-4,5)+1))</f>
        <v>Friday</v>
      </c>
      <c r="G8" s="81">
        <f>IF($C8="","",COUNTIFS(RawBtabs!$A$2:$A$1500,$C8,RawBtabs!$C$2:$C$1500,$E8))</f>
        <v>2</v>
      </c>
      <c r="H8" s="84">
        <f>IF($C8="","",SUMIFS(RawBtabs!$T$2:$T$1500,RawBtabs!$A$2:$A$1500,$C8,RawBtabs!$C$2:$C$1500,$E8))</f>
        <v>8</v>
      </c>
      <c r="I8" s="84">
        <f>IF($C8="","",SUMIFS(RawBtabs!$U$2:$U$1500,RawBtabs!$A$2:$A$1500,$C8,RawBtabs!$C$2:$C$1500,$E8))</f>
        <v>0</v>
      </c>
      <c r="J8" s="84">
        <f t="shared" si="1"/>
        <v>8</v>
      </c>
      <c r="K8" s="85">
        <f>IF($C8="","",$J8/Config!$C$9)</f>
        <v>1</v>
      </c>
      <c r="L8" s="84">
        <f>IF($C8="","",$J8-Config!$C$9)</f>
        <v>0</v>
      </c>
      <c r="M8" s="82" t="str">
        <f>IF($C8="","",IF($G8=0,"⛔ NO ENTRY IN BTABS",IF(ABS($L8)&lt;=Config!$C$10,"✅ OK ("&amp;TEXT($J8,"0.##")&amp;" h)",IF($L8&lt;0,"🔻 MISSING "&amp;TEXT(-$L8,"0.##")&amp;" h","🔺 OVER BY "&amp;TEXT($L8,"0.##")&amp;" h"))))</f>
        <v>✅ OK (8. h)</v>
      </c>
      <c r="N8" s="81">
        <f>IF($C8="","",IF($G8=0,3,IF(ABS($L8)&lt;=Config!$C$10,0,IF($L8&lt;0,2,1))))</f>
        <v>0</v>
      </c>
      <c r="O8" s="81" t="str">
        <f>IF($C8="","",IF($N8&gt;0,COUNTIFS($N$4:$N8,"&gt;0"),""))</f>
        <v/>
      </c>
    </row>
    <row r="9" spans="2:15" x14ac:dyDescent="0.25">
      <c r="B9" s="81">
        <f t="shared" si="0"/>
        <v>2</v>
      </c>
      <c r="C9" s="82" t="str">
        <f>IF(INT((ROW()-4)/5)+1&gt;Config!$C$14,"",INDEX(BPOworkers!$B$6:$B$105,INT((ROW()-4)/5)+1))</f>
        <v>A Lopez</v>
      </c>
      <c r="D9" s="82" t="str">
        <f>IF($C9="","",IFERROR(INDEX(BPOworkers!$E$6:$E$105,MATCH($C9,BPOworkers!$B$6:$B$105,0)),""))</f>
        <v>S Romero</v>
      </c>
      <c r="E9" s="83">
        <f>IF($C9="","",Config!$C$7+MOD(ROW()-4,5))</f>
        <v>46265</v>
      </c>
      <c r="F9" s="82" t="str">
        <f>IF($C9="","",INDEX(Config!$F$7:$F$11,MOD(ROW()-4,5)+1))</f>
        <v>Monday</v>
      </c>
      <c r="G9" s="81">
        <f>IF($C9="","",COUNTIFS(RawBtabs!$A$2:$A$1500,$C9,RawBtabs!$C$2:$C$1500,$E9))</f>
        <v>2</v>
      </c>
      <c r="H9" s="84">
        <f>IF($C9="","",SUMIFS(RawBtabs!$T$2:$T$1500,RawBtabs!$A$2:$A$1500,$C9,RawBtabs!$C$2:$C$1500,$E9))</f>
        <v>3</v>
      </c>
      <c r="I9" s="84">
        <f>IF($C9="","",SUMIFS(RawBtabs!$U$2:$U$1500,RawBtabs!$A$2:$A$1500,$C9,RawBtabs!$C$2:$C$1500,$E9))</f>
        <v>5</v>
      </c>
      <c r="J9" s="84">
        <f t="shared" si="1"/>
        <v>8</v>
      </c>
      <c r="K9" s="85">
        <f>IF($C9="","",$J9/Config!$C$9)</f>
        <v>1</v>
      </c>
      <c r="L9" s="84">
        <f>IF($C9="","",$J9-Config!$C$9)</f>
        <v>0</v>
      </c>
      <c r="M9" s="82" t="str">
        <f>IF($C9="","",IF($G9=0,"⛔ NO ENTRY IN BTABS",IF(ABS($L9)&lt;=Config!$C$10,"✅ OK ("&amp;TEXT($J9,"0.##")&amp;" h)",IF($L9&lt;0,"🔻 MISSING "&amp;TEXT(-$L9,"0.##")&amp;" h","🔺 OVER BY "&amp;TEXT($L9,"0.##")&amp;" h"))))</f>
        <v>✅ OK (8. h)</v>
      </c>
      <c r="N9" s="81">
        <f>IF($C9="","",IF($G9=0,3,IF(ABS($L9)&lt;=Config!$C$10,0,IF($L9&lt;0,2,1))))</f>
        <v>0</v>
      </c>
      <c r="O9" s="81" t="str">
        <f>IF($C9="","",IF($N9&gt;0,COUNTIFS($N$4:$N9,"&gt;0"),""))</f>
        <v/>
      </c>
    </row>
    <row r="10" spans="2:15" x14ac:dyDescent="0.25">
      <c r="B10" s="81">
        <f t="shared" si="0"/>
        <v>2</v>
      </c>
      <c r="C10" s="82" t="str">
        <f>IF(INT((ROW()-4)/5)+1&gt;Config!$C$14,"",INDEX(BPOworkers!$B$6:$B$105,INT((ROW()-4)/5)+1))</f>
        <v>A Lopez</v>
      </c>
      <c r="D10" s="82" t="str">
        <f>IF($C10="","",IFERROR(INDEX(BPOworkers!$E$6:$E$105,MATCH($C10,BPOworkers!$B$6:$B$105,0)),""))</f>
        <v>S Romero</v>
      </c>
      <c r="E10" s="83">
        <f>IF($C10="","",Config!$C$7+MOD(ROW()-4,5))</f>
        <v>46266</v>
      </c>
      <c r="F10" s="82" t="str">
        <f>IF($C10="","",INDEX(Config!$F$7:$F$11,MOD(ROW()-4,5)+1))</f>
        <v>Tuesday</v>
      </c>
      <c r="G10" s="81">
        <f>IF($C10="","",COUNTIFS(RawBtabs!$A$2:$A$1500,$C10,RawBtabs!$C$2:$C$1500,$E10))</f>
        <v>4</v>
      </c>
      <c r="H10" s="84">
        <f>IF($C10="","",SUMIFS(RawBtabs!$T$2:$T$1500,RawBtabs!$A$2:$A$1500,$C10,RawBtabs!$C$2:$C$1500,$E10))</f>
        <v>7</v>
      </c>
      <c r="I10" s="84">
        <f>IF($C10="","",SUMIFS(RawBtabs!$U$2:$U$1500,RawBtabs!$A$2:$A$1500,$C10,RawBtabs!$C$2:$C$1500,$E10))</f>
        <v>1</v>
      </c>
      <c r="J10" s="84">
        <f t="shared" si="1"/>
        <v>8</v>
      </c>
      <c r="K10" s="85">
        <f>IF($C10="","",$J10/Config!$C$9)</f>
        <v>1</v>
      </c>
      <c r="L10" s="84">
        <f>IF($C10="","",$J10-Config!$C$9)</f>
        <v>0</v>
      </c>
      <c r="M10" s="82" t="str">
        <f>IF($C10="","",IF($G10=0,"⛔ NO ENTRY IN BTABS",IF(ABS($L10)&lt;=Config!$C$10,"✅ OK ("&amp;TEXT($J10,"0.##")&amp;" h)",IF($L10&lt;0,"🔻 MISSING "&amp;TEXT(-$L10,"0.##")&amp;" h","🔺 OVER BY "&amp;TEXT($L10,"0.##")&amp;" h"))))</f>
        <v>✅ OK (8. h)</v>
      </c>
      <c r="N10" s="81">
        <f>IF($C10="","",IF($G10=0,3,IF(ABS($L10)&lt;=Config!$C$10,0,IF($L10&lt;0,2,1))))</f>
        <v>0</v>
      </c>
      <c r="O10" s="81" t="str">
        <f>IF($C10="","",IF($N10&gt;0,COUNTIFS($N$4:$N10,"&gt;0"),""))</f>
        <v/>
      </c>
    </row>
    <row r="11" spans="2:15" x14ac:dyDescent="0.25">
      <c r="B11" s="81">
        <f t="shared" si="0"/>
        <v>2</v>
      </c>
      <c r="C11" s="82" t="str">
        <f>IF(INT((ROW()-4)/5)+1&gt;Config!$C$14,"",INDEX(BPOworkers!$B$6:$B$105,INT((ROW()-4)/5)+1))</f>
        <v>A Lopez</v>
      </c>
      <c r="D11" s="82" t="str">
        <f>IF($C11="","",IFERROR(INDEX(BPOworkers!$E$6:$E$105,MATCH($C11,BPOworkers!$B$6:$B$105,0)),""))</f>
        <v>S Romero</v>
      </c>
      <c r="E11" s="83">
        <f>IF($C11="","",Config!$C$7+MOD(ROW()-4,5))</f>
        <v>46267</v>
      </c>
      <c r="F11" s="82" t="str">
        <f>IF($C11="","",INDEX(Config!$F$7:$F$11,MOD(ROW()-4,5)+1))</f>
        <v>Wednesday</v>
      </c>
      <c r="G11" s="81">
        <f>IF($C11="","",COUNTIFS(RawBtabs!$A$2:$A$1500,$C11,RawBtabs!$C$2:$C$1500,$E11))</f>
        <v>2</v>
      </c>
      <c r="H11" s="84">
        <f>IF($C11="","",SUMIFS(RawBtabs!$T$2:$T$1500,RawBtabs!$A$2:$A$1500,$C11,RawBtabs!$C$2:$C$1500,$E11))</f>
        <v>5</v>
      </c>
      <c r="I11" s="84">
        <f>IF($C11="","",SUMIFS(RawBtabs!$U$2:$U$1500,RawBtabs!$A$2:$A$1500,$C11,RawBtabs!$C$2:$C$1500,$E11))</f>
        <v>3</v>
      </c>
      <c r="J11" s="84">
        <f t="shared" si="1"/>
        <v>8</v>
      </c>
      <c r="K11" s="85">
        <f>IF($C11="","",$J11/Config!$C$9)</f>
        <v>1</v>
      </c>
      <c r="L11" s="84">
        <f>IF($C11="","",$J11-Config!$C$9)</f>
        <v>0</v>
      </c>
      <c r="M11" s="82" t="str">
        <f>IF($C11="","",IF($G11=0,"⛔ NO ENTRY IN BTABS",IF(ABS($L11)&lt;=Config!$C$10,"✅ OK ("&amp;TEXT($J11,"0.##")&amp;" h)",IF($L11&lt;0,"🔻 MISSING "&amp;TEXT(-$L11,"0.##")&amp;" h","🔺 OVER BY "&amp;TEXT($L11,"0.##")&amp;" h"))))</f>
        <v>✅ OK (8. h)</v>
      </c>
      <c r="N11" s="81">
        <f>IF($C11="","",IF($G11=0,3,IF(ABS($L11)&lt;=Config!$C$10,0,IF($L11&lt;0,2,1))))</f>
        <v>0</v>
      </c>
      <c r="O11" s="81" t="str">
        <f>IF($C11="","",IF($N11&gt;0,COUNTIFS($N$4:$N11,"&gt;0"),""))</f>
        <v/>
      </c>
    </row>
    <row r="12" spans="2:15" x14ac:dyDescent="0.25">
      <c r="B12" s="81">
        <f t="shared" si="0"/>
        <v>2</v>
      </c>
      <c r="C12" s="82" t="str">
        <f>IF(INT((ROW()-4)/5)+1&gt;Config!$C$14,"",INDEX(BPOworkers!$B$6:$B$105,INT((ROW()-4)/5)+1))</f>
        <v>A Lopez</v>
      </c>
      <c r="D12" s="82" t="str">
        <f>IF($C12="","",IFERROR(INDEX(BPOworkers!$E$6:$E$105,MATCH($C12,BPOworkers!$B$6:$B$105,0)),""))</f>
        <v>S Romero</v>
      </c>
      <c r="E12" s="83">
        <f>IF($C12="","",Config!$C$7+MOD(ROW()-4,5))</f>
        <v>46268</v>
      </c>
      <c r="F12" s="82" t="str">
        <f>IF($C12="","",INDEX(Config!$F$7:$F$11,MOD(ROW()-4,5)+1))</f>
        <v>Thursday</v>
      </c>
      <c r="G12" s="81">
        <f>IF($C12="","",COUNTIFS(RawBtabs!$A$2:$A$1500,$C12,RawBtabs!$C$2:$C$1500,$E12))</f>
        <v>1</v>
      </c>
      <c r="H12" s="84">
        <f>IF($C12="","",SUMIFS(RawBtabs!$T$2:$T$1500,RawBtabs!$A$2:$A$1500,$C12,RawBtabs!$C$2:$C$1500,$E12))</f>
        <v>8</v>
      </c>
      <c r="I12" s="84">
        <f>IF($C12="","",SUMIFS(RawBtabs!$U$2:$U$1500,RawBtabs!$A$2:$A$1500,$C12,RawBtabs!$C$2:$C$1500,$E12))</f>
        <v>0</v>
      </c>
      <c r="J12" s="84">
        <f t="shared" si="1"/>
        <v>8</v>
      </c>
      <c r="K12" s="85">
        <f>IF($C12="","",$J12/Config!$C$9)</f>
        <v>1</v>
      </c>
      <c r="L12" s="84">
        <f>IF($C12="","",$J12-Config!$C$9)</f>
        <v>0</v>
      </c>
      <c r="M12" s="82" t="str">
        <f>IF($C12="","",IF($G12=0,"⛔ NO ENTRY IN BTABS",IF(ABS($L12)&lt;=Config!$C$10,"✅ OK ("&amp;TEXT($J12,"0.##")&amp;" h)",IF($L12&lt;0,"🔻 MISSING "&amp;TEXT(-$L12,"0.##")&amp;" h","🔺 OVER BY "&amp;TEXT($L12,"0.##")&amp;" h"))))</f>
        <v>✅ OK (8. h)</v>
      </c>
      <c r="N12" s="81">
        <f>IF($C12="","",IF($G12=0,3,IF(ABS($L12)&lt;=Config!$C$10,0,IF($L12&lt;0,2,1))))</f>
        <v>0</v>
      </c>
      <c r="O12" s="81" t="str">
        <f>IF($C12="","",IF($N12&gt;0,COUNTIFS($N$4:$N12,"&gt;0"),""))</f>
        <v/>
      </c>
    </row>
    <row r="13" spans="2:15" x14ac:dyDescent="0.25">
      <c r="B13" s="81">
        <f t="shared" si="0"/>
        <v>2</v>
      </c>
      <c r="C13" s="82" t="str">
        <f>IF(INT((ROW()-4)/5)+1&gt;Config!$C$14,"",INDEX(BPOworkers!$B$6:$B$105,INT((ROW()-4)/5)+1))</f>
        <v>A Lopez</v>
      </c>
      <c r="D13" s="82" t="str">
        <f>IF($C13="","",IFERROR(INDEX(BPOworkers!$E$6:$E$105,MATCH($C13,BPOworkers!$B$6:$B$105,0)),""))</f>
        <v>S Romero</v>
      </c>
      <c r="E13" s="83">
        <f>IF($C13="","",Config!$C$7+MOD(ROW()-4,5))</f>
        <v>46269</v>
      </c>
      <c r="F13" s="82" t="str">
        <f>IF($C13="","",INDEX(Config!$F$7:$F$11,MOD(ROW()-4,5)+1))</f>
        <v>Friday</v>
      </c>
      <c r="G13" s="81">
        <f>IF($C13="","",COUNTIFS(RawBtabs!$A$2:$A$1500,$C13,RawBtabs!$C$2:$C$1500,$E13))</f>
        <v>2</v>
      </c>
      <c r="H13" s="84">
        <f>IF($C13="","",SUMIFS(RawBtabs!$T$2:$T$1500,RawBtabs!$A$2:$A$1500,$C13,RawBtabs!$C$2:$C$1500,$E13))</f>
        <v>6</v>
      </c>
      <c r="I13" s="84">
        <f>IF($C13="","",SUMIFS(RawBtabs!$U$2:$U$1500,RawBtabs!$A$2:$A$1500,$C13,RawBtabs!$C$2:$C$1500,$E13))</f>
        <v>2</v>
      </c>
      <c r="J13" s="84">
        <f t="shared" si="1"/>
        <v>8</v>
      </c>
      <c r="K13" s="85">
        <f>IF($C13="","",$J13/Config!$C$9)</f>
        <v>1</v>
      </c>
      <c r="L13" s="84">
        <f>IF($C13="","",$J13-Config!$C$9)</f>
        <v>0</v>
      </c>
      <c r="M13" s="82" t="str">
        <f>IF($C13="","",IF($G13=0,"⛔ NO ENTRY IN BTABS",IF(ABS($L13)&lt;=Config!$C$10,"✅ OK ("&amp;TEXT($J13,"0.##")&amp;" h)",IF($L13&lt;0,"🔻 MISSING "&amp;TEXT(-$L13,"0.##")&amp;" h","🔺 OVER BY "&amp;TEXT($L13,"0.##")&amp;" h"))))</f>
        <v>✅ OK (8. h)</v>
      </c>
      <c r="N13" s="81">
        <f>IF($C13="","",IF($G13=0,3,IF(ABS($L13)&lt;=Config!$C$10,0,IF($L13&lt;0,2,1))))</f>
        <v>0</v>
      </c>
      <c r="O13" s="81" t="str">
        <f>IF($C13="","",IF($N13&gt;0,COUNTIFS($N$4:$N13,"&gt;0"),""))</f>
        <v/>
      </c>
    </row>
    <row r="14" spans="2:15" x14ac:dyDescent="0.25">
      <c r="B14" s="81">
        <f t="shared" si="0"/>
        <v>3</v>
      </c>
      <c r="C14" s="82" t="str">
        <f>IF(INT((ROW()-4)/5)+1&gt;Config!$C$14,"",INDEX(BPOworkers!$B$6:$B$105,INT((ROW()-4)/5)+1))</f>
        <v>A Lorenzo</v>
      </c>
      <c r="D14" s="82" t="str">
        <f>IF($C14="","",IFERROR(INDEX(BPOworkers!$E$6:$E$105,MATCH($C14,BPOworkers!$B$6:$B$105,0)),""))</f>
        <v>BPO Management</v>
      </c>
      <c r="E14" s="83">
        <f>IF($C14="","",Config!$C$7+MOD(ROW()-4,5))</f>
        <v>46265</v>
      </c>
      <c r="F14" s="82" t="str">
        <f>IF($C14="","",INDEX(Config!$F$7:$F$11,MOD(ROW()-4,5)+1))</f>
        <v>Monday</v>
      </c>
      <c r="G14" s="81">
        <f>IF($C14="","",COUNTIFS(RawBtabs!$A$2:$A$1500,$C14,RawBtabs!$C$2:$C$1500,$E14))</f>
        <v>1</v>
      </c>
      <c r="H14" s="84">
        <f>IF($C14="","",SUMIFS(RawBtabs!$T$2:$T$1500,RawBtabs!$A$2:$A$1500,$C14,RawBtabs!$C$2:$C$1500,$E14))</f>
        <v>8</v>
      </c>
      <c r="I14" s="84">
        <f>IF($C14="","",SUMIFS(RawBtabs!$U$2:$U$1500,RawBtabs!$A$2:$A$1500,$C14,RawBtabs!$C$2:$C$1500,$E14))</f>
        <v>0</v>
      </c>
      <c r="J14" s="84">
        <f t="shared" si="1"/>
        <v>8</v>
      </c>
      <c r="K14" s="85">
        <f>IF($C14="","",$J14/Config!$C$9)</f>
        <v>1</v>
      </c>
      <c r="L14" s="84">
        <f>IF($C14="","",$J14-Config!$C$9)</f>
        <v>0</v>
      </c>
      <c r="M14" s="82" t="str">
        <f>IF($C14="","",IF($G14=0,"⛔ NO ENTRY IN BTABS",IF(ABS($L14)&lt;=Config!$C$10,"✅ OK ("&amp;TEXT($J14,"0.##")&amp;" h)",IF($L14&lt;0,"🔻 MISSING "&amp;TEXT(-$L14,"0.##")&amp;" h","🔺 OVER BY "&amp;TEXT($L14,"0.##")&amp;" h"))))</f>
        <v>✅ OK (8. h)</v>
      </c>
      <c r="N14" s="81">
        <f>IF($C14="","",IF($G14=0,3,IF(ABS($L14)&lt;=Config!$C$10,0,IF($L14&lt;0,2,1))))</f>
        <v>0</v>
      </c>
      <c r="O14" s="81" t="str">
        <f>IF($C14="","",IF($N14&gt;0,COUNTIFS($N$4:$N14,"&gt;0"),""))</f>
        <v/>
      </c>
    </row>
    <row r="15" spans="2:15" x14ac:dyDescent="0.25">
      <c r="B15" s="81">
        <f t="shared" si="0"/>
        <v>3</v>
      </c>
      <c r="C15" s="82" t="str">
        <f>IF(INT((ROW()-4)/5)+1&gt;Config!$C$14,"",INDEX(BPOworkers!$B$6:$B$105,INT((ROW()-4)/5)+1))</f>
        <v>A Lorenzo</v>
      </c>
      <c r="D15" s="82" t="str">
        <f>IF($C15="","",IFERROR(INDEX(BPOworkers!$E$6:$E$105,MATCH($C15,BPOworkers!$B$6:$B$105,0)),""))</f>
        <v>BPO Management</v>
      </c>
      <c r="E15" s="83">
        <f>IF($C15="","",Config!$C$7+MOD(ROW()-4,5))</f>
        <v>46266</v>
      </c>
      <c r="F15" s="82" t="str">
        <f>IF($C15="","",INDEX(Config!$F$7:$F$11,MOD(ROW()-4,5)+1))</f>
        <v>Tuesday</v>
      </c>
      <c r="G15" s="81">
        <f>IF($C15="","",COUNTIFS(RawBtabs!$A$2:$A$1500,$C15,RawBtabs!$C$2:$C$1500,$E15))</f>
        <v>1</v>
      </c>
      <c r="H15" s="84">
        <f>IF($C15="","",SUMIFS(RawBtabs!$T$2:$T$1500,RawBtabs!$A$2:$A$1500,$C15,RawBtabs!$C$2:$C$1500,$E15))</f>
        <v>8</v>
      </c>
      <c r="I15" s="84">
        <f>IF($C15="","",SUMIFS(RawBtabs!$U$2:$U$1500,RawBtabs!$A$2:$A$1500,$C15,RawBtabs!$C$2:$C$1500,$E15))</f>
        <v>0</v>
      </c>
      <c r="J15" s="84">
        <f t="shared" si="1"/>
        <v>8</v>
      </c>
      <c r="K15" s="85">
        <f>IF($C15="","",$J15/Config!$C$9)</f>
        <v>1</v>
      </c>
      <c r="L15" s="84">
        <f>IF($C15="","",$J15-Config!$C$9)</f>
        <v>0</v>
      </c>
      <c r="M15" s="82" t="str">
        <f>IF($C15="","",IF($G15=0,"⛔ NO ENTRY IN BTABS",IF(ABS($L15)&lt;=Config!$C$10,"✅ OK ("&amp;TEXT($J15,"0.##")&amp;" h)",IF($L15&lt;0,"🔻 MISSING "&amp;TEXT(-$L15,"0.##")&amp;" h","🔺 OVER BY "&amp;TEXT($L15,"0.##")&amp;" h"))))</f>
        <v>✅ OK (8. h)</v>
      </c>
      <c r="N15" s="81">
        <f>IF($C15="","",IF($G15=0,3,IF(ABS($L15)&lt;=Config!$C$10,0,IF($L15&lt;0,2,1))))</f>
        <v>0</v>
      </c>
      <c r="O15" s="81" t="str">
        <f>IF($C15="","",IF($N15&gt;0,COUNTIFS($N$4:$N15,"&gt;0"),""))</f>
        <v/>
      </c>
    </row>
    <row r="16" spans="2:15" x14ac:dyDescent="0.25">
      <c r="B16" s="81">
        <f t="shared" si="0"/>
        <v>3</v>
      </c>
      <c r="C16" s="82" t="str">
        <f>IF(INT((ROW()-4)/5)+1&gt;Config!$C$14,"",INDEX(BPOworkers!$B$6:$B$105,INT((ROW()-4)/5)+1))</f>
        <v>A Lorenzo</v>
      </c>
      <c r="D16" s="82" t="str">
        <f>IF($C16="","",IFERROR(INDEX(BPOworkers!$E$6:$E$105,MATCH($C16,BPOworkers!$B$6:$B$105,0)),""))</f>
        <v>BPO Management</v>
      </c>
      <c r="E16" s="83">
        <f>IF($C16="","",Config!$C$7+MOD(ROW()-4,5))</f>
        <v>46267</v>
      </c>
      <c r="F16" s="82" t="str">
        <f>IF($C16="","",INDEX(Config!$F$7:$F$11,MOD(ROW()-4,5)+1))</f>
        <v>Wednesday</v>
      </c>
      <c r="G16" s="81">
        <f>IF($C16="","",COUNTIFS(RawBtabs!$A$2:$A$1500,$C16,RawBtabs!$C$2:$C$1500,$E16))</f>
        <v>1</v>
      </c>
      <c r="H16" s="84">
        <f>IF($C16="","",SUMIFS(RawBtabs!$T$2:$T$1500,RawBtabs!$A$2:$A$1500,$C16,RawBtabs!$C$2:$C$1500,$E16))</f>
        <v>8</v>
      </c>
      <c r="I16" s="84">
        <f>IF($C16="","",SUMIFS(RawBtabs!$U$2:$U$1500,RawBtabs!$A$2:$A$1500,$C16,RawBtabs!$C$2:$C$1500,$E16))</f>
        <v>0</v>
      </c>
      <c r="J16" s="84">
        <f t="shared" si="1"/>
        <v>8</v>
      </c>
      <c r="K16" s="85">
        <f>IF($C16="","",$J16/Config!$C$9)</f>
        <v>1</v>
      </c>
      <c r="L16" s="84">
        <f>IF($C16="","",$J16-Config!$C$9)</f>
        <v>0</v>
      </c>
      <c r="M16" s="82" t="str">
        <f>IF($C16="","",IF($G16=0,"⛔ NO ENTRY IN BTABS",IF(ABS($L16)&lt;=Config!$C$10,"✅ OK ("&amp;TEXT($J16,"0.##")&amp;" h)",IF($L16&lt;0,"🔻 MISSING "&amp;TEXT(-$L16,"0.##")&amp;" h","🔺 OVER BY "&amp;TEXT($L16,"0.##")&amp;" h"))))</f>
        <v>✅ OK (8. h)</v>
      </c>
      <c r="N16" s="81">
        <f>IF($C16="","",IF($G16=0,3,IF(ABS($L16)&lt;=Config!$C$10,0,IF($L16&lt;0,2,1))))</f>
        <v>0</v>
      </c>
      <c r="O16" s="81" t="str">
        <f>IF($C16="","",IF($N16&gt;0,COUNTIFS($N$4:$N16,"&gt;0"),""))</f>
        <v/>
      </c>
    </row>
    <row r="17" spans="2:15" x14ac:dyDescent="0.25">
      <c r="B17" s="81">
        <f t="shared" si="0"/>
        <v>3</v>
      </c>
      <c r="C17" s="82" t="str">
        <f>IF(INT((ROW()-4)/5)+1&gt;Config!$C$14,"",INDEX(BPOworkers!$B$6:$B$105,INT((ROW()-4)/5)+1))</f>
        <v>A Lorenzo</v>
      </c>
      <c r="D17" s="82" t="str">
        <f>IF($C17="","",IFERROR(INDEX(BPOworkers!$E$6:$E$105,MATCH($C17,BPOworkers!$B$6:$B$105,0)),""))</f>
        <v>BPO Management</v>
      </c>
      <c r="E17" s="83">
        <f>IF($C17="","",Config!$C$7+MOD(ROW()-4,5))</f>
        <v>46268</v>
      </c>
      <c r="F17" s="82" t="str">
        <f>IF($C17="","",INDEX(Config!$F$7:$F$11,MOD(ROW()-4,5)+1))</f>
        <v>Thursday</v>
      </c>
      <c r="G17" s="81">
        <f>IF($C17="","",COUNTIFS(RawBtabs!$A$2:$A$1500,$C17,RawBtabs!$C$2:$C$1500,$E17))</f>
        <v>1</v>
      </c>
      <c r="H17" s="84">
        <f>IF($C17="","",SUMIFS(RawBtabs!$T$2:$T$1500,RawBtabs!$A$2:$A$1500,$C17,RawBtabs!$C$2:$C$1500,$E17))</f>
        <v>8</v>
      </c>
      <c r="I17" s="84">
        <f>IF($C17="","",SUMIFS(RawBtabs!$U$2:$U$1500,RawBtabs!$A$2:$A$1500,$C17,RawBtabs!$C$2:$C$1500,$E17))</f>
        <v>0</v>
      </c>
      <c r="J17" s="84">
        <f t="shared" si="1"/>
        <v>8</v>
      </c>
      <c r="K17" s="85">
        <f>IF($C17="","",$J17/Config!$C$9)</f>
        <v>1</v>
      </c>
      <c r="L17" s="84">
        <f>IF($C17="","",$J17-Config!$C$9)</f>
        <v>0</v>
      </c>
      <c r="M17" s="82" t="str">
        <f>IF($C17="","",IF($G17=0,"⛔ NO ENTRY IN BTABS",IF(ABS($L17)&lt;=Config!$C$10,"✅ OK ("&amp;TEXT($J17,"0.##")&amp;" h)",IF($L17&lt;0,"🔻 MISSING "&amp;TEXT(-$L17,"0.##")&amp;" h","🔺 OVER BY "&amp;TEXT($L17,"0.##")&amp;" h"))))</f>
        <v>✅ OK (8. h)</v>
      </c>
      <c r="N17" s="81">
        <f>IF($C17="","",IF($G17=0,3,IF(ABS($L17)&lt;=Config!$C$10,0,IF($L17&lt;0,2,1))))</f>
        <v>0</v>
      </c>
      <c r="O17" s="81" t="str">
        <f>IF($C17="","",IF($N17&gt;0,COUNTIFS($N$4:$N17,"&gt;0"),""))</f>
        <v/>
      </c>
    </row>
    <row r="18" spans="2:15" x14ac:dyDescent="0.25">
      <c r="B18" s="81">
        <f t="shared" si="0"/>
        <v>3</v>
      </c>
      <c r="C18" s="82" t="str">
        <f>IF(INT((ROW()-4)/5)+1&gt;Config!$C$14,"",INDEX(BPOworkers!$B$6:$B$105,INT((ROW()-4)/5)+1))</f>
        <v>A Lorenzo</v>
      </c>
      <c r="D18" s="82" t="str">
        <f>IF($C18="","",IFERROR(INDEX(BPOworkers!$E$6:$E$105,MATCH($C18,BPOworkers!$B$6:$B$105,0)),""))</f>
        <v>BPO Management</v>
      </c>
      <c r="E18" s="83">
        <f>IF($C18="","",Config!$C$7+MOD(ROW()-4,5))</f>
        <v>46269</v>
      </c>
      <c r="F18" s="82" t="str">
        <f>IF($C18="","",INDEX(Config!$F$7:$F$11,MOD(ROW()-4,5)+1))</f>
        <v>Friday</v>
      </c>
      <c r="G18" s="81">
        <f>IF($C18="","",COUNTIFS(RawBtabs!$A$2:$A$1500,$C18,RawBtabs!$C$2:$C$1500,$E18))</f>
        <v>1</v>
      </c>
      <c r="H18" s="84">
        <f>IF($C18="","",SUMIFS(RawBtabs!$T$2:$T$1500,RawBtabs!$A$2:$A$1500,$C18,RawBtabs!$C$2:$C$1500,$E18))</f>
        <v>8</v>
      </c>
      <c r="I18" s="84">
        <f>IF($C18="","",SUMIFS(RawBtabs!$U$2:$U$1500,RawBtabs!$A$2:$A$1500,$C18,RawBtabs!$C$2:$C$1500,$E18))</f>
        <v>0</v>
      </c>
      <c r="J18" s="84">
        <f t="shared" si="1"/>
        <v>8</v>
      </c>
      <c r="K18" s="85">
        <f>IF($C18="","",$J18/Config!$C$9)</f>
        <v>1</v>
      </c>
      <c r="L18" s="84">
        <f>IF($C18="","",$J18-Config!$C$9)</f>
        <v>0</v>
      </c>
      <c r="M18" s="82" t="str">
        <f>IF($C18="","",IF($G18=0,"⛔ NO ENTRY IN BTABS",IF(ABS($L18)&lt;=Config!$C$10,"✅ OK ("&amp;TEXT($J18,"0.##")&amp;" h)",IF($L18&lt;0,"🔻 MISSING "&amp;TEXT(-$L18,"0.##")&amp;" h","🔺 OVER BY "&amp;TEXT($L18,"0.##")&amp;" h"))))</f>
        <v>✅ OK (8. h)</v>
      </c>
      <c r="N18" s="81">
        <f>IF($C18="","",IF($G18=0,3,IF(ABS($L18)&lt;=Config!$C$10,0,IF($L18&lt;0,2,1))))</f>
        <v>0</v>
      </c>
      <c r="O18" s="81" t="str">
        <f>IF($C18="","",IF($N18&gt;0,COUNTIFS($N$4:$N18,"&gt;0"),""))</f>
        <v/>
      </c>
    </row>
    <row r="19" spans="2:15" x14ac:dyDescent="0.25">
      <c r="B19" s="81">
        <f t="shared" si="0"/>
        <v>4</v>
      </c>
      <c r="C19" s="82" t="str">
        <f>IF(INT((ROW()-4)/5)+1&gt;Config!$C$14,"",INDEX(BPOworkers!$B$6:$B$105,INT((ROW()-4)/5)+1))</f>
        <v>C Mesa</v>
      </c>
      <c r="D19" s="82" t="str">
        <f>IF($C19="","",IFERROR(INDEX(BPOworkers!$E$6:$E$105,MATCH($C19,BPOworkers!$B$6:$B$105,0)),""))</f>
        <v>M Leon</v>
      </c>
      <c r="E19" s="83">
        <f>IF($C19="","",Config!$C$7+MOD(ROW()-4,5))</f>
        <v>46265</v>
      </c>
      <c r="F19" s="82" t="str">
        <f>IF($C19="","",INDEX(Config!$F$7:$F$11,MOD(ROW()-4,5)+1))</f>
        <v>Monday</v>
      </c>
      <c r="G19" s="81">
        <f>IF($C19="","",COUNTIFS(RawBtabs!$A$2:$A$1500,$C19,RawBtabs!$C$2:$C$1500,$E19))</f>
        <v>1</v>
      </c>
      <c r="H19" s="84">
        <f>IF($C19="","",SUMIFS(RawBtabs!$T$2:$T$1500,RawBtabs!$A$2:$A$1500,$C19,RawBtabs!$C$2:$C$1500,$E19))</f>
        <v>0</v>
      </c>
      <c r="I19" s="84">
        <f>IF($C19="","",SUMIFS(RawBtabs!$U$2:$U$1500,RawBtabs!$A$2:$A$1500,$C19,RawBtabs!$C$2:$C$1500,$E19))</f>
        <v>8</v>
      </c>
      <c r="J19" s="84">
        <f t="shared" si="1"/>
        <v>8</v>
      </c>
      <c r="K19" s="85">
        <f>IF($C19="","",$J19/Config!$C$9)</f>
        <v>1</v>
      </c>
      <c r="L19" s="84">
        <f>IF($C19="","",$J19-Config!$C$9)</f>
        <v>0</v>
      </c>
      <c r="M19" s="82" t="str">
        <f>IF($C19="","",IF($G19=0,"⛔ NO ENTRY IN BTABS",IF(ABS($L19)&lt;=Config!$C$10,"✅ OK ("&amp;TEXT($J19,"0.##")&amp;" h)",IF($L19&lt;0,"🔻 MISSING "&amp;TEXT(-$L19,"0.##")&amp;" h","🔺 OVER BY "&amp;TEXT($L19,"0.##")&amp;" h"))))</f>
        <v>✅ OK (8. h)</v>
      </c>
      <c r="N19" s="81">
        <f>IF($C19="","",IF($G19=0,3,IF(ABS($L19)&lt;=Config!$C$10,0,IF($L19&lt;0,2,1))))</f>
        <v>0</v>
      </c>
      <c r="O19" s="81" t="str">
        <f>IF($C19="","",IF($N19&gt;0,COUNTIFS($N$4:$N19,"&gt;0"),""))</f>
        <v/>
      </c>
    </row>
    <row r="20" spans="2:15" x14ac:dyDescent="0.25">
      <c r="B20" s="81">
        <f t="shared" si="0"/>
        <v>4</v>
      </c>
      <c r="C20" s="82" t="str">
        <f>IF(INT((ROW()-4)/5)+1&gt;Config!$C$14,"",INDEX(BPOworkers!$B$6:$B$105,INT((ROW()-4)/5)+1))</f>
        <v>C Mesa</v>
      </c>
      <c r="D20" s="82" t="str">
        <f>IF($C20="","",IFERROR(INDEX(BPOworkers!$E$6:$E$105,MATCH($C20,BPOworkers!$B$6:$B$105,0)),""))</f>
        <v>M Leon</v>
      </c>
      <c r="E20" s="83">
        <f>IF($C20="","",Config!$C$7+MOD(ROW()-4,5))</f>
        <v>46266</v>
      </c>
      <c r="F20" s="82" t="str">
        <f>IF($C20="","",INDEX(Config!$F$7:$F$11,MOD(ROW()-4,5)+1))</f>
        <v>Tuesday</v>
      </c>
      <c r="G20" s="81">
        <f>IF($C20="","",COUNTIFS(RawBtabs!$A$2:$A$1500,$C20,RawBtabs!$C$2:$C$1500,$E20))</f>
        <v>1</v>
      </c>
      <c r="H20" s="84">
        <f>IF($C20="","",SUMIFS(RawBtabs!$T$2:$T$1500,RawBtabs!$A$2:$A$1500,$C20,RawBtabs!$C$2:$C$1500,$E20))</f>
        <v>0</v>
      </c>
      <c r="I20" s="84">
        <f>IF($C20="","",SUMIFS(RawBtabs!$U$2:$U$1500,RawBtabs!$A$2:$A$1500,$C20,RawBtabs!$C$2:$C$1500,$E20))</f>
        <v>8</v>
      </c>
      <c r="J20" s="84">
        <f t="shared" si="1"/>
        <v>8</v>
      </c>
      <c r="K20" s="85">
        <f>IF($C20="","",$J20/Config!$C$9)</f>
        <v>1</v>
      </c>
      <c r="L20" s="84">
        <f>IF($C20="","",$J20-Config!$C$9)</f>
        <v>0</v>
      </c>
      <c r="M20" s="82" t="str">
        <f>IF($C20="","",IF($G20=0,"⛔ NO ENTRY IN BTABS",IF(ABS($L20)&lt;=Config!$C$10,"✅ OK ("&amp;TEXT($J20,"0.##")&amp;" h)",IF($L20&lt;0,"🔻 MISSING "&amp;TEXT(-$L20,"0.##")&amp;" h","🔺 OVER BY "&amp;TEXT($L20,"0.##")&amp;" h"))))</f>
        <v>✅ OK (8. h)</v>
      </c>
      <c r="N20" s="81">
        <f>IF($C20="","",IF($G20=0,3,IF(ABS($L20)&lt;=Config!$C$10,0,IF($L20&lt;0,2,1))))</f>
        <v>0</v>
      </c>
      <c r="O20" s="81" t="str">
        <f>IF($C20="","",IF($N20&gt;0,COUNTIFS($N$4:$N20,"&gt;0"),""))</f>
        <v/>
      </c>
    </row>
    <row r="21" spans="2:15" x14ac:dyDescent="0.25">
      <c r="B21" s="81">
        <f t="shared" si="0"/>
        <v>4</v>
      </c>
      <c r="C21" s="82" t="str">
        <f>IF(INT((ROW()-4)/5)+1&gt;Config!$C$14,"",INDEX(BPOworkers!$B$6:$B$105,INT((ROW()-4)/5)+1))</f>
        <v>C Mesa</v>
      </c>
      <c r="D21" s="82" t="str">
        <f>IF($C21="","",IFERROR(INDEX(BPOworkers!$E$6:$E$105,MATCH($C21,BPOworkers!$B$6:$B$105,0)),""))</f>
        <v>M Leon</v>
      </c>
      <c r="E21" s="83">
        <f>IF($C21="","",Config!$C$7+MOD(ROW()-4,5))</f>
        <v>46267</v>
      </c>
      <c r="F21" s="82" t="str">
        <f>IF($C21="","",INDEX(Config!$F$7:$F$11,MOD(ROW()-4,5)+1))</f>
        <v>Wednesday</v>
      </c>
      <c r="G21" s="81">
        <f>IF($C21="","",COUNTIFS(RawBtabs!$A$2:$A$1500,$C21,RawBtabs!$C$2:$C$1500,$E21))</f>
        <v>1</v>
      </c>
      <c r="H21" s="84">
        <f>IF($C21="","",SUMIFS(RawBtabs!$T$2:$T$1500,RawBtabs!$A$2:$A$1500,$C21,RawBtabs!$C$2:$C$1500,$E21))</f>
        <v>0</v>
      </c>
      <c r="I21" s="84">
        <f>IF($C21="","",SUMIFS(RawBtabs!$U$2:$U$1500,RawBtabs!$A$2:$A$1500,$C21,RawBtabs!$C$2:$C$1500,$E21))</f>
        <v>8</v>
      </c>
      <c r="J21" s="84">
        <f t="shared" si="1"/>
        <v>8</v>
      </c>
      <c r="K21" s="85">
        <f>IF($C21="","",$J21/Config!$C$9)</f>
        <v>1</v>
      </c>
      <c r="L21" s="84">
        <f>IF($C21="","",$J21-Config!$C$9)</f>
        <v>0</v>
      </c>
      <c r="M21" s="82" t="str">
        <f>IF($C21="","",IF($G21=0,"⛔ NO ENTRY IN BTABS",IF(ABS($L21)&lt;=Config!$C$10,"✅ OK ("&amp;TEXT($J21,"0.##")&amp;" h)",IF($L21&lt;0,"🔻 MISSING "&amp;TEXT(-$L21,"0.##")&amp;" h","🔺 OVER BY "&amp;TEXT($L21,"0.##")&amp;" h"))))</f>
        <v>✅ OK (8. h)</v>
      </c>
      <c r="N21" s="81">
        <f>IF($C21="","",IF($G21=0,3,IF(ABS($L21)&lt;=Config!$C$10,0,IF($L21&lt;0,2,1))))</f>
        <v>0</v>
      </c>
      <c r="O21" s="81" t="str">
        <f>IF($C21="","",IF($N21&gt;0,COUNTIFS($N$4:$N21,"&gt;0"),""))</f>
        <v/>
      </c>
    </row>
    <row r="22" spans="2:15" x14ac:dyDescent="0.25">
      <c r="B22" s="81">
        <f t="shared" si="0"/>
        <v>4</v>
      </c>
      <c r="C22" s="82" t="str">
        <f>IF(INT((ROW()-4)/5)+1&gt;Config!$C$14,"",INDEX(BPOworkers!$B$6:$B$105,INT((ROW()-4)/5)+1))</f>
        <v>C Mesa</v>
      </c>
      <c r="D22" s="82" t="str">
        <f>IF($C22="","",IFERROR(INDEX(BPOworkers!$E$6:$E$105,MATCH($C22,BPOworkers!$B$6:$B$105,0)),""))</f>
        <v>M Leon</v>
      </c>
      <c r="E22" s="83">
        <f>IF($C22="","",Config!$C$7+MOD(ROW()-4,5))</f>
        <v>46268</v>
      </c>
      <c r="F22" s="82" t="str">
        <f>IF($C22="","",INDEX(Config!$F$7:$F$11,MOD(ROW()-4,5)+1))</f>
        <v>Thursday</v>
      </c>
      <c r="G22" s="81">
        <f>IF($C22="","",COUNTIFS(RawBtabs!$A$2:$A$1500,$C22,RawBtabs!$C$2:$C$1500,$E22))</f>
        <v>1</v>
      </c>
      <c r="H22" s="84">
        <f>IF($C22="","",SUMIFS(RawBtabs!$T$2:$T$1500,RawBtabs!$A$2:$A$1500,$C22,RawBtabs!$C$2:$C$1500,$E22))</f>
        <v>0</v>
      </c>
      <c r="I22" s="84">
        <f>IF($C22="","",SUMIFS(RawBtabs!$U$2:$U$1500,RawBtabs!$A$2:$A$1500,$C22,RawBtabs!$C$2:$C$1500,$E22))</f>
        <v>8</v>
      </c>
      <c r="J22" s="84">
        <f t="shared" si="1"/>
        <v>8</v>
      </c>
      <c r="K22" s="85">
        <f>IF($C22="","",$J22/Config!$C$9)</f>
        <v>1</v>
      </c>
      <c r="L22" s="84">
        <f>IF($C22="","",$J22-Config!$C$9)</f>
        <v>0</v>
      </c>
      <c r="M22" s="82" t="str">
        <f>IF($C22="","",IF($G22=0,"⛔ NO ENTRY IN BTABS",IF(ABS($L22)&lt;=Config!$C$10,"✅ OK ("&amp;TEXT($J22,"0.##")&amp;" h)",IF($L22&lt;0,"🔻 MISSING "&amp;TEXT(-$L22,"0.##")&amp;" h","🔺 OVER BY "&amp;TEXT($L22,"0.##")&amp;" h"))))</f>
        <v>✅ OK (8. h)</v>
      </c>
      <c r="N22" s="81">
        <f>IF($C22="","",IF($G22=0,3,IF(ABS($L22)&lt;=Config!$C$10,0,IF($L22&lt;0,2,1))))</f>
        <v>0</v>
      </c>
      <c r="O22" s="81" t="str">
        <f>IF($C22="","",IF($N22&gt;0,COUNTIFS($N$4:$N22,"&gt;0"),""))</f>
        <v/>
      </c>
    </row>
    <row r="23" spans="2:15" x14ac:dyDescent="0.25">
      <c r="B23" s="81">
        <f t="shared" si="0"/>
        <v>4</v>
      </c>
      <c r="C23" s="82" t="str">
        <f>IF(INT((ROW()-4)/5)+1&gt;Config!$C$14,"",INDEX(BPOworkers!$B$6:$B$105,INT((ROW()-4)/5)+1))</f>
        <v>C Mesa</v>
      </c>
      <c r="D23" s="82" t="str">
        <f>IF($C23="","",IFERROR(INDEX(BPOworkers!$E$6:$E$105,MATCH($C23,BPOworkers!$B$6:$B$105,0)),""))</f>
        <v>M Leon</v>
      </c>
      <c r="E23" s="83">
        <f>IF($C23="","",Config!$C$7+MOD(ROW()-4,5))</f>
        <v>46269</v>
      </c>
      <c r="F23" s="82" t="str">
        <f>IF($C23="","",INDEX(Config!$F$7:$F$11,MOD(ROW()-4,5)+1))</f>
        <v>Friday</v>
      </c>
      <c r="G23" s="81">
        <f>IF($C23="","",COUNTIFS(RawBtabs!$A$2:$A$1500,$C23,RawBtabs!$C$2:$C$1500,$E23))</f>
        <v>1</v>
      </c>
      <c r="H23" s="84">
        <f>IF($C23="","",SUMIFS(RawBtabs!$T$2:$T$1500,RawBtabs!$A$2:$A$1500,$C23,RawBtabs!$C$2:$C$1500,$E23))</f>
        <v>0</v>
      </c>
      <c r="I23" s="84">
        <f>IF($C23="","",SUMIFS(RawBtabs!$U$2:$U$1500,RawBtabs!$A$2:$A$1500,$C23,RawBtabs!$C$2:$C$1500,$E23))</f>
        <v>8</v>
      </c>
      <c r="J23" s="84">
        <f t="shared" si="1"/>
        <v>8</v>
      </c>
      <c r="K23" s="85">
        <f>IF($C23="","",$J23/Config!$C$9)</f>
        <v>1</v>
      </c>
      <c r="L23" s="84">
        <f>IF($C23="","",$J23-Config!$C$9)</f>
        <v>0</v>
      </c>
      <c r="M23" s="82" t="str">
        <f>IF($C23="","",IF($G23=0,"⛔ NO ENTRY IN BTABS",IF(ABS($L23)&lt;=Config!$C$10,"✅ OK ("&amp;TEXT($J23,"0.##")&amp;" h)",IF($L23&lt;0,"🔻 MISSING "&amp;TEXT(-$L23,"0.##")&amp;" h","🔺 OVER BY "&amp;TEXT($L23,"0.##")&amp;" h"))))</f>
        <v>✅ OK (8. h)</v>
      </c>
      <c r="N23" s="81">
        <f>IF($C23="","",IF($G23=0,3,IF(ABS($L23)&lt;=Config!$C$10,0,IF($L23&lt;0,2,1))))</f>
        <v>0</v>
      </c>
      <c r="O23" s="81" t="str">
        <f>IF($C23="","",IF($N23&gt;0,COUNTIFS($N$4:$N23,"&gt;0"),""))</f>
        <v/>
      </c>
    </row>
    <row r="24" spans="2:15" x14ac:dyDescent="0.25">
      <c r="B24" s="81">
        <f t="shared" si="0"/>
        <v>5</v>
      </c>
      <c r="C24" s="82" t="str">
        <f>IF(INT((ROW()-4)/5)+1&gt;Config!$C$14,"",INDEX(BPOworkers!$B$6:$B$105,INT((ROW()-4)/5)+1))</f>
        <v>H Daza</v>
      </c>
      <c r="D24" s="82" t="str">
        <f>IF($C24="","",IFERROR(INDEX(BPOworkers!$E$6:$E$105,MATCH($C24,BPOworkers!$B$6:$B$105,0)),""))</f>
        <v>BPO Management</v>
      </c>
      <c r="E24" s="83">
        <f>IF($C24="","",Config!$C$7+MOD(ROW()-4,5))</f>
        <v>46265</v>
      </c>
      <c r="F24" s="82" t="str">
        <f>IF($C24="","",INDEX(Config!$F$7:$F$11,MOD(ROW()-4,5)+1))</f>
        <v>Monday</v>
      </c>
      <c r="G24" s="81">
        <f>IF($C24="","",COUNTIFS(RawBtabs!$A$2:$A$1500,$C24,RawBtabs!$C$2:$C$1500,$E24))</f>
        <v>2</v>
      </c>
      <c r="H24" s="84">
        <f>IF($C24="","",SUMIFS(RawBtabs!$T$2:$T$1500,RawBtabs!$A$2:$A$1500,$C24,RawBtabs!$C$2:$C$1500,$E24))</f>
        <v>8</v>
      </c>
      <c r="I24" s="84">
        <f>IF($C24="","",SUMIFS(RawBtabs!$U$2:$U$1500,RawBtabs!$A$2:$A$1500,$C24,RawBtabs!$C$2:$C$1500,$E24))</f>
        <v>0</v>
      </c>
      <c r="J24" s="84">
        <f t="shared" si="1"/>
        <v>8</v>
      </c>
      <c r="K24" s="85">
        <f>IF($C24="","",$J24/Config!$C$9)</f>
        <v>1</v>
      </c>
      <c r="L24" s="84">
        <f>IF($C24="","",$J24-Config!$C$9)</f>
        <v>0</v>
      </c>
      <c r="M24" s="82" t="str">
        <f>IF($C24="","",IF($G24=0,"⛔ NO ENTRY IN BTABS",IF(ABS($L24)&lt;=Config!$C$10,"✅ OK ("&amp;TEXT($J24,"0.##")&amp;" h)",IF($L24&lt;0,"🔻 MISSING "&amp;TEXT(-$L24,"0.##")&amp;" h","🔺 OVER BY "&amp;TEXT($L24,"0.##")&amp;" h"))))</f>
        <v>✅ OK (8. h)</v>
      </c>
      <c r="N24" s="81">
        <f>IF($C24="","",IF($G24=0,3,IF(ABS($L24)&lt;=Config!$C$10,0,IF($L24&lt;0,2,1))))</f>
        <v>0</v>
      </c>
      <c r="O24" s="81" t="str">
        <f>IF($C24="","",IF($N24&gt;0,COUNTIFS($N$4:$N24,"&gt;0"),""))</f>
        <v/>
      </c>
    </row>
    <row r="25" spans="2:15" x14ac:dyDescent="0.25">
      <c r="B25" s="81">
        <f t="shared" si="0"/>
        <v>5</v>
      </c>
      <c r="C25" s="82" t="str">
        <f>IF(INT((ROW()-4)/5)+1&gt;Config!$C$14,"",INDEX(BPOworkers!$B$6:$B$105,INT((ROW()-4)/5)+1))</f>
        <v>H Daza</v>
      </c>
      <c r="D25" s="82" t="str">
        <f>IF($C25="","",IFERROR(INDEX(BPOworkers!$E$6:$E$105,MATCH($C25,BPOworkers!$B$6:$B$105,0)),""))</f>
        <v>BPO Management</v>
      </c>
      <c r="E25" s="83">
        <f>IF($C25="","",Config!$C$7+MOD(ROW()-4,5))</f>
        <v>46266</v>
      </c>
      <c r="F25" s="82" t="str">
        <f>IF($C25="","",INDEX(Config!$F$7:$F$11,MOD(ROW()-4,5)+1))</f>
        <v>Tuesday</v>
      </c>
      <c r="G25" s="81">
        <f>IF($C25="","",COUNTIFS(RawBtabs!$A$2:$A$1500,$C25,RawBtabs!$C$2:$C$1500,$E25))</f>
        <v>2</v>
      </c>
      <c r="H25" s="84">
        <f>IF($C25="","",SUMIFS(RawBtabs!$T$2:$T$1500,RawBtabs!$A$2:$A$1500,$C25,RawBtabs!$C$2:$C$1500,$E25))</f>
        <v>8</v>
      </c>
      <c r="I25" s="84">
        <f>IF($C25="","",SUMIFS(RawBtabs!$U$2:$U$1500,RawBtabs!$A$2:$A$1500,$C25,RawBtabs!$C$2:$C$1500,$E25))</f>
        <v>0</v>
      </c>
      <c r="J25" s="84">
        <f t="shared" si="1"/>
        <v>8</v>
      </c>
      <c r="K25" s="85">
        <f>IF($C25="","",$J25/Config!$C$9)</f>
        <v>1</v>
      </c>
      <c r="L25" s="84">
        <f>IF($C25="","",$J25-Config!$C$9)</f>
        <v>0</v>
      </c>
      <c r="M25" s="82" t="str">
        <f>IF($C25="","",IF($G25=0,"⛔ NO ENTRY IN BTABS",IF(ABS($L25)&lt;=Config!$C$10,"✅ OK ("&amp;TEXT($J25,"0.##")&amp;" h)",IF($L25&lt;0,"🔻 MISSING "&amp;TEXT(-$L25,"0.##")&amp;" h","🔺 OVER BY "&amp;TEXT($L25,"0.##")&amp;" h"))))</f>
        <v>✅ OK (8. h)</v>
      </c>
      <c r="N25" s="81">
        <f>IF($C25="","",IF($G25=0,3,IF(ABS($L25)&lt;=Config!$C$10,0,IF($L25&lt;0,2,1))))</f>
        <v>0</v>
      </c>
      <c r="O25" s="81" t="str">
        <f>IF($C25="","",IF($N25&gt;0,COUNTIFS($N$4:$N25,"&gt;0"),""))</f>
        <v/>
      </c>
    </row>
    <row r="26" spans="2:15" x14ac:dyDescent="0.25">
      <c r="B26" s="81">
        <f t="shared" si="0"/>
        <v>5</v>
      </c>
      <c r="C26" s="82" t="str">
        <f>IF(INT((ROW()-4)/5)+1&gt;Config!$C$14,"",INDEX(BPOworkers!$B$6:$B$105,INT((ROW()-4)/5)+1))</f>
        <v>H Daza</v>
      </c>
      <c r="D26" s="82" t="str">
        <f>IF($C26="","",IFERROR(INDEX(BPOworkers!$E$6:$E$105,MATCH($C26,BPOworkers!$B$6:$B$105,0)),""))</f>
        <v>BPO Management</v>
      </c>
      <c r="E26" s="83">
        <f>IF($C26="","",Config!$C$7+MOD(ROW()-4,5))</f>
        <v>46267</v>
      </c>
      <c r="F26" s="82" t="str">
        <f>IF($C26="","",INDEX(Config!$F$7:$F$11,MOD(ROW()-4,5)+1))</f>
        <v>Wednesday</v>
      </c>
      <c r="G26" s="81">
        <f>IF($C26="","",COUNTIFS(RawBtabs!$A$2:$A$1500,$C26,RawBtabs!$C$2:$C$1500,$E26))</f>
        <v>3</v>
      </c>
      <c r="H26" s="84">
        <f>IF($C26="","",SUMIFS(RawBtabs!$T$2:$T$1500,RawBtabs!$A$2:$A$1500,$C26,RawBtabs!$C$2:$C$1500,$E26))</f>
        <v>8</v>
      </c>
      <c r="I26" s="84">
        <f>IF($C26="","",SUMIFS(RawBtabs!$U$2:$U$1500,RawBtabs!$A$2:$A$1500,$C26,RawBtabs!$C$2:$C$1500,$E26))</f>
        <v>0</v>
      </c>
      <c r="J26" s="84">
        <f t="shared" si="1"/>
        <v>8</v>
      </c>
      <c r="K26" s="85">
        <f>IF($C26="","",$J26/Config!$C$9)</f>
        <v>1</v>
      </c>
      <c r="L26" s="84">
        <f>IF($C26="","",$J26-Config!$C$9)</f>
        <v>0</v>
      </c>
      <c r="M26" s="82" t="str">
        <f>IF($C26="","",IF($G26=0,"⛔ NO ENTRY IN BTABS",IF(ABS($L26)&lt;=Config!$C$10,"✅ OK ("&amp;TEXT($J26,"0.##")&amp;" h)",IF($L26&lt;0,"🔻 MISSING "&amp;TEXT(-$L26,"0.##")&amp;" h","🔺 OVER BY "&amp;TEXT($L26,"0.##")&amp;" h"))))</f>
        <v>✅ OK (8. h)</v>
      </c>
      <c r="N26" s="81">
        <f>IF($C26="","",IF($G26=0,3,IF(ABS($L26)&lt;=Config!$C$10,0,IF($L26&lt;0,2,1))))</f>
        <v>0</v>
      </c>
      <c r="O26" s="81" t="str">
        <f>IF($C26="","",IF($N26&gt;0,COUNTIFS($N$4:$N26,"&gt;0"),""))</f>
        <v/>
      </c>
    </row>
    <row r="27" spans="2:15" x14ac:dyDescent="0.25">
      <c r="B27" s="81">
        <f t="shared" si="0"/>
        <v>5</v>
      </c>
      <c r="C27" s="82" t="str">
        <f>IF(INT((ROW()-4)/5)+1&gt;Config!$C$14,"",INDEX(BPOworkers!$B$6:$B$105,INT((ROW()-4)/5)+1))</f>
        <v>H Daza</v>
      </c>
      <c r="D27" s="82" t="str">
        <f>IF($C27="","",IFERROR(INDEX(BPOworkers!$E$6:$E$105,MATCH($C27,BPOworkers!$B$6:$B$105,0)),""))</f>
        <v>BPO Management</v>
      </c>
      <c r="E27" s="83">
        <f>IF($C27="","",Config!$C$7+MOD(ROW()-4,5))</f>
        <v>46268</v>
      </c>
      <c r="F27" s="82" t="str">
        <f>IF($C27="","",INDEX(Config!$F$7:$F$11,MOD(ROW()-4,5)+1))</f>
        <v>Thursday</v>
      </c>
      <c r="G27" s="81">
        <f>IF($C27="","",COUNTIFS(RawBtabs!$A$2:$A$1500,$C27,RawBtabs!$C$2:$C$1500,$E27))</f>
        <v>1</v>
      </c>
      <c r="H27" s="84">
        <f>IF($C27="","",SUMIFS(RawBtabs!$T$2:$T$1500,RawBtabs!$A$2:$A$1500,$C27,RawBtabs!$C$2:$C$1500,$E27))</f>
        <v>8</v>
      </c>
      <c r="I27" s="84">
        <f>IF($C27="","",SUMIFS(RawBtabs!$U$2:$U$1500,RawBtabs!$A$2:$A$1500,$C27,RawBtabs!$C$2:$C$1500,$E27))</f>
        <v>0</v>
      </c>
      <c r="J27" s="84">
        <f t="shared" si="1"/>
        <v>8</v>
      </c>
      <c r="K27" s="85">
        <f>IF($C27="","",$J27/Config!$C$9)</f>
        <v>1</v>
      </c>
      <c r="L27" s="84">
        <f>IF($C27="","",$J27-Config!$C$9)</f>
        <v>0</v>
      </c>
      <c r="M27" s="82" t="str">
        <f>IF($C27="","",IF($G27=0,"⛔ NO ENTRY IN BTABS",IF(ABS($L27)&lt;=Config!$C$10,"✅ OK ("&amp;TEXT($J27,"0.##")&amp;" h)",IF($L27&lt;0,"🔻 MISSING "&amp;TEXT(-$L27,"0.##")&amp;" h","🔺 OVER BY "&amp;TEXT($L27,"0.##")&amp;" h"))))</f>
        <v>✅ OK (8. h)</v>
      </c>
      <c r="N27" s="81">
        <f>IF($C27="","",IF($G27=0,3,IF(ABS($L27)&lt;=Config!$C$10,0,IF($L27&lt;0,2,1))))</f>
        <v>0</v>
      </c>
      <c r="O27" s="81" t="str">
        <f>IF($C27="","",IF($N27&gt;0,COUNTIFS($N$4:$N27,"&gt;0"),""))</f>
        <v/>
      </c>
    </row>
    <row r="28" spans="2:15" x14ac:dyDescent="0.25">
      <c r="B28" s="81">
        <f t="shared" si="0"/>
        <v>5</v>
      </c>
      <c r="C28" s="82" t="str">
        <f>IF(INT((ROW()-4)/5)+1&gt;Config!$C$14,"",INDEX(BPOworkers!$B$6:$B$105,INT((ROW()-4)/5)+1))</f>
        <v>H Daza</v>
      </c>
      <c r="D28" s="82" t="str">
        <f>IF($C28="","",IFERROR(INDEX(BPOworkers!$E$6:$E$105,MATCH($C28,BPOworkers!$B$6:$B$105,0)),""))</f>
        <v>BPO Management</v>
      </c>
      <c r="E28" s="83">
        <f>IF($C28="","",Config!$C$7+MOD(ROW()-4,5))</f>
        <v>46269</v>
      </c>
      <c r="F28" s="82" t="str">
        <f>IF($C28="","",INDEX(Config!$F$7:$F$11,MOD(ROW()-4,5)+1))</f>
        <v>Friday</v>
      </c>
      <c r="G28" s="81">
        <f>IF($C28="","",COUNTIFS(RawBtabs!$A$2:$A$1500,$C28,RawBtabs!$C$2:$C$1500,$E28))</f>
        <v>2</v>
      </c>
      <c r="H28" s="84">
        <f>IF($C28="","",SUMIFS(RawBtabs!$T$2:$T$1500,RawBtabs!$A$2:$A$1500,$C28,RawBtabs!$C$2:$C$1500,$E28))</f>
        <v>8</v>
      </c>
      <c r="I28" s="84">
        <f>IF($C28="","",SUMIFS(RawBtabs!$U$2:$U$1500,RawBtabs!$A$2:$A$1500,$C28,RawBtabs!$C$2:$C$1500,$E28))</f>
        <v>0</v>
      </c>
      <c r="J28" s="84">
        <f t="shared" si="1"/>
        <v>8</v>
      </c>
      <c r="K28" s="85">
        <f>IF($C28="","",$J28/Config!$C$9)</f>
        <v>1</v>
      </c>
      <c r="L28" s="84">
        <f>IF($C28="","",$J28-Config!$C$9)</f>
        <v>0</v>
      </c>
      <c r="M28" s="82" t="str">
        <f>IF($C28="","",IF($G28=0,"⛔ NO ENTRY IN BTABS",IF(ABS($L28)&lt;=Config!$C$10,"✅ OK ("&amp;TEXT($J28,"0.##")&amp;" h)",IF($L28&lt;0,"🔻 MISSING "&amp;TEXT(-$L28,"0.##")&amp;" h","🔺 OVER BY "&amp;TEXT($L28,"0.##")&amp;" h"))))</f>
        <v>✅ OK (8. h)</v>
      </c>
      <c r="N28" s="81">
        <f>IF($C28="","",IF($G28=0,3,IF(ABS($L28)&lt;=Config!$C$10,0,IF($L28&lt;0,2,1))))</f>
        <v>0</v>
      </c>
      <c r="O28" s="81" t="str">
        <f>IF($C28="","",IF($N28&gt;0,COUNTIFS($N$4:$N28,"&gt;0"),""))</f>
        <v/>
      </c>
    </row>
    <row r="29" spans="2:15" x14ac:dyDescent="0.25">
      <c r="B29" s="81">
        <f t="shared" si="0"/>
        <v>6</v>
      </c>
      <c r="C29" s="82" t="str">
        <f>IF(INT((ROW()-4)/5)+1&gt;Config!$C$14,"",INDEX(BPOworkers!$B$6:$B$105,INT((ROW()-4)/5)+1))</f>
        <v>I De La Parra</v>
      </c>
      <c r="D29" s="82" t="str">
        <f>IF($C29="","",IFERROR(INDEX(BPOworkers!$E$6:$E$105,MATCH($C29,BPOworkers!$B$6:$B$105,0)),""))</f>
        <v>A Lorenzo</v>
      </c>
      <c r="E29" s="83">
        <f>IF($C29="","",Config!$C$7+MOD(ROW()-4,5))</f>
        <v>46265</v>
      </c>
      <c r="F29" s="82" t="str">
        <f>IF($C29="","",INDEX(Config!$F$7:$F$11,MOD(ROW()-4,5)+1))</f>
        <v>Monday</v>
      </c>
      <c r="G29" s="81">
        <f>IF($C29="","",COUNTIFS(RawBtabs!$A$2:$A$1500,$C29,RawBtabs!$C$2:$C$1500,$E29))</f>
        <v>1</v>
      </c>
      <c r="H29" s="84">
        <f>IF($C29="","",SUMIFS(RawBtabs!$T$2:$T$1500,RawBtabs!$A$2:$A$1500,$C29,RawBtabs!$C$2:$C$1500,$E29))</f>
        <v>8</v>
      </c>
      <c r="I29" s="84">
        <f>IF($C29="","",SUMIFS(RawBtabs!$U$2:$U$1500,RawBtabs!$A$2:$A$1500,$C29,RawBtabs!$C$2:$C$1500,$E29))</f>
        <v>0</v>
      </c>
      <c r="J29" s="84">
        <f t="shared" si="1"/>
        <v>8</v>
      </c>
      <c r="K29" s="85">
        <f>IF($C29="","",$J29/Config!$C$9)</f>
        <v>1</v>
      </c>
      <c r="L29" s="84">
        <f>IF($C29="","",$J29-Config!$C$9)</f>
        <v>0</v>
      </c>
      <c r="M29" s="82" t="str">
        <f>IF($C29="","",IF($G29=0,"⛔ NO ENTRY IN BTABS",IF(ABS($L29)&lt;=Config!$C$10,"✅ OK ("&amp;TEXT($J29,"0.##")&amp;" h)",IF($L29&lt;0,"🔻 MISSING "&amp;TEXT(-$L29,"0.##")&amp;" h","🔺 OVER BY "&amp;TEXT($L29,"0.##")&amp;" h"))))</f>
        <v>✅ OK (8. h)</v>
      </c>
      <c r="N29" s="81">
        <f>IF($C29="","",IF($G29=0,3,IF(ABS($L29)&lt;=Config!$C$10,0,IF($L29&lt;0,2,1))))</f>
        <v>0</v>
      </c>
      <c r="O29" s="81" t="str">
        <f>IF($C29="","",IF($N29&gt;0,COUNTIFS($N$4:$N29,"&gt;0"),""))</f>
        <v/>
      </c>
    </row>
    <row r="30" spans="2:15" x14ac:dyDescent="0.25">
      <c r="B30" s="81">
        <f t="shared" si="0"/>
        <v>6</v>
      </c>
      <c r="C30" s="82" t="str">
        <f>IF(INT((ROW()-4)/5)+1&gt;Config!$C$14,"",INDEX(BPOworkers!$B$6:$B$105,INT((ROW()-4)/5)+1))</f>
        <v>I De La Parra</v>
      </c>
      <c r="D30" s="82" t="str">
        <f>IF($C30="","",IFERROR(INDEX(BPOworkers!$E$6:$E$105,MATCH($C30,BPOworkers!$B$6:$B$105,0)),""))</f>
        <v>A Lorenzo</v>
      </c>
      <c r="E30" s="83">
        <f>IF($C30="","",Config!$C$7+MOD(ROW()-4,5))</f>
        <v>46266</v>
      </c>
      <c r="F30" s="82" t="str">
        <f>IF($C30="","",INDEX(Config!$F$7:$F$11,MOD(ROW()-4,5)+1))</f>
        <v>Tuesday</v>
      </c>
      <c r="G30" s="81">
        <f>IF($C30="","",COUNTIFS(RawBtabs!$A$2:$A$1500,$C30,RawBtabs!$C$2:$C$1500,$E30))</f>
        <v>1</v>
      </c>
      <c r="H30" s="84">
        <f>IF($C30="","",SUMIFS(RawBtabs!$T$2:$T$1500,RawBtabs!$A$2:$A$1500,$C30,RawBtabs!$C$2:$C$1500,$E30))</f>
        <v>8</v>
      </c>
      <c r="I30" s="84">
        <f>IF($C30="","",SUMIFS(RawBtabs!$U$2:$U$1500,RawBtabs!$A$2:$A$1500,$C30,RawBtabs!$C$2:$C$1500,$E30))</f>
        <v>0</v>
      </c>
      <c r="J30" s="84">
        <f t="shared" si="1"/>
        <v>8</v>
      </c>
      <c r="K30" s="85">
        <f>IF($C30="","",$J30/Config!$C$9)</f>
        <v>1</v>
      </c>
      <c r="L30" s="84">
        <f>IF($C30="","",$J30-Config!$C$9)</f>
        <v>0</v>
      </c>
      <c r="M30" s="82" t="str">
        <f>IF($C30="","",IF($G30=0,"⛔ NO ENTRY IN BTABS",IF(ABS($L30)&lt;=Config!$C$10,"✅ OK ("&amp;TEXT($J30,"0.##")&amp;" h)",IF($L30&lt;0,"🔻 MISSING "&amp;TEXT(-$L30,"0.##")&amp;" h","🔺 OVER BY "&amp;TEXT($L30,"0.##")&amp;" h"))))</f>
        <v>✅ OK (8. h)</v>
      </c>
      <c r="N30" s="81">
        <f>IF($C30="","",IF($G30=0,3,IF(ABS($L30)&lt;=Config!$C$10,0,IF($L30&lt;0,2,1))))</f>
        <v>0</v>
      </c>
      <c r="O30" s="81" t="str">
        <f>IF($C30="","",IF($N30&gt;0,COUNTIFS($N$4:$N30,"&gt;0"),""))</f>
        <v/>
      </c>
    </row>
    <row r="31" spans="2:15" x14ac:dyDescent="0.25">
      <c r="B31" s="81">
        <f t="shared" si="0"/>
        <v>6</v>
      </c>
      <c r="C31" s="82" t="str">
        <f>IF(INT((ROW()-4)/5)+1&gt;Config!$C$14,"",INDEX(BPOworkers!$B$6:$B$105,INT((ROW()-4)/5)+1))</f>
        <v>I De La Parra</v>
      </c>
      <c r="D31" s="82" t="str">
        <f>IF($C31="","",IFERROR(INDEX(BPOworkers!$E$6:$E$105,MATCH($C31,BPOworkers!$B$6:$B$105,0)),""))</f>
        <v>A Lorenzo</v>
      </c>
      <c r="E31" s="83">
        <f>IF($C31="","",Config!$C$7+MOD(ROW()-4,5))</f>
        <v>46267</v>
      </c>
      <c r="F31" s="82" t="str">
        <f>IF($C31="","",INDEX(Config!$F$7:$F$11,MOD(ROW()-4,5)+1))</f>
        <v>Wednesday</v>
      </c>
      <c r="G31" s="81">
        <f>IF($C31="","",COUNTIFS(RawBtabs!$A$2:$A$1500,$C31,RawBtabs!$C$2:$C$1500,$E31))</f>
        <v>1</v>
      </c>
      <c r="H31" s="84">
        <f>IF($C31="","",SUMIFS(RawBtabs!$T$2:$T$1500,RawBtabs!$A$2:$A$1500,$C31,RawBtabs!$C$2:$C$1500,$E31))</f>
        <v>8</v>
      </c>
      <c r="I31" s="84">
        <f>IF($C31="","",SUMIFS(RawBtabs!$U$2:$U$1500,RawBtabs!$A$2:$A$1500,$C31,RawBtabs!$C$2:$C$1500,$E31))</f>
        <v>0</v>
      </c>
      <c r="J31" s="84">
        <f t="shared" si="1"/>
        <v>8</v>
      </c>
      <c r="K31" s="85">
        <f>IF($C31="","",$J31/Config!$C$9)</f>
        <v>1</v>
      </c>
      <c r="L31" s="84">
        <f>IF($C31="","",$J31-Config!$C$9)</f>
        <v>0</v>
      </c>
      <c r="M31" s="82" t="str">
        <f>IF($C31="","",IF($G31=0,"⛔ NO ENTRY IN BTABS",IF(ABS($L31)&lt;=Config!$C$10,"✅ OK ("&amp;TEXT($J31,"0.##")&amp;" h)",IF($L31&lt;0,"🔻 MISSING "&amp;TEXT(-$L31,"0.##")&amp;" h","🔺 OVER BY "&amp;TEXT($L31,"0.##")&amp;" h"))))</f>
        <v>✅ OK (8. h)</v>
      </c>
      <c r="N31" s="81">
        <f>IF($C31="","",IF($G31=0,3,IF(ABS($L31)&lt;=Config!$C$10,0,IF($L31&lt;0,2,1))))</f>
        <v>0</v>
      </c>
      <c r="O31" s="81" t="str">
        <f>IF($C31="","",IF($N31&gt;0,COUNTIFS($N$4:$N31,"&gt;0"),""))</f>
        <v/>
      </c>
    </row>
    <row r="32" spans="2:15" x14ac:dyDescent="0.25">
      <c r="B32" s="81">
        <f t="shared" si="0"/>
        <v>6</v>
      </c>
      <c r="C32" s="82" t="str">
        <f>IF(INT((ROW()-4)/5)+1&gt;Config!$C$14,"",INDEX(BPOworkers!$B$6:$B$105,INT((ROW()-4)/5)+1))</f>
        <v>I De La Parra</v>
      </c>
      <c r="D32" s="82" t="str">
        <f>IF($C32="","",IFERROR(INDEX(BPOworkers!$E$6:$E$105,MATCH($C32,BPOworkers!$B$6:$B$105,0)),""))</f>
        <v>A Lorenzo</v>
      </c>
      <c r="E32" s="83">
        <f>IF($C32="","",Config!$C$7+MOD(ROW()-4,5))</f>
        <v>46268</v>
      </c>
      <c r="F32" s="82" t="str">
        <f>IF($C32="","",INDEX(Config!$F$7:$F$11,MOD(ROW()-4,5)+1))</f>
        <v>Thursday</v>
      </c>
      <c r="G32" s="81">
        <f>IF($C32="","",COUNTIFS(RawBtabs!$A$2:$A$1500,$C32,RawBtabs!$C$2:$C$1500,$E32))</f>
        <v>1</v>
      </c>
      <c r="H32" s="84">
        <f>IF($C32="","",SUMIFS(RawBtabs!$T$2:$T$1500,RawBtabs!$A$2:$A$1500,$C32,RawBtabs!$C$2:$C$1500,$E32))</f>
        <v>8</v>
      </c>
      <c r="I32" s="84">
        <f>IF($C32="","",SUMIFS(RawBtabs!$U$2:$U$1500,RawBtabs!$A$2:$A$1500,$C32,RawBtabs!$C$2:$C$1500,$E32))</f>
        <v>0</v>
      </c>
      <c r="J32" s="84">
        <f t="shared" si="1"/>
        <v>8</v>
      </c>
      <c r="K32" s="85">
        <f>IF($C32="","",$J32/Config!$C$9)</f>
        <v>1</v>
      </c>
      <c r="L32" s="84">
        <f>IF($C32="","",$J32-Config!$C$9)</f>
        <v>0</v>
      </c>
      <c r="M32" s="82" t="str">
        <f>IF($C32="","",IF($G32=0,"⛔ NO ENTRY IN BTABS",IF(ABS($L32)&lt;=Config!$C$10,"✅ OK ("&amp;TEXT($J32,"0.##")&amp;" h)",IF($L32&lt;0,"🔻 MISSING "&amp;TEXT(-$L32,"0.##")&amp;" h","🔺 OVER BY "&amp;TEXT($L32,"0.##")&amp;" h"))))</f>
        <v>✅ OK (8. h)</v>
      </c>
      <c r="N32" s="81">
        <f>IF($C32="","",IF($G32=0,3,IF(ABS($L32)&lt;=Config!$C$10,0,IF($L32&lt;0,2,1))))</f>
        <v>0</v>
      </c>
      <c r="O32" s="81" t="str">
        <f>IF($C32="","",IF($N32&gt;0,COUNTIFS($N$4:$N32,"&gt;0"),""))</f>
        <v/>
      </c>
    </row>
    <row r="33" spans="2:15" x14ac:dyDescent="0.25">
      <c r="B33" s="81">
        <f t="shared" si="0"/>
        <v>6</v>
      </c>
      <c r="C33" s="82" t="str">
        <f>IF(INT((ROW()-4)/5)+1&gt;Config!$C$14,"",INDEX(BPOworkers!$B$6:$B$105,INT((ROW()-4)/5)+1))</f>
        <v>I De La Parra</v>
      </c>
      <c r="D33" s="82" t="str">
        <f>IF($C33="","",IFERROR(INDEX(BPOworkers!$E$6:$E$105,MATCH($C33,BPOworkers!$B$6:$B$105,0)),""))</f>
        <v>A Lorenzo</v>
      </c>
      <c r="E33" s="83">
        <f>IF($C33="","",Config!$C$7+MOD(ROW()-4,5))</f>
        <v>46269</v>
      </c>
      <c r="F33" s="82" t="str">
        <f>IF($C33="","",INDEX(Config!$F$7:$F$11,MOD(ROW()-4,5)+1))</f>
        <v>Friday</v>
      </c>
      <c r="G33" s="81">
        <f>IF($C33="","",COUNTIFS(RawBtabs!$A$2:$A$1500,$C33,RawBtabs!$C$2:$C$1500,$E33))</f>
        <v>1</v>
      </c>
      <c r="H33" s="84">
        <f>IF($C33="","",SUMIFS(RawBtabs!$T$2:$T$1500,RawBtabs!$A$2:$A$1500,$C33,RawBtabs!$C$2:$C$1500,$E33))</f>
        <v>8</v>
      </c>
      <c r="I33" s="84">
        <f>IF($C33="","",SUMIFS(RawBtabs!$U$2:$U$1500,RawBtabs!$A$2:$A$1500,$C33,RawBtabs!$C$2:$C$1500,$E33))</f>
        <v>0</v>
      </c>
      <c r="J33" s="84">
        <f t="shared" si="1"/>
        <v>8</v>
      </c>
      <c r="K33" s="85">
        <f>IF($C33="","",$J33/Config!$C$9)</f>
        <v>1</v>
      </c>
      <c r="L33" s="84">
        <f>IF($C33="","",$J33-Config!$C$9)</f>
        <v>0</v>
      </c>
      <c r="M33" s="82" t="str">
        <f>IF($C33="","",IF($G33=0,"⛔ NO ENTRY IN BTABS",IF(ABS($L33)&lt;=Config!$C$10,"✅ OK ("&amp;TEXT($J33,"0.##")&amp;" h)",IF($L33&lt;0,"🔻 MISSING "&amp;TEXT(-$L33,"0.##")&amp;" h","🔺 OVER BY "&amp;TEXT($L33,"0.##")&amp;" h"))))</f>
        <v>✅ OK (8. h)</v>
      </c>
      <c r="N33" s="81">
        <f>IF($C33="","",IF($G33=0,3,IF(ABS($L33)&lt;=Config!$C$10,0,IF($L33&lt;0,2,1))))</f>
        <v>0</v>
      </c>
      <c r="O33" s="81" t="str">
        <f>IF($C33="","",IF($N33&gt;0,COUNTIFS($N$4:$N33,"&gt;0"),""))</f>
        <v/>
      </c>
    </row>
    <row r="34" spans="2:15" x14ac:dyDescent="0.25">
      <c r="B34" s="81">
        <f t="shared" si="0"/>
        <v>7</v>
      </c>
      <c r="C34" s="82" t="str">
        <f>IF(INT((ROW()-4)/5)+1&gt;Config!$C$14,"",INDEX(BPOworkers!$B$6:$B$105,INT((ROW()-4)/5)+1))</f>
        <v>J Castillo</v>
      </c>
      <c r="D34" s="82" t="str">
        <f>IF($C34="","",IFERROR(INDEX(BPOworkers!$E$6:$E$105,MATCH($C34,BPOworkers!$B$6:$B$105,0)),""))</f>
        <v>J S Bermudez</v>
      </c>
      <c r="E34" s="83">
        <f>IF($C34="","",Config!$C$7+MOD(ROW()-4,5))</f>
        <v>46265</v>
      </c>
      <c r="F34" s="82" t="str">
        <f>IF($C34="","",INDEX(Config!$F$7:$F$11,MOD(ROW()-4,5)+1))</f>
        <v>Monday</v>
      </c>
      <c r="G34" s="81">
        <f>IF($C34="","",COUNTIFS(RawBtabs!$A$2:$A$1500,$C34,RawBtabs!$C$2:$C$1500,$E34))</f>
        <v>0</v>
      </c>
      <c r="H34" s="84">
        <f>IF($C34="","",SUMIFS(RawBtabs!$T$2:$T$1500,RawBtabs!$A$2:$A$1500,$C34,RawBtabs!$C$2:$C$1500,$E34))</f>
        <v>0</v>
      </c>
      <c r="I34" s="84">
        <f>IF($C34="","",SUMIFS(RawBtabs!$U$2:$U$1500,RawBtabs!$A$2:$A$1500,$C34,RawBtabs!$C$2:$C$1500,$E34))</f>
        <v>0</v>
      </c>
      <c r="J34" s="84">
        <f t="shared" si="1"/>
        <v>0</v>
      </c>
      <c r="K34" s="85">
        <f>IF($C34="","",$J34/Config!$C$9)</f>
        <v>0</v>
      </c>
      <c r="L34" s="84">
        <f>IF($C34="","",$J34-Config!$C$9)</f>
        <v>-8</v>
      </c>
      <c r="M34" s="82" t="str">
        <f>IF($C34="","",IF($G34=0,"⛔ NO ENTRY IN BTABS",IF(ABS($L34)&lt;=Config!$C$10,"✅ OK ("&amp;TEXT($J34,"0.##")&amp;" h)",IF($L34&lt;0,"🔻 MISSING "&amp;TEXT(-$L34,"0.##")&amp;" h","🔺 OVER BY "&amp;TEXT($L34,"0.##")&amp;" h"))))</f>
        <v>⛔ NO ENTRY IN BTABS</v>
      </c>
      <c r="N34" s="81">
        <f>IF($C34="","",IF($G34=0,3,IF(ABS($L34)&lt;=Config!$C$10,0,IF($L34&lt;0,2,1))))</f>
        <v>3</v>
      </c>
      <c r="O34" s="81">
        <f>IF($C34="","",IF($N34&gt;0,COUNTIFS($N$4:$N34,"&gt;0"),""))</f>
        <v>1</v>
      </c>
    </row>
    <row r="35" spans="2:15" x14ac:dyDescent="0.25">
      <c r="B35" s="81">
        <f t="shared" si="0"/>
        <v>7</v>
      </c>
      <c r="C35" s="82" t="str">
        <f>IF(INT((ROW()-4)/5)+1&gt;Config!$C$14,"",INDEX(BPOworkers!$B$6:$B$105,INT((ROW()-4)/5)+1))</f>
        <v>J Castillo</v>
      </c>
      <c r="D35" s="82" t="str">
        <f>IF($C35="","",IFERROR(INDEX(BPOworkers!$E$6:$E$105,MATCH($C35,BPOworkers!$B$6:$B$105,0)),""))</f>
        <v>J S Bermudez</v>
      </c>
      <c r="E35" s="83">
        <f>IF($C35="","",Config!$C$7+MOD(ROW()-4,5))</f>
        <v>46266</v>
      </c>
      <c r="F35" s="82" t="str">
        <f>IF($C35="","",INDEX(Config!$F$7:$F$11,MOD(ROW()-4,5)+1))</f>
        <v>Tuesday</v>
      </c>
      <c r="G35" s="81">
        <f>IF($C35="","",COUNTIFS(RawBtabs!$A$2:$A$1500,$C35,RawBtabs!$C$2:$C$1500,$E35))</f>
        <v>2</v>
      </c>
      <c r="H35" s="84">
        <f>IF($C35="","",SUMIFS(RawBtabs!$T$2:$T$1500,RawBtabs!$A$2:$A$1500,$C35,RawBtabs!$C$2:$C$1500,$E35))</f>
        <v>6</v>
      </c>
      <c r="I35" s="84">
        <f>IF($C35="","",SUMIFS(RawBtabs!$U$2:$U$1500,RawBtabs!$A$2:$A$1500,$C35,RawBtabs!$C$2:$C$1500,$E35))</f>
        <v>2</v>
      </c>
      <c r="J35" s="84">
        <f t="shared" si="1"/>
        <v>8</v>
      </c>
      <c r="K35" s="85">
        <f>IF($C35="","",$J35/Config!$C$9)</f>
        <v>1</v>
      </c>
      <c r="L35" s="84">
        <f>IF($C35="","",$J35-Config!$C$9)</f>
        <v>0</v>
      </c>
      <c r="M35" s="82" t="str">
        <f>IF($C35="","",IF($G35=0,"⛔ NO ENTRY IN BTABS",IF(ABS($L35)&lt;=Config!$C$10,"✅ OK ("&amp;TEXT($J35,"0.##")&amp;" h)",IF($L35&lt;0,"🔻 MISSING "&amp;TEXT(-$L35,"0.##")&amp;" h","🔺 OVER BY "&amp;TEXT($L35,"0.##")&amp;" h"))))</f>
        <v>✅ OK (8. h)</v>
      </c>
      <c r="N35" s="81">
        <f>IF($C35="","",IF($G35=0,3,IF(ABS($L35)&lt;=Config!$C$10,0,IF($L35&lt;0,2,1))))</f>
        <v>0</v>
      </c>
      <c r="O35" s="81" t="str">
        <f>IF($C35="","",IF($N35&gt;0,COUNTIFS($N$4:$N35,"&gt;0"),""))</f>
        <v/>
      </c>
    </row>
    <row r="36" spans="2:15" x14ac:dyDescent="0.25">
      <c r="B36" s="81">
        <f t="shared" si="0"/>
        <v>7</v>
      </c>
      <c r="C36" s="82" t="str">
        <f>IF(INT((ROW()-4)/5)+1&gt;Config!$C$14,"",INDEX(BPOworkers!$B$6:$B$105,INT((ROW()-4)/5)+1))</f>
        <v>J Castillo</v>
      </c>
      <c r="D36" s="82" t="str">
        <f>IF($C36="","",IFERROR(INDEX(BPOworkers!$E$6:$E$105,MATCH($C36,BPOworkers!$B$6:$B$105,0)),""))</f>
        <v>J S Bermudez</v>
      </c>
      <c r="E36" s="83">
        <f>IF($C36="","",Config!$C$7+MOD(ROW()-4,5))</f>
        <v>46267</v>
      </c>
      <c r="F36" s="82" t="str">
        <f>IF($C36="","",INDEX(Config!$F$7:$F$11,MOD(ROW()-4,5)+1))</f>
        <v>Wednesday</v>
      </c>
      <c r="G36" s="81">
        <f>IF($C36="","",COUNTIFS(RawBtabs!$A$2:$A$1500,$C36,RawBtabs!$C$2:$C$1500,$E36))</f>
        <v>1</v>
      </c>
      <c r="H36" s="84">
        <f>IF($C36="","",SUMIFS(RawBtabs!$T$2:$T$1500,RawBtabs!$A$2:$A$1500,$C36,RawBtabs!$C$2:$C$1500,$E36))</f>
        <v>0</v>
      </c>
      <c r="I36" s="84">
        <f>IF($C36="","",SUMIFS(RawBtabs!$U$2:$U$1500,RawBtabs!$A$2:$A$1500,$C36,RawBtabs!$C$2:$C$1500,$E36))</f>
        <v>8</v>
      </c>
      <c r="J36" s="84">
        <f t="shared" si="1"/>
        <v>8</v>
      </c>
      <c r="K36" s="85">
        <f>IF($C36="","",$J36/Config!$C$9)</f>
        <v>1</v>
      </c>
      <c r="L36" s="84">
        <f>IF($C36="","",$J36-Config!$C$9)</f>
        <v>0</v>
      </c>
      <c r="M36" s="82" t="str">
        <f>IF($C36="","",IF($G36=0,"⛔ NO ENTRY IN BTABS",IF(ABS($L36)&lt;=Config!$C$10,"✅ OK ("&amp;TEXT($J36,"0.##")&amp;" h)",IF($L36&lt;0,"🔻 MISSING "&amp;TEXT(-$L36,"0.##")&amp;" h","🔺 OVER BY "&amp;TEXT($L36,"0.##")&amp;" h"))))</f>
        <v>✅ OK (8. h)</v>
      </c>
      <c r="N36" s="81">
        <f>IF($C36="","",IF($G36=0,3,IF(ABS($L36)&lt;=Config!$C$10,0,IF($L36&lt;0,2,1))))</f>
        <v>0</v>
      </c>
      <c r="O36" s="81" t="str">
        <f>IF($C36="","",IF($N36&gt;0,COUNTIFS($N$4:$N36,"&gt;0"),""))</f>
        <v/>
      </c>
    </row>
    <row r="37" spans="2:15" x14ac:dyDescent="0.25">
      <c r="B37" s="81">
        <f t="shared" si="0"/>
        <v>7</v>
      </c>
      <c r="C37" s="82" t="str">
        <f>IF(INT((ROW()-4)/5)+1&gt;Config!$C$14,"",INDEX(BPOworkers!$B$6:$B$105,INT((ROW()-4)/5)+1))</f>
        <v>J Castillo</v>
      </c>
      <c r="D37" s="82" t="str">
        <f>IF($C37="","",IFERROR(INDEX(BPOworkers!$E$6:$E$105,MATCH($C37,BPOworkers!$B$6:$B$105,0)),""))</f>
        <v>J S Bermudez</v>
      </c>
      <c r="E37" s="83">
        <f>IF($C37="","",Config!$C$7+MOD(ROW()-4,5))</f>
        <v>46268</v>
      </c>
      <c r="F37" s="82" t="str">
        <f>IF($C37="","",INDEX(Config!$F$7:$F$11,MOD(ROW()-4,5)+1))</f>
        <v>Thursday</v>
      </c>
      <c r="G37" s="81">
        <f>IF($C37="","",COUNTIFS(RawBtabs!$A$2:$A$1500,$C37,RawBtabs!$C$2:$C$1500,$E37))</f>
        <v>1</v>
      </c>
      <c r="H37" s="84">
        <f>IF($C37="","",SUMIFS(RawBtabs!$T$2:$T$1500,RawBtabs!$A$2:$A$1500,$C37,RawBtabs!$C$2:$C$1500,$E37))</f>
        <v>0</v>
      </c>
      <c r="I37" s="84">
        <f>IF($C37="","",SUMIFS(RawBtabs!$U$2:$U$1500,RawBtabs!$A$2:$A$1500,$C37,RawBtabs!$C$2:$C$1500,$E37))</f>
        <v>8</v>
      </c>
      <c r="J37" s="84">
        <f t="shared" si="1"/>
        <v>8</v>
      </c>
      <c r="K37" s="85">
        <f>IF($C37="","",$J37/Config!$C$9)</f>
        <v>1</v>
      </c>
      <c r="L37" s="84">
        <f>IF($C37="","",$J37-Config!$C$9)</f>
        <v>0</v>
      </c>
      <c r="M37" s="82" t="str">
        <f>IF($C37="","",IF($G37=0,"⛔ NO ENTRY IN BTABS",IF(ABS($L37)&lt;=Config!$C$10,"✅ OK ("&amp;TEXT($J37,"0.##")&amp;" h)",IF($L37&lt;0,"🔻 MISSING "&amp;TEXT(-$L37,"0.##")&amp;" h","🔺 OVER BY "&amp;TEXT($L37,"0.##")&amp;" h"))))</f>
        <v>✅ OK (8. h)</v>
      </c>
      <c r="N37" s="81">
        <f>IF($C37="","",IF($G37=0,3,IF(ABS($L37)&lt;=Config!$C$10,0,IF($L37&lt;0,2,1))))</f>
        <v>0</v>
      </c>
      <c r="O37" s="81" t="str">
        <f>IF($C37="","",IF($N37&gt;0,COUNTIFS($N$4:$N37,"&gt;0"),""))</f>
        <v/>
      </c>
    </row>
    <row r="38" spans="2:15" x14ac:dyDescent="0.25">
      <c r="B38" s="81">
        <f t="shared" si="0"/>
        <v>7</v>
      </c>
      <c r="C38" s="82" t="str">
        <f>IF(INT((ROW()-4)/5)+1&gt;Config!$C$14,"",INDEX(BPOworkers!$B$6:$B$105,INT((ROW()-4)/5)+1))</f>
        <v>J Castillo</v>
      </c>
      <c r="D38" s="82" t="str">
        <f>IF($C38="","",IFERROR(INDEX(BPOworkers!$E$6:$E$105,MATCH($C38,BPOworkers!$B$6:$B$105,0)),""))</f>
        <v>J S Bermudez</v>
      </c>
      <c r="E38" s="83">
        <f>IF($C38="","",Config!$C$7+MOD(ROW()-4,5))</f>
        <v>46269</v>
      </c>
      <c r="F38" s="82" t="str">
        <f>IF($C38="","",INDEX(Config!$F$7:$F$11,MOD(ROW()-4,5)+1))</f>
        <v>Friday</v>
      </c>
      <c r="G38" s="81">
        <f>IF($C38="","",COUNTIFS(RawBtabs!$A$2:$A$1500,$C38,RawBtabs!$C$2:$C$1500,$E38))</f>
        <v>1</v>
      </c>
      <c r="H38" s="84">
        <f>IF($C38="","",SUMIFS(RawBtabs!$T$2:$T$1500,RawBtabs!$A$2:$A$1500,$C38,RawBtabs!$C$2:$C$1500,$E38))</f>
        <v>0</v>
      </c>
      <c r="I38" s="84">
        <f>IF($C38="","",SUMIFS(RawBtabs!$U$2:$U$1500,RawBtabs!$A$2:$A$1500,$C38,RawBtabs!$C$2:$C$1500,$E38))</f>
        <v>8</v>
      </c>
      <c r="J38" s="84">
        <f t="shared" si="1"/>
        <v>8</v>
      </c>
      <c r="K38" s="85">
        <f>IF($C38="","",$J38/Config!$C$9)</f>
        <v>1</v>
      </c>
      <c r="L38" s="84">
        <f>IF($C38="","",$J38-Config!$C$9)</f>
        <v>0</v>
      </c>
      <c r="M38" s="82" t="str">
        <f>IF($C38="","",IF($G38=0,"⛔ NO ENTRY IN BTABS",IF(ABS($L38)&lt;=Config!$C$10,"✅ OK ("&amp;TEXT($J38,"0.##")&amp;" h)",IF($L38&lt;0,"🔻 MISSING "&amp;TEXT(-$L38,"0.##")&amp;" h","🔺 OVER BY "&amp;TEXT($L38,"0.##")&amp;" h"))))</f>
        <v>✅ OK (8. h)</v>
      </c>
      <c r="N38" s="81">
        <f>IF($C38="","",IF($G38=0,3,IF(ABS($L38)&lt;=Config!$C$10,0,IF($L38&lt;0,2,1))))</f>
        <v>0</v>
      </c>
      <c r="O38" s="81" t="str">
        <f>IF($C38="","",IF($N38&gt;0,COUNTIFS($N$4:$N38,"&gt;0"),""))</f>
        <v/>
      </c>
    </row>
    <row r="39" spans="2:15" x14ac:dyDescent="0.25">
      <c r="B39" s="81">
        <f t="shared" si="0"/>
        <v>8</v>
      </c>
      <c r="C39" s="82" t="str">
        <f>IF(INT((ROW()-4)/5)+1&gt;Config!$C$14,"",INDEX(BPOworkers!$B$6:$B$105,INT((ROW()-4)/5)+1))</f>
        <v>J Valbuena</v>
      </c>
      <c r="D39" s="82" t="str">
        <f>IF($C39="","",IFERROR(INDEX(BPOworkers!$E$6:$E$105,MATCH($C39,BPOworkers!$B$6:$B$105,0)),""))</f>
        <v>H Daza</v>
      </c>
      <c r="E39" s="83">
        <f>IF($C39="","",Config!$C$7+MOD(ROW()-4,5))</f>
        <v>46265</v>
      </c>
      <c r="F39" s="82" t="str">
        <f>IF($C39="","",INDEX(Config!$F$7:$F$11,MOD(ROW()-4,5)+1))</f>
        <v>Monday</v>
      </c>
      <c r="G39" s="81">
        <f>IF($C39="","",COUNTIFS(RawBtabs!$A$2:$A$1500,$C39,RawBtabs!$C$2:$C$1500,$E39))</f>
        <v>1</v>
      </c>
      <c r="H39" s="84">
        <f>IF($C39="","",SUMIFS(RawBtabs!$T$2:$T$1500,RawBtabs!$A$2:$A$1500,$C39,RawBtabs!$C$2:$C$1500,$E39))</f>
        <v>8</v>
      </c>
      <c r="I39" s="84">
        <f>IF($C39="","",SUMIFS(RawBtabs!$U$2:$U$1500,RawBtabs!$A$2:$A$1500,$C39,RawBtabs!$C$2:$C$1500,$E39))</f>
        <v>0</v>
      </c>
      <c r="J39" s="84">
        <f t="shared" si="1"/>
        <v>8</v>
      </c>
      <c r="K39" s="85">
        <f>IF($C39="","",$J39/Config!$C$9)</f>
        <v>1</v>
      </c>
      <c r="L39" s="84">
        <f>IF($C39="","",$J39-Config!$C$9)</f>
        <v>0</v>
      </c>
      <c r="M39" s="82" t="str">
        <f>IF($C39="","",IF($G39=0,"⛔ NO ENTRY IN BTABS",IF(ABS($L39)&lt;=Config!$C$10,"✅ OK ("&amp;TEXT($J39,"0.##")&amp;" h)",IF($L39&lt;0,"🔻 MISSING "&amp;TEXT(-$L39,"0.##")&amp;" h","🔺 OVER BY "&amp;TEXT($L39,"0.##")&amp;" h"))))</f>
        <v>✅ OK (8. h)</v>
      </c>
      <c r="N39" s="81">
        <f>IF($C39="","",IF($G39=0,3,IF(ABS($L39)&lt;=Config!$C$10,0,IF($L39&lt;0,2,1))))</f>
        <v>0</v>
      </c>
      <c r="O39" s="81" t="str">
        <f>IF($C39="","",IF($N39&gt;0,COUNTIFS($N$4:$N39,"&gt;0"),""))</f>
        <v/>
      </c>
    </row>
    <row r="40" spans="2:15" x14ac:dyDescent="0.25">
      <c r="B40" s="81">
        <f t="shared" si="0"/>
        <v>8</v>
      </c>
      <c r="C40" s="82" t="str">
        <f>IF(INT((ROW()-4)/5)+1&gt;Config!$C$14,"",INDEX(BPOworkers!$B$6:$B$105,INT((ROW()-4)/5)+1))</f>
        <v>J Valbuena</v>
      </c>
      <c r="D40" s="82" t="str">
        <f>IF($C40="","",IFERROR(INDEX(BPOworkers!$E$6:$E$105,MATCH($C40,BPOworkers!$B$6:$B$105,0)),""))</f>
        <v>H Daza</v>
      </c>
      <c r="E40" s="83">
        <f>IF($C40="","",Config!$C$7+MOD(ROW()-4,5))</f>
        <v>46266</v>
      </c>
      <c r="F40" s="82" t="str">
        <f>IF($C40="","",INDEX(Config!$F$7:$F$11,MOD(ROW()-4,5)+1))</f>
        <v>Tuesday</v>
      </c>
      <c r="G40" s="81">
        <f>IF($C40="","",COUNTIFS(RawBtabs!$A$2:$A$1500,$C40,RawBtabs!$C$2:$C$1500,$E40))</f>
        <v>2</v>
      </c>
      <c r="H40" s="84">
        <f>IF($C40="","",SUMIFS(RawBtabs!$T$2:$T$1500,RawBtabs!$A$2:$A$1500,$C40,RawBtabs!$C$2:$C$1500,$E40))</f>
        <v>8</v>
      </c>
      <c r="I40" s="84">
        <f>IF($C40="","",SUMIFS(RawBtabs!$U$2:$U$1500,RawBtabs!$A$2:$A$1500,$C40,RawBtabs!$C$2:$C$1500,$E40))</f>
        <v>0</v>
      </c>
      <c r="J40" s="84">
        <f t="shared" si="1"/>
        <v>8</v>
      </c>
      <c r="K40" s="85">
        <f>IF($C40="","",$J40/Config!$C$9)</f>
        <v>1</v>
      </c>
      <c r="L40" s="84">
        <f>IF($C40="","",$J40-Config!$C$9)</f>
        <v>0</v>
      </c>
      <c r="M40" s="82" t="str">
        <f>IF($C40="","",IF($G40=0,"⛔ NO ENTRY IN BTABS",IF(ABS($L40)&lt;=Config!$C$10,"✅ OK ("&amp;TEXT($J40,"0.##")&amp;" h)",IF($L40&lt;0,"🔻 MISSING "&amp;TEXT(-$L40,"0.##")&amp;" h","🔺 OVER BY "&amp;TEXT($L40,"0.##")&amp;" h"))))</f>
        <v>✅ OK (8. h)</v>
      </c>
      <c r="N40" s="81">
        <f>IF($C40="","",IF($G40=0,3,IF(ABS($L40)&lt;=Config!$C$10,0,IF($L40&lt;0,2,1))))</f>
        <v>0</v>
      </c>
      <c r="O40" s="81" t="str">
        <f>IF($C40="","",IF($N40&gt;0,COUNTIFS($N$4:$N40,"&gt;0"),""))</f>
        <v/>
      </c>
    </row>
    <row r="41" spans="2:15" x14ac:dyDescent="0.25">
      <c r="B41" s="81">
        <f t="shared" si="0"/>
        <v>8</v>
      </c>
      <c r="C41" s="82" t="str">
        <f>IF(INT((ROW()-4)/5)+1&gt;Config!$C$14,"",INDEX(BPOworkers!$B$6:$B$105,INT((ROW()-4)/5)+1))</f>
        <v>J Valbuena</v>
      </c>
      <c r="D41" s="82" t="str">
        <f>IF($C41="","",IFERROR(INDEX(BPOworkers!$E$6:$E$105,MATCH($C41,BPOworkers!$B$6:$B$105,0)),""))</f>
        <v>H Daza</v>
      </c>
      <c r="E41" s="83">
        <f>IF($C41="","",Config!$C$7+MOD(ROW()-4,5))</f>
        <v>46267</v>
      </c>
      <c r="F41" s="82" t="str">
        <f>IF($C41="","",INDEX(Config!$F$7:$F$11,MOD(ROW()-4,5)+1))</f>
        <v>Wednesday</v>
      </c>
      <c r="G41" s="81">
        <f>IF($C41="","",COUNTIFS(RawBtabs!$A$2:$A$1500,$C41,RawBtabs!$C$2:$C$1500,$E41))</f>
        <v>2</v>
      </c>
      <c r="H41" s="84">
        <f>IF($C41="","",SUMIFS(RawBtabs!$T$2:$T$1500,RawBtabs!$A$2:$A$1500,$C41,RawBtabs!$C$2:$C$1500,$E41))</f>
        <v>8</v>
      </c>
      <c r="I41" s="84">
        <f>IF($C41="","",SUMIFS(RawBtabs!$U$2:$U$1500,RawBtabs!$A$2:$A$1500,$C41,RawBtabs!$C$2:$C$1500,$E41))</f>
        <v>0</v>
      </c>
      <c r="J41" s="84">
        <f t="shared" si="1"/>
        <v>8</v>
      </c>
      <c r="K41" s="85">
        <f>IF($C41="","",$J41/Config!$C$9)</f>
        <v>1</v>
      </c>
      <c r="L41" s="84">
        <f>IF($C41="","",$J41-Config!$C$9)</f>
        <v>0</v>
      </c>
      <c r="M41" s="82" t="str">
        <f>IF($C41="","",IF($G41=0,"⛔ NO ENTRY IN BTABS",IF(ABS($L41)&lt;=Config!$C$10,"✅ OK ("&amp;TEXT($J41,"0.##")&amp;" h)",IF($L41&lt;0,"🔻 MISSING "&amp;TEXT(-$L41,"0.##")&amp;" h","🔺 OVER BY "&amp;TEXT($L41,"0.##")&amp;" h"))))</f>
        <v>✅ OK (8. h)</v>
      </c>
      <c r="N41" s="81">
        <f>IF($C41="","",IF($G41=0,3,IF(ABS($L41)&lt;=Config!$C$10,0,IF($L41&lt;0,2,1))))</f>
        <v>0</v>
      </c>
      <c r="O41" s="81" t="str">
        <f>IF($C41="","",IF($N41&gt;0,COUNTIFS($N$4:$N41,"&gt;0"),""))</f>
        <v/>
      </c>
    </row>
    <row r="42" spans="2:15" x14ac:dyDescent="0.25">
      <c r="B42" s="81">
        <f t="shared" si="0"/>
        <v>8</v>
      </c>
      <c r="C42" s="82" t="str">
        <f>IF(INT((ROW()-4)/5)+1&gt;Config!$C$14,"",INDEX(BPOworkers!$B$6:$B$105,INT((ROW()-4)/5)+1))</f>
        <v>J Valbuena</v>
      </c>
      <c r="D42" s="82" t="str">
        <f>IF($C42="","",IFERROR(INDEX(BPOworkers!$E$6:$E$105,MATCH($C42,BPOworkers!$B$6:$B$105,0)),""))</f>
        <v>H Daza</v>
      </c>
      <c r="E42" s="83">
        <f>IF($C42="","",Config!$C$7+MOD(ROW()-4,5))</f>
        <v>46268</v>
      </c>
      <c r="F42" s="82" t="str">
        <f>IF($C42="","",INDEX(Config!$F$7:$F$11,MOD(ROW()-4,5)+1))</f>
        <v>Thursday</v>
      </c>
      <c r="G42" s="81">
        <f>IF($C42="","",COUNTIFS(RawBtabs!$A$2:$A$1500,$C42,RawBtabs!$C$2:$C$1500,$E42))</f>
        <v>1</v>
      </c>
      <c r="H42" s="84">
        <f>IF($C42="","",SUMIFS(RawBtabs!$T$2:$T$1500,RawBtabs!$A$2:$A$1500,$C42,RawBtabs!$C$2:$C$1500,$E42))</f>
        <v>8</v>
      </c>
      <c r="I42" s="84">
        <f>IF($C42="","",SUMIFS(RawBtabs!$U$2:$U$1500,RawBtabs!$A$2:$A$1500,$C42,RawBtabs!$C$2:$C$1500,$E42))</f>
        <v>0</v>
      </c>
      <c r="J42" s="84">
        <f t="shared" si="1"/>
        <v>8</v>
      </c>
      <c r="K42" s="85">
        <f>IF($C42="","",$J42/Config!$C$9)</f>
        <v>1</v>
      </c>
      <c r="L42" s="84">
        <f>IF($C42="","",$J42-Config!$C$9)</f>
        <v>0</v>
      </c>
      <c r="M42" s="82" t="str">
        <f>IF($C42="","",IF($G42=0,"⛔ NO ENTRY IN BTABS",IF(ABS($L42)&lt;=Config!$C$10,"✅ OK ("&amp;TEXT($J42,"0.##")&amp;" h)",IF($L42&lt;0,"🔻 MISSING "&amp;TEXT(-$L42,"0.##")&amp;" h","🔺 OVER BY "&amp;TEXT($L42,"0.##")&amp;" h"))))</f>
        <v>✅ OK (8. h)</v>
      </c>
      <c r="N42" s="81">
        <f>IF($C42="","",IF($G42=0,3,IF(ABS($L42)&lt;=Config!$C$10,0,IF($L42&lt;0,2,1))))</f>
        <v>0</v>
      </c>
      <c r="O42" s="81" t="str">
        <f>IF($C42="","",IF($N42&gt;0,COUNTIFS($N$4:$N42,"&gt;0"),""))</f>
        <v/>
      </c>
    </row>
    <row r="43" spans="2:15" x14ac:dyDescent="0.25">
      <c r="B43" s="81">
        <f t="shared" si="0"/>
        <v>8</v>
      </c>
      <c r="C43" s="82" t="str">
        <f>IF(INT((ROW()-4)/5)+1&gt;Config!$C$14,"",INDEX(BPOworkers!$B$6:$B$105,INT((ROW()-4)/5)+1))</f>
        <v>J Valbuena</v>
      </c>
      <c r="D43" s="82" t="str">
        <f>IF($C43="","",IFERROR(INDEX(BPOworkers!$E$6:$E$105,MATCH($C43,BPOworkers!$B$6:$B$105,0)),""))</f>
        <v>H Daza</v>
      </c>
      <c r="E43" s="83">
        <f>IF($C43="","",Config!$C$7+MOD(ROW()-4,5))</f>
        <v>46269</v>
      </c>
      <c r="F43" s="82" t="str">
        <f>IF($C43="","",INDEX(Config!$F$7:$F$11,MOD(ROW()-4,5)+1))</f>
        <v>Friday</v>
      </c>
      <c r="G43" s="81">
        <f>IF($C43="","",COUNTIFS(RawBtabs!$A$2:$A$1500,$C43,RawBtabs!$C$2:$C$1500,$E43))</f>
        <v>1</v>
      </c>
      <c r="H43" s="84">
        <f>IF($C43="","",SUMIFS(RawBtabs!$T$2:$T$1500,RawBtabs!$A$2:$A$1500,$C43,RawBtabs!$C$2:$C$1500,$E43))</f>
        <v>8</v>
      </c>
      <c r="I43" s="84">
        <f>IF($C43="","",SUMIFS(RawBtabs!$U$2:$U$1500,RawBtabs!$A$2:$A$1500,$C43,RawBtabs!$C$2:$C$1500,$E43))</f>
        <v>0</v>
      </c>
      <c r="J43" s="84">
        <f t="shared" si="1"/>
        <v>8</v>
      </c>
      <c r="K43" s="85">
        <f>IF($C43="","",$J43/Config!$C$9)</f>
        <v>1</v>
      </c>
      <c r="L43" s="84">
        <f>IF($C43="","",$J43-Config!$C$9)</f>
        <v>0</v>
      </c>
      <c r="M43" s="82" t="str">
        <f>IF($C43="","",IF($G43=0,"⛔ NO ENTRY IN BTABS",IF(ABS($L43)&lt;=Config!$C$10,"✅ OK ("&amp;TEXT($J43,"0.##")&amp;" h)",IF($L43&lt;0,"🔻 MISSING "&amp;TEXT(-$L43,"0.##")&amp;" h","🔺 OVER BY "&amp;TEXT($L43,"0.##")&amp;" h"))))</f>
        <v>✅ OK (8. h)</v>
      </c>
      <c r="N43" s="81">
        <f>IF($C43="","",IF($G43=0,3,IF(ABS($L43)&lt;=Config!$C$10,0,IF($L43&lt;0,2,1))))</f>
        <v>0</v>
      </c>
      <c r="O43" s="81" t="str">
        <f>IF($C43="","",IF($N43&gt;0,COUNTIFS($N$4:$N43,"&gt;0"),""))</f>
        <v/>
      </c>
    </row>
    <row r="44" spans="2:15" x14ac:dyDescent="0.25">
      <c r="B44" s="81">
        <f t="shared" si="0"/>
        <v>9</v>
      </c>
      <c r="C44" s="82" t="str">
        <f>IF(INT((ROW()-4)/5)+1&gt;Config!$C$14,"",INDEX(BPOworkers!$B$6:$B$105,INT((ROW()-4)/5)+1))</f>
        <v>J Gonzalez</v>
      </c>
      <c r="D44" s="82" t="str">
        <f>IF($C44="","",IFERROR(INDEX(BPOworkers!$E$6:$E$105,MATCH($C44,BPOworkers!$B$6:$B$105,0)),""))</f>
        <v>R Sanchez</v>
      </c>
      <c r="E44" s="83">
        <f>IF($C44="","",Config!$C$7+MOD(ROW()-4,5))</f>
        <v>46265</v>
      </c>
      <c r="F44" s="82" t="str">
        <f>IF($C44="","",INDEX(Config!$F$7:$F$11,MOD(ROW()-4,5)+1))</f>
        <v>Monday</v>
      </c>
      <c r="G44" s="81">
        <f>IF($C44="","",COUNTIFS(RawBtabs!$A$2:$A$1500,$C44,RawBtabs!$C$2:$C$1500,$E44))</f>
        <v>1</v>
      </c>
      <c r="H44" s="84">
        <f>IF($C44="","",SUMIFS(RawBtabs!$T$2:$T$1500,RawBtabs!$A$2:$A$1500,$C44,RawBtabs!$C$2:$C$1500,$E44))</f>
        <v>0</v>
      </c>
      <c r="I44" s="84">
        <f>IF($C44="","",SUMIFS(RawBtabs!$U$2:$U$1500,RawBtabs!$A$2:$A$1500,$C44,RawBtabs!$C$2:$C$1500,$E44))</f>
        <v>8</v>
      </c>
      <c r="J44" s="84">
        <f t="shared" si="1"/>
        <v>8</v>
      </c>
      <c r="K44" s="85">
        <f>IF($C44="","",$J44/Config!$C$9)</f>
        <v>1</v>
      </c>
      <c r="L44" s="84">
        <f>IF($C44="","",$J44-Config!$C$9)</f>
        <v>0</v>
      </c>
      <c r="M44" s="82" t="str">
        <f>IF($C44="","",IF($G44=0,"⛔ NO ENTRY IN BTABS",IF(ABS($L44)&lt;=Config!$C$10,"✅ OK ("&amp;TEXT($J44,"0.##")&amp;" h)",IF($L44&lt;0,"🔻 MISSING "&amp;TEXT(-$L44,"0.##")&amp;" h","🔺 OVER BY "&amp;TEXT($L44,"0.##")&amp;" h"))))</f>
        <v>✅ OK (8. h)</v>
      </c>
      <c r="N44" s="81">
        <f>IF($C44="","",IF($G44=0,3,IF(ABS($L44)&lt;=Config!$C$10,0,IF($L44&lt;0,2,1))))</f>
        <v>0</v>
      </c>
      <c r="O44" s="81" t="str">
        <f>IF($C44="","",IF($N44&gt;0,COUNTIFS($N$4:$N44,"&gt;0"),""))</f>
        <v/>
      </c>
    </row>
    <row r="45" spans="2:15" x14ac:dyDescent="0.25">
      <c r="B45" s="81">
        <f t="shared" si="0"/>
        <v>9</v>
      </c>
      <c r="C45" s="82" t="str">
        <f>IF(INT((ROW()-4)/5)+1&gt;Config!$C$14,"",INDEX(BPOworkers!$B$6:$B$105,INT((ROW()-4)/5)+1))</f>
        <v>J Gonzalez</v>
      </c>
      <c r="D45" s="82" t="str">
        <f>IF($C45="","",IFERROR(INDEX(BPOworkers!$E$6:$E$105,MATCH($C45,BPOworkers!$B$6:$B$105,0)),""))</f>
        <v>R Sanchez</v>
      </c>
      <c r="E45" s="83">
        <f>IF($C45="","",Config!$C$7+MOD(ROW()-4,5))</f>
        <v>46266</v>
      </c>
      <c r="F45" s="82" t="str">
        <f>IF($C45="","",INDEX(Config!$F$7:$F$11,MOD(ROW()-4,5)+1))</f>
        <v>Tuesday</v>
      </c>
      <c r="G45" s="81">
        <f>IF($C45="","",COUNTIFS(RawBtabs!$A$2:$A$1500,$C45,RawBtabs!$C$2:$C$1500,$E45))</f>
        <v>1</v>
      </c>
      <c r="H45" s="84">
        <f>IF($C45="","",SUMIFS(RawBtabs!$T$2:$T$1500,RawBtabs!$A$2:$A$1500,$C45,RawBtabs!$C$2:$C$1500,$E45))</f>
        <v>0</v>
      </c>
      <c r="I45" s="84">
        <f>IF($C45="","",SUMIFS(RawBtabs!$U$2:$U$1500,RawBtabs!$A$2:$A$1500,$C45,RawBtabs!$C$2:$C$1500,$E45))</f>
        <v>8</v>
      </c>
      <c r="J45" s="84">
        <f t="shared" si="1"/>
        <v>8</v>
      </c>
      <c r="K45" s="85">
        <f>IF($C45="","",$J45/Config!$C$9)</f>
        <v>1</v>
      </c>
      <c r="L45" s="84">
        <f>IF($C45="","",$J45-Config!$C$9)</f>
        <v>0</v>
      </c>
      <c r="M45" s="82" t="str">
        <f>IF($C45="","",IF($G45=0,"⛔ NO ENTRY IN BTABS",IF(ABS($L45)&lt;=Config!$C$10,"✅ OK ("&amp;TEXT($J45,"0.##")&amp;" h)",IF($L45&lt;0,"🔻 MISSING "&amp;TEXT(-$L45,"0.##")&amp;" h","🔺 OVER BY "&amp;TEXT($L45,"0.##")&amp;" h"))))</f>
        <v>✅ OK (8. h)</v>
      </c>
      <c r="N45" s="81">
        <f>IF($C45="","",IF($G45=0,3,IF(ABS($L45)&lt;=Config!$C$10,0,IF($L45&lt;0,2,1))))</f>
        <v>0</v>
      </c>
      <c r="O45" s="81" t="str">
        <f>IF($C45="","",IF($N45&gt;0,COUNTIFS($N$4:$N45,"&gt;0"),""))</f>
        <v/>
      </c>
    </row>
    <row r="46" spans="2:15" x14ac:dyDescent="0.25">
      <c r="B46" s="81">
        <f t="shared" si="0"/>
        <v>9</v>
      </c>
      <c r="C46" s="82" t="str">
        <f>IF(INT((ROW()-4)/5)+1&gt;Config!$C$14,"",INDEX(BPOworkers!$B$6:$B$105,INT((ROW()-4)/5)+1))</f>
        <v>J Gonzalez</v>
      </c>
      <c r="D46" s="82" t="str">
        <f>IF($C46="","",IFERROR(INDEX(BPOworkers!$E$6:$E$105,MATCH($C46,BPOworkers!$B$6:$B$105,0)),""))</f>
        <v>R Sanchez</v>
      </c>
      <c r="E46" s="83">
        <f>IF($C46="","",Config!$C$7+MOD(ROW()-4,5))</f>
        <v>46267</v>
      </c>
      <c r="F46" s="82" t="str">
        <f>IF($C46="","",INDEX(Config!$F$7:$F$11,MOD(ROW()-4,5)+1))</f>
        <v>Wednesday</v>
      </c>
      <c r="G46" s="81">
        <f>IF($C46="","",COUNTIFS(RawBtabs!$A$2:$A$1500,$C46,RawBtabs!$C$2:$C$1500,$E46))</f>
        <v>1</v>
      </c>
      <c r="H46" s="84">
        <f>IF($C46="","",SUMIFS(RawBtabs!$T$2:$T$1500,RawBtabs!$A$2:$A$1500,$C46,RawBtabs!$C$2:$C$1500,$E46))</f>
        <v>0</v>
      </c>
      <c r="I46" s="84">
        <f>IF($C46="","",SUMIFS(RawBtabs!$U$2:$U$1500,RawBtabs!$A$2:$A$1500,$C46,RawBtabs!$C$2:$C$1500,$E46))</f>
        <v>8</v>
      </c>
      <c r="J46" s="84">
        <f t="shared" si="1"/>
        <v>8</v>
      </c>
      <c r="K46" s="85">
        <f>IF($C46="","",$J46/Config!$C$9)</f>
        <v>1</v>
      </c>
      <c r="L46" s="84">
        <f>IF($C46="","",$J46-Config!$C$9)</f>
        <v>0</v>
      </c>
      <c r="M46" s="82" t="str">
        <f>IF($C46="","",IF($G46=0,"⛔ NO ENTRY IN BTABS",IF(ABS($L46)&lt;=Config!$C$10,"✅ OK ("&amp;TEXT($J46,"0.##")&amp;" h)",IF($L46&lt;0,"🔻 MISSING "&amp;TEXT(-$L46,"0.##")&amp;" h","🔺 OVER BY "&amp;TEXT($L46,"0.##")&amp;" h"))))</f>
        <v>✅ OK (8. h)</v>
      </c>
      <c r="N46" s="81">
        <f>IF($C46="","",IF($G46=0,3,IF(ABS($L46)&lt;=Config!$C$10,0,IF($L46&lt;0,2,1))))</f>
        <v>0</v>
      </c>
      <c r="O46" s="81" t="str">
        <f>IF($C46="","",IF($N46&gt;0,COUNTIFS($N$4:$N46,"&gt;0"),""))</f>
        <v/>
      </c>
    </row>
    <row r="47" spans="2:15" x14ac:dyDescent="0.25">
      <c r="B47" s="81">
        <f t="shared" si="0"/>
        <v>9</v>
      </c>
      <c r="C47" s="82" t="str">
        <f>IF(INT((ROW()-4)/5)+1&gt;Config!$C$14,"",INDEX(BPOworkers!$B$6:$B$105,INT((ROW()-4)/5)+1))</f>
        <v>J Gonzalez</v>
      </c>
      <c r="D47" s="82" t="str">
        <f>IF($C47="","",IFERROR(INDEX(BPOworkers!$E$6:$E$105,MATCH($C47,BPOworkers!$B$6:$B$105,0)),""))</f>
        <v>R Sanchez</v>
      </c>
      <c r="E47" s="83">
        <f>IF($C47="","",Config!$C$7+MOD(ROW()-4,5))</f>
        <v>46268</v>
      </c>
      <c r="F47" s="82" t="str">
        <f>IF($C47="","",INDEX(Config!$F$7:$F$11,MOD(ROW()-4,5)+1))</f>
        <v>Thursday</v>
      </c>
      <c r="G47" s="81">
        <f>IF($C47="","",COUNTIFS(RawBtabs!$A$2:$A$1500,$C47,RawBtabs!$C$2:$C$1500,$E47))</f>
        <v>2</v>
      </c>
      <c r="H47" s="84">
        <f>IF($C47="","",SUMIFS(RawBtabs!$T$2:$T$1500,RawBtabs!$A$2:$A$1500,$C47,RawBtabs!$C$2:$C$1500,$E47))</f>
        <v>8</v>
      </c>
      <c r="I47" s="84">
        <f>IF($C47="","",SUMIFS(RawBtabs!$U$2:$U$1500,RawBtabs!$A$2:$A$1500,$C47,RawBtabs!$C$2:$C$1500,$E47))</f>
        <v>0</v>
      </c>
      <c r="J47" s="84">
        <f t="shared" si="1"/>
        <v>8</v>
      </c>
      <c r="K47" s="85">
        <f>IF($C47="","",$J47/Config!$C$9)</f>
        <v>1</v>
      </c>
      <c r="L47" s="84">
        <f>IF($C47="","",$J47-Config!$C$9)</f>
        <v>0</v>
      </c>
      <c r="M47" s="82" t="str">
        <f>IF($C47="","",IF($G47=0,"⛔ NO ENTRY IN BTABS",IF(ABS($L47)&lt;=Config!$C$10,"✅ OK ("&amp;TEXT($J47,"0.##")&amp;" h)",IF($L47&lt;0,"🔻 MISSING "&amp;TEXT(-$L47,"0.##")&amp;" h","🔺 OVER BY "&amp;TEXT($L47,"0.##")&amp;" h"))))</f>
        <v>✅ OK (8. h)</v>
      </c>
      <c r="N47" s="81">
        <f>IF($C47="","",IF($G47=0,3,IF(ABS($L47)&lt;=Config!$C$10,0,IF($L47&lt;0,2,1))))</f>
        <v>0</v>
      </c>
      <c r="O47" s="81" t="str">
        <f>IF($C47="","",IF($N47&gt;0,COUNTIFS($N$4:$N47,"&gt;0"),""))</f>
        <v/>
      </c>
    </row>
    <row r="48" spans="2:15" x14ac:dyDescent="0.25">
      <c r="B48" s="81">
        <f t="shared" si="0"/>
        <v>9</v>
      </c>
      <c r="C48" s="82" t="str">
        <f>IF(INT((ROW()-4)/5)+1&gt;Config!$C$14,"",INDEX(BPOworkers!$B$6:$B$105,INT((ROW()-4)/5)+1))</f>
        <v>J Gonzalez</v>
      </c>
      <c r="D48" s="82" t="str">
        <f>IF($C48="","",IFERROR(INDEX(BPOworkers!$E$6:$E$105,MATCH($C48,BPOworkers!$B$6:$B$105,0)),""))</f>
        <v>R Sanchez</v>
      </c>
      <c r="E48" s="83">
        <f>IF($C48="","",Config!$C$7+MOD(ROW()-4,5))</f>
        <v>46269</v>
      </c>
      <c r="F48" s="82" t="str">
        <f>IF($C48="","",INDEX(Config!$F$7:$F$11,MOD(ROW()-4,5)+1))</f>
        <v>Friday</v>
      </c>
      <c r="G48" s="81">
        <f>IF($C48="","",COUNTIFS(RawBtabs!$A$2:$A$1500,$C48,RawBtabs!$C$2:$C$1500,$E48))</f>
        <v>1</v>
      </c>
      <c r="H48" s="84">
        <f>IF($C48="","",SUMIFS(RawBtabs!$T$2:$T$1500,RawBtabs!$A$2:$A$1500,$C48,RawBtabs!$C$2:$C$1500,$E48))</f>
        <v>8</v>
      </c>
      <c r="I48" s="84">
        <f>IF($C48="","",SUMIFS(RawBtabs!$U$2:$U$1500,RawBtabs!$A$2:$A$1500,$C48,RawBtabs!$C$2:$C$1500,$E48))</f>
        <v>0</v>
      </c>
      <c r="J48" s="84">
        <f t="shared" si="1"/>
        <v>8</v>
      </c>
      <c r="K48" s="85">
        <f>IF($C48="","",$J48/Config!$C$9)</f>
        <v>1</v>
      </c>
      <c r="L48" s="84">
        <f>IF($C48="","",$J48-Config!$C$9)</f>
        <v>0</v>
      </c>
      <c r="M48" s="82" t="str">
        <f>IF($C48="","",IF($G48=0,"⛔ NO ENTRY IN BTABS",IF(ABS($L48)&lt;=Config!$C$10,"✅ OK ("&amp;TEXT($J48,"0.##")&amp;" h)",IF($L48&lt;0,"🔻 MISSING "&amp;TEXT(-$L48,"0.##")&amp;" h","🔺 OVER BY "&amp;TEXT($L48,"0.##")&amp;" h"))))</f>
        <v>✅ OK (8. h)</v>
      </c>
      <c r="N48" s="81">
        <f>IF($C48="","",IF($G48=0,3,IF(ABS($L48)&lt;=Config!$C$10,0,IF($L48&lt;0,2,1))))</f>
        <v>0</v>
      </c>
      <c r="O48" s="81" t="str">
        <f>IF($C48="","",IF($N48&gt;0,COUNTIFS($N$4:$N48,"&gt;0"),""))</f>
        <v/>
      </c>
    </row>
    <row r="49" spans="2:15" x14ac:dyDescent="0.25">
      <c r="B49" s="81">
        <f t="shared" si="0"/>
        <v>10</v>
      </c>
      <c r="C49" s="82" t="str">
        <f>IF(INT((ROW()-4)/5)+1&gt;Config!$C$14,"",INDEX(BPOworkers!$B$6:$B$105,INT((ROW()-4)/5)+1))</f>
        <v>J Rincon</v>
      </c>
      <c r="D49" s="82" t="str">
        <f>IF($C49="","",IFERROR(INDEX(BPOworkers!$E$6:$E$105,MATCH($C49,BPOworkers!$B$6:$B$105,0)),""))</f>
        <v>A Camargo</v>
      </c>
      <c r="E49" s="83">
        <f>IF($C49="","",Config!$C$7+MOD(ROW()-4,5))</f>
        <v>46265</v>
      </c>
      <c r="F49" s="82" t="str">
        <f>IF($C49="","",INDEX(Config!$F$7:$F$11,MOD(ROW()-4,5)+1))</f>
        <v>Monday</v>
      </c>
      <c r="G49" s="81">
        <f>IF($C49="","",COUNTIFS(RawBtabs!$A$2:$A$1500,$C49,RawBtabs!$C$2:$C$1500,$E49))</f>
        <v>1</v>
      </c>
      <c r="H49" s="84">
        <f>IF($C49="","",SUMIFS(RawBtabs!$T$2:$T$1500,RawBtabs!$A$2:$A$1500,$C49,RawBtabs!$C$2:$C$1500,$E49))</f>
        <v>8</v>
      </c>
      <c r="I49" s="84">
        <f>IF($C49="","",SUMIFS(RawBtabs!$U$2:$U$1500,RawBtabs!$A$2:$A$1500,$C49,RawBtabs!$C$2:$C$1500,$E49))</f>
        <v>0</v>
      </c>
      <c r="J49" s="84">
        <f t="shared" si="1"/>
        <v>8</v>
      </c>
      <c r="K49" s="85">
        <f>IF($C49="","",$J49/Config!$C$9)</f>
        <v>1</v>
      </c>
      <c r="L49" s="84">
        <f>IF($C49="","",$J49-Config!$C$9)</f>
        <v>0</v>
      </c>
      <c r="M49" s="82" t="str">
        <f>IF($C49="","",IF($G49=0,"⛔ NO ENTRY IN BTABS",IF(ABS($L49)&lt;=Config!$C$10,"✅ OK ("&amp;TEXT($J49,"0.##")&amp;" h)",IF($L49&lt;0,"🔻 MISSING "&amp;TEXT(-$L49,"0.##")&amp;" h","🔺 OVER BY "&amp;TEXT($L49,"0.##")&amp;" h"))))</f>
        <v>✅ OK (8. h)</v>
      </c>
      <c r="N49" s="81">
        <f>IF($C49="","",IF($G49=0,3,IF(ABS($L49)&lt;=Config!$C$10,0,IF($L49&lt;0,2,1))))</f>
        <v>0</v>
      </c>
      <c r="O49" s="81" t="str">
        <f>IF($C49="","",IF($N49&gt;0,COUNTIFS($N$4:$N49,"&gt;0"),""))</f>
        <v/>
      </c>
    </row>
    <row r="50" spans="2:15" x14ac:dyDescent="0.25">
      <c r="B50" s="81">
        <f t="shared" si="0"/>
        <v>10</v>
      </c>
      <c r="C50" s="82" t="str">
        <f>IF(INT((ROW()-4)/5)+1&gt;Config!$C$14,"",INDEX(BPOworkers!$B$6:$B$105,INT((ROW()-4)/5)+1))</f>
        <v>J Rincon</v>
      </c>
      <c r="D50" s="82" t="str">
        <f>IF($C50="","",IFERROR(INDEX(BPOworkers!$E$6:$E$105,MATCH($C50,BPOworkers!$B$6:$B$105,0)),""))</f>
        <v>A Camargo</v>
      </c>
      <c r="E50" s="83">
        <f>IF($C50="","",Config!$C$7+MOD(ROW()-4,5))</f>
        <v>46266</v>
      </c>
      <c r="F50" s="82" t="str">
        <f>IF($C50="","",INDEX(Config!$F$7:$F$11,MOD(ROW()-4,5)+1))</f>
        <v>Tuesday</v>
      </c>
      <c r="G50" s="81">
        <f>IF($C50="","",COUNTIFS(RawBtabs!$A$2:$A$1500,$C50,RawBtabs!$C$2:$C$1500,$E50))</f>
        <v>3</v>
      </c>
      <c r="H50" s="84">
        <f>IF($C50="","",SUMIFS(RawBtabs!$T$2:$T$1500,RawBtabs!$A$2:$A$1500,$C50,RawBtabs!$C$2:$C$1500,$E50))</f>
        <v>8</v>
      </c>
      <c r="I50" s="84">
        <f>IF($C50="","",SUMIFS(RawBtabs!$U$2:$U$1500,RawBtabs!$A$2:$A$1500,$C50,RawBtabs!$C$2:$C$1500,$E50))</f>
        <v>0</v>
      </c>
      <c r="J50" s="84">
        <f t="shared" si="1"/>
        <v>8</v>
      </c>
      <c r="K50" s="85">
        <f>IF($C50="","",$J50/Config!$C$9)</f>
        <v>1</v>
      </c>
      <c r="L50" s="84">
        <f>IF($C50="","",$J50-Config!$C$9)</f>
        <v>0</v>
      </c>
      <c r="M50" s="82" t="str">
        <f>IF($C50="","",IF($G50=0,"⛔ NO ENTRY IN BTABS",IF(ABS($L50)&lt;=Config!$C$10,"✅ OK ("&amp;TEXT($J50,"0.##")&amp;" h)",IF($L50&lt;0,"🔻 MISSING "&amp;TEXT(-$L50,"0.##")&amp;" h","🔺 OVER BY "&amp;TEXT($L50,"0.##")&amp;" h"))))</f>
        <v>✅ OK (8. h)</v>
      </c>
      <c r="N50" s="81">
        <f>IF($C50="","",IF($G50=0,3,IF(ABS($L50)&lt;=Config!$C$10,0,IF($L50&lt;0,2,1))))</f>
        <v>0</v>
      </c>
      <c r="O50" s="81" t="str">
        <f>IF($C50="","",IF($N50&gt;0,COUNTIFS($N$4:$N50,"&gt;0"),""))</f>
        <v/>
      </c>
    </row>
    <row r="51" spans="2:15" x14ac:dyDescent="0.25">
      <c r="B51" s="81">
        <f t="shared" si="0"/>
        <v>10</v>
      </c>
      <c r="C51" s="82" t="str">
        <f>IF(INT((ROW()-4)/5)+1&gt;Config!$C$14,"",INDEX(BPOworkers!$B$6:$B$105,INT((ROW()-4)/5)+1))</f>
        <v>J Rincon</v>
      </c>
      <c r="D51" s="82" t="str">
        <f>IF($C51="","",IFERROR(INDEX(BPOworkers!$E$6:$E$105,MATCH($C51,BPOworkers!$B$6:$B$105,0)),""))</f>
        <v>A Camargo</v>
      </c>
      <c r="E51" s="83">
        <f>IF($C51="","",Config!$C$7+MOD(ROW()-4,5))</f>
        <v>46267</v>
      </c>
      <c r="F51" s="82" t="str">
        <f>IF($C51="","",INDEX(Config!$F$7:$F$11,MOD(ROW()-4,5)+1))</f>
        <v>Wednesday</v>
      </c>
      <c r="G51" s="81">
        <f>IF($C51="","",COUNTIFS(RawBtabs!$A$2:$A$1500,$C51,RawBtabs!$C$2:$C$1500,$E51))</f>
        <v>1</v>
      </c>
      <c r="H51" s="84">
        <f>IF($C51="","",SUMIFS(RawBtabs!$T$2:$T$1500,RawBtabs!$A$2:$A$1500,$C51,RawBtabs!$C$2:$C$1500,$E51))</f>
        <v>8</v>
      </c>
      <c r="I51" s="84">
        <f>IF($C51="","",SUMIFS(RawBtabs!$U$2:$U$1500,RawBtabs!$A$2:$A$1500,$C51,RawBtabs!$C$2:$C$1500,$E51))</f>
        <v>0</v>
      </c>
      <c r="J51" s="84">
        <f t="shared" si="1"/>
        <v>8</v>
      </c>
      <c r="K51" s="85">
        <f>IF($C51="","",$J51/Config!$C$9)</f>
        <v>1</v>
      </c>
      <c r="L51" s="84">
        <f>IF($C51="","",$J51-Config!$C$9)</f>
        <v>0</v>
      </c>
      <c r="M51" s="82" t="str">
        <f>IF($C51="","",IF($G51=0,"⛔ NO ENTRY IN BTABS",IF(ABS($L51)&lt;=Config!$C$10,"✅ OK ("&amp;TEXT($J51,"0.##")&amp;" h)",IF($L51&lt;0,"🔻 MISSING "&amp;TEXT(-$L51,"0.##")&amp;" h","🔺 OVER BY "&amp;TEXT($L51,"0.##")&amp;" h"))))</f>
        <v>✅ OK (8. h)</v>
      </c>
      <c r="N51" s="81">
        <f>IF($C51="","",IF($G51=0,3,IF(ABS($L51)&lt;=Config!$C$10,0,IF($L51&lt;0,2,1))))</f>
        <v>0</v>
      </c>
      <c r="O51" s="81" t="str">
        <f>IF($C51="","",IF($N51&gt;0,COUNTIFS($N$4:$N51,"&gt;0"),""))</f>
        <v/>
      </c>
    </row>
    <row r="52" spans="2:15" x14ac:dyDescent="0.25">
      <c r="B52" s="81">
        <f t="shared" si="0"/>
        <v>10</v>
      </c>
      <c r="C52" s="82" t="str">
        <f>IF(INT((ROW()-4)/5)+1&gt;Config!$C$14,"",INDEX(BPOworkers!$B$6:$B$105,INT((ROW()-4)/5)+1))</f>
        <v>J Rincon</v>
      </c>
      <c r="D52" s="82" t="str">
        <f>IF($C52="","",IFERROR(INDEX(BPOworkers!$E$6:$E$105,MATCH($C52,BPOworkers!$B$6:$B$105,0)),""))</f>
        <v>A Camargo</v>
      </c>
      <c r="E52" s="83">
        <f>IF($C52="","",Config!$C$7+MOD(ROW()-4,5))</f>
        <v>46268</v>
      </c>
      <c r="F52" s="82" t="str">
        <f>IF($C52="","",INDEX(Config!$F$7:$F$11,MOD(ROW()-4,5)+1))</f>
        <v>Thursday</v>
      </c>
      <c r="G52" s="81">
        <f>IF($C52="","",COUNTIFS(RawBtabs!$A$2:$A$1500,$C52,RawBtabs!$C$2:$C$1500,$E52))</f>
        <v>1</v>
      </c>
      <c r="H52" s="84">
        <f>IF($C52="","",SUMIFS(RawBtabs!$T$2:$T$1500,RawBtabs!$A$2:$A$1500,$C52,RawBtabs!$C$2:$C$1500,$E52))</f>
        <v>8</v>
      </c>
      <c r="I52" s="84">
        <f>IF($C52="","",SUMIFS(RawBtabs!$U$2:$U$1500,RawBtabs!$A$2:$A$1500,$C52,RawBtabs!$C$2:$C$1500,$E52))</f>
        <v>0</v>
      </c>
      <c r="J52" s="84">
        <f t="shared" si="1"/>
        <v>8</v>
      </c>
      <c r="K52" s="85">
        <f>IF($C52="","",$J52/Config!$C$9)</f>
        <v>1</v>
      </c>
      <c r="L52" s="84">
        <f>IF($C52="","",$J52-Config!$C$9)</f>
        <v>0</v>
      </c>
      <c r="M52" s="82" t="str">
        <f>IF($C52="","",IF($G52=0,"⛔ NO ENTRY IN BTABS",IF(ABS($L52)&lt;=Config!$C$10,"✅ OK ("&amp;TEXT($J52,"0.##")&amp;" h)",IF($L52&lt;0,"🔻 MISSING "&amp;TEXT(-$L52,"0.##")&amp;" h","🔺 OVER BY "&amp;TEXT($L52,"0.##")&amp;" h"))))</f>
        <v>✅ OK (8. h)</v>
      </c>
      <c r="N52" s="81">
        <f>IF($C52="","",IF($G52=0,3,IF(ABS($L52)&lt;=Config!$C$10,0,IF($L52&lt;0,2,1))))</f>
        <v>0</v>
      </c>
      <c r="O52" s="81" t="str">
        <f>IF($C52="","",IF($N52&gt;0,COUNTIFS($N$4:$N52,"&gt;0"),""))</f>
        <v/>
      </c>
    </row>
    <row r="53" spans="2:15" x14ac:dyDescent="0.25">
      <c r="B53" s="81">
        <f t="shared" si="0"/>
        <v>10</v>
      </c>
      <c r="C53" s="82" t="str">
        <f>IF(INT((ROW()-4)/5)+1&gt;Config!$C$14,"",INDEX(BPOworkers!$B$6:$B$105,INT((ROW()-4)/5)+1))</f>
        <v>J Rincon</v>
      </c>
      <c r="D53" s="82" t="str">
        <f>IF($C53="","",IFERROR(INDEX(BPOworkers!$E$6:$E$105,MATCH($C53,BPOworkers!$B$6:$B$105,0)),""))</f>
        <v>A Camargo</v>
      </c>
      <c r="E53" s="83">
        <f>IF($C53="","",Config!$C$7+MOD(ROW()-4,5))</f>
        <v>46269</v>
      </c>
      <c r="F53" s="82" t="str">
        <f>IF($C53="","",INDEX(Config!$F$7:$F$11,MOD(ROW()-4,5)+1))</f>
        <v>Friday</v>
      </c>
      <c r="G53" s="81">
        <f>IF($C53="","",COUNTIFS(RawBtabs!$A$2:$A$1500,$C53,RawBtabs!$C$2:$C$1500,$E53))</f>
        <v>1</v>
      </c>
      <c r="H53" s="84">
        <f>IF($C53="","",SUMIFS(RawBtabs!$T$2:$T$1500,RawBtabs!$A$2:$A$1500,$C53,RawBtabs!$C$2:$C$1500,$E53))</f>
        <v>8</v>
      </c>
      <c r="I53" s="84">
        <f>IF($C53="","",SUMIFS(RawBtabs!$U$2:$U$1500,RawBtabs!$A$2:$A$1500,$C53,RawBtabs!$C$2:$C$1500,$E53))</f>
        <v>0</v>
      </c>
      <c r="J53" s="84">
        <f t="shared" si="1"/>
        <v>8</v>
      </c>
      <c r="K53" s="85">
        <f>IF($C53="","",$J53/Config!$C$9)</f>
        <v>1</v>
      </c>
      <c r="L53" s="84">
        <f>IF($C53="","",$J53-Config!$C$9)</f>
        <v>0</v>
      </c>
      <c r="M53" s="82" t="str">
        <f>IF($C53="","",IF($G53=0,"⛔ NO ENTRY IN BTABS",IF(ABS($L53)&lt;=Config!$C$10,"✅ OK ("&amp;TEXT($J53,"0.##")&amp;" h)",IF($L53&lt;0,"🔻 MISSING "&amp;TEXT(-$L53,"0.##")&amp;" h","🔺 OVER BY "&amp;TEXT($L53,"0.##")&amp;" h"))))</f>
        <v>✅ OK (8. h)</v>
      </c>
      <c r="N53" s="81">
        <f>IF($C53="","",IF($G53=0,3,IF(ABS($L53)&lt;=Config!$C$10,0,IF($L53&lt;0,2,1))))</f>
        <v>0</v>
      </c>
      <c r="O53" s="81" t="str">
        <f>IF($C53="","",IF($N53&gt;0,COUNTIFS($N$4:$N53,"&gt;0"),""))</f>
        <v/>
      </c>
    </row>
    <row r="54" spans="2:15" x14ac:dyDescent="0.25">
      <c r="B54" s="81">
        <f t="shared" si="0"/>
        <v>11</v>
      </c>
      <c r="C54" s="82" t="str">
        <f>IF(INT((ROW()-4)/5)+1&gt;Config!$C$14,"",INDEX(BPOworkers!$B$6:$B$105,INT((ROW()-4)/5)+1))</f>
        <v>L Silva</v>
      </c>
      <c r="D54" s="82" t="str">
        <f>IF($C54="","",IFERROR(INDEX(BPOworkers!$E$6:$E$105,MATCH($C54,BPOworkers!$B$6:$B$105,0)),""))</f>
        <v>BPO Management</v>
      </c>
      <c r="E54" s="83">
        <f>IF($C54="","",Config!$C$7+MOD(ROW()-4,5))</f>
        <v>46265</v>
      </c>
      <c r="F54" s="82" t="str">
        <f>IF($C54="","",INDEX(Config!$F$7:$F$11,MOD(ROW()-4,5)+1))</f>
        <v>Monday</v>
      </c>
      <c r="G54" s="81">
        <f>IF($C54="","",COUNTIFS(RawBtabs!$A$2:$A$1500,$C54,RawBtabs!$C$2:$C$1500,$E54))</f>
        <v>1</v>
      </c>
      <c r="H54" s="84">
        <f>IF($C54="","",SUMIFS(RawBtabs!$T$2:$T$1500,RawBtabs!$A$2:$A$1500,$C54,RawBtabs!$C$2:$C$1500,$E54))</f>
        <v>8</v>
      </c>
      <c r="I54" s="84">
        <f>IF($C54="","",SUMIFS(RawBtabs!$U$2:$U$1500,RawBtabs!$A$2:$A$1500,$C54,RawBtabs!$C$2:$C$1500,$E54))</f>
        <v>0</v>
      </c>
      <c r="J54" s="84">
        <f t="shared" si="1"/>
        <v>8</v>
      </c>
      <c r="K54" s="85">
        <f>IF($C54="","",$J54/Config!$C$9)</f>
        <v>1</v>
      </c>
      <c r="L54" s="84">
        <f>IF($C54="","",$J54-Config!$C$9)</f>
        <v>0</v>
      </c>
      <c r="M54" s="82" t="str">
        <f>IF($C54="","",IF($G54=0,"⛔ NO ENTRY IN BTABS",IF(ABS($L54)&lt;=Config!$C$10,"✅ OK ("&amp;TEXT($J54,"0.##")&amp;" h)",IF($L54&lt;0,"🔻 MISSING "&amp;TEXT(-$L54,"0.##")&amp;" h","🔺 OVER BY "&amp;TEXT($L54,"0.##")&amp;" h"))))</f>
        <v>✅ OK (8. h)</v>
      </c>
      <c r="N54" s="81">
        <f>IF($C54="","",IF($G54=0,3,IF(ABS($L54)&lt;=Config!$C$10,0,IF($L54&lt;0,2,1))))</f>
        <v>0</v>
      </c>
      <c r="O54" s="81" t="str">
        <f>IF($C54="","",IF($N54&gt;0,COUNTIFS($N$4:$N54,"&gt;0"),""))</f>
        <v/>
      </c>
    </row>
    <row r="55" spans="2:15" x14ac:dyDescent="0.25">
      <c r="B55" s="81">
        <f t="shared" si="0"/>
        <v>11</v>
      </c>
      <c r="C55" s="82" t="str">
        <f>IF(INT((ROW()-4)/5)+1&gt;Config!$C$14,"",INDEX(BPOworkers!$B$6:$B$105,INT((ROW()-4)/5)+1))</f>
        <v>L Silva</v>
      </c>
      <c r="D55" s="82" t="str">
        <f>IF($C55="","",IFERROR(INDEX(BPOworkers!$E$6:$E$105,MATCH($C55,BPOworkers!$B$6:$B$105,0)),""))</f>
        <v>BPO Management</v>
      </c>
      <c r="E55" s="83">
        <f>IF($C55="","",Config!$C$7+MOD(ROW()-4,5))</f>
        <v>46266</v>
      </c>
      <c r="F55" s="82" t="str">
        <f>IF($C55="","",INDEX(Config!$F$7:$F$11,MOD(ROW()-4,5)+1))</f>
        <v>Tuesday</v>
      </c>
      <c r="G55" s="81">
        <f>IF($C55="","",COUNTIFS(RawBtabs!$A$2:$A$1500,$C55,RawBtabs!$C$2:$C$1500,$E55))</f>
        <v>1</v>
      </c>
      <c r="H55" s="84">
        <f>IF($C55="","",SUMIFS(RawBtabs!$T$2:$T$1500,RawBtabs!$A$2:$A$1500,$C55,RawBtabs!$C$2:$C$1500,$E55))</f>
        <v>8</v>
      </c>
      <c r="I55" s="84">
        <f>IF($C55="","",SUMIFS(RawBtabs!$U$2:$U$1500,RawBtabs!$A$2:$A$1500,$C55,RawBtabs!$C$2:$C$1500,$E55))</f>
        <v>0</v>
      </c>
      <c r="J55" s="84">
        <f t="shared" si="1"/>
        <v>8</v>
      </c>
      <c r="K55" s="85">
        <f>IF($C55="","",$J55/Config!$C$9)</f>
        <v>1</v>
      </c>
      <c r="L55" s="84">
        <f>IF($C55="","",$J55-Config!$C$9)</f>
        <v>0</v>
      </c>
      <c r="M55" s="82" t="str">
        <f>IF($C55="","",IF($G55=0,"⛔ NO ENTRY IN BTABS",IF(ABS($L55)&lt;=Config!$C$10,"✅ OK ("&amp;TEXT($J55,"0.##")&amp;" h)",IF($L55&lt;0,"🔻 MISSING "&amp;TEXT(-$L55,"0.##")&amp;" h","🔺 OVER BY "&amp;TEXT($L55,"0.##")&amp;" h"))))</f>
        <v>✅ OK (8. h)</v>
      </c>
      <c r="N55" s="81">
        <f>IF($C55="","",IF($G55=0,3,IF(ABS($L55)&lt;=Config!$C$10,0,IF($L55&lt;0,2,1))))</f>
        <v>0</v>
      </c>
      <c r="O55" s="81" t="str">
        <f>IF($C55="","",IF($N55&gt;0,COUNTIFS($N$4:$N55,"&gt;0"),""))</f>
        <v/>
      </c>
    </row>
    <row r="56" spans="2:15" x14ac:dyDescent="0.25">
      <c r="B56" s="81">
        <f t="shared" si="0"/>
        <v>11</v>
      </c>
      <c r="C56" s="82" t="str">
        <f>IF(INT((ROW()-4)/5)+1&gt;Config!$C$14,"",INDEX(BPOworkers!$B$6:$B$105,INT((ROW()-4)/5)+1))</f>
        <v>L Silva</v>
      </c>
      <c r="D56" s="82" t="str">
        <f>IF($C56="","",IFERROR(INDEX(BPOworkers!$E$6:$E$105,MATCH($C56,BPOworkers!$B$6:$B$105,0)),""))</f>
        <v>BPO Management</v>
      </c>
      <c r="E56" s="83">
        <f>IF($C56="","",Config!$C$7+MOD(ROW()-4,5))</f>
        <v>46267</v>
      </c>
      <c r="F56" s="82" t="str">
        <f>IF($C56="","",INDEX(Config!$F$7:$F$11,MOD(ROW()-4,5)+1))</f>
        <v>Wednesday</v>
      </c>
      <c r="G56" s="81">
        <f>IF($C56="","",COUNTIFS(RawBtabs!$A$2:$A$1500,$C56,RawBtabs!$C$2:$C$1500,$E56))</f>
        <v>2</v>
      </c>
      <c r="H56" s="84">
        <f>IF($C56="","",SUMIFS(RawBtabs!$T$2:$T$1500,RawBtabs!$A$2:$A$1500,$C56,RawBtabs!$C$2:$C$1500,$E56))</f>
        <v>8</v>
      </c>
      <c r="I56" s="84">
        <f>IF($C56="","",SUMIFS(RawBtabs!$U$2:$U$1500,RawBtabs!$A$2:$A$1500,$C56,RawBtabs!$C$2:$C$1500,$E56))</f>
        <v>0</v>
      </c>
      <c r="J56" s="84">
        <f t="shared" si="1"/>
        <v>8</v>
      </c>
      <c r="K56" s="85">
        <f>IF($C56="","",$J56/Config!$C$9)</f>
        <v>1</v>
      </c>
      <c r="L56" s="84">
        <f>IF($C56="","",$J56-Config!$C$9)</f>
        <v>0</v>
      </c>
      <c r="M56" s="82" t="str">
        <f>IF($C56="","",IF($G56=0,"⛔ NO ENTRY IN BTABS",IF(ABS($L56)&lt;=Config!$C$10,"✅ OK ("&amp;TEXT($J56,"0.##")&amp;" h)",IF($L56&lt;0,"🔻 MISSING "&amp;TEXT(-$L56,"0.##")&amp;" h","🔺 OVER BY "&amp;TEXT($L56,"0.##")&amp;" h"))))</f>
        <v>✅ OK (8. h)</v>
      </c>
      <c r="N56" s="81">
        <f>IF($C56="","",IF($G56=0,3,IF(ABS($L56)&lt;=Config!$C$10,0,IF($L56&lt;0,2,1))))</f>
        <v>0</v>
      </c>
      <c r="O56" s="81" t="str">
        <f>IF($C56="","",IF($N56&gt;0,COUNTIFS($N$4:$N56,"&gt;0"),""))</f>
        <v/>
      </c>
    </row>
    <row r="57" spans="2:15" x14ac:dyDescent="0.25">
      <c r="B57" s="81">
        <f t="shared" si="0"/>
        <v>11</v>
      </c>
      <c r="C57" s="82" t="str">
        <f>IF(INT((ROW()-4)/5)+1&gt;Config!$C$14,"",INDEX(BPOworkers!$B$6:$B$105,INT((ROW()-4)/5)+1))</f>
        <v>L Silva</v>
      </c>
      <c r="D57" s="82" t="str">
        <f>IF($C57="","",IFERROR(INDEX(BPOworkers!$E$6:$E$105,MATCH($C57,BPOworkers!$B$6:$B$105,0)),""))</f>
        <v>BPO Management</v>
      </c>
      <c r="E57" s="83">
        <f>IF($C57="","",Config!$C$7+MOD(ROW()-4,5))</f>
        <v>46268</v>
      </c>
      <c r="F57" s="82" t="str">
        <f>IF($C57="","",INDEX(Config!$F$7:$F$11,MOD(ROW()-4,5)+1))</f>
        <v>Thursday</v>
      </c>
      <c r="G57" s="81">
        <f>IF($C57="","",COUNTIFS(RawBtabs!$A$2:$A$1500,$C57,RawBtabs!$C$2:$C$1500,$E57))</f>
        <v>2</v>
      </c>
      <c r="H57" s="84">
        <f>IF($C57="","",SUMIFS(RawBtabs!$T$2:$T$1500,RawBtabs!$A$2:$A$1500,$C57,RawBtabs!$C$2:$C$1500,$E57))</f>
        <v>8</v>
      </c>
      <c r="I57" s="84">
        <f>IF($C57="","",SUMIFS(RawBtabs!$U$2:$U$1500,RawBtabs!$A$2:$A$1500,$C57,RawBtabs!$C$2:$C$1500,$E57))</f>
        <v>0</v>
      </c>
      <c r="J57" s="84">
        <f t="shared" si="1"/>
        <v>8</v>
      </c>
      <c r="K57" s="85">
        <f>IF($C57="","",$J57/Config!$C$9)</f>
        <v>1</v>
      </c>
      <c r="L57" s="84">
        <f>IF($C57="","",$J57-Config!$C$9)</f>
        <v>0</v>
      </c>
      <c r="M57" s="82" t="str">
        <f>IF($C57="","",IF($G57=0,"⛔ NO ENTRY IN BTABS",IF(ABS($L57)&lt;=Config!$C$10,"✅ OK ("&amp;TEXT($J57,"0.##")&amp;" h)",IF($L57&lt;0,"🔻 MISSING "&amp;TEXT(-$L57,"0.##")&amp;" h","🔺 OVER BY "&amp;TEXT($L57,"0.##")&amp;" h"))))</f>
        <v>✅ OK (8. h)</v>
      </c>
      <c r="N57" s="81">
        <f>IF($C57="","",IF($G57=0,3,IF(ABS($L57)&lt;=Config!$C$10,0,IF($L57&lt;0,2,1))))</f>
        <v>0</v>
      </c>
      <c r="O57" s="81" t="str">
        <f>IF($C57="","",IF($N57&gt;0,COUNTIFS($N$4:$N57,"&gt;0"),""))</f>
        <v/>
      </c>
    </row>
    <row r="58" spans="2:15" x14ac:dyDescent="0.25">
      <c r="B58" s="81">
        <f t="shared" si="0"/>
        <v>11</v>
      </c>
      <c r="C58" s="82" t="str">
        <f>IF(INT((ROW()-4)/5)+1&gt;Config!$C$14,"",INDEX(BPOworkers!$B$6:$B$105,INT((ROW()-4)/5)+1))</f>
        <v>L Silva</v>
      </c>
      <c r="D58" s="82" t="str">
        <f>IF($C58="","",IFERROR(INDEX(BPOworkers!$E$6:$E$105,MATCH($C58,BPOworkers!$B$6:$B$105,0)),""))</f>
        <v>BPO Management</v>
      </c>
      <c r="E58" s="83">
        <f>IF($C58="","",Config!$C$7+MOD(ROW()-4,5))</f>
        <v>46269</v>
      </c>
      <c r="F58" s="82" t="str">
        <f>IF($C58="","",INDEX(Config!$F$7:$F$11,MOD(ROW()-4,5)+1))</f>
        <v>Friday</v>
      </c>
      <c r="G58" s="81">
        <f>IF($C58="","",COUNTIFS(RawBtabs!$A$2:$A$1500,$C58,RawBtabs!$C$2:$C$1500,$E58))</f>
        <v>2</v>
      </c>
      <c r="H58" s="84">
        <f>IF($C58="","",SUMIFS(RawBtabs!$T$2:$T$1500,RawBtabs!$A$2:$A$1500,$C58,RawBtabs!$C$2:$C$1500,$E58))</f>
        <v>8</v>
      </c>
      <c r="I58" s="84">
        <f>IF($C58="","",SUMIFS(RawBtabs!$U$2:$U$1500,RawBtabs!$A$2:$A$1500,$C58,RawBtabs!$C$2:$C$1500,$E58))</f>
        <v>0</v>
      </c>
      <c r="J58" s="84">
        <f t="shared" si="1"/>
        <v>8</v>
      </c>
      <c r="K58" s="85">
        <f>IF($C58="","",$J58/Config!$C$9)</f>
        <v>1</v>
      </c>
      <c r="L58" s="84">
        <f>IF($C58="","",$J58-Config!$C$9)</f>
        <v>0</v>
      </c>
      <c r="M58" s="82" t="str">
        <f>IF($C58="","",IF($G58=0,"⛔ NO ENTRY IN BTABS",IF(ABS($L58)&lt;=Config!$C$10,"✅ OK ("&amp;TEXT($J58,"0.##")&amp;" h)",IF($L58&lt;0,"🔻 MISSING "&amp;TEXT(-$L58,"0.##")&amp;" h","🔺 OVER BY "&amp;TEXT($L58,"0.##")&amp;" h"))))</f>
        <v>✅ OK (8. h)</v>
      </c>
      <c r="N58" s="81">
        <f>IF($C58="","",IF($G58=0,3,IF(ABS($L58)&lt;=Config!$C$10,0,IF($L58&lt;0,2,1))))</f>
        <v>0</v>
      </c>
      <c r="O58" s="81" t="str">
        <f>IF($C58="","",IF($N58&gt;0,COUNTIFS($N$4:$N58,"&gt;0"),""))</f>
        <v/>
      </c>
    </row>
    <row r="59" spans="2:15" x14ac:dyDescent="0.25">
      <c r="B59" s="81">
        <f t="shared" si="0"/>
        <v>12</v>
      </c>
      <c r="C59" s="82" t="str">
        <f>IF(INT((ROW()-4)/5)+1&gt;Config!$C$14,"",INDEX(BPOworkers!$B$6:$B$105,INT((ROW()-4)/5)+1))</f>
        <v>M Grazziani</v>
      </c>
      <c r="D59" s="82" t="str">
        <f>IF($C59="","",IFERROR(INDEX(BPOworkers!$E$6:$E$105,MATCH($C59,BPOworkers!$B$6:$B$105,0)),""))</f>
        <v>J S Bermudez</v>
      </c>
      <c r="E59" s="83">
        <f>IF($C59="","",Config!$C$7+MOD(ROW()-4,5))</f>
        <v>46265</v>
      </c>
      <c r="F59" s="82" t="str">
        <f>IF($C59="","",INDEX(Config!$F$7:$F$11,MOD(ROW()-4,5)+1))</f>
        <v>Monday</v>
      </c>
      <c r="G59" s="81">
        <f>IF($C59="","",COUNTIFS(RawBtabs!$A$2:$A$1500,$C59,RawBtabs!$C$2:$C$1500,$E59))</f>
        <v>1</v>
      </c>
      <c r="H59" s="84">
        <f>IF($C59="","",SUMIFS(RawBtabs!$T$2:$T$1500,RawBtabs!$A$2:$A$1500,$C59,RawBtabs!$C$2:$C$1500,$E59))</f>
        <v>8</v>
      </c>
      <c r="I59" s="84">
        <f>IF($C59="","",SUMIFS(RawBtabs!$U$2:$U$1500,RawBtabs!$A$2:$A$1500,$C59,RawBtabs!$C$2:$C$1500,$E59))</f>
        <v>0</v>
      </c>
      <c r="J59" s="84">
        <f t="shared" si="1"/>
        <v>8</v>
      </c>
      <c r="K59" s="85">
        <f>IF($C59="","",$J59/Config!$C$9)</f>
        <v>1</v>
      </c>
      <c r="L59" s="84">
        <f>IF($C59="","",$J59-Config!$C$9)</f>
        <v>0</v>
      </c>
      <c r="M59" s="82" t="str">
        <f>IF($C59="","",IF($G59=0,"⛔ NO ENTRY IN BTABS",IF(ABS($L59)&lt;=Config!$C$10,"✅ OK ("&amp;TEXT($J59,"0.##")&amp;" h)",IF($L59&lt;0,"🔻 MISSING "&amp;TEXT(-$L59,"0.##")&amp;" h","🔺 OVER BY "&amp;TEXT($L59,"0.##")&amp;" h"))))</f>
        <v>✅ OK (8. h)</v>
      </c>
      <c r="N59" s="81">
        <f>IF($C59="","",IF($G59=0,3,IF(ABS($L59)&lt;=Config!$C$10,0,IF($L59&lt;0,2,1))))</f>
        <v>0</v>
      </c>
      <c r="O59" s="81" t="str">
        <f>IF($C59="","",IF($N59&gt;0,COUNTIFS($N$4:$N59,"&gt;0"),""))</f>
        <v/>
      </c>
    </row>
    <row r="60" spans="2:15" x14ac:dyDescent="0.25">
      <c r="B60" s="81">
        <f t="shared" si="0"/>
        <v>12</v>
      </c>
      <c r="C60" s="82" t="str">
        <f>IF(INT((ROW()-4)/5)+1&gt;Config!$C$14,"",INDEX(BPOworkers!$B$6:$B$105,INT((ROW()-4)/5)+1))</f>
        <v>M Grazziani</v>
      </c>
      <c r="D60" s="82" t="str">
        <f>IF($C60="","",IFERROR(INDEX(BPOworkers!$E$6:$E$105,MATCH($C60,BPOworkers!$B$6:$B$105,0)),""))</f>
        <v>J S Bermudez</v>
      </c>
      <c r="E60" s="83">
        <f>IF($C60="","",Config!$C$7+MOD(ROW()-4,5))</f>
        <v>46266</v>
      </c>
      <c r="F60" s="82" t="str">
        <f>IF($C60="","",INDEX(Config!$F$7:$F$11,MOD(ROW()-4,5)+1))</f>
        <v>Tuesday</v>
      </c>
      <c r="G60" s="81">
        <f>IF($C60="","",COUNTIFS(RawBtabs!$A$2:$A$1500,$C60,RawBtabs!$C$2:$C$1500,$E60))</f>
        <v>3</v>
      </c>
      <c r="H60" s="84">
        <f>IF($C60="","",SUMIFS(RawBtabs!$T$2:$T$1500,RawBtabs!$A$2:$A$1500,$C60,RawBtabs!$C$2:$C$1500,$E60))</f>
        <v>8</v>
      </c>
      <c r="I60" s="84">
        <f>IF($C60="","",SUMIFS(RawBtabs!$U$2:$U$1500,RawBtabs!$A$2:$A$1500,$C60,RawBtabs!$C$2:$C$1500,$E60))</f>
        <v>0</v>
      </c>
      <c r="J60" s="84">
        <f t="shared" si="1"/>
        <v>8</v>
      </c>
      <c r="K60" s="85">
        <f>IF($C60="","",$J60/Config!$C$9)</f>
        <v>1</v>
      </c>
      <c r="L60" s="84">
        <f>IF($C60="","",$J60-Config!$C$9)</f>
        <v>0</v>
      </c>
      <c r="M60" s="82" t="str">
        <f>IF($C60="","",IF($G60=0,"⛔ NO ENTRY IN BTABS",IF(ABS($L60)&lt;=Config!$C$10,"✅ OK ("&amp;TEXT($J60,"0.##")&amp;" h)",IF($L60&lt;0,"🔻 MISSING "&amp;TEXT(-$L60,"0.##")&amp;" h","🔺 OVER BY "&amp;TEXT($L60,"0.##")&amp;" h"))))</f>
        <v>✅ OK (8. h)</v>
      </c>
      <c r="N60" s="81">
        <f>IF($C60="","",IF($G60=0,3,IF(ABS($L60)&lt;=Config!$C$10,0,IF($L60&lt;0,2,1))))</f>
        <v>0</v>
      </c>
      <c r="O60" s="81" t="str">
        <f>IF($C60="","",IF($N60&gt;0,COUNTIFS($N$4:$N60,"&gt;0"),""))</f>
        <v/>
      </c>
    </row>
    <row r="61" spans="2:15" x14ac:dyDescent="0.25">
      <c r="B61" s="81">
        <f t="shared" si="0"/>
        <v>12</v>
      </c>
      <c r="C61" s="82" t="str">
        <f>IF(INT((ROW()-4)/5)+1&gt;Config!$C$14,"",INDEX(BPOworkers!$B$6:$B$105,INT((ROW()-4)/5)+1))</f>
        <v>M Grazziani</v>
      </c>
      <c r="D61" s="82" t="str">
        <f>IF($C61="","",IFERROR(INDEX(BPOworkers!$E$6:$E$105,MATCH($C61,BPOworkers!$B$6:$B$105,0)),""))</f>
        <v>J S Bermudez</v>
      </c>
      <c r="E61" s="83">
        <f>IF($C61="","",Config!$C$7+MOD(ROW()-4,5))</f>
        <v>46267</v>
      </c>
      <c r="F61" s="82" t="str">
        <f>IF($C61="","",INDEX(Config!$F$7:$F$11,MOD(ROW()-4,5)+1))</f>
        <v>Wednesday</v>
      </c>
      <c r="G61" s="81">
        <f>IF($C61="","",COUNTIFS(RawBtabs!$A$2:$A$1500,$C61,RawBtabs!$C$2:$C$1500,$E61))</f>
        <v>1</v>
      </c>
      <c r="H61" s="84">
        <f>IF($C61="","",SUMIFS(RawBtabs!$T$2:$T$1500,RawBtabs!$A$2:$A$1500,$C61,RawBtabs!$C$2:$C$1500,$E61))</f>
        <v>8</v>
      </c>
      <c r="I61" s="84">
        <f>IF($C61="","",SUMIFS(RawBtabs!$U$2:$U$1500,RawBtabs!$A$2:$A$1500,$C61,RawBtabs!$C$2:$C$1500,$E61))</f>
        <v>0</v>
      </c>
      <c r="J61" s="84">
        <f t="shared" si="1"/>
        <v>8</v>
      </c>
      <c r="K61" s="85">
        <f>IF($C61="","",$J61/Config!$C$9)</f>
        <v>1</v>
      </c>
      <c r="L61" s="84">
        <f>IF($C61="","",$J61-Config!$C$9)</f>
        <v>0</v>
      </c>
      <c r="M61" s="82" t="str">
        <f>IF($C61="","",IF($G61=0,"⛔ NO ENTRY IN BTABS",IF(ABS($L61)&lt;=Config!$C$10,"✅ OK ("&amp;TEXT($J61,"0.##")&amp;" h)",IF($L61&lt;0,"🔻 MISSING "&amp;TEXT(-$L61,"0.##")&amp;" h","🔺 OVER BY "&amp;TEXT($L61,"0.##")&amp;" h"))))</f>
        <v>✅ OK (8. h)</v>
      </c>
      <c r="N61" s="81">
        <f>IF($C61="","",IF($G61=0,3,IF(ABS($L61)&lt;=Config!$C$10,0,IF($L61&lt;0,2,1))))</f>
        <v>0</v>
      </c>
      <c r="O61" s="81" t="str">
        <f>IF($C61="","",IF($N61&gt;0,COUNTIFS($N$4:$N61,"&gt;0"),""))</f>
        <v/>
      </c>
    </row>
    <row r="62" spans="2:15" x14ac:dyDescent="0.25">
      <c r="B62" s="81">
        <f t="shared" si="0"/>
        <v>12</v>
      </c>
      <c r="C62" s="82" t="str">
        <f>IF(INT((ROW()-4)/5)+1&gt;Config!$C$14,"",INDEX(BPOworkers!$B$6:$B$105,INT((ROW()-4)/5)+1))</f>
        <v>M Grazziani</v>
      </c>
      <c r="D62" s="82" t="str">
        <f>IF($C62="","",IFERROR(INDEX(BPOworkers!$E$6:$E$105,MATCH($C62,BPOworkers!$B$6:$B$105,0)),""))</f>
        <v>J S Bermudez</v>
      </c>
      <c r="E62" s="83">
        <f>IF($C62="","",Config!$C$7+MOD(ROW()-4,5))</f>
        <v>46268</v>
      </c>
      <c r="F62" s="82" t="str">
        <f>IF($C62="","",INDEX(Config!$F$7:$F$11,MOD(ROW()-4,5)+1))</f>
        <v>Thursday</v>
      </c>
      <c r="G62" s="81">
        <f>IF($C62="","",COUNTIFS(RawBtabs!$A$2:$A$1500,$C62,RawBtabs!$C$2:$C$1500,$E62))</f>
        <v>1</v>
      </c>
      <c r="H62" s="84">
        <f>IF($C62="","",SUMIFS(RawBtabs!$T$2:$T$1500,RawBtabs!$A$2:$A$1500,$C62,RawBtabs!$C$2:$C$1500,$E62))</f>
        <v>8</v>
      </c>
      <c r="I62" s="84">
        <f>IF($C62="","",SUMIFS(RawBtabs!$U$2:$U$1500,RawBtabs!$A$2:$A$1500,$C62,RawBtabs!$C$2:$C$1500,$E62))</f>
        <v>0</v>
      </c>
      <c r="J62" s="84">
        <f t="shared" si="1"/>
        <v>8</v>
      </c>
      <c r="K62" s="85">
        <f>IF($C62="","",$J62/Config!$C$9)</f>
        <v>1</v>
      </c>
      <c r="L62" s="84">
        <f>IF($C62="","",$J62-Config!$C$9)</f>
        <v>0</v>
      </c>
      <c r="M62" s="82" t="str">
        <f>IF($C62="","",IF($G62=0,"⛔ NO ENTRY IN BTABS",IF(ABS($L62)&lt;=Config!$C$10,"✅ OK ("&amp;TEXT($J62,"0.##")&amp;" h)",IF($L62&lt;0,"🔻 MISSING "&amp;TEXT(-$L62,"0.##")&amp;" h","🔺 OVER BY "&amp;TEXT($L62,"0.##")&amp;" h"))))</f>
        <v>✅ OK (8. h)</v>
      </c>
      <c r="N62" s="81">
        <f>IF($C62="","",IF($G62=0,3,IF(ABS($L62)&lt;=Config!$C$10,0,IF($L62&lt;0,2,1))))</f>
        <v>0</v>
      </c>
      <c r="O62" s="81" t="str">
        <f>IF($C62="","",IF($N62&gt;0,COUNTIFS($N$4:$N62,"&gt;0"),""))</f>
        <v/>
      </c>
    </row>
    <row r="63" spans="2:15" x14ac:dyDescent="0.25">
      <c r="B63" s="81">
        <f t="shared" si="0"/>
        <v>12</v>
      </c>
      <c r="C63" s="82" t="str">
        <f>IF(INT((ROW()-4)/5)+1&gt;Config!$C$14,"",INDEX(BPOworkers!$B$6:$B$105,INT((ROW()-4)/5)+1))</f>
        <v>M Grazziani</v>
      </c>
      <c r="D63" s="82" t="str">
        <f>IF($C63="","",IFERROR(INDEX(BPOworkers!$E$6:$E$105,MATCH($C63,BPOworkers!$B$6:$B$105,0)),""))</f>
        <v>J S Bermudez</v>
      </c>
      <c r="E63" s="83">
        <f>IF($C63="","",Config!$C$7+MOD(ROW()-4,5))</f>
        <v>46269</v>
      </c>
      <c r="F63" s="82" t="str">
        <f>IF($C63="","",INDEX(Config!$F$7:$F$11,MOD(ROW()-4,5)+1))</f>
        <v>Friday</v>
      </c>
      <c r="G63" s="81">
        <f>IF($C63="","",COUNTIFS(RawBtabs!$A$2:$A$1500,$C63,RawBtabs!$C$2:$C$1500,$E63))</f>
        <v>2</v>
      </c>
      <c r="H63" s="84">
        <f>IF($C63="","",SUMIFS(RawBtabs!$T$2:$T$1500,RawBtabs!$A$2:$A$1500,$C63,RawBtabs!$C$2:$C$1500,$E63))</f>
        <v>8</v>
      </c>
      <c r="I63" s="84">
        <f>IF($C63="","",SUMIFS(RawBtabs!$U$2:$U$1500,RawBtabs!$A$2:$A$1500,$C63,RawBtabs!$C$2:$C$1500,$E63))</f>
        <v>0</v>
      </c>
      <c r="J63" s="84">
        <f t="shared" si="1"/>
        <v>8</v>
      </c>
      <c r="K63" s="85">
        <f>IF($C63="","",$J63/Config!$C$9)</f>
        <v>1</v>
      </c>
      <c r="L63" s="84">
        <f>IF($C63="","",$J63-Config!$C$9)</f>
        <v>0</v>
      </c>
      <c r="M63" s="82" t="str">
        <f>IF($C63="","",IF($G63=0,"⛔ NO ENTRY IN BTABS",IF(ABS($L63)&lt;=Config!$C$10,"✅ OK ("&amp;TEXT($J63,"0.##")&amp;" h)",IF($L63&lt;0,"🔻 MISSING "&amp;TEXT(-$L63,"0.##")&amp;" h","🔺 OVER BY "&amp;TEXT($L63,"0.##")&amp;" h"))))</f>
        <v>✅ OK (8. h)</v>
      </c>
      <c r="N63" s="81">
        <f>IF($C63="","",IF($G63=0,3,IF(ABS($L63)&lt;=Config!$C$10,0,IF($L63&lt;0,2,1))))</f>
        <v>0</v>
      </c>
      <c r="O63" s="81" t="str">
        <f>IF($C63="","",IF($N63&gt;0,COUNTIFS($N$4:$N63,"&gt;0"),""))</f>
        <v/>
      </c>
    </row>
    <row r="64" spans="2:15" x14ac:dyDescent="0.25">
      <c r="B64" s="81">
        <f t="shared" si="0"/>
        <v>13</v>
      </c>
      <c r="C64" s="82" t="str">
        <f>IF(INT((ROW()-4)/5)+1&gt;Config!$C$14,"",INDEX(BPOworkers!$B$6:$B$105,INT((ROW()-4)/5)+1))</f>
        <v>M Leon</v>
      </c>
      <c r="D64" s="82" t="str">
        <f>IF($C64="","",IFERROR(INDEX(BPOworkers!$E$6:$E$105,MATCH($C64,BPOworkers!$B$6:$B$105,0)),""))</f>
        <v>BPO Management</v>
      </c>
      <c r="E64" s="83">
        <f>IF($C64="","",Config!$C$7+MOD(ROW()-4,5))</f>
        <v>46265</v>
      </c>
      <c r="F64" s="82" t="str">
        <f>IF($C64="","",INDEX(Config!$F$7:$F$11,MOD(ROW()-4,5)+1))</f>
        <v>Monday</v>
      </c>
      <c r="G64" s="81">
        <f>IF($C64="","",COUNTIFS(RawBtabs!$A$2:$A$1500,$C64,RawBtabs!$C$2:$C$1500,$E64))</f>
        <v>1</v>
      </c>
      <c r="H64" s="84">
        <f>IF($C64="","",SUMIFS(RawBtabs!$T$2:$T$1500,RawBtabs!$A$2:$A$1500,$C64,RawBtabs!$C$2:$C$1500,$E64))</f>
        <v>8</v>
      </c>
      <c r="I64" s="84">
        <f>IF($C64="","",SUMIFS(RawBtabs!$U$2:$U$1500,RawBtabs!$A$2:$A$1500,$C64,RawBtabs!$C$2:$C$1500,$E64))</f>
        <v>0</v>
      </c>
      <c r="J64" s="84">
        <f t="shared" si="1"/>
        <v>8</v>
      </c>
      <c r="K64" s="85">
        <f>IF($C64="","",$J64/Config!$C$9)</f>
        <v>1</v>
      </c>
      <c r="L64" s="84">
        <f>IF($C64="","",$J64-Config!$C$9)</f>
        <v>0</v>
      </c>
      <c r="M64" s="82" t="str">
        <f>IF($C64="","",IF($G64=0,"⛔ NO ENTRY IN BTABS",IF(ABS($L64)&lt;=Config!$C$10,"✅ OK ("&amp;TEXT($J64,"0.##")&amp;" h)",IF($L64&lt;0,"🔻 MISSING "&amp;TEXT(-$L64,"0.##")&amp;" h","🔺 OVER BY "&amp;TEXT($L64,"0.##")&amp;" h"))))</f>
        <v>✅ OK (8. h)</v>
      </c>
      <c r="N64" s="81">
        <f>IF($C64="","",IF($G64=0,3,IF(ABS($L64)&lt;=Config!$C$10,0,IF($L64&lt;0,2,1))))</f>
        <v>0</v>
      </c>
      <c r="O64" s="81" t="str">
        <f>IF($C64="","",IF($N64&gt;0,COUNTIFS($N$4:$N64,"&gt;0"),""))</f>
        <v/>
      </c>
    </row>
    <row r="65" spans="2:15" x14ac:dyDescent="0.25">
      <c r="B65" s="81">
        <f t="shared" si="0"/>
        <v>13</v>
      </c>
      <c r="C65" s="82" t="str">
        <f>IF(INT((ROW()-4)/5)+1&gt;Config!$C$14,"",INDEX(BPOworkers!$B$6:$B$105,INT((ROW()-4)/5)+1))</f>
        <v>M Leon</v>
      </c>
      <c r="D65" s="82" t="str">
        <f>IF($C65="","",IFERROR(INDEX(BPOworkers!$E$6:$E$105,MATCH($C65,BPOworkers!$B$6:$B$105,0)),""))</f>
        <v>BPO Management</v>
      </c>
      <c r="E65" s="83">
        <f>IF($C65="","",Config!$C$7+MOD(ROW()-4,5))</f>
        <v>46266</v>
      </c>
      <c r="F65" s="82" t="str">
        <f>IF($C65="","",INDEX(Config!$F$7:$F$11,MOD(ROW()-4,5)+1))</f>
        <v>Tuesday</v>
      </c>
      <c r="G65" s="81">
        <f>IF($C65="","",COUNTIFS(RawBtabs!$A$2:$A$1500,$C65,RawBtabs!$C$2:$C$1500,$E65))</f>
        <v>2</v>
      </c>
      <c r="H65" s="84">
        <f>IF($C65="","",SUMIFS(RawBtabs!$T$2:$T$1500,RawBtabs!$A$2:$A$1500,$C65,RawBtabs!$C$2:$C$1500,$E65))</f>
        <v>8</v>
      </c>
      <c r="I65" s="84">
        <f>IF($C65="","",SUMIFS(RawBtabs!$U$2:$U$1500,RawBtabs!$A$2:$A$1500,$C65,RawBtabs!$C$2:$C$1500,$E65))</f>
        <v>0</v>
      </c>
      <c r="J65" s="84">
        <f t="shared" si="1"/>
        <v>8</v>
      </c>
      <c r="K65" s="85">
        <f>IF($C65="","",$J65/Config!$C$9)</f>
        <v>1</v>
      </c>
      <c r="L65" s="84">
        <f>IF($C65="","",$J65-Config!$C$9)</f>
        <v>0</v>
      </c>
      <c r="M65" s="82" t="str">
        <f>IF($C65="","",IF($G65=0,"⛔ NO ENTRY IN BTABS",IF(ABS($L65)&lt;=Config!$C$10,"✅ OK ("&amp;TEXT($J65,"0.##")&amp;" h)",IF($L65&lt;0,"🔻 MISSING "&amp;TEXT(-$L65,"0.##")&amp;" h","🔺 OVER BY "&amp;TEXT($L65,"0.##")&amp;" h"))))</f>
        <v>✅ OK (8. h)</v>
      </c>
      <c r="N65" s="81">
        <f>IF($C65="","",IF($G65=0,3,IF(ABS($L65)&lt;=Config!$C$10,0,IF($L65&lt;0,2,1))))</f>
        <v>0</v>
      </c>
      <c r="O65" s="81" t="str">
        <f>IF($C65="","",IF($N65&gt;0,COUNTIFS($N$4:$N65,"&gt;0"),""))</f>
        <v/>
      </c>
    </row>
    <row r="66" spans="2:15" x14ac:dyDescent="0.25">
      <c r="B66" s="81">
        <f t="shared" si="0"/>
        <v>13</v>
      </c>
      <c r="C66" s="82" t="str">
        <f>IF(INT((ROW()-4)/5)+1&gt;Config!$C$14,"",INDEX(BPOworkers!$B$6:$B$105,INT((ROW()-4)/5)+1))</f>
        <v>M Leon</v>
      </c>
      <c r="D66" s="82" t="str">
        <f>IF($C66="","",IFERROR(INDEX(BPOworkers!$E$6:$E$105,MATCH($C66,BPOworkers!$B$6:$B$105,0)),""))</f>
        <v>BPO Management</v>
      </c>
      <c r="E66" s="83">
        <f>IF($C66="","",Config!$C$7+MOD(ROW()-4,5))</f>
        <v>46267</v>
      </c>
      <c r="F66" s="82" t="str">
        <f>IF($C66="","",INDEX(Config!$F$7:$F$11,MOD(ROW()-4,5)+1))</f>
        <v>Wednesday</v>
      </c>
      <c r="G66" s="81">
        <f>IF($C66="","",COUNTIFS(RawBtabs!$A$2:$A$1500,$C66,RawBtabs!$C$2:$C$1500,$E66))</f>
        <v>2</v>
      </c>
      <c r="H66" s="84">
        <f>IF($C66="","",SUMIFS(RawBtabs!$T$2:$T$1500,RawBtabs!$A$2:$A$1500,$C66,RawBtabs!$C$2:$C$1500,$E66))</f>
        <v>8</v>
      </c>
      <c r="I66" s="84">
        <f>IF($C66="","",SUMIFS(RawBtabs!$U$2:$U$1500,RawBtabs!$A$2:$A$1500,$C66,RawBtabs!$C$2:$C$1500,$E66))</f>
        <v>0</v>
      </c>
      <c r="J66" s="84">
        <f t="shared" si="1"/>
        <v>8</v>
      </c>
      <c r="K66" s="85">
        <f>IF($C66="","",$J66/Config!$C$9)</f>
        <v>1</v>
      </c>
      <c r="L66" s="84">
        <f>IF($C66="","",$J66-Config!$C$9)</f>
        <v>0</v>
      </c>
      <c r="M66" s="82" t="str">
        <f>IF($C66="","",IF($G66=0,"⛔ NO ENTRY IN BTABS",IF(ABS($L66)&lt;=Config!$C$10,"✅ OK ("&amp;TEXT($J66,"0.##")&amp;" h)",IF($L66&lt;0,"🔻 MISSING "&amp;TEXT(-$L66,"0.##")&amp;" h","🔺 OVER BY "&amp;TEXT($L66,"0.##")&amp;" h"))))</f>
        <v>✅ OK (8. h)</v>
      </c>
      <c r="N66" s="81">
        <f>IF($C66="","",IF($G66=0,3,IF(ABS($L66)&lt;=Config!$C$10,0,IF($L66&lt;0,2,1))))</f>
        <v>0</v>
      </c>
      <c r="O66" s="81" t="str">
        <f>IF($C66="","",IF($N66&gt;0,COUNTIFS($N$4:$N66,"&gt;0"),""))</f>
        <v/>
      </c>
    </row>
    <row r="67" spans="2:15" x14ac:dyDescent="0.25">
      <c r="B67" s="81">
        <f t="shared" si="0"/>
        <v>13</v>
      </c>
      <c r="C67" s="82" t="str">
        <f>IF(INT((ROW()-4)/5)+1&gt;Config!$C$14,"",INDEX(BPOworkers!$B$6:$B$105,INT((ROW()-4)/5)+1))</f>
        <v>M Leon</v>
      </c>
      <c r="D67" s="82" t="str">
        <f>IF($C67="","",IFERROR(INDEX(BPOworkers!$E$6:$E$105,MATCH($C67,BPOworkers!$B$6:$B$105,0)),""))</f>
        <v>BPO Management</v>
      </c>
      <c r="E67" s="83">
        <f>IF($C67="","",Config!$C$7+MOD(ROW()-4,5))</f>
        <v>46268</v>
      </c>
      <c r="F67" s="82" t="str">
        <f>IF($C67="","",INDEX(Config!$F$7:$F$11,MOD(ROW()-4,5)+1))</f>
        <v>Thursday</v>
      </c>
      <c r="G67" s="81">
        <f>IF($C67="","",COUNTIFS(RawBtabs!$A$2:$A$1500,$C67,RawBtabs!$C$2:$C$1500,$E67))</f>
        <v>2</v>
      </c>
      <c r="H67" s="84">
        <f>IF($C67="","",SUMIFS(RawBtabs!$T$2:$T$1500,RawBtabs!$A$2:$A$1500,$C67,RawBtabs!$C$2:$C$1500,$E67))</f>
        <v>8</v>
      </c>
      <c r="I67" s="84">
        <f>IF($C67="","",SUMIFS(RawBtabs!$U$2:$U$1500,RawBtabs!$A$2:$A$1500,$C67,RawBtabs!$C$2:$C$1500,$E67))</f>
        <v>0</v>
      </c>
      <c r="J67" s="84">
        <f t="shared" si="1"/>
        <v>8</v>
      </c>
      <c r="K67" s="85">
        <f>IF($C67="","",$J67/Config!$C$9)</f>
        <v>1</v>
      </c>
      <c r="L67" s="84">
        <f>IF($C67="","",$J67-Config!$C$9)</f>
        <v>0</v>
      </c>
      <c r="M67" s="82" t="str">
        <f>IF($C67="","",IF($G67=0,"⛔ NO ENTRY IN BTABS",IF(ABS($L67)&lt;=Config!$C$10,"✅ OK ("&amp;TEXT($J67,"0.##")&amp;" h)",IF($L67&lt;0,"🔻 MISSING "&amp;TEXT(-$L67,"0.##")&amp;" h","🔺 OVER BY "&amp;TEXT($L67,"0.##")&amp;" h"))))</f>
        <v>✅ OK (8. h)</v>
      </c>
      <c r="N67" s="81">
        <f>IF($C67="","",IF($G67=0,3,IF(ABS($L67)&lt;=Config!$C$10,0,IF($L67&lt;0,2,1))))</f>
        <v>0</v>
      </c>
      <c r="O67" s="81" t="str">
        <f>IF($C67="","",IF($N67&gt;0,COUNTIFS($N$4:$N67,"&gt;0"),""))</f>
        <v/>
      </c>
    </row>
    <row r="68" spans="2:15" x14ac:dyDescent="0.25">
      <c r="B68" s="81">
        <f t="shared" ref="B68:B131" si="2">IF($C68="","",INT((ROW()-4)/5)+1)</f>
        <v>13</v>
      </c>
      <c r="C68" s="82" t="str">
        <f>IF(INT((ROW()-4)/5)+1&gt;Config!$C$14,"",INDEX(BPOworkers!$B$6:$B$105,INT((ROW()-4)/5)+1))</f>
        <v>M Leon</v>
      </c>
      <c r="D68" s="82" t="str">
        <f>IF($C68="","",IFERROR(INDEX(BPOworkers!$E$6:$E$105,MATCH($C68,BPOworkers!$B$6:$B$105,0)),""))</f>
        <v>BPO Management</v>
      </c>
      <c r="E68" s="83">
        <f>IF($C68="","",Config!$C$7+MOD(ROW()-4,5))</f>
        <v>46269</v>
      </c>
      <c r="F68" s="82" t="str">
        <f>IF($C68="","",INDEX(Config!$F$7:$F$11,MOD(ROW()-4,5)+1))</f>
        <v>Friday</v>
      </c>
      <c r="G68" s="81">
        <f>IF($C68="","",COUNTIFS(RawBtabs!$A$2:$A$1500,$C68,RawBtabs!$C$2:$C$1500,$E68))</f>
        <v>2</v>
      </c>
      <c r="H68" s="84">
        <f>IF($C68="","",SUMIFS(RawBtabs!$T$2:$T$1500,RawBtabs!$A$2:$A$1500,$C68,RawBtabs!$C$2:$C$1500,$E68))</f>
        <v>8</v>
      </c>
      <c r="I68" s="84">
        <f>IF($C68="","",SUMIFS(RawBtabs!$U$2:$U$1500,RawBtabs!$A$2:$A$1500,$C68,RawBtabs!$C$2:$C$1500,$E68))</f>
        <v>0</v>
      </c>
      <c r="J68" s="84">
        <f t="shared" ref="J68:J131" si="3">IF($C68="","",$H68+$I68)</f>
        <v>8</v>
      </c>
      <c r="K68" s="85">
        <f>IF($C68="","",$J68/Config!$C$9)</f>
        <v>1</v>
      </c>
      <c r="L68" s="84">
        <f>IF($C68="","",$J68-Config!$C$9)</f>
        <v>0</v>
      </c>
      <c r="M68" s="82" t="str">
        <f>IF($C68="","",IF($G68=0,"⛔ NO ENTRY IN BTABS",IF(ABS($L68)&lt;=Config!$C$10,"✅ OK ("&amp;TEXT($J68,"0.##")&amp;" h)",IF($L68&lt;0,"🔻 MISSING "&amp;TEXT(-$L68,"0.##")&amp;" h","🔺 OVER BY "&amp;TEXT($L68,"0.##")&amp;" h"))))</f>
        <v>✅ OK (8. h)</v>
      </c>
      <c r="N68" s="81">
        <f>IF($C68="","",IF($G68=0,3,IF(ABS($L68)&lt;=Config!$C$10,0,IF($L68&lt;0,2,1))))</f>
        <v>0</v>
      </c>
      <c r="O68" s="81" t="str">
        <f>IF($C68="","",IF($N68&gt;0,COUNTIFS($N$4:$N68,"&gt;0"),""))</f>
        <v/>
      </c>
    </row>
    <row r="69" spans="2:15" x14ac:dyDescent="0.25">
      <c r="B69" s="81">
        <f t="shared" si="2"/>
        <v>14</v>
      </c>
      <c r="C69" s="82" t="str">
        <f>IF(INT((ROW()-4)/5)+1&gt;Config!$C$14,"",INDEX(BPOworkers!$B$6:$B$105,INT((ROW()-4)/5)+1))</f>
        <v>R Sanchez</v>
      </c>
      <c r="D69" s="82" t="str">
        <f>IF($C69="","",IFERROR(INDEX(BPOworkers!$E$6:$E$105,MATCH($C69,BPOworkers!$B$6:$B$105,0)),""))</f>
        <v>BPO Management</v>
      </c>
      <c r="E69" s="83">
        <f>IF($C69="","",Config!$C$7+MOD(ROW()-4,5))</f>
        <v>46265</v>
      </c>
      <c r="F69" s="82" t="str">
        <f>IF($C69="","",INDEX(Config!$F$7:$F$11,MOD(ROW()-4,5)+1))</f>
        <v>Monday</v>
      </c>
      <c r="G69" s="81">
        <f>IF($C69="","",COUNTIFS(RawBtabs!$A$2:$A$1500,$C69,RawBtabs!$C$2:$C$1500,$E69))</f>
        <v>2</v>
      </c>
      <c r="H69" s="84">
        <f>IF($C69="","",SUMIFS(RawBtabs!$T$2:$T$1500,RawBtabs!$A$2:$A$1500,$C69,RawBtabs!$C$2:$C$1500,$E69))</f>
        <v>8</v>
      </c>
      <c r="I69" s="84">
        <f>IF($C69="","",SUMIFS(RawBtabs!$U$2:$U$1500,RawBtabs!$A$2:$A$1500,$C69,RawBtabs!$C$2:$C$1500,$E69))</f>
        <v>0</v>
      </c>
      <c r="J69" s="84">
        <f t="shared" si="3"/>
        <v>8</v>
      </c>
      <c r="K69" s="85">
        <f>IF($C69="","",$J69/Config!$C$9)</f>
        <v>1</v>
      </c>
      <c r="L69" s="84">
        <f>IF($C69="","",$J69-Config!$C$9)</f>
        <v>0</v>
      </c>
      <c r="M69" s="82" t="str">
        <f>IF($C69="","",IF($G69=0,"⛔ NO ENTRY IN BTABS",IF(ABS($L69)&lt;=Config!$C$10,"✅ OK ("&amp;TEXT($J69,"0.##")&amp;" h)",IF($L69&lt;0,"🔻 MISSING "&amp;TEXT(-$L69,"0.##")&amp;" h","🔺 OVER BY "&amp;TEXT($L69,"0.##")&amp;" h"))))</f>
        <v>✅ OK (8. h)</v>
      </c>
      <c r="N69" s="81">
        <f>IF($C69="","",IF($G69=0,3,IF(ABS($L69)&lt;=Config!$C$10,0,IF($L69&lt;0,2,1))))</f>
        <v>0</v>
      </c>
      <c r="O69" s="81" t="str">
        <f>IF($C69="","",IF($N69&gt;0,COUNTIFS($N$4:$N69,"&gt;0"),""))</f>
        <v/>
      </c>
    </row>
    <row r="70" spans="2:15" x14ac:dyDescent="0.25">
      <c r="B70" s="81">
        <f t="shared" si="2"/>
        <v>14</v>
      </c>
      <c r="C70" s="82" t="str">
        <f>IF(INT((ROW()-4)/5)+1&gt;Config!$C$14,"",INDEX(BPOworkers!$B$6:$B$105,INT((ROW()-4)/5)+1))</f>
        <v>R Sanchez</v>
      </c>
      <c r="D70" s="82" t="str">
        <f>IF($C70="","",IFERROR(INDEX(BPOworkers!$E$6:$E$105,MATCH($C70,BPOworkers!$B$6:$B$105,0)),""))</f>
        <v>BPO Management</v>
      </c>
      <c r="E70" s="83">
        <f>IF($C70="","",Config!$C$7+MOD(ROW()-4,5))</f>
        <v>46266</v>
      </c>
      <c r="F70" s="82" t="str">
        <f>IF($C70="","",INDEX(Config!$F$7:$F$11,MOD(ROW()-4,5)+1))</f>
        <v>Tuesday</v>
      </c>
      <c r="G70" s="81">
        <f>IF($C70="","",COUNTIFS(RawBtabs!$A$2:$A$1500,$C70,RawBtabs!$C$2:$C$1500,$E70))</f>
        <v>2</v>
      </c>
      <c r="H70" s="84">
        <f>IF($C70="","",SUMIFS(RawBtabs!$T$2:$T$1500,RawBtabs!$A$2:$A$1500,$C70,RawBtabs!$C$2:$C$1500,$E70))</f>
        <v>8</v>
      </c>
      <c r="I70" s="84">
        <f>IF($C70="","",SUMIFS(RawBtabs!$U$2:$U$1500,RawBtabs!$A$2:$A$1500,$C70,RawBtabs!$C$2:$C$1500,$E70))</f>
        <v>0</v>
      </c>
      <c r="J70" s="84">
        <f t="shared" si="3"/>
        <v>8</v>
      </c>
      <c r="K70" s="85">
        <f>IF($C70="","",$J70/Config!$C$9)</f>
        <v>1</v>
      </c>
      <c r="L70" s="84">
        <f>IF($C70="","",$J70-Config!$C$9)</f>
        <v>0</v>
      </c>
      <c r="M70" s="82" t="str">
        <f>IF($C70="","",IF($G70=0,"⛔ NO ENTRY IN BTABS",IF(ABS($L70)&lt;=Config!$C$10,"✅ OK ("&amp;TEXT($J70,"0.##")&amp;" h)",IF($L70&lt;0,"🔻 MISSING "&amp;TEXT(-$L70,"0.##")&amp;" h","🔺 OVER BY "&amp;TEXT($L70,"0.##")&amp;" h"))))</f>
        <v>✅ OK (8. h)</v>
      </c>
      <c r="N70" s="81">
        <f>IF($C70="","",IF($G70=0,3,IF(ABS($L70)&lt;=Config!$C$10,0,IF($L70&lt;0,2,1))))</f>
        <v>0</v>
      </c>
      <c r="O70" s="81" t="str">
        <f>IF($C70="","",IF($N70&gt;0,COUNTIFS($N$4:$N70,"&gt;0"),""))</f>
        <v/>
      </c>
    </row>
    <row r="71" spans="2:15" x14ac:dyDescent="0.25">
      <c r="B71" s="81">
        <f t="shared" si="2"/>
        <v>14</v>
      </c>
      <c r="C71" s="82" t="str">
        <f>IF(INT((ROW()-4)/5)+1&gt;Config!$C$14,"",INDEX(BPOworkers!$B$6:$B$105,INT((ROW()-4)/5)+1))</f>
        <v>R Sanchez</v>
      </c>
      <c r="D71" s="82" t="str">
        <f>IF($C71="","",IFERROR(INDEX(BPOworkers!$E$6:$E$105,MATCH($C71,BPOworkers!$B$6:$B$105,0)),""))</f>
        <v>BPO Management</v>
      </c>
      <c r="E71" s="83">
        <f>IF($C71="","",Config!$C$7+MOD(ROW()-4,5))</f>
        <v>46267</v>
      </c>
      <c r="F71" s="82" t="str">
        <f>IF($C71="","",INDEX(Config!$F$7:$F$11,MOD(ROW()-4,5)+1))</f>
        <v>Wednesday</v>
      </c>
      <c r="G71" s="81">
        <f>IF($C71="","",COUNTIFS(RawBtabs!$A$2:$A$1500,$C71,RawBtabs!$C$2:$C$1500,$E71))</f>
        <v>4</v>
      </c>
      <c r="H71" s="84">
        <f>IF($C71="","",SUMIFS(RawBtabs!$T$2:$T$1500,RawBtabs!$A$2:$A$1500,$C71,RawBtabs!$C$2:$C$1500,$E71))</f>
        <v>8</v>
      </c>
      <c r="I71" s="84">
        <f>IF($C71="","",SUMIFS(RawBtabs!$U$2:$U$1500,RawBtabs!$A$2:$A$1500,$C71,RawBtabs!$C$2:$C$1500,$E71))</f>
        <v>0</v>
      </c>
      <c r="J71" s="84">
        <f t="shared" si="3"/>
        <v>8</v>
      </c>
      <c r="K71" s="85">
        <f>IF($C71="","",$J71/Config!$C$9)</f>
        <v>1</v>
      </c>
      <c r="L71" s="84">
        <f>IF($C71="","",$J71-Config!$C$9)</f>
        <v>0</v>
      </c>
      <c r="M71" s="82" t="str">
        <f>IF($C71="","",IF($G71=0,"⛔ NO ENTRY IN BTABS",IF(ABS($L71)&lt;=Config!$C$10,"✅ OK ("&amp;TEXT($J71,"0.##")&amp;" h)",IF($L71&lt;0,"🔻 MISSING "&amp;TEXT(-$L71,"0.##")&amp;" h","🔺 OVER BY "&amp;TEXT($L71,"0.##")&amp;" h"))))</f>
        <v>✅ OK (8. h)</v>
      </c>
      <c r="N71" s="81">
        <f>IF($C71="","",IF($G71=0,3,IF(ABS($L71)&lt;=Config!$C$10,0,IF($L71&lt;0,2,1))))</f>
        <v>0</v>
      </c>
      <c r="O71" s="81" t="str">
        <f>IF($C71="","",IF($N71&gt;0,COUNTIFS($N$4:$N71,"&gt;0"),""))</f>
        <v/>
      </c>
    </row>
    <row r="72" spans="2:15" x14ac:dyDescent="0.25">
      <c r="B72" s="81">
        <f t="shared" si="2"/>
        <v>14</v>
      </c>
      <c r="C72" s="82" t="str">
        <f>IF(INT((ROW()-4)/5)+1&gt;Config!$C$14,"",INDEX(BPOworkers!$B$6:$B$105,INT((ROW()-4)/5)+1))</f>
        <v>R Sanchez</v>
      </c>
      <c r="D72" s="82" t="str">
        <f>IF($C72="","",IFERROR(INDEX(BPOworkers!$E$6:$E$105,MATCH($C72,BPOworkers!$B$6:$B$105,0)),""))</f>
        <v>BPO Management</v>
      </c>
      <c r="E72" s="83">
        <f>IF($C72="","",Config!$C$7+MOD(ROW()-4,5))</f>
        <v>46268</v>
      </c>
      <c r="F72" s="82" t="str">
        <f>IF($C72="","",INDEX(Config!$F$7:$F$11,MOD(ROW()-4,5)+1))</f>
        <v>Thursday</v>
      </c>
      <c r="G72" s="81">
        <f>IF($C72="","",COUNTIFS(RawBtabs!$A$2:$A$1500,$C72,RawBtabs!$C$2:$C$1500,$E72))</f>
        <v>2</v>
      </c>
      <c r="H72" s="84">
        <f>IF($C72="","",SUMIFS(RawBtabs!$T$2:$T$1500,RawBtabs!$A$2:$A$1500,$C72,RawBtabs!$C$2:$C$1500,$E72))</f>
        <v>8</v>
      </c>
      <c r="I72" s="84">
        <f>IF($C72="","",SUMIFS(RawBtabs!$U$2:$U$1500,RawBtabs!$A$2:$A$1500,$C72,RawBtabs!$C$2:$C$1500,$E72))</f>
        <v>0</v>
      </c>
      <c r="J72" s="84">
        <f t="shared" si="3"/>
        <v>8</v>
      </c>
      <c r="K72" s="85">
        <f>IF($C72="","",$J72/Config!$C$9)</f>
        <v>1</v>
      </c>
      <c r="L72" s="84">
        <f>IF($C72="","",$J72-Config!$C$9)</f>
        <v>0</v>
      </c>
      <c r="M72" s="82" t="str">
        <f>IF($C72="","",IF($G72=0,"⛔ NO ENTRY IN BTABS",IF(ABS($L72)&lt;=Config!$C$10,"✅ OK ("&amp;TEXT($J72,"0.##")&amp;" h)",IF($L72&lt;0,"🔻 MISSING "&amp;TEXT(-$L72,"0.##")&amp;" h","🔺 OVER BY "&amp;TEXT($L72,"0.##")&amp;" h"))))</f>
        <v>✅ OK (8. h)</v>
      </c>
      <c r="N72" s="81">
        <f>IF($C72="","",IF($G72=0,3,IF(ABS($L72)&lt;=Config!$C$10,0,IF($L72&lt;0,2,1))))</f>
        <v>0</v>
      </c>
      <c r="O72" s="81" t="str">
        <f>IF($C72="","",IF($N72&gt;0,COUNTIFS($N$4:$N72,"&gt;0"),""))</f>
        <v/>
      </c>
    </row>
    <row r="73" spans="2:15" x14ac:dyDescent="0.25">
      <c r="B73" s="81">
        <f t="shared" si="2"/>
        <v>14</v>
      </c>
      <c r="C73" s="82" t="str">
        <f>IF(INT((ROW()-4)/5)+1&gt;Config!$C$14,"",INDEX(BPOworkers!$B$6:$B$105,INT((ROW()-4)/5)+1))</f>
        <v>R Sanchez</v>
      </c>
      <c r="D73" s="82" t="str">
        <f>IF($C73="","",IFERROR(INDEX(BPOworkers!$E$6:$E$105,MATCH($C73,BPOworkers!$B$6:$B$105,0)),""))</f>
        <v>BPO Management</v>
      </c>
      <c r="E73" s="83">
        <f>IF($C73="","",Config!$C$7+MOD(ROW()-4,5))</f>
        <v>46269</v>
      </c>
      <c r="F73" s="82" t="str">
        <f>IF($C73="","",INDEX(Config!$F$7:$F$11,MOD(ROW()-4,5)+1))</f>
        <v>Friday</v>
      </c>
      <c r="G73" s="81">
        <f>IF($C73="","",COUNTIFS(RawBtabs!$A$2:$A$1500,$C73,RawBtabs!$C$2:$C$1500,$E73))</f>
        <v>2</v>
      </c>
      <c r="H73" s="84">
        <f>IF($C73="","",SUMIFS(RawBtabs!$T$2:$T$1500,RawBtabs!$A$2:$A$1500,$C73,RawBtabs!$C$2:$C$1500,$E73))</f>
        <v>8</v>
      </c>
      <c r="I73" s="84">
        <f>IF($C73="","",SUMIFS(RawBtabs!$U$2:$U$1500,RawBtabs!$A$2:$A$1500,$C73,RawBtabs!$C$2:$C$1500,$E73))</f>
        <v>0</v>
      </c>
      <c r="J73" s="84">
        <f t="shared" si="3"/>
        <v>8</v>
      </c>
      <c r="K73" s="85">
        <f>IF($C73="","",$J73/Config!$C$9)</f>
        <v>1</v>
      </c>
      <c r="L73" s="84">
        <f>IF($C73="","",$J73-Config!$C$9)</f>
        <v>0</v>
      </c>
      <c r="M73" s="82" t="str">
        <f>IF($C73="","",IF($G73=0,"⛔ NO ENTRY IN BTABS",IF(ABS($L73)&lt;=Config!$C$10,"✅ OK ("&amp;TEXT($J73,"0.##")&amp;" h)",IF($L73&lt;0,"🔻 MISSING "&amp;TEXT(-$L73,"0.##")&amp;" h","🔺 OVER BY "&amp;TEXT($L73,"0.##")&amp;" h"))))</f>
        <v>✅ OK (8. h)</v>
      </c>
      <c r="N73" s="81">
        <f>IF($C73="","",IF($G73=0,3,IF(ABS($L73)&lt;=Config!$C$10,0,IF($L73&lt;0,2,1))))</f>
        <v>0</v>
      </c>
      <c r="O73" s="81" t="str">
        <f>IF($C73="","",IF($N73&gt;0,COUNTIFS($N$4:$N73,"&gt;0"),""))</f>
        <v/>
      </c>
    </row>
    <row r="74" spans="2:15" x14ac:dyDescent="0.25">
      <c r="B74" s="81">
        <f t="shared" si="2"/>
        <v>15</v>
      </c>
      <c r="C74" s="82" t="str">
        <f>IF(INT((ROW()-4)/5)+1&gt;Config!$C$14,"",INDEX(BPOworkers!$B$6:$B$105,INT((ROW()-4)/5)+1))</f>
        <v>S Romero</v>
      </c>
      <c r="D74" s="82" t="str">
        <f>IF($C74="","",IFERROR(INDEX(BPOworkers!$E$6:$E$105,MATCH($C74,BPOworkers!$B$6:$B$105,0)),""))</f>
        <v>BPO Management</v>
      </c>
      <c r="E74" s="83">
        <f>IF($C74="","",Config!$C$7+MOD(ROW()-4,5))</f>
        <v>46265</v>
      </c>
      <c r="F74" s="82" t="str">
        <f>IF($C74="","",INDEX(Config!$F$7:$F$11,MOD(ROW()-4,5)+1))</f>
        <v>Monday</v>
      </c>
      <c r="G74" s="81">
        <f>IF($C74="","",COUNTIFS(RawBtabs!$A$2:$A$1500,$C74,RawBtabs!$C$2:$C$1500,$E74))</f>
        <v>2</v>
      </c>
      <c r="H74" s="84">
        <f>IF($C74="","",SUMIFS(RawBtabs!$T$2:$T$1500,RawBtabs!$A$2:$A$1500,$C74,RawBtabs!$C$2:$C$1500,$E74))</f>
        <v>8</v>
      </c>
      <c r="I74" s="84">
        <f>IF($C74="","",SUMIFS(RawBtabs!$U$2:$U$1500,RawBtabs!$A$2:$A$1500,$C74,RawBtabs!$C$2:$C$1500,$E74))</f>
        <v>0</v>
      </c>
      <c r="J74" s="84">
        <f t="shared" si="3"/>
        <v>8</v>
      </c>
      <c r="K74" s="85">
        <f>IF($C74="","",$J74/Config!$C$9)</f>
        <v>1</v>
      </c>
      <c r="L74" s="84">
        <f>IF($C74="","",$J74-Config!$C$9)</f>
        <v>0</v>
      </c>
      <c r="M74" s="82" t="str">
        <f>IF($C74="","",IF($G74=0,"⛔ NO ENTRY IN BTABS",IF(ABS($L74)&lt;=Config!$C$10,"✅ OK ("&amp;TEXT($J74,"0.##")&amp;" h)",IF($L74&lt;0,"🔻 MISSING "&amp;TEXT(-$L74,"0.##")&amp;" h","🔺 OVER BY "&amp;TEXT($L74,"0.##")&amp;" h"))))</f>
        <v>✅ OK (8. h)</v>
      </c>
      <c r="N74" s="81">
        <f>IF($C74="","",IF($G74=0,3,IF(ABS($L74)&lt;=Config!$C$10,0,IF($L74&lt;0,2,1))))</f>
        <v>0</v>
      </c>
      <c r="O74" s="81" t="str">
        <f>IF($C74="","",IF($N74&gt;0,COUNTIFS($N$4:$N74,"&gt;0"),""))</f>
        <v/>
      </c>
    </row>
    <row r="75" spans="2:15" x14ac:dyDescent="0.25">
      <c r="B75" s="81">
        <f t="shared" si="2"/>
        <v>15</v>
      </c>
      <c r="C75" s="82" t="str">
        <f>IF(INT((ROW()-4)/5)+1&gt;Config!$C$14,"",INDEX(BPOworkers!$B$6:$B$105,INT((ROW()-4)/5)+1))</f>
        <v>S Romero</v>
      </c>
      <c r="D75" s="82" t="str">
        <f>IF($C75="","",IFERROR(INDEX(BPOworkers!$E$6:$E$105,MATCH($C75,BPOworkers!$B$6:$B$105,0)),""))</f>
        <v>BPO Management</v>
      </c>
      <c r="E75" s="83">
        <f>IF($C75="","",Config!$C$7+MOD(ROW()-4,5))</f>
        <v>46266</v>
      </c>
      <c r="F75" s="82" t="str">
        <f>IF($C75="","",INDEX(Config!$F$7:$F$11,MOD(ROW()-4,5)+1))</f>
        <v>Tuesday</v>
      </c>
      <c r="G75" s="81">
        <f>IF($C75="","",COUNTIFS(RawBtabs!$A$2:$A$1500,$C75,RawBtabs!$C$2:$C$1500,$E75))</f>
        <v>1</v>
      </c>
      <c r="H75" s="84">
        <f>IF($C75="","",SUMIFS(RawBtabs!$T$2:$T$1500,RawBtabs!$A$2:$A$1500,$C75,RawBtabs!$C$2:$C$1500,$E75))</f>
        <v>8</v>
      </c>
      <c r="I75" s="84">
        <f>IF($C75="","",SUMIFS(RawBtabs!$U$2:$U$1500,RawBtabs!$A$2:$A$1500,$C75,RawBtabs!$C$2:$C$1500,$E75))</f>
        <v>0</v>
      </c>
      <c r="J75" s="84">
        <f t="shared" si="3"/>
        <v>8</v>
      </c>
      <c r="K75" s="85">
        <f>IF($C75="","",$J75/Config!$C$9)</f>
        <v>1</v>
      </c>
      <c r="L75" s="84">
        <f>IF($C75="","",$J75-Config!$C$9)</f>
        <v>0</v>
      </c>
      <c r="M75" s="82" t="str">
        <f>IF($C75="","",IF($G75=0,"⛔ NO ENTRY IN BTABS",IF(ABS($L75)&lt;=Config!$C$10,"✅ OK ("&amp;TEXT($J75,"0.##")&amp;" h)",IF($L75&lt;0,"🔻 MISSING "&amp;TEXT(-$L75,"0.##")&amp;" h","🔺 OVER BY "&amp;TEXT($L75,"0.##")&amp;" h"))))</f>
        <v>✅ OK (8. h)</v>
      </c>
      <c r="N75" s="81">
        <f>IF($C75="","",IF($G75=0,3,IF(ABS($L75)&lt;=Config!$C$10,0,IF($L75&lt;0,2,1))))</f>
        <v>0</v>
      </c>
      <c r="O75" s="81" t="str">
        <f>IF($C75="","",IF($N75&gt;0,COUNTIFS($N$4:$N75,"&gt;0"),""))</f>
        <v/>
      </c>
    </row>
    <row r="76" spans="2:15" x14ac:dyDescent="0.25">
      <c r="B76" s="81">
        <f t="shared" si="2"/>
        <v>15</v>
      </c>
      <c r="C76" s="82" t="str">
        <f>IF(INT((ROW()-4)/5)+1&gt;Config!$C$14,"",INDEX(BPOworkers!$B$6:$B$105,INT((ROW()-4)/5)+1))</f>
        <v>S Romero</v>
      </c>
      <c r="D76" s="82" t="str">
        <f>IF($C76="","",IFERROR(INDEX(BPOworkers!$E$6:$E$105,MATCH($C76,BPOworkers!$B$6:$B$105,0)),""))</f>
        <v>BPO Management</v>
      </c>
      <c r="E76" s="83">
        <f>IF($C76="","",Config!$C$7+MOD(ROW()-4,5))</f>
        <v>46267</v>
      </c>
      <c r="F76" s="82" t="str">
        <f>IF($C76="","",INDEX(Config!$F$7:$F$11,MOD(ROW()-4,5)+1))</f>
        <v>Wednesday</v>
      </c>
      <c r="G76" s="81">
        <f>IF($C76="","",COUNTIFS(RawBtabs!$A$2:$A$1500,$C76,RawBtabs!$C$2:$C$1500,$E76))</f>
        <v>2</v>
      </c>
      <c r="H76" s="84">
        <f>IF($C76="","",SUMIFS(RawBtabs!$T$2:$T$1500,RawBtabs!$A$2:$A$1500,$C76,RawBtabs!$C$2:$C$1500,$E76))</f>
        <v>8</v>
      </c>
      <c r="I76" s="84">
        <f>IF($C76="","",SUMIFS(RawBtabs!$U$2:$U$1500,RawBtabs!$A$2:$A$1500,$C76,RawBtabs!$C$2:$C$1500,$E76))</f>
        <v>0</v>
      </c>
      <c r="J76" s="84">
        <f t="shared" si="3"/>
        <v>8</v>
      </c>
      <c r="K76" s="85">
        <f>IF($C76="","",$J76/Config!$C$9)</f>
        <v>1</v>
      </c>
      <c r="L76" s="84">
        <f>IF($C76="","",$J76-Config!$C$9)</f>
        <v>0</v>
      </c>
      <c r="M76" s="82" t="str">
        <f>IF($C76="","",IF($G76=0,"⛔ NO ENTRY IN BTABS",IF(ABS($L76)&lt;=Config!$C$10,"✅ OK ("&amp;TEXT($J76,"0.##")&amp;" h)",IF($L76&lt;0,"🔻 MISSING "&amp;TEXT(-$L76,"0.##")&amp;" h","🔺 OVER BY "&amp;TEXT($L76,"0.##")&amp;" h"))))</f>
        <v>✅ OK (8. h)</v>
      </c>
      <c r="N76" s="81">
        <f>IF($C76="","",IF($G76=0,3,IF(ABS($L76)&lt;=Config!$C$10,0,IF($L76&lt;0,2,1))))</f>
        <v>0</v>
      </c>
      <c r="O76" s="81" t="str">
        <f>IF($C76="","",IF($N76&gt;0,COUNTIFS($N$4:$N76,"&gt;0"),""))</f>
        <v/>
      </c>
    </row>
    <row r="77" spans="2:15" x14ac:dyDescent="0.25">
      <c r="B77" s="81">
        <f t="shared" si="2"/>
        <v>15</v>
      </c>
      <c r="C77" s="82" t="str">
        <f>IF(INT((ROW()-4)/5)+1&gt;Config!$C$14,"",INDEX(BPOworkers!$B$6:$B$105,INT((ROW()-4)/5)+1))</f>
        <v>S Romero</v>
      </c>
      <c r="D77" s="82" t="str">
        <f>IF($C77="","",IFERROR(INDEX(BPOworkers!$E$6:$E$105,MATCH($C77,BPOworkers!$B$6:$B$105,0)),""))</f>
        <v>BPO Management</v>
      </c>
      <c r="E77" s="83">
        <f>IF($C77="","",Config!$C$7+MOD(ROW()-4,5))</f>
        <v>46268</v>
      </c>
      <c r="F77" s="82" t="str">
        <f>IF($C77="","",INDEX(Config!$F$7:$F$11,MOD(ROW()-4,5)+1))</f>
        <v>Thursday</v>
      </c>
      <c r="G77" s="81">
        <f>IF($C77="","",COUNTIFS(RawBtabs!$A$2:$A$1500,$C77,RawBtabs!$C$2:$C$1500,$E77))</f>
        <v>2</v>
      </c>
      <c r="H77" s="84">
        <f>IF($C77="","",SUMIFS(RawBtabs!$T$2:$T$1500,RawBtabs!$A$2:$A$1500,$C77,RawBtabs!$C$2:$C$1500,$E77))</f>
        <v>8</v>
      </c>
      <c r="I77" s="84">
        <f>IF($C77="","",SUMIFS(RawBtabs!$U$2:$U$1500,RawBtabs!$A$2:$A$1500,$C77,RawBtabs!$C$2:$C$1500,$E77))</f>
        <v>0</v>
      </c>
      <c r="J77" s="84">
        <f t="shared" si="3"/>
        <v>8</v>
      </c>
      <c r="K77" s="85">
        <f>IF($C77="","",$J77/Config!$C$9)</f>
        <v>1</v>
      </c>
      <c r="L77" s="84">
        <f>IF($C77="","",$J77-Config!$C$9)</f>
        <v>0</v>
      </c>
      <c r="M77" s="82" t="str">
        <f>IF($C77="","",IF($G77=0,"⛔ NO ENTRY IN BTABS",IF(ABS($L77)&lt;=Config!$C$10,"✅ OK ("&amp;TEXT($J77,"0.##")&amp;" h)",IF($L77&lt;0,"🔻 MISSING "&amp;TEXT(-$L77,"0.##")&amp;" h","🔺 OVER BY "&amp;TEXT($L77,"0.##")&amp;" h"))))</f>
        <v>✅ OK (8. h)</v>
      </c>
      <c r="N77" s="81">
        <f>IF($C77="","",IF($G77=0,3,IF(ABS($L77)&lt;=Config!$C$10,0,IF($L77&lt;0,2,1))))</f>
        <v>0</v>
      </c>
      <c r="O77" s="81" t="str">
        <f>IF($C77="","",IF($N77&gt;0,COUNTIFS($N$4:$N77,"&gt;0"),""))</f>
        <v/>
      </c>
    </row>
    <row r="78" spans="2:15" x14ac:dyDescent="0.25">
      <c r="B78" s="81">
        <f t="shared" si="2"/>
        <v>15</v>
      </c>
      <c r="C78" s="82" t="str">
        <f>IF(INT((ROW()-4)/5)+1&gt;Config!$C$14,"",INDEX(BPOworkers!$B$6:$B$105,INT((ROW()-4)/5)+1))</f>
        <v>S Romero</v>
      </c>
      <c r="D78" s="82" t="str">
        <f>IF($C78="","",IFERROR(INDEX(BPOworkers!$E$6:$E$105,MATCH($C78,BPOworkers!$B$6:$B$105,0)),""))</f>
        <v>BPO Management</v>
      </c>
      <c r="E78" s="83">
        <f>IF($C78="","",Config!$C$7+MOD(ROW()-4,5))</f>
        <v>46269</v>
      </c>
      <c r="F78" s="82" t="str">
        <f>IF($C78="","",INDEX(Config!$F$7:$F$11,MOD(ROW()-4,5)+1))</f>
        <v>Friday</v>
      </c>
      <c r="G78" s="81">
        <f>IF($C78="","",COUNTIFS(RawBtabs!$A$2:$A$1500,$C78,RawBtabs!$C$2:$C$1500,$E78))</f>
        <v>2</v>
      </c>
      <c r="H78" s="84">
        <f>IF($C78="","",SUMIFS(RawBtabs!$T$2:$T$1500,RawBtabs!$A$2:$A$1500,$C78,RawBtabs!$C$2:$C$1500,$E78))</f>
        <v>8</v>
      </c>
      <c r="I78" s="84">
        <f>IF($C78="","",SUMIFS(RawBtabs!$U$2:$U$1500,RawBtabs!$A$2:$A$1500,$C78,RawBtabs!$C$2:$C$1500,$E78))</f>
        <v>0</v>
      </c>
      <c r="J78" s="84">
        <f t="shared" si="3"/>
        <v>8</v>
      </c>
      <c r="K78" s="85">
        <f>IF($C78="","",$J78/Config!$C$9)</f>
        <v>1</v>
      </c>
      <c r="L78" s="84">
        <f>IF($C78="","",$J78-Config!$C$9)</f>
        <v>0</v>
      </c>
      <c r="M78" s="82" t="str">
        <f>IF($C78="","",IF($G78=0,"⛔ NO ENTRY IN BTABS",IF(ABS($L78)&lt;=Config!$C$10,"✅ OK ("&amp;TEXT($J78,"0.##")&amp;" h)",IF($L78&lt;0,"🔻 MISSING "&amp;TEXT(-$L78,"0.##")&amp;" h","🔺 OVER BY "&amp;TEXT($L78,"0.##")&amp;" h"))))</f>
        <v>✅ OK (8. h)</v>
      </c>
      <c r="N78" s="81">
        <f>IF($C78="","",IF($G78=0,3,IF(ABS($L78)&lt;=Config!$C$10,0,IF($L78&lt;0,2,1))))</f>
        <v>0</v>
      </c>
      <c r="O78" s="81" t="str">
        <f>IF($C78="","",IF($N78&gt;0,COUNTIFS($N$4:$N78,"&gt;0"),""))</f>
        <v/>
      </c>
    </row>
    <row r="79" spans="2:15" x14ac:dyDescent="0.25">
      <c r="B79" s="81">
        <f t="shared" si="2"/>
        <v>16</v>
      </c>
      <c r="C79" s="82" t="str">
        <f>IF(INT((ROW()-4)/5)+1&gt;Config!$C$14,"",INDEX(BPOworkers!$B$6:$B$105,INT((ROW()-4)/5)+1))</f>
        <v>C Castellanos</v>
      </c>
      <c r="D79" s="82" t="str">
        <f>IF($C79="","",IFERROR(INDEX(BPOworkers!$E$6:$E$105,MATCH($C79,BPOworkers!$B$6:$B$105,0)),""))</f>
        <v>J S Bermudez</v>
      </c>
      <c r="E79" s="83">
        <f>IF($C79="","",Config!$C$7+MOD(ROW()-4,5))</f>
        <v>46265</v>
      </c>
      <c r="F79" s="82" t="str">
        <f>IF($C79="","",INDEX(Config!$F$7:$F$11,MOD(ROW()-4,5)+1))</f>
        <v>Monday</v>
      </c>
      <c r="G79" s="81">
        <f>IF($C79="","",COUNTIFS(RawBtabs!$A$2:$A$1500,$C79,RawBtabs!$C$2:$C$1500,$E79))</f>
        <v>2</v>
      </c>
      <c r="H79" s="84">
        <f>IF($C79="","",SUMIFS(RawBtabs!$T$2:$T$1500,RawBtabs!$A$2:$A$1500,$C79,RawBtabs!$C$2:$C$1500,$E79))</f>
        <v>16</v>
      </c>
      <c r="I79" s="84">
        <f>IF($C79="","",SUMIFS(RawBtabs!$U$2:$U$1500,RawBtabs!$A$2:$A$1500,$C79,RawBtabs!$C$2:$C$1500,$E79))</f>
        <v>0</v>
      </c>
      <c r="J79" s="84">
        <f t="shared" si="3"/>
        <v>16</v>
      </c>
      <c r="K79" s="85">
        <f>IF($C79="","",$J79/Config!$C$9)</f>
        <v>2</v>
      </c>
      <c r="L79" s="84">
        <f>IF($C79="","",$J79-Config!$C$9)</f>
        <v>8</v>
      </c>
      <c r="M79" s="82" t="str">
        <f>IF($C79="","",IF($G79=0,"⛔ NO ENTRY IN BTABS",IF(ABS($L79)&lt;=Config!$C$10,"✅ OK ("&amp;TEXT($J79,"0.##")&amp;" h)",IF($L79&lt;0,"🔻 MISSING "&amp;TEXT(-$L79,"0.##")&amp;" h","🔺 OVER BY "&amp;TEXT($L79,"0.##")&amp;" h"))))</f>
        <v>🔺 OVER BY 8. h</v>
      </c>
      <c r="N79" s="81">
        <f>IF($C79="","",IF($G79=0,3,IF(ABS($L79)&lt;=Config!$C$10,0,IF($L79&lt;0,2,1))))</f>
        <v>1</v>
      </c>
      <c r="O79" s="81">
        <f>IF($C79="","",IF($N79&gt;0,COUNTIFS($N$4:$N79,"&gt;0"),""))</f>
        <v>2</v>
      </c>
    </row>
    <row r="80" spans="2:15" x14ac:dyDescent="0.25">
      <c r="B80" s="81">
        <f t="shared" si="2"/>
        <v>16</v>
      </c>
      <c r="C80" s="82" t="str">
        <f>IF(INT((ROW()-4)/5)+1&gt;Config!$C$14,"",INDEX(BPOworkers!$B$6:$B$105,INT((ROW()-4)/5)+1))</f>
        <v>C Castellanos</v>
      </c>
      <c r="D80" s="82" t="str">
        <f>IF($C80="","",IFERROR(INDEX(BPOworkers!$E$6:$E$105,MATCH($C80,BPOworkers!$B$6:$B$105,0)),""))</f>
        <v>J S Bermudez</v>
      </c>
      <c r="E80" s="83">
        <f>IF($C80="","",Config!$C$7+MOD(ROW()-4,5))</f>
        <v>46266</v>
      </c>
      <c r="F80" s="82" t="str">
        <f>IF($C80="","",INDEX(Config!$F$7:$F$11,MOD(ROW()-4,5)+1))</f>
        <v>Tuesday</v>
      </c>
      <c r="G80" s="81">
        <f>IF($C80="","",COUNTIFS(RawBtabs!$A$2:$A$1500,$C80,RawBtabs!$C$2:$C$1500,$E80))</f>
        <v>2</v>
      </c>
      <c r="H80" s="84">
        <f>IF($C80="","",SUMIFS(RawBtabs!$T$2:$T$1500,RawBtabs!$A$2:$A$1500,$C80,RawBtabs!$C$2:$C$1500,$E80))</f>
        <v>8</v>
      </c>
      <c r="I80" s="84">
        <f>IF($C80="","",SUMIFS(RawBtabs!$U$2:$U$1500,RawBtabs!$A$2:$A$1500,$C80,RawBtabs!$C$2:$C$1500,$E80))</f>
        <v>0</v>
      </c>
      <c r="J80" s="84">
        <f t="shared" si="3"/>
        <v>8</v>
      </c>
      <c r="K80" s="85">
        <f>IF($C80="","",$J80/Config!$C$9)</f>
        <v>1</v>
      </c>
      <c r="L80" s="84">
        <f>IF($C80="","",$J80-Config!$C$9)</f>
        <v>0</v>
      </c>
      <c r="M80" s="82" t="str">
        <f>IF($C80="","",IF($G80=0,"⛔ NO ENTRY IN BTABS",IF(ABS($L80)&lt;=Config!$C$10,"✅ OK ("&amp;TEXT($J80,"0.##")&amp;" h)",IF($L80&lt;0,"🔻 MISSING "&amp;TEXT(-$L80,"0.##")&amp;" h","🔺 OVER BY "&amp;TEXT($L80,"0.##")&amp;" h"))))</f>
        <v>✅ OK (8. h)</v>
      </c>
      <c r="N80" s="81">
        <f>IF($C80="","",IF($G80=0,3,IF(ABS($L80)&lt;=Config!$C$10,0,IF($L80&lt;0,2,1))))</f>
        <v>0</v>
      </c>
      <c r="O80" s="81" t="str">
        <f>IF($C80="","",IF($N80&gt;0,COUNTIFS($N$4:$N80,"&gt;0"),""))</f>
        <v/>
      </c>
    </row>
    <row r="81" spans="2:15" x14ac:dyDescent="0.25">
      <c r="B81" s="81">
        <f t="shared" si="2"/>
        <v>16</v>
      </c>
      <c r="C81" s="82" t="str">
        <f>IF(INT((ROW()-4)/5)+1&gt;Config!$C$14,"",INDEX(BPOworkers!$B$6:$B$105,INT((ROW()-4)/5)+1))</f>
        <v>C Castellanos</v>
      </c>
      <c r="D81" s="82" t="str">
        <f>IF($C81="","",IFERROR(INDEX(BPOworkers!$E$6:$E$105,MATCH($C81,BPOworkers!$B$6:$B$105,0)),""))</f>
        <v>J S Bermudez</v>
      </c>
      <c r="E81" s="83">
        <f>IF($C81="","",Config!$C$7+MOD(ROW()-4,5))</f>
        <v>46267</v>
      </c>
      <c r="F81" s="82" t="str">
        <f>IF($C81="","",INDEX(Config!$F$7:$F$11,MOD(ROW()-4,5)+1))</f>
        <v>Wednesday</v>
      </c>
      <c r="G81" s="81">
        <f>IF($C81="","",COUNTIFS(RawBtabs!$A$2:$A$1500,$C81,RawBtabs!$C$2:$C$1500,$E81))</f>
        <v>2</v>
      </c>
      <c r="H81" s="84">
        <f>IF($C81="","",SUMIFS(RawBtabs!$T$2:$T$1500,RawBtabs!$A$2:$A$1500,$C81,RawBtabs!$C$2:$C$1500,$E81))</f>
        <v>8</v>
      </c>
      <c r="I81" s="84">
        <f>IF($C81="","",SUMIFS(RawBtabs!$U$2:$U$1500,RawBtabs!$A$2:$A$1500,$C81,RawBtabs!$C$2:$C$1500,$E81))</f>
        <v>0</v>
      </c>
      <c r="J81" s="84">
        <f t="shared" si="3"/>
        <v>8</v>
      </c>
      <c r="K81" s="85">
        <f>IF($C81="","",$J81/Config!$C$9)</f>
        <v>1</v>
      </c>
      <c r="L81" s="84">
        <f>IF($C81="","",$J81-Config!$C$9)</f>
        <v>0</v>
      </c>
      <c r="M81" s="82" t="str">
        <f>IF($C81="","",IF($G81=0,"⛔ NO ENTRY IN BTABS",IF(ABS($L81)&lt;=Config!$C$10,"✅ OK ("&amp;TEXT($J81,"0.##")&amp;" h)",IF($L81&lt;0,"🔻 MISSING "&amp;TEXT(-$L81,"0.##")&amp;" h","🔺 OVER BY "&amp;TEXT($L81,"0.##")&amp;" h"))))</f>
        <v>✅ OK (8. h)</v>
      </c>
      <c r="N81" s="81">
        <f>IF($C81="","",IF($G81=0,3,IF(ABS($L81)&lt;=Config!$C$10,0,IF($L81&lt;0,2,1))))</f>
        <v>0</v>
      </c>
      <c r="O81" s="81" t="str">
        <f>IF($C81="","",IF($N81&gt;0,COUNTIFS($N$4:$N81,"&gt;0"),""))</f>
        <v/>
      </c>
    </row>
    <row r="82" spans="2:15" x14ac:dyDescent="0.25">
      <c r="B82" s="81">
        <f t="shared" si="2"/>
        <v>16</v>
      </c>
      <c r="C82" s="82" t="str">
        <f>IF(INT((ROW()-4)/5)+1&gt;Config!$C$14,"",INDEX(BPOworkers!$B$6:$B$105,INT((ROW()-4)/5)+1))</f>
        <v>C Castellanos</v>
      </c>
      <c r="D82" s="82" t="str">
        <f>IF($C82="","",IFERROR(INDEX(BPOworkers!$E$6:$E$105,MATCH($C82,BPOworkers!$B$6:$B$105,0)),""))</f>
        <v>J S Bermudez</v>
      </c>
      <c r="E82" s="83">
        <f>IF($C82="","",Config!$C$7+MOD(ROW()-4,5))</f>
        <v>46268</v>
      </c>
      <c r="F82" s="82" t="str">
        <f>IF($C82="","",INDEX(Config!$F$7:$F$11,MOD(ROW()-4,5)+1))</f>
        <v>Thursday</v>
      </c>
      <c r="G82" s="81">
        <f>IF($C82="","",COUNTIFS(RawBtabs!$A$2:$A$1500,$C82,RawBtabs!$C$2:$C$1500,$E82))</f>
        <v>1</v>
      </c>
      <c r="H82" s="84">
        <f>IF($C82="","",SUMIFS(RawBtabs!$T$2:$T$1500,RawBtabs!$A$2:$A$1500,$C82,RawBtabs!$C$2:$C$1500,$E82))</f>
        <v>8</v>
      </c>
      <c r="I82" s="84">
        <f>IF($C82="","",SUMIFS(RawBtabs!$U$2:$U$1500,RawBtabs!$A$2:$A$1500,$C82,RawBtabs!$C$2:$C$1500,$E82))</f>
        <v>0</v>
      </c>
      <c r="J82" s="84">
        <f t="shared" si="3"/>
        <v>8</v>
      </c>
      <c r="K82" s="85">
        <f>IF($C82="","",$J82/Config!$C$9)</f>
        <v>1</v>
      </c>
      <c r="L82" s="84">
        <f>IF($C82="","",$J82-Config!$C$9)</f>
        <v>0</v>
      </c>
      <c r="M82" s="82" t="str">
        <f>IF($C82="","",IF($G82=0,"⛔ NO ENTRY IN BTABS",IF(ABS($L82)&lt;=Config!$C$10,"✅ OK ("&amp;TEXT($J82,"0.##")&amp;" h)",IF($L82&lt;0,"🔻 MISSING "&amp;TEXT(-$L82,"0.##")&amp;" h","🔺 OVER BY "&amp;TEXT($L82,"0.##")&amp;" h"))))</f>
        <v>✅ OK (8. h)</v>
      </c>
      <c r="N82" s="81">
        <f>IF($C82="","",IF($G82=0,3,IF(ABS($L82)&lt;=Config!$C$10,0,IF($L82&lt;0,2,1))))</f>
        <v>0</v>
      </c>
      <c r="O82" s="81" t="str">
        <f>IF($C82="","",IF($N82&gt;0,COUNTIFS($N$4:$N82,"&gt;0"),""))</f>
        <v/>
      </c>
    </row>
    <row r="83" spans="2:15" x14ac:dyDescent="0.25">
      <c r="B83" s="81">
        <f t="shared" si="2"/>
        <v>16</v>
      </c>
      <c r="C83" s="82" t="str">
        <f>IF(INT((ROW()-4)/5)+1&gt;Config!$C$14,"",INDEX(BPOworkers!$B$6:$B$105,INT((ROW()-4)/5)+1))</f>
        <v>C Castellanos</v>
      </c>
      <c r="D83" s="82" t="str">
        <f>IF($C83="","",IFERROR(INDEX(BPOworkers!$E$6:$E$105,MATCH($C83,BPOworkers!$B$6:$B$105,0)),""))</f>
        <v>J S Bermudez</v>
      </c>
      <c r="E83" s="83">
        <f>IF($C83="","",Config!$C$7+MOD(ROW()-4,5))</f>
        <v>46269</v>
      </c>
      <c r="F83" s="82" t="str">
        <f>IF($C83="","",INDEX(Config!$F$7:$F$11,MOD(ROW()-4,5)+1))</f>
        <v>Friday</v>
      </c>
      <c r="G83" s="81">
        <f>IF($C83="","",COUNTIFS(RawBtabs!$A$2:$A$1500,$C83,RawBtabs!$C$2:$C$1500,$E83))</f>
        <v>1</v>
      </c>
      <c r="H83" s="84">
        <f>IF($C83="","",SUMIFS(RawBtabs!$T$2:$T$1500,RawBtabs!$A$2:$A$1500,$C83,RawBtabs!$C$2:$C$1500,$E83))</f>
        <v>8</v>
      </c>
      <c r="I83" s="84">
        <f>IF($C83="","",SUMIFS(RawBtabs!$U$2:$U$1500,RawBtabs!$A$2:$A$1500,$C83,RawBtabs!$C$2:$C$1500,$E83))</f>
        <v>0</v>
      </c>
      <c r="J83" s="84">
        <f t="shared" si="3"/>
        <v>8</v>
      </c>
      <c r="K83" s="85">
        <f>IF($C83="","",$J83/Config!$C$9)</f>
        <v>1</v>
      </c>
      <c r="L83" s="84">
        <f>IF($C83="","",$J83-Config!$C$9)</f>
        <v>0</v>
      </c>
      <c r="M83" s="82" t="str">
        <f>IF($C83="","",IF($G83=0,"⛔ NO ENTRY IN BTABS",IF(ABS($L83)&lt;=Config!$C$10,"✅ OK ("&amp;TEXT($J83,"0.##")&amp;" h)",IF($L83&lt;0,"🔻 MISSING "&amp;TEXT(-$L83,"0.##")&amp;" h","🔺 OVER BY "&amp;TEXT($L83,"0.##")&amp;" h"))))</f>
        <v>✅ OK (8. h)</v>
      </c>
      <c r="N83" s="81">
        <f>IF($C83="","",IF($G83=0,3,IF(ABS($L83)&lt;=Config!$C$10,0,IF($L83&lt;0,2,1))))</f>
        <v>0</v>
      </c>
      <c r="O83" s="81" t="str">
        <f>IF($C83="","",IF($N83&gt;0,COUNTIFS($N$4:$N83,"&gt;0"),""))</f>
        <v/>
      </c>
    </row>
    <row r="84" spans="2:15" x14ac:dyDescent="0.25">
      <c r="B84" s="81">
        <f t="shared" si="2"/>
        <v>17</v>
      </c>
      <c r="C84" s="82" t="str">
        <f>IF(INT((ROW()-4)/5)+1&gt;Config!$C$14,"",INDEX(BPOworkers!$B$6:$B$105,INT((ROW()-4)/5)+1))</f>
        <v>D Trujillo</v>
      </c>
      <c r="D84" s="82" t="str">
        <f>IF($C84="","",IFERROR(INDEX(BPOworkers!$E$6:$E$105,MATCH($C84,BPOworkers!$B$6:$B$105,0)),""))</f>
        <v>BPO Management</v>
      </c>
      <c r="E84" s="83">
        <f>IF($C84="","",Config!$C$7+MOD(ROW()-4,5))</f>
        <v>46265</v>
      </c>
      <c r="F84" s="82" t="str">
        <f>IF($C84="","",INDEX(Config!$F$7:$F$11,MOD(ROW()-4,5)+1))</f>
        <v>Monday</v>
      </c>
      <c r="G84" s="81">
        <f>IF($C84="","",COUNTIFS(RawBtabs!$A$2:$A$1500,$C84,RawBtabs!$C$2:$C$1500,$E84))</f>
        <v>1</v>
      </c>
      <c r="H84" s="84">
        <f>IF($C84="","",SUMIFS(RawBtabs!$T$2:$T$1500,RawBtabs!$A$2:$A$1500,$C84,RawBtabs!$C$2:$C$1500,$E84))</f>
        <v>8</v>
      </c>
      <c r="I84" s="84">
        <f>IF($C84="","",SUMIFS(RawBtabs!$U$2:$U$1500,RawBtabs!$A$2:$A$1500,$C84,RawBtabs!$C$2:$C$1500,$E84))</f>
        <v>0</v>
      </c>
      <c r="J84" s="84">
        <f t="shared" si="3"/>
        <v>8</v>
      </c>
      <c r="K84" s="85">
        <f>IF($C84="","",$J84/Config!$C$9)</f>
        <v>1</v>
      </c>
      <c r="L84" s="84">
        <f>IF($C84="","",$J84-Config!$C$9)</f>
        <v>0</v>
      </c>
      <c r="M84" s="82" t="str">
        <f>IF($C84="","",IF($G84=0,"⛔ NO ENTRY IN BTABS",IF(ABS($L84)&lt;=Config!$C$10,"✅ OK ("&amp;TEXT($J84,"0.##")&amp;" h)",IF($L84&lt;0,"🔻 MISSING "&amp;TEXT(-$L84,"0.##")&amp;" h","🔺 OVER BY "&amp;TEXT($L84,"0.##")&amp;" h"))))</f>
        <v>✅ OK (8. h)</v>
      </c>
      <c r="N84" s="81">
        <f>IF($C84="","",IF($G84=0,3,IF(ABS($L84)&lt;=Config!$C$10,0,IF($L84&lt;0,2,1))))</f>
        <v>0</v>
      </c>
      <c r="O84" s="81" t="str">
        <f>IF($C84="","",IF($N84&gt;0,COUNTIFS($N$4:$N84,"&gt;0"),""))</f>
        <v/>
      </c>
    </row>
    <row r="85" spans="2:15" x14ac:dyDescent="0.25">
      <c r="B85" s="81">
        <f t="shared" si="2"/>
        <v>17</v>
      </c>
      <c r="C85" s="82" t="str">
        <f>IF(INT((ROW()-4)/5)+1&gt;Config!$C$14,"",INDEX(BPOworkers!$B$6:$B$105,INT((ROW()-4)/5)+1))</f>
        <v>D Trujillo</v>
      </c>
      <c r="D85" s="82" t="str">
        <f>IF($C85="","",IFERROR(INDEX(BPOworkers!$E$6:$E$105,MATCH($C85,BPOworkers!$B$6:$B$105,0)),""))</f>
        <v>BPO Management</v>
      </c>
      <c r="E85" s="83">
        <f>IF($C85="","",Config!$C$7+MOD(ROW()-4,5))</f>
        <v>46266</v>
      </c>
      <c r="F85" s="82" t="str">
        <f>IF($C85="","",INDEX(Config!$F$7:$F$11,MOD(ROW()-4,5)+1))</f>
        <v>Tuesday</v>
      </c>
      <c r="G85" s="81">
        <f>IF($C85="","",COUNTIFS(RawBtabs!$A$2:$A$1500,$C85,RawBtabs!$C$2:$C$1500,$E85))</f>
        <v>2</v>
      </c>
      <c r="H85" s="84">
        <f>IF($C85="","",SUMIFS(RawBtabs!$T$2:$T$1500,RawBtabs!$A$2:$A$1500,$C85,RawBtabs!$C$2:$C$1500,$E85))</f>
        <v>8</v>
      </c>
      <c r="I85" s="84">
        <f>IF($C85="","",SUMIFS(RawBtabs!$U$2:$U$1500,RawBtabs!$A$2:$A$1500,$C85,RawBtabs!$C$2:$C$1500,$E85))</f>
        <v>0</v>
      </c>
      <c r="J85" s="84">
        <f t="shared" si="3"/>
        <v>8</v>
      </c>
      <c r="K85" s="85">
        <f>IF($C85="","",$J85/Config!$C$9)</f>
        <v>1</v>
      </c>
      <c r="L85" s="84">
        <f>IF($C85="","",$J85-Config!$C$9)</f>
        <v>0</v>
      </c>
      <c r="M85" s="82" t="str">
        <f>IF($C85="","",IF($G85=0,"⛔ NO ENTRY IN BTABS",IF(ABS($L85)&lt;=Config!$C$10,"✅ OK ("&amp;TEXT($J85,"0.##")&amp;" h)",IF($L85&lt;0,"🔻 MISSING "&amp;TEXT(-$L85,"0.##")&amp;" h","🔺 OVER BY "&amp;TEXT($L85,"0.##")&amp;" h"))))</f>
        <v>✅ OK (8. h)</v>
      </c>
      <c r="N85" s="81">
        <f>IF($C85="","",IF($G85=0,3,IF(ABS($L85)&lt;=Config!$C$10,0,IF($L85&lt;0,2,1))))</f>
        <v>0</v>
      </c>
      <c r="O85" s="81" t="str">
        <f>IF($C85="","",IF($N85&gt;0,COUNTIFS($N$4:$N85,"&gt;0"),""))</f>
        <v/>
      </c>
    </row>
    <row r="86" spans="2:15" x14ac:dyDescent="0.25">
      <c r="B86" s="81">
        <f t="shared" si="2"/>
        <v>17</v>
      </c>
      <c r="C86" s="82" t="str">
        <f>IF(INT((ROW()-4)/5)+1&gt;Config!$C$14,"",INDEX(BPOworkers!$B$6:$B$105,INT((ROW()-4)/5)+1))</f>
        <v>D Trujillo</v>
      </c>
      <c r="D86" s="82" t="str">
        <f>IF($C86="","",IFERROR(INDEX(BPOworkers!$E$6:$E$105,MATCH($C86,BPOworkers!$B$6:$B$105,0)),""))</f>
        <v>BPO Management</v>
      </c>
      <c r="E86" s="83">
        <f>IF($C86="","",Config!$C$7+MOD(ROW()-4,5))</f>
        <v>46267</v>
      </c>
      <c r="F86" s="82" t="str">
        <f>IF($C86="","",INDEX(Config!$F$7:$F$11,MOD(ROW()-4,5)+1))</f>
        <v>Wednesday</v>
      </c>
      <c r="G86" s="81">
        <f>IF($C86="","",COUNTIFS(RawBtabs!$A$2:$A$1500,$C86,RawBtabs!$C$2:$C$1500,$E86))</f>
        <v>1</v>
      </c>
      <c r="H86" s="84">
        <f>IF($C86="","",SUMIFS(RawBtabs!$T$2:$T$1500,RawBtabs!$A$2:$A$1500,$C86,RawBtabs!$C$2:$C$1500,$E86))</f>
        <v>8</v>
      </c>
      <c r="I86" s="84">
        <f>IF($C86="","",SUMIFS(RawBtabs!$U$2:$U$1500,RawBtabs!$A$2:$A$1500,$C86,RawBtabs!$C$2:$C$1500,$E86))</f>
        <v>0</v>
      </c>
      <c r="J86" s="84">
        <f t="shared" si="3"/>
        <v>8</v>
      </c>
      <c r="K86" s="85">
        <f>IF($C86="","",$J86/Config!$C$9)</f>
        <v>1</v>
      </c>
      <c r="L86" s="84">
        <f>IF($C86="","",$J86-Config!$C$9)</f>
        <v>0</v>
      </c>
      <c r="M86" s="82" t="str">
        <f>IF($C86="","",IF($G86=0,"⛔ NO ENTRY IN BTABS",IF(ABS($L86)&lt;=Config!$C$10,"✅ OK ("&amp;TEXT($J86,"0.##")&amp;" h)",IF($L86&lt;0,"🔻 MISSING "&amp;TEXT(-$L86,"0.##")&amp;" h","🔺 OVER BY "&amp;TEXT($L86,"0.##")&amp;" h"))))</f>
        <v>✅ OK (8. h)</v>
      </c>
      <c r="N86" s="81">
        <f>IF($C86="","",IF($G86=0,3,IF(ABS($L86)&lt;=Config!$C$10,0,IF($L86&lt;0,2,1))))</f>
        <v>0</v>
      </c>
      <c r="O86" s="81" t="str">
        <f>IF($C86="","",IF($N86&gt;0,COUNTIFS($N$4:$N86,"&gt;0"),""))</f>
        <v/>
      </c>
    </row>
    <row r="87" spans="2:15" x14ac:dyDescent="0.25">
      <c r="B87" s="81">
        <f t="shared" si="2"/>
        <v>17</v>
      </c>
      <c r="C87" s="82" t="str">
        <f>IF(INT((ROW()-4)/5)+1&gt;Config!$C$14,"",INDEX(BPOworkers!$B$6:$B$105,INT((ROW()-4)/5)+1))</f>
        <v>D Trujillo</v>
      </c>
      <c r="D87" s="82" t="str">
        <f>IF($C87="","",IFERROR(INDEX(BPOworkers!$E$6:$E$105,MATCH($C87,BPOworkers!$B$6:$B$105,0)),""))</f>
        <v>BPO Management</v>
      </c>
      <c r="E87" s="83">
        <f>IF($C87="","",Config!$C$7+MOD(ROW()-4,5))</f>
        <v>46268</v>
      </c>
      <c r="F87" s="82" t="str">
        <f>IF($C87="","",INDEX(Config!$F$7:$F$11,MOD(ROW()-4,5)+1))</f>
        <v>Thursday</v>
      </c>
      <c r="G87" s="81">
        <f>IF($C87="","",COUNTIFS(RawBtabs!$A$2:$A$1500,$C87,RawBtabs!$C$2:$C$1500,$E87))</f>
        <v>2</v>
      </c>
      <c r="H87" s="84">
        <f>IF($C87="","",SUMIFS(RawBtabs!$T$2:$T$1500,RawBtabs!$A$2:$A$1500,$C87,RawBtabs!$C$2:$C$1500,$E87))</f>
        <v>8</v>
      </c>
      <c r="I87" s="84">
        <f>IF($C87="","",SUMIFS(RawBtabs!$U$2:$U$1500,RawBtabs!$A$2:$A$1500,$C87,RawBtabs!$C$2:$C$1500,$E87))</f>
        <v>0</v>
      </c>
      <c r="J87" s="84">
        <f t="shared" si="3"/>
        <v>8</v>
      </c>
      <c r="K87" s="85">
        <f>IF($C87="","",$J87/Config!$C$9)</f>
        <v>1</v>
      </c>
      <c r="L87" s="84">
        <f>IF($C87="","",$J87-Config!$C$9)</f>
        <v>0</v>
      </c>
      <c r="M87" s="82" t="str">
        <f>IF($C87="","",IF($G87=0,"⛔ NO ENTRY IN BTABS",IF(ABS($L87)&lt;=Config!$C$10,"✅ OK ("&amp;TEXT($J87,"0.##")&amp;" h)",IF($L87&lt;0,"🔻 MISSING "&amp;TEXT(-$L87,"0.##")&amp;" h","🔺 OVER BY "&amp;TEXT($L87,"0.##")&amp;" h"))))</f>
        <v>✅ OK (8. h)</v>
      </c>
      <c r="N87" s="81">
        <f>IF($C87="","",IF($G87=0,3,IF(ABS($L87)&lt;=Config!$C$10,0,IF($L87&lt;0,2,1))))</f>
        <v>0</v>
      </c>
      <c r="O87" s="81" t="str">
        <f>IF($C87="","",IF($N87&gt;0,COUNTIFS($N$4:$N87,"&gt;0"),""))</f>
        <v/>
      </c>
    </row>
    <row r="88" spans="2:15" x14ac:dyDescent="0.25">
      <c r="B88" s="81">
        <f t="shared" si="2"/>
        <v>17</v>
      </c>
      <c r="C88" s="82" t="str">
        <f>IF(INT((ROW()-4)/5)+1&gt;Config!$C$14,"",INDEX(BPOworkers!$B$6:$B$105,INT((ROW()-4)/5)+1))</f>
        <v>D Trujillo</v>
      </c>
      <c r="D88" s="82" t="str">
        <f>IF($C88="","",IFERROR(INDEX(BPOworkers!$E$6:$E$105,MATCH($C88,BPOworkers!$B$6:$B$105,0)),""))</f>
        <v>BPO Management</v>
      </c>
      <c r="E88" s="83">
        <f>IF($C88="","",Config!$C$7+MOD(ROW()-4,5))</f>
        <v>46269</v>
      </c>
      <c r="F88" s="82" t="str">
        <f>IF($C88="","",INDEX(Config!$F$7:$F$11,MOD(ROW()-4,5)+1))</f>
        <v>Friday</v>
      </c>
      <c r="G88" s="81">
        <f>IF($C88="","",COUNTIFS(RawBtabs!$A$2:$A$1500,$C88,RawBtabs!$C$2:$C$1500,$E88))</f>
        <v>1</v>
      </c>
      <c r="H88" s="84">
        <f>IF($C88="","",SUMIFS(RawBtabs!$T$2:$T$1500,RawBtabs!$A$2:$A$1500,$C88,RawBtabs!$C$2:$C$1500,$E88))</f>
        <v>8</v>
      </c>
      <c r="I88" s="84">
        <f>IF($C88="","",SUMIFS(RawBtabs!$U$2:$U$1500,RawBtabs!$A$2:$A$1500,$C88,RawBtabs!$C$2:$C$1500,$E88))</f>
        <v>0</v>
      </c>
      <c r="J88" s="84">
        <f t="shared" si="3"/>
        <v>8</v>
      </c>
      <c r="K88" s="85">
        <f>IF($C88="","",$J88/Config!$C$9)</f>
        <v>1</v>
      </c>
      <c r="L88" s="84">
        <f>IF($C88="","",$J88-Config!$C$9)</f>
        <v>0</v>
      </c>
      <c r="M88" s="82" t="str">
        <f>IF($C88="","",IF($G88=0,"⛔ NO ENTRY IN BTABS",IF(ABS($L88)&lt;=Config!$C$10,"✅ OK ("&amp;TEXT($J88,"0.##")&amp;" h)",IF($L88&lt;0,"🔻 MISSING "&amp;TEXT(-$L88,"0.##")&amp;" h","🔺 OVER BY "&amp;TEXT($L88,"0.##")&amp;" h"))))</f>
        <v>✅ OK (8. h)</v>
      </c>
      <c r="N88" s="81">
        <f>IF($C88="","",IF($G88=0,3,IF(ABS($L88)&lt;=Config!$C$10,0,IF($L88&lt;0,2,1))))</f>
        <v>0</v>
      </c>
      <c r="O88" s="81" t="str">
        <f>IF($C88="","",IF($N88&gt;0,COUNTIFS($N$4:$N88,"&gt;0"),""))</f>
        <v/>
      </c>
    </row>
    <row r="89" spans="2:15" x14ac:dyDescent="0.25">
      <c r="B89" s="81">
        <f t="shared" si="2"/>
        <v>18</v>
      </c>
      <c r="C89" s="82" t="str">
        <f>IF(INT((ROW()-4)/5)+1&gt;Config!$C$14,"",INDEX(BPOworkers!$B$6:$B$105,INT((ROW()-4)/5)+1))</f>
        <v>I Salamanca</v>
      </c>
      <c r="D89" s="82" t="str">
        <f>IF($C89="","",IFERROR(INDEX(BPOworkers!$E$6:$E$105,MATCH($C89,BPOworkers!$B$6:$B$105,0)),""))</f>
        <v>M Leon</v>
      </c>
      <c r="E89" s="83">
        <f>IF($C89="","",Config!$C$7+MOD(ROW()-4,5))</f>
        <v>46265</v>
      </c>
      <c r="F89" s="82" t="str">
        <f>IF($C89="","",INDEX(Config!$F$7:$F$11,MOD(ROW()-4,5)+1))</f>
        <v>Monday</v>
      </c>
      <c r="G89" s="81">
        <f>IF($C89="","",COUNTIFS(RawBtabs!$A$2:$A$1500,$C89,RawBtabs!$C$2:$C$1500,$E89))</f>
        <v>1</v>
      </c>
      <c r="H89" s="84">
        <f>IF($C89="","",SUMIFS(RawBtabs!$T$2:$T$1500,RawBtabs!$A$2:$A$1500,$C89,RawBtabs!$C$2:$C$1500,$E89))</f>
        <v>8</v>
      </c>
      <c r="I89" s="84">
        <f>IF($C89="","",SUMIFS(RawBtabs!$U$2:$U$1500,RawBtabs!$A$2:$A$1500,$C89,RawBtabs!$C$2:$C$1500,$E89))</f>
        <v>0</v>
      </c>
      <c r="J89" s="84">
        <f t="shared" si="3"/>
        <v>8</v>
      </c>
      <c r="K89" s="85">
        <f>IF($C89="","",$J89/Config!$C$9)</f>
        <v>1</v>
      </c>
      <c r="L89" s="84">
        <f>IF($C89="","",$J89-Config!$C$9)</f>
        <v>0</v>
      </c>
      <c r="M89" s="82" t="str">
        <f>IF($C89="","",IF($G89=0,"⛔ NO ENTRY IN BTABS",IF(ABS($L89)&lt;=Config!$C$10,"✅ OK ("&amp;TEXT($J89,"0.##")&amp;" h)",IF($L89&lt;0,"🔻 MISSING "&amp;TEXT(-$L89,"0.##")&amp;" h","🔺 OVER BY "&amp;TEXT($L89,"0.##")&amp;" h"))))</f>
        <v>✅ OK (8. h)</v>
      </c>
      <c r="N89" s="81">
        <f>IF($C89="","",IF($G89=0,3,IF(ABS($L89)&lt;=Config!$C$10,0,IF($L89&lt;0,2,1))))</f>
        <v>0</v>
      </c>
      <c r="O89" s="81" t="str">
        <f>IF($C89="","",IF($N89&gt;0,COUNTIFS($N$4:$N89,"&gt;0"),""))</f>
        <v/>
      </c>
    </row>
    <row r="90" spans="2:15" x14ac:dyDescent="0.25">
      <c r="B90" s="81">
        <f t="shared" si="2"/>
        <v>18</v>
      </c>
      <c r="C90" s="82" t="str">
        <f>IF(INT((ROW()-4)/5)+1&gt;Config!$C$14,"",INDEX(BPOworkers!$B$6:$B$105,INT((ROW()-4)/5)+1))</f>
        <v>I Salamanca</v>
      </c>
      <c r="D90" s="82" t="str">
        <f>IF($C90="","",IFERROR(INDEX(BPOworkers!$E$6:$E$105,MATCH($C90,BPOworkers!$B$6:$B$105,0)),""))</f>
        <v>M Leon</v>
      </c>
      <c r="E90" s="83">
        <f>IF($C90="","",Config!$C$7+MOD(ROW()-4,5))</f>
        <v>46266</v>
      </c>
      <c r="F90" s="82" t="str">
        <f>IF($C90="","",INDEX(Config!$F$7:$F$11,MOD(ROW()-4,5)+1))</f>
        <v>Tuesday</v>
      </c>
      <c r="G90" s="81">
        <f>IF($C90="","",COUNTIFS(RawBtabs!$A$2:$A$1500,$C90,RawBtabs!$C$2:$C$1500,$E90))</f>
        <v>2</v>
      </c>
      <c r="H90" s="84">
        <f>IF($C90="","",SUMIFS(RawBtabs!$T$2:$T$1500,RawBtabs!$A$2:$A$1500,$C90,RawBtabs!$C$2:$C$1500,$E90))</f>
        <v>8</v>
      </c>
      <c r="I90" s="84">
        <f>IF($C90="","",SUMIFS(RawBtabs!$U$2:$U$1500,RawBtabs!$A$2:$A$1500,$C90,RawBtabs!$C$2:$C$1500,$E90))</f>
        <v>0</v>
      </c>
      <c r="J90" s="84">
        <f t="shared" si="3"/>
        <v>8</v>
      </c>
      <c r="K90" s="85">
        <f>IF($C90="","",$J90/Config!$C$9)</f>
        <v>1</v>
      </c>
      <c r="L90" s="84">
        <f>IF($C90="","",$J90-Config!$C$9)</f>
        <v>0</v>
      </c>
      <c r="M90" s="82" t="str">
        <f>IF($C90="","",IF($G90=0,"⛔ NO ENTRY IN BTABS",IF(ABS($L90)&lt;=Config!$C$10,"✅ OK ("&amp;TEXT($J90,"0.##")&amp;" h)",IF($L90&lt;0,"🔻 MISSING "&amp;TEXT(-$L90,"0.##")&amp;" h","🔺 OVER BY "&amp;TEXT($L90,"0.##")&amp;" h"))))</f>
        <v>✅ OK (8. h)</v>
      </c>
      <c r="N90" s="81">
        <f>IF($C90="","",IF($G90=0,3,IF(ABS($L90)&lt;=Config!$C$10,0,IF($L90&lt;0,2,1))))</f>
        <v>0</v>
      </c>
      <c r="O90" s="81" t="str">
        <f>IF($C90="","",IF($N90&gt;0,COUNTIFS($N$4:$N90,"&gt;0"),""))</f>
        <v/>
      </c>
    </row>
    <row r="91" spans="2:15" x14ac:dyDescent="0.25">
      <c r="B91" s="81">
        <f t="shared" si="2"/>
        <v>18</v>
      </c>
      <c r="C91" s="82" t="str">
        <f>IF(INT((ROW()-4)/5)+1&gt;Config!$C$14,"",INDEX(BPOworkers!$B$6:$B$105,INT((ROW()-4)/5)+1))</f>
        <v>I Salamanca</v>
      </c>
      <c r="D91" s="82" t="str">
        <f>IF($C91="","",IFERROR(INDEX(BPOworkers!$E$6:$E$105,MATCH($C91,BPOworkers!$B$6:$B$105,0)),""))</f>
        <v>M Leon</v>
      </c>
      <c r="E91" s="83">
        <f>IF($C91="","",Config!$C$7+MOD(ROW()-4,5))</f>
        <v>46267</v>
      </c>
      <c r="F91" s="82" t="str">
        <f>IF($C91="","",INDEX(Config!$F$7:$F$11,MOD(ROW()-4,5)+1))</f>
        <v>Wednesday</v>
      </c>
      <c r="G91" s="81">
        <f>IF($C91="","",COUNTIFS(RawBtabs!$A$2:$A$1500,$C91,RawBtabs!$C$2:$C$1500,$E91))</f>
        <v>1</v>
      </c>
      <c r="H91" s="84">
        <f>IF($C91="","",SUMIFS(RawBtabs!$T$2:$T$1500,RawBtabs!$A$2:$A$1500,$C91,RawBtabs!$C$2:$C$1500,$E91))</f>
        <v>8</v>
      </c>
      <c r="I91" s="84">
        <f>IF($C91="","",SUMIFS(RawBtabs!$U$2:$U$1500,RawBtabs!$A$2:$A$1500,$C91,RawBtabs!$C$2:$C$1500,$E91))</f>
        <v>0</v>
      </c>
      <c r="J91" s="84">
        <f t="shared" si="3"/>
        <v>8</v>
      </c>
      <c r="K91" s="85">
        <f>IF($C91="","",$J91/Config!$C$9)</f>
        <v>1</v>
      </c>
      <c r="L91" s="84">
        <f>IF($C91="","",$J91-Config!$C$9)</f>
        <v>0</v>
      </c>
      <c r="M91" s="82" t="str">
        <f>IF($C91="","",IF($G91=0,"⛔ NO ENTRY IN BTABS",IF(ABS($L91)&lt;=Config!$C$10,"✅ OK ("&amp;TEXT($J91,"0.##")&amp;" h)",IF($L91&lt;0,"🔻 MISSING "&amp;TEXT(-$L91,"0.##")&amp;" h","🔺 OVER BY "&amp;TEXT($L91,"0.##")&amp;" h"))))</f>
        <v>✅ OK (8. h)</v>
      </c>
      <c r="N91" s="81">
        <f>IF($C91="","",IF($G91=0,3,IF(ABS($L91)&lt;=Config!$C$10,0,IF($L91&lt;0,2,1))))</f>
        <v>0</v>
      </c>
      <c r="O91" s="81" t="str">
        <f>IF($C91="","",IF($N91&gt;0,COUNTIFS($N$4:$N91,"&gt;0"),""))</f>
        <v/>
      </c>
    </row>
    <row r="92" spans="2:15" x14ac:dyDescent="0.25">
      <c r="B92" s="81">
        <f t="shared" si="2"/>
        <v>18</v>
      </c>
      <c r="C92" s="82" t="str">
        <f>IF(INT((ROW()-4)/5)+1&gt;Config!$C$14,"",INDEX(BPOworkers!$B$6:$B$105,INT((ROW()-4)/5)+1))</f>
        <v>I Salamanca</v>
      </c>
      <c r="D92" s="82" t="str">
        <f>IF($C92="","",IFERROR(INDEX(BPOworkers!$E$6:$E$105,MATCH($C92,BPOworkers!$B$6:$B$105,0)),""))</f>
        <v>M Leon</v>
      </c>
      <c r="E92" s="83">
        <f>IF($C92="","",Config!$C$7+MOD(ROW()-4,5))</f>
        <v>46268</v>
      </c>
      <c r="F92" s="82" t="str">
        <f>IF($C92="","",INDEX(Config!$F$7:$F$11,MOD(ROW()-4,5)+1))</f>
        <v>Thursday</v>
      </c>
      <c r="G92" s="81">
        <f>IF($C92="","",COUNTIFS(RawBtabs!$A$2:$A$1500,$C92,RawBtabs!$C$2:$C$1500,$E92))</f>
        <v>1</v>
      </c>
      <c r="H92" s="84">
        <f>IF($C92="","",SUMIFS(RawBtabs!$T$2:$T$1500,RawBtabs!$A$2:$A$1500,$C92,RawBtabs!$C$2:$C$1500,$E92))</f>
        <v>8</v>
      </c>
      <c r="I92" s="84">
        <f>IF($C92="","",SUMIFS(RawBtabs!$U$2:$U$1500,RawBtabs!$A$2:$A$1500,$C92,RawBtabs!$C$2:$C$1500,$E92))</f>
        <v>0</v>
      </c>
      <c r="J92" s="84">
        <f t="shared" si="3"/>
        <v>8</v>
      </c>
      <c r="K92" s="85">
        <f>IF($C92="","",$J92/Config!$C$9)</f>
        <v>1</v>
      </c>
      <c r="L92" s="84">
        <f>IF($C92="","",$J92-Config!$C$9)</f>
        <v>0</v>
      </c>
      <c r="M92" s="82" t="str">
        <f>IF($C92="","",IF($G92=0,"⛔ NO ENTRY IN BTABS",IF(ABS($L92)&lt;=Config!$C$10,"✅ OK ("&amp;TEXT($J92,"0.##")&amp;" h)",IF($L92&lt;0,"🔻 MISSING "&amp;TEXT(-$L92,"0.##")&amp;" h","🔺 OVER BY "&amp;TEXT($L92,"0.##")&amp;" h"))))</f>
        <v>✅ OK (8. h)</v>
      </c>
      <c r="N92" s="81">
        <f>IF($C92="","",IF($G92=0,3,IF(ABS($L92)&lt;=Config!$C$10,0,IF($L92&lt;0,2,1))))</f>
        <v>0</v>
      </c>
      <c r="O92" s="81" t="str">
        <f>IF($C92="","",IF($N92&gt;0,COUNTIFS($N$4:$N92,"&gt;0"),""))</f>
        <v/>
      </c>
    </row>
    <row r="93" spans="2:15" x14ac:dyDescent="0.25">
      <c r="B93" s="81">
        <f t="shared" si="2"/>
        <v>18</v>
      </c>
      <c r="C93" s="82" t="str">
        <f>IF(INT((ROW()-4)/5)+1&gt;Config!$C$14,"",INDEX(BPOworkers!$B$6:$B$105,INT((ROW()-4)/5)+1))</f>
        <v>I Salamanca</v>
      </c>
      <c r="D93" s="82" t="str">
        <f>IF($C93="","",IFERROR(INDEX(BPOworkers!$E$6:$E$105,MATCH($C93,BPOworkers!$B$6:$B$105,0)),""))</f>
        <v>M Leon</v>
      </c>
      <c r="E93" s="83">
        <f>IF($C93="","",Config!$C$7+MOD(ROW()-4,5))</f>
        <v>46269</v>
      </c>
      <c r="F93" s="82" t="str">
        <f>IF($C93="","",INDEX(Config!$F$7:$F$11,MOD(ROW()-4,5)+1))</f>
        <v>Friday</v>
      </c>
      <c r="G93" s="81">
        <f>IF($C93="","",COUNTIFS(RawBtabs!$A$2:$A$1500,$C93,RawBtabs!$C$2:$C$1500,$E93))</f>
        <v>1</v>
      </c>
      <c r="H93" s="84">
        <f>IF($C93="","",SUMIFS(RawBtabs!$T$2:$T$1500,RawBtabs!$A$2:$A$1500,$C93,RawBtabs!$C$2:$C$1500,$E93))</f>
        <v>8</v>
      </c>
      <c r="I93" s="84">
        <f>IF($C93="","",SUMIFS(RawBtabs!$U$2:$U$1500,RawBtabs!$A$2:$A$1500,$C93,RawBtabs!$C$2:$C$1500,$E93))</f>
        <v>0</v>
      </c>
      <c r="J93" s="84">
        <f t="shared" si="3"/>
        <v>8</v>
      </c>
      <c r="K93" s="85">
        <f>IF($C93="","",$J93/Config!$C$9)</f>
        <v>1</v>
      </c>
      <c r="L93" s="84">
        <f>IF($C93="","",$J93-Config!$C$9)</f>
        <v>0</v>
      </c>
      <c r="M93" s="82" t="str">
        <f>IF($C93="","",IF($G93=0,"⛔ NO ENTRY IN BTABS",IF(ABS($L93)&lt;=Config!$C$10,"✅ OK ("&amp;TEXT($J93,"0.##")&amp;" h)",IF($L93&lt;0,"🔻 MISSING "&amp;TEXT(-$L93,"0.##")&amp;" h","🔺 OVER BY "&amp;TEXT($L93,"0.##")&amp;" h"))))</f>
        <v>✅ OK (8. h)</v>
      </c>
      <c r="N93" s="81">
        <f>IF($C93="","",IF($G93=0,3,IF(ABS($L93)&lt;=Config!$C$10,0,IF($L93&lt;0,2,1))))</f>
        <v>0</v>
      </c>
      <c r="O93" s="81" t="str">
        <f>IF($C93="","",IF($N93&gt;0,COUNTIFS($N$4:$N93,"&gt;0"),""))</f>
        <v/>
      </c>
    </row>
    <row r="94" spans="2:15" x14ac:dyDescent="0.25">
      <c r="B94" s="81">
        <f t="shared" si="2"/>
        <v>19</v>
      </c>
      <c r="C94" s="82" t="str">
        <f>IF(INT((ROW()-4)/5)+1&gt;Config!$C$14,"",INDEX(BPOworkers!$B$6:$B$105,INT((ROW()-4)/5)+1))</f>
        <v>J Abay</v>
      </c>
      <c r="D94" s="82" t="str">
        <f>IF($C94="","",IFERROR(INDEX(BPOworkers!$E$6:$E$105,MATCH($C94,BPOworkers!$B$6:$B$105,0)),""))</f>
        <v>S Romero</v>
      </c>
      <c r="E94" s="83">
        <f>IF($C94="","",Config!$C$7+MOD(ROW()-4,5))</f>
        <v>46265</v>
      </c>
      <c r="F94" s="82" t="str">
        <f>IF($C94="","",INDEX(Config!$F$7:$F$11,MOD(ROW()-4,5)+1))</f>
        <v>Monday</v>
      </c>
      <c r="G94" s="81">
        <f>IF($C94="","",COUNTIFS(RawBtabs!$A$2:$A$1500,$C94,RawBtabs!$C$2:$C$1500,$E94))</f>
        <v>1</v>
      </c>
      <c r="H94" s="84">
        <f>IF($C94="","",SUMIFS(RawBtabs!$T$2:$T$1500,RawBtabs!$A$2:$A$1500,$C94,RawBtabs!$C$2:$C$1500,$E94))</f>
        <v>8</v>
      </c>
      <c r="I94" s="84">
        <f>IF($C94="","",SUMIFS(RawBtabs!$U$2:$U$1500,RawBtabs!$A$2:$A$1500,$C94,RawBtabs!$C$2:$C$1500,$E94))</f>
        <v>0</v>
      </c>
      <c r="J94" s="84">
        <f t="shared" si="3"/>
        <v>8</v>
      </c>
      <c r="K94" s="85">
        <f>IF($C94="","",$J94/Config!$C$9)</f>
        <v>1</v>
      </c>
      <c r="L94" s="84">
        <f>IF($C94="","",$J94-Config!$C$9)</f>
        <v>0</v>
      </c>
      <c r="M94" s="82" t="str">
        <f>IF($C94="","",IF($G94=0,"⛔ NO ENTRY IN BTABS",IF(ABS($L94)&lt;=Config!$C$10,"✅ OK ("&amp;TEXT($J94,"0.##")&amp;" h)",IF($L94&lt;0,"🔻 MISSING "&amp;TEXT(-$L94,"0.##")&amp;" h","🔺 OVER BY "&amp;TEXT($L94,"0.##")&amp;" h"))))</f>
        <v>✅ OK (8. h)</v>
      </c>
      <c r="N94" s="81">
        <f>IF($C94="","",IF($G94=0,3,IF(ABS($L94)&lt;=Config!$C$10,0,IF($L94&lt;0,2,1))))</f>
        <v>0</v>
      </c>
      <c r="O94" s="81" t="str">
        <f>IF($C94="","",IF($N94&gt;0,COUNTIFS($N$4:$N94,"&gt;0"),""))</f>
        <v/>
      </c>
    </row>
    <row r="95" spans="2:15" x14ac:dyDescent="0.25">
      <c r="B95" s="81">
        <f t="shared" si="2"/>
        <v>19</v>
      </c>
      <c r="C95" s="82" t="str">
        <f>IF(INT((ROW()-4)/5)+1&gt;Config!$C$14,"",INDEX(BPOworkers!$B$6:$B$105,INT((ROW()-4)/5)+1))</f>
        <v>J Abay</v>
      </c>
      <c r="D95" s="82" t="str">
        <f>IF($C95="","",IFERROR(INDEX(BPOworkers!$E$6:$E$105,MATCH($C95,BPOworkers!$B$6:$B$105,0)),""))</f>
        <v>S Romero</v>
      </c>
      <c r="E95" s="83">
        <f>IF($C95="","",Config!$C$7+MOD(ROW()-4,5))</f>
        <v>46266</v>
      </c>
      <c r="F95" s="82" t="str">
        <f>IF($C95="","",INDEX(Config!$F$7:$F$11,MOD(ROW()-4,5)+1))</f>
        <v>Tuesday</v>
      </c>
      <c r="G95" s="81">
        <f>IF($C95="","",COUNTIFS(RawBtabs!$A$2:$A$1500,$C95,RawBtabs!$C$2:$C$1500,$E95))</f>
        <v>1</v>
      </c>
      <c r="H95" s="84">
        <f>IF($C95="","",SUMIFS(RawBtabs!$T$2:$T$1500,RawBtabs!$A$2:$A$1500,$C95,RawBtabs!$C$2:$C$1500,$E95))</f>
        <v>8</v>
      </c>
      <c r="I95" s="84">
        <f>IF($C95="","",SUMIFS(RawBtabs!$U$2:$U$1500,RawBtabs!$A$2:$A$1500,$C95,RawBtabs!$C$2:$C$1500,$E95))</f>
        <v>0</v>
      </c>
      <c r="J95" s="84">
        <f t="shared" si="3"/>
        <v>8</v>
      </c>
      <c r="K95" s="85">
        <f>IF($C95="","",$J95/Config!$C$9)</f>
        <v>1</v>
      </c>
      <c r="L95" s="84">
        <f>IF($C95="","",$J95-Config!$C$9)</f>
        <v>0</v>
      </c>
      <c r="M95" s="82" t="str">
        <f>IF($C95="","",IF($G95=0,"⛔ NO ENTRY IN BTABS",IF(ABS($L95)&lt;=Config!$C$10,"✅ OK ("&amp;TEXT($J95,"0.##")&amp;" h)",IF($L95&lt;0,"🔻 MISSING "&amp;TEXT(-$L95,"0.##")&amp;" h","🔺 OVER BY "&amp;TEXT($L95,"0.##")&amp;" h"))))</f>
        <v>✅ OK (8. h)</v>
      </c>
      <c r="N95" s="81">
        <f>IF($C95="","",IF($G95=0,3,IF(ABS($L95)&lt;=Config!$C$10,0,IF($L95&lt;0,2,1))))</f>
        <v>0</v>
      </c>
      <c r="O95" s="81" t="str">
        <f>IF($C95="","",IF($N95&gt;0,COUNTIFS($N$4:$N95,"&gt;0"),""))</f>
        <v/>
      </c>
    </row>
    <row r="96" spans="2:15" x14ac:dyDescent="0.25">
      <c r="B96" s="81">
        <f t="shared" si="2"/>
        <v>19</v>
      </c>
      <c r="C96" s="82" t="str">
        <f>IF(INT((ROW()-4)/5)+1&gt;Config!$C$14,"",INDEX(BPOworkers!$B$6:$B$105,INT((ROW()-4)/5)+1))</f>
        <v>J Abay</v>
      </c>
      <c r="D96" s="82" t="str">
        <f>IF($C96="","",IFERROR(INDEX(BPOworkers!$E$6:$E$105,MATCH($C96,BPOworkers!$B$6:$B$105,0)),""))</f>
        <v>S Romero</v>
      </c>
      <c r="E96" s="83">
        <f>IF($C96="","",Config!$C$7+MOD(ROW()-4,5))</f>
        <v>46267</v>
      </c>
      <c r="F96" s="82" t="str">
        <f>IF($C96="","",INDEX(Config!$F$7:$F$11,MOD(ROW()-4,5)+1))</f>
        <v>Wednesday</v>
      </c>
      <c r="G96" s="81">
        <f>IF($C96="","",COUNTIFS(RawBtabs!$A$2:$A$1500,$C96,RawBtabs!$C$2:$C$1500,$E96))</f>
        <v>2</v>
      </c>
      <c r="H96" s="84">
        <f>IF($C96="","",SUMIFS(RawBtabs!$T$2:$T$1500,RawBtabs!$A$2:$A$1500,$C96,RawBtabs!$C$2:$C$1500,$E96))</f>
        <v>8</v>
      </c>
      <c r="I96" s="84">
        <f>IF($C96="","",SUMIFS(RawBtabs!$U$2:$U$1500,RawBtabs!$A$2:$A$1500,$C96,RawBtabs!$C$2:$C$1500,$E96))</f>
        <v>0</v>
      </c>
      <c r="J96" s="84">
        <f t="shared" si="3"/>
        <v>8</v>
      </c>
      <c r="K96" s="85">
        <f>IF($C96="","",$J96/Config!$C$9)</f>
        <v>1</v>
      </c>
      <c r="L96" s="84">
        <f>IF($C96="","",$J96-Config!$C$9)</f>
        <v>0</v>
      </c>
      <c r="M96" s="82" t="str">
        <f>IF($C96="","",IF($G96=0,"⛔ NO ENTRY IN BTABS",IF(ABS($L96)&lt;=Config!$C$10,"✅ OK ("&amp;TEXT($J96,"0.##")&amp;" h)",IF($L96&lt;0,"🔻 MISSING "&amp;TEXT(-$L96,"0.##")&amp;" h","🔺 OVER BY "&amp;TEXT($L96,"0.##")&amp;" h"))))</f>
        <v>✅ OK (8. h)</v>
      </c>
      <c r="N96" s="81">
        <f>IF($C96="","",IF($G96=0,3,IF(ABS($L96)&lt;=Config!$C$10,0,IF($L96&lt;0,2,1))))</f>
        <v>0</v>
      </c>
      <c r="O96" s="81" t="str">
        <f>IF($C96="","",IF($N96&gt;0,COUNTIFS($N$4:$N96,"&gt;0"),""))</f>
        <v/>
      </c>
    </row>
    <row r="97" spans="2:15" x14ac:dyDescent="0.25">
      <c r="B97" s="81">
        <f t="shared" si="2"/>
        <v>19</v>
      </c>
      <c r="C97" s="82" t="str">
        <f>IF(INT((ROW()-4)/5)+1&gt;Config!$C$14,"",INDEX(BPOworkers!$B$6:$B$105,INT((ROW()-4)/5)+1))</f>
        <v>J Abay</v>
      </c>
      <c r="D97" s="82" t="str">
        <f>IF($C97="","",IFERROR(INDEX(BPOworkers!$E$6:$E$105,MATCH($C97,BPOworkers!$B$6:$B$105,0)),""))</f>
        <v>S Romero</v>
      </c>
      <c r="E97" s="83">
        <f>IF($C97="","",Config!$C$7+MOD(ROW()-4,5))</f>
        <v>46268</v>
      </c>
      <c r="F97" s="82" t="str">
        <f>IF($C97="","",INDEX(Config!$F$7:$F$11,MOD(ROW()-4,5)+1))</f>
        <v>Thursday</v>
      </c>
      <c r="G97" s="81">
        <f>IF($C97="","",COUNTIFS(RawBtabs!$A$2:$A$1500,$C97,RawBtabs!$C$2:$C$1500,$E97))</f>
        <v>1</v>
      </c>
      <c r="H97" s="84">
        <f>IF($C97="","",SUMIFS(RawBtabs!$T$2:$T$1500,RawBtabs!$A$2:$A$1500,$C97,RawBtabs!$C$2:$C$1500,$E97))</f>
        <v>8</v>
      </c>
      <c r="I97" s="84">
        <f>IF($C97="","",SUMIFS(RawBtabs!$U$2:$U$1500,RawBtabs!$A$2:$A$1500,$C97,RawBtabs!$C$2:$C$1500,$E97))</f>
        <v>0</v>
      </c>
      <c r="J97" s="84">
        <f t="shared" si="3"/>
        <v>8</v>
      </c>
      <c r="K97" s="85">
        <f>IF($C97="","",$J97/Config!$C$9)</f>
        <v>1</v>
      </c>
      <c r="L97" s="84">
        <f>IF($C97="","",$J97-Config!$C$9)</f>
        <v>0</v>
      </c>
      <c r="M97" s="82" t="str">
        <f>IF($C97="","",IF($G97=0,"⛔ NO ENTRY IN BTABS",IF(ABS($L97)&lt;=Config!$C$10,"✅ OK ("&amp;TEXT($J97,"0.##")&amp;" h)",IF($L97&lt;0,"🔻 MISSING "&amp;TEXT(-$L97,"0.##")&amp;" h","🔺 OVER BY "&amp;TEXT($L97,"0.##")&amp;" h"))))</f>
        <v>✅ OK (8. h)</v>
      </c>
      <c r="N97" s="81">
        <f>IF($C97="","",IF($G97=0,3,IF(ABS($L97)&lt;=Config!$C$10,0,IF($L97&lt;0,2,1))))</f>
        <v>0</v>
      </c>
      <c r="O97" s="81" t="str">
        <f>IF($C97="","",IF($N97&gt;0,COUNTIFS($N$4:$N97,"&gt;0"),""))</f>
        <v/>
      </c>
    </row>
    <row r="98" spans="2:15" x14ac:dyDescent="0.25">
      <c r="B98" s="81">
        <f t="shared" si="2"/>
        <v>19</v>
      </c>
      <c r="C98" s="82" t="str">
        <f>IF(INT((ROW()-4)/5)+1&gt;Config!$C$14,"",INDEX(BPOworkers!$B$6:$B$105,INT((ROW()-4)/5)+1))</f>
        <v>J Abay</v>
      </c>
      <c r="D98" s="82" t="str">
        <f>IF($C98="","",IFERROR(INDEX(BPOworkers!$E$6:$E$105,MATCH($C98,BPOworkers!$B$6:$B$105,0)),""))</f>
        <v>S Romero</v>
      </c>
      <c r="E98" s="83">
        <f>IF($C98="","",Config!$C$7+MOD(ROW()-4,5))</f>
        <v>46269</v>
      </c>
      <c r="F98" s="82" t="str">
        <f>IF($C98="","",INDEX(Config!$F$7:$F$11,MOD(ROW()-4,5)+1))</f>
        <v>Friday</v>
      </c>
      <c r="G98" s="81">
        <f>IF($C98="","",COUNTIFS(RawBtabs!$A$2:$A$1500,$C98,RawBtabs!$C$2:$C$1500,$E98))</f>
        <v>1</v>
      </c>
      <c r="H98" s="84">
        <f>IF($C98="","",SUMIFS(RawBtabs!$T$2:$T$1500,RawBtabs!$A$2:$A$1500,$C98,RawBtabs!$C$2:$C$1500,$E98))</f>
        <v>8</v>
      </c>
      <c r="I98" s="84">
        <f>IF($C98="","",SUMIFS(RawBtabs!$U$2:$U$1500,RawBtabs!$A$2:$A$1500,$C98,RawBtabs!$C$2:$C$1500,$E98))</f>
        <v>0</v>
      </c>
      <c r="J98" s="84">
        <f t="shared" si="3"/>
        <v>8</v>
      </c>
      <c r="K98" s="85">
        <f>IF($C98="","",$J98/Config!$C$9)</f>
        <v>1</v>
      </c>
      <c r="L98" s="84">
        <f>IF($C98="","",$J98-Config!$C$9)</f>
        <v>0</v>
      </c>
      <c r="M98" s="82" t="str">
        <f>IF($C98="","",IF($G98=0,"⛔ NO ENTRY IN BTABS",IF(ABS($L98)&lt;=Config!$C$10,"✅ OK ("&amp;TEXT($J98,"0.##")&amp;" h)",IF($L98&lt;0,"🔻 MISSING "&amp;TEXT(-$L98,"0.##")&amp;" h","🔺 OVER BY "&amp;TEXT($L98,"0.##")&amp;" h"))))</f>
        <v>✅ OK (8. h)</v>
      </c>
      <c r="N98" s="81">
        <f>IF($C98="","",IF($G98=0,3,IF(ABS($L98)&lt;=Config!$C$10,0,IF($L98&lt;0,2,1))))</f>
        <v>0</v>
      </c>
      <c r="O98" s="81" t="str">
        <f>IF($C98="","",IF($N98&gt;0,COUNTIFS($N$4:$N98,"&gt;0"),""))</f>
        <v/>
      </c>
    </row>
    <row r="99" spans="2:15" x14ac:dyDescent="0.25">
      <c r="B99" s="81">
        <f t="shared" si="2"/>
        <v>20</v>
      </c>
      <c r="C99" s="82" t="str">
        <f>IF(INT((ROW()-4)/5)+1&gt;Config!$C$14,"",INDEX(BPOworkers!$B$6:$B$105,INT((ROW()-4)/5)+1))</f>
        <v>J Reyes</v>
      </c>
      <c r="D99" s="82" t="str">
        <f>IF($C99="","",IFERROR(INDEX(BPOworkers!$E$6:$E$105,MATCH($C99,BPOworkers!$B$6:$B$105,0)),""))</f>
        <v>M Leon</v>
      </c>
      <c r="E99" s="83">
        <f>IF($C99="","",Config!$C$7+MOD(ROW()-4,5))</f>
        <v>46265</v>
      </c>
      <c r="F99" s="82" t="str">
        <f>IF($C99="","",INDEX(Config!$F$7:$F$11,MOD(ROW()-4,5)+1))</f>
        <v>Monday</v>
      </c>
      <c r="G99" s="81">
        <f>IF($C99="","",COUNTIFS(RawBtabs!$A$2:$A$1500,$C99,RawBtabs!$C$2:$C$1500,$E99))</f>
        <v>1</v>
      </c>
      <c r="H99" s="84">
        <f>IF($C99="","",SUMIFS(RawBtabs!$T$2:$T$1500,RawBtabs!$A$2:$A$1500,$C99,RawBtabs!$C$2:$C$1500,$E99))</f>
        <v>0</v>
      </c>
      <c r="I99" s="84">
        <f>IF($C99="","",SUMIFS(RawBtabs!$U$2:$U$1500,RawBtabs!$A$2:$A$1500,$C99,RawBtabs!$C$2:$C$1500,$E99))</f>
        <v>8</v>
      </c>
      <c r="J99" s="84">
        <f t="shared" si="3"/>
        <v>8</v>
      </c>
      <c r="K99" s="85">
        <f>IF($C99="","",$J99/Config!$C$9)</f>
        <v>1</v>
      </c>
      <c r="L99" s="84">
        <f>IF($C99="","",$J99-Config!$C$9)</f>
        <v>0</v>
      </c>
      <c r="M99" s="82" t="str">
        <f>IF($C99="","",IF($G99=0,"⛔ NO ENTRY IN BTABS",IF(ABS($L99)&lt;=Config!$C$10,"✅ OK ("&amp;TEXT($J99,"0.##")&amp;" h)",IF($L99&lt;0,"🔻 MISSING "&amp;TEXT(-$L99,"0.##")&amp;" h","🔺 OVER BY "&amp;TEXT($L99,"0.##")&amp;" h"))))</f>
        <v>✅ OK (8. h)</v>
      </c>
      <c r="N99" s="81">
        <f>IF($C99="","",IF($G99=0,3,IF(ABS($L99)&lt;=Config!$C$10,0,IF($L99&lt;0,2,1))))</f>
        <v>0</v>
      </c>
      <c r="O99" s="81" t="str">
        <f>IF($C99="","",IF($N99&gt;0,COUNTIFS($N$4:$N99,"&gt;0"),""))</f>
        <v/>
      </c>
    </row>
    <row r="100" spans="2:15" x14ac:dyDescent="0.25">
      <c r="B100" s="81">
        <f t="shared" si="2"/>
        <v>20</v>
      </c>
      <c r="C100" s="82" t="str">
        <f>IF(INT((ROW()-4)/5)+1&gt;Config!$C$14,"",INDEX(BPOworkers!$B$6:$B$105,INT((ROW()-4)/5)+1))</f>
        <v>J Reyes</v>
      </c>
      <c r="D100" s="82" t="str">
        <f>IF($C100="","",IFERROR(INDEX(BPOworkers!$E$6:$E$105,MATCH($C100,BPOworkers!$B$6:$B$105,0)),""))</f>
        <v>M Leon</v>
      </c>
      <c r="E100" s="83">
        <f>IF($C100="","",Config!$C$7+MOD(ROW()-4,5))</f>
        <v>46266</v>
      </c>
      <c r="F100" s="82" t="str">
        <f>IF($C100="","",INDEX(Config!$F$7:$F$11,MOD(ROW()-4,5)+1))</f>
        <v>Tuesday</v>
      </c>
      <c r="G100" s="81">
        <f>IF($C100="","",COUNTIFS(RawBtabs!$A$2:$A$1500,$C100,RawBtabs!$C$2:$C$1500,$E100))</f>
        <v>2</v>
      </c>
      <c r="H100" s="84">
        <f>IF($C100="","",SUMIFS(RawBtabs!$T$2:$T$1500,RawBtabs!$A$2:$A$1500,$C100,RawBtabs!$C$2:$C$1500,$E100))</f>
        <v>8</v>
      </c>
      <c r="I100" s="84">
        <f>IF($C100="","",SUMIFS(RawBtabs!$U$2:$U$1500,RawBtabs!$A$2:$A$1500,$C100,RawBtabs!$C$2:$C$1500,$E100))</f>
        <v>0</v>
      </c>
      <c r="J100" s="84">
        <f t="shared" si="3"/>
        <v>8</v>
      </c>
      <c r="K100" s="85">
        <f>IF($C100="","",$J100/Config!$C$9)</f>
        <v>1</v>
      </c>
      <c r="L100" s="84">
        <f>IF($C100="","",$J100-Config!$C$9)</f>
        <v>0</v>
      </c>
      <c r="M100" s="82" t="str">
        <f>IF($C100="","",IF($G100=0,"⛔ NO ENTRY IN BTABS",IF(ABS($L100)&lt;=Config!$C$10,"✅ OK ("&amp;TEXT($J100,"0.##")&amp;" h)",IF($L100&lt;0,"🔻 MISSING "&amp;TEXT(-$L100,"0.##")&amp;" h","🔺 OVER BY "&amp;TEXT($L100,"0.##")&amp;" h"))))</f>
        <v>✅ OK (8. h)</v>
      </c>
      <c r="N100" s="81">
        <f>IF($C100="","",IF($G100=0,3,IF(ABS($L100)&lt;=Config!$C$10,0,IF($L100&lt;0,2,1))))</f>
        <v>0</v>
      </c>
      <c r="O100" s="81" t="str">
        <f>IF($C100="","",IF($N100&gt;0,COUNTIFS($N$4:$N100,"&gt;0"),""))</f>
        <v/>
      </c>
    </row>
    <row r="101" spans="2:15" x14ac:dyDescent="0.25">
      <c r="B101" s="81">
        <f t="shared" si="2"/>
        <v>20</v>
      </c>
      <c r="C101" s="82" t="str">
        <f>IF(INT((ROW()-4)/5)+1&gt;Config!$C$14,"",INDEX(BPOworkers!$B$6:$B$105,INT((ROW()-4)/5)+1))</f>
        <v>J Reyes</v>
      </c>
      <c r="D101" s="82" t="str">
        <f>IF($C101="","",IFERROR(INDEX(BPOworkers!$E$6:$E$105,MATCH($C101,BPOworkers!$B$6:$B$105,0)),""))</f>
        <v>M Leon</v>
      </c>
      <c r="E101" s="83">
        <f>IF($C101="","",Config!$C$7+MOD(ROW()-4,5))</f>
        <v>46267</v>
      </c>
      <c r="F101" s="82" t="str">
        <f>IF($C101="","",INDEX(Config!$F$7:$F$11,MOD(ROW()-4,5)+1))</f>
        <v>Wednesday</v>
      </c>
      <c r="G101" s="81">
        <f>IF($C101="","",COUNTIFS(RawBtabs!$A$2:$A$1500,$C101,RawBtabs!$C$2:$C$1500,$E101))</f>
        <v>2</v>
      </c>
      <c r="H101" s="84">
        <f>IF($C101="","",SUMIFS(RawBtabs!$T$2:$T$1500,RawBtabs!$A$2:$A$1500,$C101,RawBtabs!$C$2:$C$1500,$E101))</f>
        <v>8</v>
      </c>
      <c r="I101" s="84">
        <f>IF($C101="","",SUMIFS(RawBtabs!$U$2:$U$1500,RawBtabs!$A$2:$A$1500,$C101,RawBtabs!$C$2:$C$1500,$E101))</f>
        <v>0</v>
      </c>
      <c r="J101" s="84">
        <f t="shared" si="3"/>
        <v>8</v>
      </c>
      <c r="K101" s="85">
        <f>IF($C101="","",$J101/Config!$C$9)</f>
        <v>1</v>
      </c>
      <c r="L101" s="84">
        <f>IF($C101="","",$J101-Config!$C$9)</f>
        <v>0</v>
      </c>
      <c r="M101" s="82" t="str">
        <f>IF($C101="","",IF($G101=0,"⛔ NO ENTRY IN BTABS",IF(ABS($L101)&lt;=Config!$C$10,"✅ OK ("&amp;TEXT($J101,"0.##")&amp;" h)",IF($L101&lt;0,"🔻 MISSING "&amp;TEXT(-$L101,"0.##")&amp;" h","🔺 OVER BY "&amp;TEXT($L101,"0.##")&amp;" h"))))</f>
        <v>✅ OK (8. h)</v>
      </c>
      <c r="N101" s="81">
        <f>IF($C101="","",IF($G101=0,3,IF(ABS($L101)&lt;=Config!$C$10,0,IF($L101&lt;0,2,1))))</f>
        <v>0</v>
      </c>
      <c r="O101" s="81" t="str">
        <f>IF($C101="","",IF($N101&gt;0,COUNTIFS($N$4:$N101,"&gt;0"),""))</f>
        <v/>
      </c>
    </row>
    <row r="102" spans="2:15" x14ac:dyDescent="0.25">
      <c r="B102" s="81">
        <f t="shared" si="2"/>
        <v>20</v>
      </c>
      <c r="C102" s="82" t="str">
        <f>IF(INT((ROW()-4)/5)+1&gt;Config!$C$14,"",INDEX(BPOworkers!$B$6:$B$105,INT((ROW()-4)/5)+1))</f>
        <v>J Reyes</v>
      </c>
      <c r="D102" s="82" t="str">
        <f>IF($C102="","",IFERROR(INDEX(BPOworkers!$E$6:$E$105,MATCH($C102,BPOworkers!$B$6:$B$105,0)),""))</f>
        <v>M Leon</v>
      </c>
      <c r="E102" s="83">
        <f>IF($C102="","",Config!$C$7+MOD(ROW()-4,5))</f>
        <v>46268</v>
      </c>
      <c r="F102" s="82" t="str">
        <f>IF($C102="","",INDEX(Config!$F$7:$F$11,MOD(ROW()-4,5)+1))</f>
        <v>Thursday</v>
      </c>
      <c r="G102" s="81">
        <f>IF($C102="","",COUNTIFS(RawBtabs!$A$2:$A$1500,$C102,RawBtabs!$C$2:$C$1500,$E102))</f>
        <v>1</v>
      </c>
      <c r="H102" s="84">
        <f>IF($C102="","",SUMIFS(RawBtabs!$T$2:$T$1500,RawBtabs!$A$2:$A$1500,$C102,RawBtabs!$C$2:$C$1500,$E102))</f>
        <v>8</v>
      </c>
      <c r="I102" s="84">
        <f>IF($C102="","",SUMIFS(RawBtabs!$U$2:$U$1500,RawBtabs!$A$2:$A$1500,$C102,RawBtabs!$C$2:$C$1500,$E102))</f>
        <v>0</v>
      </c>
      <c r="J102" s="84">
        <f t="shared" si="3"/>
        <v>8</v>
      </c>
      <c r="K102" s="85">
        <f>IF($C102="","",$J102/Config!$C$9)</f>
        <v>1</v>
      </c>
      <c r="L102" s="84">
        <f>IF($C102="","",$J102-Config!$C$9)</f>
        <v>0</v>
      </c>
      <c r="M102" s="82" t="str">
        <f>IF($C102="","",IF($G102=0,"⛔ NO ENTRY IN BTABS",IF(ABS($L102)&lt;=Config!$C$10,"✅ OK ("&amp;TEXT($J102,"0.##")&amp;" h)",IF($L102&lt;0,"🔻 MISSING "&amp;TEXT(-$L102,"0.##")&amp;" h","🔺 OVER BY "&amp;TEXT($L102,"0.##")&amp;" h"))))</f>
        <v>✅ OK (8. h)</v>
      </c>
      <c r="N102" s="81">
        <f>IF($C102="","",IF($G102=0,3,IF(ABS($L102)&lt;=Config!$C$10,0,IF($L102&lt;0,2,1))))</f>
        <v>0</v>
      </c>
      <c r="O102" s="81" t="str">
        <f>IF($C102="","",IF($N102&gt;0,COUNTIFS($N$4:$N102,"&gt;0"),""))</f>
        <v/>
      </c>
    </row>
    <row r="103" spans="2:15" x14ac:dyDescent="0.25">
      <c r="B103" s="81">
        <f t="shared" si="2"/>
        <v>20</v>
      </c>
      <c r="C103" s="82" t="str">
        <f>IF(INT((ROW()-4)/5)+1&gt;Config!$C$14,"",INDEX(BPOworkers!$B$6:$B$105,INT((ROW()-4)/5)+1))</f>
        <v>J Reyes</v>
      </c>
      <c r="D103" s="82" t="str">
        <f>IF($C103="","",IFERROR(INDEX(BPOworkers!$E$6:$E$105,MATCH($C103,BPOworkers!$B$6:$B$105,0)),""))</f>
        <v>M Leon</v>
      </c>
      <c r="E103" s="83">
        <f>IF($C103="","",Config!$C$7+MOD(ROW()-4,5))</f>
        <v>46269</v>
      </c>
      <c r="F103" s="82" t="str">
        <f>IF($C103="","",INDEX(Config!$F$7:$F$11,MOD(ROW()-4,5)+1))</f>
        <v>Friday</v>
      </c>
      <c r="G103" s="81">
        <f>IF($C103="","",COUNTIFS(RawBtabs!$A$2:$A$1500,$C103,RawBtabs!$C$2:$C$1500,$E103))</f>
        <v>1</v>
      </c>
      <c r="H103" s="84">
        <f>IF($C103="","",SUMIFS(RawBtabs!$T$2:$T$1500,RawBtabs!$A$2:$A$1500,$C103,RawBtabs!$C$2:$C$1500,$E103))</f>
        <v>8</v>
      </c>
      <c r="I103" s="84">
        <f>IF($C103="","",SUMIFS(RawBtabs!$U$2:$U$1500,RawBtabs!$A$2:$A$1500,$C103,RawBtabs!$C$2:$C$1500,$E103))</f>
        <v>0</v>
      </c>
      <c r="J103" s="84">
        <f t="shared" si="3"/>
        <v>8</v>
      </c>
      <c r="K103" s="85">
        <f>IF($C103="","",$J103/Config!$C$9)</f>
        <v>1</v>
      </c>
      <c r="L103" s="84">
        <f>IF($C103="","",$J103-Config!$C$9)</f>
        <v>0</v>
      </c>
      <c r="M103" s="82" t="str">
        <f>IF($C103="","",IF($G103=0,"⛔ NO ENTRY IN BTABS",IF(ABS($L103)&lt;=Config!$C$10,"✅ OK ("&amp;TEXT($J103,"0.##")&amp;" h)",IF($L103&lt;0,"🔻 MISSING "&amp;TEXT(-$L103,"0.##")&amp;" h","🔺 OVER BY "&amp;TEXT($L103,"0.##")&amp;" h"))))</f>
        <v>✅ OK (8. h)</v>
      </c>
      <c r="N103" s="81">
        <f>IF($C103="","",IF($G103=0,3,IF(ABS($L103)&lt;=Config!$C$10,0,IF($L103&lt;0,2,1))))</f>
        <v>0</v>
      </c>
      <c r="O103" s="81" t="str">
        <f>IF($C103="","",IF($N103&gt;0,COUNTIFS($N$4:$N103,"&gt;0"),""))</f>
        <v/>
      </c>
    </row>
    <row r="104" spans="2:15" x14ac:dyDescent="0.25">
      <c r="B104" s="81">
        <f t="shared" si="2"/>
        <v>21</v>
      </c>
      <c r="C104" s="82" t="str">
        <f>IF(INT((ROW()-4)/5)+1&gt;Config!$C$14,"",INDEX(BPOworkers!$B$6:$B$105,INT((ROW()-4)/5)+1))</f>
        <v>J S Bermudez</v>
      </c>
      <c r="D104" s="82" t="str">
        <f>IF($C104="","",IFERROR(INDEX(BPOworkers!$E$6:$E$105,MATCH($C104,BPOworkers!$B$6:$B$105,0)),""))</f>
        <v>BPO Management</v>
      </c>
      <c r="E104" s="83">
        <f>IF($C104="","",Config!$C$7+MOD(ROW()-4,5))</f>
        <v>46265</v>
      </c>
      <c r="F104" s="82" t="str">
        <f>IF($C104="","",INDEX(Config!$F$7:$F$11,MOD(ROW()-4,5)+1))</f>
        <v>Monday</v>
      </c>
      <c r="G104" s="81">
        <f>IF($C104="","",COUNTIFS(RawBtabs!$A$2:$A$1500,$C104,RawBtabs!$C$2:$C$1500,$E104))</f>
        <v>2</v>
      </c>
      <c r="H104" s="84">
        <f>IF($C104="","",SUMIFS(RawBtabs!$T$2:$T$1500,RawBtabs!$A$2:$A$1500,$C104,RawBtabs!$C$2:$C$1500,$E104))</f>
        <v>8</v>
      </c>
      <c r="I104" s="84">
        <f>IF($C104="","",SUMIFS(RawBtabs!$U$2:$U$1500,RawBtabs!$A$2:$A$1500,$C104,RawBtabs!$C$2:$C$1500,$E104))</f>
        <v>0</v>
      </c>
      <c r="J104" s="84">
        <f t="shared" si="3"/>
        <v>8</v>
      </c>
      <c r="K104" s="85">
        <f>IF($C104="","",$J104/Config!$C$9)</f>
        <v>1</v>
      </c>
      <c r="L104" s="84">
        <f>IF($C104="","",$J104-Config!$C$9)</f>
        <v>0</v>
      </c>
      <c r="M104" s="82" t="str">
        <f>IF($C104="","",IF($G104=0,"⛔ NO ENTRY IN BTABS",IF(ABS($L104)&lt;=Config!$C$10,"✅ OK ("&amp;TEXT($J104,"0.##")&amp;" h)",IF($L104&lt;0,"🔻 MISSING "&amp;TEXT(-$L104,"0.##")&amp;" h","🔺 OVER BY "&amp;TEXT($L104,"0.##")&amp;" h"))))</f>
        <v>✅ OK (8. h)</v>
      </c>
      <c r="N104" s="81">
        <f>IF($C104="","",IF($G104=0,3,IF(ABS($L104)&lt;=Config!$C$10,0,IF($L104&lt;0,2,1))))</f>
        <v>0</v>
      </c>
      <c r="O104" s="81" t="str">
        <f>IF($C104="","",IF($N104&gt;0,COUNTIFS($N$4:$N104,"&gt;0"),""))</f>
        <v/>
      </c>
    </row>
    <row r="105" spans="2:15" x14ac:dyDescent="0.25">
      <c r="B105" s="81">
        <f t="shared" si="2"/>
        <v>21</v>
      </c>
      <c r="C105" s="82" t="str">
        <f>IF(INT((ROW()-4)/5)+1&gt;Config!$C$14,"",INDEX(BPOworkers!$B$6:$B$105,INT((ROW()-4)/5)+1))</f>
        <v>J S Bermudez</v>
      </c>
      <c r="D105" s="82" t="str">
        <f>IF($C105="","",IFERROR(INDEX(BPOworkers!$E$6:$E$105,MATCH($C105,BPOworkers!$B$6:$B$105,0)),""))</f>
        <v>BPO Management</v>
      </c>
      <c r="E105" s="83">
        <f>IF($C105="","",Config!$C$7+MOD(ROW()-4,5))</f>
        <v>46266</v>
      </c>
      <c r="F105" s="82" t="str">
        <f>IF($C105="","",INDEX(Config!$F$7:$F$11,MOD(ROW()-4,5)+1))</f>
        <v>Tuesday</v>
      </c>
      <c r="G105" s="81">
        <f>IF($C105="","",COUNTIFS(RawBtabs!$A$2:$A$1500,$C105,RawBtabs!$C$2:$C$1500,$E105))</f>
        <v>2</v>
      </c>
      <c r="H105" s="84">
        <f>IF($C105="","",SUMIFS(RawBtabs!$T$2:$T$1500,RawBtabs!$A$2:$A$1500,$C105,RawBtabs!$C$2:$C$1500,$E105))</f>
        <v>8</v>
      </c>
      <c r="I105" s="84">
        <f>IF($C105="","",SUMIFS(RawBtabs!$U$2:$U$1500,RawBtabs!$A$2:$A$1500,$C105,RawBtabs!$C$2:$C$1500,$E105))</f>
        <v>0</v>
      </c>
      <c r="J105" s="84">
        <f t="shared" si="3"/>
        <v>8</v>
      </c>
      <c r="K105" s="85">
        <f>IF($C105="","",$J105/Config!$C$9)</f>
        <v>1</v>
      </c>
      <c r="L105" s="84">
        <f>IF($C105="","",$J105-Config!$C$9)</f>
        <v>0</v>
      </c>
      <c r="M105" s="82" t="str">
        <f>IF($C105="","",IF($G105=0,"⛔ NO ENTRY IN BTABS",IF(ABS($L105)&lt;=Config!$C$10,"✅ OK ("&amp;TEXT($J105,"0.##")&amp;" h)",IF($L105&lt;0,"🔻 MISSING "&amp;TEXT(-$L105,"0.##")&amp;" h","🔺 OVER BY "&amp;TEXT($L105,"0.##")&amp;" h"))))</f>
        <v>✅ OK (8. h)</v>
      </c>
      <c r="N105" s="81">
        <f>IF($C105="","",IF($G105=0,3,IF(ABS($L105)&lt;=Config!$C$10,0,IF($L105&lt;0,2,1))))</f>
        <v>0</v>
      </c>
      <c r="O105" s="81" t="str">
        <f>IF($C105="","",IF($N105&gt;0,COUNTIFS($N$4:$N105,"&gt;0"),""))</f>
        <v/>
      </c>
    </row>
    <row r="106" spans="2:15" x14ac:dyDescent="0.25">
      <c r="B106" s="81">
        <f t="shared" si="2"/>
        <v>21</v>
      </c>
      <c r="C106" s="82" t="str">
        <f>IF(INT((ROW()-4)/5)+1&gt;Config!$C$14,"",INDEX(BPOworkers!$B$6:$B$105,INT((ROW()-4)/5)+1))</f>
        <v>J S Bermudez</v>
      </c>
      <c r="D106" s="82" t="str">
        <f>IF($C106="","",IFERROR(INDEX(BPOworkers!$E$6:$E$105,MATCH($C106,BPOworkers!$B$6:$B$105,0)),""))</f>
        <v>BPO Management</v>
      </c>
      <c r="E106" s="83">
        <f>IF($C106="","",Config!$C$7+MOD(ROW()-4,5))</f>
        <v>46267</v>
      </c>
      <c r="F106" s="82" t="str">
        <f>IF($C106="","",INDEX(Config!$F$7:$F$11,MOD(ROW()-4,5)+1))</f>
        <v>Wednesday</v>
      </c>
      <c r="G106" s="81">
        <f>IF($C106="","",COUNTIFS(RawBtabs!$A$2:$A$1500,$C106,RawBtabs!$C$2:$C$1500,$E106))</f>
        <v>2</v>
      </c>
      <c r="H106" s="84">
        <f>IF($C106="","",SUMIFS(RawBtabs!$T$2:$T$1500,RawBtabs!$A$2:$A$1500,$C106,RawBtabs!$C$2:$C$1500,$E106))</f>
        <v>8</v>
      </c>
      <c r="I106" s="84">
        <f>IF($C106="","",SUMIFS(RawBtabs!$U$2:$U$1500,RawBtabs!$A$2:$A$1500,$C106,RawBtabs!$C$2:$C$1500,$E106))</f>
        <v>0</v>
      </c>
      <c r="J106" s="84">
        <f t="shared" si="3"/>
        <v>8</v>
      </c>
      <c r="K106" s="85">
        <f>IF($C106="","",$J106/Config!$C$9)</f>
        <v>1</v>
      </c>
      <c r="L106" s="84">
        <f>IF($C106="","",$J106-Config!$C$9)</f>
        <v>0</v>
      </c>
      <c r="M106" s="82" t="str">
        <f>IF($C106="","",IF($G106=0,"⛔ NO ENTRY IN BTABS",IF(ABS($L106)&lt;=Config!$C$10,"✅ OK ("&amp;TEXT($J106,"0.##")&amp;" h)",IF($L106&lt;0,"🔻 MISSING "&amp;TEXT(-$L106,"0.##")&amp;" h","🔺 OVER BY "&amp;TEXT($L106,"0.##")&amp;" h"))))</f>
        <v>✅ OK (8. h)</v>
      </c>
      <c r="N106" s="81">
        <f>IF($C106="","",IF($G106=0,3,IF(ABS($L106)&lt;=Config!$C$10,0,IF($L106&lt;0,2,1))))</f>
        <v>0</v>
      </c>
      <c r="O106" s="81" t="str">
        <f>IF($C106="","",IF($N106&gt;0,COUNTIFS($N$4:$N106,"&gt;0"),""))</f>
        <v/>
      </c>
    </row>
    <row r="107" spans="2:15" x14ac:dyDescent="0.25">
      <c r="B107" s="81">
        <f t="shared" si="2"/>
        <v>21</v>
      </c>
      <c r="C107" s="82" t="str">
        <f>IF(INT((ROW()-4)/5)+1&gt;Config!$C$14,"",INDEX(BPOworkers!$B$6:$B$105,INT((ROW()-4)/5)+1))</f>
        <v>J S Bermudez</v>
      </c>
      <c r="D107" s="82" t="str">
        <f>IF($C107="","",IFERROR(INDEX(BPOworkers!$E$6:$E$105,MATCH($C107,BPOworkers!$B$6:$B$105,0)),""))</f>
        <v>BPO Management</v>
      </c>
      <c r="E107" s="83">
        <f>IF($C107="","",Config!$C$7+MOD(ROW()-4,5))</f>
        <v>46268</v>
      </c>
      <c r="F107" s="82" t="str">
        <f>IF($C107="","",INDEX(Config!$F$7:$F$11,MOD(ROW()-4,5)+1))</f>
        <v>Thursday</v>
      </c>
      <c r="G107" s="81">
        <f>IF($C107="","",COUNTIFS(RawBtabs!$A$2:$A$1500,$C107,RawBtabs!$C$2:$C$1500,$E107))</f>
        <v>1</v>
      </c>
      <c r="H107" s="84">
        <f>IF($C107="","",SUMIFS(RawBtabs!$T$2:$T$1500,RawBtabs!$A$2:$A$1500,$C107,RawBtabs!$C$2:$C$1500,$E107))</f>
        <v>8</v>
      </c>
      <c r="I107" s="84">
        <f>IF($C107="","",SUMIFS(RawBtabs!$U$2:$U$1500,RawBtabs!$A$2:$A$1500,$C107,RawBtabs!$C$2:$C$1500,$E107))</f>
        <v>0</v>
      </c>
      <c r="J107" s="84">
        <f t="shared" si="3"/>
        <v>8</v>
      </c>
      <c r="K107" s="85">
        <f>IF($C107="","",$J107/Config!$C$9)</f>
        <v>1</v>
      </c>
      <c r="L107" s="84">
        <f>IF($C107="","",$J107-Config!$C$9)</f>
        <v>0</v>
      </c>
      <c r="M107" s="82" t="str">
        <f>IF($C107="","",IF($G107=0,"⛔ NO ENTRY IN BTABS",IF(ABS($L107)&lt;=Config!$C$10,"✅ OK ("&amp;TEXT($J107,"0.##")&amp;" h)",IF($L107&lt;0,"🔻 MISSING "&amp;TEXT(-$L107,"0.##")&amp;" h","🔺 OVER BY "&amp;TEXT($L107,"0.##")&amp;" h"))))</f>
        <v>✅ OK (8. h)</v>
      </c>
      <c r="N107" s="81">
        <f>IF($C107="","",IF($G107=0,3,IF(ABS($L107)&lt;=Config!$C$10,0,IF($L107&lt;0,2,1))))</f>
        <v>0</v>
      </c>
      <c r="O107" s="81" t="str">
        <f>IF($C107="","",IF($N107&gt;0,COUNTIFS($N$4:$N107,"&gt;0"),""))</f>
        <v/>
      </c>
    </row>
    <row r="108" spans="2:15" x14ac:dyDescent="0.25">
      <c r="B108" s="81">
        <f t="shared" si="2"/>
        <v>21</v>
      </c>
      <c r="C108" s="82" t="str">
        <f>IF(INT((ROW()-4)/5)+1&gt;Config!$C$14,"",INDEX(BPOworkers!$B$6:$B$105,INT((ROW()-4)/5)+1))</f>
        <v>J S Bermudez</v>
      </c>
      <c r="D108" s="82" t="str">
        <f>IF($C108="","",IFERROR(INDEX(BPOworkers!$E$6:$E$105,MATCH($C108,BPOworkers!$B$6:$B$105,0)),""))</f>
        <v>BPO Management</v>
      </c>
      <c r="E108" s="83">
        <f>IF($C108="","",Config!$C$7+MOD(ROW()-4,5))</f>
        <v>46269</v>
      </c>
      <c r="F108" s="82" t="str">
        <f>IF($C108="","",INDEX(Config!$F$7:$F$11,MOD(ROW()-4,5)+1))</f>
        <v>Friday</v>
      </c>
      <c r="G108" s="81">
        <f>IF($C108="","",COUNTIFS(RawBtabs!$A$2:$A$1500,$C108,RawBtabs!$C$2:$C$1500,$E108))</f>
        <v>1</v>
      </c>
      <c r="H108" s="84">
        <f>IF($C108="","",SUMIFS(RawBtabs!$T$2:$T$1500,RawBtabs!$A$2:$A$1500,$C108,RawBtabs!$C$2:$C$1500,$E108))</f>
        <v>8</v>
      </c>
      <c r="I108" s="84">
        <f>IF($C108="","",SUMIFS(RawBtabs!$U$2:$U$1500,RawBtabs!$A$2:$A$1500,$C108,RawBtabs!$C$2:$C$1500,$E108))</f>
        <v>0</v>
      </c>
      <c r="J108" s="84">
        <f t="shared" si="3"/>
        <v>8</v>
      </c>
      <c r="K108" s="85">
        <f>IF($C108="","",$J108/Config!$C$9)</f>
        <v>1</v>
      </c>
      <c r="L108" s="84">
        <f>IF($C108="","",$J108-Config!$C$9)</f>
        <v>0</v>
      </c>
      <c r="M108" s="82" t="str">
        <f>IF($C108="","",IF($G108=0,"⛔ NO ENTRY IN BTABS",IF(ABS($L108)&lt;=Config!$C$10,"✅ OK ("&amp;TEXT($J108,"0.##")&amp;" h)",IF($L108&lt;0,"🔻 MISSING "&amp;TEXT(-$L108,"0.##")&amp;" h","🔺 OVER BY "&amp;TEXT($L108,"0.##")&amp;" h"))))</f>
        <v>✅ OK (8. h)</v>
      </c>
      <c r="N108" s="81">
        <f>IF($C108="","",IF($G108=0,3,IF(ABS($L108)&lt;=Config!$C$10,0,IF($L108&lt;0,2,1))))</f>
        <v>0</v>
      </c>
      <c r="O108" s="81" t="str">
        <f>IF($C108="","",IF($N108&gt;0,COUNTIFS($N$4:$N108,"&gt;0"),""))</f>
        <v/>
      </c>
    </row>
    <row r="109" spans="2:15" x14ac:dyDescent="0.25">
      <c r="B109" s="81">
        <f t="shared" si="2"/>
        <v>22</v>
      </c>
      <c r="C109" s="82" t="str">
        <f>IF(INT((ROW()-4)/5)+1&gt;Config!$C$14,"",INDEX(BPOworkers!$B$6:$B$105,INT((ROW()-4)/5)+1))</f>
        <v>L Alfonso</v>
      </c>
      <c r="D109" s="82" t="str">
        <f>IF($C109="","",IFERROR(INDEX(BPOworkers!$E$6:$E$105,MATCH($C109,BPOworkers!$B$6:$B$105,0)),""))</f>
        <v>R Sanchez</v>
      </c>
      <c r="E109" s="83">
        <f>IF($C109="","",Config!$C$7+MOD(ROW()-4,5))</f>
        <v>46265</v>
      </c>
      <c r="F109" s="82" t="str">
        <f>IF($C109="","",INDEX(Config!$F$7:$F$11,MOD(ROW()-4,5)+1))</f>
        <v>Monday</v>
      </c>
      <c r="G109" s="81">
        <f>IF($C109="","",COUNTIFS(RawBtabs!$A$2:$A$1500,$C109,RawBtabs!$C$2:$C$1500,$E109))</f>
        <v>1</v>
      </c>
      <c r="H109" s="84">
        <f>IF($C109="","",SUMIFS(RawBtabs!$T$2:$T$1500,RawBtabs!$A$2:$A$1500,$C109,RawBtabs!$C$2:$C$1500,$E109))</f>
        <v>0</v>
      </c>
      <c r="I109" s="84">
        <f>IF($C109="","",SUMIFS(RawBtabs!$U$2:$U$1500,RawBtabs!$A$2:$A$1500,$C109,RawBtabs!$C$2:$C$1500,$E109))</f>
        <v>8</v>
      </c>
      <c r="J109" s="84">
        <f t="shared" si="3"/>
        <v>8</v>
      </c>
      <c r="K109" s="85">
        <f>IF($C109="","",$J109/Config!$C$9)</f>
        <v>1</v>
      </c>
      <c r="L109" s="84">
        <f>IF($C109="","",$J109-Config!$C$9)</f>
        <v>0</v>
      </c>
      <c r="M109" s="82" t="str">
        <f>IF($C109="","",IF($G109=0,"⛔ NO ENTRY IN BTABS",IF(ABS($L109)&lt;=Config!$C$10,"✅ OK ("&amp;TEXT($J109,"0.##")&amp;" h)",IF($L109&lt;0,"🔻 MISSING "&amp;TEXT(-$L109,"0.##")&amp;" h","🔺 OVER BY "&amp;TEXT($L109,"0.##")&amp;" h"))))</f>
        <v>✅ OK (8. h)</v>
      </c>
      <c r="N109" s="81">
        <f>IF($C109="","",IF($G109=0,3,IF(ABS($L109)&lt;=Config!$C$10,0,IF($L109&lt;0,2,1))))</f>
        <v>0</v>
      </c>
      <c r="O109" s="81" t="str">
        <f>IF($C109="","",IF($N109&gt;0,COUNTIFS($N$4:$N109,"&gt;0"),""))</f>
        <v/>
      </c>
    </row>
    <row r="110" spans="2:15" x14ac:dyDescent="0.25">
      <c r="B110" s="81">
        <f t="shared" si="2"/>
        <v>22</v>
      </c>
      <c r="C110" s="82" t="str">
        <f>IF(INT((ROW()-4)/5)+1&gt;Config!$C$14,"",INDEX(BPOworkers!$B$6:$B$105,INT((ROW()-4)/5)+1))</f>
        <v>L Alfonso</v>
      </c>
      <c r="D110" s="82" t="str">
        <f>IF($C110="","",IFERROR(INDEX(BPOworkers!$E$6:$E$105,MATCH($C110,BPOworkers!$B$6:$B$105,0)),""))</f>
        <v>R Sanchez</v>
      </c>
      <c r="E110" s="83">
        <f>IF($C110="","",Config!$C$7+MOD(ROW()-4,5))</f>
        <v>46266</v>
      </c>
      <c r="F110" s="82" t="str">
        <f>IF($C110="","",INDEX(Config!$F$7:$F$11,MOD(ROW()-4,5)+1))</f>
        <v>Tuesday</v>
      </c>
      <c r="G110" s="81">
        <f>IF($C110="","",COUNTIFS(RawBtabs!$A$2:$A$1500,$C110,RawBtabs!$C$2:$C$1500,$E110))</f>
        <v>1</v>
      </c>
      <c r="H110" s="84">
        <f>IF($C110="","",SUMIFS(RawBtabs!$T$2:$T$1500,RawBtabs!$A$2:$A$1500,$C110,RawBtabs!$C$2:$C$1500,$E110))</f>
        <v>0</v>
      </c>
      <c r="I110" s="84">
        <f>IF($C110="","",SUMIFS(RawBtabs!$U$2:$U$1500,RawBtabs!$A$2:$A$1500,$C110,RawBtabs!$C$2:$C$1500,$E110))</f>
        <v>8</v>
      </c>
      <c r="J110" s="84">
        <f t="shared" si="3"/>
        <v>8</v>
      </c>
      <c r="K110" s="85">
        <f>IF($C110="","",$J110/Config!$C$9)</f>
        <v>1</v>
      </c>
      <c r="L110" s="84">
        <f>IF($C110="","",$J110-Config!$C$9)</f>
        <v>0</v>
      </c>
      <c r="M110" s="82" t="str">
        <f>IF($C110="","",IF($G110=0,"⛔ NO ENTRY IN BTABS",IF(ABS($L110)&lt;=Config!$C$10,"✅ OK ("&amp;TEXT($J110,"0.##")&amp;" h)",IF($L110&lt;0,"🔻 MISSING "&amp;TEXT(-$L110,"0.##")&amp;" h","🔺 OVER BY "&amp;TEXT($L110,"0.##")&amp;" h"))))</f>
        <v>✅ OK (8. h)</v>
      </c>
      <c r="N110" s="81">
        <f>IF($C110="","",IF($G110=0,3,IF(ABS($L110)&lt;=Config!$C$10,0,IF($L110&lt;0,2,1))))</f>
        <v>0</v>
      </c>
      <c r="O110" s="81" t="str">
        <f>IF($C110="","",IF($N110&gt;0,COUNTIFS($N$4:$N110,"&gt;0"),""))</f>
        <v/>
      </c>
    </row>
    <row r="111" spans="2:15" x14ac:dyDescent="0.25">
      <c r="B111" s="81">
        <f t="shared" si="2"/>
        <v>22</v>
      </c>
      <c r="C111" s="82" t="str">
        <f>IF(INT((ROW()-4)/5)+1&gt;Config!$C$14,"",INDEX(BPOworkers!$B$6:$B$105,INT((ROW()-4)/5)+1))</f>
        <v>L Alfonso</v>
      </c>
      <c r="D111" s="82" t="str">
        <f>IF($C111="","",IFERROR(INDEX(BPOworkers!$E$6:$E$105,MATCH($C111,BPOworkers!$B$6:$B$105,0)),""))</f>
        <v>R Sanchez</v>
      </c>
      <c r="E111" s="83">
        <f>IF($C111="","",Config!$C$7+MOD(ROW()-4,5))</f>
        <v>46267</v>
      </c>
      <c r="F111" s="82" t="str">
        <f>IF($C111="","",INDEX(Config!$F$7:$F$11,MOD(ROW()-4,5)+1))</f>
        <v>Wednesday</v>
      </c>
      <c r="G111" s="81">
        <f>IF($C111="","",COUNTIFS(RawBtabs!$A$2:$A$1500,$C111,RawBtabs!$C$2:$C$1500,$E111))</f>
        <v>1</v>
      </c>
      <c r="H111" s="84">
        <f>IF($C111="","",SUMIFS(RawBtabs!$T$2:$T$1500,RawBtabs!$A$2:$A$1500,$C111,RawBtabs!$C$2:$C$1500,$E111))</f>
        <v>8</v>
      </c>
      <c r="I111" s="84">
        <f>IF($C111="","",SUMIFS(RawBtabs!$U$2:$U$1500,RawBtabs!$A$2:$A$1500,$C111,RawBtabs!$C$2:$C$1500,$E111))</f>
        <v>0</v>
      </c>
      <c r="J111" s="84">
        <f t="shared" si="3"/>
        <v>8</v>
      </c>
      <c r="K111" s="85">
        <f>IF($C111="","",$J111/Config!$C$9)</f>
        <v>1</v>
      </c>
      <c r="L111" s="84">
        <f>IF($C111="","",$J111-Config!$C$9)</f>
        <v>0</v>
      </c>
      <c r="M111" s="82" t="str">
        <f>IF($C111="","",IF($G111=0,"⛔ NO ENTRY IN BTABS",IF(ABS($L111)&lt;=Config!$C$10,"✅ OK ("&amp;TEXT($J111,"0.##")&amp;" h)",IF($L111&lt;0,"🔻 MISSING "&amp;TEXT(-$L111,"0.##")&amp;" h","🔺 OVER BY "&amp;TEXT($L111,"0.##")&amp;" h"))))</f>
        <v>✅ OK (8. h)</v>
      </c>
      <c r="N111" s="81">
        <f>IF($C111="","",IF($G111=0,3,IF(ABS($L111)&lt;=Config!$C$10,0,IF($L111&lt;0,2,1))))</f>
        <v>0</v>
      </c>
      <c r="O111" s="81" t="str">
        <f>IF($C111="","",IF($N111&gt;0,COUNTIFS($N$4:$N111,"&gt;0"),""))</f>
        <v/>
      </c>
    </row>
    <row r="112" spans="2:15" x14ac:dyDescent="0.25">
      <c r="B112" s="81">
        <f t="shared" si="2"/>
        <v>22</v>
      </c>
      <c r="C112" s="82" t="str">
        <f>IF(INT((ROW()-4)/5)+1&gt;Config!$C$14,"",INDEX(BPOworkers!$B$6:$B$105,INT((ROW()-4)/5)+1))</f>
        <v>L Alfonso</v>
      </c>
      <c r="D112" s="82" t="str">
        <f>IF($C112="","",IFERROR(INDEX(BPOworkers!$E$6:$E$105,MATCH($C112,BPOworkers!$B$6:$B$105,0)),""))</f>
        <v>R Sanchez</v>
      </c>
      <c r="E112" s="83">
        <f>IF($C112="","",Config!$C$7+MOD(ROW()-4,5))</f>
        <v>46268</v>
      </c>
      <c r="F112" s="82" t="str">
        <f>IF($C112="","",INDEX(Config!$F$7:$F$11,MOD(ROW()-4,5)+1))</f>
        <v>Thursday</v>
      </c>
      <c r="G112" s="81">
        <f>IF($C112="","",COUNTIFS(RawBtabs!$A$2:$A$1500,$C112,RawBtabs!$C$2:$C$1500,$E112))</f>
        <v>1</v>
      </c>
      <c r="H112" s="84">
        <f>IF($C112="","",SUMIFS(RawBtabs!$T$2:$T$1500,RawBtabs!$A$2:$A$1500,$C112,RawBtabs!$C$2:$C$1500,$E112))</f>
        <v>8</v>
      </c>
      <c r="I112" s="84">
        <f>IF($C112="","",SUMIFS(RawBtabs!$U$2:$U$1500,RawBtabs!$A$2:$A$1500,$C112,RawBtabs!$C$2:$C$1500,$E112))</f>
        <v>0</v>
      </c>
      <c r="J112" s="84">
        <f t="shared" si="3"/>
        <v>8</v>
      </c>
      <c r="K112" s="85">
        <f>IF($C112="","",$J112/Config!$C$9)</f>
        <v>1</v>
      </c>
      <c r="L112" s="84">
        <f>IF($C112="","",$J112-Config!$C$9)</f>
        <v>0</v>
      </c>
      <c r="M112" s="82" t="str">
        <f>IF($C112="","",IF($G112=0,"⛔ NO ENTRY IN BTABS",IF(ABS($L112)&lt;=Config!$C$10,"✅ OK ("&amp;TEXT($J112,"0.##")&amp;" h)",IF($L112&lt;0,"🔻 MISSING "&amp;TEXT(-$L112,"0.##")&amp;" h","🔺 OVER BY "&amp;TEXT($L112,"0.##")&amp;" h"))))</f>
        <v>✅ OK (8. h)</v>
      </c>
      <c r="N112" s="81">
        <f>IF($C112="","",IF($G112=0,3,IF(ABS($L112)&lt;=Config!$C$10,0,IF($L112&lt;0,2,1))))</f>
        <v>0</v>
      </c>
      <c r="O112" s="81" t="str">
        <f>IF($C112="","",IF($N112&gt;0,COUNTIFS($N$4:$N112,"&gt;0"),""))</f>
        <v/>
      </c>
    </row>
    <row r="113" spans="2:15" x14ac:dyDescent="0.25">
      <c r="B113" s="81">
        <f t="shared" si="2"/>
        <v>22</v>
      </c>
      <c r="C113" s="82" t="str">
        <f>IF(INT((ROW()-4)/5)+1&gt;Config!$C$14,"",INDEX(BPOworkers!$B$6:$B$105,INT((ROW()-4)/5)+1))</f>
        <v>L Alfonso</v>
      </c>
      <c r="D113" s="82" t="str">
        <f>IF($C113="","",IFERROR(INDEX(BPOworkers!$E$6:$E$105,MATCH($C113,BPOworkers!$B$6:$B$105,0)),""))</f>
        <v>R Sanchez</v>
      </c>
      <c r="E113" s="83">
        <f>IF($C113="","",Config!$C$7+MOD(ROW()-4,5))</f>
        <v>46269</v>
      </c>
      <c r="F113" s="82" t="str">
        <f>IF($C113="","",INDEX(Config!$F$7:$F$11,MOD(ROW()-4,5)+1))</f>
        <v>Friday</v>
      </c>
      <c r="G113" s="81">
        <f>IF($C113="","",COUNTIFS(RawBtabs!$A$2:$A$1500,$C113,RawBtabs!$C$2:$C$1500,$E113))</f>
        <v>1</v>
      </c>
      <c r="H113" s="84">
        <f>IF($C113="","",SUMIFS(RawBtabs!$T$2:$T$1500,RawBtabs!$A$2:$A$1500,$C113,RawBtabs!$C$2:$C$1500,$E113))</f>
        <v>8</v>
      </c>
      <c r="I113" s="84">
        <f>IF($C113="","",SUMIFS(RawBtabs!$U$2:$U$1500,RawBtabs!$A$2:$A$1500,$C113,RawBtabs!$C$2:$C$1500,$E113))</f>
        <v>0</v>
      </c>
      <c r="J113" s="84">
        <f t="shared" si="3"/>
        <v>8</v>
      </c>
      <c r="K113" s="85">
        <f>IF($C113="","",$J113/Config!$C$9)</f>
        <v>1</v>
      </c>
      <c r="L113" s="84">
        <f>IF($C113="","",$J113-Config!$C$9)</f>
        <v>0</v>
      </c>
      <c r="M113" s="82" t="str">
        <f>IF($C113="","",IF($G113=0,"⛔ NO ENTRY IN BTABS",IF(ABS($L113)&lt;=Config!$C$10,"✅ OK ("&amp;TEXT($J113,"0.##")&amp;" h)",IF($L113&lt;0,"🔻 MISSING "&amp;TEXT(-$L113,"0.##")&amp;" h","🔺 OVER BY "&amp;TEXT($L113,"0.##")&amp;" h"))))</f>
        <v>✅ OK (8. h)</v>
      </c>
      <c r="N113" s="81">
        <f>IF($C113="","",IF($G113=0,3,IF(ABS($L113)&lt;=Config!$C$10,0,IF($L113&lt;0,2,1))))</f>
        <v>0</v>
      </c>
      <c r="O113" s="81" t="str">
        <f>IF($C113="","",IF($N113&gt;0,COUNTIFS($N$4:$N113,"&gt;0"),""))</f>
        <v/>
      </c>
    </row>
    <row r="114" spans="2:15" x14ac:dyDescent="0.25">
      <c r="B114" s="81">
        <f t="shared" si="2"/>
        <v>23</v>
      </c>
      <c r="C114" s="82" t="str">
        <f>IF(INT((ROW()-4)/5)+1&gt;Config!$C$14,"",INDEX(BPOworkers!$B$6:$B$105,INT((ROW()-4)/5)+1))</f>
        <v>L Escobar</v>
      </c>
      <c r="D114" s="82" t="str">
        <f>IF($C114="","",IFERROR(INDEX(BPOworkers!$E$6:$E$105,MATCH($C114,BPOworkers!$B$6:$B$105,0)),""))</f>
        <v>J S Bermudez</v>
      </c>
      <c r="E114" s="83">
        <f>IF($C114="","",Config!$C$7+MOD(ROW()-4,5))</f>
        <v>46265</v>
      </c>
      <c r="F114" s="82" t="str">
        <f>IF($C114="","",INDEX(Config!$F$7:$F$11,MOD(ROW()-4,5)+1))</f>
        <v>Monday</v>
      </c>
      <c r="G114" s="81">
        <f>IF($C114="","",COUNTIFS(RawBtabs!$A$2:$A$1500,$C114,RawBtabs!$C$2:$C$1500,$E114))</f>
        <v>1</v>
      </c>
      <c r="H114" s="84">
        <f>IF($C114="","",SUMIFS(RawBtabs!$T$2:$T$1500,RawBtabs!$A$2:$A$1500,$C114,RawBtabs!$C$2:$C$1500,$E114))</f>
        <v>0</v>
      </c>
      <c r="I114" s="84">
        <f>IF($C114="","",SUMIFS(RawBtabs!$U$2:$U$1500,RawBtabs!$A$2:$A$1500,$C114,RawBtabs!$C$2:$C$1500,$E114))</f>
        <v>8</v>
      </c>
      <c r="J114" s="84">
        <f t="shared" si="3"/>
        <v>8</v>
      </c>
      <c r="K114" s="85">
        <f>IF($C114="","",$J114/Config!$C$9)</f>
        <v>1</v>
      </c>
      <c r="L114" s="84">
        <f>IF($C114="","",$J114-Config!$C$9)</f>
        <v>0</v>
      </c>
      <c r="M114" s="82" t="str">
        <f>IF($C114="","",IF($G114=0,"⛔ NO ENTRY IN BTABS",IF(ABS($L114)&lt;=Config!$C$10,"✅ OK ("&amp;TEXT($J114,"0.##")&amp;" h)",IF($L114&lt;0,"🔻 MISSING "&amp;TEXT(-$L114,"0.##")&amp;" h","🔺 OVER BY "&amp;TEXT($L114,"0.##")&amp;" h"))))</f>
        <v>✅ OK (8. h)</v>
      </c>
      <c r="N114" s="81">
        <f>IF($C114="","",IF($G114=0,3,IF(ABS($L114)&lt;=Config!$C$10,0,IF($L114&lt;0,2,1))))</f>
        <v>0</v>
      </c>
      <c r="O114" s="81" t="str">
        <f>IF($C114="","",IF($N114&gt;0,COUNTIFS($N$4:$N114,"&gt;0"),""))</f>
        <v/>
      </c>
    </row>
    <row r="115" spans="2:15" x14ac:dyDescent="0.25">
      <c r="B115" s="81">
        <f t="shared" si="2"/>
        <v>23</v>
      </c>
      <c r="C115" s="82" t="str">
        <f>IF(INT((ROW()-4)/5)+1&gt;Config!$C$14,"",INDEX(BPOworkers!$B$6:$B$105,INT((ROW()-4)/5)+1))</f>
        <v>L Escobar</v>
      </c>
      <c r="D115" s="82" t="str">
        <f>IF($C115="","",IFERROR(INDEX(BPOworkers!$E$6:$E$105,MATCH($C115,BPOworkers!$B$6:$B$105,0)),""))</f>
        <v>J S Bermudez</v>
      </c>
      <c r="E115" s="83">
        <f>IF($C115="","",Config!$C$7+MOD(ROW()-4,5))</f>
        <v>46266</v>
      </c>
      <c r="F115" s="82" t="str">
        <f>IF($C115="","",INDEX(Config!$F$7:$F$11,MOD(ROW()-4,5)+1))</f>
        <v>Tuesday</v>
      </c>
      <c r="G115" s="81">
        <f>IF($C115="","",COUNTIFS(RawBtabs!$A$2:$A$1500,$C115,RawBtabs!$C$2:$C$1500,$E115))</f>
        <v>1</v>
      </c>
      <c r="H115" s="84">
        <f>IF($C115="","",SUMIFS(RawBtabs!$T$2:$T$1500,RawBtabs!$A$2:$A$1500,$C115,RawBtabs!$C$2:$C$1500,$E115))</f>
        <v>0</v>
      </c>
      <c r="I115" s="84">
        <f>IF($C115="","",SUMIFS(RawBtabs!$U$2:$U$1500,RawBtabs!$A$2:$A$1500,$C115,RawBtabs!$C$2:$C$1500,$E115))</f>
        <v>8</v>
      </c>
      <c r="J115" s="84">
        <f t="shared" si="3"/>
        <v>8</v>
      </c>
      <c r="K115" s="85">
        <f>IF($C115="","",$J115/Config!$C$9)</f>
        <v>1</v>
      </c>
      <c r="L115" s="84">
        <f>IF($C115="","",$J115-Config!$C$9)</f>
        <v>0</v>
      </c>
      <c r="M115" s="82" t="str">
        <f>IF($C115="","",IF($G115=0,"⛔ NO ENTRY IN BTABS",IF(ABS($L115)&lt;=Config!$C$10,"✅ OK ("&amp;TEXT($J115,"0.##")&amp;" h)",IF($L115&lt;0,"🔻 MISSING "&amp;TEXT(-$L115,"0.##")&amp;" h","🔺 OVER BY "&amp;TEXT($L115,"0.##")&amp;" h"))))</f>
        <v>✅ OK (8. h)</v>
      </c>
      <c r="N115" s="81">
        <f>IF($C115="","",IF($G115=0,3,IF(ABS($L115)&lt;=Config!$C$10,0,IF($L115&lt;0,2,1))))</f>
        <v>0</v>
      </c>
      <c r="O115" s="81" t="str">
        <f>IF($C115="","",IF($N115&gt;0,COUNTIFS($N$4:$N115,"&gt;0"),""))</f>
        <v/>
      </c>
    </row>
    <row r="116" spans="2:15" x14ac:dyDescent="0.25">
      <c r="B116" s="81">
        <f t="shared" si="2"/>
        <v>23</v>
      </c>
      <c r="C116" s="82" t="str">
        <f>IF(INT((ROW()-4)/5)+1&gt;Config!$C$14,"",INDEX(BPOworkers!$B$6:$B$105,INT((ROW()-4)/5)+1))</f>
        <v>L Escobar</v>
      </c>
      <c r="D116" s="82" t="str">
        <f>IF($C116="","",IFERROR(INDEX(BPOworkers!$E$6:$E$105,MATCH($C116,BPOworkers!$B$6:$B$105,0)),""))</f>
        <v>J S Bermudez</v>
      </c>
      <c r="E116" s="83">
        <f>IF($C116="","",Config!$C$7+MOD(ROW()-4,5))</f>
        <v>46267</v>
      </c>
      <c r="F116" s="82" t="str">
        <f>IF($C116="","",INDEX(Config!$F$7:$F$11,MOD(ROW()-4,5)+1))</f>
        <v>Wednesday</v>
      </c>
      <c r="G116" s="81">
        <f>IF($C116="","",COUNTIFS(RawBtabs!$A$2:$A$1500,$C116,RawBtabs!$C$2:$C$1500,$E116))</f>
        <v>2</v>
      </c>
      <c r="H116" s="84">
        <f>IF($C116="","",SUMIFS(RawBtabs!$T$2:$T$1500,RawBtabs!$A$2:$A$1500,$C116,RawBtabs!$C$2:$C$1500,$E116))</f>
        <v>8</v>
      </c>
      <c r="I116" s="84">
        <f>IF($C116="","",SUMIFS(RawBtabs!$U$2:$U$1500,RawBtabs!$A$2:$A$1500,$C116,RawBtabs!$C$2:$C$1500,$E116))</f>
        <v>0</v>
      </c>
      <c r="J116" s="84">
        <f t="shared" si="3"/>
        <v>8</v>
      </c>
      <c r="K116" s="85">
        <f>IF($C116="","",$J116/Config!$C$9)</f>
        <v>1</v>
      </c>
      <c r="L116" s="84">
        <f>IF($C116="","",$J116-Config!$C$9)</f>
        <v>0</v>
      </c>
      <c r="M116" s="82" t="str">
        <f>IF($C116="","",IF($G116=0,"⛔ NO ENTRY IN BTABS",IF(ABS($L116)&lt;=Config!$C$10,"✅ OK ("&amp;TEXT($J116,"0.##")&amp;" h)",IF($L116&lt;0,"🔻 MISSING "&amp;TEXT(-$L116,"0.##")&amp;" h","🔺 OVER BY "&amp;TEXT($L116,"0.##")&amp;" h"))))</f>
        <v>✅ OK (8. h)</v>
      </c>
      <c r="N116" s="81">
        <f>IF($C116="","",IF($G116=0,3,IF(ABS($L116)&lt;=Config!$C$10,0,IF($L116&lt;0,2,1))))</f>
        <v>0</v>
      </c>
      <c r="O116" s="81" t="str">
        <f>IF($C116="","",IF($N116&gt;0,COUNTIFS($N$4:$N116,"&gt;0"),""))</f>
        <v/>
      </c>
    </row>
    <row r="117" spans="2:15" x14ac:dyDescent="0.25">
      <c r="B117" s="81">
        <f t="shared" si="2"/>
        <v>23</v>
      </c>
      <c r="C117" s="82" t="str">
        <f>IF(INT((ROW()-4)/5)+1&gt;Config!$C$14,"",INDEX(BPOworkers!$B$6:$B$105,INT((ROW()-4)/5)+1))</f>
        <v>L Escobar</v>
      </c>
      <c r="D117" s="82" t="str">
        <f>IF($C117="","",IFERROR(INDEX(BPOworkers!$E$6:$E$105,MATCH($C117,BPOworkers!$B$6:$B$105,0)),""))</f>
        <v>J S Bermudez</v>
      </c>
      <c r="E117" s="83">
        <f>IF($C117="","",Config!$C$7+MOD(ROW()-4,5))</f>
        <v>46268</v>
      </c>
      <c r="F117" s="82" t="str">
        <f>IF($C117="","",INDEX(Config!$F$7:$F$11,MOD(ROW()-4,5)+1))</f>
        <v>Thursday</v>
      </c>
      <c r="G117" s="81">
        <f>IF($C117="","",COUNTIFS(RawBtabs!$A$2:$A$1500,$C117,RawBtabs!$C$2:$C$1500,$E117))</f>
        <v>1</v>
      </c>
      <c r="H117" s="84">
        <f>IF($C117="","",SUMIFS(RawBtabs!$T$2:$T$1500,RawBtabs!$A$2:$A$1500,$C117,RawBtabs!$C$2:$C$1500,$E117))</f>
        <v>8</v>
      </c>
      <c r="I117" s="84">
        <f>IF($C117="","",SUMIFS(RawBtabs!$U$2:$U$1500,RawBtabs!$A$2:$A$1500,$C117,RawBtabs!$C$2:$C$1500,$E117))</f>
        <v>0</v>
      </c>
      <c r="J117" s="84">
        <f t="shared" si="3"/>
        <v>8</v>
      </c>
      <c r="K117" s="85">
        <f>IF($C117="","",$J117/Config!$C$9)</f>
        <v>1</v>
      </c>
      <c r="L117" s="84">
        <f>IF($C117="","",$J117-Config!$C$9)</f>
        <v>0</v>
      </c>
      <c r="M117" s="82" t="str">
        <f>IF($C117="","",IF($G117=0,"⛔ NO ENTRY IN BTABS",IF(ABS($L117)&lt;=Config!$C$10,"✅ OK ("&amp;TEXT($J117,"0.##")&amp;" h)",IF($L117&lt;0,"🔻 MISSING "&amp;TEXT(-$L117,"0.##")&amp;" h","🔺 OVER BY "&amp;TEXT($L117,"0.##")&amp;" h"))))</f>
        <v>✅ OK (8. h)</v>
      </c>
      <c r="N117" s="81">
        <f>IF($C117="","",IF($G117=0,3,IF(ABS($L117)&lt;=Config!$C$10,0,IF($L117&lt;0,2,1))))</f>
        <v>0</v>
      </c>
      <c r="O117" s="81" t="str">
        <f>IF($C117="","",IF($N117&gt;0,COUNTIFS($N$4:$N117,"&gt;0"),""))</f>
        <v/>
      </c>
    </row>
    <row r="118" spans="2:15" x14ac:dyDescent="0.25">
      <c r="B118" s="81">
        <f t="shared" si="2"/>
        <v>23</v>
      </c>
      <c r="C118" s="82" t="str">
        <f>IF(INT((ROW()-4)/5)+1&gt;Config!$C$14,"",INDEX(BPOworkers!$B$6:$B$105,INT((ROW()-4)/5)+1))</f>
        <v>L Escobar</v>
      </c>
      <c r="D118" s="82" t="str">
        <f>IF($C118="","",IFERROR(INDEX(BPOworkers!$E$6:$E$105,MATCH($C118,BPOworkers!$B$6:$B$105,0)),""))</f>
        <v>J S Bermudez</v>
      </c>
      <c r="E118" s="83">
        <f>IF($C118="","",Config!$C$7+MOD(ROW()-4,5))</f>
        <v>46269</v>
      </c>
      <c r="F118" s="82" t="str">
        <f>IF($C118="","",INDEX(Config!$F$7:$F$11,MOD(ROW()-4,5)+1))</f>
        <v>Friday</v>
      </c>
      <c r="G118" s="81">
        <f>IF($C118="","",COUNTIFS(RawBtabs!$A$2:$A$1500,$C118,RawBtabs!$C$2:$C$1500,$E118))</f>
        <v>2</v>
      </c>
      <c r="H118" s="84">
        <f>IF($C118="","",SUMIFS(RawBtabs!$T$2:$T$1500,RawBtabs!$A$2:$A$1500,$C118,RawBtabs!$C$2:$C$1500,$E118))</f>
        <v>8</v>
      </c>
      <c r="I118" s="84">
        <f>IF($C118="","",SUMIFS(RawBtabs!$U$2:$U$1500,RawBtabs!$A$2:$A$1500,$C118,RawBtabs!$C$2:$C$1500,$E118))</f>
        <v>0</v>
      </c>
      <c r="J118" s="84">
        <f t="shared" si="3"/>
        <v>8</v>
      </c>
      <c r="K118" s="85">
        <f>IF($C118="","",$J118/Config!$C$9)</f>
        <v>1</v>
      </c>
      <c r="L118" s="84">
        <f>IF($C118="","",$J118-Config!$C$9)</f>
        <v>0</v>
      </c>
      <c r="M118" s="82" t="str">
        <f>IF($C118="","",IF($G118=0,"⛔ NO ENTRY IN BTABS",IF(ABS($L118)&lt;=Config!$C$10,"✅ OK ("&amp;TEXT($J118,"0.##")&amp;" h)",IF($L118&lt;0,"🔻 MISSING "&amp;TEXT(-$L118,"0.##")&amp;" h","🔺 OVER BY "&amp;TEXT($L118,"0.##")&amp;" h"))))</f>
        <v>✅ OK (8. h)</v>
      </c>
      <c r="N118" s="81">
        <f>IF($C118="","",IF($G118=0,3,IF(ABS($L118)&lt;=Config!$C$10,0,IF($L118&lt;0,2,1))))</f>
        <v>0</v>
      </c>
      <c r="O118" s="81" t="str">
        <f>IF($C118="","",IF($N118&gt;0,COUNTIFS($N$4:$N118,"&gt;0"),""))</f>
        <v/>
      </c>
    </row>
    <row r="119" spans="2:15" x14ac:dyDescent="0.25">
      <c r="B119" s="81">
        <f t="shared" si="2"/>
        <v>24</v>
      </c>
      <c r="C119" s="82" t="str">
        <f>IF(INT((ROW()-4)/5)+1&gt;Config!$C$14,"",INDEX(BPOworkers!$B$6:$B$105,INT((ROW()-4)/5)+1))</f>
        <v>M Lopez</v>
      </c>
      <c r="D119" s="82" t="str">
        <f>IF($C119="","",IFERROR(INDEX(BPOworkers!$E$6:$E$105,MATCH($C119,BPOworkers!$B$6:$B$105,0)),""))</f>
        <v>H Daza</v>
      </c>
      <c r="E119" s="83">
        <f>IF($C119="","",Config!$C$7+MOD(ROW()-4,5))</f>
        <v>46265</v>
      </c>
      <c r="F119" s="82" t="str">
        <f>IF($C119="","",INDEX(Config!$F$7:$F$11,MOD(ROW()-4,5)+1))</f>
        <v>Monday</v>
      </c>
      <c r="G119" s="81">
        <f>IF($C119="","",COUNTIFS(RawBtabs!$A$2:$A$1500,$C119,RawBtabs!$C$2:$C$1500,$E119))</f>
        <v>1</v>
      </c>
      <c r="H119" s="84">
        <f>IF($C119="","",SUMIFS(RawBtabs!$T$2:$T$1500,RawBtabs!$A$2:$A$1500,$C119,RawBtabs!$C$2:$C$1500,$E119))</f>
        <v>8</v>
      </c>
      <c r="I119" s="84">
        <f>IF($C119="","",SUMIFS(RawBtabs!$U$2:$U$1500,RawBtabs!$A$2:$A$1500,$C119,RawBtabs!$C$2:$C$1500,$E119))</f>
        <v>0</v>
      </c>
      <c r="J119" s="84">
        <f t="shared" si="3"/>
        <v>8</v>
      </c>
      <c r="K119" s="85">
        <f>IF($C119="","",$J119/Config!$C$9)</f>
        <v>1</v>
      </c>
      <c r="L119" s="84">
        <f>IF($C119="","",$J119-Config!$C$9)</f>
        <v>0</v>
      </c>
      <c r="M119" s="82" t="str">
        <f>IF($C119="","",IF($G119=0,"⛔ NO ENTRY IN BTABS",IF(ABS($L119)&lt;=Config!$C$10,"✅ OK ("&amp;TEXT($J119,"0.##")&amp;" h)",IF($L119&lt;0,"🔻 MISSING "&amp;TEXT(-$L119,"0.##")&amp;" h","🔺 OVER BY "&amp;TEXT($L119,"0.##")&amp;" h"))))</f>
        <v>✅ OK (8. h)</v>
      </c>
      <c r="N119" s="81">
        <f>IF($C119="","",IF($G119=0,3,IF(ABS($L119)&lt;=Config!$C$10,0,IF($L119&lt;0,2,1))))</f>
        <v>0</v>
      </c>
      <c r="O119" s="81" t="str">
        <f>IF($C119="","",IF($N119&gt;0,COUNTIFS($N$4:$N119,"&gt;0"),""))</f>
        <v/>
      </c>
    </row>
    <row r="120" spans="2:15" x14ac:dyDescent="0.25">
      <c r="B120" s="81">
        <f t="shared" si="2"/>
        <v>24</v>
      </c>
      <c r="C120" s="82" t="str">
        <f>IF(INT((ROW()-4)/5)+1&gt;Config!$C$14,"",INDEX(BPOworkers!$B$6:$B$105,INT((ROW()-4)/5)+1))</f>
        <v>M Lopez</v>
      </c>
      <c r="D120" s="82" t="str">
        <f>IF($C120="","",IFERROR(INDEX(BPOworkers!$E$6:$E$105,MATCH($C120,BPOworkers!$B$6:$B$105,0)),""))</f>
        <v>H Daza</v>
      </c>
      <c r="E120" s="83">
        <f>IF($C120="","",Config!$C$7+MOD(ROW()-4,5))</f>
        <v>46266</v>
      </c>
      <c r="F120" s="82" t="str">
        <f>IF($C120="","",INDEX(Config!$F$7:$F$11,MOD(ROW()-4,5)+1))</f>
        <v>Tuesday</v>
      </c>
      <c r="G120" s="81">
        <f>IF($C120="","",COUNTIFS(RawBtabs!$A$2:$A$1500,$C120,RawBtabs!$C$2:$C$1500,$E120))</f>
        <v>2</v>
      </c>
      <c r="H120" s="84">
        <f>IF($C120="","",SUMIFS(RawBtabs!$T$2:$T$1500,RawBtabs!$A$2:$A$1500,$C120,RawBtabs!$C$2:$C$1500,$E120))</f>
        <v>8</v>
      </c>
      <c r="I120" s="84">
        <f>IF($C120="","",SUMIFS(RawBtabs!$U$2:$U$1500,RawBtabs!$A$2:$A$1500,$C120,RawBtabs!$C$2:$C$1500,$E120))</f>
        <v>0</v>
      </c>
      <c r="J120" s="84">
        <f t="shared" si="3"/>
        <v>8</v>
      </c>
      <c r="K120" s="85">
        <f>IF($C120="","",$J120/Config!$C$9)</f>
        <v>1</v>
      </c>
      <c r="L120" s="84">
        <f>IF($C120="","",$J120-Config!$C$9)</f>
        <v>0</v>
      </c>
      <c r="M120" s="82" t="str">
        <f>IF($C120="","",IF($G120=0,"⛔ NO ENTRY IN BTABS",IF(ABS($L120)&lt;=Config!$C$10,"✅ OK ("&amp;TEXT($J120,"0.##")&amp;" h)",IF($L120&lt;0,"🔻 MISSING "&amp;TEXT(-$L120,"0.##")&amp;" h","🔺 OVER BY "&amp;TEXT($L120,"0.##")&amp;" h"))))</f>
        <v>✅ OK (8. h)</v>
      </c>
      <c r="N120" s="81">
        <f>IF($C120="","",IF($G120=0,3,IF(ABS($L120)&lt;=Config!$C$10,0,IF($L120&lt;0,2,1))))</f>
        <v>0</v>
      </c>
      <c r="O120" s="81" t="str">
        <f>IF($C120="","",IF($N120&gt;0,COUNTIFS($N$4:$N120,"&gt;0"),""))</f>
        <v/>
      </c>
    </row>
    <row r="121" spans="2:15" x14ac:dyDescent="0.25">
      <c r="B121" s="81">
        <f t="shared" si="2"/>
        <v>24</v>
      </c>
      <c r="C121" s="82" t="str">
        <f>IF(INT((ROW()-4)/5)+1&gt;Config!$C$14,"",INDEX(BPOworkers!$B$6:$B$105,INT((ROW()-4)/5)+1))</f>
        <v>M Lopez</v>
      </c>
      <c r="D121" s="82" t="str">
        <f>IF($C121="","",IFERROR(INDEX(BPOworkers!$E$6:$E$105,MATCH($C121,BPOworkers!$B$6:$B$105,0)),""))</f>
        <v>H Daza</v>
      </c>
      <c r="E121" s="83">
        <f>IF($C121="","",Config!$C$7+MOD(ROW()-4,5))</f>
        <v>46267</v>
      </c>
      <c r="F121" s="82" t="str">
        <f>IF($C121="","",INDEX(Config!$F$7:$F$11,MOD(ROW()-4,5)+1))</f>
        <v>Wednesday</v>
      </c>
      <c r="G121" s="81">
        <f>IF($C121="","",COUNTIFS(RawBtabs!$A$2:$A$1500,$C121,RawBtabs!$C$2:$C$1500,$E121))</f>
        <v>2</v>
      </c>
      <c r="H121" s="84">
        <f>IF($C121="","",SUMIFS(RawBtabs!$T$2:$T$1500,RawBtabs!$A$2:$A$1500,$C121,RawBtabs!$C$2:$C$1500,$E121))</f>
        <v>8</v>
      </c>
      <c r="I121" s="84">
        <f>IF($C121="","",SUMIFS(RawBtabs!$U$2:$U$1500,RawBtabs!$A$2:$A$1500,$C121,RawBtabs!$C$2:$C$1500,$E121))</f>
        <v>0</v>
      </c>
      <c r="J121" s="84">
        <f t="shared" si="3"/>
        <v>8</v>
      </c>
      <c r="K121" s="85">
        <f>IF($C121="","",$J121/Config!$C$9)</f>
        <v>1</v>
      </c>
      <c r="L121" s="84">
        <f>IF($C121="","",$J121-Config!$C$9)</f>
        <v>0</v>
      </c>
      <c r="M121" s="82" t="str">
        <f>IF($C121="","",IF($G121=0,"⛔ NO ENTRY IN BTABS",IF(ABS($L121)&lt;=Config!$C$10,"✅ OK ("&amp;TEXT($J121,"0.##")&amp;" h)",IF($L121&lt;0,"🔻 MISSING "&amp;TEXT(-$L121,"0.##")&amp;" h","🔺 OVER BY "&amp;TEXT($L121,"0.##")&amp;" h"))))</f>
        <v>✅ OK (8. h)</v>
      </c>
      <c r="N121" s="81">
        <f>IF($C121="","",IF($G121=0,3,IF(ABS($L121)&lt;=Config!$C$10,0,IF($L121&lt;0,2,1))))</f>
        <v>0</v>
      </c>
      <c r="O121" s="81" t="str">
        <f>IF($C121="","",IF($N121&gt;0,COUNTIFS($N$4:$N121,"&gt;0"),""))</f>
        <v/>
      </c>
    </row>
    <row r="122" spans="2:15" x14ac:dyDescent="0.25">
      <c r="B122" s="81">
        <f t="shared" si="2"/>
        <v>24</v>
      </c>
      <c r="C122" s="82" t="str">
        <f>IF(INT((ROW()-4)/5)+1&gt;Config!$C$14,"",INDEX(BPOworkers!$B$6:$B$105,INT((ROW()-4)/5)+1))</f>
        <v>M Lopez</v>
      </c>
      <c r="D122" s="82" t="str">
        <f>IF($C122="","",IFERROR(INDEX(BPOworkers!$E$6:$E$105,MATCH($C122,BPOworkers!$B$6:$B$105,0)),""))</f>
        <v>H Daza</v>
      </c>
      <c r="E122" s="83">
        <f>IF($C122="","",Config!$C$7+MOD(ROW()-4,5))</f>
        <v>46268</v>
      </c>
      <c r="F122" s="82" t="str">
        <f>IF($C122="","",INDEX(Config!$F$7:$F$11,MOD(ROW()-4,5)+1))</f>
        <v>Thursday</v>
      </c>
      <c r="G122" s="81">
        <f>IF($C122="","",COUNTIFS(RawBtabs!$A$2:$A$1500,$C122,RawBtabs!$C$2:$C$1500,$E122))</f>
        <v>1</v>
      </c>
      <c r="H122" s="84">
        <f>IF($C122="","",SUMIFS(RawBtabs!$T$2:$T$1500,RawBtabs!$A$2:$A$1500,$C122,RawBtabs!$C$2:$C$1500,$E122))</f>
        <v>8</v>
      </c>
      <c r="I122" s="84">
        <f>IF($C122="","",SUMIFS(RawBtabs!$U$2:$U$1500,RawBtabs!$A$2:$A$1500,$C122,RawBtabs!$C$2:$C$1500,$E122))</f>
        <v>0</v>
      </c>
      <c r="J122" s="84">
        <f t="shared" si="3"/>
        <v>8</v>
      </c>
      <c r="K122" s="85">
        <f>IF($C122="","",$J122/Config!$C$9)</f>
        <v>1</v>
      </c>
      <c r="L122" s="84">
        <f>IF($C122="","",$J122-Config!$C$9)</f>
        <v>0</v>
      </c>
      <c r="M122" s="82" t="str">
        <f>IF($C122="","",IF($G122=0,"⛔ NO ENTRY IN BTABS",IF(ABS($L122)&lt;=Config!$C$10,"✅ OK ("&amp;TEXT($J122,"0.##")&amp;" h)",IF($L122&lt;0,"🔻 MISSING "&amp;TEXT(-$L122,"0.##")&amp;" h","🔺 OVER BY "&amp;TEXT($L122,"0.##")&amp;" h"))))</f>
        <v>✅ OK (8. h)</v>
      </c>
      <c r="N122" s="81">
        <f>IF($C122="","",IF($G122=0,3,IF(ABS($L122)&lt;=Config!$C$10,0,IF($L122&lt;0,2,1))))</f>
        <v>0</v>
      </c>
      <c r="O122" s="81" t="str">
        <f>IF($C122="","",IF($N122&gt;0,COUNTIFS($N$4:$N122,"&gt;0"),""))</f>
        <v/>
      </c>
    </row>
    <row r="123" spans="2:15" x14ac:dyDescent="0.25">
      <c r="B123" s="81">
        <f t="shared" si="2"/>
        <v>24</v>
      </c>
      <c r="C123" s="82" t="str">
        <f>IF(INT((ROW()-4)/5)+1&gt;Config!$C$14,"",INDEX(BPOworkers!$B$6:$B$105,INT((ROW()-4)/5)+1))</f>
        <v>M Lopez</v>
      </c>
      <c r="D123" s="82" t="str">
        <f>IF($C123="","",IFERROR(INDEX(BPOworkers!$E$6:$E$105,MATCH($C123,BPOworkers!$B$6:$B$105,0)),""))</f>
        <v>H Daza</v>
      </c>
      <c r="E123" s="83">
        <f>IF($C123="","",Config!$C$7+MOD(ROW()-4,5))</f>
        <v>46269</v>
      </c>
      <c r="F123" s="82" t="str">
        <f>IF($C123="","",INDEX(Config!$F$7:$F$11,MOD(ROW()-4,5)+1))</f>
        <v>Friday</v>
      </c>
      <c r="G123" s="81">
        <f>IF($C123="","",COUNTIFS(RawBtabs!$A$2:$A$1500,$C123,RawBtabs!$C$2:$C$1500,$E123))</f>
        <v>1</v>
      </c>
      <c r="H123" s="84">
        <f>IF($C123="","",SUMIFS(RawBtabs!$T$2:$T$1500,RawBtabs!$A$2:$A$1500,$C123,RawBtabs!$C$2:$C$1500,$E123))</f>
        <v>8</v>
      </c>
      <c r="I123" s="84">
        <f>IF($C123="","",SUMIFS(RawBtabs!$U$2:$U$1500,RawBtabs!$A$2:$A$1500,$C123,RawBtabs!$C$2:$C$1500,$E123))</f>
        <v>0</v>
      </c>
      <c r="J123" s="84">
        <f t="shared" si="3"/>
        <v>8</v>
      </c>
      <c r="K123" s="85">
        <f>IF($C123="","",$J123/Config!$C$9)</f>
        <v>1</v>
      </c>
      <c r="L123" s="84">
        <f>IF($C123="","",$J123-Config!$C$9)</f>
        <v>0</v>
      </c>
      <c r="M123" s="82" t="str">
        <f>IF($C123="","",IF($G123=0,"⛔ NO ENTRY IN BTABS",IF(ABS($L123)&lt;=Config!$C$10,"✅ OK ("&amp;TEXT($J123,"0.##")&amp;" h)",IF($L123&lt;0,"🔻 MISSING "&amp;TEXT(-$L123,"0.##")&amp;" h","🔺 OVER BY "&amp;TEXT($L123,"0.##")&amp;" h"))))</f>
        <v>✅ OK (8. h)</v>
      </c>
      <c r="N123" s="81">
        <f>IF($C123="","",IF($G123=0,3,IF(ABS($L123)&lt;=Config!$C$10,0,IF($L123&lt;0,2,1))))</f>
        <v>0</v>
      </c>
      <c r="O123" s="81" t="str">
        <f>IF($C123="","",IF($N123&gt;0,COUNTIFS($N$4:$N123,"&gt;0"),""))</f>
        <v/>
      </c>
    </row>
    <row r="124" spans="2:15" x14ac:dyDescent="0.25">
      <c r="B124" s="81">
        <f t="shared" si="2"/>
        <v>25</v>
      </c>
      <c r="C124" s="82" t="str">
        <f>IF(INT((ROW()-4)/5)+1&gt;Config!$C$14,"",INDEX(BPOworkers!$B$6:$B$105,INT((ROW()-4)/5)+1))</f>
        <v>M Verdooren</v>
      </c>
      <c r="D124" s="82" t="str">
        <f>IF($C124="","",IFERROR(INDEX(BPOworkers!$E$6:$E$105,MATCH($C124,BPOworkers!$B$6:$B$105,0)),""))</f>
        <v>R Sanchez</v>
      </c>
      <c r="E124" s="83">
        <f>IF($C124="","",Config!$C$7+MOD(ROW()-4,5))</f>
        <v>46265</v>
      </c>
      <c r="F124" s="82" t="str">
        <f>IF($C124="","",INDEX(Config!$F$7:$F$11,MOD(ROW()-4,5)+1))</f>
        <v>Monday</v>
      </c>
      <c r="G124" s="81">
        <f>IF($C124="","",COUNTIFS(RawBtabs!$A$2:$A$1500,$C124,RawBtabs!$C$2:$C$1500,$E124))</f>
        <v>1</v>
      </c>
      <c r="H124" s="84">
        <f>IF($C124="","",SUMIFS(RawBtabs!$T$2:$T$1500,RawBtabs!$A$2:$A$1500,$C124,RawBtabs!$C$2:$C$1500,$E124))</f>
        <v>8</v>
      </c>
      <c r="I124" s="84">
        <f>IF($C124="","",SUMIFS(RawBtabs!$U$2:$U$1500,RawBtabs!$A$2:$A$1500,$C124,RawBtabs!$C$2:$C$1500,$E124))</f>
        <v>0</v>
      </c>
      <c r="J124" s="84">
        <f t="shared" si="3"/>
        <v>8</v>
      </c>
      <c r="K124" s="85">
        <f>IF($C124="","",$J124/Config!$C$9)</f>
        <v>1</v>
      </c>
      <c r="L124" s="84">
        <f>IF($C124="","",$J124-Config!$C$9)</f>
        <v>0</v>
      </c>
      <c r="M124" s="82" t="str">
        <f>IF($C124="","",IF($G124=0,"⛔ NO ENTRY IN BTABS",IF(ABS($L124)&lt;=Config!$C$10,"✅ OK ("&amp;TEXT($J124,"0.##")&amp;" h)",IF($L124&lt;0,"🔻 MISSING "&amp;TEXT(-$L124,"0.##")&amp;" h","🔺 OVER BY "&amp;TEXT($L124,"0.##")&amp;" h"))))</f>
        <v>✅ OK (8. h)</v>
      </c>
      <c r="N124" s="81">
        <f>IF($C124="","",IF($G124=0,3,IF(ABS($L124)&lt;=Config!$C$10,0,IF($L124&lt;0,2,1))))</f>
        <v>0</v>
      </c>
      <c r="O124" s="81" t="str">
        <f>IF($C124="","",IF($N124&gt;0,COUNTIFS($N$4:$N124,"&gt;0"),""))</f>
        <v/>
      </c>
    </row>
    <row r="125" spans="2:15" x14ac:dyDescent="0.25">
      <c r="B125" s="81">
        <f t="shared" si="2"/>
        <v>25</v>
      </c>
      <c r="C125" s="82" t="str">
        <f>IF(INT((ROW()-4)/5)+1&gt;Config!$C$14,"",INDEX(BPOworkers!$B$6:$B$105,INT((ROW()-4)/5)+1))</f>
        <v>M Verdooren</v>
      </c>
      <c r="D125" s="82" t="str">
        <f>IF($C125="","",IFERROR(INDEX(BPOworkers!$E$6:$E$105,MATCH($C125,BPOworkers!$B$6:$B$105,0)),""))</f>
        <v>R Sanchez</v>
      </c>
      <c r="E125" s="83">
        <f>IF($C125="","",Config!$C$7+MOD(ROW()-4,5))</f>
        <v>46266</v>
      </c>
      <c r="F125" s="82" t="str">
        <f>IF($C125="","",INDEX(Config!$F$7:$F$11,MOD(ROW()-4,5)+1))</f>
        <v>Tuesday</v>
      </c>
      <c r="G125" s="81">
        <f>IF($C125="","",COUNTIFS(RawBtabs!$A$2:$A$1500,$C125,RawBtabs!$C$2:$C$1500,$E125))</f>
        <v>1</v>
      </c>
      <c r="H125" s="84">
        <f>IF($C125="","",SUMIFS(RawBtabs!$T$2:$T$1500,RawBtabs!$A$2:$A$1500,$C125,RawBtabs!$C$2:$C$1500,$E125))</f>
        <v>8</v>
      </c>
      <c r="I125" s="84">
        <f>IF($C125="","",SUMIFS(RawBtabs!$U$2:$U$1500,RawBtabs!$A$2:$A$1500,$C125,RawBtabs!$C$2:$C$1500,$E125))</f>
        <v>0</v>
      </c>
      <c r="J125" s="84">
        <f t="shared" si="3"/>
        <v>8</v>
      </c>
      <c r="K125" s="85">
        <f>IF($C125="","",$J125/Config!$C$9)</f>
        <v>1</v>
      </c>
      <c r="L125" s="84">
        <f>IF($C125="","",$J125-Config!$C$9)</f>
        <v>0</v>
      </c>
      <c r="M125" s="82" t="str">
        <f>IF($C125="","",IF($G125=0,"⛔ NO ENTRY IN BTABS",IF(ABS($L125)&lt;=Config!$C$10,"✅ OK ("&amp;TEXT($J125,"0.##")&amp;" h)",IF($L125&lt;0,"🔻 MISSING "&amp;TEXT(-$L125,"0.##")&amp;" h","🔺 OVER BY "&amp;TEXT($L125,"0.##")&amp;" h"))))</f>
        <v>✅ OK (8. h)</v>
      </c>
      <c r="N125" s="81">
        <f>IF($C125="","",IF($G125=0,3,IF(ABS($L125)&lt;=Config!$C$10,0,IF($L125&lt;0,2,1))))</f>
        <v>0</v>
      </c>
      <c r="O125" s="81" t="str">
        <f>IF($C125="","",IF($N125&gt;0,COUNTIFS($N$4:$N125,"&gt;0"),""))</f>
        <v/>
      </c>
    </row>
    <row r="126" spans="2:15" x14ac:dyDescent="0.25">
      <c r="B126" s="81">
        <f t="shared" si="2"/>
        <v>25</v>
      </c>
      <c r="C126" s="82" t="str">
        <f>IF(INT((ROW()-4)/5)+1&gt;Config!$C$14,"",INDEX(BPOworkers!$B$6:$B$105,INT((ROW()-4)/5)+1))</f>
        <v>M Verdooren</v>
      </c>
      <c r="D126" s="82" t="str">
        <f>IF($C126="","",IFERROR(INDEX(BPOworkers!$E$6:$E$105,MATCH($C126,BPOworkers!$B$6:$B$105,0)),""))</f>
        <v>R Sanchez</v>
      </c>
      <c r="E126" s="83">
        <f>IF($C126="","",Config!$C$7+MOD(ROW()-4,5))</f>
        <v>46267</v>
      </c>
      <c r="F126" s="82" t="str">
        <f>IF($C126="","",INDEX(Config!$F$7:$F$11,MOD(ROW()-4,5)+1))</f>
        <v>Wednesday</v>
      </c>
      <c r="G126" s="81">
        <f>IF($C126="","",COUNTIFS(RawBtabs!$A$2:$A$1500,$C126,RawBtabs!$C$2:$C$1500,$E126))</f>
        <v>2</v>
      </c>
      <c r="H126" s="84">
        <f>IF($C126="","",SUMIFS(RawBtabs!$T$2:$T$1500,RawBtabs!$A$2:$A$1500,$C126,RawBtabs!$C$2:$C$1500,$E126))</f>
        <v>8</v>
      </c>
      <c r="I126" s="84">
        <f>IF($C126="","",SUMIFS(RawBtabs!$U$2:$U$1500,RawBtabs!$A$2:$A$1500,$C126,RawBtabs!$C$2:$C$1500,$E126))</f>
        <v>0</v>
      </c>
      <c r="J126" s="84">
        <f t="shared" si="3"/>
        <v>8</v>
      </c>
      <c r="K126" s="85">
        <f>IF($C126="","",$J126/Config!$C$9)</f>
        <v>1</v>
      </c>
      <c r="L126" s="84">
        <f>IF($C126="","",$J126-Config!$C$9)</f>
        <v>0</v>
      </c>
      <c r="M126" s="82" t="str">
        <f>IF($C126="","",IF($G126=0,"⛔ NO ENTRY IN BTABS",IF(ABS($L126)&lt;=Config!$C$10,"✅ OK ("&amp;TEXT($J126,"0.##")&amp;" h)",IF($L126&lt;0,"🔻 MISSING "&amp;TEXT(-$L126,"0.##")&amp;" h","🔺 OVER BY "&amp;TEXT($L126,"0.##")&amp;" h"))))</f>
        <v>✅ OK (8. h)</v>
      </c>
      <c r="N126" s="81">
        <f>IF($C126="","",IF($G126=0,3,IF(ABS($L126)&lt;=Config!$C$10,0,IF($L126&lt;0,2,1))))</f>
        <v>0</v>
      </c>
      <c r="O126" s="81" t="str">
        <f>IF($C126="","",IF($N126&gt;0,COUNTIFS($N$4:$N126,"&gt;0"),""))</f>
        <v/>
      </c>
    </row>
    <row r="127" spans="2:15" x14ac:dyDescent="0.25">
      <c r="B127" s="81">
        <f t="shared" si="2"/>
        <v>25</v>
      </c>
      <c r="C127" s="82" t="str">
        <f>IF(INT((ROW()-4)/5)+1&gt;Config!$C$14,"",INDEX(BPOworkers!$B$6:$B$105,INT((ROW()-4)/5)+1))</f>
        <v>M Verdooren</v>
      </c>
      <c r="D127" s="82" t="str">
        <f>IF($C127="","",IFERROR(INDEX(BPOworkers!$E$6:$E$105,MATCH($C127,BPOworkers!$B$6:$B$105,0)),""))</f>
        <v>R Sanchez</v>
      </c>
      <c r="E127" s="83">
        <f>IF($C127="","",Config!$C$7+MOD(ROW()-4,5))</f>
        <v>46268</v>
      </c>
      <c r="F127" s="82" t="str">
        <f>IF($C127="","",INDEX(Config!$F$7:$F$11,MOD(ROW()-4,5)+1))</f>
        <v>Thursday</v>
      </c>
      <c r="G127" s="81">
        <f>IF($C127="","",COUNTIFS(RawBtabs!$A$2:$A$1500,$C127,RawBtabs!$C$2:$C$1500,$E127))</f>
        <v>2</v>
      </c>
      <c r="H127" s="84">
        <f>IF($C127="","",SUMIFS(RawBtabs!$T$2:$T$1500,RawBtabs!$A$2:$A$1500,$C127,RawBtabs!$C$2:$C$1500,$E127))</f>
        <v>8</v>
      </c>
      <c r="I127" s="84">
        <f>IF($C127="","",SUMIFS(RawBtabs!$U$2:$U$1500,RawBtabs!$A$2:$A$1500,$C127,RawBtabs!$C$2:$C$1500,$E127))</f>
        <v>0</v>
      </c>
      <c r="J127" s="84">
        <f t="shared" si="3"/>
        <v>8</v>
      </c>
      <c r="K127" s="85">
        <f>IF($C127="","",$J127/Config!$C$9)</f>
        <v>1</v>
      </c>
      <c r="L127" s="84">
        <f>IF($C127="","",$J127-Config!$C$9)</f>
        <v>0</v>
      </c>
      <c r="M127" s="82" t="str">
        <f>IF($C127="","",IF($G127=0,"⛔ NO ENTRY IN BTABS",IF(ABS($L127)&lt;=Config!$C$10,"✅ OK ("&amp;TEXT($J127,"0.##")&amp;" h)",IF($L127&lt;0,"🔻 MISSING "&amp;TEXT(-$L127,"0.##")&amp;" h","🔺 OVER BY "&amp;TEXT($L127,"0.##")&amp;" h"))))</f>
        <v>✅ OK (8. h)</v>
      </c>
      <c r="N127" s="81">
        <f>IF($C127="","",IF($G127=0,3,IF(ABS($L127)&lt;=Config!$C$10,0,IF($L127&lt;0,2,1))))</f>
        <v>0</v>
      </c>
      <c r="O127" s="81" t="str">
        <f>IF($C127="","",IF($N127&gt;0,COUNTIFS($N$4:$N127,"&gt;0"),""))</f>
        <v/>
      </c>
    </row>
    <row r="128" spans="2:15" x14ac:dyDescent="0.25">
      <c r="B128" s="81">
        <f t="shared" si="2"/>
        <v>25</v>
      </c>
      <c r="C128" s="82" t="str">
        <f>IF(INT((ROW()-4)/5)+1&gt;Config!$C$14,"",INDEX(BPOworkers!$B$6:$B$105,INT((ROW()-4)/5)+1))</f>
        <v>M Verdooren</v>
      </c>
      <c r="D128" s="82" t="str">
        <f>IF($C128="","",IFERROR(INDEX(BPOworkers!$E$6:$E$105,MATCH($C128,BPOworkers!$B$6:$B$105,0)),""))</f>
        <v>R Sanchez</v>
      </c>
      <c r="E128" s="83">
        <f>IF($C128="","",Config!$C$7+MOD(ROW()-4,5))</f>
        <v>46269</v>
      </c>
      <c r="F128" s="82" t="str">
        <f>IF($C128="","",INDEX(Config!$F$7:$F$11,MOD(ROW()-4,5)+1))</f>
        <v>Friday</v>
      </c>
      <c r="G128" s="81">
        <f>IF($C128="","",COUNTIFS(RawBtabs!$A$2:$A$1500,$C128,RawBtabs!$C$2:$C$1500,$E128))</f>
        <v>1</v>
      </c>
      <c r="H128" s="84">
        <f>IF($C128="","",SUMIFS(RawBtabs!$T$2:$T$1500,RawBtabs!$A$2:$A$1500,$C128,RawBtabs!$C$2:$C$1500,$E128))</f>
        <v>8</v>
      </c>
      <c r="I128" s="84">
        <f>IF($C128="","",SUMIFS(RawBtabs!$U$2:$U$1500,RawBtabs!$A$2:$A$1500,$C128,RawBtabs!$C$2:$C$1500,$E128))</f>
        <v>0</v>
      </c>
      <c r="J128" s="84">
        <f t="shared" si="3"/>
        <v>8</v>
      </c>
      <c r="K128" s="85">
        <f>IF($C128="","",$J128/Config!$C$9)</f>
        <v>1</v>
      </c>
      <c r="L128" s="84">
        <f>IF($C128="","",$J128-Config!$C$9)</f>
        <v>0</v>
      </c>
      <c r="M128" s="82" t="str">
        <f>IF($C128="","",IF($G128=0,"⛔ NO ENTRY IN BTABS",IF(ABS($L128)&lt;=Config!$C$10,"✅ OK ("&amp;TEXT($J128,"0.##")&amp;" h)",IF($L128&lt;0,"🔻 MISSING "&amp;TEXT(-$L128,"0.##")&amp;" h","🔺 OVER BY "&amp;TEXT($L128,"0.##")&amp;" h"))))</f>
        <v>✅ OK (8. h)</v>
      </c>
      <c r="N128" s="81">
        <f>IF($C128="","",IF($G128=0,3,IF(ABS($L128)&lt;=Config!$C$10,0,IF($L128&lt;0,2,1))))</f>
        <v>0</v>
      </c>
      <c r="O128" s="81" t="str">
        <f>IF($C128="","",IF($N128&gt;0,COUNTIFS($N$4:$N128,"&gt;0"),""))</f>
        <v/>
      </c>
    </row>
    <row r="129" spans="2:15" x14ac:dyDescent="0.25">
      <c r="B129" s="81">
        <f t="shared" si="2"/>
        <v>26</v>
      </c>
      <c r="C129" s="82" t="str">
        <f>IF(INT((ROW()-4)/5)+1&gt;Config!$C$14,"",INDEX(BPOworkers!$B$6:$B$105,INT((ROW()-4)/5)+1))</f>
        <v>M Fernandez</v>
      </c>
      <c r="D129" s="82" t="str">
        <f>IF($C129="","",IFERROR(INDEX(BPOworkers!$E$6:$E$105,MATCH($C129,BPOworkers!$B$6:$B$105,0)),""))</f>
        <v>H Daza</v>
      </c>
      <c r="E129" s="83">
        <f>IF($C129="","",Config!$C$7+MOD(ROW()-4,5))</f>
        <v>46265</v>
      </c>
      <c r="F129" s="82" t="str">
        <f>IF($C129="","",INDEX(Config!$F$7:$F$11,MOD(ROW()-4,5)+1))</f>
        <v>Monday</v>
      </c>
      <c r="G129" s="81">
        <f>IF($C129="","",COUNTIFS(RawBtabs!$A$2:$A$1500,$C129,RawBtabs!$C$2:$C$1500,$E129))</f>
        <v>1</v>
      </c>
      <c r="H129" s="84">
        <f>IF($C129="","",SUMIFS(RawBtabs!$T$2:$T$1500,RawBtabs!$A$2:$A$1500,$C129,RawBtabs!$C$2:$C$1500,$E129))</f>
        <v>8</v>
      </c>
      <c r="I129" s="84">
        <f>IF($C129="","",SUMIFS(RawBtabs!$U$2:$U$1500,RawBtabs!$A$2:$A$1500,$C129,RawBtabs!$C$2:$C$1500,$E129))</f>
        <v>0</v>
      </c>
      <c r="J129" s="84">
        <f t="shared" si="3"/>
        <v>8</v>
      </c>
      <c r="K129" s="85">
        <f>IF($C129="","",$J129/Config!$C$9)</f>
        <v>1</v>
      </c>
      <c r="L129" s="84">
        <f>IF($C129="","",$J129-Config!$C$9)</f>
        <v>0</v>
      </c>
      <c r="M129" s="82" t="str">
        <f>IF($C129="","",IF($G129=0,"⛔ NO ENTRY IN BTABS",IF(ABS($L129)&lt;=Config!$C$10,"✅ OK ("&amp;TEXT($J129,"0.##")&amp;" h)",IF($L129&lt;0,"🔻 MISSING "&amp;TEXT(-$L129,"0.##")&amp;" h","🔺 OVER BY "&amp;TEXT($L129,"0.##")&amp;" h"))))</f>
        <v>✅ OK (8. h)</v>
      </c>
      <c r="N129" s="81">
        <f>IF($C129="","",IF($G129=0,3,IF(ABS($L129)&lt;=Config!$C$10,0,IF($L129&lt;0,2,1))))</f>
        <v>0</v>
      </c>
      <c r="O129" s="81" t="str">
        <f>IF($C129="","",IF($N129&gt;0,COUNTIFS($N$4:$N129,"&gt;0"),""))</f>
        <v/>
      </c>
    </row>
    <row r="130" spans="2:15" x14ac:dyDescent="0.25">
      <c r="B130" s="81">
        <f t="shared" si="2"/>
        <v>26</v>
      </c>
      <c r="C130" s="82" t="str">
        <f>IF(INT((ROW()-4)/5)+1&gt;Config!$C$14,"",INDEX(BPOworkers!$B$6:$B$105,INT((ROW()-4)/5)+1))</f>
        <v>M Fernandez</v>
      </c>
      <c r="D130" s="82" t="str">
        <f>IF($C130="","",IFERROR(INDEX(BPOworkers!$E$6:$E$105,MATCH($C130,BPOworkers!$B$6:$B$105,0)),""))</f>
        <v>H Daza</v>
      </c>
      <c r="E130" s="83">
        <f>IF($C130="","",Config!$C$7+MOD(ROW()-4,5))</f>
        <v>46266</v>
      </c>
      <c r="F130" s="82" t="str">
        <f>IF($C130="","",INDEX(Config!$F$7:$F$11,MOD(ROW()-4,5)+1))</f>
        <v>Tuesday</v>
      </c>
      <c r="G130" s="81">
        <f>IF($C130="","",COUNTIFS(RawBtabs!$A$2:$A$1500,$C130,RawBtabs!$C$2:$C$1500,$E130))</f>
        <v>5</v>
      </c>
      <c r="H130" s="84">
        <f>IF($C130="","",SUMIFS(RawBtabs!$T$2:$T$1500,RawBtabs!$A$2:$A$1500,$C130,RawBtabs!$C$2:$C$1500,$E130))</f>
        <v>8</v>
      </c>
      <c r="I130" s="84">
        <f>IF($C130="","",SUMIFS(RawBtabs!$U$2:$U$1500,RawBtabs!$A$2:$A$1500,$C130,RawBtabs!$C$2:$C$1500,$E130))</f>
        <v>0</v>
      </c>
      <c r="J130" s="84">
        <f t="shared" si="3"/>
        <v>8</v>
      </c>
      <c r="K130" s="85">
        <f>IF($C130="","",$J130/Config!$C$9)</f>
        <v>1</v>
      </c>
      <c r="L130" s="84">
        <f>IF($C130="","",$J130-Config!$C$9)</f>
        <v>0</v>
      </c>
      <c r="M130" s="82" t="str">
        <f>IF($C130="","",IF($G130=0,"⛔ NO ENTRY IN BTABS",IF(ABS($L130)&lt;=Config!$C$10,"✅ OK ("&amp;TEXT($J130,"0.##")&amp;" h)",IF($L130&lt;0,"🔻 MISSING "&amp;TEXT(-$L130,"0.##")&amp;" h","🔺 OVER BY "&amp;TEXT($L130,"0.##")&amp;" h"))))</f>
        <v>✅ OK (8. h)</v>
      </c>
      <c r="N130" s="81">
        <f>IF($C130="","",IF($G130=0,3,IF(ABS($L130)&lt;=Config!$C$10,0,IF($L130&lt;0,2,1))))</f>
        <v>0</v>
      </c>
      <c r="O130" s="81" t="str">
        <f>IF($C130="","",IF($N130&gt;0,COUNTIFS($N$4:$N130,"&gt;0"),""))</f>
        <v/>
      </c>
    </row>
    <row r="131" spans="2:15" x14ac:dyDescent="0.25">
      <c r="B131" s="81">
        <f t="shared" si="2"/>
        <v>26</v>
      </c>
      <c r="C131" s="82" t="str">
        <f>IF(INT((ROW()-4)/5)+1&gt;Config!$C$14,"",INDEX(BPOworkers!$B$6:$B$105,INT((ROW()-4)/5)+1))</f>
        <v>M Fernandez</v>
      </c>
      <c r="D131" s="82" t="str">
        <f>IF($C131="","",IFERROR(INDEX(BPOworkers!$E$6:$E$105,MATCH($C131,BPOworkers!$B$6:$B$105,0)),""))</f>
        <v>H Daza</v>
      </c>
      <c r="E131" s="83">
        <f>IF($C131="","",Config!$C$7+MOD(ROW()-4,5))</f>
        <v>46267</v>
      </c>
      <c r="F131" s="82" t="str">
        <f>IF($C131="","",INDEX(Config!$F$7:$F$11,MOD(ROW()-4,5)+1))</f>
        <v>Wednesday</v>
      </c>
      <c r="G131" s="81">
        <f>IF($C131="","",COUNTIFS(RawBtabs!$A$2:$A$1500,$C131,RawBtabs!$C$2:$C$1500,$E131))</f>
        <v>1</v>
      </c>
      <c r="H131" s="84">
        <f>IF($C131="","",SUMIFS(RawBtabs!$T$2:$T$1500,RawBtabs!$A$2:$A$1500,$C131,RawBtabs!$C$2:$C$1500,$E131))</f>
        <v>8</v>
      </c>
      <c r="I131" s="84">
        <f>IF($C131="","",SUMIFS(RawBtabs!$U$2:$U$1500,RawBtabs!$A$2:$A$1500,$C131,RawBtabs!$C$2:$C$1500,$E131))</f>
        <v>0</v>
      </c>
      <c r="J131" s="84">
        <f t="shared" si="3"/>
        <v>8</v>
      </c>
      <c r="K131" s="85">
        <f>IF($C131="","",$J131/Config!$C$9)</f>
        <v>1</v>
      </c>
      <c r="L131" s="84">
        <f>IF($C131="","",$J131-Config!$C$9)</f>
        <v>0</v>
      </c>
      <c r="M131" s="82" t="str">
        <f>IF($C131="","",IF($G131=0,"⛔ NO ENTRY IN BTABS",IF(ABS($L131)&lt;=Config!$C$10,"✅ OK ("&amp;TEXT($J131,"0.##")&amp;" h)",IF($L131&lt;0,"🔻 MISSING "&amp;TEXT(-$L131,"0.##")&amp;" h","🔺 OVER BY "&amp;TEXT($L131,"0.##")&amp;" h"))))</f>
        <v>✅ OK (8. h)</v>
      </c>
      <c r="N131" s="81">
        <f>IF($C131="","",IF($G131=0,3,IF(ABS($L131)&lt;=Config!$C$10,0,IF($L131&lt;0,2,1))))</f>
        <v>0</v>
      </c>
      <c r="O131" s="81" t="str">
        <f>IF($C131="","",IF($N131&gt;0,COUNTIFS($N$4:$N131,"&gt;0"),""))</f>
        <v/>
      </c>
    </row>
    <row r="132" spans="2:15" x14ac:dyDescent="0.25">
      <c r="B132" s="81">
        <f t="shared" ref="B132:B195" si="4">IF($C132="","",INT((ROW()-4)/5)+1)</f>
        <v>26</v>
      </c>
      <c r="C132" s="82" t="str">
        <f>IF(INT((ROW()-4)/5)+1&gt;Config!$C$14,"",INDEX(BPOworkers!$B$6:$B$105,INT((ROW()-4)/5)+1))</f>
        <v>M Fernandez</v>
      </c>
      <c r="D132" s="82" t="str">
        <f>IF($C132="","",IFERROR(INDEX(BPOworkers!$E$6:$E$105,MATCH($C132,BPOworkers!$B$6:$B$105,0)),""))</f>
        <v>H Daza</v>
      </c>
      <c r="E132" s="83">
        <f>IF($C132="","",Config!$C$7+MOD(ROW()-4,5))</f>
        <v>46268</v>
      </c>
      <c r="F132" s="82" t="str">
        <f>IF($C132="","",INDEX(Config!$F$7:$F$11,MOD(ROW()-4,5)+1))</f>
        <v>Thursday</v>
      </c>
      <c r="G132" s="81">
        <f>IF($C132="","",COUNTIFS(RawBtabs!$A$2:$A$1500,$C132,RawBtabs!$C$2:$C$1500,$E132))</f>
        <v>1</v>
      </c>
      <c r="H132" s="84">
        <f>IF($C132="","",SUMIFS(RawBtabs!$T$2:$T$1500,RawBtabs!$A$2:$A$1500,$C132,RawBtabs!$C$2:$C$1500,$E132))</f>
        <v>8</v>
      </c>
      <c r="I132" s="84">
        <f>IF($C132="","",SUMIFS(RawBtabs!$U$2:$U$1500,RawBtabs!$A$2:$A$1500,$C132,RawBtabs!$C$2:$C$1500,$E132))</f>
        <v>0</v>
      </c>
      <c r="J132" s="84">
        <f t="shared" ref="J132:J195" si="5">IF($C132="","",$H132+$I132)</f>
        <v>8</v>
      </c>
      <c r="K132" s="85">
        <f>IF($C132="","",$J132/Config!$C$9)</f>
        <v>1</v>
      </c>
      <c r="L132" s="84">
        <f>IF($C132="","",$J132-Config!$C$9)</f>
        <v>0</v>
      </c>
      <c r="M132" s="82" t="str">
        <f>IF($C132="","",IF($G132=0,"⛔ NO ENTRY IN BTABS",IF(ABS($L132)&lt;=Config!$C$10,"✅ OK ("&amp;TEXT($J132,"0.##")&amp;" h)",IF($L132&lt;0,"🔻 MISSING "&amp;TEXT(-$L132,"0.##")&amp;" h","🔺 OVER BY "&amp;TEXT($L132,"0.##")&amp;" h"))))</f>
        <v>✅ OK (8. h)</v>
      </c>
      <c r="N132" s="81">
        <f>IF($C132="","",IF($G132=0,3,IF(ABS($L132)&lt;=Config!$C$10,0,IF($L132&lt;0,2,1))))</f>
        <v>0</v>
      </c>
      <c r="O132" s="81" t="str">
        <f>IF($C132="","",IF($N132&gt;0,COUNTIFS($N$4:$N132,"&gt;0"),""))</f>
        <v/>
      </c>
    </row>
    <row r="133" spans="2:15" x14ac:dyDescent="0.25">
      <c r="B133" s="81">
        <f t="shared" si="4"/>
        <v>26</v>
      </c>
      <c r="C133" s="82" t="str">
        <f>IF(INT((ROW()-4)/5)+1&gt;Config!$C$14,"",INDEX(BPOworkers!$B$6:$B$105,INT((ROW()-4)/5)+1))</f>
        <v>M Fernandez</v>
      </c>
      <c r="D133" s="82" t="str">
        <f>IF($C133="","",IFERROR(INDEX(BPOworkers!$E$6:$E$105,MATCH($C133,BPOworkers!$B$6:$B$105,0)),""))</f>
        <v>H Daza</v>
      </c>
      <c r="E133" s="83">
        <f>IF($C133="","",Config!$C$7+MOD(ROW()-4,5))</f>
        <v>46269</v>
      </c>
      <c r="F133" s="82" t="str">
        <f>IF($C133="","",INDEX(Config!$F$7:$F$11,MOD(ROW()-4,5)+1))</f>
        <v>Friday</v>
      </c>
      <c r="G133" s="81">
        <f>IF($C133="","",COUNTIFS(RawBtabs!$A$2:$A$1500,$C133,RawBtabs!$C$2:$C$1500,$E133))</f>
        <v>1</v>
      </c>
      <c r="H133" s="84">
        <f>IF($C133="","",SUMIFS(RawBtabs!$T$2:$T$1500,RawBtabs!$A$2:$A$1500,$C133,RawBtabs!$C$2:$C$1500,$E133))</f>
        <v>8</v>
      </c>
      <c r="I133" s="84">
        <f>IF($C133="","",SUMIFS(RawBtabs!$U$2:$U$1500,RawBtabs!$A$2:$A$1500,$C133,RawBtabs!$C$2:$C$1500,$E133))</f>
        <v>0</v>
      </c>
      <c r="J133" s="84">
        <f t="shared" si="5"/>
        <v>8</v>
      </c>
      <c r="K133" s="85">
        <f>IF($C133="","",$J133/Config!$C$9)</f>
        <v>1</v>
      </c>
      <c r="L133" s="84">
        <f>IF($C133="","",$J133-Config!$C$9)</f>
        <v>0</v>
      </c>
      <c r="M133" s="82" t="str">
        <f>IF($C133="","",IF($G133=0,"⛔ NO ENTRY IN BTABS",IF(ABS($L133)&lt;=Config!$C$10,"✅ OK ("&amp;TEXT($J133,"0.##")&amp;" h)",IF($L133&lt;0,"🔻 MISSING "&amp;TEXT(-$L133,"0.##")&amp;" h","🔺 OVER BY "&amp;TEXT($L133,"0.##")&amp;" h"))))</f>
        <v>✅ OK (8. h)</v>
      </c>
      <c r="N133" s="81">
        <f>IF($C133="","",IF($G133=0,3,IF(ABS($L133)&lt;=Config!$C$10,0,IF($L133&lt;0,2,1))))</f>
        <v>0</v>
      </c>
      <c r="O133" s="81" t="str">
        <f>IF($C133="","",IF($N133&gt;0,COUNTIFS($N$4:$N133,"&gt;0"),""))</f>
        <v/>
      </c>
    </row>
    <row r="134" spans="2:15" x14ac:dyDescent="0.25">
      <c r="B134" s="81">
        <f t="shared" si="4"/>
        <v>27</v>
      </c>
      <c r="C134" s="82" t="str">
        <f>IF(INT((ROW()-4)/5)+1&gt;Config!$C$14,"",INDEX(BPOworkers!$B$6:$B$105,INT((ROW()-4)/5)+1))</f>
        <v>F Montañez</v>
      </c>
      <c r="D134" s="82" t="str">
        <f>IF($C134="","",IFERROR(INDEX(BPOworkers!$E$6:$E$105,MATCH($C134,BPOworkers!$B$6:$B$105,0)),""))</f>
        <v>H Daza</v>
      </c>
      <c r="E134" s="83">
        <f>IF($C134="","",Config!$C$7+MOD(ROW()-4,5))</f>
        <v>46265</v>
      </c>
      <c r="F134" s="82" t="str">
        <f>IF($C134="","",INDEX(Config!$F$7:$F$11,MOD(ROW()-4,5)+1))</f>
        <v>Monday</v>
      </c>
      <c r="G134" s="81">
        <f>IF($C134="","",COUNTIFS(RawBtabs!$A$2:$A$1500,$C134,RawBtabs!$C$2:$C$1500,$E134))</f>
        <v>2</v>
      </c>
      <c r="H134" s="84">
        <f>IF($C134="","",SUMIFS(RawBtabs!$T$2:$T$1500,RawBtabs!$A$2:$A$1500,$C134,RawBtabs!$C$2:$C$1500,$E134))</f>
        <v>16</v>
      </c>
      <c r="I134" s="84">
        <f>IF($C134="","",SUMIFS(RawBtabs!$U$2:$U$1500,RawBtabs!$A$2:$A$1500,$C134,RawBtabs!$C$2:$C$1500,$E134))</f>
        <v>0</v>
      </c>
      <c r="J134" s="84">
        <f t="shared" si="5"/>
        <v>16</v>
      </c>
      <c r="K134" s="85">
        <f>IF($C134="","",$J134/Config!$C$9)</f>
        <v>2</v>
      </c>
      <c r="L134" s="84">
        <f>IF($C134="","",$J134-Config!$C$9)</f>
        <v>8</v>
      </c>
      <c r="M134" s="82" t="str">
        <f>IF($C134="","",IF($G134=0,"⛔ NO ENTRY IN BTABS",IF(ABS($L134)&lt;=Config!$C$10,"✅ OK ("&amp;TEXT($J134,"0.##")&amp;" h)",IF($L134&lt;0,"🔻 MISSING "&amp;TEXT(-$L134,"0.##")&amp;" h","🔺 OVER BY "&amp;TEXT($L134,"0.##")&amp;" h"))))</f>
        <v>🔺 OVER BY 8. h</v>
      </c>
      <c r="N134" s="81">
        <f>IF($C134="","",IF($G134=0,3,IF(ABS($L134)&lt;=Config!$C$10,0,IF($L134&lt;0,2,1))))</f>
        <v>1</v>
      </c>
      <c r="O134" s="81">
        <f>IF($C134="","",IF($N134&gt;0,COUNTIFS($N$4:$N134,"&gt;0"),""))</f>
        <v>3</v>
      </c>
    </row>
    <row r="135" spans="2:15" x14ac:dyDescent="0.25">
      <c r="B135" s="81">
        <f t="shared" si="4"/>
        <v>27</v>
      </c>
      <c r="C135" s="82" t="str">
        <f>IF(INT((ROW()-4)/5)+1&gt;Config!$C$14,"",INDEX(BPOworkers!$B$6:$B$105,INT((ROW()-4)/5)+1))</f>
        <v>F Montañez</v>
      </c>
      <c r="D135" s="82" t="str">
        <f>IF($C135="","",IFERROR(INDEX(BPOworkers!$E$6:$E$105,MATCH($C135,BPOworkers!$B$6:$B$105,0)),""))</f>
        <v>H Daza</v>
      </c>
      <c r="E135" s="83">
        <f>IF($C135="","",Config!$C$7+MOD(ROW()-4,5))</f>
        <v>46266</v>
      </c>
      <c r="F135" s="82" t="str">
        <f>IF($C135="","",INDEX(Config!$F$7:$F$11,MOD(ROW()-4,5)+1))</f>
        <v>Tuesday</v>
      </c>
      <c r="G135" s="81">
        <f>IF($C135="","",COUNTIFS(RawBtabs!$A$2:$A$1500,$C135,RawBtabs!$C$2:$C$1500,$E135))</f>
        <v>5</v>
      </c>
      <c r="H135" s="84">
        <f>IF($C135="","",SUMIFS(RawBtabs!$T$2:$T$1500,RawBtabs!$A$2:$A$1500,$C135,RawBtabs!$C$2:$C$1500,$E135))</f>
        <v>8</v>
      </c>
      <c r="I135" s="84">
        <f>IF($C135="","",SUMIFS(RawBtabs!$U$2:$U$1500,RawBtabs!$A$2:$A$1500,$C135,RawBtabs!$C$2:$C$1500,$E135))</f>
        <v>0</v>
      </c>
      <c r="J135" s="84">
        <f t="shared" si="5"/>
        <v>8</v>
      </c>
      <c r="K135" s="85">
        <f>IF($C135="","",$J135/Config!$C$9)</f>
        <v>1</v>
      </c>
      <c r="L135" s="84">
        <f>IF($C135="","",$J135-Config!$C$9)</f>
        <v>0</v>
      </c>
      <c r="M135" s="82" t="str">
        <f>IF($C135="","",IF($G135=0,"⛔ NO ENTRY IN BTABS",IF(ABS($L135)&lt;=Config!$C$10,"✅ OK ("&amp;TEXT($J135,"0.##")&amp;" h)",IF($L135&lt;0,"🔻 MISSING "&amp;TEXT(-$L135,"0.##")&amp;" h","🔺 OVER BY "&amp;TEXT($L135,"0.##")&amp;" h"))))</f>
        <v>✅ OK (8. h)</v>
      </c>
      <c r="N135" s="81">
        <f>IF($C135="","",IF($G135=0,3,IF(ABS($L135)&lt;=Config!$C$10,0,IF($L135&lt;0,2,1))))</f>
        <v>0</v>
      </c>
      <c r="O135" s="81" t="str">
        <f>IF($C135="","",IF($N135&gt;0,COUNTIFS($N$4:$N135,"&gt;0"),""))</f>
        <v/>
      </c>
    </row>
    <row r="136" spans="2:15" x14ac:dyDescent="0.25">
      <c r="B136" s="81">
        <f t="shared" si="4"/>
        <v>27</v>
      </c>
      <c r="C136" s="82" t="str">
        <f>IF(INT((ROW()-4)/5)+1&gt;Config!$C$14,"",INDEX(BPOworkers!$B$6:$B$105,INT((ROW()-4)/5)+1))</f>
        <v>F Montañez</v>
      </c>
      <c r="D136" s="82" t="str">
        <f>IF($C136="","",IFERROR(INDEX(BPOworkers!$E$6:$E$105,MATCH($C136,BPOworkers!$B$6:$B$105,0)),""))</f>
        <v>H Daza</v>
      </c>
      <c r="E136" s="83">
        <f>IF($C136="","",Config!$C$7+MOD(ROW()-4,5))</f>
        <v>46267</v>
      </c>
      <c r="F136" s="82" t="str">
        <f>IF($C136="","",INDEX(Config!$F$7:$F$11,MOD(ROW()-4,5)+1))</f>
        <v>Wednesday</v>
      </c>
      <c r="G136" s="81">
        <f>IF($C136="","",COUNTIFS(RawBtabs!$A$2:$A$1500,$C136,RawBtabs!$C$2:$C$1500,$E136))</f>
        <v>1</v>
      </c>
      <c r="H136" s="84">
        <f>IF($C136="","",SUMIFS(RawBtabs!$T$2:$T$1500,RawBtabs!$A$2:$A$1500,$C136,RawBtabs!$C$2:$C$1500,$E136))</f>
        <v>8</v>
      </c>
      <c r="I136" s="84">
        <f>IF($C136="","",SUMIFS(RawBtabs!$U$2:$U$1500,RawBtabs!$A$2:$A$1500,$C136,RawBtabs!$C$2:$C$1500,$E136))</f>
        <v>0</v>
      </c>
      <c r="J136" s="84">
        <f t="shared" si="5"/>
        <v>8</v>
      </c>
      <c r="K136" s="85">
        <f>IF($C136="","",$J136/Config!$C$9)</f>
        <v>1</v>
      </c>
      <c r="L136" s="84">
        <f>IF($C136="","",$J136-Config!$C$9)</f>
        <v>0</v>
      </c>
      <c r="M136" s="82" t="str">
        <f>IF($C136="","",IF($G136=0,"⛔ NO ENTRY IN BTABS",IF(ABS($L136)&lt;=Config!$C$10,"✅ OK ("&amp;TEXT($J136,"0.##")&amp;" h)",IF($L136&lt;0,"🔻 MISSING "&amp;TEXT(-$L136,"0.##")&amp;" h","🔺 OVER BY "&amp;TEXT($L136,"0.##")&amp;" h"))))</f>
        <v>✅ OK (8. h)</v>
      </c>
      <c r="N136" s="81">
        <f>IF($C136="","",IF($G136=0,3,IF(ABS($L136)&lt;=Config!$C$10,0,IF($L136&lt;0,2,1))))</f>
        <v>0</v>
      </c>
      <c r="O136" s="81" t="str">
        <f>IF($C136="","",IF($N136&gt;0,COUNTIFS($N$4:$N136,"&gt;0"),""))</f>
        <v/>
      </c>
    </row>
    <row r="137" spans="2:15" x14ac:dyDescent="0.25">
      <c r="B137" s="81">
        <f t="shared" si="4"/>
        <v>27</v>
      </c>
      <c r="C137" s="82" t="str">
        <f>IF(INT((ROW()-4)/5)+1&gt;Config!$C$14,"",INDEX(BPOworkers!$B$6:$B$105,INT((ROW()-4)/5)+1))</f>
        <v>F Montañez</v>
      </c>
      <c r="D137" s="82" t="str">
        <f>IF($C137="","",IFERROR(INDEX(BPOworkers!$E$6:$E$105,MATCH($C137,BPOworkers!$B$6:$B$105,0)),""))</f>
        <v>H Daza</v>
      </c>
      <c r="E137" s="83">
        <f>IF($C137="","",Config!$C$7+MOD(ROW()-4,5))</f>
        <v>46268</v>
      </c>
      <c r="F137" s="82" t="str">
        <f>IF($C137="","",INDEX(Config!$F$7:$F$11,MOD(ROW()-4,5)+1))</f>
        <v>Thursday</v>
      </c>
      <c r="G137" s="81">
        <f>IF($C137="","",COUNTIFS(RawBtabs!$A$2:$A$1500,$C137,RawBtabs!$C$2:$C$1500,$E137))</f>
        <v>1</v>
      </c>
      <c r="H137" s="84">
        <f>IF($C137="","",SUMIFS(RawBtabs!$T$2:$T$1500,RawBtabs!$A$2:$A$1500,$C137,RawBtabs!$C$2:$C$1500,$E137))</f>
        <v>8</v>
      </c>
      <c r="I137" s="84">
        <f>IF($C137="","",SUMIFS(RawBtabs!$U$2:$U$1500,RawBtabs!$A$2:$A$1500,$C137,RawBtabs!$C$2:$C$1500,$E137))</f>
        <v>0</v>
      </c>
      <c r="J137" s="84">
        <f t="shared" si="5"/>
        <v>8</v>
      </c>
      <c r="K137" s="85">
        <f>IF($C137="","",$J137/Config!$C$9)</f>
        <v>1</v>
      </c>
      <c r="L137" s="84">
        <f>IF($C137="","",$J137-Config!$C$9)</f>
        <v>0</v>
      </c>
      <c r="M137" s="82" t="str">
        <f>IF($C137="","",IF($G137=0,"⛔ NO ENTRY IN BTABS",IF(ABS($L137)&lt;=Config!$C$10,"✅ OK ("&amp;TEXT($J137,"0.##")&amp;" h)",IF($L137&lt;0,"🔻 MISSING "&amp;TEXT(-$L137,"0.##")&amp;" h","🔺 OVER BY "&amp;TEXT($L137,"0.##")&amp;" h"))))</f>
        <v>✅ OK (8. h)</v>
      </c>
      <c r="N137" s="81">
        <f>IF($C137="","",IF($G137=0,3,IF(ABS($L137)&lt;=Config!$C$10,0,IF($L137&lt;0,2,1))))</f>
        <v>0</v>
      </c>
      <c r="O137" s="81" t="str">
        <f>IF($C137="","",IF($N137&gt;0,COUNTIFS($N$4:$N137,"&gt;0"),""))</f>
        <v/>
      </c>
    </row>
    <row r="138" spans="2:15" x14ac:dyDescent="0.25">
      <c r="B138" s="81">
        <f t="shared" si="4"/>
        <v>27</v>
      </c>
      <c r="C138" s="82" t="str">
        <f>IF(INT((ROW()-4)/5)+1&gt;Config!$C$14,"",INDEX(BPOworkers!$B$6:$B$105,INT((ROW()-4)/5)+1))</f>
        <v>F Montañez</v>
      </c>
      <c r="D138" s="82" t="str">
        <f>IF($C138="","",IFERROR(INDEX(BPOworkers!$E$6:$E$105,MATCH($C138,BPOworkers!$B$6:$B$105,0)),""))</f>
        <v>H Daza</v>
      </c>
      <c r="E138" s="83">
        <f>IF($C138="","",Config!$C$7+MOD(ROW()-4,5))</f>
        <v>46269</v>
      </c>
      <c r="F138" s="82" t="str">
        <f>IF($C138="","",INDEX(Config!$F$7:$F$11,MOD(ROW()-4,5)+1))</f>
        <v>Friday</v>
      </c>
      <c r="G138" s="81">
        <f>IF($C138="","",COUNTIFS(RawBtabs!$A$2:$A$1500,$C138,RawBtabs!$C$2:$C$1500,$E138))</f>
        <v>1</v>
      </c>
      <c r="H138" s="84">
        <f>IF($C138="","",SUMIFS(RawBtabs!$T$2:$T$1500,RawBtabs!$A$2:$A$1500,$C138,RawBtabs!$C$2:$C$1500,$E138))</f>
        <v>8</v>
      </c>
      <c r="I138" s="84">
        <f>IF($C138="","",SUMIFS(RawBtabs!$U$2:$U$1500,RawBtabs!$A$2:$A$1500,$C138,RawBtabs!$C$2:$C$1500,$E138))</f>
        <v>0</v>
      </c>
      <c r="J138" s="84">
        <f t="shared" si="5"/>
        <v>8</v>
      </c>
      <c r="K138" s="85">
        <f>IF($C138="","",$J138/Config!$C$9)</f>
        <v>1</v>
      </c>
      <c r="L138" s="84">
        <f>IF($C138="","",$J138-Config!$C$9)</f>
        <v>0</v>
      </c>
      <c r="M138" s="82" t="str">
        <f>IF($C138="","",IF($G138=0,"⛔ NO ENTRY IN BTABS",IF(ABS($L138)&lt;=Config!$C$10,"✅ OK ("&amp;TEXT($J138,"0.##")&amp;" h)",IF($L138&lt;0,"🔻 MISSING "&amp;TEXT(-$L138,"0.##")&amp;" h","🔺 OVER BY "&amp;TEXT($L138,"0.##")&amp;" h"))))</f>
        <v>✅ OK (8. h)</v>
      </c>
      <c r="N138" s="81">
        <f>IF($C138="","",IF($G138=0,3,IF(ABS($L138)&lt;=Config!$C$10,0,IF($L138&lt;0,2,1))))</f>
        <v>0</v>
      </c>
      <c r="O138" s="81" t="str">
        <f>IF($C138="","",IF($N138&gt;0,COUNTIFS($N$4:$N138,"&gt;0"),""))</f>
        <v/>
      </c>
    </row>
    <row r="139" spans="2:15" x14ac:dyDescent="0.25">
      <c r="B139" s="81">
        <f t="shared" si="4"/>
        <v>28</v>
      </c>
      <c r="C139" s="82" t="str">
        <f>IF(INT((ROW()-4)/5)+1&gt;Config!$C$14,"",INDEX(BPOworkers!$B$6:$B$105,INT((ROW()-4)/5)+1))</f>
        <v>J Ramos</v>
      </c>
      <c r="D139" s="82" t="str">
        <f>IF($C139="","",IFERROR(INDEX(BPOworkers!$E$6:$E$105,MATCH($C139,BPOworkers!$B$6:$B$105,0)),""))</f>
        <v>R Sanchez</v>
      </c>
      <c r="E139" s="83">
        <f>IF($C139="","",Config!$C$7+MOD(ROW()-4,5))</f>
        <v>46265</v>
      </c>
      <c r="F139" s="82" t="str">
        <f>IF($C139="","",INDEX(Config!$F$7:$F$11,MOD(ROW()-4,5)+1))</f>
        <v>Monday</v>
      </c>
      <c r="G139" s="81">
        <f>IF($C139="","",COUNTIFS(RawBtabs!$A$2:$A$1500,$C139,RawBtabs!$C$2:$C$1500,$E139))</f>
        <v>1</v>
      </c>
      <c r="H139" s="84">
        <f>IF($C139="","",SUMIFS(RawBtabs!$T$2:$T$1500,RawBtabs!$A$2:$A$1500,$C139,RawBtabs!$C$2:$C$1500,$E139))</f>
        <v>8</v>
      </c>
      <c r="I139" s="84">
        <f>IF($C139="","",SUMIFS(RawBtabs!$U$2:$U$1500,RawBtabs!$A$2:$A$1500,$C139,RawBtabs!$C$2:$C$1500,$E139))</f>
        <v>0</v>
      </c>
      <c r="J139" s="84">
        <f t="shared" si="5"/>
        <v>8</v>
      </c>
      <c r="K139" s="85">
        <f>IF($C139="","",$J139/Config!$C$9)</f>
        <v>1</v>
      </c>
      <c r="L139" s="84">
        <f>IF($C139="","",$J139-Config!$C$9)</f>
        <v>0</v>
      </c>
      <c r="M139" s="82" t="str">
        <f>IF($C139="","",IF($G139=0,"⛔ NO ENTRY IN BTABS",IF(ABS($L139)&lt;=Config!$C$10,"✅ OK ("&amp;TEXT($J139,"0.##")&amp;" h)",IF($L139&lt;0,"🔻 MISSING "&amp;TEXT(-$L139,"0.##")&amp;" h","🔺 OVER BY "&amp;TEXT($L139,"0.##")&amp;" h"))))</f>
        <v>✅ OK (8. h)</v>
      </c>
      <c r="N139" s="81">
        <f>IF($C139="","",IF($G139=0,3,IF(ABS($L139)&lt;=Config!$C$10,0,IF($L139&lt;0,2,1))))</f>
        <v>0</v>
      </c>
      <c r="O139" s="81" t="str">
        <f>IF($C139="","",IF($N139&gt;0,COUNTIFS($N$4:$N139,"&gt;0"),""))</f>
        <v/>
      </c>
    </row>
    <row r="140" spans="2:15" x14ac:dyDescent="0.25">
      <c r="B140" s="81">
        <f t="shared" si="4"/>
        <v>28</v>
      </c>
      <c r="C140" s="82" t="str">
        <f>IF(INT((ROW()-4)/5)+1&gt;Config!$C$14,"",INDEX(BPOworkers!$B$6:$B$105,INT((ROW()-4)/5)+1))</f>
        <v>J Ramos</v>
      </c>
      <c r="D140" s="82" t="str">
        <f>IF($C140="","",IFERROR(INDEX(BPOworkers!$E$6:$E$105,MATCH($C140,BPOworkers!$B$6:$B$105,0)),""))</f>
        <v>R Sanchez</v>
      </c>
      <c r="E140" s="83">
        <f>IF($C140="","",Config!$C$7+MOD(ROW()-4,5))</f>
        <v>46266</v>
      </c>
      <c r="F140" s="82" t="str">
        <f>IF($C140="","",INDEX(Config!$F$7:$F$11,MOD(ROW()-4,5)+1))</f>
        <v>Tuesday</v>
      </c>
      <c r="G140" s="81">
        <f>IF($C140="","",COUNTIFS(RawBtabs!$A$2:$A$1500,$C140,RawBtabs!$C$2:$C$1500,$E140))</f>
        <v>1</v>
      </c>
      <c r="H140" s="84">
        <f>IF($C140="","",SUMIFS(RawBtabs!$T$2:$T$1500,RawBtabs!$A$2:$A$1500,$C140,RawBtabs!$C$2:$C$1500,$E140))</f>
        <v>8</v>
      </c>
      <c r="I140" s="84">
        <f>IF($C140="","",SUMIFS(RawBtabs!$U$2:$U$1500,RawBtabs!$A$2:$A$1500,$C140,RawBtabs!$C$2:$C$1500,$E140))</f>
        <v>0</v>
      </c>
      <c r="J140" s="84">
        <f t="shared" si="5"/>
        <v>8</v>
      </c>
      <c r="K140" s="85">
        <f>IF($C140="","",$J140/Config!$C$9)</f>
        <v>1</v>
      </c>
      <c r="L140" s="84">
        <f>IF($C140="","",$J140-Config!$C$9)</f>
        <v>0</v>
      </c>
      <c r="M140" s="82" t="str">
        <f>IF($C140="","",IF($G140=0,"⛔ NO ENTRY IN BTABS",IF(ABS($L140)&lt;=Config!$C$10,"✅ OK ("&amp;TEXT($J140,"0.##")&amp;" h)",IF($L140&lt;0,"🔻 MISSING "&amp;TEXT(-$L140,"0.##")&amp;" h","🔺 OVER BY "&amp;TEXT($L140,"0.##")&amp;" h"))))</f>
        <v>✅ OK (8. h)</v>
      </c>
      <c r="N140" s="81">
        <f>IF($C140="","",IF($G140=0,3,IF(ABS($L140)&lt;=Config!$C$10,0,IF($L140&lt;0,2,1))))</f>
        <v>0</v>
      </c>
      <c r="O140" s="81" t="str">
        <f>IF($C140="","",IF($N140&gt;0,COUNTIFS($N$4:$N140,"&gt;0"),""))</f>
        <v/>
      </c>
    </row>
    <row r="141" spans="2:15" x14ac:dyDescent="0.25">
      <c r="B141" s="81">
        <f t="shared" si="4"/>
        <v>28</v>
      </c>
      <c r="C141" s="82" t="str">
        <f>IF(INT((ROW()-4)/5)+1&gt;Config!$C$14,"",INDEX(BPOworkers!$B$6:$B$105,INT((ROW()-4)/5)+1))</f>
        <v>J Ramos</v>
      </c>
      <c r="D141" s="82" t="str">
        <f>IF($C141="","",IFERROR(INDEX(BPOworkers!$E$6:$E$105,MATCH($C141,BPOworkers!$B$6:$B$105,0)),""))</f>
        <v>R Sanchez</v>
      </c>
      <c r="E141" s="83">
        <f>IF($C141="","",Config!$C$7+MOD(ROW()-4,5))</f>
        <v>46267</v>
      </c>
      <c r="F141" s="82" t="str">
        <f>IF($C141="","",INDEX(Config!$F$7:$F$11,MOD(ROW()-4,5)+1))</f>
        <v>Wednesday</v>
      </c>
      <c r="G141" s="81">
        <f>IF($C141="","",COUNTIFS(RawBtabs!$A$2:$A$1500,$C141,RawBtabs!$C$2:$C$1500,$E141))</f>
        <v>2</v>
      </c>
      <c r="H141" s="84">
        <f>IF($C141="","",SUMIFS(RawBtabs!$T$2:$T$1500,RawBtabs!$A$2:$A$1500,$C141,RawBtabs!$C$2:$C$1500,$E141))</f>
        <v>8</v>
      </c>
      <c r="I141" s="84">
        <f>IF($C141="","",SUMIFS(RawBtabs!$U$2:$U$1500,RawBtabs!$A$2:$A$1500,$C141,RawBtabs!$C$2:$C$1500,$E141))</f>
        <v>0</v>
      </c>
      <c r="J141" s="84">
        <f t="shared" si="5"/>
        <v>8</v>
      </c>
      <c r="K141" s="85">
        <f>IF($C141="","",$J141/Config!$C$9)</f>
        <v>1</v>
      </c>
      <c r="L141" s="84">
        <f>IF($C141="","",$J141-Config!$C$9)</f>
        <v>0</v>
      </c>
      <c r="M141" s="82" t="str">
        <f>IF($C141="","",IF($G141=0,"⛔ NO ENTRY IN BTABS",IF(ABS($L141)&lt;=Config!$C$10,"✅ OK ("&amp;TEXT($J141,"0.##")&amp;" h)",IF($L141&lt;0,"🔻 MISSING "&amp;TEXT(-$L141,"0.##")&amp;" h","🔺 OVER BY "&amp;TEXT($L141,"0.##")&amp;" h"))))</f>
        <v>✅ OK (8. h)</v>
      </c>
      <c r="N141" s="81">
        <f>IF($C141="","",IF($G141=0,3,IF(ABS($L141)&lt;=Config!$C$10,0,IF($L141&lt;0,2,1))))</f>
        <v>0</v>
      </c>
      <c r="O141" s="81" t="str">
        <f>IF($C141="","",IF($N141&gt;0,COUNTIFS($N$4:$N141,"&gt;0"),""))</f>
        <v/>
      </c>
    </row>
    <row r="142" spans="2:15" x14ac:dyDescent="0.25">
      <c r="B142" s="81">
        <f t="shared" si="4"/>
        <v>28</v>
      </c>
      <c r="C142" s="82" t="str">
        <f>IF(INT((ROW()-4)/5)+1&gt;Config!$C$14,"",INDEX(BPOworkers!$B$6:$B$105,INT((ROW()-4)/5)+1))</f>
        <v>J Ramos</v>
      </c>
      <c r="D142" s="82" t="str">
        <f>IF($C142="","",IFERROR(INDEX(BPOworkers!$E$6:$E$105,MATCH($C142,BPOworkers!$B$6:$B$105,0)),""))</f>
        <v>R Sanchez</v>
      </c>
      <c r="E142" s="83">
        <f>IF($C142="","",Config!$C$7+MOD(ROW()-4,5))</f>
        <v>46268</v>
      </c>
      <c r="F142" s="82" t="str">
        <f>IF($C142="","",INDEX(Config!$F$7:$F$11,MOD(ROW()-4,5)+1))</f>
        <v>Thursday</v>
      </c>
      <c r="G142" s="81">
        <f>IF($C142="","",COUNTIFS(RawBtabs!$A$2:$A$1500,$C142,RawBtabs!$C$2:$C$1500,$E142))</f>
        <v>1</v>
      </c>
      <c r="H142" s="84">
        <f>IF($C142="","",SUMIFS(RawBtabs!$T$2:$T$1500,RawBtabs!$A$2:$A$1500,$C142,RawBtabs!$C$2:$C$1500,$E142))</f>
        <v>8</v>
      </c>
      <c r="I142" s="84">
        <f>IF($C142="","",SUMIFS(RawBtabs!$U$2:$U$1500,RawBtabs!$A$2:$A$1500,$C142,RawBtabs!$C$2:$C$1500,$E142))</f>
        <v>0</v>
      </c>
      <c r="J142" s="84">
        <f t="shared" si="5"/>
        <v>8</v>
      </c>
      <c r="K142" s="85">
        <f>IF($C142="","",$J142/Config!$C$9)</f>
        <v>1</v>
      </c>
      <c r="L142" s="84">
        <f>IF($C142="","",$J142-Config!$C$9)</f>
        <v>0</v>
      </c>
      <c r="M142" s="82" t="str">
        <f>IF($C142="","",IF($G142=0,"⛔ NO ENTRY IN BTABS",IF(ABS($L142)&lt;=Config!$C$10,"✅ OK ("&amp;TEXT($J142,"0.##")&amp;" h)",IF($L142&lt;0,"🔻 MISSING "&amp;TEXT(-$L142,"0.##")&amp;" h","🔺 OVER BY "&amp;TEXT($L142,"0.##")&amp;" h"))))</f>
        <v>✅ OK (8. h)</v>
      </c>
      <c r="N142" s="81">
        <f>IF($C142="","",IF($G142=0,3,IF(ABS($L142)&lt;=Config!$C$10,0,IF($L142&lt;0,2,1))))</f>
        <v>0</v>
      </c>
      <c r="O142" s="81" t="str">
        <f>IF($C142="","",IF($N142&gt;0,COUNTIFS($N$4:$N142,"&gt;0"),""))</f>
        <v/>
      </c>
    </row>
    <row r="143" spans="2:15" x14ac:dyDescent="0.25">
      <c r="B143" s="81">
        <f t="shared" si="4"/>
        <v>28</v>
      </c>
      <c r="C143" s="82" t="str">
        <f>IF(INT((ROW()-4)/5)+1&gt;Config!$C$14,"",INDEX(BPOworkers!$B$6:$B$105,INT((ROW()-4)/5)+1))</f>
        <v>J Ramos</v>
      </c>
      <c r="D143" s="82" t="str">
        <f>IF($C143="","",IFERROR(INDEX(BPOworkers!$E$6:$E$105,MATCH($C143,BPOworkers!$B$6:$B$105,0)),""))</f>
        <v>R Sanchez</v>
      </c>
      <c r="E143" s="83">
        <f>IF($C143="","",Config!$C$7+MOD(ROW()-4,5))</f>
        <v>46269</v>
      </c>
      <c r="F143" s="82" t="str">
        <f>IF($C143="","",INDEX(Config!$F$7:$F$11,MOD(ROW()-4,5)+1))</f>
        <v>Friday</v>
      </c>
      <c r="G143" s="81">
        <f>IF($C143="","",COUNTIFS(RawBtabs!$A$2:$A$1500,$C143,RawBtabs!$C$2:$C$1500,$E143))</f>
        <v>1</v>
      </c>
      <c r="H143" s="84">
        <f>IF($C143="","",SUMIFS(RawBtabs!$T$2:$T$1500,RawBtabs!$A$2:$A$1500,$C143,RawBtabs!$C$2:$C$1500,$E143))</f>
        <v>8</v>
      </c>
      <c r="I143" s="84">
        <f>IF($C143="","",SUMIFS(RawBtabs!$U$2:$U$1500,RawBtabs!$A$2:$A$1500,$C143,RawBtabs!$C$2:$C$1500,$E143))</f>
        <v>0</v>
      </c>
      <c r="J143" s="84">
        <f t="shared" si="5"/>
        <v>8</v>
      </c>
      <c r="K143" s="85">
        <f>IF($C143="","",$J143/Config!$C$9)</f>
        <v>1</v>
      </c>
      <c r="L143" s="84">
        <f>IF($C143="","",$J143-Config!$C$9)</f>
        <v>0</v>
      </c>
      <c r="M143" s="82" t="str">
        <f>IF($C143="","",IF($G143=0,"⛔ NO ENTRY IN BTABS",IF(ABS($L143)&lt;=Config!$C$10,"✅ OK ("&amp;TEXT($J143,"0.##")&amp;" h)",IF($L143&lt;0,"🔻 MISSING "&amp;TEXT(-$L143,"0.##")&amp;" h","🔺 OVER BY "&amp;TEXT($L143,"0.##")&amp;" h"))))</f>
        <v>✅ OK (8. h)</v>
      </c>
      <c r="N143" s="81">
        <f>IF($C143="","",IF($G143=0,3,IF(ABS($L143)&lt;=Config!$C$10,0,IF($L143&lt;0,2,1))))</f>
        <v>0</v>
      </c>
      <c r="O143" s="81" t="str">
        <f>IF($C143="","",IF($N143&gt;0,COUNTIFS($N$4:$N143,"&gt;0"),""))</f>
        <v/>
      </c>
    </row>
    <row r="144" spans="2:15" x14ac:dyDescent="0.25">
      <c r="B144" s="81">
        <f t="shared" si="4"/>
        <v>29</v>
      </c>
      <c r="C144" s="82" t="str">
        <f>IF(INT((ROW()-4)/5)+1&gt;Config!$C$14,"",INDEX(BPOworkers!$B$6:$B$105,INT((ROW()-4)/5)+1))</f>
        <v>J Macias</v>
      </c>
      <c r="D144" s="82" t="str">
        <f>IF($C144="","",IFERROR(INDEX(BPOworkers!$E$6:$E$105,MATCH($C144,BPOworkers!$B$6:$B$105,0)),""))</f>
        <v>S Romero</v>
      </c>
      <c r="E144" s="83">
        <f>IF($C144="","",Config!$C$7+MOD(ROW()-4,5))</f>
        <v>46265</v>
      </c>
      <c r="F144" s="82" t="str">
        <f>IF($C144="","",INDEX(Config!$F$7:$F$11,MOD(ROW()-4,5)+1))</f>
        <v>Monday</v>
      </c>
      <c r="G144" s="81">
        <f>IF($C144="","",COUNTIFS(RawBtabs!$A$2:$A$1500,$C144,RawBtabs!$C$2:$C$1500,$E144))</f>
        <v>2</v>
      </c>
      <c r="H144" s="84">
        <f>IF($C144="","",SUMIFS(RawBtabs!$T$2:$T$1500,RawBtabs!$A$2:$A$1500,$C144,RawBtabs!$C$2:$C$1500,$E144))</f>
        <v>8</v>
      </c>
      <c r="I144" s="84">
        <f>IF($C144="","",SUMIFS(RawBtabs!$U$2:$U$1500,RawBtabs!$A$2:$A$1500,$C144,RawBtabs!$C$2:$C$1500,$E144))</f>
        <v>0</v>
      </c>
      <c r="J144" s="84">
        <f t="shared" si="5"/>
        <v>8</v>
      </c>
      <c r="K144" s="85">
        <f>IF($C144="","",$J144/Config!$C$9)</f>
        <v>1</v>
      </c>
      <c r="L144" s="84">
        <f>IF($C144="","",$J144-Config!$C$9)</f>
        <v>0</v>
      </c>
      <c r="M144" s="82" t="str">
        <f>IF($C144="","",IF($G144=0,"⛔ NO ENTRY IN BTABS",IF(ABS($L144)&lt;=Config!$C$10,"✅ OK ("&amp;TEXT($J144,"0.##")&amp;" h)",IF($L144&lt;0,"🔻 MISSING "&amp;TEXT(-$L144,"0.##")&amp;" h","🔺 OVER BY "&amp;TEXT($L144,"0.##")&amp;" h"))))</f>
        <v>✅ OK (8. h)</v>
      </c>
      <c r="N144" s="81">
        <f>IF($C144="","",IF($G144=0,3,IF(ABS($L144)&lt;=Config!$C$10,0,IF($L144&lt;0,2,1))))</f>
        <v>0</v>
      </c>
      <c r="O144" s="81" t="str">
        <f>IF($C144="","",IF($N144&gt;0,COUNTIFS($N$4:$N144,"&gt;0"),""))</f>
        <v/>
      </c>
    </row>
    <row r="145" spans="2:15" x14ac:dyDescent="0.25">
      <c r="B145" s="81">
        <f t="shared" si="4"/>
        <v>29</v>
      </c>
      <c r="C145" s="82" t="str">
        <f>IF(INT((ROW()-4)/5)+1&gt;Config!$C$14,"",INDEX(BPOworkers!$B$6:$B$105,INT((ROW()-4)/5)+1))</f>
        <v>J Macias</v>
      </c>
      <c r="D145" s="82" t="str">
        <f>IF($C145="","",IFERROR(INDEX(BPOworkers!$E$6:$E$105,MATCH($C145,BPOworkers!$B$6:$B$105,0)),""))</f>
        <v>S Romero</v>
      </c>
      <c r="E145" s="83">
        <f>IF($C145="","",Config!$C$7+MOD(ROW()-4,5))</f>
        <v>46266</v>
      </c>
      <c r="F145" s="82" t="str">
        <f>IF($C145="","",INDEX(Config!$F$7:$F$11,MOD(ROW()-4,5)+1))</f>
        <v>Tuesday</v>
      </c>
      <c r="G145" s="81">
        <f>IF($C145="","",COUNTIFS(RawBtabs!$A$2:$A$1500,$C145,RawBtabs!$C$2:$C$1500,$E145))</f>
        <v>2</v>
      </c>
      <c r="H145" s="84">
        <f>IF($C145="","",SUMIFS(RawBtabs!$T$2:$T$1500,RawBtabs!$A$2:$A$1500,$C145,RawBtabs!$C$2:$C$1500,$E145))</f>
        <v>8</v>
      </c>
      <c r="I145" s="84">
        <f>IF($C145="","",SUMIFS(RawBtabs!$U$2:$U$1500,RawBtabs!$A$2:$A$1500,$C145,RawBtabs!$C$2:$C$1500,$E145))</f>
        <v>0</v>
      </c>
      <c r="J145" s="84">
        <f t="shared" si="5"/>
        <v>8</v>
      </c>
      <c r="K145" s="85">
        <f>IF($C145="","",$J145/Config!$C$9)</f>
        <v>1</v>
      </c>
      <c r="L145" s="84">
        <f>IF($C145="","",$J145-Config!$C$9)</f>
        <v>0</v>
      </c>
      <c r="M145" s="82" t="str">
        <f>IF($C145="","",IF($G145=0,"⛔ NO ENTRY IN BTABS",IF(ABS($L145)&lt;=Config!$C$10,"✅ OK ("&amp;TEXT($J145,"0.##")&amp;" h)",IF($L145&lt;0,"🔻 MISSING "&amp;TEXT(-$L145,"0.##")&amp;" h","🔺 OVER BY "&amp;TEXT($L145,"0.##")&amp;" h"))))</f>
        <v>✅ OK (8. h)</v>
      </c>
      <c r="N145" s="81">
        <f>IF($C145="","",IF($G145=0,3,IF(ABS($L145)&lt;=Config!$C$10,0,IF($L145&lt;0,2,1))))</f>
        <v>0</v>
      </c>
      <c r="O145" s="81" t="str">
        <f>IF($C145="","",IF($N145&gt;0,COUNTIFS($N$4:$N145,"&gt;0"),""))</f>
        <v/>
      </c>
    </row>
    <row r="146" spans="2:15" x14ac:dyDescent="0.25">
      <c r="B146" s="81">
        <f t="shared" si="4"/>
        <v>29</v>
      </c>
      <c r="C146" s="82" t="str">
        <f>IF(INT((ROW()-4)/5)+1&gt;Config!$C$14,"",INDEX(BPOworkers!$B$6:$B$105,INT((ROW()-4)/5)+1))</f>
        <v>J Macias</v>
      </c>
      <c r="D146" s="82" t="str">
        <f>IF($C146="","",IFERROR(INDEX(BPOworkers!$E$6:$E$105,MATCH($C146,BPOworkers!$B$6:$B$105,0)),""))</f>
        <v>S Romero</v>
      </c>
      <c r="E146" s="83">
        <f>IF($C146="","",Config!$C$7+MOD(ROW()-4,5))</f>
        <v>46267</v>
      </c>
      <c r="F146" s="82" t="str">
        <f>IF($C146="","",INDEX(Config!$F$7:$F$11,MOD(ROW()-4,5)+1))</f>
        <v>Wednesday</v>
      </c>
      <c r="G146" s="81">
        <f>IF($C146="","",COUNTIFS(RawBtabs!$A$2:$A$1500,$C146,RawBtabs!$C$2:$C$1500,$E146))</f>
        <v>2</v>
      </c>
      <c r="H146" s="84">
        <f>IF($C146="","",SUMIFS(RawBtabs!$T$2:$T$1500,RawBtabs!$A$2:$A$1500,$C146,RawBtabs!$C$2:$C$1500,$E146))</f>
        <v>8</v>
      </c>
      <c r="I146" s="84">
        <f>IF($C146="","",SUMIFS(RawBtabs!$U$2:$U$1500,RawBtabs!$A$2:$A$1500,$C146,RawBtabs!$C$2:$C$1500,$E146))</f>
        <v>0</v>
      </c>
      <c r="J146" s="84">
        <f t="shared" si="5"/>
        <v>8</v>
      </c>
      <c r="K146" s="85">
        <f>IF($C146="","",$J146/Config!$C$9)</f>
        <v>1</v>
      </c>
      <c r="L146" s="84">
        <f>IF($C146="","",$J146-Config!$C$9)</f>
        <v>0</v>
      </c>
      <c r="M146" s="82" t="str">
        <f>IF($C146="","",IF($G146=0,"⛔ NO ENTRY IN BTABS",IF(ABS($L146)&lt;=Config!$C$10,"✅ OK ("&amp;TEXT($J146,"0.##")&amp;" h)",IF($L146&lt;0,"🔻 MISSING "&amp;TEXT(-$L146,"0.##")&amp;" h","🔺 OVER BY "&amp;TEXT($L146,"0.##")&amp;" h"))))</f>
        <v>✅ OK (8. h)</v>
      </c>
      <c r="N146" s="81">
        <f>IF($C146="","",IF($G146=0,3,IF(ABS($L146)&lt;=Config!$C$10,0,IF($L146&lt;0,2,1))))</f>
        <v>0</v>
      </c>
      <c r="O146" s="81" t="str">
        <f>IF($C146="","",IF($N146&gt;0,COUNTIFS($N$4:$N146,"&gt;0"),""))</f>
        <v/>
      </c>
    </row>
    <row r="147" spans="2:15" x14ac:dyDescent="0.25">
      <c r="B147" s="81">
        <f t="shared" si="4"/>
        <v>29</v>
      </c>
      <c r="C147" s="82" t="str">
        <f>IF(INT((ROW()-4)/5)+1&gt;Config!$C$14,"",INDEX(BPOworkers!$B$6:$B$105,INT((ROW()-4)/5)+1))</f>
        <v>J Macias</v>
      </c>
      <c r="D147" s="82" t="str">
        <f>IF($C147="","",IFERROR(INDEX(BPOworkers!$E$6:$E$105,MATCH($C147,BPOworkers!$B$6:$B$105,0)),""))</f>
        <v>S Romero</v>
      </c>
      <c r="E147" s="83">
        <f>IF($C147="","",Config!$C$7+MOD(ROW()-4,5))</f>
        <v>46268</v>
      </c>
      <c r="F147" s="82" t="str">
        <f>IF($C147="","",INDEX(Config!$F$7:$F$11,MOD(ROW()-4,5)+1))</f>
        <v>Thursday</v>
      </c>
      <c r="G147" s="81">
        <f>IF($C147="","",COUNTIFS(RawBtabs!$A$2:$A$1500,$C147,RawBtabs!$C$2:$C$1500,$E147))</f>
        <v>1</v>
      </c>
      <c r="H147" s="84">
        <f>IF($C147="","",SUMIFS(RawBtabs!$T$2:$T$1500,RawBtabs!$A$2:$A$1500,$C147,RawBtabs!$C$2:$C$1500,$E147))</f>
        <v>8</v>
      </c>
      <c r="I147" s="84">
        <f>IF($C147="","",SUMIFS(RawBtabs!$U$2:$U$1500,RawBtabs!$A$2:$A$1500,$C147,RawBtabs!$C$2:$C$1500,$E147))</f>
        <v>0</v>
      </c>
      <c r="J147" s="84">
        <f t="shared" si="5"/>
        <v>8</v>
      </c>
      <c r="K147" s="85">
        <f>IF($C147="","",$J147/Config!$C$9)</f>
        <v>1</v>
      </c>
      <c r="L147" s="84">
        <f>IF($C147="","",$J147-Config!$C$9)</f>
        <v>0</v>
      </c>
      <c r="M147" s="82" t="str">
        <f>IF($C147="","",IF($G147=0,"⛔ NO ENTRY IN BTABS",IF(ABS($L147)&lt;=Config!$C$10,"✅ OK ("&amp;TEXT($J147,"0.##")&amp;" h)",IF($L147&lt;0,"🔻 MISSING "&amp;TEXT(-$L147,"0.##")&amp;" h","🔺 OVER BY "&amp;TEXT($L147,"0.##")&amp;" h"))))</f>
        <v>✅ OK (8. h)</v>
      </c>
      <c r="N147" s="81">
        <f>IF($C147="","",IF($G147=0,3,IF(ABS($L147)&lt;=Config!$C$10,0,IF($L147&lt;0,2,1))))</f>
        <v>0</v>
      </c>
      <c r="O147" s="81" t="str">
        <f>IF($C147="","",IF($N147&gt;0,COUNTIFS($N$4:$N147,"&gt;0"),""))</f>
        <v/>
      </c>
    </row>
    <row r="148" spans="2:15" x14ac:dyDescent="0.25">
      <c r="B148" s="81">
        <f t="shared" si="4"/>
        <v>29</v>
      </c>
      <c r="C148" s="82" t="str">
        <f>IF(INT((ROW()-4)/5)+1&gt;Config!$C$14,"",INDEX(BPOworkers!$B$6:$B$105,INT((ROW()-4)/5)+1))</f>
        <v>J Macias</v>
      </c>
      <c r="D148" s="82" t="str">
        <f>IF($C148="","",IFERROR(INDEX(BPOworkers!$E$6:$E$105,MATCH($C148,BPOworkers!$B$6:$B$105,0)),""))</f>
        <v>S Romero</v>
      </c>
      <c r="E148" s="83">
        <f>IF($C148="","",Config!$C$7+MOD(ROW()-4,5))</f>
        <v>46269</v>
      </c>
      <c r="F148" s="82" t="str">
        <f>IF($C148="","",INDEX(Config!$F$7:$F$11,MOD(ROW()-4,5)+1))</f>
        <v>Friday</v>
      </c>
      <c r="G148" s="81">
        <f>IF($C148="","",COUNTIFS(RawBtabs!$A$2:$A$1500,$C148,RawBtabs!$C$2:$C$1500,$E148))</f>
        <v>1</v>
      </c>
      <c r="H148" s="84">
        <f>IF($C148="","",SUMIFS(RawBtabs!$T$2:$T$1500,RawBtabs!$A$2:$A$1500,$C148,RawBtabs!$C$2:$C$1500,$E148))</f>
        <v>8</v>
      </c>
      <c r="I148" s="84">
        <f>IF($C148="","",SUMIFS(RawBtabs!$U$2:$U$1500,RawBtabs!$A$2:$A$1500,$C148,RawBtabs!$C$2:$C$1500,$E148))</f>
        <v>0</v>
      </c>
      <c r="J148" s="84">
        <f t="shared" si="5"/>
        <v>8</v>
      </c>
      <c r="K148" s="85">
        <f>IF($C148="","",$J148/Config!$C$9)</f>
        <v>1</v>
      </c>
      <c r="L148" s="84">
        <f>IF($C148="","",$J148-Config!$C$9)</f>
        <v>0</v>
      </c>
      <c r="M148" s="82" t="str">
        <f>IF($C148="","",IF($G148=0,"⛔ NO ENTRY IN BTABS",IF(ABS($L148)&lt;=Config!$C$10,"✅ OK ("&amp;TEXT($J148,"0.##")&amp;" h)",IF($L148&lt;0,"🔻 MISSING "&amp;TEXT(-$L148,"0.##")&amp;" h","🔺 OVER BY "&amp;TEXT($L148,"0.##")&amp;" h"))))</f>
        <v>✅ OK (8. h)</v>
      </c>
      <c r="N148" s="81">
        <f>IF($C148="","",IF($G148=0,3,IF(ABS($L148)&lt;=Config!$C$10,0,IF($L148&lt;0,2,1))))</f>
        <v>0</v>
      </c>
      <c r="O148" s="81" t="str">
        <f>IF($C148="","",IF($N148&gt;0,COUNTIFS($N$4:$N148,"&gt;0"),""))</f>
        <v/>
      </c>
    </row>
    <row r="149" spans="2:15" x14ac:dyDescent="0.25">
      <c r="B149" s="81">
        <f t="shared" si="4"/>
        <v>30</v>
      </c>
      <c r="C149" s="82" t="str">
        <f>IF(INT((ROW()-4)/5)+1&gt;Config!$C$14,"",INDEX(BPOworkers!$B$6:$B$105,INT((ROW()-4)/5)+1))</f>
        <v>N Espitia</v>
      </c>
      <c r="D149" s="82" t="str">
        <f>IF($C149="","",IFERROR(INDEX(BPOworkers!$E$6:$E$105,MATCH($C149,BPOworkers!$B$6:$B$105,0)),""))</f>
        <v>A Camargo</v>
      </c>
      <c r="E149" s="83">
        <f>IF($C149="","",Config!$C$7+MOD(ROW()-4,5))</f>
        <v>46265</v>
      </c>
      <c r="F149" s="82" t="str">
        <f>IF($C149="","",INDEX(Config!$F$7:$F$11,MOD(ROW()-4,5)+1))</f>
        <v>Monday</v>
      </c>
      <c r="G149" s="81">
        <f>IF($C149="","",COUNTIFS(RawBtabs!$A$2:$A$1500,$C149,RawBtabs!$C$2:$C$1500,$E149))</f>
        <v>2</v>
      </c>
      <c r="H149" s="84">
        <f>IF($C149="","",SUMIFS(RawBtabs!$T$2:$T$1500,RawBtabs!$A$2:$A$1500,$C149,RawBtabs!$C$2:$C$1500,$E149))</f>
        <v>12</v>
      </c>
      <c r="I149" s="84">
        <f>IF($C149="","",SUMIFS(RawBtabs!$U$2:$U$1500,RawBtabs!$A$2:$A$1500,$C149,RawBtabs!$C$2:$C$1500,$E149))</f>
        <v>0</v>
      </c>
      <c r="J149" s="84">
        <f t="shared" si="5"/>
        <v>12</v>
      </c>
      <c r="K149" s="85">
        <f>IF($C149="","",$J149/Config!$C$9)</f>
        <v>1.5</v>
      </c>
      <c r="L149" s="84">
        <f>IF($C149="","",$J149-Config!$C$9)</f>
        <v>4</v>
      </c>
      <c r="M149" s="82" t="str">
        <f>IF($C149="","",IF($G149=0,"⛔ NO ENTRY IN BTABS",IF(ABS($L149)&lt;=Config!$C$10,"✅ OK ("&amp;TEXT($J149,"0.##")&amp;" h)",IF($L149&lt;0,"🔻 MISSING "&amp;TEXT(-$L149,"0.##")&amp;" h","🔺 OVER BY "&amp;TEXT($L149,"0.##")&amp;" h"))))</f>
        <v>🔺 OVER BY 4. h</v>
      </c>
      <c r="N149" s="81">
        <f>IF($C149="","",IF($G149=0,3,IF(ABS($L149)&lt;=Config!$C$10,0,IF($L149&lt;0,2,1))))</f>
        <v>1</v>
      </c>
      <c r="O149" s="81">
        <f>IF($C149="","",IF($N149&gt;0,COUNTIFS($N$4:$N149,"&gt;0"),""))</f>
        <v>4</v>
      </c>
    </row>
    <row r="150" spans="2:15" x14ac:dyDescent="0.25">
      <c r="B150" s="81">
        <f t="shared" si="4"/>
        <v>30</v>
      </c>
      <c r="C150" s="82" t="str">
        <f>IF(INT((ROW()-4)/5)+1&gt;Config!$C$14,"",INDEX(BPOworkers!$B$6:$B$105,INT((ROW()-4)/5)+1))</f>
        <v>N Espitia</v>
      </c>
      <c r="D150" s="82" t="str">
        <f>IF($C150="","",IFERROR(INDEX(BPOworkers!$E$6:$E$105,MATCH($C150,BPOworkers!$B$6:$B$105,0)),""))</f>
        <v>A Camargo</v>
      </c>
      <c r="E150" s="83">
        <f>IF($C150="","",Config!$C$7+MOD(ROW()-4,5))</f>
        <v>46266</v>
      </c>
      <c r="F150" s="82" t="str">
        <f>IF($C150="","",INDEX(Config!$F$7:$F$11,MOD(ROW()-4,5)+1))</f>
        <v>Tuesday</v>
      </c>
      <c r="G150" s="81">
        <f>IF($C150="","",COUNTIFS(RawBtabs!$A$2:$A$1500,$C150,RawBtabs!$C$2:$C$1500,$E150))</f>
        <v>3</v>
      </c>
      <c r="H150" s="84">
        <f>IF($C150="","",SUMIFS(RawBtabs!$T$2:$T$1500,RawBtabs!$A$2:$A$1500,$C150,RawBtabs!$C$2:$C$1500,$E150))</f>
        <v>12</v>
      </c>
      <c r="I150" s="84">
        <f>IF($C150="","",SUMIFS(RawBtabs!$U$2:$U$1500,RawBtabs!$A$2:$A$1500,$C150,RawBtabs!$C$2:$C$1500,$E150))</f>
        <v>0</v>
      </c>
      <c r="J150" s="84">
        <f t="shared" si="5"/>
        <v>12</v>
      </c>
      <c r="K150" s="85">
        <f>IF($C150="","",$J150/Config!$C$9)</f>
        <v>1.5</v>
      </c>
      <c r="L150" s="84">
        <f>IF($C150="","",$J150-Config!$C$9)</f>
        <v>4</v>
      </c>
      <c r="M150" s="82" t="str">
        <f>IF($C150="","",IF($G150=0,"⛔ NO ENTRY IN BTABS",IF(ABS($L150)&lt;=Config!$C$10,"✅ OK ("&amp;TEXT($J150,"0.##")&amp;" h)",IF($L150&lt;0,"🔻 MISSING "&amp;TEXT(-$L150,"0.##")&amp;" h","🔺 OVER BY "&amp;TEXT($L150,"0.##")&amp;" h"))))</f>
        <v>🔺 OVER BY 4. h</v>
      </c>
      <c r="N150" s="81">
        <f>IF($C150="","",IF($G150=0,3,IF(ABS($L150)&lt;=Config!$C$10,0,IF($L150&lt;0,2,1))))</f>
        <v>1</v>
      </c>
      <c r="O150" s="81">
        <f>IF($C150="","",IF($N150&gt;0,COUNTIFS($N$4:$N150,"&gt;0"),""))</f>
        <v>5</v>
      </c>
    </row>
    <row r="151" spans="2:15" x14ac:dyDescent="0.25">
      <c r="B151" s="81">
        <f t="shared" si="4"/>
        <v>30</v>
      </c>
      <c r="C151" s="82" t="str">
        <f>IF(INT((ROW()-4)/5)+1&gt;Config!$C$14,"",INDEX(BPOworkers!$B$6:$B$105,INT((ROW()-4)/5)+1))</f>
        <v>N Espitia</v>
      </c>
      <c r="D151" s="82" t="str">
        <f>IF($C151="","",IFERROR(INDEX(BPOworkers!$E$6:$E$105,MATCH($C151,BPOworkers!$B$6:$B$105,0)),""))</f>
        <v>A Camargo</v>
      </c>
      <c r="E151" s="83">
        <f>IF($C151="","",Config!$C$7+MOD(ROW()-4,5))</f>
        <v>46267</v>
      </c>
      <c r="F151" s="82" t="str">
        <f>IF($C151="","",INDEX(Config!$F$7:$F$11,MOD(ROW()-4,5)+1))</f>
        <v>Wednesday</v>
      </c>
      <c r="G151" s="81">
        <f>IF($C151="","",COUNTIFS(RawBtabs!$A$2:$A$1500,$C151,RawBtabs!$C$2:$C$1500,$E151))</f>
        <v>4</v>
      </c>
      <c r="H151" s="84">
        <f>IF($C151="","",SUMIFS(RawBtabs!$T$2:$T$1500,RawBtabs!$A$2:$A$1500,$C151,RawBtabs!$C$2:$C$1500,$E151))</f>
        <v>8</v>
      </c>
      <c r="I151" s="84">
        <f>IF($C151="","",SUMIFS(RawBtabs!$U$2:$U$1500,RawBtabs!$A$2:$A$1500,$C151,RawBtabs!$C$2:$C$1500,$E151))</f>
        <v>0</v>
      </c>
      <c r="J151" s="84">
        <f t="shared" si="5"/>
        <v>8</v>
      </c>
      <c r="K151" s="85">
        <f>IF($C151="","",$J151/Config!$C$9)</f>
        <v>1</v>
      </c>
      <c r="L151" s="84">
        <f>IF($C151="","",$J151-Config!$C$9)</f>
        <v>0</v>
      </c>
      <c r="M151" s="82" t="str">
        <f>IF($C151="","",IF($G151=0,"⛔ NO ENTRY IN BTABS",IF(ABS($L151)&lt;=Config!$C$10,"✅ OK ("&amp;TEXT($J151,"0.##")&amp;" h)",IF($L151&lt;0,"🔻 MISSING "&amp;TEXT(-$L151,"0.##")&amp;" h","🔺 OVER BY "&amp;TEXT($L151,"0.##")&amp;" h"))))</f>
        <v>✅ OK (8. h)</v>
      </c>
      <c r="N151" s="81">
        <f>IF($C151="","",IF($G151=0,3,IF(ABS($L151)&lt;=Config!$C$10,0,IF($L151&lt;0,2,1))))</f>
        <v>0</v>
      </c>
      <c r="O151" s="81" t="str">
        <f>IF($C151="","",IF($N151&gt;0,COUNTIFS($N$4:$N151,"&gt;0"),""))</f>
        <v/>
      </c>
    </row>
    <row r="152" spans="2:15" x14ac:dyDescent="0.25">
      <c r="B152" s="81">
        <f t="shared" si="4"/>
        <v>30</v>
      </c>
      <c r="C152" s="82" t="str">
        <f>IF(INT((ROW()-4)/5)+1&gt;Config!$C$14,"",INDEX(BPOworkers!$B$6:$B$105,INT((ROW()-4)/5)+1))</f>
        <v>N Espitia</v>
      </c>
      <c r="D152" s="82" t="str">
        <f>IF($C152="","",IFERROR(INDEX(BPOworkers!$E$6:$E$105,MATCH($C152,BPOworkers!$B$6:$B$105,0)),""))</f>
        <v>A Camargo</v>
      </c>
      <c r="E152" s="83">
        <f>IF($C152="","",Config!$C$7+MOD(ROW()-4,5))</f>
        <v>46268</v>
      </c>
      <c r="F152" s="82" t="str">
        <f>IF($C152="","",INDEX(Config!$F$7:$F$11,MOD(ROW()-4,5)+1))</f>
        <v>Thursday</v>
      </c>
      <c r="G152" s="81">
        <f>IF($C152="","",COUNTIFS(RawBtabs!$A$2:$A$1500,$C152,RawBtabs!$C$2:$C$1500,$E152))</f>
        <v>2</v>
      </c>
      <c r="H152" s="84">
        <f>IF($C152="","",SUMIFS(RawBtabs!$T$2:$T$1500,RawBtabs!$A$2:$A$1500,$C152,RawBtabs!$C$2:$C$1500,$E152))</f>
        <v>8</v>
      </c>
      <c r="I152" s="84">
        <f>IF($C152="","",SUMIFS(RawBtabs!$U$2:$U$1500,RawBtabs!$A$2:$A$1500,$C152,RawBtabs!$C$2:$C$1500,$E152))</f>
        <v>0</v>
      </c>
      <c r="J152" s="84">
        <f t="shared" si="5"/>
        <v>8</v>
      </c>
      <c r="K152" s="85">
        <f>IF($C152="","",$J152/Config!$C$9)</f>
        <v>1</v>
      </c>
      <c r="L152" s="84">
        <f>IF($C152="","",$J152-Config!$C$9)</f>
        <v>0</v>
      </c>
      <c r="M152" s="82" t="str">
        <f>IF($C152="","",IF($G152=0,"⛔ NO ENTRY IN BTABS",IF(ABS($L152)&lt;=Config!$C$10,"✅ OK ("&amp;TEXT($J152,"0.##")&amp;" h)",IF($L152&lt;0,"🔻 MISSING "&amp;TEXT(-$L152,"0.##")&amp;" h","🔺 OVER BY "&amp;TEXT($L152,"0.##")&amp;" h"))))</f>
        <v>✅ OK (8. h)</v>
      </c>
      <c r="N152" s="81">
        <f>IF($C152="","",IF($G152=0,3,IF(ABS($L152)&lt;=Config!$C$10,0,IF($L152&lt;0,2,1))))</f>
        <v>0</v>
      </c>
      <c r="O152" s="81" t="str">
        <f>IF($C152="","",IF($N152&gt;0,COUNTIFS($N$4:$N152,"&gt;0"),""))</f>
        <v/>
      </c>
    </row>
    <row r="153" spans="2:15" x14ac:dyDescent="0.25">
      <c r="B153" s="81">
        <f t="shared" si="4"/>
        <v>30</v>
      </c>
      <c r="C153" s="82" t="str">
        <f>IF(INT((ROW()-4)/5)+1&gt;Config!$C$14,"",INDEX(BPOworkers!$B$6:$B$105,INT((ROW()-4)/5)+1))</f>
        <v>N Espitia</v>
      </c>
      <c r="D153" s="82" t="str">
        <f>IF($C153="","",IFERROR(INDEX(BPOworkers!$E$6:$E$105,MATCH($C153,BPOworkers!$B$6:$B$105,0)),""))</f>
        <v>A Camargo</v>
      </c>
      <c r="E153" s="83">
        <f>IF($C153="","",Config!$C$7+MOD(ROW()-4,5))</f>
        <v>46269</v>
      </c>
      <c r="F153" s="82" t="str">
        <f>IF($C153="","",INDEX(Config!$F$7:$F$11,MOD(ROW()-4,5)+1))</f>
        <v>Friday</v>
      </c>
      <c r="G153" s="81">
        <f>IF($C153="","",COUNTIFS(RawBtabs!$A$2:$A$1500,$C153,RawBtabs!$C$2:$C$1500,$E153))</f>
        <v>2</v>
      </c>
      <c r="H153" s="84">
        <f>IF($C153="","",SUMIFS(RawBtabs!$T$2:$T$1500,RawBtabs!$A$2:$A$1500,$C153,RawBtabs!$C$2:$C$1500,$E153))</f>
        <v>8</v>
      </c>
      <c r="I153" s="84">
        <f>IF($C153="","",SUMIFS(RawBtabs!$U$2:$U$1500,RawBtabs!$A$2:$A$1500,$C153,RawBtabs!$C$2:$C$1500,$E153))</f>
        <v>0</v>
      </c>
      <c r="J153" s="84">
        <f t="shared" si="5"/>
        <v>8</v>
      </c>
      <c r="K153" s="85">
        <f>IF($C153="","",$J153/Config!$C$9)</f>
        <v>1</v>
      </c>
      <c r="L153" s="84">
        <f>IF($C153="","",$J153-Config!$C$9)</f>
        <v>0</v>
      </c>
      <c r="M153" s="82" t="str">
        <f>IF($C153="","",IF($G153=0,"⛔ NO ENTRY IN BTABS",IF(ABS($L153)&lt;=Config!$C$10,"✅ OK ("&amp;TEXT($J153,"0.##")&amp;" h)",IF($L153&lt;0,"🔻 MISSING "&amp;TEXT(-$L153,"0.##")&amp;" h","🔺 OVER BY "&amp;TEXT($L153,"0.##")&amp;" h"))))</f>
        <v>✅ OK (8. h)</v>
      </c>
      <c r="N153" s="81">
        <f>IF($C153="","",IF($G153=0,3,IF(ABS($L153)&lt;=Config!$C$10,0,IF($L153&lt;0,2,1))))</f>
        <v>0</v>
      </c>
      <c r="O153" s="81" t="str">
        <f>IF($C153="","",IF($N153&gt;0,COUNTIFS($N$4:$N153,"&gt;0"),""))</f>
        <v/>
      </c>
    </row>
    <row r="154" spans="2:15" x14ac:dyDescent="0.25">
      <c r="B154" s="81">
        <f t="shared" si="4"/>
        <v>31</v>
      </c>
      <c r="C154" s="82" t="str">
        <f>IF(INT((ROW()-4)/5)+1&gt;Config!$C$14,"",INDEX(BPOworkers!$B$6:$B$105,INT((ROW()-4)/5)+1))</f>
        <v>N Lozano</v>
      </c>
      <c r="D154" s="82" t="str">
        <f>IF($C154="","",IFERROR(INDEX(BPOworkers!$E$6:$E$105,MATCH($C154,BPOworkers!$B$6:$B$105,0)),""))</f>
        <v>J S Bermudez</v>
      </c>
      <c r="E154" s="83">
        <f>IF($C154="","",Config!$C$7+MOD(ROW()-4,5))</f>
        <v>46265</v>
      </c>
      <c r="F154" s="82" t="str">
        <f>IF($C154="","",INDEX(Config!$F$7:$F$11,MOD(ROW()-4,5)+1))</f>
        <v>Monday</v>
      </c>
      <c r="G154" s="81">
        <f>IF($C154="","",COUNTIFS(RawBtabs!$A$2:$A$1500,$C154,RawBtabs!$C$2:$C$1500,$E154))</f>
        <v>1</v>
      </c>
      <c r="H154" s="84">
        <f>IF($C154="","",SUMIFS(RawBtabs!$T$2:$T$1500,RawBtabs!$A$2:$A$1500,$C154,RawBtabs!$C$2:$C$1500,$E154))</f>
        <v>8</v>
      </c>
      <c r="I154" s="84">
        <f>IF($C154="","",SUMIFS(RawBtabs!$U$2:$U$1500,RawBtabs!$A$2:$A$1500,$C154,RawBtabs!$C$2:$C$1500,$E154))</f>
        <v>0</v>
      </c>
      <c r="J154" s="84">
        <f t="shared" si="5"/>
        <v>8</v>
      </c>
      <c r="K154" s="85">
        <f>IF($C154="","",$J154/Config!$C$9)</f>
        <v>1</v>
      </c>
      <c r="L154" s="84">
        <f>IF($C154="","",$J154-Config!$C$9)</f>
        <v>0</v>
      </c>
      <c r="M154" s="82" t="str">
        <f>IF($C154="","",IF($G154=0,"⛔ NO ENTRY IN BTABS",IF(ABS($L154)&lt;=Config!$C$10,"✅ OK ("&amp;TEXT($J154,"0.##")&amp;" h)",IF($L154&lt;0,"🔻 MISSING "&amp;TEXT(-$L154,"0.##")&amp;" h","🔺 OVER BY "&amp;TEXT($L154,"0.##")&amp;" h"))))</f>
        <v>✅ OK (8. h)</v>
      </c>
      <c r="N154" s="81">
        <f>IF($C154="","",IF($G154=0,3,IF(ABS($L154)&lt;=Config!$C$10,0,IF($L154&lt;0,2,1))))</f>
        <v>0</v>
      </c>
      <c r="O154" s="81" t="str">
        <f>IF($C154="","",IF($N154&gt;0,COUNTIFS($N$4:$N154,"&gt;0"),""))</f>
        <v/>
      </c>
    </row>
    <row r="155" spans="2:15" x14ac:dyDescent="0.25">
      <c r="B155" s="81">
        <f t="shared" si="4"/>
        <v>31</v>
      </c>
      <c r="C155" s="82" t="str">
        <f>IF(INT((ROW()-4)/5)+1&gt;Config!$C$14,"",INDEX(BPOworkers!$B$6:$B$105,INT((ROW()-4)/5)+1))</f>
        <v>N Lozano</v>
      </c>
      <c r="D155" s="82" t="str">
        <f>IF($C155="","",IFERROR(INDEX(BPOworkers!$E$6:$E$105,MATCH($C155,BPOworkers!$B$6:$B$105,0)),""))</f>
        <v>J S Bermudez</v>
      </c>
      <c r="E155" s="83">
        <f>IF($C155="","",Config!$C$7+MOD(ROW()-4,5))</f>
        <v>46266</v>
      </c>
      <c r="F155" s="82" t="str">
        <f>IF($C155="","",INDEX(Config!$F$7:$F$11,MOD(ROW()-4,5)+1))</f>
        <v>Tuesday</v>
      </c>
      <c r="G155" s="81">
        <f>IF($C155="","",COUNTIFS(RawBtabs!$A$2:$A$1500,$C155,RawBtabs!$C$2:$C$1500,$E155))</f>
        <v>2</v>
      </c>
      <c r="H155" s="84">
        <f>IF($C155="","",SUMIFS(RawBtabs!$T$2:$T$1500,RawBtabs!$A$2:$A$1500,$C155,RawBtabs!$C$2:$C$1500,$E155))</f>
        <v>8</v>
      </c>
      <c r="I155" s="84">
        <f>IF($C155="","",SUMIFS(RawBtabs!$U$2:$U$1500,RawBtabs!$A$2:$A$1500,$C155,RawBtabs!$C$2:$C$1500,$E155))</f>
        <v>0</v>
      </c>
      <c r="J155" s="84">
        <f t="shared" si="5"/>
        <v>8</v>
      </c>
      <c r="K155" s="85">
        <f>IF($C155="","",$J155/Config!$C$9)</f>
        <v>1</v>
      </c>
      <c r="L155" s="84">
        <f>IF($C155="","",$J155-Config!$C$9)</f>
        <v>0</v>
      </c>
      <c r="M155" s="82" t="str">
        <f>IF($C155="","",IF($G155=0,"⛔ NO ENTRY IN BTABS",IF(ABS($L155)&lt;=Config!$C$10,"✅ OK ("&amp;TEXT($J155,"0.##")&amp;" h)",IF($L155&lt;0,"🔻 MISSING "&amp;TEXT(-$L155,"0.##")&amp;" h","🔺 OVER BY "&amp;TEXT($L155,"0.##")&amp;" h"))))</f>
        <v>✅ OK (8. h)</v>
      </c>
      <c r="N155" s="81">
        <f>IF($C155="","",IF($G155=0,3,IF(ABS($L155)&lt;=Config!$C$10,0,IF($L155&lt;0,2,1))))</f>
        <v>0</v>
      </c>
      <c r="O155" s="81" t="str">
        <f>IF($C155="","",IF($N155&gt;0,COUNTIFS($N$4:$N155,"&gt;0"),""))</f>
        <v/>
      </c>
    </row>
    <row r="156" spans="2:15" x14ac:dyDescent="0.25">
      <c r="B156" s="81">
        <f t="shared" si="4"/>
        <v>31</v>
      </c>
      <c r="C156" s="82" t="str">
        <f>IF(INT((ROW()-4)/5)+1&gt;Config!$C$14,"",INDEX(BPOworkers!$B$6:$B$105,INT((ROW()-4)/5)+1))</f>
        <v>N Lozano</v>
      </c>
      <c r="D156" s="82" t="str">
        <f>IF($C156="","",IFERROR(INDEX(BPOworkers!$E$6:$E$105,MATCH($C156,BPOworkers!$B$6:$B$105,0)),""))</f>
        <v>J S Bermudez</v>
      </c>
      <c r="E156" s="83">
        <f>IF($C156="","",Config!$C$7+MOD(ROW()-4,5))</f>
        <v>46267</v>
      </c>
      <c r="F156" s="82" t="str">
        <f>IF($C156="","",INDEX(Config!$F$7:$F$11,MOD(ROW()-4,5)+1))</f>
        <v>Wednesday</v>
      </c>
      <c r="G156" s="81">
        <f>IF($C156="","",COUNTIFS(RawBtabs!$A$2:$A$1500,$C156,RawBtabs!$C$2:$C$1500,$E156))</f>
        <v>2</v>
      </c>
      <c r="H156" s="84">
        <f>IF($C156="","",SUMIFS(RawBtabs!$T$2:$T$1500,RawBtabs!$A$2:$A$1500,$C156,RawBtabs!$C$2:$C$1500,$E156))</f>
        <v>8</v>
      </c>
      <c r="I156" s="84">
        <f>IF($C156="","",SUMIFS(RawBtabs!$U$2:$U$1500,RawBtabs!$A$2:$A$1500,$C156,RawBtabs!$C$2:$C$1500,$E156))</f>
        <v>0</v>
      </c>
      <c r="J156" s="84">
        <f t="shared" si="5"/>
        <v>8</v>
      </c>
      <c r="K156" s="85">
        <f>IF($C156="","",$J156/Config!$C$9)</f>
        <v>1</v>
      </c>
      <c r="L156" s="84">
        <f>IF($C156="","",$J156-Config!$C$9)</f>
        <v>0</v>
      </c>
      <c r="M156" s="82" t="str">
        <f>IF($C156="","",IF($G156=0,"⛔ NO ENTRY IN BTABS",IF(ABS($L156)&lt;=Config!$C$10,"✅ OK ("&amp;TEXT($J156,"0.##")&amp;" h)",IF($L156&lt;0,"🔻 MISSING "&amp;TEXT(-$L156,"0.##")&amp;" h","🔺 OVER BY "&amp;TEXT($L156,"0.##")&amp;" h"))))</f>
        <v>✅ OK (8. h)</v>
      </c>
      <c r="N156" s="81">
        <f>IF($C156="","",IF($G156=0,3,IF(ABS($L156)&lt;=Config!$C$10,0,IF($L156&lt;0,2,1))))</f>
        <v>0</v>
      </c>
      <c r="O156" s="81" t="str">
        <f>IF($C156="","",IF($N156&gt;0,COUNTIFS($N$4:$N156,"&gt;0"),""))</f>
        <v/>
      </c>
    </row>
    <row r="157" spans="2:15" x14ac:dyDescent="0.25">
      <c r="B157" s="81">
        <f t="shared" si="4"/>
        <v>31</v>
      </c>
      <c r="C157" s="82" t="str">
        <f>IF(INT((ROW()-4)/5)+1&gt;Config!$C$14,"",INDEX(BPOworkers!$B$6:$B$105,INT((ROW()-4)/5)+1))</f>
        <v>N Lozano</v>
      </c>
      <c r="D157" s="82" t="str">
        <f>IF($C157="","",IFERROR(INDEX(BPOworkers!$E$6:$E$105,MATCH($C157,BPOworkers!$B$6:$B$105,0)),""))</f>
        <v>J S Bermudez</v>
      </c>
      <c r="E157" s="83">
        <f>IF($C157="","",Config!$C$7+MOD(ROW()-4,5))</f>
        <v>46268</v>
      </c>
      <c r="F157" s="82" t="str">
        <f>IF($C157="","",INDEX(Config!$F$7:$F$11,MOD(ROW()-4,5)+1))</f>
        <v>Thursday</v>
      </c>
      <c r="G157" s="81">
        <f>IF($C157="","",COUNTIFS(RawBtabs!$A$2:$A$1500,$C157,RawBtabs!$C$2:$C$1500,$E157))</f>
        <v>1</v>
      </c>
      <c r="H157" s="84">
        <f>IF($C157="","",SUMIFS(RawBtabs!$T$2:$T$1500,RawBtabs!$A$2:$A$1500,$C157,RawBtabs!$C$2:$C$1500,$E157))</f>
        <v>8</v>
      </c>
      <c r="I157" s="84">
        <f>IF($C157="","",SUMIFS(RawBtabs!$U$2:$U$1500,RawBtabs!$A$2:$A$1500,$C157,RawBtabs!$C$2:$C$1500,$E157))</f>
        <v>0</v>
      </c>
      <c r="J157" s="84">
        <f t="shared" si="5"/>
        <v>8</v>
      </c>
      <c r="K157" s="85">
        <f>IF($C157="","",$J157/Config!$C$9)</f>
        <v>1</v>
      </c>
      <c r="L157" s="84">
        <f>IF($C157="","",$J157-Config!$C$9)</f>
        <v>0</v>
      </c>
      <c r="M157" s="82" t="str">
        <f>IF($C157="","",IF($G157=0,"⛔ NO ENTRY IN BTABS",IF(ABS($L157)&lt;=Config!$C$10,"✅ OK ("&amp;TEXT($J157,"0.##")&amp;" h)",IF($L157&lt;0,"🔻 MISSING "&amp;TEXT(-$L157,"0.##")&amp;" h","🔺 OVER BY "&amp;TEXT($L157,"0.##")&amp;" h"))))</f>
        <v>✅ OK (8. h)</v>
      </c>
      <c r="N157" s="81">
        <f>IF($C157="","",IF($G157=0,3,IF(ABS($L157)&lt;=Config!$C$10,0,IF($L157&lt;0,2,1))))</f>
        <v>0</v>
      </c>
      <c r="O157" s="81" t="str">
        <f>IF($C157="","",IF($N157&gt;0,COUNTIFS($N$4:$N157,"&gt;0"),""))</f>
        <v/>
      </c>
    </row>
    <row r="158" spans="2:15" x14ac:dyDescent="0.25">
      <c r="B158" s="81">
        <f t="shared" si="4"/>
        <v>31</v>
      </c>
      <c r="C158" s="82" t="str">
        <f>IF(INT((ROW()-4)/5)+1&gt;Config!$C$14,"",INDEX(BPOworkers!$B$6:$B$105,INT((ROW()-4)/5)+1))</f>
        <v>N Lozano</v>
      </c>
      <c r="D158" s="82" t="str">
        <f>IF($C158="","",IFERROR(INDEX(BPOworkers!$E$6:$E$105,MATCH($C158,BPOworkers!$B$6:$B$105,0)),""))</f>
        <v>J S Bermudez</v>
      </c>
      <c r="E158" s="83">
        <f>IF($C158="","",Config!$C$7+MOD(ROW()-4,5))</f>
        <v>46269</v>
      </c>
      <c r="F158" s="82" t="str">
        <f>IF($C158="","",INDEX(Config!$F$7:$F$11,MOD(ROW()-4,5)+1))</f>
        <v>Friday</v>
      </c>
      <c r="G158" s="81">
        <f>IF($C158="","",COUNTIFS(RawBtabs!$A$2:$A$1500,$C158,RawBtabs!$C$2:$C$1500,$E158))</f>
        <v>2</v>
      </c>
      <c r="H158" s="84">
        <f>IF($C158="","",SUMIFS(RawBtabs!$T$2:$T$1500,RawBtabs!$A$2:$A$1500,$C158,RawBtabs!$C$2:$C$1500,$E158))</f>
        <v>8</v>
      </c>
      <c r="I158" s="84">
        <f>IF($C158="","",SUMIFS(RawBtabs!$U$2:$U$1500,RawBtabs!$A$2:$A$1500,$C158,RawBtabs!$C$2:$C$1500,$E158))</f>
        <v>0</v>
      </c>
      <c r="J158" s="84">
        <f t="shared" si="5"/>
        <v>8</v>
      </c>
      <c r="K158" s="85">
        <f>IF($C158="","",$J158/Config!$C$9)</f>
        <v>1</v>
      </c>
      <c r="L158" s="84">
        <f>IF($C158="","",$J158-Config!$C$9)</f>
        <v>0</v>
      </c>
      <c r="M158" s="82" t="str">
        <f>IF($C158="","",IF($G158=0,"⛔ NO ENTRY IN BTABS",IF(ABS($L158)&lt;=Config!$C$10,"✅ OK ("&amp;TEXT($J158,"0.##")&amp;" h)",IF($L158&lt;0,"🔻 MISSING "&amp;TEXT(-$L158,"0.##")&amp;" h","🔺 OVER BY "&amp;TEXT($L158,"0.##")&amp;" h"))))</f>
        <v>✅ OK (8. h)</v>
      </c>
      <c r="N158" s="81">
        <f>IF($C158="","",IF($G158=0,3,IF(ABS($L158)&lt;=Config!$C$10,0,IF($L158&lt;0,2,1))))</f>
        <v>0</v>
      </c>
      <c r="O158" s="81" t="str">
        <f>IF($C158="","",IF($N158&gt;0,COUNTIFS($N$4:$N158,"&gt;0"),""))</f>
        <v/>
      </c>
    </row>
    <row r="159" spans="2:15" x14ac:dyDescent="0.25">
      <c r="B159" s="81">
        <f t="shared" si="4"/>
        <v>32</v>
      </c>
      <c r="C159" s="82" t="str">
        <f>IF(INT((ROW()-4)/5)+1&gt;Config!$C$14,"",INDEX(BPOworkers!$B$6:$B$105,INT((ROW()-4)/5)+1))</f>
        <v>T Vargas</v>
      </c>
      <c r="D159" s="82" t="str">
        <f>IF($C159="","",IFERROR(INDEX(BPOworkers!$E$6:$E$105,MATCH($C159,BPOworkers!$B$6:$B$105,0)),""))</f>
        <v>M Leon</v>
      </c>
      <c r="E159" s="83">
        <f>IF($C159="","",Config!$C$7+MOD(ROW()-4,5))</f>
        <v>46265</v>
      </c>
      <c r="F159" s="82" t="str">
        <f>IF($C159="","",INDEX(Config!$F$7:$F$11,MOD(ROW()-4,5)+1))</f>
        <v>Monday</v>
      </c>
      <c r="G159" s="81">
        <f>IF($C159="","",COUNTIFS(RawBtabs!$A$2:$A$1500,$C159,RawBtabs!$C$2:$C$1500,$E159))</f>
        <v>1</v>
      </c>
      <c r="H159" s="84">
        <f>IF($C159="","",SUMIFS(RawBtabs!$T$2:$T$1500,RawBtabs!$A$2:$A$1500,$C159,RawBtabs!$C$2:$C$1500,$E159))</f>
        <v>8</v>
      </c>
      <c r="I159" s="84">
        <f>IF($C159="","",SUMIFS(RawBtabs!$U$2:$U$1500,RawBtabs!$A$2:$A$1500,$C159,RawBtabs!$C$2:$C$1500,$E159))</f>
        <v>0</v>
      </c>
      <c r="J159" s="84">
        <f t="shared" si="5"/>
        <v>8</v>
      </c>
      <c r="K159" s="85">
        <f>IF($C159="","",$J159/Config!$C$9)</f>
        <v>1</v>
      </c>
      <c r="L159" s="84">
        <f>IF($C159="","",$J159-Config!$C$9)</f>
        <v>0</v>
      </c>
      <c r="M159" s="82" t="str">
        <f>IF($C159="","",IF($G159=0,"⛔ NO ENTRY IN BTABS",IF(ABS($L159)&lt;=Config!$C$10,"✅ OK ("&amp;TEXT($J159,"0.##")&amp;" h)",IF($L159&lt;0,"🔻 MISSING "&amp;TEXT(-$L159,"0.##")&amp;" h","🔺 OVER BY "&amp;TEXT($L159,"0.##")&amp;" h"))))</f>
        <v>✅ OK (8. h)</v>
      </c>
      <c r="N159" s="81">
        <f>IF($C159="","",IF($G159=0,3,IF(ABS($L159)&lt;=Config!$C$10,0,IF($L159&lt;0,2,1))))</f>
        <v>0</v>
      </c>
      <c r="O159" s="81" t="str">
        <f>IF($C159="","",IF($N159&gt;0,COUNTIFS($N$4:$N159,"&gt;0"),""))</f>
        <v/>
      </c>
    </row>
    <row r="160" spans="2:15" x14ac:dyDescent="0.25">
      <c r="B160" s="81">
        <f t="shared" si="4"/>
        <v>32</v>
      </c>
      <c r="C160" s="82" t="str">
        <f>IF(INT((ROW()-4)/5)+1&gt;Config!$C$14,"",INDEX(BPOworkers!$B$6:$B$105,INT((ROW()-4)/5)+1))</f>
        <v>T Vargas</v>
      </c>
      <c r="D160" s="82" t="str">
        <f>IF($C160="","",IFERROR(INDEX(BPOworkers!$E$6:$E$105,MATCH($C160,BPOworkers!$B$6:$B$105,0)),""))</f>
        <v>M Leon</v>
      </c>
      <c r="E160" s="83">
        <f>IF($C160="","",Config!$C$7+MOD(ROW()-4,5))</f>
        <v>46266</v>
      </c>
      <c r="F160" s="82" t="str">
        <f>IF($C160="","",INDEX(Config!$F$7:$F$11,MOD(ROW()-4,5)+1))</f>
        <v>Tuesday</v>
      </c>
      <c r="G160" s="81">
        <f>IF($C160="","",COUNTIFS(RawBtabs!$A$2:$A$1500,$C160,RawBtabs!$C$2:$C$1500,$E160))</f>
        <v>1</v>
      </c>
      <c r="H160" s="84">
        <f>IF($C160="","",SUMIFS(RawBtabs!$T$2:$T$1500,RawBtabs!$A$2:$A$1500,$C160,RawBtabs!$C$2:$C$1500,$E160))</f>
        <v>8</v>
      </c>
      <c r="I160" s="84">
        <f>IF($C160="","",SUMIFS(RawBtabs!$U$2:$U$1500,RawBtabs!$A$2:$A$1500,$C160,RawBtabs!$C$2:$C$1500,$E160))</f>
        <v>0</v>
      </c>
      <c r="J160" s="84">
        <f t="shared" si="5"/>
        <v>8</v>
      </c>
      <c r="K160" s="85">
        <f>IF($C160="","",$J160/Config!$C$9)</f>
        <v>1</v>
      </c>
      <c r="L160" s="84">
        <f>IF($C160="","",$J160-Config!$C$9)</f>
        <v>0</v>
      </c>
      <c r="M160" s="82" t="str">
        <f>IF($C160="","",IF($G160=0,"⛔ NO ENTRY IN BTABS",IF(ABS($L160)&lt;=Config!$C$10,"✅ OK ("&amp;TEXT($J160,"0.##")&amp;" h)",IF($L160&lt;0,"🔻 MISSING "&amp;TEXT(-$L160,"0.##")&amp;" h","🔺 OVER BY "&amp;TEXT($L160,"0.##")&amp;" h"))))</f>
        <v>✅ OK (8. h)</v>
      </c>
      <c r="N160" s="81">
        <f>IF($C160="","",IF($G160=0,3,IF(ABS($L160)&lt;=Config!$C$10,0,IF($L160&lt;0,2,1))))</f>
        <v>0</v>
      </c>
      <c r="O160" s="81" t="str">
        <f>IF($C160="","",IF($N160&gt;0,COUNTIFS($N$4:$N160,"&gt;0"),""))</f>
        <v/>
      </c>
    </row>
    <row r="161" spans="2:15" x14ac:dyDescent="0.25">
      <c r="B161" s="81">
        <f t="shared" si="4"/>
        <v>32</v>
      </c>
      <c r="C161" s="82" t="str">
        <f>IF(INT((ROW()-4)/5)+1&gt;Config!$C$14,"",INDEX(BPOworkers!$B$6:$B$105,INT((ROW()-4)/5)+1))</f>
        <v>T Vargas</v>
      </c>
      <c r="D161" s="82" t="str">
        <f>IF($C161="","",IFERROR(INDEX(BPOworkers!$E$6:$E$105,MATCH($C161,BPOworkers!$B$6:$B$105,0)),""))</f>
        <v>M Leon</v>
      </c>
      <c r="E161" s="83">
        <f>IF($C161="","",Config!$C$7+MOD(ROW()-4,5))</f>
        <v>46267</v>
      </c>
      <c r="F161" s="82" t="str">
        <f>IF($C161="","",INDEX(Config!$F$7:$F$11,MOD(ROW()-4,5)+1))</f>
        <v>Wednesday</v>
      </c>
      <c r="G161" s="81">
        <f>IF($C161="","",COUNTIFS(RawBtabs!$A$2:$A$1500,$C161,RawBtabs!$C$2:$C$1500,$E161))</f>
        <v>1</v>
      </c>
      <c r="H161" s="84">
        <f>IF($C161="","",SUMIFS(RawBtabs!$T$2:$T$1500,RawBtabs!$A$2:$A$1500,$C161,RawBtabs!$C$2:$C$1500,$E161))</f>
        <v>8</v>
      </c>
      <c r="I161" s="84">
        <f>IF($C161="","",SUMIFS(RawBtabs!$U$2:$U$1500,RawBtabs!$A$2:$A$1500,$C161,RawBtabs!$C$2:$C$1500,$E161))</f>
        <v>0</v>
      </c>
      <c r="J161" s="84">
        <f t="shared" si="5"/>
        <v>8</v>
      </c>
      <c r="K161" s="85">
        <f>IF($C161="","",$J161/Config!$C$9)</f>
        <v>1</v>
      </c>
      <c r="L161" s="84">
        <f>IF($C161="","",$J161-Config!$C$9)</f>
        <v>0</v>
      </c>
      <c r="M161" s="82" t="str">
        <f>IF($C161="","",IF($G161=0,"⛔ NO ENTRY IN BTABS",IF(ABS($L161)&lt;=Config!$C$10,"✅ OK ("&amp;TEXT($J161,"0.##")&amp;" h)",IF($L161&lt;0,"🔻 MISSING "&amp;TEXT(-$L161,"0.##")&amp;" h","🔺 OVER BY "&amp;TEXT($L161,"0.##")&amp;" h"))))</f>
        <v>✅ OK (8. h)</v>
      </c>
      <c r="N161" s="81">
        <f>IF($C161="","",IF($G161=0,3,IF(ABS($L161)&lt;=Config!$C$10,0,IF($L161&lt;0,2,1))))</f>
        <v>0</v>
      </c>
      <c r="O161" s="81" t="str">
        <f>IF($C161="","",IF($N161&gt;0,COUNTIFS($N$4:$N161,"&gt;0"),""))</f>
        <v/>
      </c>
    </row>
    <row r="162" spans="2:15" x14ac:dyDescent="0.25">
      <c r="B162" s="81">
        <f t="shared" si="4"/>
        <v>32</v>
      </c>
      <c r="C162" s="82" t="str">
        <f>IF(INT((ROW()-4)/5)+1&gt;Config!$C$14,"",INDEX(BPOworkers!$B$6:$B$105,INT((ROW()-4)/5)+1))</f>
        <v>T Vargas</v>
      </c>
      <c r="D162" s="82" t="str">
        <f>IF($C162="","",IFERROR(INDEX(BPOworkers!$E$6:$E$105,MATCH($C162,BPOworkers!$B$6:$B$105,0)),""))</f>
        <v>M Leon</v>
      </c>
      <c r="E162" s="83">
        <f>IF($C162="","",Config!$C$7+MOD(ROW()-4,5))</f>
        <v>46268</v>
      </c>
      <c r="F162" s="82" t="str">
        <f>IF($C162="","",INDEX(Config!$F$7:$F$11,MOD(ROW()-4,5)+1))</f>
        <v>Thursday</v>
      </c>
      <c r="G162" s="81">
        <f>IF($C162="","",COUNTIFS(RawBtabs!$A$2:$A$1500,$C162,RawBtabs!$C$2:$C$1500,$E162))</f>
        <v>2</v>
      </c>
      <c r="H162" s="84">
        <f>IF($C162="","",SUMIFS(RawBtabs!$T$2:$T$1500,RawBtabs!$A$2:$A$1500,$C162,RawBtabs!$C$2:$C$1500,$E162))</f>
        <v>8</v>
      </c>
      <c r="I162" s="84">
        <f>IF($C162="","",SUMIFS(RawBtabs!$U$2:$U$1500,RawBtabs!$A$2:$A$1500,$C162,RawBtabs!$C$2:$C$1500,$E162))</f>
        <v>0</v>
      </c>
      <c r="J162" s="84">
        <f t="shared" si="5"/>
        <v>8</v>
      </c>
      <c r="K162" s="85">
        <f>IF($C162="","",$J162/Config!$C$9)</f>
        <v>1</v>
      </c>
      <c r="L162" s="84">
        <f>IF($C162="","",$J162-Config!$C$9)</f>
        <v>0</v>
      </c>
      <c r="M162" s="82" t="str">
        <f>IF($C162="","",IF($G162=0,"⛔ NO ENTRY IN BTABS",IF(ABS($L162)&lt;=Config!$C$10,"✅ OK ("&amp;TEXT($J162,"0.##")&amp;" h)",IF($L162&lt;0,"🔻 MISSING "&amp;TEXT(-$L162,"0.##")&amp;" h","🔺 OVER BY "&amp;TEXT($L162,"0.##")&amp;" h"))))</f>
        <v>✅ OK (8. h)</v>
      </c>
      <c r="N162" s="81">
        <f>IF($C162="","",IF($G162=0,3,IF(ABS($L162)&lt;=Config!$C$10,0,IF($L162&lt;0,2,1))))</f>
        <v>0</v>
      </c>
      <c r="O162" s="81" t="str">
        <f>IF($C162="","",IF($N162&gt;0,COUNTIFS($N$4:$N162,"&gt;0"),""))</f>
        <v/>
      </c>
    </row>
    <row r="163" spans="2:15" x14ac:dyDescent="0.25">
      <c r="B163" s="81">
        <f t="shared" si="4"/>
        <v>32</v>
      </c>
      <c r="C163" s="82" t="str">
        <f>IF(INT((ROW()-4)/5)+1&gt;Config!$C$14,"",INDEX(BPOworkers!$B$6:$B$105,INT((ROW()-4)/5)+1))</f>
        <v>T Vargas</v>
      </c>
      <c r="D163" s="82" t="str">
        <f>IF($C163="","",IFERROR(INDEX(BPOworkers!$E$6:$E$105,MATCH($C163,BPOworkers!$B$6:$B$105,0)),""))</f>
        <v>M Leon</v>
      </c>
      <c r="E163" s="83">
        <f>IF($C163="","",Config!$C$7+MOD(ROW()-4,5))</f>
        <v>46269</v>
      </c>
      <c r="F163" s="82" t="str">
        <f>IF($C163="","",INDEX(Config!$F$7:$F$11,MOD(ROW()-4,5)+1))</f>
        <v>Friday</v>
      </c>
      <c r="G163" s="81">
        <f>IF($C163="","",COUNTIFS(RawBtabs!$A$2:$A$1500,$C163,RawBtabs!$C$2:$C$1500,$E163))</f>
        <v>1</v>
      </c>
      <c r="H163" s="84">
        <f>IF($C163="","",SUMIFS(RawBtabs!$T$2:$T$1500,RawBtabs!$A$2:$A$1500,$C163,RawBtabs!$C$2:$C$1500,$E163))</f>
        <v>8</v>
      </c>
      <c r="I163" s="84">
        <f>IF($C163="","",SUMIFS(RawBtabs!$U$2:$U$1500,RawBtabs!$A$2:$A$1500,$C163,RawBtabs!$C$2:$C$1500,$E163))</f>
        <v>0</v>
      </c>
      <c r="J163" s="84">
        <f t="shared" si="5"/>
        <v>8</v>
      </c>
      <c r="K163" s="85">
        <f>IF($C163="","",$J163/Config!$C$9)</f>
        <v>1</v>
      </c>
      <c r="L163" s="84">
        <f>IF($C163="","",$J163-Config!$C$9)</f>
        <v>0</v>
      </c>
      <c r="M163" s="82" t="str">
        <f>IF($C163="","",IF($G163=0,"⛔ NO ENTRY IN BTABS",IF(ABS($L163)&lt;=Config!$C$10,"✅ OK ("&amp;TEXT($J163,"0.##")&amp;" h)",IF($L163&lt;0,"🔻 MISSING "&amp;TEXT(-$L163,"0.##")&amp;" h","🔺 OVER BY "&amp;TEXT($L163,"0.##")&amp;" h"))))</f>
        <v>✅ OK (8. h)</v>
      </c>
      <c r="N163" s="81">
        <f>IF($C163="","",IF($G163=0,3,IF(ABS($L163)&lt;=Config!$C$10,0,IF($L163&lt;0,2,1))))</f>
        <v>0</v>
      </c>
      <c r="O163" s="81" t="str">
        <f>IF($C163="","",IF($N163&gt;0,COUNTIFS($N$4:$N163,"&gt;0"),""))</f>
        <v/>
      </c>
    </row>
    <row r="164" spans="2:15" x14ac:dyDescent="0.25">
      <c r="B164" s="81">
        <f t="shared" si="4"/>
        <v>33</v>
      </c>
      <c r="C164" s="82" t="str">
        <f>IF(INT((ROW()-4)/5)+1&gt;Config!$C$14,"",INDEX(BPOworkers!$B$6:$B$105,INT((ROW()-4)/5)+1))</f>
        <v>K Martínez</v>
      </c>
      <c r="D164" s="82" t="str">
        <f>IF($C164="","",IFERROR(INDEX(BPOworkers!$E$6:$E$105,MATCH($C164,BPOworkers!$B$6:$B$105,0)),""))</f>
        <v>A Camargo</v>
      </c>
      <c r="E164" s="83">
        <f>IF($C164="","",Config!$C$7+MOD(ROW()-4,5))</f>
        <v>46265</v>
      </c>
      <c r="F164" s="82" t="str">
        <f>IF($C164="","",INDEX(Config!$F$7:$F$11,MOD(ROW()-4,5)+1))</f>
        <v>Monday</v>
      </c>
      <c r="G164" s="81">
        <f>IF($C164="","",COUNTIFS(RawBtabs!$A$2:$A$1500,$C164,RawBtabs!$C$2:$C$1500,$E164))</f>
        <v>0</v>
      </c>
      <c r="H164" s="84">
        <f>IF($C164="","",SUMIFS(RawBtabs!$T$2:$T$1500,RawBtabs!$A$2:$A$1500,$C164,RawBtabs!$C$2:$C$1500,$E164))</f>
        <v>0</v>
      </c>
      <c r="I164" s="84">
        <f>IF($C164="","",SUMIFS(RawBtabs!$U$2:$U$1500,RawBtabs!$A$2:$A$1500,$C164,RawBtabs!$C$2:$C$1500,$E164))</f>
        <v>0</v>
      </c>
      <c r="J164" s="84">
        <f t="shared" si="5"/>
        <v>0</v>
      </c>
      <c r="K164" s="85">
        <f>IF($C164="","",$J164/Config!$C$9)</f>
        <v>0</v>
      </c>
      <c r="L164" s="84">
        <f>IF($C164="","",$J164-Config!$C$9)</f>
        <v>-8</v>
      </c>
      <c r="M164" s="82" t="str">
        <f>IF($C164="","",IF($G164=0,"⛔ NO ENTRY IN BTABS",IF(ABS($L164)&lt;=Config!$C$10,"✅ OK ("&amp;TEXT($J164,"0.##")&amp;" h)",IF($L164&lt;0,"🔻 MISSING "&amp;TEXT(-$L164,"0.##")&amp;" h","🔺 OVER BY "&amp;TEXT($L164,"0.##")&amp;" h"))))</f>
        <v>⛔ NO ENTRY IN BTABS</v>
      </c>
      <c r="N164" s="81">
        <f>IF($C164="","",IF($G164=0,3,IF(ABS($L164)&lt;=Config!$C$10,0,IF($L164&lt;0,2,1))))</f>
        <v>3</v>
      </c>
      <c r="O164" s="81">
        <f>IF($C164="","",IF($N164&gt;0,COUNTIFS($N$4:$N164,"&gt;0"),""))</f>
        <v>6</v>
      </c>
    </row>
    <row r="165" spans="2:15" x14ac:dyDescent="0.25">
      <c r="B165" s="81">
        <f t="shared" si="4"/>
        <v>33</v>
      </c>
      <c r="C165" s="82" t="str">
        <f>IF(INT((ROW()-4)/5)+1&gt;Config!$C$14,"",INDEX(BPOworkers!$B$6:$B$105,INT((ROW()-4)/5)+1))</f>
        <v>K Martínez</v>
      </c>
      <c r="D165" s="82" t="str">
        <f>IF($C165="","",IFERROR(INDEX(BPOworkers!$E$6:$E$105,MATCH($C165,BPOworkers!$B$6:$B$105,0)),""))</f>
        <v>A Camargo</v>
      </c>
      <c r="E165" s="83">
        <f>IF($C165="","",Config!$C$7+MOD(ROW()-4,5))</f>
        <v>46266</v>
      </c>
      <c r="F165" s="82" t="str">
        <f>IF($C165="","",INDEX(Config!$F$7:$F$11,MOD(ROW()-4,5)+1))</f>
        <v>Tuesday</v>
      </c>
      <c r="G165" s="81">
        <f>IF($C165="","",COUNTIFS(RawBtabs!$A$2:$A$1500,$C165,RawBtabs!$C$2:$C$1500,$E165))</f>
        <v>3</v>
      </c>
      <c r="H165" s="84">
        <f>IF($C165="","",SUMIFS(RawBtabs!$T$2:$T$1500,RawBtabs!$A$2:$A$1500,$C165,RawBtabs!$C$2:$C$1500,$E165))</f>
        <v>8</v>
      </c>
      <c r="I165" s="84">
        <f>IF($C165="","",SUMIFS(RawBtabs!$U$2:$U$1500,RawBtabs!$A$2:$A$1500,$C165,RawBtabs!$C$2:$C$1500,$E165))</f>
        <v>0</v>
      </c>
      <c r="J165" s="84">
        <f t="shared" si="5"/>
        <v>8</v>
      </c>
      <c r="K165" s="85">
        <f>IF($C165="","",$J165/Config!$C$9)</f>
        <v>1</v>
      </c>
      <c r="L165" s="84">
        <f>IF($C165="","",$J165-Config!$C$9)</f>
        <v>0</v>
      </c>
      <c r="M165" s="82" t="str">
        <f>IF($C165="","",IF($G165=0,"⛔ NO ENTRY IN BTABS",IF(ABS($L165)&lt;=Config!$C$10,"✅ OK ("&amp;TEXT($J165,"0.##")&amp;" h)",IF($L165&lt;0,"🔻 MISSING "&amp;TEXT(-$L165,"0.##")&amp;" h","🔺 OVER BY "&amp;TEXT($L165,"0.##")&amp;" h"))))</f>
        <v>✅ OK (8. h)</v>
      </c>
      <c r="N165" s="81">
        <f>IF($C165="","",IF($G165=0,3,IF(ABS($L165)&lt;=Config!$C$10,0,IF($L165&lt;0,2,1))))</f>
        <v>0</v>
      </c>
      <c r="O165" s="81" t="str">
        <f>IF($C165="","",IF($N165&gt;0,COUNTIFS($N$4:$N165,"&gt;0"),""))</f>
        <v/>
      </c>
    </row>
    <row r="166" spans="2:15" x14ac:dyDescent="0.25">
      <c r="B166" s="81">
        <f t="shared" si="4"/>
        <v>33</v>
      </c>
      <c r="C166" s="82" t="str">
        <f>IF(INT((ROW()-4)/5)+1&gt;Config!$C$14,"",INDEX(BPOworkers!$B$6:$B$105,INT((ROW()-4)/5)+1))</f>
        <v>K Martínez</v>
      </c>
      <c r="D166" s="82" t="str">
        <f>IF($C166="","",IFERROR(INDEX(BPOworkers!$E$6:$E$105,MATCH($C166,BPOworkers!$B$6:$B$105,0)),""))</f>
        <v>A Camargo</v>
      </c>
      <c r="E166" s="83">
        <f>IF($C166="","",Config!$C$7+MOD(ROW()-4,5))</f>
        <v>46267</v>
      </c>
      <c r="F166" s="82" t="str">
        <f>IF($C166="","",INDEX(Config!$F$7:$F$11,MOD(ROW()-4,5)+1))</f>
        <v>Wednesday</v>
      </c>
      <c r="G166" s="81">
        <f>IF($C166="","",COUNTIFS(RawBtabs!$A$2:$A$1500,$C166,RawBtabs!$C$2:$C$1500,$E166))</f>
        <v>1</v>
      </c>
      <c r="H166" s="84">
        <f>IF($C166="","",SUMIFS(RawBtabs!$T$2:$T$1500,RawBtabs!$A$2:$A$1500,$C166,RawBtabs!$C$2:$C$1500,$E166))</f>
        <v>8</v>
      </c>
      <c r="I166" s="84">
        <f>IF($C166="","",SUMIFS(RawBtabs!$U$2:$U$1500,RawBtabs!$A$2:$A$1500,$C166,RawBtabs!$C$2:$C$1500,$E166))</f>
        <v>0</v>
      </c>
      <c r="J166" s="84">
        <f t="shared" si="5"/>
        <v>8</v>
      </c>
      <c r="K166" s="85">
        <f>IF($C166="","",$J166/Config!$C$9)</f>
        <v>1</v>
      </c>
      <c r="L166" s="84">
        <f>IF($C166="","",$J166-Config!$C$9)</f>
        <v>0</v>
      </c>
      <c r="M166" s="82" t="str">
        <f>IF($C166="","",IF($G166=0,"⛔ NO ENTRY IN BTABS",IF(ABS($L166)&lt;=Config!$C$10,"✅ OK ("&amp;TEXT($J166,"0.##")&amp;" h)",IF($L166&lt;0,"🔻 MISSING "&amp;TEXT(-$L166,"0.##")&amp;" h","🔺 OVER BY "&amp;TEXT($L166,"0.##")&amp;" h"))))</f>
        <v>✅ OK (8. h)</v>
      </c>
      <c r="N166" s="81">
        <f>IF($C166="","",IF($G166=0,3,IF(ABS($L166)&lt;=Config!$C$10,0,IF($L166&lt;0,2,1))))</f>
        <v>0</v>
      </c>
      <c r="O166" s="81" t="str">
        <f>IF($C166="","",IF($N166&gt;0,COUNTIFS($N$4:$N166,"&gt;0"),""))</f>
        <v/>
      </c>
    </row>
    <row r="167" spans="2:15" x14ac:dyDescent="0.25">
      <c r="B167" s="81">
        <f t="shared" si="4"/>
        <v>33</v>
      </c>
      <c r="C167" s="82" t="str">
        <f>IF(INT((ROW()-4)/5)+1&gt;Config!$C$14,"",INDEX(BPOworkers!$B$6:$B$105,INT((ROW()-4)/5)+1))</f>
        <v>K Martínez</v>
      </c>
      <c r="D167" s="82" t="str">
        <f>IF($C167="","",IFERROR(INDEX(BPOworkers!$E$6:$E$105,MATCH($C167,BPOworkers!$B$6:$B$105,0)),""))</f>
        <v>A Camargo</v>
      </c>
      <c r="E167" s="83">
        <f>IF($C167="","",Config!$C$7+MOD(ROW()-4,5))</f>
        <v>46268</v>
      </c>
      <c r="F167" s="82" t="str">
        <f>IF($C167="","",INDEX(Config!$F$7:$F$11,MOD(ROW()-4,5)+1))</f>
        <v>Thursday</v>
      </c>
      <c r="G167" s="81">
        <f>IF($C167="","",COUNTIFS(RawBtabs!$A$2:$A$1500,$C167,RawBtabs!$C$2:$C$1500,$E167))</f>
        <v>1</v>
      </c>
      <c r="H167" s="84">
        <f>IF($C167="","",SUMIFS(RawBtabs!$T$2:$T$1500,RawBtabs!$A$2:$A$1500,$C167,RawBtabs!$C$2:$C$1500,$E167))</f>
        <v>8</v>
      </c>
      <c r="I167" s="84">
        <f>IF($C167="","",SUMIFS(RawBtabs!$U$2:$U$1500,RawBtabs!$A$2:$A$1500,$C167,RawBtabs!$C$2:$C$1500,$E167))</f>
        <v>0</v>
      </c>
      <c r="J167" s="84">
        <f t="shared" si="5"/>
        <v>8</v>
      </c>
      <c r="K167" s="85">
        <f>IF($C167="","",$J167/Config!$C$9)</f>
        <v>1</v>
      </c>
      <c r="L167" s="84">
        <f>IF($C167="","",$J167-Config!$C$9)</f>
        <v>0</v>
      </c>
      <c r="M167" s="82" t="str">
        <f>IF($C167="","",IF($G167=0,"⛔ NO ENTRY IN BTABS",IF(ABS($L167)&lt;=Config!$C$10,"✅ OK ("&amp;TEXT($J167,"0.##")&amp;" h)",IF($L167&lt;0,"🔻 MISSING "&amp;TEXT(-$L167,"0.##")&amp;" h","🔺 OVER BY "&amp;TEXT($L167,"0.##")&amp;" h"))))</f>
        <v>✅ OK (8. h)</v>
      </c>
      <c r="N167" s="81">
        <f>IF($C167="","",IF($G167=0,3,IF(ABS($L167)&lt;=Config!$C$10,0,IF($L167&lt;0,2,1))))</f>
        <v>0</v>
      </c>
      <c r="O167" s="81" t="str">
        <f>IF($C167="","",IF($N167&gt;0,COUNTIFS($N$4:$N167,"&gt;0"),""))</f>
        <v/>
      </c>
    </row>
    <row r="168" spans="2:15" x14ac:dyDescent="0.25">
      <c r="B168" s="81">
        <f t="shared" si="4"/>
        <v>33</v>
      </c>
      <c r="C168" s="82" t="str">
        <f>IF(INT((ROW()-4)/5)+1&gt;Config!$C$14,"",INDEX(BPOworkers!$B$6:$B$105,INT((ROW()-4)/5)+1))</f>
        <v>K Martínez</v>
      </c>
      <c r="D168" s="82" t="str">
        <f>IF($C168="","",IFERROR(INDEX(BPOworkers!$E$6:$E$105,MATCH($C168,BPOworkers!$B$6:$B$105,0)),""))</f>
        <v>A Camargo</v>
      </c>
      <c r="E168" s="83">
        <f>IF($C168="","",Config!$C$7+MOD(ROW()-4,5))</f>
        <v>46269</v>
      </c>
      <c r="F168" s="82" t="str">
        <f>IF($C168="","",INDEX(Config!$F$7:$F$11,MOD(ROW()-4,5)+1))</f>
        <v>Friday</v>
      </c>
      <c r="G168" s="81">
        <f>IF($C168="","",COUNTIFS(RawBtabs!$A$2:$A$1500,$C168,RawBtabs!$C$2:$C$1500,$E168))</f>
        <v>1</v>
      </c>
      <c r="H168" s="84">
        <f>IF($C168="","",SUMIFS(RawBtabs!$T$2:$T$1500,RawBtabs!$A$2:$A$1500,$C168,RawBtabs!$C$2:$C$1500,$E168))</f>
        <v>8</v>
      </c>
      <c r="I168" s="84">
        <f>IF($C168="","",SUMIFS(RawBtabs!$U$2:$U$1500,RawBtabs!$A$2:$A$1500,$C168,RawBtabs!$C$2:$C$1500,$E168))</f>
        <v>0</v>
      </c>
      <c r="J168" s="84">
        <f t="shared" si="5"/>
        <v>8</v>
      </c>
      <c r="K168" s="85">
        <f>IF($C168="","",$J168/Config!$C$9)</f>
        <v>1</v>
      </c>
      <c r="L168" s="84">
        <f>IF($C168="","",$J168-Config!$C$9)</f>
        <v>0</v>
      </c>
      <c r="M168" s="82" t="str">
        <f>IF($C168="","",IF($G168=0,"⛔ NO ENTRY IN BTABS",IF(ABS($L168)&lt;=Config!$C$10,"✅ OK ("&amp;TEXT($J168,"0.##")&amp;" h)",IF($L168&lt;0,"🔻 MISSING "&amp;TEXT(-$L168,"0.##")&amp;" h","🔺 OVER BY "&amp;TEXT($L168,"0.##")&amp;" h"))))</f>
        <v>✅ OK (8. h)</v>
      </c>
      <c r="N168" s="81">
        <f>IF($C168="","",IF($G168=0,3,IF(ABS($L168)&lt;=Config!$C$10,0,IF($L168&lt;0,2,1))))</f>
        <v>0</v>
      </c>
      <c r="O168" s="81" t="str">
        <f>IF($C168="","",IF($N168&gt;0,COUNTIFS($N$4:$N168,"&gt;0"),""))</f>
        <v/>
      </c>
    </row>
    <row r="169" spans="2:15" x14ac:dyDescent="0.25">
      <c r="B169" s="81">
        <f t="shared" si="4"/>
        <v>34</v>
      </c>
      <c r="C169" s="82" t="str">
        <f>IF(INT((ROW()-4)/5)+1&gt;Config!$C$14,"",INDEX(BPOworkers!$B$6:$B$105,INT((ROW()-4)/5)+1))</f>
        <v>D Chinchilla</v>
      </c>
      <c r="D169" s="82" t="str">
        <f>IF($C169="","",IFERROR(INDEX(BPOworkers!$E$6:$E$105,MATCH($C169,BPOworkers!$B$6:$B$105,0)),""))</f>
        <v>M Leon</v>
      </c>
      <c r="E169" s="83">
        <f>IF($C169="","",Config!$C$7+MOD(ROW()-4,5))</f>
        <v>46265</v>
      </c>
      <c r="F169" s="82" t="str">
        <f>IF($C169="","",INDEX(Config!$F$7:$F$11,MOD(ROW()-4,5)+1))</f>
        <v>Monday</v>
      </c>
      <c r="G169" s="81">
        <f>IF($C169="","",COUNTIFS(RawBtabs!$A$2:$A$1500,$C169,RawBtabs!$C$2:$C$1500,$E169))</f>
        <v>1</v>
      </c>
      <c r="H169" s="84">
        <f>IF($C169="","",SUMIFS(RawBtabs!$T$2:$T$1500,RawBtabs!$A$2:$A$1500,$C169,RawBtabs!$C$2:$C$1500,$E169))</f>
        <v>8</v>
      </c>
      <c r="I169" s="84">
        <f>IF($C169="","",SUMIFS(RawBtabs!$U$2:$U$1500,RawBtabs!$A$2:$A$1500,$C169,RawBtabs!$C$2:$C$1500,$E169))</f>
        <v>0</v>
      </c>
      <c r="J169" s="84">
        <f t="shared" si="5"/>
        <v>8</v>
      </c>
      <c r="K169" s="85">
        <f>IF($C169="","",$J169/Config!$C$9)</f>
        <v>1</v>
      </c>
      <c r="L169" s="84">
        <f>IF($C169="","",$J169-Config!$C$9)</f>
        <v>0</v>
      </c>
      <c r="M169" s="82" t="str">
        <f>IF($C169="","",IF($G169=0,"⛔ NO ENTRY IN BTABS",IF(ABS($L169)&lt;=Config!$C$10,"✅ OK ("&amp;TEXT($J169,"0.##")&amp;" h)",IF($L169&lt;0,"🔻 MISSING "&amp;TEXT(-$L169,"0.##")&amp;" h","🔺 OVER BY "&amp;TEXT($L169,"0.##")&amp;" h"))))</f>
        <v>✅ OK (8. h)</v>
      </c>
      <c r="N169" s="81">
        <f>IF($C169="","",IF($G169=0,3,IF(ABS($L169)&lt;=Config!$C$10,0,IF($L169&lt;0,2,1))))</f>
        <v>0</v>
      </c>
      <c r="O169" s="81" t="str">
        <f>IF($C169="","",IF($N169&gt;0,COUNTIFS($N$4:$N169,"&gt;0"),""))</f>
        <v/>
      </c>
    </row>
    <row r="170" spans="2:15" x14ac:dyDescent="0.25">
      <c r="B170" s="81">
        <f t="shared" si="4"/>
        <v>34</v>
      </c>
      <c r="C170" s="82" t="str">
        <f>IF(INT((ROW()-4)/5)+1&gt;Config!$C$14,"",INDEX(BPOworkers!$B$6:$B$105,INT((ROW()-4)/5)+1))</f>
        <v>D Chinchilla</v>
      </c>
      <c r="D170" s="82" t="str">
        <f>IF($C170="","",IFERROR(INDEX(BPOworkers!$E$6:$E$105,MATCH($C170,BPOworkers!$B$6:$B$105,0)),""))</f>
        <v>M Leon</v>
      </c>
      <c r="E170" s="83">
        <f>IF($C170="","",Config!$C$7+MOD(ROW()-4,5))</f>
        <v>46266</v>
      </c>
      <c r="F170" s="82" t="str">
        <f>IF($C170="","",INDEX(Config!$F$7:$F$11,MOD(ROW()-4,5)+1))</f>
        <v>Tuesday</v>
      </c>
      <c r="G170" s="81">
        <f>IF($C170="","",COUNTIFS(RawBtabs!$A$2:$A$1500,$C170,RawBtabs!$C$2:$C$1500,$E170))</f>
        <v>1</v>
      </c>
      <c r="H170" s="84">
        <f>IF($C170="","",SUMIFS(RawBtabs!$T$2:$T$1500,RawBtabs!$A$2:$A$1500,$C170,RawBtabs!$C$2:$C$1500,$E170))</f>
        <v>8</v>
      </c>
      <c r="I170" s="84">
        <f>IF($C170="","",SUMIFS(RawBtabs!$U$2:$U$1500,RawBtabs!$A$2:$A$1500,$C170,RawBtabs!$C$2:$C$1500,$E170))</f>
        <v>0</v>
      </c>
      <c r="J170" s="84">
        <f t="shared" si="5"/>
        <v>8</v>
      </c>
      <c r="K170" s="85">
        <f>IF($C170="","",$J170/Config!$C$9)</f>
        <v>1</v>
      </c>
      <c r="L170" s="84">
        <f>IF($C170="","",$J170-Config!$C$9)</f>
        <v>0</v>
      </c>
      <c r="M170" s="82" t="str">
        <f>IF($C170="","",IF($G170=0,"⛔ NO ENTRY IN BTABS",IF(ABS($L170)&lt;=Config!$C$10,"✅ OK ("&amp;TEXT($J170,"0.##")&amp;" h)",IF($L170&lt;0,"🔻 MISSING "&amp;TEXT(-$L170,"0.##")&amp;" h","🔺 OVER BY "&amp;TEXT($L170,"0.##")&amp;" h"))))</f>
        <v>✅ OK (8. h)</v>
      </c>
      <c r="N170" s="81">
        <f>IF($C170="","",IF($G170=0,3,IF(ABS($L170)&lt;=Config!$C$10,0,IF($L170&lt;0,2,1))))</f>
        <v>0</v>
      </c>
      <c r="O170" s="81" t="str">
        <f>IF($C170="","",IF($N170&gt;0,COUNTIFS($N$4:$N170,"&gt;0"),""))</f>
        <v/>
      </c>
    </row>
    <row r="171" spans="2:15" x14ac:dyDescent="0.25">
      <c r="B171" s="81">
        <f t="shared" si="4"/>
        <v>34</v>
      </c>
      <c r="C171" s="82" t="str">
        <f>IF(INT((ROW()-4)/5)+1&gt;Config!$C$14,"",INDEX(BPOworkers!$B$6:$B$105,INT((ROW()-4)/5)+1))</f>
        <v>D Chinchilla</v>
      </c>
      <c r="D171" s="82" t="str">
        <f>IF($C171="","",IFERROR(INDEX(BPOworkers!$E$6:$E$105,MATCH($C171,BPOworkers!$B$6:$B$105,0)),""))</f>
        <v>M Leon</v>
      </c>
      <c r="E171" s="83">
        <f>IF($C171="","",Config!$C$7+MOD(ROW()-4,5))</f>
        <v>46267</v>
      </c>
      <c r="F171" s="82" t="str">
        <f>IF($C171="","",INDEX(Config!$F$7:$F$11,MOD(ROW()-4,5)+1))</f>
        <v>Wednesday</v>
      </c>
      <c r="G171" s="81">
        <f>IF($C171="","",COUNTIFS(RawBtabs!$A$2:$A$1500,$C171,RawBtabs!$C$2:$C$1500,$E171))</f>
        <v>2</v>
      </c>
      <c r="H171" s="84">
        <f>IF($C171="","",SUMIFS(RawBtabs!$T$2:$T$1500,RawBtabs!$A$2:$A$1500,$C171,RawBtabs!$C$2:$C$1500,$E171))</f>
        <v>8</v>
      </c>
      <c r="I171" s="84">
        <f>IF($C171="","",SUMIFS(RawBtabs!$U$2:$U$1500,RawBtabs!$A$2:$A$1500,$C171,RawBtabs!$C$2:$C$1500,$E171))</f>
        <v>0</v>
      </c>
      <c r="J171" s="84">
        <f t="shared" si="5"/>
        <v>8</v>
      </c>
      <c r="K171" s="85">
        <f>IF($C171="","",$J171/Config!$C$9)</f>
        <v>1</v>
      </c>
      <c r="L171" s="84">
        <f>IF($C171="","",$J171-Config!$C$9)</f>
        <v>0</v>
      </c>
      <c r="M171" s="82" t="str">
        <f>IF($C171="","",IF($G171=0,"⛔ NO ENTRY IN BTABS",IF(ABS($L171)&lt;=Config!$C$10,"✅ OK ("&amp;TEXT($J171,"0.##")&amp;" h)",IF($L171&lt;0,"🔻 MISSING "&amp;TEXT(-$L171,"0.##")&amp;" h","🔺 OVER BY "&amp;TEXT($L171,"0.##")&amp;" h"))))</f>
        <v>✅ OK (8. h)</v>
      </c>
      <c r="N171" s="81">
        <f>IF($C171="","",IF($G171=0,3,IF(ABS($L171)&lt;=Config!$C$10,0,IF($L171&lt;0,2,1))))</f>
        <v>0</v>
      </c>
      <c r="O171" s="81" t="str">
        <f>IF($C171="","",IF($N171&gt;0,COUNTIFS($N$4:$N171,"&gt;0"),""))</f>
        <v/>
      </c>
    </row>
    <row r="172" spans="2:15" x14ac:dyDescent="0.25">
      <c r="B172" s="81">
        <f t="shared" si="4"/>
        <v>34</v>
      </c>
      <c r="C172" s="82" t="str">
        <f>IF(INT((ROW()-4)/5)+1&gt;Config!$C$14,"",INDEX(BPOworkers!$B$6:$B$105,INT((ROW()-4)/5)+1))</f>
        <v>D Chinchilla</v>
      </c>
      <c r="D172" s="82" t="str">
        <f>IF($C172="","",IFERROR(INDEX(BPOworkers!$E$6:$E$105,MATCH($C172,BPOworkers!$B$6:$B$105,0)),""))</f>
        <v>M Leon</v>
      </c>
      <c r="E172" s="83">
        <f>IF($C172="","",Config!$C$7+MOD(ROW()-4,5))</f>
        <v>46268</v>
      </c>
      <c r="F172" s="82" t="str">
        <f>IF($C172="","",INDEX(Config!$F$7:$F$11,MOD(ROW()-4,5)+1))</f>
        <v>Thursday</v>
      </c>
      <c r="G172" s="81">
        <f>IF($C172="","",COUNTIFS(RawBtabs!$A$2:$A$1500,$C172,RawBtabs!$C$2:$C$1500,$E172))</f>
        <v>1</v>
      </c>
      <c r="H172" s="84">
        <f>IF($C172="","",SUMIFS(RawBtabs!$T$2:$T$1500,RawBtabs!$A$2:$A$1500,$C172,RawBtabs!$C$2:$C$1500,$E172))</f>
        <v>8</v>
      </c>
      <c r="I172" s="84">
        <f>IF($C172="","",SUMIFS(RawBtabs!$U$2:$U$1500,RawBtabs!$A$2:$A$1500,$C172,RawBtabs!$C$2:$C$1500,$E172))</f>
        <v>0</v>
      </c>
      <c r="J172" s="84">
        <f t="shared" si="5"/>
        <v>8</v>
      </c>
      <c r="K172" s="85">
        <f>IF($C172="","",$J172/Config!$C$9)</f>
        <v>1</v>
      </c>
      <c r="L172" s="84">
        <f>IF($C172="","",$J172-Config!$C$9)</f>
        <v>0</v>
      </c>
      <c r="M172" s="82" t="str">
        <f>IF($C172="","",IF($G172=0,"⛔ NO ENTRY IN BTABS",IF(ABS($L172)&lt;=Config!$C$10,"✅ OK ("&amp;TEXT($J172,"0.##")&amp;" h)",IF($L172&lt;0,"🔻 MISSING "&amp;TEXT(-$L172,"0.##")&amp;" h","🔺 OVER BY "&amp;TEXT($L172,"0.##")&amp;" h"))))</f>
        <v>✅ OK (8. h)</v>
      </c>
      <c r="N172" s="81">
        <f>IF($C172="","",IF($G172=0,3,IF(ABS($L172)&lt;=Config!$C$10,0,IF($L172&lt;0,2,1))))</f>
        <v>0</v>
      </c>
      <c r="O172" s="81" t="str">
        <f>IF($C172="","",IF($N172&gt;0,COUNTIFS($N$4:$N172,"&gt;0"),""))</f>
        <v/>
      </c>
    </row>
    <row r="173" spans="2:15" x14ac:dyDescent="0.25">
      <c r="B173" s="81">
        <f t="shared" si="4"/>
        <v>34</v>
      </c>
      <c r="C173" s="82" t="str">
        <f>IF(INT((ROW()-4)/5)+1&gt;Config!$C$14,"",INDEX(BPOworkers!$B$6:$B$105,INT((ROW()-4)/5)+1))</f>
        <v>D Chinchilla</v>
      </c>
      <c r="D173" s="82" t="str">
        <f>IF($C173="","",IFERROR(INDEX(BPOworkers!$E$6:$E$105,MATCH($C173,BPOworkers!$B$6:$B$105,0)),""))</f>
        <v>M Leon</v>
      </c>
      <c r="E173" s="83">
        <f>IF($C173="","",Config!$C$7+MOD(ROW()-4,5))</f>
        <v>46269</v>
      </c>
      <c r="F173" s="82" t="str">
        <f>IF($C173="","",INDEX(Config!$F$7:$F$11,MOD(ROW()-4,5)+1))</f>
        <v>Friday</v>
      </c>
      <c r="G173" s="81">
        <f>IF($C173="","",COUNTIFS(RawBtabs!$A$2:$A$1500,$C173,RawBtabs!$C$2:$C$1500,$E173))</f>
        <v>1</v>
      </c>
      <c r="H173" s="84">
        <f>IF($C173="","",SUMIFS(RawBtabs!$T$2:$T$1500,RawBtabs!$A$2:$A$1500,$C173,RawBtabs!$C$2:$C$1500,$E173))</f>
        <v>8</v>
      </c>
      <c r="I173" s="84">
        <f>IF($C173="","",SUMIFS(RawBtabs!$U$2:$U$1500,RawBtabs!$A$2:$A$1500,$C173,RawBtabs!$C$2:$C$1500,$E173))</f>
        <v>0</v>
      </c>
      <c r="J173" s="84">
        <f t="shared" si="5"/>
        <v>8</v>
      </c>
      <c r="K173" s="85">
        <f>IF($C173="","",$J173/Config!$C$9)</f>
        <v>1</v>
      </c>
      <c r="L173" s="84">
        <f>IF($C173="","",$J173-Config!$C$9)</f>
        <v>0</v>
      </c>
      <c r="M173" s="82" t="str">
        <f>IF($C173="","",IF($G173=0,"⛔ NO ENTRY IN BTABS",IF(ABS($L173)&lt;=Config!$C$10,"✅ OK ("&amp;TEXT($J173,"0.##")&amp;" h)",IF($L173&lt;0,"🔻 MISSING "&amp;TEXT(-$L173,"0.##")&amp;" h","🔺 OVER BY "&amp;TEXT($L173,"0.##")&amp;" h"))))</f>
        <v>✅ OK (8. h)</v>
      </c>
      <c r="N173" s="81">
        <f>IF($C173="","",IF($G173=0,3,IF(ABS($L173)&lt;=Config!$C$10,0,IF($L173&lt;0,2,1))))</f>
        <v>0</v>
      </c>
      <c r="O173" s="81" t="str">
        <f>IF($C173="","",IF($N173&gt;0,COUNTIFS($N$4:$N173,"&gt;0"),""))</f>
        <v/>
      </c>
    </row>
    <row r="174" spans="2:15" x14ac:dyDescent="0.25">
      <c r="B174" s="81">
        <f t="shared" si="4"/>
        <v>35</v>
      </c>
      <c r="C174" s="82" t="str">
        <f>IF(INT((ROW()-4)/5)+1&gt;Config!$C$14,"",INDEX(BPOworkers!$B$6:$B$105,INT((ROW()-4)/5)+1))</f>
        <v>A Guerra</v>
      </c>
      <c r="D174" s="82" t="str">
        <f>IF($C174="","",IFERROR(INDEX(BPOworkers!$E$6:$E$105,MATCH($C174,BPOworkers!$B$6:$B$105,0)),""))</f>
        <v>A Camargo</v>
      </c>
      <c r="E174" s="83">
        <f>IF($C174="","",Config!$C$7+MOD(ROW()-4,5))</f>
        <v>46265</v>
      </c>
      <c r="F174" s="82" t="str">
        <f>IF($C174="","",INDEX(Config!$F$7:$F$11,MOD(ROW()-4,5)+1))</f>
        <v>Monday</v>
      </c>
      <c r="G174" s="81">
        <f>IF($C174="","",COUNTIFS(RawBtabs!$A$2:$A$1500,$C174,RawBtabs!$C$2:$C$1500,$E174))</f>
        <v>1</v>
      </c>
      <c r="H174" s="84">
        <f>IF($C174="","",SUMIFS(RawBtabs!$T$2:$T$1500,RawBtabs!$A$2:$A$1500,$C174,RawBtabs!$C$2:$C$1500,$E174))</f>
        <v>8</v>
      </c>
      <c r="I174" s="84">
        <f>IF($C174="","",SUMIFS(RawBtabs!$U$2:$U$1500,RawBtabs!$A$2:$A$1500,$C174,RawBtabs!$C$2:$C$1500,$E174))</f>
        <v>0</v>
      </c>
      <c r="J174" s="84">
        <f t="shared" si="5"/>
        <v>8</v>
      </c>
      <c r="K174" s="85">
        <f>IF($C174="","",$J174/Config!$C$9)</f>
        <v>1</v>
      </c>
      <c r="L174" s="84">
        <f>IF($C174="","",$J174-Config!$C$9)</f>
        <v>0</v>
      </c>
      <c r="M174" s="82" t="str">
        <f>IF($C174="","",IF($G174=0,"⛔ NO ENTRY IN BTABS",IF(ABS($L174)&lt;=Config!$C$10,"✅ OK ("&amp;TEXT($J174,"0.##")&amp;" h)",IF($L174&lt;0,"🔻 MISSING "&amp;TEXT(-$L174,"0.##")&amp;" h","🔺 OVER BY "&amp;TEXT($L174,"0.##")&amp;" h"))))</f>
        <v>✅ OK (8. h)</v>
      </c>
      <c r="N174" s="81">
        <f>IF($C174="","",IF($G174=0,3,IF(ABS($L174)&lt;=Config!$C$10,0,IF($L174&lt;0,2,1))))</f>
        <v>0</v>
      </c>
      <c r="O174" s="81" t="str">
        <f>IF($C174="","",IF($N174&gt;0,COUNTIFS($N$4:$N174,"&gt;0"),""))</f>
        <v/>
      </c>
    </row>
    <row r="175" spans="2:15" x14ac:dyDescent="0.25">
      <c r="B175" s="81">
        <f t="shared" si="4"/>
        <v>35</v>
      </c>
      <c r="C175" s="82" t="str">
        <f>IF(INT((ROW()-4)/5)+1&gt;Config!$C$14,"",INDEX(BPOworkers!$B$6:$B$105,INT((ROW()-4)/5)+1))</f>
        <v>A Guerra</v>
      </c>
      <c r="D175" s="82" t="str">
        <f>IF($C175="","",IFERROR(INDEX(BPOworkers!$E$6:$E$105,MATCH($C175,BPOworkers!$B$6:$B$105,0)),""))</f>
        <v>A Camargo</v>
      </c>
      <c r="E175" s="83">
        <f>IF($C175="","",Config!$C$7+MOD(ROW()-4,5))</f>
        <v>46266</v>
      </c>
      <c r="F175" s="82" t="str">
        <f>IF($C175="","",INDEX(Config!$F$7:$F$11,MOD(ROW()-4,5)+1))</f>
        <v>Tuesday</v>
      </c>
      <c r="G175" s="81">
        <f>IF($C175="","",COUNTIFS(RawBtabs!$A$2:$A$1500,$C175,RawBtabs!$C$2:$C$1500,$E175))</f>
        <v>2</v>
      </c>
      <c r="H175" s="84">
        <f>IF($C175="","",SUMIFS(RawBtabs!$T$2:$T$1500,RawBtabs!$A$2:$A$1500,$C175,RawBtabs!$C$2:$C$1500,$E175))</f>
        <v>8</v>
      </c>
      <c r="I175" s="84">
        <f>IF($C175="","",SUMIFS(RawBtabs!$U$2:$U$1500,RawBtabs!$A$2:$A$1500,$C175,RawBtabs!$C$2:$C$1500,$E175))</f>
        <v>0</v>
      </c>
      <c r="J175" s="84">
        <f t="shared" si="5"/>
        <v>8</v>
      </c>
      <c r="K175" s="85">
        <f>IF($C175="","",$J175/Config!$C$9)</f>
        <v>1</v>
      </c>
      <c r="L175" s="84">
        <f>IF($C175="","",$J175-Config!$C$9)</f>
        <v>0</v>
      </c>
      <c r="M175" s="82" t="str">
        <f>IF($C175="","",IF($G175=0,"⛔ NO ENTRY IN BTABS",IF(ABS($L175)&lt;=Config!$C$10,"✅ OK ("&amp;TEXT($J175,"0.##")&amp;" h)",IF($L175&lt;0,"🔻 MISSING "&amp;TEXT(-$L175,"0.##")&amp;" h","🔺 OVER BY "&amp;TEXT($L175,"0.##")&amp;" h"))))</f>
        <v>✅ OK (8. h)</v>
      </c>
      <c r="N175" s="81">
        <f>IF($C175="","",IF($G175=0,3,IF(ABS($L175)&lt;=Config!$C$10,0,IF($L175&lt;0,2,1))))</f>
        <v>0</v>
      </c>
      <c r="O175" s="81" t="str">
        <f>IF($C175="","",IF($N175&gt;0,COUNTIFS($N$4:$N175,"&gt;0"),""))</f>
        <v/>
      </c>
    </row>
    <row r="176" spans="2:15" x14ac:dyDescent="0.25">
      <c r="B176" s="81">
        <f t="shared" si="4"/>
        <v>35</v>
      </c>
      <c r="C176" s="82" t="str">
        <f>IF(INT((ROW()-4)/5)+1&gt;Config!$C$14,"",INDEX(BPOworkers!$B$6:$B$105,INT((ROW()-4)/5)+1))</f>
        <v>A Guerra</v>
      </c>
      <c r="D176" s="82" t="str">
        <f>IF($C176="","",IFERROR(INDEX(BPOworkers!$E$6:$E$105,MATCH($C176,BPOworkers!$B$6:$B$105,0)),""))</f>
        <v>A Camargo</v>
      </c>
      <c r="E176" s="83">
        <f>IF($C176="","",Config!$C$7+MOD(ROW()-4,5))</f>
        <v>46267</v>
      </c>
      <c r="F176" s="82" t="str">
        <f>IF($C176="","",INDEX(Config!$F$7:$F$11,MOD(ROW()-4,5)+1))</f>
        <v>Wednesday</v>
      </c>
      <c r="G176" s="81">
        <f>IF($C176="","",COUNTIFS(RawBtabs!$A$2:$A$1500,$C176,RawBtabs!$C$2:$C$1500,$E176))</f>
        <v>1</v>
      </c>
      <c r="H176" s="84">
        <f>IF($C176="","",SUMIFS(RawBtabs!$T$2:$T$1500,RawBtabs!$A$2:$A$1500,$C176,RawBtabs!$C$2:$C$1500,$E176))</f>
        <v>8</v>
      </c>
      <c r="I176" s="84">
        <f>IF($C176="","",SUMIFS(RawBtabs!$U$2:$U$1500,RawBtabs!$A$2:$A$1500,$C176,RawBtabs!$C$2:$C$1500,$E176))</f>
        <v>0</v>
      </c>
      <c r="J176" s="84">
        <f t="shared" si="5"/>
        <v>8</v>
      </c>
      <c r="K176" s="85">
        <f>IF($C176="","",$J176/Config!$C$9)</f>
        <v>1</v>
      </c>
      <c r="L176" s="84">
        <f>IF($C176="","",$J176-Config!$C$9)</f>
        <v>0</v>
      </c>
      <c r="M176" s="82" t="str">
        <f>IF($C176="","",IF($G176=0,"⛔ NO ENTRY IN BTABS",IF(ABS($L176)&lt;=Config!$C$10,"✅ OK ("&amp;TEXT($J176,"0.##")&amp;" h)",IF($L176&lt;0,"🔻 MISSING "&amp;TEXT(-$L176,"0.##")&amp;" h","🔺 OVER BY "&amp;TEXT($L176,"0.##")&amp;" h"))))</f>
        <v>✅ OK (8. h)</v>
      </c>
      <c r="N176" s="81">
        <f>IF($C176="","",IF($G176=0,3,IF(ABS($L176)&lt;=Config!$C$10,0,IF($L176&lt;0,2,1))))</f>
        <v>0</v>
      </c>
      <c r="O176" s="81" t="str">
        <f>IF($C176="","",IF($N176&gt;0,COUNTIFS($N$4:$N176,"&gt;0"),""))</f>
        <v/>
      </c>
    </row>
    <row r="177" spans="2:15" x14ac:dyDescent="0.25">
      <c r="B177" s="81">
        <f t="shared" si="4"/>
        <v>35</v>
      </c>
      <c r="C177" s="82" t="str">
        <f>IF(INT((ROW()-4)/5)+1&gt;Config!$C$14,"",INDEX(BPOworkers!$B$6:$B$105,INT((ROW()-4)/5)+1))</f>
        <v>A Guerra</v>
      </c>
      <c r="D177" s="82" t="str">
        <f>IF($C177="","",IFERROR(INDEX(BPOworkers!$E$6:$E$105,MATCH($C177,BPOworkers!$B$6:$B$105,0)),""))</f>
        <v>A Camargo</v>
      </c>
      <c r="E177" s="83">
        <f>IF($C177="","",Config!$C$7+MOD(ROW()-4,5))</f>
        <v>46268</v>
      </c>
      <c r="F177" s="82" t="str">
        <f>IF($C177="","",INDEX(Config!$F$7:$F$11,MOD(ROW()-4,5)+1))</f>
        <v>Thursday</v>
      </c>
      <c r="G177" s="81">
        <f>IF($C177="","",COUNTIFS(RawBtabs!$A$2:$A$1500,$C177,RawBtabs!$C$2:$C$1500,$E177))</f>
        <v>1</v>
      </c>
      <c r="H177" s="84">
        <f>IF($C177="","",SUMIFS(RawBtabs!$T$2:$T$1500,RawBtabs!$A$2:$A$1500,$C177,RawBtabs!$C$2:$C$1500,$E177))</f>
        <v>8</v>
      </c>
      <c r="I177" s="84">
        <f>IF($C177="","",SUMIFS(RawBtabs!$U$2:$U$1500,RawBtabs!$A$2:$A$1500,$C177,RawBtabs!$C$2:$C$1500,$E177))</f>
        <v>0</v>
      </c>
      <c r="J177" s="84">
        <f t="shared" si="5"/>
        <v>8</v>
      </c>
      <c r="K177" s="85">
        <f>IF($C177="","",$J177/Config!$C$9)</f>
        <v>1</v>
      </c>
      <c r="L177" s="84">
        <f>IF($C177="","",$J177-Config!$C$9)</f>
        <v>0</v>
      </c>
      <c r="M177" s="82" t="str">
        <f>IF($C177="","",IF($G177=0,"⛔ NO ENTRY IN BTABS",IF(ABS($L177)&lt;=Config!$C$10,"✅ OK ("&amp;TEXT($J177,"0.##")&amp;" h)",IF($L177&lt;0,"🔻 MISSING "&amp;TEXT(-$L177,"0.##")&amp;" h","🔺 OVER BY "&amp;TEXT($L177,"0.##")&amp;" h"))))</f>
        <v>✅ OK (8. h)</v>
      </c>
      <c r="N177" s="81">
        <f>IF($C177="","",IF($G177=0,3,IF(ABS($L177)&lt;=Config!$C$10,0,IF($L177&lt;0,2,1))))</f>
        <v>0</v>
      </c>
      <c r="O177" s="81" t="str">
        <f>IF($C177="","",IF($N177&gt;0,COUNTIFS($N$4:$N177,"&gt;0"),""))</f>
        <v/>
      </c>
    </row>
    <row r="178" spans="2:15" x14ac:dyDescent="0.25">
      <c r="B178" s="81">
        <f t="shared" si="4"/>
        <v>35</v>
      </c>
      <c r="C178" s="82" t="str">
        <f>IF(INT((ROW()-4)/5)+1&gt;Config!$C$14,"",INDEX(BPOworkers!$B$6:$B$105,INT((ROW()-4)/5)+1))</f>
        <v>A Guerra</v>
      </c>
      <c r="D178" s="82" t="str">
        <f>IF($C178="","",IFERROR(INDEX(BPOworkers!$E$6:$E$105,MATCH($C178,BPOworkers!$B$6:$B$105,0)),""))</f>
        <v>A Camargo</v>
      </c>
      <c r="E178" s="83">
        <f>IF($C178="","",Config!$C$7+MOD(ROW()-4,5))</f>
        <v>46269</v>
      </c>
      <c r="F178" s="82" t="str">
        <f>IF($C178="","",INDEX(Config!$F$7:$F$11,MOD(ROW()-4,5)+1))</f>
        <v>Friday</v>
      </c>
      <c r="G178" s="81">
        <f>IF($C178="","",COUNTIFS(RawBtabs!$A$2:$A$1500,$C178,RawBtabs!$C$2:$C$1500,$E178))</f>
        <v>1</v>
      </c>
      <c r="H178" s="84">
        <f>IF($C178="","",SUMIFS(RawBtabs!$T$2:$T$1500,RawBtabs!$A$2:$A$1500,$C178,RawBtabs!$C$2:$C$1500,$E178))</f>
        <v>8</v>
      </c>
      <c r="I178" s="84">
        <f>IF($C178="","",SUMIFS(RawBtabs!$U$2:$U$1500,RawBtabs!$A$2:$A$1500,$C178,RawBtabs!$C$2:$C$1500,$E178))</f>
        <v>0</v>
      </c>
      <c r="J178" s="84">
        <f t="shared" si="5"/>
        <v>8</v>
      </c>
      <c r="K178" s="85">
        <f>IF($C178="","",$J178/Config!$C$9)</f>
        <v>1</v>
      </c>
      <c r="L178" s="84">
        <f>IF($C178="","",$J178-Config!$C$9)</f>
        <v>0</v>
      </c>
      <c r="M178" s="82" t="str">
        <f>IF($C178="","",IF($G178=0,"⛔ NO ENTRY IN BTABS",IF(ABS($L178)&lt;=Config!$C$10,"✅ OK ("&amp;TEXT($J178,"0.##")&amp;" h)",IF($L178&lt;0,"🔻 MISSING "&amp;TEXT(-$L178,"0.##")&amp;" h","🔺 OVER BY "&amp;TEXT($L178,"0.##")&amp;" h"))))</f>
        <v>✅ OK (8. h)</v>
      </c>
      <c r="N178" s="81">
        <f>IF($C178="","",IF($G178=0,3,IF(ABS($L178)&lt;=Config!$C$10,0,IF($L178&lt;0,2,1))))</f>
        <v>0</v>
      </c>
      <c r="O178" s="81" t="str">
        <f>IF($C178="","",IF($N178&gt;0,COUNTIFS($N$4:$N178,"&gt;0"),""))</f>
        <v/>
      </c>
    </row>
    <row r="179" spans="2:15" x14ac:dyDescent="0.25">
      <c r="B179" s="81">
        <f t="shared" si="4"/>
        <v>36</v>
      </c>
      <c r="C179" s="82" t="str">
        <f>IF(INT((ROW()-4)/5)+1&gt;Config!$C$14,"",INDEX(BPOworkers!$B$6:$B$105,INT((ROW()-4)/5)+1))</f>
        <v>G Pereira</v>
      </c>
      <c r="D179" s="82" t="str">
        <f>IF($C179="","",IFERROR(INDEX(BPOworkers!$E$6:$E$105,MATCH($C179,BPOworkers!$B$6:$B$105,0)),""))</f>
        <v>S Romero</v>
      </c>
      <c r="E179" s="83">
        <f>IF($C179="","",Config!$C$7+MOD(ROW()-4,5))</f>
        <v>46265</v>
      </c>
      <c r="F179" s="82" t="str">
        <f>IF($C179="","",INDEX(Config!$F$7:$F$11,MOD(ROW()-4,5)+1))</f>
        <v>Monday</v>
      </c>
      <c r="G179" s="81">
        <f>IF($C179="","",COUNTIFS(RawBtabs!$A$2:$A$1500,$C179,RawBtabs!$C$2:$C$1500,$E179))</f>
        <v>1</v>
      </c>
      <c r="H179" s="84">
        <f>IF($C179="","",SUMIFS(RawBtabs!$T$2:$T$1500,RawBtabs!$A$2:$A$1500,$C179,RawBtabs!$C$2:$C$1500,$E179))</f>
        <v>8</v>
      </c>
      <c r="I179" s="84">
        <f>IF($C179="","",SUMIFS(RawBtabs!$U$2:$U$1500,RawBtabs!$A$2:$A$1500,$C179,RawBtabs!$C$2:$C$1500,$E179))</f>
        <v>0</v>
      </c>
      <c r="J179" s="84">
        <f t="shared" si="5"/>
        <v>8</v>
      </c>
      <c r="K179" s="85">
        <f>IF($C179="","",$J179/Config!$C$9)</f>
        <v>1</v>
      </c>
      <c r="L179" s="84">
        <f>IF($C179="","",$J179-Config!$C$9)</f>
        <v>0</v>
      </c>
      <c r="M179" s="82" t="str">
        <f>IF($C179="","",IF($G179=0,"⛔ NO ENTRY IN BTABS",IF(ABS($L179)&lt;=Config!$C$10,"✅ OK ("&amp;TEXT($J179,"0.##")&amp;" h)",IF($L179&lt;0,"🔻 MISSING "&amp;TEXT(-$L179,"0.##")&amp;" h","🔺 OVER BY "&amp;TEXT($L179,"0.##")&amp;" h"))))</f>
        <v>✅ OK (8. h)</v>
      </c>
      <c r="N179" s="81">
        <f>IF($C179="","",IF($G179=0,3,IF(ABS($L179)&lt;=Config!$C$10,0,IF($L179&lt;0,2,1))))</f>
        <v>0</v>
      </c>
      <c r="O179" s="81" t="str">
        <f>IF($C179="","",IF($N179&gt;0,COUNTIFS($N$4:$N179,"&gt;0"),""))</f>
        <v/>
      </c>
    </row>
    <row r="180" spans="2:15" x14ac:dyDescent="0.25">
      <c r="B180" s="81">
        <f t="shared" si="4"/>
        <v>36</v>
      </c>
      <c r="C180" s="82" t="str">
        <f>IF(INT((ROW()-4)/5)+1&gt;Config!$C$14,"",INDEX(BPOworkers!$B$6:$B$105,INT((ROW()-4)/5)+1))</f>
        <v>G Pereira</v>
      </c>
      <c r="D180" s="82" t="str">
        <f>IF($C180="","",IFERROR(INDEX(BPOworkers!$E$6:$E$105,MATCH($C180,BPOworkers!$B$6:$B$105,0)),""))</f>
        <v>S Romero</v>
      </c>
      <c r="E180" s="83">
        <f>IF($C180="","",Config!$C$7+MOD(ROW()-4,5))</f>
        <v>46266</v>
      </c>
      <c r="F180" s="82" t="str">
        <f>IF($C180="","",INDEX(Config!$F$7:$F$11,MOD(ROW()-4,5)+1))</f>
        <v>Tuesday</v>
      </c>
      <c r="G180" s="81">
        <f>IF($C180="","",COUNTIFS(RawBtabs!$A$2:$A$1500,$C180,RawBtabs!$C$2:$C$1500,$E180))</f>
        <v>2</v>
      </c>
      <c r="H180" s="84">
        <f>IF($C180="","",SUMIFS(RawBtabs!$T$2:$T$1500,RawBtabs!$A$2:$A$1500,$C180,RawBtabs!$C$2:$C$1500,$E180))</f>
        <v>8</v>
      </c>
      <c r="I180" s="84">
        <f>IF($C180="","",SUMIFS(RawBtabs!$U$2:$U$1500,RawBtabs!$A$2:$A$1500,$C180,RawBtabs!$C$2:$C$1500,$E180))</f>
        <v>0</v>
      </c>
      <c r="J180" s="84">
        <f t="shared" si="5"/>
        <v>8</v>
      </c>
      <c r="K180" s="85">
        <f>IF($C180="","",$J180/Config!$C$9)</f>
        <v>1</v>
      </c>
      <c r="L180" s="84">
        <f>IF($C180="","",$J180-Config!$C$9)</f>
        <v>0</v>
      </c>
      <c r="M180" s="82" t="str">
        <f>IF($C180="","",IF($G180=0,"⛔ NO ENTRY IN BTABS",IF(ABS($L180)&lt;=Config!$C$10,"✅ OK ("&amp;TEXT($J180,"0.##")&amp;" h)",IF($L180&lt;0,"🔻 MISSING "&amp;TEXT(-$L180,"0.##")&amp;" h","🔺 OVER BY "&amp;TEXT($L180,"0.##")&amp;" h"))))</f>
        <v>✅ OK (8. h)</v>
      </c>
      <c r="N180" s="81">
        <f>IF($C180="","",IF($G180=0,3,IF(ABS($L180)&lt;=Config!$C$10,0,IF($L180&lt;0,2,1))))</f>
        <v>0</v>
      </c>
      <c r="O180" s="81" t="str">
        <f>IF($C180="","",IF($N180&gt;0,COUNTIFS($N$4:$N180,"&gt;0"),""))</f>
        <v/>
      </c>
    </row>
    <row r="181" spans="2:15" x14ac:dyDescent="0.25">
      <c r="B181" s="81">
        <f t="shared" si="4"/>
        <v>36</v>
      </c>
      <c r="C181" s="82" t="str">
        <f>IF(INT((ROW()-4)/5)+1&gt;Config!$C$14,"",INDEX(BPOworkers!$B$6:$B$105,INT((ROW()-4)/5)+1))</f>
        <v>G Pereira</v>
      </c>
      <c r="D181" s="82" t="str">
        <f>IF($C181="","",IFERROR(INDEX(BPOworkers!$E$6:$E$105,MATCH($C181,BPOworkers!$B$6:$B$105,0)),""))</f>
        <v>S Romero</v>
      </c>
      <c r="E181" s="83">
        <f>IF($C181="","",Config!$C$7+MOD(ROW()-4,5))</f>
        <v>46267</v>
      </c>
      <c r="F181" s="82" t="str">
        <f>IF($C181="","",INDEX(Config!$F$7:$F$11,MOD(ROW()-4,5)+1))</f>
        <v>Wednesday</v>
      </c>
      <c r="G181" s="81">
        <f>IF($C181="","",COUNTIFS(RawBtabs!$A$2:$A$1500,$C181,RawBtabs!$C$2:$C$1500,$E181))</f>
        <v>2</v>
      </c>
      <c r="H181" s="84">
        <f>IF($C181="","",SUMIFS(RawBtabs!$T$2:$T$1500,RawBtabs!$A$2:$A$1500,$C181,RawBtabs!$C$2:$C$1500,$E181))</f>
        <v>8</v>
      </c>
      <c r="I181" s="84">
        <f>IF($C181="","",SUMIFS(RawBtabs!$U$2:$U$1500,RawBtabs!$A$2:$A$1500,$C181,RawBtabs!$C$2:$C$1500,$E181))</f>
        <v>0</v>
      </c>
      <c r="J181" s="84">
        <f t="shared" si="5"/>
        <v>8</v>
      </c>
      <c r="K181" s="85">
        <f>IF($C181="","",$J181/Config!$C$9)</f>
        <v>1</v>
      </c>
      <c r="L181" s="84">
        <f>IF($C181="","",$J181-Config!$C$9)</f>
        <v>0</v>
      </c>
      <c r="M181" s="82" t="str">
        <f>IF($C181="","",IF($G181=0,"⛔ NO ENTRY IN BTABS",IF(ABS($L181)&lt;=Config!$C$10,"✅ OK ("&amp;TEXT($J181,"0.##")&amp;" h)",IF($L181&lt;0,"🔻 MISSING "&amp;TEXT(-$L181,"0.##")&amp;" h","🔺 OVER BY "&amp;TEXT($L181,"0.##")&amp;" h"))))</f>
        <v>✅ OK (8. h)</v>
      </c>
      <c r="N181" s="81">
        <f>IF($C181="","",IF($G181=0,3,IF(ABS($L181)&lt;=Config!$C$10,0,IF($L181&lt;0,2,1))))</f>
        <v>0</v>
      </c>
      <c r="O181" s="81" t="str">
        <f>IF($C181="","",IF($N181&gt;0,COUNTIFS($N$4:$N181,"&gt;0"),""))</f>
        <v/>
      </c>
    </row>
    <row r="182" spans="2:15" x14ac:dyDescent="0.25">
      <c r="B182" s="81">
        <f t="shared" si="4"/>
        <v>36</v>
      </c>
      <c r="C182" s="82" t="str">
        <f>IF(INT((ROW()-4)/5)+1&gt;Config!$C$14,"",INDEX(BPOworkers!$B$6:$B$105,INT((ROW()-4)/5)+1))</f>
        <v>G Pereira</v>
      </c>
      <c r="D182" s="82" t="str">
        <f>IF($C182="","",IFERROR(INDEX(BPOworkers!$E$6:$E$105,MATCH($C182,BPOworkers!$B$6:$B$105,0)),""))</f>
        <v>S Romero</v>
      </c>
      <c r="E182" s="83">
        <f>IF($C182="","",Config!$C$7+MOD(ROW()-4,5))</f>
        <v>46268</v>
      </c>
      <c r="F182" s="82" t="str">
        <f>IF($C182="","",INDEX(Config!$F$7:$F$11,MOD(ROW()-4,5)+1))</f>
        <v>Thursday</v>
      </c>
      <c r="G182" s="81">
        <f>IF($C182="","",COUNTIFS(RawBtabs!$A$2:$A$1500,$C182,RawBtabs!$C$2:$C$1500,$E182))</f>
        <v>1</v>
      </c>
      <c r="H182" s="84">
        <f>IF($C182="","",SUMIFS(RawBtabs!$T$2:$T$1500,RawBtabs!$A$2:$A$1500,$C182,RawBtabs!$C$2:$C$1500,$E182))</f>
        <v>8</v>
      </c>
      <c r="I182" s="84">
        <f>IF($C182="","",SUMIFS(RawBtabs!$U$2:$U$1500,RawBtabs!$A$2:$A$1500,$C182,RawBtabs!$C$2:$C$1500,$E182))</f>
        <v>0</v>
      </c>
      <c r="J182" s="84">
        <f t="shared" si="5"/>
        <v>8</v>
      </c>
      <c r="K182" s="85">
        <f>IF($C182="","",$J182/Config!$C$9)</f>
        <v>1</v>
      </c>
      <c r="L182" s="84">
        <f>IF($C182="","",$J182-Config!$C$9)</f>
        <v>0</v>
      </c>
      <c r="M182" s="82" t="str">
        <f>IF($C182="","",IF($G182=0,"⛔ NO ENTRY IN BTABS",IF(ABS($L182)&lt;=Config!$C$10,"✅ OK ("&amp;TEXT($J182,"0.##")&amp;" h)",IF($L182&lt;0,"🔻 MISSING "&amp;TEXT(-$L182,"0.##")&amp;" h","🔺 OVER BY "&amp;TEXT($L182,"0.##")&amp;" h"))))</f>
        <v>✅ OK (8. h)</v>
      </c>
      <c r="N182" s="81">
        <f>IF($C182="","",IF($G182=0,3,IF(ABS($L182)&lt;=Config!$C$10,0,IF($L182&lt;0,2,1))))</f>
        <v>0</v>
      </c>
      <c r="O182" s="81" t="str">
        <f>IF($C182="","",IF($N182&gt;0,COUNTIFS($N$4:$N182,"&gt;0"),""))</f>
        <v/>
      </c>
    </row>
    <row r="183" spans="2:15" x14ac:dyDescent="0.25">
      <c r="B183" s="81">
        <f t="shared" si="4"/>
        <v>36</v>
      </c>
      <c r="C183" s="82" t="str">
        <f>IF(INT((ROW()-4)/5)+1&gt;Config!$C$14,"",INDEX(BPOworkers!$B$6:$B$105,INT((ROW()-4)/5)+1))</f>
        <v>G Pereira</v>
      </c>
      <c r="D183" s="82" t="str">
        <f>IF($C183="","",IFERROR(INDEX(BPOworkers!$E$6:$E$105,MATCH($C183,BPOworkers!$B$6:$B$105,0)),""))</f>
        <v>S Romero</v>
      </c>
      <c r="E183" s="83">
        <f>IF($C183="","",Config!$C$7+MOD(ROW()-4,5))</f>
        <v>46269</v>
      </c>
      <c r="F183" s="82" t="str">
        <f>IF($C183="","",INDEX(Config!$F$7:$F$11,MOD(ROW()-4,5)+1))</f>
        <v>Friday</v>
      </c>
      <c r="G183" s="81">
        <f>IF($C183="","",COUNTIFS(RawBtabs!$A$2:$A$1500,$C183,RawBtabs!$C$2:$C$1500,$E183))</f>
        <v>1</v>
      </c>
      <c r="H183" s="84">
        <f>IF($C183="","",SUMIFS(RawBtabs!$T$2:$T$1500,RawBtabs!$A$2:$A$1500,$C183,RawBtabs!$C$2:$C$1500,$E183))</f>
        <v>8</v>
      </c>
      <c r="I183" s="84">
        <f>IF($C183="","",SUMIFS(RawBtabs!$U$2:$U$1500,RawBtabs!$A$2:$A$1500,$C183,RawBtabs!$C$2:$C$1500,$E183))</f>
        <v>0</v>
      </c>
      <c r="J183" s="84">
        <f t="shared" si="5"/>
        <v>8</v>
      </c>
      <c r="K183" s="85">
        <f>IF($C183="","",$J183/Config!$C$9)</f>
        <v>1</v>
      </c>
      <c r="L183" s="84">
        <f>IF($C183="","",$J183-Config!$C$9)</f>
        <v>0</v>
      </c>
      <c r="M183" s="82" t="str">
        <f>IF($C183="","",IF($G183=0,"⛔ NO ENTRY IN BTABS",IF(ABS($L183)&lt;=Config!$C$10,"✅ OK ("&amp;TEXT($J183,"0.##")&amp;" h)",IF($L183&lt;0,"🔻 MISSING "&amp;TEXT(-$L183,"0.##")&amp;" h","🔺 OVER BY "&amp;TEXT($L183,"0.##")&amp;" h"))))</f>
        <v>✅ OK (8. h)</v>
      </c>
      <c r="N183" s="81">
        <f>IF($C183="","",IF($G183=0,3,IF(ABS($L183)&lt;=Config!$C$10,0,IF($L183&lt;0,2,1))))</f>
        <v>0</v>
      </c>
      <c r="O183" s="81" t="str">
        <f>IF($C183="","",IF($N183&gt;0,COUNTIFS($N$4:$N183,"&gt;0"),""))</f>
        <v/>
      </c>
    </row>
    <row r="184" spans="2:15" x14ac:dyDescent="0.25">
      <c r="B184" s="81">
        <f t="shared" si="4"/>
        <v>37</v>
      </c>
      <c r="C184" s="82" t="str">
        <f>IF(INT((ROW()-4)/5)+1&gt;Config!$C$14,"",INDEX(BPOworkers!$B$6:$B$105,INT((ROW()-4)/5)+1))</f>
        <v>O Moreno</v>
      </c>
      <c r="D184" s="82" t="str">
        <f>IF($C184="","",IFERROR(INDEX(BPOworkers!$E$6:$E$105,MATCH($C184,BPOworkers!$B$6:$B$105,0)),""))</f>
        <v>R Sanchez</v>
      </c>
      <c r="E184" s="83">
        <f>IF($C184="","",Config!$C$7+MOD(ROW()-4,5))</f>
        <v>46265</v>
      </c>
      <c r="F184" s="82" t="str">
        <f>IF($C184="","",INDEX(Config!$F$7:$F$11,MOD(ROW()-4,5)+1))</f>
        <v>Monday</v>
      </c>
      <c r="G184" s="81">
        <f>IF($C184="","",COUNTIFS(RawBtabs!$A$2:$A$1500,$C184,RawBtabs!$C$2:$C$1500,$E184))</f>
        <v>1</v>
      </c>
      <c r="H184" s="84">
        <f>IF($C184="","",SUMIFS(RawBtabs!$T$2:$T$1500,RawBtabs!$A$2:$A$1500,$C184,RawBtabs!$C$2:$C$1500,$E184))</f>
        <v>8</v>
      </c>
      <c r="I184" s="84">
        <f>IF($C184="","",SUMIFS(RawBtabs!$U$2:$U$1500,RawBtabs!$A$2:$A$1500,$C184,RawBtabs!$C$2:$C$1500,$E184))</f>
        <v>0</v>
      </c>
      <c r="J184" s="84">
        <f t="shared" si="5"/>
        <v>8</v>
      </c>
      <c r="K184" s="85">
        <f>IF($C184="","",$J184/Config!$C$9)</f>
        <v>1</v>
      </c>
      <c r="L184" s="84">
        <f>IF($C184="","",$J184-Config!$C$9)</f>
        <v>0</v>
      </c>
      <c r="M184" s="82" t="str">
        <f>IF($C184="","",IF($G184=0,"⛔ NO ENTRY IN BTABS",IF(ABS($L184)&lt;=Config!$C$10,"✅ OK ("&amp;TEXT($J184,"0.##")&amp;" h)",IF($L184&lt;0,"🔻 MISSING "&amp;TEXT(-$L184,"0.##")&amp;" h","🔺 OVER BY "&amp;TEXT($L184,"0.##")&amp;" h"))))</f>
        <v>✅ OK (8. h)</v>
      </c>
      <c r="N184" s="81">
        <f>IF($C184="","",IF($G184=0,3,IF(ABS($L184)&lt;=Config!$C$10,0,IF($L184&lt;0,2,1))))</f>
        <v>0</v>
      </c>
      <c r="O184" s="81" t="str">
        <f>IF($C184="","",IF($N184&gt;0,COUNTIFS($N$4:$N184,"&gt;0"),""))</f>
        <v/>
      </c>
    </row>
    <row r="185" spans="2:15" x14ac:dyDescent="0.25">
      <c r="B185" s="81">
        <f t="shared" si="4"/>
        <v>37</v>
      </c>
      <c r="C185" s="82" t="str">
        <f>IF(INT((ROW()-4)/5)+1&gt;Config!$C$14,"",INDEX(BPOworkers!$B$6:$B$105,INT((ROW()-4)/5)+1))</f>
        <v>O Moreno</v>
      </c>
      <c r="D185" s="82" t="str">
        <f>IF($C185="","",IFERROR(INDEX(BPOworkers!$E$6:$E$105,MATCH($C185,BPOworkers!$B$6:$B$105,0)),""))</f>
        <v>R Sanchez</v>
      </c>
      <c r="E185" s="83">
        <f>IF($C185="","",Config!$C$7+MOD(ROW()-4,5))</f>
        <v>46266</v>
      </c>
      <c r="F185" s="82" t="str">
        <f>IF($C185="","",INDEX(Config!$F$7:$F$11,MOD(ROW()-4,5)+1))</f>
        <v>Tuesday</v>
      </c>
      <c r="G185" s="81">
        <f>IF($C185="","",COUNTIFS(RawBtabs!$A$2:$A$1500,$C185,RawBtabs!$C$2:$C$1500,$E185))</f>
        <v>2</v>
      </c>
      <c r="H185" s="84">
        <f>IF($C185="","",SUMIFS(RawBtabs!$T$2:$T$1500,RawBtabs!$A$2:$A$1500,$C185,RawBtabs!$C$2:$C$1500,$E185))</f>
        <v>8</v>
      </c>
      <c r="I185" s="84">
        <f>IF($C185="","",SUMIFS(RawBtabs!$U$2:$U$1500,RawBtabs!$A$2:$A$1500,$C185,RawBtabs!$C$2:$C$1500,$E185))</f>
        <v>0</v>
      </c>
      <c r="J185" s="84">
        <f t="shared" si="5"/>
        <v>8</v>
      </c>
      <c r="K185" s="85">
        <f>IF($C185="","",$J185/Config!$C$9)</f>
        <v>1</v>
      </c>
      <c r="L185" s="84">
        <f>IF($C185="","",$J185-Config!$C$9)</f>
        <v>0</v>
      </c>
      <c r="M185" s="82" t="str">
        <f>IF($C185="","",IF($G185=0,"⛔ NO ENTRY IN BTABS",IF(ABS($L185)&lt;=Config!$C$10,"✅ OK ("&amp;TEXT($J185,"0.##")&amp;" h)",IF($L185&lt;0,"🔻 MISSING "&amp;TEXT(-$L185,"0.##")&amp;" h","🔺 OVER BY "&amp;TEXT($L185,"0.##")&amp;" h"))))</f>
        <v>✅ OK (8. h)</v>
      </c>
      <c r="N185" s="81">
        <f>IF($C185="","",IF($G185=0,3,IF(ABS($L185)&lt;=Config!$C$10,0,IF($L185&lt;0,2,1))))</f>
        <v>0</v>
      </c>
      <c r="O185" s="81" t="str">
        <f>IF($C185="","",IF($N185&gt;0,COUNTIFS($N$4:$N185,"&gt;0"),""))</f>
        <v/>
      </c>
    </row>
    <row r="186" spans="2:15" x14ac:dyDescent="0.25">
      <c r="B186" s="81">
        <f t="shared" si="4"/>
        <v>37</v>
      </c>
      <c r="C186" s="82" t="str">
        <f>IF(INT((ROW()-4)/5)+1&gt;Config!$C$14,"",INDEX(BPOworkers!$B$6:$B$105,INT((ROW()-4)/5)+1))</f>
        <v>O Moreno</v>
      </c>
      <c r="D186" s="82" t="str">
        <f>IF($C186="","",IFERROR(INDEX(BPOworkers!$E$6:$E$105,MATCH($C186,BPOworkers!$B$6:$B$105,0)),""))</f>
        <v>R Sanchez</v>
      </c>
      <c r="E186" s="83">
        <f>IF($C186="","",Config!$C$7+MOD(ROW()-4,5))</f>
        <v>46267</v>
      </c>
      <c r="F186" s="82" t="str">
        <f>IF($C186="","",INDEX(Config!$F$7:$F$11,MOD(ROW()-4,5)+1))</f>
        <v>Wednesday</v>
      </c>
      <c r="G186" s="81">
        <f>IF($C186="","",COUNTIFS(RawBtabs!$A$2:$A$1500,$C186,RawBtabs!$C$2:$C$1500,$E186))</f>
        <v>1</v>
      </c>
      <c r="H186" s="84">
        <f>IF($C186="","",SUMIFS(RawBtabs!$T$2:$T$1500,RawBtabs!$A$2:$A$1500,$C186,RawBtabs!$C$2:$C$1500,$E186))</f>
        <v>8</v>
      </c>
      <c r="I186" s="84">
        <f>IF($C186="","",SUMIFS(RawBtabs!$U$2:$U$1500,RawBtabs!$A$2:$A$1500,$C186,RawBtabs!$C$2:$C$1500,$E186))</f>
        <v>0</v>
      </c>
      <c r="J186" s="84">
        <f t="shared" si="5"/>
        <v>8</v>
      </c>
      <c r="K186" s="85">
        <f>IF($C186="","",$J186/Config!$C$9)</f>
        <v>1</v>
      </c>
      <c r="L186" s="84">
        <f>IF($C186="","",$J186-Config!$C$9)</f>
        <v>0</v>
      </c>
      <c r="M186" s="82" t="str">
        <f>IF($C186="","",IF($G186=0,"⛔ NO ENTRY IN BTABS",IF(ABS($L186)&lt;=Config!$C$10,"✅ OK ("&amp;TEXT($J186,"0.##")&amp;" h)",IF($L186&lt;0,"🔻 MISSING "&amp;TEXT(-$L186,"0.##")&amp;" h","🔺 OVER BY "&amp;TEXT($L186,"0.##")&amp;" h"))))</f>
        <v>✅ OK (8. h)</v>
      </c>
      <c r="N186" s="81">
        <f>IF($C186="","",IF($G186=0,3,IF(ABS($L186)&lt;=Config!$C$10,0,IF($L186&lt;0,2,1))))</f>
        <v>0</v>
      </c>
      <c r="O186" s="81" t="str">
        <f>IF($C186="","",IF($N186&gt;0,COUNTIFS($N$4:$N186,"&gt;0"),""))</f>
        <v/>
      </c>
    </row>
    <row r="187" spans="2:15" x14ac:dyDescent="0.25">
      <c r="B187" s="81">
        <f t="shared" si="4"/>
        <v>37</v>
      </c>
      <c r="C187" s="82" t="str">
        <f>IF(INT((ROW()-4)/5)+1&gt;Config!$C$14,"",INDEX(BPOworkers!$B$6:$B$105,INT((ROW()-4)/5)+1))</f>
        <v>O Moreno</v>
      </c>
      <c r="D187" s="82" t="str">
        <f>IF($C187="","",IFERROR(INDEX(BPOworkers!$E$6:$E$105,MATCH($C187,BPOworkers!$B$6:$B$105,0)),""))</f>
        <v>R Sanchez</v>
      </c>
      <c r="E187" s="83">
        <f>IF($C187="","",Config!$C$7+MOD(ROW()-4,5))</f>
        <v>46268</v>
      </c>
      <c r="F187" s="82" t="str">
        <f>IF($C187="","",INDEX(Config!$F$7:$F$11,MOD(ROW()-4,5)+1))</f>
        <v>Thursday</v>
      </c>
      <c r="G187" s="81">
        <f>IF($C187="","",COUNTIFS(RawBtabs!$A$2:$A$1500,$C187,RawBtabs!$C$2:$C$1500,$E187))</f>
        <v>1</v>
      </c>
      <c r="H187" s="84">
        <f>IF($C187="","",SUMIFS(RawBtabs!$T$2:$T$1500,RawBtabs!$A$2:$A$1500,$C187,RawBtabs!$C$2:$C$1500,$E187))</f>
        <v>8</v>
      </c>
      <c r="I187" s="84">
        <f>IF($C187="","",SUMIFS(RawBtabs!$U$2:$U$1500,RawBtabs!$A$2:$A$1500,$C187,RawBtabs!$C$2:$C$1500,$E187))</f>
        <v>0</v>
      </c>
      <c r="J187" s="84">
        <f t="shared" si="5"/>
        <v>8</v>
      </c>
      <c r="K187" s="85">
        <f>IF($C187="","",$J187/Config!$C$9)</f>
        <v>1</v>
      </c>
      <c r="L187" s="84">
        <f>IF($C187="","",$J187-Config!$C$9)</f>
        <v>0</v>
      </c>
      <c r="M187" s="82" t="str">
        <f>IF($C187="","",IF($G187=0,"⛔ NO ENTRY IN BTABS",IF(ABS($L187)&lt;=Config!$C$10,"✅ OK ("&amp;TEXT($J187,"0.##")&amp;" h)",IF($L187&lt;0,"🔻 MISSING "&amp;TEXT(-$L187,"0.##")&amp;" h","🔺 OVER BY "&amp;TEXT($L187,"0.##")&amp;" h"))))</f>
        <v>✅ OK (8. h)</v>
      </c>
      <c r="N187" s="81">
        <f>IF($C187="","",IF($G187=0,3,IF(ABS($L187)&lt;=Config!$C$10,0,IF($L187&lt;0,2,1))))</f>
        <v>0</v>
      </c>
      <c r="O187" s="81" t="str">
        <f>IF($C187="","",IF($N187&gt;0,COUNTIFS($N$4:$N187,"&gt;0"),""))</f>
        <v/>
      </c>
    </row>
    <row r="188" spans="2:15" x14ac:dyDescent="0.25">
      <c r="B188" s="81">
        <f t="shared" si="4"/>
        <v>37</v>
      </c>
      <c r="C188" s="82" t="str">
        <f>IF(INT((ROW()-4)/5)+1&gt;Config!$C$14,"",INDEX(BPOworkers!$B$6:$B$105,INT((ROW()-4)/5)+1))</f>
        <v>O Moreno</v>
      </c>
      <c r="D188" s="82" t="str">
        <f>IF($C188="","",IFERROR(INDEX(BPOworkers!$E$6:$E$105,MATCH($C188,BPOworkers!$B$6:$B$105,0)),""))</f>
        <v>R Sanchez</v>
      </c>
      <c r="E188" s="83">
        <f>IF($C188="","",Config!$C$7+MOD(ROW()-4,5))</f>
        <v>46269</v>
      </c>
      <c r="F188" s="82" t="str">
        <f>IF($C188="","",INDEX(Config!$F$7:$F$11,MOD(ROW()-4,5)+1))</f>
        <v>Friday</v>
      </c>
      <c r="G188" s="81">
        <f>IF($C188="","",COUNTIFS(RawBtabs!$A$2:$A$1500,$C188,RawBtabs!$C$2:$C$1500,$E188))</f>
        <v>1</v>
      </c>
      <c r="H188" s="84">
        <f>IF($C188="","",SUMIFS(RawBtabs!$T$2:$T$1500,RawBtabs!$A$2:$A$1500,$C188,RawBtabs!$C$2:$C$1500,$E188))</f>
        <v>0</v>
      </c>
      <c r="I188" s="84">
        <f>IF($C188="","",SUMIFS(RawBtabs!$U$2:$U$1500,RawBtabs!$A$2:$A$1500,$C188,RawBtabs!$C$2:$C$1500,$E188))</f>
        <v>8</v>
      </c>
      <c r="J188" s="84">
        <f t="shared" si="5"/>
        <v>8</v>
      </c>
      <c r="K188" s="85">
        <f>IF($C188="","",$J188/Config!$C$9)</f>
        <v>1</v>
      </c>
      <c r="L188" s="84">
        <f>IF($C188="","",$J188-Config!$C$9)</f>
        <v>0</v>
      </c>
      <c r="M188" s="82" t="str">
        <f>IF($C188="","",IF($G188=0,"⛔ NO ENTRY IN BTABS",IF(ABS($L188)&lt;=Config!$C$10,"✅ OK ("&amp;TEXT($J188,"0.##")&amp;" h)",IF($L188&lt;0,"🔻 MISSING "&amp;TEXT(-$L188,"0.##")&amp;" h","🔺 OVER BY "&amp;TEXT($L188,"0.##")&amp;" h"))))</f>
        <v>✅ OK (8. h)</v>
      </c>
      <c r="N188" s="81">
        <f>IF($C188="","",IF($G188=0,3,IF(ABS($L188)&lt;=Config!$C$10,0,IF($L188&lt;0,2,1))))</f>
        <v>0</v>
      </c>
      <c r="O188" s="81" t="str">
        <f>IF($C188="","",IF($N188&gt;0,COUNTIFS($N$4:$N188,"&gt;0"),""))</f>
        <v/>
      </c>
    </row>
    <row r="189" spans="2:15" x14ac:dyDescent="0.25">
      <c r="B189" s="81">
        <f t="shared" si="4"/>
        <v>38</v>
      </c>
      <c r="C189" s="82" t="str">
        <f>IF(INT((ROW()-4)/5)+1&gt;Config!$C$14,"",INDEX(BPOworkers!$B$6:$B$105,INT((ROW()-4)/5)+1))</f>
        <v>S Calderon</v>
      </c>
      <c r="D189" s="82" t="str">
        <f>IF($C189="","",IFERROR(INDEX(BPOworkers!$E$6:$E$105,MATCH($C189,BPOworkers!$B$6:$B$105,0)),""))</f>
        <v>S Romero</v>
      </c>
      <c r="E189" s="83">
        <f>IF($C189="","",Config!$C$7+MOD(ROW()-4,5))</f>
        <v>46265</v>
      </c>
      <c r="F189" s="82" t="str">
        <f>IF($C189="","",INDEX(Config!$F$7:$F$11,MOD(ROW()-4,5)+1))</f>
        <v>Monday</v>
      </c>
      <c r="G189" s="81">
        <f>IF($C189="","",COUNTIFS(RawBtabs!$A$2:$A$1500,$C189,RawBtabs!$C$2:$C$1500,$E189))</f>
        <v>1</v>
      </c>
      <c r="H189" s="84">
        <f>IF($C189="","",SUMIFS(RawBtabs!$T$2:$T$1500,RawBtabs!$A$2:$A$1500,$C189,RawBtabs!$C$2:$C$1500,$E189))</f>
        <v>8</v>
      </c>
      <c r="I189" s="84">
        <f>IF($C189="","",SUMIFS(RawBtabs!$U$2:$U$1500,RawBtabs!$A$2:$A$1500,$C189,RawBtabs!$C$2:$C$1500,$E189))</f>
        <v>0</v>
      </c>
      <c r="J189" s="84">
        <f t="shared" si="5"/>
        <v>8</v>
      </c>
      <c r="K189" s="85">
        <f>IF($C189="","",$J189/Config!$C$9)</f>
        <v>1</v>
      </c>
      <c r="L189" s="84">
        <f>IF($C189="","",$J189-Config!$C$9)</f>
        <v>0</v>
      </c>
      <c r="M189" s="82" t="str">
        <f>IF($C189="","",IF($G189=0,"⛔ NO ENTRY IN BTABS",IF(ABS($L189)&lt;=Config!$C$10,"✅ OK ("&amp;TEXT($J189,"0.##")&amp;" h)",IF($L189&lt;0,"🔻 MISSING "&amp;TEXT(-$L189,"0.##")&amp;" h","🔺 OVER BY "&amp;TEXT($L189,"0.##")&amp;" h"))))</f>
        <v>✅ OK (8. h)</v>
      </c>
      <c r="N189" s="81">
        <f>IF($C189="","",IF($G189=0,3,IF(ABS($L189)&lt;=Config!$C$10,0,IF($L189&lt;0,2,1))))</f>
        <v>0</v>
      </c>
      <c r="O189" s="81" t="str">
        <f>IF($C189="","",IF($N189&gt;0,COUNTIFS($N$4:$N189,"&gt;0"),""))</f>
        <v/>
      </c>
    </row>
    <row r="190" spans="2:15" x14ac:dyDescent="0.25">
      <c r="B190" s="81">
        <f t="shared" si="4"/>
        <v>38</v>
      </c>
      <c r="C190" s="82" t="str">
        <f>IF(INT((ROW()-4)/5)+1&gt;Config!$C$14,"",INDEX(BPOworkers!$B$6:$B$105,INT((ROW()-4)/5)+1))</f>
        <v>S Calderon</v>
      </c>
      <c r="D190" s="82" t="str">
        <f>IF($C190="","",IFERROR(INDEX(BPOworkers!$E$6:$E$105,MATCH($C190,BPOworkers!$B$6:$B$105,0)),""))</f>
        <v>S Romero</v>
      </c>
      <c r="E190" s="83">
        <f>IF($C190="","",Config!$C$7+MOD(ROW()-4,5))</f>
        <v>46266</v>
      </c>
      <c r="F190" s="82" t="str">
        <f>IF($C190="","",INDEX(Config!$F$7:$F$11,MOD(ROW()-4,5)+1))</f>
        <v>Tuesday</v>
      </c>
      <c r="G190" s="81">
        <f>IF($C190="","",COUNTIFS(RawBtabs!$A$2:$A$1500,$C190,RawBtabs!$C$2:$C$1500,$E190))</f>
        <v>1</v>
      </c>
      <c r="H190" s="84">
        <f>IF($C190="","",SUMIFS(RawBtabs!$T$2:$T$1500,RawBtabs!$A$2:$A$1500,$C190,RawBtabs!$C$2:$C$1500,$E190))</f>
        <v>8</v>
      </c>
      <c r="I190" s="84">
        <f>IF($C190="","",SUMIFS(RawBtabs!$U$2:$U$1500,RawBtabs!$A$2:$A$1500,$C190,RawBtabs!$C$2:$C$1500,$E190))</f>
        <v>0</v>
      </c>
      <c r="J190" s="84">
        <f t="shared" si="5"/>
        <v>8</v>
      </c>
      <c r="K190" s="85">
        <f>IF($C190="","",$J190/Config!$C$9)</f>
        <v>1</v>
      </c>
      <c r="L190" s="84">
        <f>IF($C190="","",$J190-Config!$C$9)</f>
        <v>0</v>
      </c>
      <c r="M190" s="82" t="str">
        <f>IF($C190="","",IF($G190=0,"⛔ NO ENTRY IN BTABS",IF(ABS($L190)&lt;=Config!$C$10,"✅ OK ("&amp;TEXT($J190,"0.##")&amp;" h)",IF($L190&lt;0,"🔻 MISSING "&amp;TEXT(-$L190,"0.##")&amp;" h","🔺 OVER BY "&amp;TEXT($L190,"0.##")&amp;" h"))))</f>
        <v>✅ OK (8. h)</v>
      </c>
      <c r="N190" s="81">
        <f>IF($C190="","",IF($G190=0,3,IF(ABS($L190)&lt;=Config!$C$10,0,IF($L190&lt;0,2,1))))</f>
        <v>0</v>
      </c>
      <c r="O190" s="81" t="str">
        <f>IF($C190="","",IF($N190&gt;0,COUNTIFS($N$4:$N190,"&gt;0"),""))</f>
        <v/>
      </c>
    </row>
    <row r="191" spans="2:15" x14ac:dyDescent="0.25">
      <c r="B191" s="81">
        <f t="shared" si="4"/>
        <v>38</v>
      </c>
      <c r="C191" s="82" t="str">
        <f>IF(INT((ROW()-4)/5)+1&gt;Config!$C$14,"",INDEX(BPOworkers!$B$6:$B$105,INT((ROW()-4)/5)+1))</f>
        <v>S Calderon</v>
      </c>
      <c r="D191" s="82" t="str">
        <f>IF($C191="","",IFERROR(INDEX(BPOworkers!$E$6:$E$105,MATCH($C191,BPOworkers!$B$6:$B$105,0)),""))</f>
        <v>S Romero</v>
      </c>
      <c r="E191" s="83">
        <f>IF($C191="","",Config!$C$7+MOD(ROW()-4,5))</f>
        <v>46267</v>
      </c>
      <c r="F191" s="82" t="str">
        <f>IF($C191="","",INDEX(Config!$F$7:$F$11,MOD(ROW()-4,5)+1))</f>
        <v>Wednesday</v>
      </c>
      <c r="G191" s="81">
        <f>IF($C191="","",COUNTIFS(RawBtabs!$A$2:$A$1500,$C191,RawBtabs!$C$2:$C$1500,$E191))</f>
        <v>1</v>
      </c>
      <c r="H191" s="84">
        <f>IF($C191="","",SUMIFS(RawBtabs!$T$2:$T$1500,RawBtabs!$A$2:$A$1500,$C191,RawBtabs!$C$2:$C$1500,$E191))</f>
        <v>8</v>
      </c>
      <c r="I191" s="84">
        <f>IF($C191="","",SUMIFS(RawBtabs!$U$2:$U$1500,RawBtabs!$A$2:$A$1500,$C191,RawBtabs!$C$2:$C$1500,$E191))</f>
        <v>0</v>
      </c>
      <c r="J191" s="84">
        <f t="shared" si="5"/>
        <v>8</v>
      </c>
      <c r="K191" s="85">
        <f>IF($C191="","",$J191/Config!$C$9)</f>
        <v>1</v>
      </c>
      <c r="L191" s="84">
        <f>IF($C191="","",$J191-Config!$C$9)</f>
        <v>0</v>
      </c>
      <c r="M191" s="82" t="str">
        <f>IF($C191="","",IF($G191=0,"⛔ NO ENTRY IN BTABS",IF(ABS($L191)&lt;=Config!$C$10,"✅ OK ("&amp;TEXT($J191,"0.##")&amp;" h)",IF($L191&lt;0,"🔻 MISSING "&amp;TEXT(-$L191,"0.##")&amp;" h","🔺 OVER BY "&amp;TEXT($L191,"0.##")&amp;" h"))))</f>
        <v>✅ OK (8. h)</v>
      </c>
      <c r="N191" s="81">
        <f>IF($C191="","",IF($G191=0,3,IF(ABS($L191)&lt;=Config!$C$10,0,IF($L191&lt;0,2,1))))</f>
        <v>0</v>
      </c>
      <c r="O191" s="81" t="str">
        <f>IF($C191="","",IF($N191&gt;0,COUNTIFS($N$4:$N191,"&gt;0"),""))</f>
        <v/>
      </c>
    </row>
    <row r="192" spans="2:15" x14ac:dyDescent="0.25">
      <c r="B192" s="81">
        <f t="shared" si="4"/>
        <v>38</v>
      </c>
      <c r="C192" s="82" t="str">
        <f>IF(INT((ROW()-4)/5)+1&gt;Config!$C$14,"",INDEX(BPOworkers!$B$6:$B$105,INT((ROW()-4)/5)+1))</f>
        <v>S Calderon</v>
      </c>
      <c r="D192" s="82" t="str">
        <f>IF($C192="","",IFERROR(INDEX(BPOworkers!$E$6:$E$105,MATCH($C192,BPOworkers!$B$6:$B$105,0)),""))</f>
        <v>S Romero</v>
      </c>
      <c r="E192" s="83">
        <f>IF($C192="","",Config!$C$7+MOD(ROW()-4,5))</f>
        <v>46268</v>
      </c>
      <c r="F192" s="82" t="str">
        <f>IF($C192="","",INDEX(Config!$F$7:$F$11,MOD(ROW()-4,5)+1))</f>
        <v>Thursday</v>
      </c>
      <c r="G192" s="81">
        <f>IF($C192="","",COUNTIFS(RawBtabs!$A$2:$A$1500,$C192,RawBtabs!$C$2:$C$1500,$E192))</f>
        <v>1</v>
      </c>
      <c r="H192" s="84">
        <f>IF($C192="","",SUMIFS(RawBtabs!$T$2:$T$1500,RawBtabs!$A$2:$A$1500,$C192,RawBtabs!$C$2:$C$1500,$E192))</f>
        <v>8</v>
      </c>
      <c r="I192" s="84">
        <f>IF($C192="","",SUMIFS(RawBtabs!$U$2:$U$1500,RawBtabs!$A$2:$A$1500,$C192,RawBtabs!$C$2:$C$1500,$E192))</f>
        <v>0</v>
      </c>
      <c r="J192" s="84">
        <f t="shared" si="5"/>
        <v>8</v>
      </c>
      <c r="K192" s="85">
        <f>IF($C192="","",$J192/Config!$C$9)</f>
        <v>1</v>
      </c>
      <c r="L192" s="84">
        <f>IF($C192="","",$J192-Config!$C$9)</f>
        <v>0</v>
      </c>
      <c r="M192" s="82" t="str">
        <f>IF($C192="","",IF($G192=0,"⛔ NO ENTRY IN BTABS",IF(ABS($L192)&lt;=Config!$C$10,"✅ OK ("&amp;TEXT($J192,"0.##")&amp;" h)",IF($L192&lt;0,"🔻 MISSING "&amp;TEXT(-$L192,"0.##")&amp;" h","🔺 OVER BY "&amp;TEXT($L192,"0.##")&amp;" h"))))</f>
        <v>✅ OK (8. h)</v>
      </c>
      <c r="N192" s="81">
        <f>IF($C192="","",IF($G192=0,3,IF(ABS($L192)&lt;=Config!$C$10,0,IF($L192&lt;0,2,1))))</f>
        <v>0</v>
      </c>
      <c r="O192" s="81" t="str">
        <f>IF($C192="","",IF($N192&gt;0,COUNTIFS($N$4:$N192,"&gt;0"),""))</f>
        <v/>
      </c>
    </row>
    <row r="193" spans="2:15" x14ac:dyDescent="0.25">
      <c r="B193" s="81">
        <f t="shared" si="4"/>
        <v>38</v>
      </c>
      <c r="C193" s="82" t="str">
        <f>IF(INT((ROW()-4)/5)+1&gt;Config!$C$14,"",INDEX(BPOworkers!$B$6:$B$105,INT((ROW()-4)/5)+1))</f>
        <v>S Calderon</v>
      </c>
      <c r="D193" s="82" t="str">
        <f>IF($C193="","",IFERROR(INDEX(BPOworkers!$E$6:$E$105,MATCH($C193,BPOworkers!$B$6:$B$105,0)),""))</f>
        <v>S Romero</v>
      </c>
      <c r="E193" s="83">
        <f>IF($C193="","",Config!$C$7+MOD(ROW()-4,5))</f>
        <v>46269</v>
      </c>
      <c r="F193" s="82" t="str">
        <f>IF($C193="","",INDEX(Config!$F$7:$F$11,MOD(ROW()-4,5)+1))</f>
        <v>Friday</v>
      </c>
      <c r="G193" s="81">
        <f>IF($C193="","",COUNTIFS(RawBtabs!$A$2:$A$1500,$C193,RawBtabs!$C$2:$C$1500,$E193))</f>
        <v>2</v>
      </c>
      <c r="H193" s="84">
        <f>IF($C193="","",SUMIFS(RawBtabs!$T$2:$T$1500,RawBtabs!$A$2:$A$1500,$C193,RawBtabs!$C$2:$C$1500,$E193))</f>
        <v>8</v>
      </c>
      <c r="I193" s="84">
        <f>IF($C193="","",SUMIFS(RawBtabs!$U$2:$U$1500,RawBtabs!$A$2:$A$1500,$C193,RawBtabs!$C$2:$C$1500,$E193))</f>
        <v>0</v>
      </c>
      <c r="J193" s="84">
        <f t="shared" si="5"/>
        <v>8</v>
      </c>
      <c r="K193" s="85">
        <f>IF($C193="","",$J193/Config!$C$9)</f>
        <v>1</v>
      </c>
      <c r="L193" s="84">
        <f>IF($C193="","",$J193-Config!$C$9)</f>
        <v>0</v>
      </c>
      <c r="M193" s="82" t="str">
        <f>IF($C193="","",IF($G193=0,"⛔ NO ENTRY IN BTABS",IF(ABS($L193)&lt;=Config!$C$10,"✅ OK ("&amp;TEXT($J193,"0.##")&amp;" h)",IF($L193&lt;0,"🔻 MISSING "&amp;TEXT(-$L193,"0.##")&amp;" h","🔺 OVER BY "&amp;TEXT($L193,"0.##")&amp;" h"))))</f>
        <v>✅ OK (8. h)</v>
      </c>
      <c r="N193" s="81">
        <f>IF($C193="","",IF($G193=0,3,IF(ABS($L193)&lt;=Config!$C$10,0,IF($L193&lt;0,2,1))))</f>
        <v>0</v>
      </c>
      <c r="O193" s="81" t="str">
        <f>IF($C193="","",IF($N193&gt;0,COUNTIFS($N$4:$N193,"&gt;0"),""))</f>
        <v/>
      </c>
    </row>
    <row r="194" spans="2:15" x14ac:dyDescent="0.25">
      <c r="B194" s="81" t="str">
        <f t="shared" si="4"/>
        <v/>
      </c>
      <c r="C194" s="82" t="str">
        <f>IF(INT((ROW()-4)/5)+1&gt;Config!$C$14,"",INDEX(BPOworkers!$B$6:$B$105,INT((ROW()-4)/5)+1))</f>
        <v/>
      </c>
      <c r="D194" s="82" t="str">
        <f>IF($C194="","",IFERROR(INDEX(BPOworkers!$E$6:$E$105,MATCH($C194,BPOworkers!$B$6:$B$105,0)),""))</f>
        <v/>
      </c>
      <c r="E194" s="83" t="str">
        <f>IF($C194="","",Config!$C$7+MOD(ROW()-4,5))</f>
        <v/>
      </c>
      <c r="F194" s="82" t="str">
        <f>IF($C194="","",INDEX(Config!$F$7:$F$11,MOD(ROW()-4,5)+1))</f>
        <v/>
      </c>
      <c r="G194" s="81" t="str">
        <f>IF($C194="","",COUNTIFS(RawBtabs!$A$2:$A$1500,$C194,RawBtabs!$C$2:$C$1500,$E194))</f>
        <v/>
      </c>
      <c r="H194" s="84" t="str">
        <f>IF($C194="","",SUMIFS(RawBtabs!$T$2:$T$1500,RawBtabs!$A$2:$A$1500,$C194,RawBtabs!$C$2:$C$1500,$E194))</f>
        <v/>
      </c>
      <c r="I194" s="84" t="str">
        <f>IF($C194="","",SUMIFS(RawBtabs!$U$2:$U$1500,RawBtabs!$A$2:$A$1500,$C194,RawBtabs!$C$2:$C$1500,$E194))</f>
        <v/>
      </c>
      <c r="J194" s="84" t="str">
        <f t="shared" si="5"/>
        <v/>
      </c>
      <c r="K194" s="85" t="str">
        <f>IF($C194="","",$J194/Config!$C$9)</f>
        <v/>
      </c>
      <c r="L194" s="84" t="str">
        <f>IF($C194="","",$J194-Config!$C$9)</f>
        <v/>
      </c>
      <c r="M194" s="82" t="str">
        <f>IF($C194="","",IF($G194=0,"⛔ NO ENTRY IN BTABS",IF(ABS($L194)&lt;=Config!$C$10,"✅ OK ("&amp;TEXT($J194,"0.##")&amp;" h)",IF($L194&lt;0,"🔻 MISSING "&amp;TEXT(-$L194,"0.##")&amp;" h","🔺 OVER BY "&amp;TEXT($L194,"0.##")&amp;" h"))))</f>
        <v/>
      </c>
      <c r="N194" s="81" t="str">
        <f>IF($C194="","",IF($G194=0,3,IF(ABS($L194)&lt;=Config!$C$10,0,IF($L194&lt;0,2,1))))</f>
        <v/>
      </c>
      <c r="O194" s="81" t="str">
        <f>IF($C194="","",IF($N194&gt;0,COUNTIFS($N$4:$N194,"&gt;0"),""))</f>
        <v/>
      </c>
    </row>
    <row r="195" spans="2:15" x14ac:dyDescent="0.25">
      <c r="B195" s="81" t="str">
        <f t="shared" si="4"/>
        <v/>
      </c>
      <c r="C195" s="82" t="str">
        <f>IF(INT((ROW()-4)/5)+1&gt;Config!$C$14,"",INDEX(BPOworkers!$B$6:$B$105,INT((ROW()-4)/5)+1))</f>
        <v/>
      </c>
      <c r="D195" s="82" t="str">
        <f>IF($C195="","",IFERROR(INDEX(BPOworkers!$E$6:$E$105,MATCH($C195,BPOworkers!$B$6:$B$105,0)),""))</f>
        <v/>
      </c>
      <c r="E195" s="83" t="str">
        <f>IF($C195="","",Config!$C$7+MOD(ROW()-4,5))</f>
        <v/>
      </c>
      <c r="F195" s="82" t="str">
        <f>IF($C195="","",INDEX(Config!$F$7:$F$11,MOD(ROW()-4,5)+1))</f>
        <v/>
      </c>
      <c r="G195" s="81" t="str">
        <f>IF($C195="","",COUNTIFS(RawBtabs!$A$2:$A$1500,$C195,RawBtabs!$C$2:$C$1500,$E195))</f>
        <v/>
      </c>
      <c r="H195" s="84" t="str">
        <f>IF($C195="","",SUMIFS(RawBtabs!$T$2:$T$1500,RawBtabs!$A$2:$A$1500,$C195,RawBtabs!$C$2:$C$1500,$E195))</f>
        <v/>
      </c>
      <c r="I195" s="84" t="str">
        <f>IF($C195="","",SUMIFS(RawBtabs!$U$2:$U$1500,RawBtabs!$A$2:$A$1500,$C195,RawBtabs!$C$2:$C$1500,$E195))</f>
        <v/>
      </c>
      <c r="J195" s="84" t="str">
        <f t="shared" si="5"/>
        <v/>
      </c>
      <c r="K195" s="85" t="str">
        <f>IF($C195="","",$J195/Config!$C$9)</f>
        <v/>
      </c>
      <c r="L195" s="84" t="str">
        <f>IF($C195="","",$J195-Config!$C$9)</f>
        <v/>
      </c>
      <c r="M195" s="82" t="str">
        <f>IF($C195="","",IF($G195=0,"⛔ NO ENTRY IN BTABS",IF(ABS($L195)&lt;=Config!$C$10,"✅ OK ("&amp;TEXT($J195,"0.##")&amp;" h)",IF($L195&lt;0,"🔻 MISSING "&amp;TEXT(-$L195,"0.##")&amp;" h","🔺 OVER BY "&amp;TEXT($L195,"0.##")&amp;" h"))))</f>
        <v/>
      </c>
      <c r="N195" s="81" t="str">
        <f>IF($C195="","",IF($G195=0,3,IF(ABS($L195)&lt;=Config!$C$10,0,IF($L195&lt;0,2,1))))</f>
        <v/>
      </c>
      <c r="O195" s="81" t="str">
        <f>IF($C195="","",IF($N195&gt;0,COUNTIFS($N$4:$N195,"&gt;0"),""))</f>
        <v/>
      </c>
    </row>
    <row r="196" spans="2:15" x14ac:dyDescent="0.25">
      <c r="B196" s="81" t="str">
        <f t="shared" ref="B196:B259" si="6">IF($C196="","",INT((ROW()-4)/5)+1)</f>
        <v/>
      </c>
      <c r="C196" s="82" t="str">
        <f>IF(INT((ROW()-4)/5)+1&gt;Config!$C$14,"",INDEX(BPOworkers!$B$6:$B$105,INT((ROW()-4)/5)+1))</f>
        <v/>
      </c>
      <c r="D196" s="82" t="str">
        <f>IF($C196="","",IFERROR(INDEX(BPOworkers!$E$6:$E$105,MATCH($C196,BPOworkers!$B$6:$B$105,0)),""))</f>
        <v/>
      </c>
      <c r="E196" s="83" t="str">
        <f>IF($C196="","",Config!$C$7+MOD(ROW()-4,5))</f>
        <v/>
      </c>
      <c r="F196" s="82" t="str">
        <f>IF($C196="","",INDEX(Config!$F$7:$F$11,MOD(ROW()-4,5)+1))</f>
        <v/>
      </c>
      <c r="G196" s="81" t="str">
        <f>IF($C196="","",COUNTIFS(RawBtabs!$A$2:$A$1500,$C196,RawBtabs!$C$2:$C$1500,$E196))</f>
        <v/>
      </c>
      <c r="H196" s="84" t="str">
        <f>IF($C196="","",SUMIFS(RawBtabs!$T$2:$T$1500,RawBtabs!$A$2:$A$1500,$C196,RawBtabs!$C$2:$C$1500,$E196))</f>
        <v/>
      </c>
      <c r="I196" s="84" t="str">
        <f>IF($C196="","",SUMIFS(RawBtabs!$U$2:$U$1500,RawBtabs!$A$2:$A$1500,$C196,RawBtabs!$C$2:$C$1500,$E196))</f>
        <v/>
      </c>
      <c r="J196" s="84" t="str">
        <f t="shared" ref="J196:J259" si="7">IF($C196="","",$H196+$I196)</f>
        <v/>
      </c>
      <c r="K196" s="85" t="str">
        <f>IF($C196="","",$J196/Config!$C$9)</f>
        <v/>
      </c>
      <c r="L196" s="84" t="str">
        <f>IF($C196="","",$J196-Config!$C$9)</f>
        <v/>
      </c>
      <c r="M196" s="82" t="str">
        <f>IF($C196="","",IF($G196=0,"⛔ NO ENTRY IN BTABS",IF(ABS($L196)&lt;=Config!$C$10,"✅ OK ("&amp;TEXT($J196,"0.##")&amp;" h)",IF($L196&lt;0,"🔻 MISSING "&amp;TEXT(-$L196,"0.##")&amp;" h","🔺 OVER BY "&amp;TEXT($L196,"0.##")&amp;" h"))))</f>
        <v/>
      </c>
      <c r="N196" s="81" t="str">
        <f>IF($C196="","",IF($G196=0,3,IF(ABS($L196)&lt;=Config!$C$10,0,IF($L196&lt;0,2,1))))</f>
        <v/>
      </c>
      <c r="O196" s="81" t="str">
        <f>IF($C196="","",IF($N196&gt;0,COUNTIFS($N$4:$N196,"&gt;0"),""))</f>
        <v/>
      </c>
    </row>
    <row r="197" spans="2:15" x14ac:dyDescent="0.25">
      <c r="B197" s="81" t="str">
        <f t="shared" si="6"/>
        <v/>
      </c>
      <c r="C197" s="82" t="str">
        <f>IF(INT((ROW()-4)/5)+1&gt;Config!$C$14,"",INDEX(BPOworkers!$B$6:$B$105,INT((ROW()-4)/5)+1))</f>
        <v/>
      </c>
      <c r="D197" s="82" t="str">
        <f>IF($C197="","",IFERROR(INDEX(BPOworkers!$E$6:$E$105,MATCH($C197,BPOworkers!$B$6:$B$105,0)),""))</f>
        <v/>
      </c>
      <c r="E197" s="83" t="str">
        <f>IF($C197="","",Config!$C$7+MOD(ROW()-4,5))</f>
        <v/>
      </c>
      <c r="F197" s="82" t="str">
        <f>IF($C197="","",INDEX(Config!$F$7:$F$11,MOD(ROW()-4,5)+1))</f>
        <v/>
      </c>
      <c r="G197" s="81" t="str">
        <f>IF($C197="","",COUNTIFS(RawBtabs!$A$2:$A$1500,$C197,RawBtabs!$C$2:$C$1500,$E197))</f>
        <v/>
      </c>
      <c r="H197" s="84" t="str">
        <f>IF($C197="","",SUMIFS(RawBtabs!$T$2:$T$1500,RawBtabs!$A$2:$A$1500,$C197,RawBtabs!$C$2:$C$1500,$E197))</f>
        <v/>
      </c>
      <c r="I197" s="84" t="str">
        <f>IF($C197="","",SUMIFS(RawBtabs!$U$2:$U$1500,RawBtabs!$A$2:$A$1500,$C197,RawBtabs!$C$2:$C$1500,$E197))</f>
        <v/>
      </c>
      <c r="J197" s="84" t="str">
        <f t="shared" si="7"/>
        <v/>
      </c>
      <c r="K197" s="85" t="str">
        <f>IF($C197="","",$J197/Config!$C$9)</f>
        <v/>
      </c>
      <c r="L197" s="84" t="str">
        <f>IF($C197="","",$J197-Config!$C$9)</f>
        <v/>
      </c>
      <c r="M197" s="82" t="str">
        <f>IF($C197="","",IF($G197=0,"⛔ NO ENTRY IN BTABS",IF(ABS($L197)&lt;=Config!$C$10,"✅ OK ("&amp;TEXT($J197,"0.##")&amp;" h)",IF($L197&lt;0,"🔻 MISSING "&amp;TEXT(-$L197,"0.##")&amp;" h","🔺 OVER BY "&amp;TEXT($L197,"0.##")&amp;" h"))))</f>
        <v/>
      </c>
      <c r="N197" s="81" t="str">
        <f>IF($C197="","",IF($G197=0,3,IF(ABS($L197)&lt;=Config!$C$10,0,IF($L197&lt;0,2,1))))</f>
        <v/>
      </c>
      <c r="O197" s="81" t="str">
        <f>IF($C197="","",IF($N197&gt;0,COUNTIFS($N$4:$N197,"&gt;0"),""))</f>
        <v/>
      </c>
    </row>
    <row r="198" spans="2:15" x14ac:dyDescent="0.25">
      <c r="B198" s="81" t="str">
        <f t="shared" si="6"/>
        <v/>
      </c>
      <c r="C198" s="82" t="str">
        <f>IF(INT((ROW()-4)/5)+1&gt;Config!$C$14,"",INDEX(BPOworkers!$B$6:$B$105,INT((ROW()-4)/5)+1))</f>
        <v/>
      </c>
      <c r="D198" s="82" t="str">
        <f>IF($C198="","",IFERROR(INDEX(BPOworkers!$E$6:$E$105,MATCH($C198,BPOworkers!$B$6:$B$105,0)),""))</f>
        <v/>
      </c>
      <c r="E198" s="83" t="str">
        <f>IF($C198="","",Config!$C$7+MOD(ROW()-4,5))</f>
        <v/>
      </c>
      <c r="F198" s="82" t="str">
        <f>IF($C198="","",INDEX(Config!$F$7:$F$11,MOD(ROW()-4,5)+1))</f>
        <v/>
      </c>
      <c r="G198" s="81" t="str">
        <f>IF($C198="","",COUNTIFS(RawBtabs!$A$2:$A$1500,$C198,RawBtabs!$C$2:$C$1500,$E198))</f>
        <v/>
      </c>
      <c r="H198" s="84" t="str">
        <f>IF($C198="","",SUMIFS(RawBtabs!$T$2:$T$1500,RawBtabs!$A$2:$A$1500,$C198,RawBtabs!$C$2:$C$1500,$E198))</f>
        <v/>
      </c>
      <c r="I198" s="84" t="str">
        <f>IF($C198="","",SUMIFS(RawBtabs!$U$2:$U$1500,RawBtabs!$A$2:$A$1500,$C198,RawBtabs!$C$2:$C$1500,$E198))</f>
        <v/>
      </c>
      <c r="J198" s="84" t="str">
        <f t="shared" si="7"/>
        <v/>
      </c>
      <c r="K198" s="85" t="str">
        <f>IF($C198="","",$J198/Config!$C$9)</f>
        <v/>
      </c>
      <c r="L198" s="84" t="str">
        <f>IF($C198="","",$J198-Config!$C$9)</f>
        <v/>
      </c>
      <c r="M198" s="82" t="str">
        <f>IF($C198="","",IF($G198=0,"⛔ NO ENTRY IN BTABS",IF(ABS($L198)&lt;=Config!$C$10,"✅ OK ("&amp;TEXT($J198,"0.##")&amp;" h)",IF($L198&lt;0,"🔻 MISSING "&amp;TEXT(-$L198,"0.##")&amp;" h","🔺 OVER BY "&amp;TEXT($L198,"0.##")&amp;" h"))))</f>
        <v/>
      </c>
      <c r="N198" s="81" t="str">
        <f>IF($C198="","",IF($G198=0,3,IF(ABS($L198)&lt;=Config!$C$10,0,IF($L198&lt;0,2,1))))</f>
        <v/>
      </c>
      <c r="O198" s="81" t="str">
        <f>IF($C198="","",IF($N198&gt;0,COUNTIFS($N$4:$N198,"&gt;0"),""))</f>
        <v/>
      </c>
    </row>
    <row r="199" spans="2:15" x14ac:dyDescent="0.25">
      <c r="B199" s="81" t="str">
        <f t="shared" si="6"/>
        <v/>
      </c>
      <c r="C199" s="82" t="str">
        <f>IF(INT((ROW()-4)/5)+1&gt;Config!$C$14,"",INDEX(BPOworkers!$B$6:$B$105,INT((ROW()-4)/5)+1))</f>
        <v/>
      </c>
      <c r="D199" s="82" t="str">
        <f>IF($C199="","",IFERROR(INDEX(BPOworkers!$E$6:$E$105,MATCH($C199,BPOworkers!$B$6:$B$105,0)),""))</f>
        <v/>
      </c>
      <c r="E199" s="83" t="str">
        <f>IF($C199="","",Config!$C$7+MOD(ROW()-4,5))</f>
        <v/>
      </c>
      <c r="F199" s="82" t="str">
        <f>IF($C199="","",INDEX(Config!$F$7:$F$11,MOD(ROW()-4,5)+1))</f>
        <v/>
      </c>
      <c r="G199" s="81" t="str">
        <f>IF($C199="","",COUNTIFS(RawBtabs!$A$2:$A$1500,$C199,RawBtabs!$C$2:$C$1500,$E199))</f>
        <v/>
      </c>
      <c r="H199" s="84" t="str">
        <f>IF($C199="","",SUMIFS(RawBtabs!$T$2:$T$1500,RawBtabs!$A$2:$A$1500,$C199,RawBtabs!$C$2:$C$1500,$E199))</f>
        <v/>
      </c>
      <c r="I199" s="84" t="str">
        <f>IF($C199="","",SUMIFS(RawBtabs!$U$2:$U$1500,RawBtabs!$A$2:$A$1500,$C199,RawBtabs!$C$2:$C$1500,$E199))</f>
        <v/>
      </c>
      <c r="J199" s="84" t="str">
        <f t="shared" si="7"/>
        <v/>
      </c>
      <c r="K199" s="85" t="str">
        <f>IF($C199="","",$J199/Config!$C$9)</f>
        <v/>
      </c>
      <c r="L199" s="84" t="str">
        <f>IF($C199="","",$J199-Config!$C$9)</f>
        <v/>
      </c>
      <c r="M199" s="82" t="str">
        <f>IF($C199="","",IF($G199=0,"⛔ NO ENTRY IN BTABS",IF(ABS($L199)&lt;=Config!$C$10,"✅ OK ("&amp;TEXT($J199,"0.##")&amp;" h)",IF($L199&lt;0,"🔻 MISSING "&amp;TEXT(-$L199,"0.##")&amp;" h","🔺 OVER BY "&amp;TEXT($L199,"0.##")&amp;" h"))))</f>
        <v/>
      </c>
      <c r="N199" s="81" t="str">
        <f>IF($C199="","",IF($G199=0,3,IF(ABS($L199)&lt;=Config!$C$10,0,IF($L199&lt;0,2,1))))</f>
        <v/>
      </c>
      <c r="O199" s="81" t="str">
        <f>IF($C199="","",IF($N199&gt;0,COUNTIFS($N$4:$N199,"&gt;0"),""))</f>
        <v/>
      </c>
    </row>
    <row r="200" spans="2:15" x14ac:dyDescent="0.25">
      <c r="B200" s="81" t="str">
        <f t="shared" si="6"/>
        <v/>
      </c>
      <c r="C200" s="82" t="str">
        <f>IF(INT((ROW()-4)/5)+1&gt;Config!$C$14,"",INDEX(BPOworkers!$B$6:$B$105,INT((ROW()-4)/5)+1))</f>
        <v/>
      </c>
      <c r="D200" s="82" t="str">
        <f>IF($C200="","",IFERROR(INDEX(BPOworkers!$E$6:$E$105,MATCH($C200,BPOworkers!$B$6:$B$105,0)),""))</f>
        <v/>
      </c>
      <c r="E200" s="83" t="str">
        <f>IF($C200="","",Config!$C$7+MOD(ROW()-4,5))</f>
        <v/>
      </c>
      <c r="F200" s="82" t="str">
        <f>IF($C200="","",INDEX(Config!$F$7:$F$11,MOD(ROW()-4,5)+1))</f>
        <v/>
      </c>
      <c r="G200" s="81" t="str">
        <f>IF($C200="","",COUNTIFS(RawBtabs!$A$2:$A$1500,$C200,RawBtabs!$C$2:$C$1500,$E200))</f>
        <v/>
      </c>
      <c r="H200" s="84" t="str">
        <f>IF($C200="","",SUMIFS(RawBtabs!$T$2:$T$1500,RawBtabs!$A$2:$A$1500,$C200,RawBtabs!$C$2:$C$1500,$E200))</f>
        <v/>
      </c>
      <c r="I200" s="84" t="str">
        <f>IF($C200="","",SUMIFS(RawBtabs!$U$2:$U$1500,RawBtabs!$A$2:$A$1500,$C200,RawBtabs!$C$2:$C$1500,$E200))</f>
        <v/>
      </c>
      <c r="J200" s="84" t="str">
        <f t="shared" si="7"/>
        <v/>
      </c>
      <c r="K200" s="85" t="str">
        <f>IF($C200="","",$J200/Config!$C$9)</f>
        <v/>
      </c>
      <c r="L200" s="84" t="str">
        <f>IF($C200="","",$J200-Config!$C$9)</f>
        <v/>
      </c>
      <c r="M200" s="82" t="str">
        <f>IF($C200="","",IF($G200=0,"⛔ NO ENTRY IN BTABS",IF(ABS($L200)&lt;=Config!$C$10,"✅ OK ("&amp;TEXT($J200,"0.##")&amp;" h)",IF($L200&lt;0,"🔻 MISSING "&amp;TEXT(-$L200,"0.##")&amp;" h","🔺 OVER BY "&amp;TEXT($L200,"0.##")&amp;" h"))))</f>
        <v/>
      </c>
      <c r="N200" s="81" t="str">
        <f>IF($C200="","",IF($G200=0,3,IF(ABS($L200)&lt;=Config!$C$10,0,IF($L200&lt;0,2,1))))</f>
        <v/>
      </c>
      <c r="O200" s="81" t="str">
        <f>IF($C200="","",IF($N200&gt;0,COUNTIFS($N$4:$N200,"&gt;0"),""))</f>
        <v/>
      </c>
    </row>
    <row r="201" spans="2:15" x14ac:dyDescent="0.25">
      <c r="B201" s="81" t="str">
        <f t="shared" si="6"/>
        <v/>
      </c>
      <c r="C201" s="82" t="str">
        <f>IF(INT((ROW()-4)/5)+1&gt;Config!$C$14,"",INDEX(BPOworkers!$B$6:$B$105,INT((ROW()-4)/5)+1))</f>
        <v/>
      </c>
      <c r="D201" s="82" t="str">
        <f>IF($C201="","",IFERROR(INDEX(BPOworkers!$E$6:$E$105,MATCH($C201,BPOworkers!$B$6:$B$105,0)),""))</f>
        <v/>
      </c>
      <c r="E201" s="83" t="str">
        <f>IF($C201="","",Config!$C$7+MOD(ROW()-4,5))</f>
        <v/>
      </c>
      <c r="F201" s="82" t="str">
        <f>IF($C201="","",INDEX(Config!$F$7:$F$11,MOD(ROW()-4,5)+1))</f>
        <v/>
      </c>
      <c r="G201" s="81" t="str">
        <f>IF($C201="","",COUNTIFS(RawBtabs!$A$2:$A$1500,$C201,RawBtabs!$C$2:$C$1500,$E201))</f>
        <v/>
      </c>
      <c r="H201" s="84" t="str">
        <f>IF($C201="","",SUMIFS(RawBtabs!$T$2:$T$1500,RawBtabs!$A$2:$A$1500,$C201,RawBtabs!$C$2:$C$1500,$E201))</f>
        <v/>
      </c>
      <c r="I201" s="84" t="str">
        <f>IF($C201="","",SUMIFS(RawBtabs!$U$2:$U$1500,RawBtabs!$A$2:$A$1500,$C201,RawBtabs!$C$2:$C$1500,$E201))</f>
        <v/>
      </c>
      <c r="J201" s="84" t="str">
        <f t="shared" si="7"/>
        <v/>
      </c>
      <c r="K201" s="85" t="str">
        <f>IF($C201="","",$J201/Config!$C$9)</f>
        <v/>
      </c>
      <c r="L201" s="84" t="str">
        <f>IF($C201="","",$J201-Config!$C$9)</f>
        <v/>
      </c>
      <c r="M201" s="82" t="str">
        <f>IF($C201="","",IF($G201=0,"⛔ NO ENTRY IN BTABS",IF(ABS($L201)&lt;=Config!$C$10,"✅ OK ("&amp;TEXT($J201,"0.##")&amp;" h)",IF($L201&lt;0,"🔻 MISSING "&amp;TEXT(-$L201,"0.##")&amp;" h","🔺 OVER BY "&amp;TEXT($L201,"0.##")&amp;" h"))))</f>
        <v/>
      </c>
      <c r="N201" s="81" t="str">
        <f>IF($C201="","",IF($G201=0,3,IF(ABS($L201)&lt;=Config!$C$10,0,IF($L201&lt;0,2,1))))</f>
        <v/>
      </c>
      <c r="O201" s="81" t="str">
        <f>IF($C201="","",IF($N201&gt;0,COUNTIFS($N$4:$N201,"&gt;0"),""))</f>
        <v/>
      </c>
    </row>
    <row r="202" spans="2:15" x14ac:dyDescent="0.25">
      <c r="B202" s="81" t="str">
        <f t="shared" si="6"/>
        <v/>
      </c>
      <c r="C202" s="82" t="str">
        <f>IF(INT((ROW()-4)/5)+1&gt;Config!$C$14,"",INDEX(BPOworkers!$B$6:$B$105,INT((ROW()-4)/5)+1))</f>
        <v/>
      </c>
      <c r="D202" s="82" t="str">
        <f>IF($C202="","",IFERROR(INDEX(BPOworkers!$E$6:$E$105,MATCH($C202,BPOworkers!$B$6:$B$105,0)),""))</f>
        <v/>
      </c>
      <c r="E202" s="83" t="str">
        <f>IF($C202="","",Config!$C$7+MOD(ROW()-4,5))</f>
        <v/>
      </c>
      <c r="F202" s="82" t="str">
        <f>IF($C202="","",INDEX(Config!$F$7:$F$11,MOD(ROW()-4,5)+1))</f>
        <v/>
      </c>
      <c r="G202" s="81" t="str">
        <f>IF($C202="","",COUNTIFS(RawBtabs!$A$2:$A$1500,$C202,RawBtabs!$C$2:$C$1500,$E202))</f>
        <v/>
      </c>
      <c r="H202" s="84" t="str">
        <f>IF($C202="","",SUMIFS(RawBtabs!$T$2:$T$1500,RawBtabs!$A$2:$A$1500,$C202,RawBtabs!$C$2:$C$1500,$E202))</f>
        <v/>
      </c>
      <c r="I202" s="84" t="str">
        <f>IF($C202="","",SUMIFS(RawBtabs!$U$2:$U$1500,RawBtabs!$A$2:$A$1500,$C202,RawBtabs!$C$2:$C$1500,$E202))</f>
        <v/>
      </c>
      <c r="J202" s="84" t="str">
        <f t="shared" si="7"/>
        <v/>
      </c>
      <c r="K202" s="85" t="str">
        <f>IF($C202="","",$J202/Config!$C$9)</f>
        <v/>
      </c>
      <c r="L202" s="84" t="str">
        <f>IF($C202="","",$J202-Config!$C$9)</f>
        <v/>
      </c>
      <c r="M202" s="82" t="str">
        <f>IF($C202="","",IF($G202=0,"⛔ NO ENTRY IN BTABS",IF(ABS($L202)&lt;=Config!$C$10,"✅ OK ("&amp;TEXT($J202,"0.##")&amp;" h)",IF($L202&lt;0,"🔻 MISSING "&amp;TEXT(-$L202,"0.##")&amp;" h","🔺 OVER BY "&amp;TEXT($L202,"0.##")&amp;" h"))))</f>
        <v/>
      </c>
      <c r="N202" s="81" t="str">
        <f>IF($C202="","",IF($G202=0,3,IF(ABS($L202)&lt;=Config!$C$10,0,IF($L202&lt;0,2,1))))</f>
        <v/>
      </c>
      <c r="O202" s="81" t="str">
        <f>IF($C202="","",IF($N202&gt;0,COUNTIFS($N$4:$N202,"&gt;0"),""))</f>
        <v/>
      </c>
    </row>
    <row r="203" spans="2:15" x14ac:dyDescent="0.25">
      <c r="B203" s="81" t="str">
        <f t="shared" si="6"/>
        <v/>
      </c>
      <c r="C203" s="82" t="str">
        <f>IF(INT((ROW()-4)/5)+1&gt;Config!$C$14,"",INDEX(BPOworkers!$B$6:$B$105,INT((ROW()-4)/5)+1))</f>
        <v/>
      </c>
      <c r="D203" s="82" t="str">
        <f>IF($C203="","",IFERROR(INDEX(BPOworkers!$E$6:$E$105,MATCH($C203,BPOworkers!$B$6:$B$105,0)),""))</f>
        <v/>
      </c>
      <c r="E203" s="83" t="str">
        <f>IF($C203="","",Config!$C$7+MOD(ROW()-4,5))</f>
        <v/>
      </c>
      <c r="F203" s="82" t="str">
        <f>IF($C203="","",INDEX(Config!$F$7:$F$11,MOD(ROW()-4,5)+1))</f>
        <v/>
      </c>
      <c r="G203" s="81" t="str">
        <f>IF($C203="","",COUNTIFS(RawBtabs!$A$2:$A$1500,$C203,RawBtabs!$C$2:$C$1500,$E203))</f>
        <v/>
      </c>
      <c r="H203" s="84" t="str">
        <f>IF($C203="","",SUMIFS(RawBtabs!$T$2:$T$1500,RawBtabs!$A$2:$A$1500,$C203,RawBtabs!$C$2:$C$1500,$E203))</f>
        <v/>
      </c>
      <c r="I203" s="84" t="str">
        <f>IF($C203="","",SUMIFS(RawBtabs!$U$2:$U$1500,RawBtabs!$A$2:$A$1500,$C203,RawBtabs!$C$2:$C$1500,$E203))</f>
        <v/>
      </c>
      <c r="J203" s="84" t="str">
        <f t="shared" si="7"/>
        <v/>
      </c>
      <c r="K203" s="85" t="str">
        <f>IF($C203="","",$J203/Config!$C$9)</f>
        <v/>
      </c>
      <c r="L203" s="84" t="str">
        <f>IF($C203="","",$J203-Config!$C$9)</f>
        <v/>
      </c>
      <c r="M203" s="82" t="str">
        <f>IF($C203="","",IF($G203=0,"⛔ NO ENTRY IN BTABS",IF(ABS($L203)&lt;=Config!$C$10,"✅ OK ("&amp;TEXT($J203,"0.##")&amp;" h)",IF($L203&lt;0,"🔻 MISSING "&amp;TEXT(-$L203,"0.##")&amp;" h","🔺 OVER BY "&amp;TEXT($L203,"0.##")&amp;" h"))))</f>
        <v/>
      </c>
      <c r="N203" s="81" t="str">
        <f>IF($C203="","",IF($G203=0,3,IF(ABS($L203)&lt;=Config!$C$10,0,IF($L203&lt;0,2,1))))</f>
        <v/>
      </c>
      <c r="O203" s="81" t="str">
        <f>IF($C203="","",IF($N203&gt;0,COUNTIFS($N$4:$N203,"&gt;0"),""))</f>
        <v/>
      </c>
    </row>
    <row r="204" spans="2:15" x14ac:dyDescent="0.25">
      <c r="B204" s="81" t="str">
        <f t="shared" si="6"/>
        <v/>
      </c>
      <c r="C204" s="82" t="str">
        <f>IF(INT((ROW()-4)/5)+1&gt;Config!$C$14,"",INDEX(BPOworkers!$B$6:$B$105,INT((ROW()-4)/5)+1))</f>
        <v/>
      </c>
      <c r="D204" s="82" t="str">
        <f>IF($C204="","",IFERROR(INDEX(BPOworkers!$E$6:$E$105,MATCH($C204,BPOworkers!$B$6:$B$105,0)),""))</f>
        <v/>
      </c>
      <c r="E204" s="83" t="str">
        <f>IF($C204="","",Config!$C$7+MOD(ROW()-4,5))</f>
        <v/>
      </c>
      <c r="F204" s="82" t="str">
        <f>IF($C204="","",INDEX(Config!$F$7:$F$11,MOD(ROW()-4,5)+1))</f>
        <v/>
      </c>
      <c r="G204" s="81" t="str">
        <f>IF($C204="","",COUNTIFS(RawBtabs!$A$2:$A$1500,$C204,RawBtabs!$C$2:$C$1500,$E204))</f>
        <v/>
      </c>
      <c r="H204" s="84" t="str">
        <f>IF($C204="","",SUMIFS(RawBtabs!$T$2:$T$1500,RawBtabs!$A$2:$A$1500,$C204,RawBtabs!$C$2:$C$1500,$E204))</f>
        <v/>
      </c>
      <c r="I204" s="84" t="str">
        <f>IF($C204="","",SUMIFS(RawBtabs!$U$2:$U$1500,RawBtabs!$A$2:$A$1500,$C204,RawBtabs!$C$2:$C$1500,$E204))</f>
        <v/>
      </c>
      <c r="J204" s="84" t="str">
        <f t="shared" si="7"/>
        <v/>
      </c>
      <c r="K204" s="85" t="str">
        <f>IF($C204="","",$J204/Config!$C$9)</f>
        <v/>
      </c>
      <c r="L204" s="84" t="str">
        <f>IF($C204="","",$J204-Config!$C$9)</f>
        <v/>
      </c>
      <c r="M204" s="82" t="str">
        <f>IF($C204="","",IF($G204=0,"⛔ NO ENTRY IN BTABS",IF(ABS($L204)&lt;=Config!$C$10,"✅ OK ("&amp;TEXT($J204,"0.##")&amp;" h)",IF($L204&lt;0,"🔻 MISSING "&amp;TEXT(-$L204,"0.##")&amp;" h","🔺 OVER BY "&amp;TEXT($L204,"0.##")&amp;" h"))))</f>
        <v/>
      </c>
      <c r="N204" s="81" t="str">
        <f>IF($C204="","",IF($G204=0,3,IF(ABS($L204)&lt;=Config!$C$10,0,IF($L204&lt;0,2,1))))</f>
        <v/>
      </c>
      <c r="O204" s="81" t="str">
        <f>IF($C204="","",IF($N204&gt;0,COUNTIFS($N$4:$N204,"&gt;0"),""))</f>
        <v/>
      </c>
    </row>
    <row r="205" spans="2:15" x14ac:dyDescent="0.25">
      <c r="B205" s="81" t="str">
        <f t="shared" si="6"/>
        <v/>
      </c>
      <c r="C205" s="82" t="str">
        <f>IF(INT((ROW()-4)/5)+1&gt;Config!$C$14,"",INDEX(BPOworkers!$B$6:$B$105,INT((ROW()-4)/5)+1))</f>
        <v/>
      </c>
      <c r="D205" s="82" t="str">
        <f>IF($C205="","",IFERROR(INDEX(BPOworkers!$E$6:$E$105,MATCH($C205,BPOworkers!$B$6:$B$105,0)),""))</f>
        <v/>
      </c>
      <c r="E205" s="83" t="str">
        <f>IF($C205="","",Config!$C$7+MOD(ROW()-4,5))</f>
        <v/>
      </c>
      <c r="F205" s="82" t="str">
        <f>IF($C205="","",INDEX(Config!$F$7:$F$11,MOD(ROW()-4,5)+1))</f>
        <v/>
      </c>
      <c r="G205" s="81" t="str">
        <f>IF($C205="","",COUNTIFS(RawBtabs!$A$2:$A$1500,$C205,RawBtabs!$C$2:$C$1500,$E205))</f>
        <v/>
      </c>
      <c r="H205" s="84" t="str">
        <f>IF($C205="","",SUMIFS(RawBtabs!$T$2:$T$1500,RawBtabs!$A$2:$A$1500,$C205,RawBtabs!$C$2:$C$1500,$E205))</f>
        <v/>
      </c>
      <c r="I205" s="84" t="str">
        <f>IF($C205="","",SUMIFS(RawBtabs!$U$2:$U$1500,RawBtabs!$A$2:$A$1500,$C205,RawBtabs!$C$2:$C$1500,$E205))</f>
        <v/>
      </c>
      <c r="J205" s="84" t="str">
        <f t="shared" si="7"/>
        <v/>
      </c>
      <c r="K205" s="85" t="str">
        <f>IF($C205="","",$J205/Config!$C$9)</f>
        <v/>
      </c>
      <c r="L205" s="84" t="str">
        <f>IF($C205="","",$J205-Config!$C$9)</f>
        <v/>
      </c>
      <c r="M205" s="82" t="str">
        <f>IF($C205="","",IF($G205=0,"⛔ NO ENTRY IN BTABS",IF(ABS($L205)&lt;=Config!$C$10,"✅ OK ("&amp;TEXT($J205,"0.##")&amp;" h)",IF($L205&lt;0,"🔻 MISSING "&amp;TEXT(-$L205,"0.##")&amp;" h","🔺 OVER BY "&amp;TEXT($L205,"0.##")&amp;" h"))))</f>
        <v/>
      </c>
      <c r="N205" s="81" t="str">
        <f>IF($C205="","",IF($G205=0,3,IF(ABS($L205)&lt;=Config!$C$10,0,IF($L205&lt;0,2,1))))</f>
        <v/>
      </c>
      <c r="O205" s="81" t="str">
        <f>IF($C205="","",IF($N205&gt;0,COUNTIFS($N$4:$N205,"&gt;0"),""))</f>
        <v/>
      </c>
    </row>
    <row r="206" spans="2:15" x14ac:dyDescent="0.25">
      <c r="B206" s="81" t="str">
        <f t="shared" si="6"/>
        <v/>
      </c>
      <c r="C206" s="82" t="str">
        <f>IF(INT((ROW()-4)/5)+1&gt;Config!$C$14,"",INDEX(BPOworkers!$B$6:$B$105,INT((ROW()-4)/5)+1))</f>
        <v/>
      </c>
      <c r="D206" s="82" t="str">
        <f>IF($C206="","",IFERROR(INDEX(BPOworkers!$E$6:$E$105,MATCH($C206,BPOworkers!$B$6:$B$105,0)),""))</f>
        <v/>
      </c>
      <c r="E206" s="83" t="str">
        <f>IF($C206="","",Config!$C$7+MOD(ROW()-4,5))</f>
        <v/>
      </c>
      <c r="F206" s="82" t="str">
        <f>IF($C206="","",INDEX(Config!$F$7:$F$11,MOD(ROW()-4,5)+1))</f>
        <v/>
      </c>
      <c r="G206" s="81" t="str">
        <f>IF($C206="","",COUNTIFS(RawBtabs!$A$2:$A$1500,$C206,RawBtabs!$C$2:$C$1500,$E206))</f>
        <v/>
      </c>
      <c r="H206" s="84" t="str">
        <f>IF($C206="","",SUMIFS(RawBtabs!$T$2:$T$1500,RawBtabs!$A$2:$A$1500,$C206,RawBtabs!$C$2:$C$1500,$E206))</f>
        <v/>
      </c>
      <c r="I206" s="84" t="str">
        <f>IF($C206="","",SUMIFS(RawBtabs!$U$2:$U$1500,RawBtabs!$A$2:$A$1500,$C206,RawBtabs!$C$2:$C$1500,$E206))</f>
        <v/>
      </c>
      <c r="J206" s="84" t="str">
        <f t="shared" si="7"/>
        <v/>
      </c>
      <c r="K206" s="85" t="str">
        <f>IF($C206="","",$J206/Config!$C$9)</f>
        <v/>
      </c>
      <c r="L206" s="84" t="str">
        <f>IF($C206="","",$J206-Config!$C$9)</f>
        <v/>
      </c>
      <c r="M206" s="82" t="str">
        <f>IF($C206="","",IF($G206=0,"⛔ NO ENTRY IN BTABS",IF(ABS($L206)&lt;=Config!$C$10,"✅ OK ("&amp;TEXT($J206,"0.##")&amp;" h)",IF($L206&lt;0,"🔻 MISSING "&amp;TEXT(-$L206,"0.##")&amp;" h","🔺 OVER BY "&amp;TEXT($L206,"0.##")&amp;" h"))))</f>
        <v/>
      </c>
      <c r="N206" s="81" t="str">
        <f>IF($C206="","",IF($G206=0,3,IF(ABS($L206)&lt;=Config!$C$10,0,IF($L206&lt;0,2,1))))</f>
        <v/>
      </c>
      <c r="O206" s="81" t="str">
        <f>IF($C206="","",IF($N206&gt;0,COUNTIFS($N$4:$N206,"&gt;0"),""))</f>
        <v/>
      </c>
    </row>
    <row r="207" spans="2:15" x14ac:dyDescent="0.25">
      <c r="B207" s="81" t="str">
        <f t="shared" si="6"/>
        <v/>
      </c>
      <c r="C207" s="82" t="str">
        <f>IF(INT((ROW()-4)/5)+1&gt;Config!$C$14,"",INDEX(BPOworkers!$B$6:$B$105,INT((ROW()-4)/5)+1))</f>
        <v/>
      </c>
      <c r="D207" s="82" t="str">
        <f>IF($C207="","",IFERROR(INDEX(BPOworkers!$E$6:$E$105,MATCH($C207,BPOworkers!$B$6:$B$105,0)),""))</f>
        <v/>
      </c>
      <c r="E207" s="83" t="str">
        <f>IF($C207="","",Config!$C$7+MOD(ROW()-4,5))</f>
        <v/>
      </c>
      <c r="F207" s="82" t="str">
        <f>IF($C207="","",INDEX(Config!$F$7:$F$11,MOD(ROW()-4,5)+1))</f>
        <v/>
      </c>
      <c r="G207" s="81" t="str">
        <f>IF($C207="","",COUNTIFS(RawBtabs!$A$2:$A$1500,$C207,RawBtabs!$C$2:$C$1500,$E207))</f>
        <v/>
      </c>
      <c r="H207" s="84" t="str">
        <f>IF($C207="","",SUMIFS(RawBtabs!$T$2:$T$1500,RawBtabs!$A$2:$A$1500,$C207,RawBtabs!$C$2:$C$1500,$E207))</f>
        <v/>
      </c>
      <c r="I207" s="84" t="str">
        <f>IF($C207="","",SUMIFS(RawBtabs!$U$2:$U$1500,RawBtabs!$A$2:$A$1500,$C207,RawBtabs!$C$2:$C$1500,$E207))</f>
        <v/>
      </c>
      <c r="J207" s="84" t="str">
        <f t="shared" si="7"/>
        <v/>
      </c>
      <c r="K207" s="85" t="str">
        <f>IF($C207="","",$J207/Config!$C$9)</f>
        <v/>
      </c>
      <c r="L207" s="84" t="str">
        <f>IF($C207="","",$J207-Config!$C$9)</f>
        <v/>
      </c>
      <c r="M207" s="82" t="str">
        <f>IF($C207="","",IF($G207=0,"⛔ NO ENTRY IN BTABS",IF(ABS($L207)&lt;=Config!$C$10,"✅ OK ("&amp;TEXT($J207,"0.##")&amp;" h)",IF($L207&lt;0,"🔻 MISSING "&amp;TEXT(-$L207,"0.##")&amp;" h","🔺 OVER BY "&amp;TEXT($L207,"0.##")&amp;" h"))))</f>
        <v/>
      </c>
      <c r="N207" s="81" t="str">
        <f>IF($C207="","",IF($G207=0,3,IF(ABS($L207)&lt;=Config!$C$10,0,IF($L207&lt;0,2,1))))</f>
        <v/>
      </c>
      <c r="O207" s="81" t="str">
        <f>IF($C207="","",IF($N207&gt;0,COUNTIFS($N$4:$N207,"&gt;0"),""))</f>
        <v/>
      </c>
    </row>
    <row r="208" spans="2:15" x14ac:dyDescent="0.25">
      <c r="B208" s="81" t="str">
        <f t="shared" si="6"/>
        <v/>
      </c>
      <c r="C208" s="82" t="str">
        <f>IF(INT((ROW()-4)/5)+1&gt;Config!$C$14,"",INDEX(BPOworkers!$B$6:$B$105,INT((ROW()-4)/5)+1))</f>
        <v/>
      </c>
      <c r="D208" s="82" t="str">
        <f>IF($C208="","",IFERROR(INDEX(BPOworkers!$E$6:$E$105,MATCH($C208,BPOworkers!$B$6:$B$105,0)),""))</f>
        <v/>
      </c>
      <c r="E208" s="83" t="str">
        <f>IF($C208="","",Config!$C$7+MOD(ROW()-4,5))</f>
        <v/>
      </c>
      <c r="F208" s="82" t="str">
        <f>IF($C208="","",INDEX(Config!$F$7:$F$11,MOD(ROW()-4,5)+1))</f>
        <v/>
      </c>
      <c r="G208" s="81" t="str">
        <f>IF($C208="","",COUNTIFS(RawBtabs!$A$2:$A$1500,$C208,RawBtabs!$C$2:$C$1500,$E208))</f>
        <v/>
      </c>
      <c r="H208" s="84" t="str">
        <f>IF($C208="","",SUMIFS(RawBtabs!$T$2:$T$1500,RawBtabs!$A$2:$A$1500,$C208,RawBtabs!$C$2:$C$1500,$E208))</f>
        <v/>
      </c>
      <c r="I208" s="84" t="str">
        <f>IF($C208="","",SUMIFS(RawBtabs!$U$2:$U$1500,RawBtabs!$A$2:$A$1500,$C208,RawBtabs!$C$2:$C$1500,$E208))</f>
        <v/>
      </c>
      <c r="J208" s="84" t="str">
        <f t="shared" si="7"/>
        <v/>
      </c>
      <c r="K208" s="85" t="str">
        <f>IF($C208="","",$J208/Config!$C$9)</f>
        <v/>
      </c>
      <c r="L208" s="84" t="str">
        <f>IF($C208="","",$J208-Config!$C$9)</f>
        <v/>
      </c>
      <c r="M208" s="82" t="str">
        <f>IF($C208="","",IF($G208=0,"⛔ NO ENTRY IN BTABS",IF(ABS($L208)&lt;=Config!$C$10,"✅ OK ("&amp;TEXT($J208,"0.##")&amp;" h)",IF($L208&lt;0,"🔻 MISSING "&amp;TEXT(-$L208,"0.##")&amp;" h","🔺 OVER BY "&amp;TEXT($L208,"0.##")&amp;" h"))))</f>
        <v/>
      </c>
      <c r="N208" s="81" t="str">
        <f>IF($C208="","",IF($G208=0,3,IF(ABS($L208)&lt;=Config!$C$10,0,IF($L208&lt;0,2,1))))</f>
        <v/>
      </c>
      <c r="O208" s="81" t="str">
        <f>IF($C208="","",IF($N208&gt;0,COUNTIFS($N$4:$N208,"&gt;0"),""))</f>
        <v/>
      </c>
    </row>
    <row r="209" spans="2:15" x14ac:dyDescent="0.25">
      <c r="B209" s="81" t="str">
        <f t="shared" si="6"/>
        <v/>
      </c>
      <c r="C209" s="82" t="str">
        <f>IF(INT((ROW()-4)/5)+1&gt;Config!$C$14,"",INDEX(BPOworkers!$B$6:$B$105,INT((ROW()-4)/5)+1))</f>
        <v/>
      </c>
      <c r="D209" s="82" t="str">
        <f>IF($C209="","",IFERROR(INDEX(BPOworkers!$E$6:$E$105,MATCH($C209,BPOworkers!$B$6:$B$105,0)),""))</f>
        <v/>
      </c>
      <c r="E209" s="83" t="str">
        <f>IF($C209="","",Config!$C$7+MOD(ROW()-4,5))</f>
        <v/>
      </c>
      <c r="F209" s="82" t="str">
        <f>IF($C209="","",INDEX(Config!$F$7:$F$11,MOD(ROW()-4,5)+1))</f>
        <v/>
      </c>
      <c r="G209" s="81" t="str">
        <f>IF($C209="","",COUNTIFS(RawBtabs!$A$2:$A$1500,$C209,RawBtabs!$C$2:$C$1500,$E209))</f>
        <v/>
      </c>
      <c r="H209" s="84" t="str">
        <f>IF($C209="","",SUMIFS(RawBtabs!$T$2:$T$1500,RawBtabs!$A$2:$A$1500,$C209,RawBtabs!$C$2:$C$1500,$E209))</f>
        <v/>
      </c>
      <c r="I209" s="84" t="str">
        <f>IF($C209="","",SUMIFS(RawBtabs!$U$2:$U$1500,RawBtabs!$A$2:$A$1500,$C209,RawBtabs!$C$2:$C$1500,$E209))</f>
        <v/>
      </c>
      <c r="J209" s="84" t="str">
        <f t="shared" si="7"/>
        <v/>
      </c>
      <c r="K209" s="85" t="str">
        <f>IF($C209="","",$J209/Config!$C$9)</f>
        <v/>
      </c>
      <c r="L209" s="84" t="str">
        <f>IF($C209="","",$J209-Config!$C$9)</f>
        <v/>
      </c>
      <c r="M209" s="82" t="str">
        <f>IF($C209="","",IF($G209=0,"⛔ NO ENTRY IN BTABS",IF(ABS($L209)&lt;=Config!$C$10,"✅ OK ("&amp;TEXT($J209,"0.##")&amp;" h)",IF($L209&lt;0,"🔻 MISSING "&amp;TEXT(-$L209,"0.##")&amp;" h","🔺 OVER BY "&amp;TEXT($L209,"0.##")&amp;" h"))))</f>
        <v/>
      </c>
      <c r="N209" s="81" t="str">
        <f>IF($C209="","",IF($G209=0,3,IF(ABS($L209)&lt;=Config!$C$10,0,IF($L209&lt;0,2,1))))</f>
        <v/>
      </c>
      <c r="O209" s="81" t="str">
        <f>IF($C209="","",IF($N209&gt;0,COUNTIFS($N$4:$N209,"&gt;0"),""))</f>
        <v/>
      </c>
    </row>
    <row r="210" spans="2:15" x14ac:dyDescent="0.25">
      <c r="B210" s="81" t="str">
        <f t="shared" si="6"/>
        <v/>
      </c>
      <c r="C210" s="82" t="str">
        <f>IF(INT((ROW()-4)/5)+1&gt;Config!$C$14,"",INDEX(BPOworkers!$B$6:$B$105,INT((ROW()-4)/5)+1))</f>
        <v/>
      </c>
      <c r="D210" s="82" t="str">
        <f>IF($C210="","",IFERROR(INDEX(BPOworkers!$E$6:$E$105,MATCH($C210,BPOworkers!$B$6:$B$105,0)),""))</f>
        <v/>
      </c>
      <c r="E210" s="83" t="str">
        <f>IF($C210="","",Config!$C$7+MOD(ROW()-4,5))</f>
        <v/>
      </c>
      <c r="F210" s="82" t="str">
        <f>IF($C210="","",INDEX(Config!$F$7:$F$11,MOD(ROW()-4,5)+1))</f>
        <v/>
      </c>
      <c r="G210" s="81" t="str">
        <f>IF($C210="","",COUNTIFS(RawBtabs!$A$2:$A$1500,$C210,RawBtabs!$C$2:$C$1500,$E210))</f>
        <v/>
      </c>
      <c r="H210" s="84" t="str">
        <f>IF($C210="","",SUMIFS(RawBtabs!$T$2:$T$1500,RawBtabs!$A$2:$A$1500,$C210,RawBtabs!$C$2:$C$1500,$E210))</f>
        <v/>
      </c>
      <c r="I210" s="84" t="str">
        <f>IF($C210="","",SUMIFS(RawBtabs!$U$2:$U$1500,RawBtabs!$A$2:$A$1500,$C210,RawBtabs!$C$2:$C$1500,$E210))</f>
        <v/>
      </c>
      <c r="J210" s="84" t="str">
        <f t="shared" si="7"/>
        <v/>
      </c>
      <c r="K210" s="85" t="str">
        <f>IF($C210="","",$J210/Config!$C$9)</f>
        <v/>
      </c>
      <c r="L210" s="84" t="str">
        <f>IF($C210="","",$J210-Config!$C$9)</f>
        <v/>
      </c>
      <c r="M210" s="82" t="str">
        <f>IF($C210="","",IF($G210=0,"⛔ NO ENTRY IN BTABS",IF(ABS($L210)&lt;=Config!$C$10,"✅ OK ("&amp;TEXT($J210,"0.##")&amp;" h)",IF($L210&lt;0,"🔻 MISSING "&amp;TEXT(-$L210,"0.##")&amp;" h","🔺 OVER BY "&amp;TEXT($L210,"0.##")&amp;" h"))))</f>
        <v/>
      </c>
      <c r="N210" s="81" t="str">
        <f>IF($C210="","",IF($G210=0,3,IF(ABS($L210)&lt;=Config!$C$10,0,IF($L210&lt;0,2,1))))</f>
        <v/>
      </c>
      <c r="O210" s="81" t="str">
        <f>IF($C210="","",IF($N210&gt;0,COUNTIFS($N$4:$N210,"&gt;0"),""))</f>
        <v/>
      </c>
    </row>
    <row r="211" spans="2:15" x14ac:dyDescent="0.25">
      <c r="B211" s="81" t="str">
        <f t="shared" si="6"/>
        <v/>
      </c>
      <c r="C211" s="82" t="str">
        <f>IF(INT((ROW()-4)/5)+1&gt;Config!$C$14,"",INDEX(BPOworkers!$B$6:$B$105,INT((ROW()-4)/5)+1))</f>
        <v/>
      </c>
      <c r="D211" s="82" t="str">
        <f>IF($C211="","",IFERROR(INDEX(BPOworkers!$E$6:$E$105,MATCH($C211,BPOworkers!$B$6:$B$105,0)),""))</f>
        <v/>
      </c>
      <c r="E211" s="83" t="str">
        <f>IF($C211="","",Config!$C$7+MOD(ROW()-4,5))</f>
        <v/>
      </c>
      <c r="F211" s="82" t="str">
        <f>IF($C211="","",INDEX(Config!$F$7:$F$11,MOD(ROW()-4,5)+1))</f>
        <v/>
      </c>
      <c r="G211" s="81" t="str">
        <f>IF($C211="","",COUNTIFS(RawBtabs!$A$2:$A$1500,$C211,RawBtabs!$C$2:$C$1500,$E211))</f>
        <v/>
      </c>
      <c r="H211" s="84" t="str">
        <f>IF($C211="","",SUMIFS(RawBtabs!$T$2:$T$1500,RawBtabs!$A$2:$A$1500,$C211,RawBtabs!$C$2:$C$1500,$E211))</f>
        <v/>
      </c>
      <c r="I211" s="84" t="str">
        <f>IF($C211="","",SUMIFS(RawBtabs!$U$2:$U$1500,RawBtabs!$A$2:$A$1500,$C211,RawBtabs!$C$2:$C$1500,$E211))</f>
        <v/>
      </c>
      <c r="J211" s="84" t="str">
        <f t="shared" si="7"/>
        <v/>
      </c>
      <c r="K211" s="85" t="str">
        <f>IF($C211="","",$J211/Config!$C$9)</f>
        <v/>
      </c>
      <c r="L211" s="84" t="str">
        <f>IF($C211="","",$J211-Config!$C$9)</f>
        <v/>
      </c>
      <c r="M211" s="82" t="str">
        <f>IF($C211="","",IF($G211=0,"⛔ NO ENTRY IN BTABS",IF(ABS($L211)&lt;=Config!$C$10,"✅ OK ("&amp;TEXT($J211,"0.##")&amp;" h)",IF($L211&lt;0,"🔻 MISSING "&amp;TEXT(-$L211,"0.##")&amp;" h","🔺 OVER BY "&amp;TEXT($L211,"0.##")&amp;" h"))))</f>
        <v/>
      </c>
      <c r="N211" s="81" t="str">
        <f>IF($C211="","",IF($G211=0,3,IF(ABS($L211)&lt;=Config!$C$10,0,IF($L211&lt;0,2,1))))</f>
        <v/>
      </c>
      <c r="O211" s="81" t="str">
        <f>IF($C211="","",IF($N211&gt;0,COUNTIFS($N$4:$N211,"&gt;0"),""))</f>
        <v/>
      </c>
    </row>
    <row r="212" spans="2:15" x14ac:dyDescent="0.25">
      <c r="B212" s="81" t="str">
        <f t="shared" si="6"/>
        <v/>
      </c>
      <c r="C212" s="82" t="str">
        <f>IF(INT((ROW()-4)/5)+1&gt;Config!$C$14,"",INDEX(BPOworkers!$B$6:$B$105,INT((ROW()-4)/5)+1))</f>
        <v/>
      </c>
      <c r="D212" s="82" t="str">
        <f>IF($C212="","",IFERROR(INDEX(BPOworkers!$E$6:$E$105,MATCH($C212,BPOworkers!$B$6:$B$105,0)),""))</f>
        <v/>
      </c>
      <c r="E212" s="83" t="str">
        <f>IF($C212="","",Config!$C$7+MOD(ROW()-4,5))</f>
        <v/>
      </c>
      <c r="F212" s="82" t="str">
        <f>IF($C212="","",INDEX(Config!$F$7:$F$11,MOD(ROW()-4,5)+1))</f>
        <v/>
      </c>
      <c r="G212" s="81" t="str">
        <f>IF($C212="","",COUNTIFS(RawBtabs!$A$2:$A$1500,$C212,RawBtabs!$C$2:$C$1500,$E212))</f>
        <v/>
      </c>
      <c r="H212" s="84" t="str">
        <f>IF($C212="","",SUMIFS(RawBtabs!$T$2:$T$1500,RawBtabs!$A$2:$A$1500,$C212,RawBtabs!$C$2:$C$1500,$E212))</f>
        <v/>
      </c>
      <c r="I212" s="84" t="str">
        <f>IF($C212="","",SUMIFS(RawBtabs!$U$2:$U$1500,RawBtabs!$A$2:$A$1500,$C212,RawBtabs!$C$2:$C$1500,$E212))</f>
        <v/>
      </c>
      <c r="J212" s="84" t="str">
        <f t="shared" si="7"/>
        <v/>
      </c>
      <c r="K212" s="85" t="str">
        <f>IF($C212="","",$J212/Config!$C$9)</f>
        <v/>
      </c>
      <c r="L212" s="84" t="str">
        <f>IF($C212="","",$J212-Config!$C$9)</f>
        <v/>
      </c>
      <c r="M212" s="82" t="str">
        <f>IF($C212="","",IF($G212=0,"⛔ NO ENTRY IN BTABS",IF(ABS($L212)&lt;=Config!$C$10,"✅ OK ("&amp;TEXT($J212,"0.##")&amp;" h)",IF($L212&lt;0,"🔻 MISSING "&amp;TEXT(-$L212,"0.##")&amp;" h","🔺 OVER BY "&amp;TEXT($L212,"0.##")&amp;" h"))))</f>
        <v/>
      </c>
      <c r="N212" s="81" t="str">
        <f>IF($C212="","",IF($G212=0,3,IF(ABS($L212)&lt;=Config!$C$10,0,IF($L212&lt;0,2,1))))</f>
        <v/>
      </c>
      <c r="O212" s="81" t="str">
        <f>IF($C212="","",IF($N212&gt;0,COUNTIFS($N$4:$N212,"&gt;0"),""))</f>
        <v/>
      </c>
    </row>
    <row r="213" spans="2:15" x14ac:dyDescent="0.25">
      <c r="B213" s="81" t="str">
        <f t="shared" si="6"/>
        <v/>
      </c>
      <c r="C213" s="82" t="str">
        <f>IF(INT((ROW()-4)/5)+1&gt;Config!$C$14,"",INDEX(BPOworkers!$B$6:$B$105,INT((ROW()-4)/5)+1))</f>
        <v/>
      </c>
      <c r="D213" s="82" t="str">
        <f>IF($C213="","",IFERROR(INDEX(BPOworkers!$E$6:$E$105,MATCH($C213,BPOworkers!$B$6:$B$105,0)),""))</f>
        <v/>
      </c>
      <c r="E213" s="83" t="str">
        <f>IF($C213="","",Config!$C$7+MOD(ROW()-4,5))</f>
        <v/>
      </c>
      <c r="F213" s="82" t="str">
        <f>IF($C213="","",INDEX(Config!$F$7:$F$11,MOD(ROW()-4,5)+1))</f>
        <v/>
      </c>
      <c r="G213" s="81" t="str">
        <f>IF($C213="","",COUNTIFS(RawBtabs!$A$2:$A$1500,$C213,RawBtabs!$C$2:$C$1500,$E213))</f>
        <v/>
      </c>
      <c r="H213" s="84" t="str">
        <f>IF($C213="","",SUMIFS(RawBtabs!$T$2:$T$1500,RawBtabs!$A$2:$A$1500,$C213,RawBtabs!$C$2:$C$1500,$E213))</f>
        <v/>
      </c>
      <c r="I213" s="84" t="str">
        <f>IF($C213="","",SUMIFS(RawBtabs!$U$2:$U$1500,RawBtabs!$A$2:$A$1500,$C213,RawBtabs!$C$2:$C$1500,$E213))</f>
        <v/>
      </c>
      <c r="J213" s="84" t="str">
        <f t="shared" si="7"/>
        <v/>
      </c>
      <c r="K213" s="85" t="str">
        <f>IF($C213="","",$J213/Config!$C$9)</f>
        <v/>
      </c>
      <c r="L213" s="84" t="str">
        <f>IF($C213="","",$J213-Config!$C$9)</f>
        <v/>
      </c>
      <c r="M213" s="82" t="str">
        <f>IF($C213="","",IF($G213=0,"⛔ NO ENTRY IN BTABS",IF(ABS($L213)&lt;=Config!$C$10,"✅ OK ("&amp;TEXT($J213,"0.##")&amp;" h)",IF($L213&lt;0,"🔻 MISSING "&amp;TEXT(-$L213,"0.##")&amp;" h","🔺 OVER BY "&amp;TEXT($L213,"0.##")&amp;" h"))))</f>
        <v/>
      </c>
      <c r="N213" s="81" t="str">
        <f>IF($C213="","",IF($G213=0,3,IF(ABS($L213)&lt;=Config!$C$10,0,IF($L213&lt;0,2,1))))</f>
        <v/>
      </c>
      <c r="O213" s="81" t="str">
        <f>IF($C213="","",IF($N213&gt;0,COUNTIFS($N$4:$N213,"&gt;0"),""))</f>
        <v/>
      </c>
    </row>
    <row r="214" spans="2:15" x14ac:dyDescent="0.25">
      <c r="B214" s="81" t="str">
        <f t="shared" si="6"/>
        <v/>
      </c>
      <c r="C214" s="82" t="str">
        <f>IF(INT((ROW()-4)/5)+1&gt;Config!$C$14,"",INDEX(BPOworkers!$B$6:$B$105,INT((ROW()-4)/5)+1))</f>
        <v/>
      </c>
      <c r="D214" s="82" t="str">
        <f>IF($C214="","",IFERROR(INDEX(BPOworkers!$E$6:$E$105,MATCH($C214,BPOworkers!$B$6:$B$105,0)),""))</f>
        <v/>
      </c>
      <c r="E214" s="83" t="str">
        <f>IF($C214="","",Config!$C$7+MOD(ROW()-4,5))</f>
        <v/>
      </c>
      <c r="F214" s="82" t="str">
        <f>IF($C214="","",INDEX(Config!$F$7:$F$11,MOD(ROW()-4,5)+1))</f>
        <v/>
      </c>
      <c r="G214" s="81" t="str">
        <f>IF($C214="","",COUNTIFS(RawBtabs!$A$2:$A$1500,$C214,RawBtabs!$C$2:$C$1500,$E214))</f>
        <v/>
      </c>
      <c r="H214" s="84" t="str">
        <f>IF($C214="","",SUMIFS(RawBtabs!$T$2:$T$1500,RawBtabs!$A$2:$A$1500,$C214,RawBtabs!$C$2:$C$1500,$E214))</f>
        <v/>
      </c>
      <c r="I214" s="84" t="str">
        <f>IF($C214="","",SUMIFS(RawBtabs!$U$2:$U$1500,RawBtabs!$A$2:$A$1500,$C214,RawBtabs!$C$2:$C$1500,$E214))</f>
        <v/>
      </c>
      <c r="J214" s="84" t="str">
        <f t="shared" si="7"/>
        <v/>
      </c>
      <c r="K214" s="85" t="str">
        <f>IF($C214="","",$J214/Config!$C$9)</f>
        <v/>
      </c>
      <c r="L214" s="84" t="str">
        <f>IF($C214="","",$J214-Config!$C$9)</f>
        <v/>
      </c>
      <c r="M214" s="82" t="str">
        <f>IF($C214="","",IF($G214=0,"⛔ NO ENTRY IN BTABS",IF(ABS($L214)&lt;=Config!$C$10,"✅ OK ("&amp;TEXT($J214,"0.##")&amp;" h)",IF($L214&lt;0,"🔻 MISSING "&amp;TEXT(-$L214,"0.##")&amp;" h","🔺 OVER BY "&amp;TEXT($L214,"0.##")&amp;" h"))))</f>
        <v/>
      </c>
      <c r="N214" s="81" t="str">
        <f>IF($C214="","",IF($G214=0,3,IF(ABS($L214)&lt;=Config!$C$10,0,IF($L214&lt;0,2,1))))</f>
        <v/>
      </c>
      <c r="O214" s="81" t="str">
        <f>IF($C214="","",IF($N214&gt;0,COUNTIFS($N$4:$N214,"&gt;0"),""))</f>
        <v/>
      </c>
    </row>
    <row r="215" spans="2:15" x14ac:dyDescent="0.25">
      <c r="B215" s="81" t="str">
        <f t="shared" si="6"/>
        <v/>
      </c>
      <c r="C215" s="82" t="str">
        <f>IF(INT((ROW()-4)/5)+1&gt;Config!$C$14,"",INDEX(BPOworkers!$B$6:$B$105,INT((ROW()-4)/5)+1))</f>
        <v/>
      </c>
      <c r="D215" s="82" t="str">
        <f>IF($C215="","",IFERROR(INDEX(BPOworkers!$E$6:$E$105,MATCH($C215,BPOworkers!$B$6:$B$105,0)),""))</f>
        <v/>
      </c>
      <c r="E215" s="83" t="str">
        <f>IF($C215="","",Config!$C$7+MOD(ROW()-4,5))</f>
        <v/>
      </c>
      <c r="F215" s="82" t="str">
        <f>IF($C215="","",INDEX(Config!$F$7:$F$11,MOD(ROW()-4,5)+1))</f>
        <v/>
      </c>
      <c r="G215" s="81" t="str">
        <f>IF($C215="","",COUNTIFS(RawBtabs!$A$2:$A$1500,$C215,RawBtabs!$C$2:$C$1500,$E215))</f>
        <v/>
      </c>
      <c r="H215" s="84" t="str">
        <f>IF($C215="","",SUMIFS(RawBtabs!$T$2:$T$1500,RawBtabs!$A$2:$A$1500,$C215,RawBtabs!$C$2:$C$1500,$E215))</f>
        <v/>
      </c>
      <c r="I215" s="84" t="str">
        <f>IF($C215="","",SUMIFS(RawBtabs!$U$2:$U$1500,RawBtabs!$A$2:$A$1500,$C215,RawBtabs!$C$2:$C$1500,$E215))</f>
        <v/>
      </c>
      <c r="J215" s="84" t="str">
        <f t="shared" si="7"/>
        <v/>
      </c>
      <c r="K215" s="85" t="str">
        <f>IF($C215="","",$J215/Config!$C$9)</f>
        <v/>
      </c>
      <c r="L215" s="84" t="str">
        <f>IF($C215="","",$J215-Config!$C$9)</f>
        <v/>
      </c>
      <c r="M215" s="82" t="str">
        <f>IF($C215="","",IF($G215=0,"⛔ NO ENTRY IN BTABS",IF(ABS($L215)&lt;=Config!$C$10,"✅ OK ("&amp;TEXT($J215,"0.##")&amp;" h)",IF($L215&lt;0,"🔻 MISSING "&amp;TEXT(-$L215,"0.##")&amp;" h","🔺 OVER BY "&amp;TEXT($L215,"0.##")&amp;" h"))))</f>
        <v/>
      </c>
      <c r="N215" s="81" t="str">
        <f>IF($C215="","",IF($G215=0,3,IF(ABS($L215)&lt;=Config!$C$10,0,IF($L215&lt;0,2,1))))</f>
        <v/>
      </c>
      <c r="O215" s="81" t="str">
        <f>IF($C215="","",IF($N215&gt;0,COUNTIFS($N$4:$N215,"&gt;0"),""))</f>
        <v/>
      </c>
    </row>
    <row r="216" spans="2:15" x14ac:dyDescent="0.25">
      <c r="B216" s="81" t="str">
        <f t="shared" si="6"/>
        <v/>
      </c>
      <c r="C216" s="82" t="str">
        <f>IF(INT((ROW()-4)/5)+1&gt;Config!$C$14,"",INDEX(BPOworkers!$B$6:$B$105,INT((ROW()-4)/5)+1))</f>
        <v/>
      </c>
      <c r="D216" s="82" t="str">
        <f>IF($C216="","",IFERROR(INDEX(BPOworkers!$E$6:$E$105,MATCH($C216,BPOworkers!$B$6:$B$105,0)),""))</f>
        <v/>
      </c>
      <c r="E216" s="83" t="str">
        <f>IF($C216="","",Config!$C$7+MOD(ROW()-4,5))</f>
        <v/>
      </c>
      <c r="F216" s="82" t="str">
        <f>IF($C216="","",INDEX(Config!$F$7:$F$11,MOD(ROW()-4,5)+1))</f>
        <v/>
      </c>
      <c r="G216" s="81" t="str">
        <f>IF($C216="","",COUNTIFS(RawBtabs!$A$2:$A$1500,$C216,RawBtabs!$C$2:$C$1500,$E216))</f>
        <v/>
      </c>
      <c r="H216" s="84" t="str">
        <f>IF($C216="","",SUMIFS(RawBtabs!$T$2:$T$1500,RawBtabs!$A$2:$A$1500,$C216,RawBtabs!$C$2:$C$1500,$E216))</f>
        <v/>
      </c>
      <c r="I216" s="84" t="str">
        <f>IF($C216="","",SUMIFS(RawBtabs!$U$2:$U$1500,RawBtabs!$A$2:$A$1500,$C216,RawBtabs!$C$2:$C$1500,$E216))</f>
        <v/>
      </c>
      <c r="J216" s="84" t="str">
        <f t="shared" si="7"/>
        <v/>
      </c>
      <c r="K216" s="85" t="str">
        <f>IF($C216="","",$J216/Config!$C$9)</f>
        <v/>
      </c>
      <c r="L216" s="84" t="str">
        <f>IF($C216="","",$J216-Config!$C$9)</f>
        <v/>
      </c>
      <c r="M216" s="82" t="str">
        <f>IF($C216="","",IF($G216=0,"⛔ NO ENTRY IN BTABS",IF(ABS($L216)&lt;=Config!$C$10,"✅ OK ("&amp;TEXT($J216,"0.##")&amp;" h)",IF($L216&lt;0,"🔻 MISSING "&amp;TEXT(-$L216,"0.##")&amp;" h","🔺 OVER BY "&amp;TEXT($L216,"0.##")&amp;" h"))))</f>
        <v/>
      </c>
      <c r="N216" s="81" t="str">
        <f>IF($C216="","",IF($G216=0,3,IF(ABS($L216)&lt;=Config!$C$10,0,IF($L216&lt;0,2,1))))</f>
        <v/>
      </c>
      <c r="O216" s="81" t="str">
        <f>IF($C216="","",IF($N216&gt;0,COUNTIFS($N$4:$N216,"&gt;0"),""))</f>
        <v/>
      </c>
    </row>
    <row r="217" spans="2:15" x14ac:dyDescent="0.25">
      <c r="B217" s="81" t="str">
        <f t="shared" si="6"/>
        <v/>
      </c>
      <c r="C217" s="82" t="str">
        <f>IF(INT((ROW()-4)/5)+1&gt;Config!$C$14,"",INDEX(BPOworkers!$B$6:$B$105,INT((ROW()-4)/5)+1))</f>
        <v/>
      </c>
      <c r="D217" s="82" t="str">
        <f>IF($C217="","",IFERROR(INDEX(BPOworkers!$E$6:$E$105,MATCH($C217,BPOworkers!$B$6:$B$105,0)),""))</f>
        <v/>
      </c>
      <c r="E217" s="83" t="str">
        <f>IF($C217="","",Config!$C$7+MOD(ROW()-4,5))</f>
        <v/>
      </c>
      <c r="F217" s="82" t="str">
        <f>IF($C217="","",INDEX(Config!$F$7:$F$11,MOD(ROW()-4,5)+1))</f>
        <v/>
      </c>
      <c r="G217" s="81" t="str">
        <f>IF($C217="","",COUNTIFS(RawBtabs!$A$2:$A$1500,$C217,RawBtabs!$C$2:$C$1500,$E217))</f>
        <v/>
      </c>
      <c r="H217" s="84" t="str">
        <f>IF($C217="","",SUMIFS(RawBtabs!$T$2:$T$1500,RawBtabs!$A$2:$A$1500,$C217,RawBtabs!$C$2:$C$1500,$E217))</f>
        <v/>
      </c>
      <c r="I217" s="84" t="str">
        <f>IF($C217="","",SUMIFS(RawBtabs!$U$2:$U$1500,RawBtabs!$A$2:$A$1500,$C217,RawBtabs!$C$2:$C$1500,$E217))</f>
        <v/>
      </c>
      <c r="J217" s="84" t="str">
        <f t="shared" si="7"/>
        <v/>
      </c>
      <c r="K217" s="85" t="str">
        <f>IF($C217="","",$J217/Config!$C$9)</f>
        <v/>
      </c>
      <c r="L217" s="84" t="str">
        <f>IF($C217="","",$J217-Config!$C$9)</f>
        <v/>
      </c>
      <c r="M217" s="82" t="str">
        <f>IF($C217="","",IF($G217=0,"⛔ NO ENTRY IN BTABS",IF(ABS($L217)&lt;=Config!$C$10,"✅ OK ("&amp;TEXT($J217,"0.##")&amp;" h)",IF($L217&lt;0,"🔻 MISSING "&amp;TEXT(-$L217,"0.##")&amp;" h","🔺 OVER BY "&amp;TEXT($L217,"0.##")&amp;" h"))))</f>
        <v/>
      </c>
      <c r="N217" s="81" t="str">
        <f>IF($C217="","",IF($G217=0,3,IF(ABS($L217)&lt;=Config!$C$10,0,IF($L217&lt;0,2,1))))</f>
        <v/>
      </c>
      <c r="O217" s="81" t="str">
        <f>IF($C217="","",IF($N217&gt;0,COUNTIFS($N$4:$N217,"&gt;0"),""))</f>
        <v/>
      </c>
    </row>
    <row r="218" spans="2:15" x14ac:dyDescent="0.25">
      <c r="B218" s="81" t="str">
        <f t="shared" si="6"/>
        <v/>
      </c>
      <c r="C218" s="82" t="str">
        <f>IF(INT((ROW()-4)/5)+1&gt;Config!$C$14,"",INDEX(BPOworkers!$B$6:$B$105,INT((ROW()-4)/5)+1))</f>
        <v/>
      </c>
      <c r="D218" s="82" t="str">
        <f>IF($C218="","",IFERROR(INDEX(BPOworkers!$E$6:$E$105,MATCH($C218,BPOworkers!$B$6:$B$105,0)),""))</f>
        <v/>
      </c>
      <c r="E218" s="83" t="str">
        <f>IF($C218="","",Config!$C$7+MOD(ROW()-4,5))</f>
        <v/>
      </c>
      <c r="F218" s="82" t="str">
        <f>IF($C218="","",INDEX(Config!$F$7:$F$11,MOD(ROW()-4,5)+1))</f>
        <v/>
      </c>
      <c r="G218" s="81" t="str">
        <f>IF($C218="","",COUNTIFS(RawBtabs!$A$2:$A$1500,$C218,RawBtabs!$C$2:$C$1500,$E218))</f>
        <v/>
      </c>
      <c r="H218" s="84" t="str">
        <f>IF($C218="","",SUMIFS(RawBtabs!$T$2:$T$1500,RawBtabs!$A$2:$A$1500,$C218,RawBtabs!$C$2:$C$1500,$E218))</f>
        <v/>
      </c>
      <c r="I218" s="84" t="str">
        <f>IF($C218="","",SUMIFS(RawBtabs!$U$2:$U$1500,RawBtabs!$A$2:$A$1500,$C218,RawBtabs!$C$2:$C$1500,$E218))</f>
        <v/>
      </c>
      <c r="J218" s="84" t="str">
        <f t="shared" si="7"/>
        <v/>
      </c>
      <c r="K218" s="85" t="str">
        <f>IF($C218="","",$J218/Config!$C$9)</f>
        <v/>
      </c>
      <c r="L218" s="84" t="str">
        <f>IF($C218="","",$J218-Config!$C$9)</f>
        <v/>
      </c>
      <c r="M218" s="82" t="str">
        <f>IF($C218="","",IF($G218=0,"⛔ NO ENTRY IN BTABS",IF(ABS($L218)&lt;=Config!$C$10,"✅ OK ("&amp;TEXT($J218,"0.##")&amp;" h)",IF($L218&lt;0,"🔻 MISSING "&amp;TEXT(-$L218,"0.##")&amp;" h","🔺 OVER BY "&amp;TEXT($L218,"0.##")&amp;" h"))))</f>
        <v/>
      </c>
      <c r="N218" s="81" t="str">
        <f>IF($C218="","",IF($G218=0,3,IF(ABS($L218)&lt;=Config!$C$10,0,IF($L218&lt;0,2,1))))</f>
        <v/>
      </c>
      <c r="O218" s="81" t="str">
        <f>IF($C218="","",IF($N218&gt;0,COUNTIFS($N$4:$N218,"&gt;0"),""))</f>
        <v/>
      </c>
    </row>
    <row r="219" spans="2:15" x14ac:dyDescent="0.25">
      <c r="B219" s="81" t="str">
        <f t="shared" si="6"/>
        <v/>
      </c>
      <c r="C219" s="82" t="str">
        <f>IF(INT((ROW()-4)/5)+1&gt;Config!$C$14,"",INDEX(BPOworkers!$B$6:$B$105,INT((ROW()-4)/5)+1))</f>
        <v/>
      </c>
      <c r="D219" s="82" t="str">
        <f>IF($C219="","",IFERROR(INDEX(BPOworkers!$E$6:$E$105,MATCH($C219,BPOworkers!$B$6:$B$105,0)),""))</f>
        <v/>
      </c>
      <c r="E219" s="83" t="str">
        <f>IF($C219="","",Config!$C$7+MOD(ROW()-4,5))</f>
        <v/>
      </c>
      <c r="F219" s="82" t="str">
        <f>IF($C219="","",INDEX(Config!$F$7:$F$11,MOD(ROW()-4,5)+1))</f>
        <v/>
      </c>
      <c r="G219" s="81" t="str">
        <f>IF($C219="","",COUNTIFS(RawBtabs!$A$2:$A$1500,$C219,RawBtabs!$C$2:$C$1500,$E219))</f>
        <v/>
      </c>
      <c r="H219" s="84" t="str">
        <f>IF($C219="","",SUMIFS(RawBtabs!$T$2:$T$1500,RawBtabs!$A$2:$A$1500,$C219,RawBtabs!$C$2:$C$1500,$E219))</f>
        <v/>
      </c>
      <c r="I219" s="84" t="str">
        <f>IF($C219="","",SUMIFS(RawBtabs!$U$2:$U$1500,RawBtabs!$A$2:$A$1500,$C219,RawBtabs!$C$2:$C$1500,$E219))</f>
        <v/>
      </c>
      <c r="J219" s="84" t="str">
        <f t="shared" si="7"/>
        <v/>
      </c>
      <c r="K219" s="85" t="str">
        <f>IF($C219="","",$J219/Config!$C$9)</f>
        <v/>
      </c>
      <c r="L219" s="84" t="str">
        <f>IF($C219="","",$J219-Config!$C$9)</f>
        <v/>
      </c>
      <c r="M219" s="82" t="str">
        <f>IF($C219="","",IF($G219=0,"⛔ NO ENTRY IN BTABS",IF(ABS($L219)&lt;=Config!$C$10,"✅ OK ("&amp;TEXT($J219,"0.##")&amp;" h)",IF($L219&lt;0,"🔻 MISSING "&amp;TEXT(-$L219,"0.##")&amp;" h","🔺 OVER BY "&amp;TEXT($L219,"0.##")&amp;" h"))))</f>
        <v/>
      </c>
      <c r="N219" s="81" t="str">
        <f>IF($C219="","",IF($G219=0,3,IF(ABS($L219)&lt;=Config!$C$10,0,IF($L219&lt;0,2,1))))</f>
        <v/>
      </c>
      <c r="O219" s="81" t="str">
        <f>IF($C219="","",IF($N219&gt;0,COUNTIFS($N$4:$N219,"&gt;0"),""))</f>
        <v/>
      </c>
    </row>
    <row r="220" spans="2:15" x14ac:dyDescent="0.25">
      <c r="B220" s="81" t="str">
        <f t="shared" si="6"/>
        <v/>
      </c>
      <c r="C220" s="82" t="str">
        <f>IF(INT((ROW()-4)/5)+1&gt;Config!$C$14,"",INDEX(BPOworkers!$B$6:$B$105,INT((ROW()-4)/5)+1))</f>
        <v/>
      </c>
      <c r="D220" s="82" t="str">
        <f>IF($C220="","",IFERROR(INDEX(BPOworkers!$E$6:$E$105,MATCH($C220,BPOworkers!$B$6:$B$105,0)),""))</f>
        <v/>
      </c>
      <c r="E220" s="83" t="str">
        <f>IF($C220="","",Config!$C$7+MOD(ROW()-4,5))</f>
        <v/>
      </c>
      <c r="F220" s="82" t="str">
        <f>IF($C220="","",INDEX(Config!$F$7:$F$11,MOD(ROW()-4,5)+1))</f>
        <v/>
      </c>
      <c r="G220" s="81" t="str">
        <f>IF($C220="","",COUNTIFS(RawBtabs!$A$2:$A$1500,$C220,RawBtabs!$C$2:$C$1500,$E220))</f>
        <v/>
      </c>
      <c r="H220" s="84" t="str">
        <f>IF($C220="","",SUMIFS(RawBtabs!$T$2:$T$1500,RawBtabs!$A$2:$A$1500,$C220,RawBtabs!$C$2:$C$1500,$E220))</f>
        <v/>
      </c>
      <c r="I220" s="84" t="str">
        <f>IF($C220="","",SUMIFS(RawBtabs!$U$2:$U$1500,RawBtabs!$A$2:$A$1500,$C220,RawBtabs!$C$2:$C$1500,$E220))</f>
        <v/>
      </c>
      <c r="J220" s="84" t="str">
        <f t="shared" si="7"/>
        <v/>
      </c>
      <c r="K220" s="85" t="str">
        <f>IF($C220="","",$J220/Config!$C$9)</f>
        <v/>
      </c>
      <c r="L220" s="84" t="str">
        <f>IF($C220="","",$J220-Config!$C$9)</f>
        <v/>
      </c>
      <c r="M220" s="82" t="str">
        <f>IF($C220="","",IF($G220=0,"⛔ NO ENTRY IN BTABS",IF(ABS($L220)&lt;=Config!$C$10,"✅ OK ("&amp;TEXT($J220,"0.##")&amp;" h)",IF($L220&lt;0,"🔻 MISSING "&amp;TEXT(-$L220,"0.##")&amp;" h","🔺 OVER BY "&amp;TEXT($L220,"0.##")&amp;" h"))))</f>
        <v/>
      </c>
      <c r="N220" s="81" t="str">
        <f>IF($C220="","",IF($G220=0,3,IF(ABS($L220)&lt;=Config!$C$10,0,IF($L220&lt;0,2,1))))</f>
        <v/>
      </c>
      <c r="O220" s="81" t="str">
        <f>IF($C220="","",IF($N220&gt;0,COUNTIFS($N$4:$N220,"&gt;0"),""))</f>
        <v/>
      </c>
    </row>
    <row r="221" spans="2:15" x14ac:dyDescent="0.25">
      <c r="B221" s="81" t="str">
        <f t="shared" si="6"/>
        <v/>
      </c>
      <c r="C221" s="82" t="str">
        <f>IF(INT((ROW()-4)/5)+1&gt;Config!$C$14,"",INDEX(BPOworkers!$B$6:$B$105,INT((ROW()-4)/5)+1))</f>
        <v/>
      </c>
      <c r="D221" s="82" t="str">
        <f>IF($C221="","",IFERROR(INDEX(BPOworkers!$E$6:$E$105,MATCH($C221,BPOworkers!$B$6:$B$105,0)),""))</f>
        <v/>
      </c>
      <c r="E221" s="83" t="str">
        <f>IF($C221="","",Config!$C$7+MOD(ROW()-4,5))</f>
        <v/>
      </c>
      <c r="F221" s="82" t="str">
        <f>IF($C221="","",INDEX(Config!$F$7:$F$11,MOD(ROW()-4,5)+1))</f>
        <v/>
      </c>
      <c r="G221" s="81" t="str">
        <f>IF($C221="","",COUNTIFS(RawBtabs!$A$2:$A$1500,$C221,RawBtabs!$C$2:$C$1500,$E221))</f>
        <v/>
      </c>
      <c r="H221" s="84" t="str">
        <f>IF($C221="","",SUMIFS(RawBtabs!$T$2:$T$1500,RawBtabs!$A$2:$A$1500,$C221,RawBtabs!$C$2:$C$1500,$E221))</f>
        <v/>
      </c>
      <c r="I221" s="84" t="str">
        <f>IF($C221="","",SUMIFS(RawBtabs!$U$2:$U$1500,RawBtabs!$A$2:$A$1500,$C221,RawBtabs!$C$2:$C$1500,$E221))</f>
        <v/>
      </c>
      <c r="J221" s="84" t="str">
        <f t="shared" si="7"/>
        <v/>
      </c>
      <c r="K221" s="85" t="str">
        <f>IF($C221="","",$J221/Config!$C$9)</f>
        <v/>
      </c>
      <c r="L221" s="84" t="str">
        <f>IF($C221="","",$J221-Config!$C$9)</f>
        <v/>
      </c>
      <c r="M221" s="82" t="str">
        <f>IF($C221="","",IF($G221=0,"⛔ NO ENTRY IN BTABS",IF(ABS($L221)&lt;=Config!$C$10,"✅ OK ("&amp;TEXT($J221,"0.##")&amp;" h)",IF($L221&lt;0,"🔻 MISSING "&amp;TEXT(-$L221,"0.##")&amp;" h","🔺 OVER BY "&amp;TEXT($L221,"0.##")&amp;" h"))))</f>
        <v/>
      </c>
      <c r="N221" s="81" t="str">
        <f>IF($C221="","",IF($G221=0,3,IF(ABS($L221)&lt;=Config!$C$10,0,IF($L221&lt;0,2,1))))</f>
        <v/>
      </c>
      <c r="O221" s="81" t="str">
        <f>IF($C221="","",IF($N221&gt;0,COUNTIFS($N$4:$N221,"&gt;0"),""))</f>
        <v/>
      </c>
    </row>
    <row r="222" spans="2:15" x14ac:dyDescent="0.25">
      <c r="B222" s="81" t="str">
        <f t="shared" si="6"/>
        <v/>
      </c>
      <c r="C222" s="82" t="str">
        <f>IF(INT((ROW()-4)/5)+1&gt;Config!$C$14,"",INDEX(BPOworkers!$B$6:$B$105,INT((ROW()-4)/5)+1))</f>
        <v/>
      </c>
      <c r="D222" s="82" t="str">
        <f>IF($C222="","",IFERROR(INDEX(BPOworkers!$E$6:$E$105,MATCH($C222,BPOworkers!$B$6:$B$105,0)),""))</f>
        <v/>
      </c>
      <c r="E222" s="83" t="str">
        <f>IF($C222="","",Config!$C$7+MOD(ROW()-4,5))</f>
        <v/>
      </c>
      <c r="F222" s="82" t="str">
        <f>IF($C222="","",INDEX(Config!$F$7:$F$11,MOD(ROW()-4,5)+1))</f>
        <v/>
      </c>
      <c r="G222" s="81" t="str">
        <f>IF($C222="","",COUNTIFS(RawBtabs!$A$2:$A$1500,$C222,RawBtabs!$C$2:$C$1500,$E222))</f>
        <v/>
      </c>
      <c r="H222" s="84" t="str">
        <f>IF($C222="","",SUMIFS(RawBtabs!$T$2:$T$1500,RawBtabs!$A$2:$A$1500,$C222,RawBtabs!$C$2:$C$1500,$E222))</f>
        <v/>
      </c>
      <c r="I222" s="84" t="str">
        <f>IF($C222="","",SUMIFS(RawBtabs!$U$2:$U$1500,RawBtabs!$A$2:$A$1500,$C222,RawBtabs!$C$2:$C$1500,$E222))</f>
        <v/>
      </c>
      <c r="J222" s="84" t="str">
        <f t="shared" si="7"/>
        <v/>
      </c>
      <c r="K222" s="85" t="str">
        <f>IF($C222="","",$J222/Config!$C$9)</f>
        <v/>
      </c>
      <c r="L222" s="84" t="str">
        <f>IF($C222="","",$J222-Config!$C$9)</f>
        <v/>
      </c>
      <c r="M222" s="82" t="str">
        <f>IF($C222="","",IF($G222=0,"⛔ NO ENTRY IN BTABS",IF(ABS($L222)&lt;=Config!$C$10,"✅ OK ("&amp;TEXT($J222,"0.##")&amp;" h)",IF($L222&lt;0,"🔻 MISSING "&amp;TEXT(-$L222,"0.##")&amp;" h","🔺 OVER BY "&amp;TEXT($L222,"0.##")&amp;" h"))))</f>
        <v/>
      </c>
      <c r="N222" s="81" t="str">
        <f>IF($C222="","",IF($G222=0,3,IF(ABS($L222)&lt;=Config!$C$10,0,IF($L222&lt;0,2,1))))</f>
        <v/>
      </c>
      <c r="O222" s="81" t="str">
        <f>IF($C222="","",IF($N222&gt;0,COUNTIFS($N$4:$N222,"&gt;0"),""))</f>
        <v/>
      </c>
    </row>
    <row r="223" spans="2:15" x14ac:dyDescent="0.25">
      <c r="B223" s="81" t="str">
        <f t="shared" si="6"/>
        <v/>
      </c>
      <c r="C223" s="82" t="str">
        <f>IF(INT((ROW()-4)/5)+1&gt;Config!$C$14,"",INDEX(BPOworkers!$B$6:$B$105,INT((ROW()-4)/5)+1))</f>
        <v/>
      </c>
      <c r="D223" s="82" t="str">
        <f>IF($C223="","",IFERROR(INDEX(BPOworkers!$E$6:$E$105,MATCH($C223,BPOworkers!$B$6:$B$105,0)),""))</f>
        <v/>
      </c>
      <c r="E223" s="83" t="str">
        <f>IF($C223="","",Config!$C$7+MOD(ROW()-4,5))</f>
        <v/>
      </c>
      <c r="F223" s="82" t="str">
        <f>IF($C223="","",INDEX(Config!$F$7:$F$11,MOD(ROW()-4,5)+1))</f>
        <v/>
      </c>
      <c r="G223" s="81" t="str">
        <f>IF($C223="","",COUNTIFS(RawBtabs!$A$2:$A$1500,$C223,RawBtabs!$C$2:$C$1500,$E223))</f>
        <v/>
      </c>
      <c r="H223" s="84" t="str">
        <f>IF($C223="","",SUMIFS(RawBtabs!$T$2:$T$1500,RawBtabs!$A$2:$A$1500,$C223,RawBtabs!$C$2:$C$1500,$E223))</f>
        <v/>
      </c>
      <c r="I223" s="84" t="str">
        <f>IF($C223="","",SUMIFS(RawBtabs!$U$2:$U$1500,RawBtabs!$A$2:$A$1500,$C223,RawBtabs!$C$2:$C$1500,$E223))</f>
        <v/>
      </c>
      <c r="J223" s="84" t="str">
        <f t="shared" si="7"/>
        <v/>
      </c>
      <c r="K223" s="85" t="str">
        <f>IF($C223="","",$J223/Config!$C$9)</f>
        <v/>
      </c>
      <c r="L223" s="84" t="str">
        <f>IF($C223="","",$J223-Config!$C$9)</f>
        <v/>
      </c>
      <c r="M223" s="82" t="str">
        <f>IF($C223="","",IF($G223=0,"⛔ NO ENTRY IN BTABS",IF(ABS($L223)&lt;=Config!$C$10,"✅ OK ("&amp;TEXT($J223,"0.##")&amp;" h)",IF($L223&lt;0,"🔻 MISSING "&amp;TEXT(-$L223,"0.##")&amp;" h","🔺 OVER BY "&amp;TEXT($L223,"0.##")&amp;" h"))))</f>
        <v/>
      </c>
      <c r="N223" s="81" t="str">
        <f>IF($C223="","",IF($G223=0,3,IF(ABS($L223)&lt;=Config!$C$10,0,IF($L223&lt;0,2,1))))</f>
        <v/>
      </c>
      <c r="O223" s="81" t="str">
        <f>IF($C223="","",IF($N223&gt;0,COUNTIFS($N$4:$N223,"&gt;0"),""))</f>
        <v/>
      </c>
    </row>
    <row r="224" spans="2:15" x14ac:dyDescent="0.25">
      <c r="B224" s="81" t="str">
        <f t="shared" si="6"/>
        <v/>
      </c>
      <c r="C224" s="82" t="str">
        <f>IF(INT((ROW()-4)/5)+1&gt;Config!$C$14,"",INDEX(BPOworkers!$B$6:$B$105,INT((ROW()-4)/5)+1))</f>
        <v/>
      </c>
      <c r="D224" s="82" t="str">
        <f>IF($C224="","",IFERROR(INDEX(BPOworkers!$E$6:$E$105,MATCH($C224,BPOworkers!$B$6:$B$105,0)),""))</f>
        <v/>
      </c>
      <c r="E224" s="83" t="str">
        <f>IF($C224="","",Config!$C$7+MOD(ROW()-4,5))</f>
        <v/>
      </c>
      <c r="F224" s="82" t="str">
        <f>IF($C224="","",INDEX(Config!$F$7:$F$11,MOD(ROW()-4,5)+1))</f>
        <v/>
      </c>
      <c r="G224" s="81" t="str">
        <f>IF($C224="","",COUNTIFS(RawBtabs!$A$2:$A$1500,$C224,RawBtabs!$C$2:$C$1500,$E224))</f>
        <v/>
      </c>
      <c r="H224" s="84" t="str">
        <f>IF($C224="","",SUMIFS(RawBtabs!$T$2:$T$1500,RawBtabs!$A$2:$A$1500,$C224,RawBtabs!$C$2:$C$1500,$E224))</f>
        <v/>
      </c>
      <c r="I224" s="84" t="str">
        <f>IF($C224="","",SUMIFS(RawBtabs!$U$2:$U$1500,RawBtabs!$A$2:$A$1500,$C224,RawBtabs!$C$2:$C$1500,$E224))</f>
        <v/>
      </c>
      <c r="J224" s="84" t="str">
        <f t="shared" si="7"/>
        <v/>
      </c>
      <c r="K224" s="85" t="str">
        <f>IF($C224="","",$J224/Config!$C$9)</f>
        <v/>
      </c>
      <c r="L224" s="84" t="str">
        <f>IF($C224="","",$J224-Config!$C$9)</f>
        <v/>
      </c>
      <c r="M224" s="82" t="str">
        <f>IF($C224="","",IF($G224=0,"⛔ NO ENTRY IN BTABS",IF(ABS($L224)&lt;=Config!$C$10,"✅ OK ("&amp;TEXT($J224,"0.##")&amp;" h)",IF($L224&lt;0,"🔻 MISSING "&amp;TEXT(-$L224,"0.##")&amp;" h","🔺 OVER BY "&amp;TEXT($L224,"0.##")&amp;" h"))))</f>
        <v/>
      </c>
      <c r="N224" s="81" t="str">
        <f>IF($C224="","",IF($G224=0,3,IF(ABS($L224)&lt;=Config!$C$10,0,IF($L224&lt;0,2,1))))</f>
        <v/>
      </c>
      <c r="O224" s="81" t="str">
        <f>IF($C224="","",IF($N224&gt;0,COUNTIFS($N$4:$N224,"&gt;0"),""))</f>
        <v/>
      </c>
    </row>
    <row r="225" spans="2:15" x14ac:dyDescent="0.25">
      <c r="B225" s="81" t="str">
        <f t="shared" si="6"/>
        <v/>
      </c>
      <c r="C225" s="82" t="str">
        <f>IF(INT((ROW()-4)/5)+1&gt;Config!$C$14,"",INDEX(BPOworkers!$B$6:$B$105,INT((ROW()-4)/5)+1))</f>
        <v/>
      </c>
      <c r="D225" s="82" t="str">
        <f>IF($C225="","",IFERROR(INDEX(BPOworkers!$E$6:$E$105,MATCH($C225,BPOworkers!$B$6:$B$105,0)),""))</f>
        <v/>
      </c>
      <c r="E225" s="83" t="str">
        <f>IF($C225="","",Config!$C$7+MOD(ROW()-4,5))</f>
        <v/>
      </c>
      <c r="F225" s="82" t="str">
        <f>IF($C225="","",INDEX(Config!$F$7:$F$11,MOD(ROW()-4,5)+1))</f>
        <v/>
      </c>
      <c r="G225" s="81" t="str">
        <f>IF($C225="","",COUNTIFS(RawBtabs!$A$2:$A$1500,$C225,RawBtabs!$C$2:$C$1500,$E225))</f>
        <v/>
      </c>
      <c r="H225" s="84" t="str">
        <f>IF($C225="","",SUMIFS(RawBtabs!$T$2:$T$1500,RawBtabs!$A$2:$A$1500,$C225,RawBtabs!$C$2:$C$1500,$E225))</f>
        <v/>
      </c>
      <c r="I225" s="84" t="str">
        <f>IF($C225="","",SUMIFS(RawBtabs!$U$2:$U$1500,RawBtabs!$A$2:$A$1500,$C225,RawBtabs!$C$2:$C$1500,$E225))</f>
        <v/>
      </c>
      <c r="J225" s="84" t="str">
        <f t="shared" si="7"/>
        <v/>
      </c>
      <c r="K225" s="85" t="str">
        <f>IF($C225="","",$J225/Config!$C$9)</f>
        <v/>
      </c>
      <c r="L225" s="84" t="str">
        <f>IF($C225="","",$J225-Config!$C$9)</f>
        <v/>
      </c>
      <c r="M225" s="82" t="str">
        <f>IF($C225="","",IF($G225=0,"⛔ NO ENTRY IN BTABS",IF(ABS($L225)&lt;=Config!$C$10,"✅ OK ("&amp;TEXT($J225,"0.##")&amp;" h)",IF($L225&lt;0,"🔻 MISSING "&amp;TEXT(-$L225,"0.##")&amp;" h","🔺 OVER BY "&amp;TEXT($L225,"0.##")&amp;" h"))))</f>
        <v/>
      </c>
      <c r="N225" s="81" t="str">
        <f>IF($C225="","",IF($G225=0,3,IF(ABS($L225)&lt;=Config!$C$10,0,IF($L225&lt;0,2,1))))</f>
        <v/>
      </c>
      <c r="O225" s="81" t="str">
        <f>IF($C225="","",IF($N225&gt;0,COUNTIFS($N$4:$N225,"&gt;0"),""))</f>
        <v/>
      </c>
    </row>
    <row r="226" spans="2:15" x14ac:dyDescent="0.25">
      <c r="B226" s="81" t="str">
        <f t="shared" si="6"/>
        <v/>
      </c>
      <c r="C226" s="82" t="str">
        <f>IF(INT((ROW()-4)/5)+1&gt;Config!$C$14,"",INDEX(BPOworkers!$B$6:$B$105,INT((ROW()-4)/5)+1))</f>
        <v/>
      </c>
      <c r="D226" s="82" t="str">
        <f>IF($C226="","",IFERROR(INDEX(BPOworkers!$E$6:$E$105,MATCH($C226,BPOworkers!$B$6:$B$105,0)),""))</f>
        <v/>
      </c>
      <c r="E226" s="83" t="str">
        <f>IF($C226="","",Config!$C$7+MOD(ROW()-4,5))</f>
        <v/>
      </c>
      <c r="F226" s="82" t="str">
        <f>IF($C226="","",INDEX(Config!$F$7:$F$11,MOD(ROW()-4,5)+1))</f>
        <v/>
      </c>
      <c r="G226" s="81" t="str">
        <f>IF($C226="","",COUNTIFS(RawBtabs!$A$2:$A$1500,$C226,RawBtabs!$C$2:$C$1500,$E226))</f>
        <v/>
      </c>
      <c r="H226" s="84" t="str">
        <f>IF($C226="","",SUMIFS(RawBtabs!$T$2:$T$1500,RawBtabs!$A$2:$A$1500,$C226,RawBtabs!$C$2:$C$1500,$E226))</f>
        <v/>
      </c>
      <c r="I226" s="84" t="str">
        <f>IF($C226="","",SUMIFS(RawBtabs!$U$2:$U$1500,RawBtabs!$A$2:$A$1500,$C226,RawBtabs!$C$2:$C$1500,$E226))</f>
        <v/>
      </c>
      <c r="J226" s="84" t="str">
        <f t="shared" si="7"/>
        <v/>
      </c>
      <c r="K226" s="85" t="str">
        <f>IF($C226="","",$J226/Config!$C$9)</f>
        <v/>
      </c>
      <c r="L226" s="84" t="str">
        <f>IF($C226="","",$J226-Config!$C$9)</f>
        <v/>
      </c>
      <c r="M226" s="82" t="str">
        <f>IF($C226="","",IF($G226=0,"⛔ NO ENTRY IN BTABS",IF(ABS($L226)&lt;=Config!$C$10,"✅ OK ("&amp;TEXT($J226,"0.##")&amp;" h)",IF($L226&lt;0,"🔻 MISSING "&amp;TEXT(-$L226,"0.##")&amp;" h","🔺 OVER BY "&amp;TEXT($L226,"0.##")&amp;" h"))))</f>
        <v/>
      </c>
      <c r="N226" s="81" t="str">
        <f>IF($C226="","",IF($G226=0,3,IF(ABS($L226)&lt;=Config!$C$10,0,IF($L226&lt;0,2,1))))</f>
        <v/>
      </c>
      <c r="O226" s="81" t="str">
        <f>IF($C226="","",IF($N226&gt;0,COUNTIFS($N$4:$N226,"&gt;0"),""))</f>
        <v/>
      </c>
    </row>
    <row r="227" spans="2:15" x14ac:dyDescent="0.25">
      <c r="B227" s="81" t="str">
        <f t="shared" si="6"/>
        <v/>
      </c>
      <c r="C227" s="82" t="str">
        <f>IF(INT((ROW()-4)/5)+1&gt;Config!$C$14,"",INDEX(BPOworkers!$B$6:$B$105,INT((ROW()-4)/5)+1))</f>
        <v/>
      </c>
      <c r="D227" s="82" t="str">
        <f>IF($C227="","",IFERROR(INDEX(BPOworkers!$E$6:$E$105,MATCH($C227,BPOworkers!$B$6:$B$105,0)),""))</f>
        <v/>
      </c>
      <c r="E227" s="83" t="str">
        <f>IF($C227="","",Config!$C$7+MOD(ROW()-4,5))</f>
        <v/>
      </c>
      <c r="F227" s="82" t="str">
        <f>IF($C227="","",INDEX(Config!$F$7:$F$11,MOD(ROW()-4,5)+1))</f>
        <v/>
      </c>
      <c r="G227" s="81" t="str">
        <f>IF($C227="","",COUNTIFS(RawBtabs!$A$2:$A$1500,$C227,RawBtabs!$C$2:$C$1500,$E227))</f>
        <v/>
      </c>
      <c r="H227" s="84" t="str">
        <f>IF($C227="","",SUMIFS(RawBtabs!$T$2:$T$1500,RawBtabs!$A$2:$A$1500,$C227,RawBtabs!$C$2:$C$1500,$E227))</f>
        <v/>
      </c>
      <c r="I227" s="84" t="str">
        <f>IF($C227="","",SUMIFS(RawBtabs!$U$2:$U$1500,RawBtabs!$A$2:$A$1500,$C227,RawBtabs!$C$2:$C$1500,$E227))</f>
        <v/>
      </c>
      <c r="J227" s="84" t="str">
        <f t="shared" si="7"/>
        <v/>
      </c>
      <c r="K227" s="85" t="str">
        <f>IF($C227="","",$J227/Config!$C$9)</f>
        <v/>
      </c>
      <c r="L227" s="84" t="str">
        <f>IF($C227="","",$J227-Config!$C$9)</f>
        <v/>
      </c>
      <c r="M227" s="82" t="str">
        <f>IF($C227="","",IF($G227=0,"⛔ NO ENTRY IN BTABS",IF(ABS($L227)&lt;=Config!$C$10,"✅ OK ("&amp;TEXT($J227,"0.##")&amp;" h)",IF($L227&lt;0,"🔻 MISSING "&amp;TEXT(-$L227,"0.##")&amp;" h","🔺 OVER BY "&amp;TEXT($L227,"0.##")&amp;" h"))))</f>
        <v/>
      </c>
      <c r="N227" s="81" t="str">
        <f>IF($C227="","",IF($G227=0,3,IF(ABS($L227)&lt;=Config!$C$10,0,IF($L227&lt;0,2,1))))</f>
        <v/>
      </c>
      <c r="O227" s="81" t="str">
        <f>IF($C227="","",IF($N227&gt;0,COUNTIFS($N$4:$N227,"&gt;0"),""))</f>
        <v/>
      </c>
    </row>
    <row r="228" spans="2:15" x14ac:dyDescent="0.25">
      <c r="B228" s="81" t="str">
        <f t="shared" si="6"/>
        <v/>
      </c>
      <c r="C228" s="82" t="str">
        <f>IF(INT((ROW()-4)/5)+1&gt;Config!$C$14,"",INDEX(BPOworkers!$B$6:$B$105,INT((ROW()-4)/5)+1))</f>
        <v/>
      </c>
      <c r="D228" s="82" t="str">
        <f>IF($C228="","",IFERROR(INDEX(BPOworkers!$E$6:$E$105,MATCH($C228,BPOworkers!$B$6:$B$105,0)),""))</f>
        <v/>
      </c>
      <c r="E228" s="83" t="str">
        <f>IF($C228="","",Config!$C$7+MOD(ROW()-4,5))</f>
        <v/>
      </c>
      <c r="F228" s="82" t="str">
        <f>IF($C228="","",INDEX(Config!$F$7:$F$11,MOD(ROW()-4,5)+1))</f>
        <v/>
      </c>
      <c r="G228" s="81" t="str">
        <f>IF($C228="","",COUNTIFS(RawBtabs!$A$2:$A$1500,$C228,RawBtabs!$C$2:$C$1500,$E228))</f>
        <v/>
      </c>
      <c r="H228" s="84" t="str">
        <f>IF($C228="","",SUMIFS(RawBtabs!$T$2:$T$1500,RawBtabs!$A$2:$A$1500,$C228,RawBtabs!$C$2:$C$1500,$E228))</f>
        <v/>
      </c>
      <c r="I228" s="84" t="str">
        <f>IF($C228="","",SUMIFS(RawBtabs!$U$2:$U$1500,RawBtabs!$A$2:$A$1500,$C228,RawBtabs!$C$2:$C$1500,$E228))</f>
        <v/>
      </c>
      <c r="J228" s="84" t="str">
        <f t="shared" si="7"/>
        <v/>
      </c>
      <c r="K228" s="85" t="str">
        <f>IF($C228="","",$J228/Config!$C$9)</f>
        <v/>
      </c>
      <c r="L228" s="84" t="str">
        <f>IF($C228="","",$J228-Config!$C$9)</f>
        <v/>
      </c>
      <c r="M228" s="82" t="str">
        <f>IF($C228="","",IF($G228=0,"⛔ NO ENTRY IN BTABS",IF(ABS($L228)&lt;=Config!$C$10,"✅ OK ("&amp;TEXT($J228,"0.##")&amp;" h)",IF($L228&lt;0,"🔻 MISSING "&amp;TEXT(-$L228,"0.##")&amp;" h","🔺 OVER BY "&amp;TEXT($L228,"0.##")&amp;" h"))))</f>
        <v/>
      </c>
      <c r="N228" s="81" t="str">
        <f>IF($C228="","",IF($G228=0,3,IF(ABS($L228)&lt;=Config!$C$10,0,IF($L228&lt;0,2,1))))</f>
        <v/>
      </c>
      <c r="O228" s="81" t="str">
        <f>IF($C228="","",IF($N228&gt;0,COUNTIFS($N$4:$N228,"&gt;0"),""))</f>
        <v/>
      </c>
    </row>
    <row r="229" spans="2:15" x14ac:dyDescent="0.25">
      <c r="B229" s="81" t="str">
        <f t="shared" si="6"/>
        <v/>
      </c>
      <c r="C229" s="82" t="str">
        <f>IF(INT((ROW()-4)/5)+1&gt;Config!$C$14,"",INDEX(BPOworkers!$B$6:$B$105,INT((ROW()-4)/5)+1))</f>
        <v/>
      </c>
      <c r="D229" s="82" t="str">
        <f>IF($C229="","",IFERROR(INDEX(BPOworkers!$E$6:$E$105,MATCH($C229,BPOworkers!$B$6:$B$105,0)),""))</f>
        <v/>
      </c>
      <c r="E229" s="83" t="str">
        <f>IF($C229="","",Config!$C$7+MOD(ROW()-4,5))</f>
        <v/>
      </c>
      <c r="F229" s="82" t="str">
        <f>IF($C229="","",INDEX(Config!$F$7:$F$11,MOD(ROW()-4,5)+1))</f>
        <v/>
      </c>
      <c r="G229" s="81" t="str">
        <f>IF($C229="","",COUNTIFS(RawBtabs!$A$2:$A$1500,$C229,RawBtabs!$C$2:$C$1500,$E229))</f>
        <v/>
      </c>
      <c r="H229" s="84" t="str">
        <f>IF($C229="","",SUMIFS(RawBtabs!$T$2:$T$1500,RawBtabs!$A$2:$A$1500,$C229,RawBtabs!$C$2:$C$1500,$E229))</f>
        <v/>
      </c>
      <c r="I229" s="84" t="str">
        <f>IF($C229="","",SUMIFS(RawBtabs!$U$2:$U$1500,RawBtabs!$A$2:$A$1500,$C229,RawBtabs!$C$2:$C$1500,$E229))</f>
        <v/>
      </c>
      <c r="J229" s="84" t="str">
        <f t="shared" si="7"/>
        <v/>
      </c>
      <c r="K229" s="85" t="str">
        <f>IF($C229="","",$J229/Config!$C$9)</f>
        <v/>
      </c>
      <c r="L229" s="84" t="str">
        <f>IF($C229="","",$J229-Config!$C$9)</f>
        <v/>
      </c>
      <c r="M229" s="82" t="str">
        <f>IF($C229="","",IF($G229=0,"⛔ NO ENTRY IN BTABS",IF(ABS($L229)&lt;=Config!$C$10,"✅ OK ("&amp;TEXT($J229,"0.##")&amp;" h)",IF($L229&lt;0,"🔻 MISSING "&amp;TEXT(-$L229,"0.##")&amp;" h","🔺 OVER BY "&amp;TEXT($L229,"0.##")&amp;" h"))))</f>
        <v/>
      </c>
      <c r="N229" s="81" t="str">
        <f>IF($C229="","",IF($G229=0,3,IF(ABS($L229)&lt;=Config!$C$10,0,IF($L229&lt;0,2,1))))</f>
        <v/>
      </c>
      <c r="O229" s="81" t="str">
        <f>IF($C229="","",IF($N229&gt;0,COUNTIFS($N$4:$N229,"&gt;0"),""))</f>
        <v/>
      </c>
    </row>
    <row r="230" spans="2:15" x14ac:dyDescent="0.25">
      <c r="B230" s="81" t="str">
        <f t="shared" si="6"/>
        <v/>
      </c>
      <c r="C230" s="82" t="str">
        <f>IF(INT((ROW()-4)/5)+1&gt;Config!$C$14,"",INDEX(BPOworkers!$B$6:$B$105,INT((ROW()-4)/5)+1))</f>
        <v/>
      </c>
      <c r="D230" s="82" t="str">
        <f>IF($C230="","",IFERROR(INDEX(BPOworkers!$E$6:$E$105,MATCH($C230,BPOworkers!$B$6:$B$105,0)),""))</f>
        <v/>
      </c>
      <c r="E230" s="83" t="str">
        <f>IF($C230="","",Config!$C$7+MOD(ROW()-4,5))</f>
        <v/>
      </c>
      <c r="F230" s="82" t="str">
        <f>IF($C230="","",INDEX(Config!$F$7:$F$11,MOD(ROW()-4,5)+1))</f>
        <v/>
      </c>
      <c r="G230" s="81" t="str">
        <f>IF($C230="","",COUNTIFS(RawBtabs!$A$2:$A$1500,$C230,RawBtabs!$C$2:$C$1500,$E230))</f>
        <v/>
      </c>
      <c r="H230" s="84" t="str">
        <f>IF($C230="","",SUMIFS(RawBtabs!$T$2:$T$1500,RawBtabs!$A$2:$A$1500,$C230,RawBtabs!$C$2:$C$1500,$E230))</f>
        <v/>
      </c>
      <c r="I230" s="84" t="str">
        <f>IF($C230="","",SUMIFS(RawBtabs!$U$2:$U$1500,RawBtabs!$A$2:$A$1500,$C230,RawBtabs!$C$2:$C$1500,$E230))</f>
        <v/>
      </c>
      <c r="J230" s="84" t="str">
        <f t="shared" si="7"/>
        <v/>
      </c>
      <c r="K230" s="85" t="str">
        <f>IF($C230="","",$J230/Config!$C$9)</f>
        <v/>
      </c>
      <c r="L230" s="84" t="str">
        <f>IF($C230="","",$J230-Config!$C$9)</f>
        <v/>
      </c>
      <c r="M230" s="82" t="str">
        <f>IF($C230="","",IF($G230=0,"⛔ NO ENTRY IN BTABS",IF(ABS($L230)&lt;=Config!$C$10,"✅ OK ("&amp;TEXT($J230,"0.##")&amp;" h)",IF($L230&lt;0,"🔻 MISSING "&amp;TEXT(-$L230,"0.##")&amp;" h","🔺 OVER BY "&amp;TEXT($L230,"0.##")&amp;" h"))))</f>
        <v/>
      </c>
      <c r="N230" s="81" t="str">
        <f>IF($C230="","",IF($G230=0,3,IF(ABS($L230)&lt;=Config!$C$10,0,IF($L230&lt;0,2,1))))</f>
        <v/>
      </c>
      <c r="O230" s="81" t="str">
        <f>IF($C230="","",IF($N230&gt;0,COUNTIFS($N$4:$N230,"&gt;0"),""))</f>
        <v/>
      </c>
    </row>
    <row r="231" spans="2:15" x14ac:dyDescent="0.25">
      <c r="B231" s="81" t="str">
        <f t="shared" si="6"/>
        <v/>
      </c>
      <c r="C231" s="82" t="str">
        <f>IF(INT((ROW()-4)/5)+1&gt;Config!$C$14,"",INDEX(BPOworkers!$B$6:$B$105,INT((ROW()-4)/5)+1))</f>
        <v/>
      </c>
      <c r="D231" s="82" t="str">
        <f>IF($C231="","",IFERROR(INDEX(BPOworkers!$E$6:$E$105,MATCH($C231,BPOworkers!$B$6:$B$105,0)),""))</f>
        <v/>
      </c>
      <c r="E231" s="83" t="str">
        <f>IF($C231="","",Config!$C$7+MOD(ROW()-4,5))</f>
        <v/>
      </c>
      <c r="F231" s="82" t="str">
        <f>IF($C231="","",INDEX(Config!$F$7:$F$11,MOD(ROW()-4,5)+1))</f>
        <v/>
      </c>
      <c r="G231" s="81" t="str">
        <f>IF($C231="","",COUNTIFS(RawBtabs!$A$2:$A$1500,$C231,RawBtabs!$C$2:$C$1500,$E231))</f>
        <v/>
      </c>
      <c r="H231" s="84" t="str">
        <f>IF($C231="","",SUMIFS(RawBtabs!$T$2:$T$1500,RawBtabs!$A$2:$A$1500,$C231,RawBtabs!$C$2:$C$1500,$E231))</f>
        <v/>
      </c>
      <c r="I231" s="84" t="str">
        <f>IF($C231="","",SUMIFS(RawBtabs!$U$2:$U$1500,RawBtabs!$A$2:$A$1500,$C231,RawBtabs!$C$2:$C$1500,$E231))</f>
        <v/>
      </c>
      <c r="J231" s="84" t="str">
        <f t="shared" si="7"/>
        <v/>
      </c>
      <c r="K231" s="85" t="str">
        <f>IF($C231="","",$J231/Config!$C$9)</f>
        <v/>
      </c>
      <c r="L231" s="84" t="str">
        <f>IF($C231="","",$J231-Config!$C$9)</f>
        <v/>
      </c>
      <c r="M231" s="82" t="str">
        <f>IF($C231="","",IF($G231=0,"⛔ NO ENTRY IN BTABS",IF(ABS($L231)&lt;=Config!$C$10,"✅ OK ("&amp;TEXT($J231,"0.##")&amp;" h)",IF($L231&lt;0,"🔻 MISSING "&amp;TEXT(-$L231,"0.##")&amp;" h","🔺 OVER BY "&amp;TEXT($L231,"0.##")&amp;" h"))))</f>
        <v/>
      </c>
      <c r="N231" s="81" t="str">
        <f>IF($C231="","",IF($G231=0,3,IF(ABS($L231)&lt;=Config!$C$10,0,IF($L231&lt;0,2,1))))</f>
        <v/>
      </c>
      <c r="O231" s="81" t="str">
        <f>IF($C231="","",IF($N231&gt;0,COUNTIFS($N$4:$N231,"&gt;0"),""))</f>
        <v/>
      </c>
    </row>
    <row r="232" spans="2:15" x14ac:dyDescent="0.25">
      <c r="B232" s="81" t="str">
        <f t="shared" si="6"/>
        <v/>
      </c>
      <c r="C232" s="82" t="str">
        <f>IF(INT((ROW()-4)/5)+1&gt;Config!$C$14,"",INDEX(BPOworkers!$B$6:$B$105,INT((ROW()-4)/5)+1))</f>
        <v/>
      </c>
      <c r="D232" s="82" t="str">
        <f>IF($C232="","",IFERROR(INDEX(BPOworkers!$E$6:$E$105,MATCH($C232,BPOworkers!$B$6:$B$105,0)),""))</f>
        <v/>
      </c>
      <c r="E232" s="83" t="str">
        <f>IF($C232="","",Config!$C$7+MOD(ROW()-4,5))</f>
        <v/>
      </c>
      <c r="F232" s="82" t="str">
        <f>IF($C232="","",INDEX(Config!$F$7:$F$11,MOD(ROW()-4,5)+1))</f>
        <v/>
      </c>
      <c r="G232" s="81" t="str">
        <f>IF($C232="","",COUNTIFS(RawBtabs!$A$2:$A$1500,$C232,RawBtabs!$C$2:$C$1500,$E232))</f>
        <v/>
      </c>
      <c r="H232" s="84" t="str">
        <f>IF($C232="","",SUMIFS(RawBtabs!$T$2:$T$1500,RawBtabs!$A$2:$A$1500,$C232,RawBtabs!$C$2:$C$1500,$E232))</f>
        <v/>
      </c>
      <c r="I232" s="84" t="str">
        <f>IF($C232="","",SUMIFS(RawBtabs!$U$2:$U$1500,RawBtabs!$A$2:$A$1500,$C232,RawBtabs!$C$2:$C$1500,$E232))</f>
        <v/>
      </c>
      <c r="J232" s="84" t="str">
        <f t="shared" si="7"/>
        <v/>
      </c>
      <c r="K232" s="85" t="str">
        <f>IF($C232="","",$J232/Config!$C$9)</f>
        <v/>
      </c>
      <c r="L232" s="84" t="str">
        <f>IF($C232="","",$J232-Config!$C$9)</f>
        <v/>
      </c>
      <c r="M232" s="82" t="str">
        <f>IF($C232="","",IF($G232=0,"⛔ NO ENTRY IN BTABS",IF(ABS($L232)&lt;=Config!$C$10,"✅ OK ("&amp;TEXT($J232,"0.##")&amp;" h)",IF($L232&lt;0,"🔻 MISSING "&amp;TEXT(-$L232,"0.##")&amp;" h","🔺 OVER BY "&amp;TEXT($L232,"0.##")&amp;" h"))))</f>
        <v/>
      </c>
      <c r="N232" s="81" t="str">
        <f>IF($C232="","",IF($G232=0,3,IF(ABS($L232)&lt;=Config!$C$10,0,IF($L232&lt;0,2,1))))</f>
        <v/>
      </c>
      <c r="O232" s="81" t="str">
        <f>IF($C232="","",IF($N232&gt;0,COUNTIFS($N$4:$N232,"&gt;0"),""))</f>
        <v/>
      </c>
    </row>
    <row r="233" spans="2:15" x14ac:dyDescent="0.25">
      <c r="B233" s="81" t="str">
        <f t="shared" si="6"/>
        <v/>
      </c>
      <c r="C233" s="82" t="str">
        <f>IF(INT((ROW()-4)/5)+1&gt;Config!$C$14,"",INDEX(BPOworkers!$B$6:$B$105,INT((ROW()-4)/5)+1))</f>
        <v/>
      </c>
      <c r="D233" s="82" t="str">
        <f>IF($C233="","",IFERROR(INDEX(BPOworkers!$E$6:$E$105,MATCH($C233,BPOworkers!$B$6:$B$105,0)),""))</f>
        <v/>
      </c>
      <c r="E233" s="83" t="str">
        <f>IF($C233="","",Config!$C$7+MOD(ROW()-4,5))</f>
        <v/>
      </c>
      <c r="F233" s="82" t="str">
        <f>IF($C233="","",INDEX(Config!$F$7:$F$11,MOD(ROW()-4,5)+1))</f>
        <v/>
      </c>
      <c r="G233" s="81" t="str">
        <f>IF($C233="","",COUNTIFS(RawBtabs!$A$2:$A$1500,$C233,RawBtabs!$C$2:$C$1500,$E233))</f>
        <v/>
      </c>
      <c r="H233" s="84" t="str">
        <f>IF($C233="","",SUMIFS(RawBtabs!$T$2:$T$1500,RawBtabs!$A$2:$A$1500,$C233,RawBtabs!$C$2:$C$1500,$E233))</f>
        <v/>
      </c>
      <c r="I233" s="84" t="str">
        <f>IF($C233="","",SUMIFS(RawBtabs!$U$2:$U$1500,RawBtabs!$A$2:$A$1500,$C233,RawBtabs!$C$2:$C$1500,$E233))</f>
        <v/>
      </c>
      <c r="J233" s="84" t="str">
        <f t="shared" si="7"/>
        <v/>
      </c>
      <c r="K233" s="85" t="str">
        <f>IF($C233="","",$J233/Config!$C$9)</f>
        <v/>
      </c>
      <c r="L233" s="84" t="str">
        <f>IF($C233="","",$J233-Config!$C$9)</f>
        <v/>
      </c>
      <c r="M233" s="82" t="str">
        <f>IF($C233="","",IF($G233=0,"⛔ NO ENTRY IN BTABS",IF(ABS($L233)&lt;=Config!$C$10,"✅ OK ("&amp;TEXT($J233,"0.##")&amp;" h)",IF($L233&lt;0,"🔻 MISSING "&amp;TEXT(-$L233,"0.##")&amp;" h","🔺 OVER BY "&amp;TEXT($L233,"0.##")&amp;" h"))))</f>
        <v/>
      </c>
      <c r="N233" s="81" t="str">
        <f>IF($C233="","",IF($G233=0,3,IF(ABS($L233)&lt;=Config!$C$10,0,IF($L233&lt;0,2,1))))</f>
        <v/>
      </c>
      <c r="O233" s="81" t="str">
        <f>IF($C233="","",IF($N233&gt;0,COUNTIFS($N$4:$N233,"&gt;0"),""))</f>
        <v/>
      </c>
    </row>
    <row r="234" spans="2:15" x14ac:dyDescent="0.25">
      <c r="B234" s="81" t="str">
        <f t="shared" si="6"/>
        <v/>
      </c>
      <c r="C234" s="82" t="str">
        <f>IF(INT((ROW()-4)/5)+1&gt;Config!$C$14,"",INDEX(BPOworkers!$B$6:$B$105,INT((ROW()-4)/5)+1))</f>
        <v/>
      </c>
      <c r="D234" s="82" t="str">
        <f>IF($C234="","",IFERROR(INDEX(BPOworkers!$E$6:$E$105,MATCH($C234,BPOworkers!$B$6:$B$105,0)),""))</f>
        <v/>
      </c>
      <c r="E234" s="83" t="str">
        <f>IF($C234="","",Config!$C$7+MOD(ROW()-4,5))</f>
        <v/>
      </c>
      <c r="F234" s="82" t="str">
        <f>IF($C234="","",INDEX(Config!$F$7:$F$11,MOD(ROW()-4,5)+1))</f>
        <v/>
      </c>
      <c r="G234" s="81" t="str">
        <f>IF($C234="","",COUNTIFS(RawBtabs!$A$2:$A$1500,$C234,RawBtabs!$C$2:$C$1500,$E234))</f>
        <v/>
      </c>
      <c r="H234" s="84" t="str">
        <f>IF($C234="","",SUMIFS(RawBtabs!$T$2:$T$1500,RawBtabs!$A$2:$A$1500,$C234,RawBtabs!$C$2:$C$1500,$E234))</f>
        <v/>
      </c>
      <c r="I234" s="84" t="str">
        <f>IF($C234="","",SUMIFS(RawBtabs!$U$2:$U$1500,RawBtabs!$A$2:$A$1500,$C234,RawBtabs!$C$2:$C$1500,$E234))</f>
        <v/>
      </c>
      <c r="J234" s="84" t="str">
        <f t="shared" si="7"/>
        <v/>
      </c>
      <c r="K234" s="85" t="str">
        <f>IF($C234="","",$J234/Config!$C$9)</f>
        <v/>
      </c>
      <c r="L234" s="84" t="str">
        <f>IF($C234="","",$J234-Config!$C$9)</f>
        <v/>
      </c>
      <c r="M234" s="82" t="str">
        <f>IF($C234="","",IF($G234=0,"⛔ NO ENTRY IN BTABS",IF(ABS($L234)&lt;=Config!$C$10,"✅ OK ("&amp;TEXT($J234,"0.##")&amp;" h)",IF($L234&lt;0,"🔻 MISSING "&amp;TEXT(-$L234,"0.##")&amp;" h","🔺 OVER BY "&amp;TEXT($L234,"0.##")&amp;" h"))))</f>
        <v/>
      </c>
      <c r="N234" s="81" t="str">
        <f>IF($C234="","",IF($G234=0,3,IF(ABS($L234)&lt;=Config!$C$10,0,IF($L234&lt;0,2,1))))</f>
        <v/>
      </c>
      <c r="O234" s="81" t="str">
        <f>IF($C234="","",IF($N234&gt;0,COUNTIFS($N$4:$N234,"&gt;0"),""))</f>
        <v/>
      </c>
    </row>
    <row r="235" spans="2:15" x14ac:dyDescent="0.25">
      <c r="B235" s="81" t="str">
        <f t="shared" si="6"/>
        <v/>
      </c>
      <c r="C235" s="82" t="str">
        <f>IF(INT((ROW()-4)/5)+1&gt;Config!$C$14,"",INDEX(BPOworkers!$B$6:$B$105,INT((ROW()-4)/5)+1))</f>
        <v/>
      </c>
      <c r="D235" s="82" t="str">
        <f>IF($C235="","",IFERROR(INDEX(BPOworkers!$E$6:$E$105,MATCH($C235,BPOworkers!$B$6:$B$105,0)),""))</f>
        <v/>
      </c>
      <c r="E235" s="83" t="str">
        <f>IF($C235="","",Config!$C$7+MOD(ROW()-4,5))</f>
        <v/>
      </c>
      <c r="F235" s="82" t="str">
        <f>IF($C235="","",INDEX(Config!$F$7:$F$11,MOD(ROW()-4,5)+1))</f>
        <v/>
      </c>
      <c r="G235" s="81" t="str">
        <f>IF($C235="","",COUNTIFS(RawBtabs!$A$2:$A$1500,$C235,RawBtabs!$C$2:$C$1500,$E235))</f>
        <v/>
      </c>
      <c r="H235" s="84" t="str">
        <f>IF($C235="","",SUMIFS(RawBtabs!$T$2:$T$1500,RawBtabs!$A$2:$A$1500,$C235,RawBtabs!$C$2:$C$1500,$E235))</f>
        <v/>
      </c>
      <c r="I235" s="84" t="str">
        <f>IF($C235="","",SUMIFS(RawBtabs!$U$2:$U$1500,RawBtabs!$A$2:$A$1500,$C235,RawBtabs!$C$2:$C$1500,$E235))</f>
        <v/>
      </c>
      <c r="J235" s="84" t="str">
        <f t="shared" si="7"/>
        <v/>
      </c>
      <c r="K235" s="85" t="str">
        <f>IF($C235="","",$J235/Config!$C$9)</f>
        <v/>
      </c>
      <c r="L235" s="84" t="str">
        <f>IF($C235="","",$J235-Config!$C$9)</f>
        <v/>
      </c>
      <c r="M235" s="82" t="str">
        <f>IF($C235="","",IF($G235=0,"⛔ NO ENTRY IN BTABS",IF(ABS($L235)&lt;=Config!$C$10,"✅ OK ("&amp;TEXT($J235,"0.##")&amp;" h)",IF($L235&lt;0,"🔻 MISSING "&amp;TEXT(-$L235,"0.##")&amp;" h","🔺 OVER BY "&amp;TEXT($L235,"0.##")&amp;" h"))))</f>
        <v/>
      </c>
      <c r="N235" s="81" t="str">
        <f>IF($C235="","",IF($G235=0,3,IF(ABS($L235)&lt;=Config!$C$10,0,IF($L235&lt;0,2,1))))</f>
        <v/>
      </c>
      <c r="O235" s="81" t="str">
        <f>IF($C235="","",IF($N235&gt;0,COUNTIFS($N$4:$N235,"&gt;0"),""))</f>
        <v/>
      </c>
    </row>
    <row r="236" spans="2:15" x14ac:dyDescent="0.25">
      <c r="B236" s="81" t="str">
        <f t="shared" si="6"/>
        <v/>
      </c>
      <c r="C236" s="82" t="str">
        <f>IF(INT((ROW()-4)/5)+1&gt;Config!$C$14,"",INDEX(BPOworkers!$B$6:$B$105,INT((ROW()-4)/5)+1))</f>
        <v/>
      </c>
      <c r="D236" s="82" t="str">
        <f>IF($C236="","",IFERROR(INDEX(BPOworkers!$E$6:$E$105,MATCH($C236,BPOworkers!$B$6:$B$105,0)),""))</f>
        <v/>
      </c>
      <c r="E236" s="83" t="str">
        <f>IF($C236="","",Config!$C$7+MOD(ROW()-4,5))</f>
        <v/>
      </c>
      <c r="F236" s="82" t="str">
        <f>IF($C236="","",INDEX(Config!$F$7:$F$11,MOD(ROW()-4,5)+1))</f>
        <v/>
      </c>
      <c r="G236" s="81" t="str">
        <f>IF($C236="","",COUNTIFS(RawBtabs!$A$2:$A$1500,$C236,RawBtabs!$C$2:$C$1500,$E236))</f>
        <v/>
      </c>
      <c r="H236" s="84" t="str">
        <f>IF($C236="","",SUMIFS(RawBtabs!$T$2:$T$1500,RawBtabs!$A$2:$A$1500,$C236,RawBtabs!$C$2:$C$1500,$E236))</f>
        <v/>
      </c>
      <c r="I236" s="84" t="str">
        <f>IF($C236="","",SUMIFS(RawBtabs!$U$2:$U$1500,RawBtabs!$A$2:$A$1500,$C236,RawBtabs!$C$2:$C$1500,$E236))</f>
        <v/>
      </c>
      <c r="J236" s="84" t="str">
        <f t="shared" si="7"/>
        <v/>
      </c>
      <c r="K236" s="85" t="str">
        <f>IF($C236="","",$J236/Config!$C$9)</f>
        <v/>
      </c>
      <c r="L236" s="84" t="str">
        <f>IF($C236="","",$J236-Config!$C$9)</f>
        <v/>
      </c>
      <c r="M236" s="82" t="str">
        <f>IF($C236="","",IF($G236=0,"⛔ NO ENTRY IN BTABS",IF(ABS($L236)&lt;=Config!$C$10,"✅ OK ("&amp;TEXT($J236,"0.##")&amp;" h)",IF($L236&lt;0,"🔻 MISSING "&amp;TEXT(-$L236,"0.##")&amp;" h","🔺 OVER BY "&amp;TEXT($L236,"0.##")&amp;" h"))))</f>
        <v/>
      </c>
      <c r="N236" s="81" t="str">
        <f>IF($C236="","",IF($G236=0,3,IF(ABS($L236)&lt;=Config!$C$10,0,IF($L236&lt;0,2,1))))</f>
        <v/>
      </c>
      <c r="O236" s="81" t="str">
        <f>IF($C236="","",IF($N236&gt;0,COUNTIFS($N$4:$N236,"&gt;0"),""))</f>
        <v/>
      </c>
    </row>
    <row r="237" spans="2:15" x14ac:dyDescent="0.25">
      <c r="B237" s="81" t="str">
        <f t="shared" si="6"/>
        <v/>
      </c>
      <c r="C237" s="82" t="str">
        <f>IF(INT((ROW()-4)/5)+1&gt;Config!$C$14,"",INDEX(BPOworkers!$B$6:$B$105,INT((ROW()-4)/5)+1))</f>
        <v/>
      </c>
      <c r="D237" s="82" t="str">
        <f>IF($C237="","",IFERROR(INDEX(BPOworkers!$E$6:$E$105,MATCH($C237,BPOworkers!$B$6:$B$105,0)),""))</f>
        <v/>
      </c>
      <c r="E237" s="83" t="str">
        <f>IF($C237="","",Config!$C$7+MOD(ROW()-4,5))</f>
        <v/>
      </c>
      <c r="F237" s="82" t="str">
        <f>IF($C237="","",INDEX(Config!$F$7:$F$11,MOD(ROW()-4,5)+1))</f>
        <v/>
      </c>
      <c r="G237" s="81" t="str">
        <f>IF($C237="","",COUNTIFS(RawBtabs!$A$2:$A$1500,$C237,RawBtabs!$C$2:$C$1500,$E237))</f>
        <v/>
      </c>
      <c r="H237" s="84" t="str">
        <f>IF($C237="","",SUMIFS(RawBtabs!$T$2:$T$1500,RawBtabs!$A$2:$A$1500,$C237,RawBtabs!$C$2:$C$1500,$E237))</f>
        <v/>
      </c>
      <c r="I237" s="84" t="str">
        <f>IF($C237="","",SUMIFS(RawBtabs!$U$2:$U$1500,RawBtabs!$A$2:$A$1500,$C237,RawBtabs!$C$2:$C$1500,$E237))</f>
        <v/>
      </c>
      <c r="J237" s="84" t="str">
        <f t="shared" si="7"/>
        <v/>
      </c>
      <c r="K237" s="85" t="str">
        <f>IF($C237="","",$J237/Config!$C$9)</f>
        <v/>
      </c>
      <c r="L237" s="84" t="str">
        <f>IF($C237="","",$J237-Config!$C$9)</f>
        <v/>
      </c>
      <c r="M237" s="82" t="str">
        <f>IF($C237="","",IF($G237=0,"⛔ NO ENTRY IN BTABS",IF(ABS($L237)&lt;=Config!$C$10,"✅ OK ("&amp;TEXT($J237,"0.##")&amp;" h)",IF($L237&lt;0,"🔻 MISSING "&amp;TEXT(-$L237,"0.##")&amp;" h","🔺 OVER BY "&amp;TEXT($L237,"0.##")&amp;" h"))))</f>
        <v/>
      </c>
      <c r="N237" s="81" t="str">
        <f>IF($C237="","",IF($G237=0,3,IF(ABS($L237)&lt;=Config!$C$10,0,IF($L237&lt;0,2,1))))</f>
        <v/>
      </c>
      <c r="O237" s="81" t="str">
        <f>IF($C237="","",IF($N237&gt;0,COUNTIFS($N$4:$N237,"&gt;0"),""))</f>
        <v/>
      </c>
    </row>
    <row r="238" spans="2:15" x14ac:dyDescent="0.25">
      <c r="B238" s="81" t="str">
        <f t="shared" si="6"/>
        <v/>
      </c>
      <c r="C238" s="82" t="str">
        <f>IF(INT((ROW()-4)/5)+1&gt;Config!$C$14,"",INDEX(BPOworkers!$B$6:$B$105,INT((ROW()-4)/5)+1))</f>
        <v/>
      </c>
      <c r="D238" s="82" t="str">
        <f>IF($C238="","",IFERROR(INDEX(BPOworkers!$E$6:$E$105,MATCH($C238,BPOworkers!$B$6:$B$105,0)),""))</f>
        <v/>
      </c>
      <c r="E238" s="83" t="str">
        <f>IF($C238="","",Config!$C$7+MOD(ROW()-4,5))</f>
        <v/>
      </c>
      <c r="F238" s="82" t="str">
        <f>IF($C238="","",INDEX(Config!$F$7:$F$11,MOD(ROW()-4,5)+1))</f>
        <v/>
      </c>
      <c r="G238" s="81" t="str">
        <f>IF($C238="","",COUNTIFS(RawBtabs!$A$2:$A$1500,$C238,RawBtabs!$C$2:$C$1500,$E238))</f>
        <v/>
      </c>
      <c r="H238" s="84" t="str">
        <f>IF($C238="","",SUMIFS(RawBtabs!$T$2:$T$1500,RawBtabs!$A$2:$A$1500,$C238,RawBtabs!$C$2:$C$1500,$E238))</f>
        <v/>
      </c>
      <c r="I238" s="84" t="str">
        <f>IF($C238="","",SUMIFS(RawBtabs!$U$2:$U$1500,RawBtabs!$A$2:$A$1500,$C238,RawBtabs!$C$2:$C$1500,$E238))</f>
        <v/>
      </c>
      <c r="J238" s="84" t="str">
        <f t="shared" si="7"/>
        <v/>
      </c>
      <c r="K238" s="85" t="str">
        <f>IF($C238="","",$J238/Config!$C$9)</f>
        <v/>
      </c>
      <c r="L238" s="84" t="str">
        <f>IF($C238="","",$J238-Config!$C$9)</f>
        <v/>
      </c>
      <c r="M238" s="82" t="str">
        <f>IF($C238="","",IF($G238=0,"⛔ NO ENTRY IN BTABS",IF(ABS($L238)&lt;=Config!$C$10,"✅ OK ("&amp;TEXT($J238,"0.##")&amp;" h)",IF($L238&lt;0,"🔻 MISSING "&amp;TEXT(-$L238,"0.##")&amp;" h","🔺 OVER BY "&amp;TEXT($L238,"0.##")&amp;" h"))))</f>
        <v/>
      </c>
      <c r="N238" s="81" t="str">
        <f>IF($C238="","",IF($G238=0,3,IF(ABS($L238)&lt;=Config!$C$10,0,IF($L238&lt;0,2,1))))</f>
        <v/>
      </c>
      <c r="O238" s="81" t="str">
        <f>IF($C238="","",IF($N238&gt;0,COUNTIFS($N$4:$N238,"&gt;0"),""))</f>
        <v/>
      </c>
    </row>
    <row r="239" spans="2:15" x14ac:dyDescent="0.25">
      <c r="B239" s="81" t="str">
        <f t="shared" si="6"/>
        <v/>
      </c>
      <c r="C239" s="82" t="str">
        <f>IF(INT((ROW()-4)/5)+1&gt;Config!$C$14,"",INDEX(BPOworkers!$B$6:$B$105,INT((ROW()-4)/5)+1))</f>
        <v/>
      </c>
      <c r="D239" s="82" t="str">
        <f>IF($C239="","",IFERROR(INDEX(BPOworkers!$E$6:$E$105,MATCH($C239,BPOworkers!$B$6:$B$105,0)),""))</f>
        <v/>
      </c>
      <c r="E239" s="83" t="str">
        <f>IF($C239="","",Config!$C$7+MOD(ROW()-4,5))</f>
        <v/>
      </c>
      <c r="F239" s="82" t="str">
        <f>IF($C239="","",INDEX(Config!$F$7:$F$11,MOD(ROW()-4,5)+1))</f>
        <v/>
      </c>
      <c r="G239" s="81" t="str">
        <f>IF($C239="","",COUNTIFS(RawBtabs!$A$2:$A$1500,$C239,RawBtabs!$C$2:$C$1500,$E239))</f>
        <v/>
      </c>
      <c r="H239" s="84" t="str">
        <f>IF($C239="","",SUMIFS(RawBtabs!$T$2:$T$1500,RawBtabs!$A$2:$A$1500,$C239,RawBtabs!$C$2:$C$1500,$E239))</f>
        <v/>
      </c>
      <c r="I239" s="84" t="str">
        <f>IF($C239="","",SUMIFS(RawBtabs!$U$2:$U$1500,RawBtabs!$A$2:$A$1500,$C239,RawBtabs!$C$2:$C$1500,$E239))</f>
        <v/>
      </c>
      <c r="J239" s="84" t="str">
        <f t="shared" si="7"/>
        <v/>
      </c>
      <c r="K239" s="85" t="str">
        <f>IF($C239="","",$J239/Config!$C$9)</f>
        <v/>
      </c>
      <c r="L239" s="84" t="str">
        <f>IF($C239="","",$J239-Config!$C$9)</f>
        <v/>
      </c>
      <c r="M239" s="82" t="str">
        <f>IF($C239="","",IF($G239=0,"⛔ NO ENTRY IN BTABS",IF(ABS($L239)&lt;=Config!$C$10,"✅ OK ("&amp;TEXT($J239,"0.##")&amp;" h)",IF($L239&lt;0,"🔻 MISSING "&amp;TEXT(-$L239,"0.##")&amp;" h","🔺 OVER BY "&amp;TEXT($L239,"0.##")&amp;" h"))))</f>
        <v/>
      </c>
      <c r="N239" s="81" t="str">
        <f>IF($C239="","",IF($G239=0,3,IF(ABS($L239)&lt;=Config!$C$10,0,IF($L239&lt;0,2,1))))</f>
        <v/>
      </c>
      <c r="O239" s="81" t="str">
        <f>IF($C239="","",IF($N239&gt;0,COUNTIFS($N$4:$N239,"&gt;0"),""))</f>
        <v/>
      </c>
    </row>
    <row r="240" spans="2:15" x14ac:dyDescent="0.25">
      <c r="B240" s="81" t="str">
        <f t="shared" si="6"/>
        <v/>
      </c>
      <c r="C240" s="82" t="str">
        <f>IF(INT((ROW()-4)/5)+1&gt;Config!$C$14,"",INDEX(BPOworkers!$B$6:$B$105,INT((ROW()-4)/5)+1))</f>
        <v/>
      </c>
      <c r="D240" s="82" t="str">
        <f>IF($C240="","",IFERROR(INDEX(BPOworkers!$E$6:$E$105,MATCH($C240,BPOworkers!$B$6:$B$105,0)),""))</f>
        <v/>
      </c>
      <c r="E240" s="83" t="str">
        <f>IF($C240="","",Config!$C$7+MOD(ROW()-4,5))</f>
        <v/>
      </c>
      <c r="F240" s="82" t="str">
        <f>IF($C240="","",INDEX(Config!$F$7:$F$11,MOD(ROW()-4,5)+1))</f>
        <v/>
      </c>
      <c r="G240" s="81" t="str">
        <f>IF($C240="","",COUNTIFS(RawBtabs!$A$2:$A$1500,$C240,RawBtabs!$C$2:$C$1500,$E240))</f>
        <v/>
      </c>
      <c r="H240" s="84" t="str">
        <f>IF($C240="","",SUMIFS(RawBtabs!$T$2:$T$1500,RawBtabs!$A$2:$A$1500,$C240,RawBtabs!$C$2:$C$1500,$E240))</f>
        <v/>
      </c>
      <c r="I240" s="84" t="str">
        <f>IF($C240="","",SUMIFS(RawBtabs!$U$2:$U$1500,RawBtabs!$A$2:$A$1500,$C240,RawBtabs!$C$2:$C$1500,$E240))</f>
        <v/>
      </c>
      <c r="J240" s="84" t="str">
        <f t="shared" si="7"/>
        <v/>
      </c>
      <c r="K240" s="85" t="str">
        <f>IF($C240="","",$J240/Config!$C$9)</f>
        <v/>
      </c>
      <c r="L240" s="84" t="str">
        <f>IF($C240="","",$J240-Config!$C$9)</f>
        <v/>
      </c>
      <c r="M240" s="82" t="str">
        <f>IF($C240="","",IF($G240=0,"⛔ NO ENTRY IN BTABS",IF(ABS($L240)&lt;=Config!$C$10,"✅ OK ("&amp;TEXT($J240,"0.##")&amp;" h)",IF($L240&lt;0,"🔻 MISSING "&amp;TEXT(-$L240,"0.##")&amp;" h","🔺 OVER BY "&amp;TEXT($L240,"0.##")&amp;" h"))))</f>
        <v/>
      </c>
      <c r="N240" s="81" t="str">
        <f>IF($C240="","",IF($G240=0,3,IF(ABS($L240)&lt;=Config!$C$10,0,IF($L240&lt;0,2,1))))</f>
        <v/>
      </c>
      <c r="O240" s="81" t="str">
        <f>IF($C240="","",IF($N240&gt;0,COUNTIFS($N$4:$N240,"&gt;0"),""))</f>
        <v/>
      </c>
    </row>
    <row r="241" spans="2:15" x14ac:dyDescent="0.25">
      <c r="B241" s="81" t="str">
        <f t="shared" si="6"/>
        <v/>
      </c>
      <c r="C241" s="82" t="str">
        <f>IF(INT((ROW()-4)/5)+1&gt;Config!$C$14,"",INDEX(BPOworkers!$B$6:$B$105,INT((ROW()-4)/5)+1))</f>
        <v/>
      </c>
      <c r="D241" s="82" t="str">
        <f>IF($C241="","",IFERROR(INDEX(BPOworkers!$E$6:$E$105,MATCH($C241,BPOworkers!$B$6:$B$105,0)),""))</f>
        <v/>
      </c>
      <c r="E241" s="83" t="str">
        <f>IF($C241="","",Config!$C$7+MOD(ROW()-4,5))</f>
        <v/>
      </c>
      <c r="F241" s="82" t="str">
        <f>IF($C241="","",INDEX(Config!$F$7:$F$11,MOD(ROW()-4,5)+1))</f>
        <v/>
      </c>
      <c r="G241" s="81" t="str">
        <f>IF($C241="","",COUNTIFS(RawBtabs!$A$2:$A$1500,$C241,RawBtabs!$C$2:$C$1500,$E241))</f>
        <v/>
      </c>
      <c r="H241" s="84" t="str">
        <f>IF($C241="","",SUMIFS(RawBtabs!$T$2:$T$1500,RawBtabs!$A$2:$A$1500,$C241,RawBtabs!$C$2:$C$1500,$E241))</f>
        <v/>
      </c>
      <c r="I241" s="84" t="str">
        <f>IF($C241="","",SUMIFS(RawBtabs!$U$2:$U$1500,RawBtabs!$A$2:$A$1500,$C241,RawBtabs!$C$2:$C$1500,$E241))</f>
        <v/>
      </c>
      <c r="J241" s="84" t="str">
        <f t="shared" si="7"/>
        <v/>
      </c>
      <c r="K241" s="85" t="str">
        <f>IF($C241="","",$J241/Config!$C$9)</f>
        <v/>
      </c>
      <c r="L241" s="84" t="str">
        <f>IF($C241="","",$J241-Config!$C$9)</f>
        <v/>
      </c>
      <c r="M241" s="82" t="str">
        <f>IF($C241="","",IF($G241=0,"⛔ NO ENTRY IN BTABS",IF(ABS($L241)&lt;=Config!$C$10,"✅ OK ("&amp;TEXT($J241,"0.##")&amp;" h)",IF($L241&lt;0,"🔻 MISSING "&amp;TEXT(-$L241,"0.##")&amp;" h","🔺 OVER BY "&amp;TEXT($L241,"0.##")&amp;" h"))))</f>
        <v/>
      </c>
      <c r="N241" s="81" t="str">
        <f>IF($C241="","",IF($G241=0,3,IF(ABS($L241)&lt;=Config!$C$10,0,IF($L241&lt;0,2,1))))</f>
        <v/>
      </c>
      <c r="O241" s="81" t="str">
        <f>IF($C241="","",IF($N241&gt;0,COUNTIFS($N$4:$N241,"&gt;0"),""))</f>
        <v/>
      </c>
    </row>
    <row r="242" spans="2:15" x14ac:dyDescent="0.25">
      <c r="B242" s="81" t="str">
        <f t="shared" si="6"/>
        <v/>
      </c>
      <c r="C242" s="82" t="str">
        <f>IF(INT((ROW()-4)/5)+1&gt;Config!$C$14,"",INDEX(BPOworkers!$B$6:$B$105,INT((ROW()-4)/5)+1))</f>
        <v/>
      </c>
      <c r="D242" s="82" t="str">
        <f>IF($C242="","",IFERROR(INDEX(BPOworkers!$E$6:$E$105,MATCH($C242,BPOworkers!$B$6:$B$105,0)),""))</f>
        <v/>
      </c>
      <c r="E242" s="83" t="str">
        <f>IF($C242="","",Config!$C$7+MOD(ROW()-4,5))</f>
        <v/>
      </c>
      <c r="F242" s="82" t="str">
        <f>IF($C242="","",INDEX(Config!$F$7:$F$11,MOD(ROW()-4,5)+1))</f>
        <v/>
      </c>
      <c r="G242" s="81" t="str">
        <f>IF($C242="","",COUNTIFS(RawBtabs!$A$2:$A$1500,$C242,RawBtabs!$C$2:$C$1500,$E242))</f>
        <v/>
      </c>
      <c r="H242" s="84" t="str">
        <f>IF($C242="","",SUMIFS(RawBtabs!$T$2:$T$1500,RawBtabs!$A$2:$A$1500,$C242,RawBtabs!$C$2:$C$1500,$E242))</f>
        <v/>
      </c>
      <c r="I242" s="84" t="str">
        <f>IF($C242="","",SUMIFS(RawBtabs!$U$2:$U$1500,RawBtabs!$A$2:$A$1500,$C242,RawBtabs!$C$2:$C$1500,$E242))</f>
        <v/>
      </c>
      <c r="J242" s="84" t="str">
        <f t="shared" si="7"/>
        <v/>
      </c>
      <c r="K242" s="85" t="str">
        <f>IF($C242="","",$J242/Config!$C$9)</f>
        <v/>
      </c>
      <c r="L242" s="84" t="str">
        <f>IF($C242="","",$J242-Config!$C$9)</f>
        <v/>
      </c>
      <c r="M242" s="82" t="str">
        <f>IF($C242="","",IF($G242=0,"⛔ NO ENTRY IN BTABS",IF(ABS($L242)&lt;=Config!$C$10,"✅ OK ("&amp;TEXT($J242,"0.##")&amp;" h)",IF($L242&lt;0,"🔻 MISSING "&amp;TEXT(-$L242,"0.##")&amp;" h","🔺 OVER BY "&amp;TEXT($L242,"0.##")&amp;" h"))))</f>
        <v/>
      </c>
      <c r="N242" s="81" t="str">
        <f>IF($C242="","",IF($G242=0,3,IF(ABS($L242)&lt;=Config!$C$10,0,IF($L242&lt;0,2,1))))</f>
        <v/>
      </c>
      <c r="O242" s="81" t="str">
        <f>IF($C242="","",IF($N242&gt;0,COUNTIFS($N$4:$N242,"&gt;0"),""))</f>
        <v/>
      </c>
    </row>
    <row r="243" spans="2:15" x14ac:dyDescent="0.25">
      <c r="B243" s="81" t="str">
        <f t="shared" si="6"/>
        <v/>
      </c>
      <c r="C243" s="82" t="str">
        <f>IF(INT((ROW()-4)/5)+1&gt;Config!$C$14,"",INDEX(BPOworkers!$B$6:$B$105,INT((ROW()-4)/5)+1))</f>
        <v/>
      </c>
      <c r="D243" s="82" t="str">
        <f>IF($C243="","",IFERROR(INDEX(BPOworkers!$E$6:$E$105,MATCH($C243,BPOworkers!$B$6:$B$105,0)),""))</f>
        <v/>
      </c>
      <c r="E243" s="83" t="str">
        <f>IF($C243="","",Config!$C$7+MOD(ROW()-4,5))</f>
        <v/>
      </c>
      <c r="F243" s="82" t="str">
        <f>IF($C243="","",INDEX(Config!$F$7:$F$11,MOD(ROW()-4,5)+1))</f>
        <v/>
      </c>
      <c r="G243" s="81" t="str">
        <f>IF($C243="","",COUNTIFS(RawBtabs!$A$2:$A$1500,$C243,RawBtabs!$C$2:$C$1500,$E243))</f>
        <v/>
      </c>
      <c r="H243" s="84" t="str">
        <f>IF($C243="","",SUMIFS(RawBtabs!$T$2:$T$1500,RawBtabs!$A$2:$A$1500,$C243,RawBtabs!$C$2:$C$1500,$E243))</f>
        <v/>
      </c>
      <c r="I243" s="84" t="str">
        <f>IF($C243="","",SUMIFS(RawBtabs!$U$2:$U$1500,RawBtabs!$A$2:$A$1500,$C243,RawBtabs!$C$2:$C$1500,$E243))</f>
        <v/>
      </c>
      <c r="J243" s="84" t="str">
        <f t="shared" si="7"/>
        <v/>
      </c>
      <c r="K243" s="85" t="str">
        <f>IF($C243="","",$J243/Config!$C$9)</f>
        <v/>
      </c>
      <c r="L243" s="84" t="str">
        <f>IF($C243="","",$J243-Config!$C$9)</f>
        <v/>
      </c>
      <c r="M243" s="82" t="str">
        <f>IF($C243="","",IF($G243=0,"⛔ NO ENTRY IN BTABS",IF(ABS($L243)&lt;=Config!$C$10,"✅ OK ("&amp;TEXT($J243,"0.##")&amp;" h)",IF($L243&lt;0,"🔻 MISSING "&amp;TEXT(-$L243,"0.##")&amp;" h","🔺 OVER BY "&amp;TEXT($L243,"0.##")&amp;" h"))))</f>
        <v/>
      </c>
      <c r="N243" s="81" t="str">
        <f>IF($C243="","",IF($G243=0,3,IF(ABS($L243)&lt;=Config!$C$10,0,IF($L243&lt;0,2,1))))</f>
        <v/>
      </c>
      <c r="O243" s="81" t="str">
        <f>IF($C243="","",IF($N243&gt;0,COUNTIFS($N$4:$N243,"&gt;0"),""))</f>
        <v/>
      </c>
    </row>
    <row r="244" spans="2:15" x14ac:dyDescent="0.25">
      <c r="B244" s="81" t="str">
        <f t="shared" si="6"/>
        <v/>
      </c>
      <c r="C244" s="82" t="str">
        <f>IF(INT((ROW()-4)/5)+1&gt;Config!$C$14,"",INDEX(BPOworkers!$B$6:$B$105,INT((ROW()-4)/5)+1))</f>
        <v/>
      </c>
      <c r="D244" s="82" t="str">
        <f>IF($C244="","",IFERROR(INDEX(BPOworkers!$E$6:$E$105,MATCH($C244,BPOworkers!$B$6:$B$105,0)),""))</f>
        <v/>
      </c>
      <c r="E244" s="83" t="str">
        <f>IF($C244="","",Config!$C$7+MOD(ROW()-4,5))</f>
        <v/>
      </c>
      <c r="F244" s="82" t="str">
        <f>IF($C244="","",INDEX(Config!$F$7:$F$11,MOD(ROW()-4,5)+1))</f>
        <v/>
      </c>
      <c r="G244" s="81" t="str">
        <f>IF($C244="","",COUNTIFS(RawBtabs!$A$2:$A$1500,$C244,RawBtabs!$C$2:$C$1500,$E244))</f>
        <v/>
      </c>
      <c r="H244" s="84" t="str">
        <f>IF($C244="","",SUMIFS(RawBtabs!$T$2:$T$1500,RawBtabs!$A$2:$A$1500,$C244,RawBtabs!$C$2:$C$1500,$E244))</f>
        <v/>
      </c>
      <c r="I244" s="84" t="str">
        <f>IF($C244="","",SUMIFS(RawBtabs!$U$2:$U$1500,RawBtabs!$A$2:$A$1500,$C244,RawBtabs!$C$2:$C$1500,$E244))</f>
        <v/>
      </c>
      <c r="J244" s="84" t="str">
        <f t="shared" si="7"/>
        <v/>
      </c>
      <c r="K244" s="85" t="str">
        <f>IF($C244="","",$J244/Config!$C$9)</f>
        <v/>
      </c>
      <c r="L244" s="84" t="str">
        <f>IF($C244="","",$J244-Config!$C$9)</f>
        <v/>
      </c>
      <c r="M244" s="82" t="str">
        <f>IF($C244="","",IF($G244=0,"⛔ NO ENTRY IN BTABS",IF(ABS($L244)&lt;=Config!$C$10,"✅ OK ("&amp;TEXT($J244,"0.##")&amp;" h)",IF($L244&lt;0,"🔻 MISSING "&amp;TEXT(-$L244,"0.##")&amp;" h","🔺 OVER BY "&amp;TEXT($L244,"0.##")&amp;" h"))))</f>
        <v/>
      </c>
      <c r="N244" s="81" t="str">
        <f>IF($C244="","",IF($G244=0,3,IF(ABS($L244)&lt;=Config!$C$10,0,IF($L244&lt;0,2,1))))</f>
        <v/>
      </c>
      <c r="O244" s="81" t="str">
        <f>IF($C244="","",IF($N244&gt;0,COUNTIFS($N$4:$N244,"&gt;0"),""))</f>
        <v/>
      </c>
    </row>
    <row r="245" spans="2:15" x14ac:dyDescent="0.25">
      <c r="B245" s="81" t="str">
        <f t="shared" si="6"/>
        <v/>
      </c>
      <c r="C245" s="82" t="str">
        <f>IF(INT((ROW()-4)/5)+1&gt;Config!$C$14,"",INDEX(BPOworkers!$B$6:$B$105,INT((ROW()-4)/5)+1))</f>
        <v/>
      </c>
      <c r="D245" s="82" t="str">
        <f>IF($C245="","",IFERROR(INDEX(BPOworkers!$E$6:$E$105,MATCH($C245,BPOworkers!$B$6:$B$105,0)),""))</f>
        <v/>
      </c>
      <c r="E245" s="83" t="str">
        <f>IF($C245="","",Config!$C$7+MOD(ROW()-4,5))</f>
        <v/>
      </c>
      <c r="F245" s="82" t="str">
        <f>IF($C245="","",INDEX(Config!$F$7:$F$11,MOD(ROW()-4,5)+1))</f>
        <v/>
      </c>
      <c r="G245" s="81" t="str">
        <f>IF($C245="","",COUNTIFS(RawBtabs!$A$2:$A$1500,$C245,RawBtabs!$C$2:$C$1500,$E245))</f>
        <v/>
      </c>
      <c r="H245" s="84" t="str">
        <f>IF($C245="","",SUMIFS(RawBtabs!$T$2:$T$1500,RawBtabs!$A$2:$A$1500,$C245,RawBtabs!$C$2:$C$1500,$E245))</f>
        <v/>
      </c>
      <c r="I245" s="84" t="str">
        <f>IF($C245="","",SUMIFS(RawBtabs!$U$2:$U$1500,RawBtabs!$A$2:$A$1500,$C245,RawBtabs!$C$2:$C$1500,$E245))</f>
        <v/>
      </c>
      <c r="J245" s="84" t="str">
        <f t="shared" si="7"/>
        <v/>
      </c>
      <c r="K245" s="85" t="str">
        <f>IF($C245="","",$J245/Config!$C$9)</f>
        <v/>
      </c>
      <c r="L245" s="84" t="str">
        <f>IF($C245="","",$J245-Config!$C$9)</f>
        <v/>
      </c>
      <c r="M245" s="82" t="str">
        <f>IF($C245="","",IF($G245=0,"⛔ NO ENTRY IN BTABS",IF(ABS($L245)&lt;=Config!$C$10,"✅ OK ("&amp;TEXT($J245,"0.##")&amp;" h)",IF($L245&lt;0,"🔻 MISSING "&amp;TEXT(-$L245,"0.##")&amp;" h","🔺 OVER BY "&amp;TEXT($L245,"0.##")&amp;" h"))))</f>
        <v/>
      </c>
      <c r="N245" s="81" t="str">
        <f>IF($C245="","",IF($G245=0,3,IF(ABS($L245)&lt;=Config!$C$10,0,IF($L245&lt;0,2,1))))</f>
        <v/>
      </c>
      <c r="O245" s="81" t="str">
        <f>IF($C245="","",IF($N245&gt;0,COUNTIFS($N$4:$N245,"&gt;0"),""))</f>
        <v/>
      </c>
    </row>
    <row r="246" spans="2:15" x14ac:dyDescent="0.25">
      <c r="B246" s="81" t="str">
        <f t="shared" si="6"/>
        <v/>
      </c>
      <c r="C246" s="82" t="str">
        <f>IF(INT((ROW()-4)/5)+1&gt;Config!$C$14,"",INDEX(BPOworkers!$B$6:$B$105,INT((ROW()-4)/5)+1))</f>
        <v/>
      </c>
      <c r="D246" s="82" t="str">
        <f>IF($C246="","",IFERROR(INDEX(BPOworkers!$E$6:$E$105,MATCH($C246,BPOworkers!$B$6:$B$105,0)),""))</f>
        <v/>
      </c>
      <c r="E246" s="83" t="str">
        <f>IF($C246="","",Config!$C$7+MOD(ROW()-4,5))</f>
        <v/>
      </c>
      <c r="F246" s="82" t="str">
        <f>IF($C246="","",INDEX(Config!$F$7:$F$11,MOD(ROW()-4,5)+1))</f>
        <v/>
      </c>
      <c r="G246" s="81" t="str">
        <f>IF($C246="","",COUNTIFS(RawBtabs!$A$2:$A$1500,$C246,RawBtabs!$C$2:$C$1500,$E246))</f>
        <v/>
      </c>
      <c r="H246" s="84" t="str">
        <f>IF($C246="","",SUMIFS(RawBtabs!$T$2:$T$1500,RawBtabs!$A$2:$A$1500,$C246,RawBtabs!$C$2:$C$1500,$E246))</f>
        <v/>
      </c>
      <c r="I246" s="84" t="str">
        <f>IF($C246="","",SUMIFS(RawBtabs!$U$2:$U$1500,RawBtabs!$A$2:$A$1500,$C246,RawBtabs!$C$2:$C$1500,$E246))</f>
        <v/>
      </c>
      <c r="J246" s="84" t="str">
        <f t="shared" si="7"/>
        <v/>
      </c>
      <c r="K246" s="85" t="str">
        <f>IF($C246="","",$J246/Config!$C$9)</f>
        <v/>
      </c>
      <c r="L246" s="84" t="str">
        <f>IF($C246="","",$J246-Config!$C$9)</f>
        <v/>
      </c>
      <c r="M246" s="82" t="str">
        <f>IF($C246="","",IF($G246=0,"⛔ NO ENTRY IN BTABS",IF(ABS($L246)&lt;=Config!$C$10,"✅ OK ("&amp;TEXT($J246,"0.##")&amp;" h)",IF($L246&lt;0,"🔻 MISSING "&amp;TEXT(-$L246,"0.##")&amp;" h","🔺 OVER BY "&amp;TEXT($L246,"0.##")&amp;" h"))))</f>
        <v/>
      </c>
      <c r="N246" s="81" t="str">
        <f>IF($C246="","",IF($G246=0,3,IF(ABS($L246)&lt;=Config!$C$10,0,IF($L246&lt;0,2,1))))</f>
        <v/>
      </c>
      <c r="O246" s="81" t="str">
        <f>IF($C246="","",IF($N246&gt;0,COUNTIFS($N$4:$N246,"&gt;0"),""))</f>
        <v/>
      </c>
    </row>
    <row r="247" spans="2:15" x14ac:dyDescent="0.25">
      <c r="B247" s="81" t="str">
        <f t="shared" si="6"/>
        <v/>
      </c>
      <c r="C247" s="82" t="str">
        <f>IF(INT((ROW()-4)/5)+1&gt;Config!$C$14,"",INDEX(BPOworkers!$B$6:$B$105,INT((ROW()-4)/5)+1))</f>
        <v/>
      </c>
      <c r="D247" s="82" t="str">
        <f>IF($C247="","",IFERROR(INDEX(BPOworkers!$E$6:$E$105,MATCH($C247,BPOworkers!$B$6:$B$105,0)),""))</f>
        <v/>
      </c>
      <c r="E247" s="83" t="str">
        <f>IF($C247="","",Config!$C$7+MOD(ROW()-4,5))</f>
        <v/>
      </c>
      <c r="F247" s="82" t="str">
        <f>IF($C247="","",INDEX(Config!$F$7:$F$11,MOD(ROW()-4,5)+1))</f>
        <v/>
      </c>
      <c r="G247" s="81" t="str">
        <f>IF($C247="","",COUNTIFS(RawBtabs!$A$2:$A$1500,$C247,RawBtabs!$C$2:$C$1500,$E247))</f>
        <v/>
      </c>
      <c r="H247" s="84" t="str">
        <f>IF($C247="","",SUMIFS(RawBtabs!$T$2:$T$1500,RawBtabs!$A$2:$A$1500,$C247,RawBtabs!$C$2:$C$1500,$E247))</f>
        <v/>
      </c>
      <c r="I247" s="84" t="str">
        <f>IF($C247="","",SUMIFS(RawBtabs!$U$2:$U$1500,RawBtabs!$A$2:$A$1500,$C247,RawBtabs!$C$2:$C$1500,$E247))</f>
        <v/>
      </c>
      <c r="J247" s="84" t="str">
        <f t="shared" si="7"/>
        <v/>
      </c>
      <c r="K247" s="85" t="str">
        <f>IF($C247="","",$J247/Config!$C$9)</f>
        <v/>
      </c>
      <c r="L247" s="84" t="str">
        <f>IF($C247="","",$J247-Config!$C$9)</f>
        <v/>
      </c>
      <c r="M247" s="82" t="str">
        <f>IF($C247="","",IF($G247=0,"⛔ NO ENTRY IN BTABS",IF(ABS($L247)&lt;=Config!$C$10,"✅ OK ("&amp;TEXT($J247,"0.##")&amp;" h)",IF($L247&lt;0,"🔻 MISSING "&amp;TEXT(-$L247,"0.##")&amp;" h","🔺 OVER BY "&amp;TEXT($L247,"0.##")&amp;" h"))))</f>
        <v/>
      </c>
      <c r="N247" s="81" t="str">
        <f>IF($C247="","",IF($G247=0,3,IF(ABS($L247)&lt;=Config!$C$10,0,IF($L247&lt;0,2,1))))</f>
        <v/>
      </c>
      <c r="O247" s="81" t="str">
        <f>IF($C247="","",IF($N247&gt;0,COUNTIFS($N$4:$N247,"&gt;0"),""))</f>
        <v/>
      </c>
    </row>
    <row r="248" spans="2:15" x14ac:dyDescent="0.25">
      <c r="B248" s="81" t="str">
        <f t="shared" si="6"/>
        <v/>
      </c>
      <c r="C248" s="82" t="str">
        <f>IF(INT((ROW()-4)/5)+1&gt;Config!$C$14,"",INDEX(BPOworkers!$B$6:$B$105,INT((ROW()-4)/5)+1))</f>
        <v/>
      </c>
      <c r="D248" s="82" t="str">
        <f>IF($C248="","",IFERROR(INDEX(BPOworkers!$E$6:$E$105,MATCH($C248,BPOworkers!$B$6:$B$105,0)),""))</f>
        <v/>
      </c>
      <c r="E248" s="83" t="str">
        <f>IF($C248="","",Config!$C$7+MOD(ROW()-4,5))</f>
        <v/>
      </c>
      <c r="F248" s="82" t="str">
        <f>IF($C248="","",INDEX(Config!$F$7:$F$11,MOD(ROW()-4,5)+1))</f>
        <v/>
      </c>
      <c r="G248" s="81" t="str">
        <f>IF($C248="","",COUNTIFS(RawBtabs!$A$2:$A$1500,$C248,RawBtabs!$C$2:$C$1500,$E248))</f>
        <v/>
      </c>
      <c r="H248" s="84" t="str">
        <f>IF($C248="","",SUMIFS(RawBtabs!$T$2:$T$1500,RawBtabs!$A$2:$A$1500,$C248,RawBtabs!$C$2:$C$1500,$E248))</f>
        <v/>
      </c>
      <c r="I248" s="84" t="str">
        <f>IF($C248="","",SUMIFS(RawBtabs!$U$2:$U$1500,RawBtabs!$A$2:$A$1500,$C248,RawBtabs!$C$2:$C$1500,$E248))</f>
        <v/>
      </c>
      <c r="J248" s="84" t="str">
        <f t="shared" si="7"/>
        <v/>
      </c>
      <c r="K248" s="85" t="str">
        <f>IF($C248="","",$J248/Config!$C$9)</f>
        <v/>
      </c>
      <c r="L248" s="84" t="str">
        <f>IF($C248="","",$J248-Config!$C$9)</f>
        <v/>
      </c>
      <c r="M248" s="82" t="str">
        <f>IF($C248="","",IF($G248=0,"⛔ NO ENTRY IN BTABS",IF(ABS($L248)&lt;=Config!$C$10,"✅ OK ("&amp;TEXT($J248,"0.##")&amp;" h)",IF($L248&lt;0,"🔻 MISSING "&amp;TEXT(-$L248,"0.##")&amp;" h","🔺 OVER BY "&amp;TEXT($L248,"0.##")&amp;" h"))))</f>
        <v/>
      </c>
      <c r="N248" s="81" t="str">
        <f>IF($C248="","",IF($G248=0,3,IF(ABS($L248)&lt;=Config!$C$10,0,IF($L248&lt;0,2,1))))</f>
        <v/>
      </c>
      <c r="O248" s="81" t="str">
        <f>IF($C248="","",IF($N248&gt;0,COUNTIFS($N$4:$N248,"&gt;0"),""))</f>
        <v/>
      </c>
    </row>
    <row r="249" spans="2:15" x14ac:dyDescent="0.25">
      <c r="B249" s="81" t="str">
        <f t="shared" si="6"/>
        <v/>
      </c>
      <c r="C249" s="82" t="str">
        <f>IF(INT((ROW()-4)/5)+1&gt;Config!$C$14,"",INDEX(BPOworkers!$B$6:$B$105,INT((ROW()-4)/5)+1))</f>
        <v/>
      </c>
      <c r="D249" s="82" t="str">
        <f>IF($C249="","",IFERROR(INDEX(BPOworkers!$E$6:$E$105,MATCH($C249,BPOworkers!$B$6:$B$105,0)),""))</f>
        <v/>
      </c>
      <c r="E249" s="83" t="str">
        <f>IF($C249="","",Config!$C$7+MOD(ROW()-4,5))</f>
        <v/>
      </c>
      <c r="F249" s="82" t="str">
        <f>IF($C249="","",INDEX(Config!$F$7:$F$11,MOD(ROW()-4,5)+1))</f>
        <v/>
      </c>
      <c r="G249" s="81" t="str">
        <f>IF($C249="","",COUNTIFS(RawBtabs!$A$2:$A$1500,$C249,RawBtabs!$C$2:$C$1500,$E249))</f>
        <v/>
      </c>
      <c r="H249" s="84" t="str">
        <f>IF($C249="","",SUMIFS(RawBtabs!$T$2:$T$1500,RawBtabs!$A$2:$A$1500,$C249,RawBtabs!$C$2:$C$1500,$E249))</f>
        <v/>
      </c>
      <c r="I249" s="84" t="str">
        <f>IF($C249="","",SUMIFS(RawBtabs!$U$2:$U$1500,RawBtabs!$A$2:$A$1500,$C249,RawBtabs!$C$2:$C$1500,$E249))</f>
        <v/>
      </c>
      <c r="J249" s="84" t="str">
        <f t="shared" si="7"/>
        <v/>
      </c>
      <c r="K249" s="85" t="str">
        <f>IF($C249="","",$J249/Config!$C$9)</f>
        <v/>
      </c>
      <c r="L249" s="84" t="str">
        <f>IF($C249="","",$J249-Config!$C$9)</f>
        <v/>
      </c>
      <c r="M249" s="82" t="str">
        <f>IF($C249="","",IF($G249=0,"⛔ NO ENTRY IN BTABS",IF(ABS($L249)&lt;=Config!$C$10,"✅ OK ("&amp;TEXT($J249,"0.##")&amp;" h)",IF($L249&lt;0,"🔻 MISSING "&amp;TEXT(-$L249,"0.##")&amp;" h","🔺 OVER BY "&amp;TEXT($L249,"0.##")&amp;" h"))))</f>
        <v/>
      </c>
      <c r="N249" s="81" t="str">
        <f>IF($C249="","",IF($G249=0,3,IF(ABS($L249)&lt;=Config!$C$10,0,IF($L249&lt;0,2,1))))</f>
        <v/>
      </c>
      <c r="O249" s="81" t="str">
        <f>IF($C249="","",IF($N249&gt;0,COUNTIFS($N$4:$N249,"&gt;0"),""))</f>
        <v/>
      </c>
    </row>
    <row r="250" spans="2:15" x14ac:dyDescent="0.25">
      <c r="B250" s="81" t="str">
        <f t="shared" si="6"/>
        <v/>
      </c>
      <c r="C250" s="82" t="str">
        <f>IF(INT((ROW()-4)/5)+1&gt;Config!$C$14,"",INDEX(BPOworkers!$B$6:$B$105,INT((ROW()-4)/5)+1))</f>
        <v/>
      </c>
      <c r="D250" s="82" t="str">
        <f>IF($C250="","",IFERROR(INDEX(BPOworkers!$E$6:$E$105,MATCH($C250,BPOworkers!$B$6:$B$105,0)),""))</f>
        <v/>
      </c>
      <c r="E250" s="83" t="str">
        <f>IF($C250="","",Config!$C$7+MOD(ROW()-4,5))</f>
        <v/>
      </c>
      <c r="F250" s="82" t="str">
        <f>IF($C250="","",INDEX(Config!$F$7:$F$11,MOD(ROW()-4,5)+1))</f>
        <v/>
      </c>
      <c r="G250" s="81" t="str">
        <f>IF($C250="","",COUNTIFS(RawBtabs!$A$2:$A$1500,$C250,RawBtabs!$C$2:$C$1500,$E250))</f>
        <v/>
      </c>
      <c r="H250" s="84" t="str">
        <f>IF($C250="","",SUMIFS(RawBtabs!$T$2:$T$1500,RawBtabs!$A$2:$A$1500,$C250,RawBtabs!$C$2:$C$1500,$E250))</f>
        <v/>
      </c>
      <c r="I250" s="84" t="str">
        <f>IF($C250="","",SUMIFS(RawBtabs!$U$2:$U$1500,RawBtabs!$A$2:$A$1500,$C250,RawBtabs!$C$2:$C$1500,$E250))</f>
        <v/>
      </c>
      <c r="J250" s="84" t="str">
        <f t="shared" si="7"/>
        <v/>
      </c>
      <c r="K250" s="85" t="str">
        <f>IF($C250="","",$J250/Config!$C$9)</f>
        <v/>
      </c>
      <c r="L250" s="84" t="str">
        <f>IF($C250="","",$J250-Config!$C$9)</f>
        <v/>
      </c>
      <c r="M250" s="82" t="str">
        <f>IF($C250="","",IF($G250=0,"⛔ NO ENTRY IN BTABS",IF(ABS($L250)&lt;=Config!$C$10,"✅ OK ("&amp;TEXT($J250,"0.##")&amp;" h)",IF($L250&lt;0,"🔻 MISSING "&amp;TEXT(-$L250,"0.##")&amp;" h","🔺 OVER BY "&amp;TEXT($L250,"0.##")&amp;" h"))))</f>
        <v/>
      </c>
      <c r="N250" s="81" t="str">
        <f>IF($C250="","",IF($G250=0,3,IF(ABS($L250)&lt;=Config!$C$10,0,IF($L250&lt;0,2,1))))</f>
        <v/>
      </c>
      <c r="O250" s="81" t="str">
        <f>IF($C250="","",IF($N250&gt;0,COUNTIFS($N$4:$N250,"&gt;0"),""))</f>
        <v/>
      </c>
    </row>
    <row r="251" spans="2:15" x14ac:dyDescent="0.25">
      <c r="B251" s="81" t="str">
        <f t="shared" si="6"/>
        <v/>
      </c>
      <c r="C251" s="82" t="str">
        <f>IF(INT((ROW()-4)/5)+1&gt;Config!$C$14,"",INDEX(BPOworkers!$B$6:$B$105,INT((ROW()-4)/5)+1))</f>
        <v/>
      </c>
      <c r="D251" s="82" t="str">
        <f>IF($C251="","",IFERROR(INDEX(BPOworkers!$E$6:$E$105,MATCH($C251,BPOworkers!$B$6:$B$105,0)),""))</f>
        <v/>
      </c>
      <c r="E251" s="83" t="str">
        <f>IF($C251="","",Config!$C$7+MOD(ROW()-4,5))</f>
        <v/>
      </c>
      <c r="F251" s="82" t="str">
        <f>IF($C251="","",INDEX(Config!$F$7:$F$11,MOD(ROW()-4,5)+1))</f>
        <v/>
      </c>
      <c r="G251" s="81" t="str">
        <f>IF($C251="","",COUNTIFS(RawBtabs!$A$2:$A$1500,$C251,RawBtabs!$C$2:$C$1500,$E251))</f>
        <v/>
      </c>
      <c r="H251" s="84" t="str">
        <f>IF($C251="","",SUMIFS(RawBtabs!$T$2:$T$1500,RawBtabs!$A$2:$A$1500,$C251,RawBtabs!$C$2:$C$1500,$E251))</f>
        <v/>
      </c>
      <c r="I251" s="84" t="str">
        <f>IF($C251="","",SUMIFS(RawBtabs!$U$2:$U$1500,RawBtabs!$A$2:$A$1500,$C251,RawBtabs!$C$2:$C$1500,$E251))</f>
        <v/>
      </c>
      <c r="J251" s="84" t="str">
        <f t="shared" si="7"/>
        <v/>
      </c>
      <c r="K251" s="85" t="str">
        <f>IF($C251="","",$J251/Config!$C$9)</f>
        <v/>
      </c>
      <c r="L251" s="84" t="str">
        <f>IF($C251="","",$J251-Config!$C$9)</f>
        <v/>
      </c>
      <c r="M251" s="82" t="str">
        <f>IF($C251="","",IF($G251=0,"⛔ NO ENTRY IN BTABS",IF(ABS($L251)&lt;=Config!$C$10,"✅ OK ("&amp;TEXT($J251,"0.##")&amp;" h)",IF($L251&lt;0,"🔻 MISSING "&amp;TEXT(-$L251,"0.##")&amp;" h","🔺 OVER BY "&amp;TEXT($L251,"0.##")&amp;" h"))))</f>
        <v/>
      </c>
      <c r="N251" s="81" t="str">
        <f>IF($C251="","",IF($G251=0,3,IF(ABS($L251)&lt;=Config!$C$10,0,IF($L251&lt;0,2,1))))</f>
        <v/>
      </c>
      <c r="O251" s="81" t="str">
        <f>IF($C251="","",IF($N251&gt;0,COUNTIFS($N$4:$N251,"&gt;0"),""))</f>
        <v/>
      </c>
    </row>
    <row r="252" spans="2:15" x14ac:dyDescent="0.25">
      <c r="B252" s="81" t="str">
        <f t="shared" si="6"/>
        <v/>
      </c>
      <c r="C252" s="82" t="str">
        <f>IF(INT((ROW()-4)/5)+1&gt;Config!$C$14,"",INDEX(BPOworkers!$B$6:$B$105,INT((ROW()-4)/5)+1))</f>
        <v/>
      </c>
      <c r="D252" s="82" t="str">
        <f>IF($C252="","",IFERROR(INDEX(BPOworkers!$E$6:$E$105,MATCH($C252,BPOworkers!$B$6:$B$105,0)),""))</f>
        <v/>
      </c>
      <c r="E252" s="83" t="str">
        <f>IF($C252="","",Config!$C$7+MOD(ROW()-4,5))</f>
        <v/>
      </c>
      <c r="F252" s="82" t="str">
        <f>IF($C252="","",INDEX(Config!$F$7:$F$11,MOD(ROW()-4,5)+1))</f>
        <v/>
      </c>
      <c r="G252" s="81" t="str">
        <f>IF($C252="","",COUNTIFS(RawBtabs!$A$2:$A$1500,$C252,RawBtabs!$C$2:$C$1500,$E252))</f>
        <v/>
      </c>
      <c r="H252" s="84" t="str">
        <f>IF($C252="","",SUMIFS(RawBtabs!$T$2:$T$1500,RawBtabs!$A$2:$A$1500,$C252,RawBtabs!$C$2:$C$1500,$E252))</f>
        <v/>
      </c>
      <c r="I252" s="84" t="str">
        <f>IF($C252="","",SUMIFS(RawBtabs!$U$2:$U$1500,RawBtabs!$A$2:$A$1500,$C252,RawBtabs!$C$2:$C$1500,$E252))</f>
        <v/>
      </c>
      <c r="J252" s="84" t="str">
        <f t="shared" si="7"/>
        <v/>
      </c>
      <c r="K252" s="85" t="str">
        <f>IF($C252="","",$J252/Config!$C$9)</f>
        <v/>
      </c>
      <c r="L252" s="84" t="str">
        <f>IF($C252="","",$J252-Config!$C$9)</f>
        <v/>
      </c>
      <c r="M252" s="82" t="str">
        <f>IF($C252="","",IF($G252=0,"⛔ NO ENTRY IN BTABS",IF(ABS($L252)&lt;=Config!$C$10,"✅ OK ("&amp;TEXT($J252,"0.##")&amp;" h)",IF($L252&lt;0,"🔻 MISSING "&amp;TEXT(-$L252,"0.##")&amp;" h","🔺 OVER BY "&amp;TEXT($L252,"0.##")&amp;" h"))))</f>
        <v/>
      </c>
      <c r="N252" s="81" t="str">
        <f>IF($C252="","",IF($G252=0,3,IF(ABS($L252)&lt;=Config!$C$10,0,IF($L252&lt;0,2,1))))</f>
        <v/>
      </c>
      <c r="O252" s="81" t="str">
        <f>IF($C252="","",IF($N252&gt;0,COUNTIFS($N$4:$N252,"&gt;0"),""))</f>
        <v/>
      </c>
    </row>
    <row r="253" spans="2:15" x14ac:dyDescent="0.25">
      <c r="B253" s="81" t="str">
        <f t="shared" si="6"/>
        <v/>
      </c>
      <c r="C253" s="82" t="str">
        <f>IF(INT((ROW()-4)/5)+1&gt;Config!$C$14,"",INDEX(BPOworkers!$B$6:$B$105,INT((ROW()-4)/5)+1))</f>
        <v/>
      </c>
      <c r="D253" s="82" t="str">
        <f>IF($C253="","",IFERROR(INDEX(BPOworkers!$E$6:$E$105,MATCH($C253,BPOworkers!$B$6:$B$105,0)),""))</f>
        <v/>
      </c>
      <c r="E253" s="83" t="str">
        <f>IF($C253="","",Config!$C$7+MOD(ROW()-4,5))</f>
        <v/>
      </c>
      <c r="F253" s="82" t="str">
        <f>IF($C253="","",INDEX(Config!$F$7:$F$11,MOD(ROW()-4,5)+1))</f>
        <v/>
      </c>
      <c r="G253" s="81" t="str">
        <f>IF($C253="","",COUNTIFS(RawBtabs!$A$2:$A$1500,$C253,RawBtabs!$C$2:$C$1500,$E253))</f>
        <v/>
      </c>
      <c r="H253" s="84" t="str">
        <f>IF($C253="","",SUMIFS(RawBtabs!$T$2:$T$1500,RawBtabs!$A$2:$A$1500,$C253,RawBtabs!$C$2:$C$1500,$E253))</f>
        <v/>
      </c>
      <c r="I253" s="84" t="str">
        <f>IF($C253="","",SUMIFS(RawBtabs!$U$2:$U$1500,RawBtabs!$A$2:$A$1500,$C253,RawBtabs!$C$2:$C$1500,$E253))</f>
        <v/>
      </c>
      <c r="J253" s="84" t="str">
        <f t="shared" si="7"/>
        <v/>
      </c>
      <c r="K253" s="85" t="str">
        <f>IF($C253="","",$J253/Config!$C$9)</f>
        <v/>
      </c>
      <c r="L253" s="84" t="str">
        <f>IF($C253="","",$J253-Config!$C$9)</f>
        <v/>
      </c>
      <c r="M253" s="82" t="str">
        <f>IF($C253="","",IF($G253=0,"⛔ NO ENTRY IN BTABS",IF(ABS($L253)&lt;=Config!$C$10,"✅ OK ("&amp;TEXT($J253,"0.##")&amp;" h)",IF($L253&lt;0,"🔻 MISSING "&amp;TEXT(-$L253,"0.##")&amp;" h","🔺 OVER BY "&amp;TEXT($L253,"0.##")&amp;" h"))))</f>
        <v/>
      </c>
      <c r="N253" s="81" t="str">
        <f>IF($C253="","",IF($G253=0,3,IF(ABS($L253)&lt;=Config!$C$10,0,IF($L253&lt;0,2,1))))</f>
        <v/>
      </c>
      <c r="O253" s="81" t="str">
        <f>IF($C253="","",IF($N253&gt;0,COUNTIFS($N$4:$N253,"&gt;0"),""))</f>
        <v/>
      </c>
    </row>
    <row r="254" spans="2:15" x14ac:dyDescent="0.25">
      <c r="B254" s="81" t="str">
        <f t="shared" si="6"/>
        <v/>
      </c>
      <c r="C254" s="82" t="str">
        <f>IF(INT((ROW()-4)/5)+1&gt;Config!$C$14,"",INDEX(BPOworkers!$B$6:$B$105,INT((ROW()-4)/5)+1))</f>
        <v/>
      </c>
      <c r="D254" s="82" t="str">
        <f>IF($C254="","",IFERROR(INDEX(BPOworkers!$E$6:$E$105,MATCH($C254,BPOworkers!$B$6:$B$105,0)),""))</f>
        <v/>
      </c>
      <c r="E254" s="83" t="str">
        <f>IF($C254="","",Config!$C$7+MOD(ROW()-4,5))</f>
        <v/>
      </c>
      <c r="F254" s="82" t="str">
        <f>IF($C254="","",INDEX(Config!$F$7:$F$11,MOD(ROW()-4,5)+1))</f>
        <v/>
      </c>
      <c r="G254" s="81" t="str">
        <f>IF($C254="","",COUNTIFS(RawBtabs!$A$2:$A$1500,$C254,RawBtabs!$C$2:$C$1500,$E254))</f>
        <v/>
      </c>
      <c r="H254" s="84" t="str">
        <f>IF($C254="","",SUMIFS(RawBtabs!$T$2:$T$1500,RawBtabs!$A$2:$A$1500,$C254,RawBtabs!$C$2:$C$1500,$E254))</f>
        <v/>
      </c>
      <c r="I254" s="84" t="str">
        <f>IF($C254="","",SUMIFS(RawBtabs!$U$2:$U$1500,RawBtabs!$A$2:$A$1500,$C254,RawBtabs!$C$2:$C$1500,$E254))</f>
        <v/>
      </c>
      <c r="J254" s="84" t="str">
        <f t="shared" si="7"/>
        <v/>
      </c>
      <c r="K254" s="85" t="str">
        <f>IF($C254="","",$J254/Config!$C$9)</f>
        <v/>
      </c>
      <c r="L254" s="84" t="str">
        <f>IF($C254="","",$J254-Config!$C$9)</f>
        <v/>
      </c>
      <c r="M254" s="82" t="str">
        <f>IF($C254="","",IF($G254=0,"⛔ NO ENTRY IN BTABS",IF(ABS($L254)&lt;=Config!$C$10,"✅ OK ("&amp;TEXT($J254,"0.##")&amp;" h)",IF($L254&lt;0,"🔻 MISSING "&amp;TEXT(-$L254,"0.##")&amp;" h","🔺 OVER BY "&amp;TEXT($L254,"0.##")&amp;" h"))))</f>
        <v/>
      </c>
      <c r="N254" s="81" t="str">
        <f>IF($C254="","",IF($G254=0,3,IF(ABS($L254)&lt;=Config!$C$10,0,IF($L254&lt;0,2,1))))</f>
        <v/>
      </c>
      <c r="O254" s="81" t="str">
        <f>IF($C254="","",IF($N254&gt;0,COUNTIFS($N$4:$N254,"&gt;0"),""))</f>
        <v/>
      </c>
    </row>
    <row r="255" spans="2:15" x14ac:dyDescent="0.25">
      <c r="B255" s="81" t="str">
        <f t="shared" si="6"/>
        <v/>
      </c>
      <c r="C255" s="82" t="str">
        <f>IF(INT((ROW()-4)/5)+1&gt;Config!$C$14,"",INDEX(BPOworkers!$B$6:$B$105,INT((ROW()-4)/5)+1))</f>
        <v/>
      </c>
      <c r="D255" s="82" t="str">
        <f>IF($C255="","",IFERROR(INDEX(BPOworkers!$E$6:$E$105,MATCH($C255,BPOworkers!$B$6:$B$105,0)),""))</f>
        <v/>
      </c>
      <c r="E255" s="83" t="str">
        <f>IF($C255="","",Config!$C$7+MOD(ROW()-4,5))</f>
        <v/>
      </c>
      <c r="F255" s="82" t="str">
        <f>IF($C255="","",INDEX(Config!$F$7:$F$11,MOD(ROW()-4,5)+1))</f>
        <v/>
      </c>
      <c r="G255" s="81" t="str">
        <f>IF($C255="","",COUNTIFS(RawBtabs!$A$2:$A$1500,$C255,RawBtabs!$C$2:$C$1500,$E255))</f>
        <v/>
      </c>
      <c r="H255" s="84" t="str">
        <f>IF($C255="","",SUMIFS(RawBtabs!$T$2:$T$1500,RawBtabs!$A$2:$A$1500,$C255,RawBtabs!$C$2:$C$1500,$E255))</f>
        <v/>
      </c>
      <c r="I255" s="84" t="str">
        <f>IF($C255="","",SUMIFS(RawBtabs!$U$2:$U$1500,RawBtabs!$A$2:$A$1500,$C255,RawBtabs!$C$2:$C$1500,$E255))</f>
        <v/>
      </c>
      <c r="J255" s="84" t="str">
        <f t="shared" si="7"/>
        <v/>
      </c>
      <c r="K255" s="85" t="str">
        <f>IF($C255="","",$J255/Config!$C$9)</f>
        <v/>
      </c>
      <c r="L255" s="84" t="str">
        <f>IF($C255="","",$J255-Config!$C$9)</f>
        <v/>
      </c>
      <c r="M255" s="82" t="str">
        <f>IF($C255="","",IF($G255=0,"⛔ NO ENTRY IN BTABS",IF(ABS($L255)&lt;=Config!$C$10,"✅ OK ("&amp;TEXT($J255,"0.##")&amp;" h)",IF($L255&lt;0,"🔻 MISSING "&amp;TEXT(-$L255,"0.##")&amp;" h","🔺 OVER BY "&amp;TEXT($L255,"0.##")&amp;" h"))))</f>
        <v/>
      </c>
      <c r="N255" s="81" t="str">
        <f>IF($C255="","",IF($G255=0,3,IF(ABS($L255)&lt;=Config!$C$10,0,IF($L255&lt;0,2,1))))</f>
        <v/>
      </c>
      <c r="O255" s="81" t="str">
        <f>IF($C255="","",IF($N255&gt;0,COUNTIFS($N$4:$N255,"&gt;0"),""))</f>
        <v/>
      </c>
    </row>
    <row r="256" spans="2:15" x14ac:dyDescent="0.25">
      <c r="B256" s="81" t="str">
        <f t="shared" si="6"/>
        <v/>
      </c>
      <c r="C256" s="82" t="str">
        <f>IF(INT((ROW()-4)/5)+1&gt;Config!$C$14,"",INDEX(BPOworkers!$B$6:$B$105,INT((ROW()-4)/5)+1))</f>
        <v/>
      </c>
      <c r="D256" s="82" t="str">
        <f>IF($C256="","",IFERROR(INDEX(BPOworkers!$E$6:$E$105,MATCH($C256,BPOworkers!$B$6:$B$105,0)),""))</f>
        <v/>
      </c>
      <c r="E256" s="83" t="str">
        <f>IF($C256="","",Config!$C$7+MOD(ROW()-4,5))</f>
        <v/>
      </c>
      <c r="F256" s="82" t="str">
        <f>IF($C256="","",INDEX(Config!$F$7:$F$11,MOD(ROW()-4,5)+1))</f>
        <v/>
      </c>
      <c r="G256" s="81" t="str">
        <f>IF($C256="","",COUNTIFS(RawBtabs!$A$2:$A$1500,$C256,RawBtabs!$C$2:$C$1500,$E256))</f>
        <v/>
      </c>
      <c r="H256" s="84" t="str">
        <f>IF($C256="","",SUMIFS(RawBtabs!$T$2:$T$1500,RawBtabs!$A$2:$A$1500,$C256,RawBtabs!$C$2:$C$1500,$E256))</f>
        <v/>
      </c>
      <c r="I256" s="84" t="str">
        <f>IF($C256="","",SUMIFS(RawBtabs!$U$2:$U$1500,RawBtabs!$A$2:$A$1500,$C256,RawBtabs!$C$2:$C$1500,$E256))</f>
        <v/>
      </c>
      <c r="J256" s="84" t="str">
        <f t="shared" si="7"/>
        <v/>
      </c>
      <c r="K256" s="85" t="str">
        <f>IF($C256="","",$J256/Config!$C$9)</f>
        <v/>
      </c>
      <c r="L256" s="84" t="str">
        <f>IF($C256="","",$J256-Config!$C$9)</f>
        <v/>
      </c>
      <c r="M256" s="82" t="str">
        <f>IF($C256="","",IF($G256=0,"⛔ NO ENTRY IN BTABS",IF(ABS($L256)&lt;=Config!$C$10,"✅ OK ("&amp;TEXT($J256,"0.##")&amp;" h)",IF($L256&lt;0,"🔻 MISSING "&amp;TEXT(-$L256,"0.##")&amp;" h","🔺 OVER BY "&amp;TEXT($L256,"0.##")&amp;" h"))))</f>
        <v/>
      </c>
      <c r="N256" s="81" t="str">
        <f>IF($C256="","",IF($G256=0,3,IF(ABS($L256)&lt;=Config!$C$10,0,IF($L256&lt;0,2,1))))</f>
        <v/>
      </c>
      <c r="O256" s="81" t="str">
        <f>IF($C256="","",IF($N256&gt;0,COUNTIFS($N$4:$N256,"&gt;0"),""))</f>
        <v/>
      </c>
    </row>
    <row r="257" spans="2:15" x14ac:dyDescent="0.25">
      <c r="B257" s="81" t="str">
        <f t="shared" si="6"/>
        <v/>
      </c>
      <c r="C257" s="82" t="str">
        <f>IF(INT((ROW()-4)/5)+1&gt;Config!$C$14,"",INDEX(BPOworkers!$B$6:$B$105,INT((ROW()-4)/5)+1))</f>
        <v/>
      </c>
      <c r="D257" s="82" t="str">
        <f>IF($C257="","",IFERROR(INDEX(BPOworkers!$E$6:$E$105,MATCH($C257,BPOworkers!$B$6:$B$105,0)),""))</f>
        <v/>
      </c>
      <c r="E257" s="83" t="str">
        <f>IF($C257="","",Config!$C$7+MOD(ROW()-4,5))</f>
        <v/>
      </c>
      <c r="F257" s="82" t="str">
        <f>IF($C257="","",INDEX(Config!$F$7:$F$11,MOD(ROW()-4,5)+1))</f>
        <v/>
      </c>
      <c r="G257" s="81" t="str">
        <f>IF($C257="","",COUNTIFS(RawBtabs!$A$2:$A$1500,$C257,RawBtabs!$C$2:$C$1500,$E257))</f>
        <v/>
      </c>
      <c r="H257" s="84" t="str">
        <f>IF($C257="","",SUMIFS(RawBtabs!$T$2:$T$1500,RawBtabs!$A$2:$A$1500,$C257,RawBtabs!$C$2:$C$1500,$E257))</f>
        <v/>
      </c>
      <c r="I257" s="84" t="str">
        <f>IF($C257="","",SUMIFS(RawBtabs!$U$2:$U$1500,RawBtabs!$A$2:$A$1500,$C257,RawBtabs!$C$2:$C$1500,$E257))</f>
        <v/>
      </c>
      <c r="J257" s="84" t="str">
        <f t="shared" si="7"/>
        <v/>
      </c>
      <c r="K257" s="85" t="str">
        <f>IF($C257="","",$J257/Config!$C$9)</f>
        <v/>
      </c>
      <c r="L257" s="84" t="str">
        <f>IF($C257="","",$J257-Config!$C$9)</f>
        <v/>
      </c>
      <c r="M257" s="82" t="str">
        <f>IF($C257="","",IF($G257=0,"⛔ NO ENTRY IN BTABS",IF(ABS($L257)&lt;=Config!$C$10,"✅ OK ("&amp;TEXT($J257,"0.##")&amp;" h)",IF($L257&lt;0,"🔻 MISSING "&amp;TEXT(-$L257,"0.##")&amp;" h","🔺 OVER BY "&amp;TEXT($L257,"0.##")&amp;" h"))))</f>
        <v/>
      </c>
      <c r="N257" s="81" t="str">
        <f>IF($C257="","",IF($G257=0,3,IF(ABS($L257)&lt;=Config!$C$10,0,IF($L257&lt;0,2,1))))</f>
        <v/>
      </c>
      <c r="O257" s="81" t="str">
        <f>IF($C257="","",IF($N257&gt;0,COUNTIFS($N$4:$N257,"&gt;0"),""))</f>
        <v/>
      </c>
    </row>
    <row r="258" spans="2:15" x14ac:dyDescent="0.25">
      <c r="B258" s="81" t="str">
        <f t="shared" si="6"/>
        <v/>
      </c>
      <c r="C258" s="82" t="str">
        <f>IF(INT((ROW()-4)/5)+1&gt;Config!$C$14,"",INDEX(BPOworkers!$B$6:$B$105,INT((ROW()-4)/5)+1))</f>
        <v/>
      </c>
      <c r="D258" s="82" t="str">
        <f>IF($C258="","",IFERROR(INDEX(BPOworkers!$E$6:$E$105,MATCH($C258,BPOworkers!$B$6:$B$105,0)),""))</f>
        <v/>
      </c>
      <c r="E258" s="83" t="str">
        <f>IF($C258="","",Config!$C$7+MOD(ROW()-4,5))</f>
        <v/>
      </c>
      <c r="F258" s="82" t="str">
        <f>IF($C258="","",INDEX(Config!$F$7:$F$11,MOD(ROW()-4,5)+1))</f>
        <v/>
      </c>
      <c r="G258" s="81" t="str">
        <f>IF($C258="","",COUNTIFS(RawBtabs!$A$2:$A$1500,$C258,RawBtabs!$C$2:$C$1500,$E258))</f>
        <v/>
      </c>
      <c r="H258" s="84" t="str">
        <f>IF($C258="","",SUMIFS(RawBtabs!$T$2:$T$1500,RawBtabs!$A$2:$A$1500,$C258,RawBtabs!$C$2:$C$1500,$E258))</f>
        <v/>
      </c>
      <c r="I258" s="84" t="str">
        <f>IF($C258="","",SUMIFS(RawBtabs!$U$2:$U$1500,RawBtabs!$A$2:$A$1500,$C258,RawBtabs!$C$2:$C$1500,$E258))</f>
        <v/>
      </c>
      <c r="J258" s="84" t="str">
        <f t="shared" si="7"/>
        <v/>
      </c>
      <c r="K258" s="85" t="str">
        <f>IF($C258="","",$J258/Config!$C$9)</f>
        <v/>
      </c>
      <c r="L258" s="84" t="str">
        <f>IF($C258="","",$J258-Config!$C$9)</f>
        <v/>
      </c>
      <c r="M258" s="82" t="str">
        <f>IF($C258="","",IF($G258=0,"⛔ NO ENTRY IN BTABS",IF(ABS($L258)&lt;=Config!$C$10,"✅ OK ("&amp;TEXT($J258,"0.##")&amp;" h)",IF($L258&lt;0,"🔻 MISSING "&amp;TEXT(-$L258,"0.##")&amp;" h","🔺 OVER BY "&amp;TEXT($L258,"0.##")&amp;" h"))))</f>
        <v/>
      </c>
      <c r="N258" s="81" t="str">
        <f>IF($C258="","",IF($G258=0,3,IF(ABS($L258)&lt;=Config!$C$10,0,IF($L258&lt;0,2,1))))</f>
        <v/>
      </c>
      <c r="O258" s="81" t="str">
        <f>IF($C258="","",IF($N258&gt;0,COUNTIFS($N$4:$N258,"&gt;0"),""))</f>
        <v/>
      </c>
    </row>
    <row r="259" spans="2:15" x14ac:dyDescent="0.25">
      <c r="B259" s="81" t="str">
        <f t="shared" si="6"/>
        <v/>
      </c>
      <c r="C259" s="82" t="str">
        <f>IF(INT((ROW()-4)/5)+1&gt;Config!$C$14,"",INDEX(BPOworkers!$B$6:$B$105,INT((ROW()-4)/5)+1))</f>
        <v/>
      </c>
      <c r="D259" s="82" t="str">
        <f>IF($C259="","",IFERROR(INDEX(BPOworkers!$E$6:$E$105,MATCH($C259,BPOworkers!$B$6:$B$105,0)),""))</f>
        <v/>
      </c>
      <c r="E259" s="83" t="str">
        <f>IF($C259="","",Config!$C$7+MOD(ROW()-4,5))</f>
        <v/>
      </c>
      <c r="F259" s="82" t="str">
        <f>IF($C259="","",INDEX(Config!$F$7:$F$11,MOD(ROW()-4,5)+1))</f>
        <v/>
      </c>
      <c r="G259" s="81" t="str">
        <f>IF($C259="","",COUNTIFS(RawBtabs!$A$2:$A$1500,$C259,RawBtabs!$C$2:$C$1500,$E259))</f>
        <v/>
      </c>
      <c r="H259" s="84" t="str">
        <f>IF($C259="","",SUMIFS(RawBtabs!$T$2:$T$1500,RawBtabs!$A$2:$A$1500,$C259,RawBtabs!$C$2:$C$1500,$E259))</f>
        <v/>
      </c>
      <c r="I259" s="84" t="str">
        <f>IF($C259="","",SUMIFS(RawBtabs!$U$2:$U$1500,RawBtabs!$A$2:$A$1500,$C259,RawBtabs!$C$2:$C$1500,$E259))</f>
        <v/>
      </c>
      <c r="J259" s="84" t="str">
        <f t="shared" si="7"/>
        <v/>
      </c>
      <c r="K259" s="85" t="str">
        <f>IF($C259="","",$J259/Config!$C$9)</f>
        <v/>
      </c>
      <c r="L259" s="84" t="str">
        <f>IF($C259="","",$J259-Config!$C$9)</f>
        <v/>
      </c>
      <c r="M259" s="82" t="str">
        <f>IF($C259="","",IF($G259=0,"⛔ NO ENTRY IN BTABS",IF(ABS($L259)&lt;=Config!$C$10,"✅ OK ("&amp;TEXT($J259,"0.##")&amp;" h)",IF($L259&lt;0,"🔻 MISSING "&amp;TEXT(-$L259,"0.##")&amp;" h","🔺 OVER BY "&amp;TEXT($L259,"0.##")&amp;" h"))))</f>
        <v/>
      </c>
      <c r="N259" s="81" t="str">
        <f>IF($C259="","",IF($G259=0,3,IF(ABS($L259)&lt;=Config!$C$10,0,IF($L259&lt;0,2,1))))</f>
        <v/>
      </c>
      <c r="O259" s="81" t="str">
        <f>IF($C259="","",IF($N259&gt;0,COUNTIFS($N$4:$N259,"&gt;0"),""))</f>
        <v/>
      </c>
    </row>
    <row r="260" spans="2:15" x14ac:dyDescent="0.25">
      <c r="B260" s="81" t="str">
        <f t="shared" ref="B260:B303" si="8">IF($C260="","",INT((ROW()-4)/5)+1)</f>
        <v/>
      </c>
      <c r="C260" s="82" t="str">
        <f>IF(INT((ROW()-4)/5)+1&gt;Config!$C$14,"",INDEX(BPOworkers!$B$6:$B$105,INT((ROW()-4)/5)+1))</f>
        <v/>
      </c>
      <c r="D260" s="82" t="str">
        <f>IF($C260="","",IFERROR(INDEX(BPOworkers!$E$6:$E$105,MATCH($C260,BPOworkers!$B$6:$B$105,0)),""))</f>
        <v/>
      </c>
      <c r="E260" s="83" t="str">
        <f>IF($C260="","",Config!$C$7+MOD(ROW()-4,5))</f>
        <v/>
      </c>
      <c r="F260" s="82" t="str">
        <f>IF($C260="","",INDEX(Config!$F$7:$F$11,MOD(ROW()-4,5)+1))</f>
        <v/>
      </c>
      <c r="G260" s="81" t="str">
        <f>IF($C260="","",COUNTIFS(RawBtabs!$A$2:$A$1500,$C260,RawBtabs!$C$2:$C$1500,$E260))</f>
        <v/>
      </c>
      <c r="H260" s="84" t="str">
        <f>IF($C260="","",SUMIFS(RawBtabs!$T$2:$T$1500,RawBtabs!$A$2:$A$1500,$C260,RawBtabs!$C$2:$C$1500,$E260))</f>
        <v/>
      </c>
      <c r="I260" s="84" t="str">
        <f>IF($C260="","",SUMIFS(RawBtabs!$U$2:$U$1500,RawBtabs!$A$2:$A$1500,$C260,RawBtabs!$C$2:$C$1500,$E260))</f>
        <v/>
      </c>
      <c r="J260" s="84" t="str">
        <f t="shared" ref="J260:J303" si="9">IF($C260="","",$H260+$I260)</f>
        <v/>
      </c>
      <c r="K260" s="85" t="str">
        <f>IF($C260="","",$J260/Config!$C$9)</f>
        <v/>
      </c>
      <c r="L260" s="84" t="str">
        <f>IF($C260="","",$J260-Config!$C$9)</f>
        <v/>
      </c>
      <c r="M260" s="82" t="str">
        <f>IF($C260="","",IF($G260=0,"⛔ NO ENTRY IN BTABS",IF(ABS($L260)&lt;=Config!$C$10,"✅ OK ("&amp;TEXT($J260,"0.##")&amp;" h)",IF($L260&lt;0,"🔻 MISSING "&amp;TEXT(-$L260,"0.##")&amp;" h","🔺 OVER BY "&amp;TEXT($L260,"0.##")&amp;" h"))))</f>
        <v/>
      </c>
      <c r="N260" s="81" t="str">
        <f>IF($C260="","",IF($G260=0,3,IF(ABS($L260)&lt;=Config!$C$10,0,IF($L260&lt;0,2,1))))</f>
        <v/>
      </c>
      <c r="O260" s="81" t="str">
        <f>IF($C260="","",IF($N260&gt;0,COUNTIFS($N$4:$N260,"&gt;0"),""))</f>
        <v/>
      </c>
    </row>
    <row r="261" spans="2:15" x14ac:dyDescent="0.25">
      <c r="B261" s="81" t="str">
        <f t="shared" si="8"/>
        <v/>
      </c>
      <c r="C261" s="82" t="str">
        <f>IF(INT((ROW()-4)/5)+1&gt;Config!$C$14,"",INDEX(BPOworkers!$B$6:$B$105,INT((ROW()-4)/5)+1))</f>
        <v/>
      </c>
      <c r="D261" s="82" t="str">
        <f>IF($C261="","",IFERROR(INDEX(BPOworkers!$E$6:$E$105,MATCH($C261,BPOworkers!$B$6:$B$105,0)),""))</f>
        <v/>
      </c>
      <c r="E261" s="83" t="str">
        <f>IF($C261="","",Config!$C$7+MOD(ROW()-4,5))</f>
        <v/>
      </c>
      <c r="F261" s="82" t="str">
        <f>IF($C261="","",INDEX(Config!$F$7:$F$11,MOD(ROW()-4,5)+1))</f>
        <v/>
      </c>
      <c r="G261" s="81" t="str">
        <f>IF($C261="","",COUNTIFS(RawBtabs!$A$2:$A$1500,$C261,RawBtabs!$C$2:$C$1500,$E261))</f>
        <v/>
      </c>
      <c r="H261" s="84" t="str">
        <f>IF($C261="","",SUMIFS(RawBtabs!$T$2:$T$1500,RawBtabs!$A$2:$A$1500,$C261,RawBtabs!$C$2:$C$1500,$E261))</f>
        <v/>
      </c>
      <c r="I261" s="84" t="str">
        <f>IF($C261="","",SUMIFS(RawBtabs!$U$2:$U$1500,RawBtabs!$A$2:$A$1500,$C261,RawBtabs!$C$2:$C$1500,$E261))</f>
        <v/>
      </c>
      <c r="J261" s="84" t="str">
        <f t="shared" si="9"/>
        <v/>
      </c>
      <c r="K261" s="85" t="str">
        <f>IF($C261="","",$J261/Config!$C$9)</f>
        <v/>
      </c>
      <c r="L261" s="84" t="str">
        <f>IF($C261="","",$J261-Config!$C$9)</f>
        <v/>
      </c>
      <c r="M261" s="82" t="str">
        <f>IF($C261="","",IF($G261=0,"⛔ NO ENTRY IN BTABS",IF(ABS($L261)&lt;=Config!$C$10,"✅ OK ("&amp;TEXT($J261,"0.##")&amp;" h)",IF($L261&lt;0,"🔻 MISSING "&amp;TEXT(-$L261,"0.##")&amp;" h","🔺 OVER BY "&amp;TEXT($L261,"0.##")&amp;" h"))))</f>
        <v/>
      </c>
      <c r="N261" s="81" t="str">
        <f>IF($C261="","",IF($G261=0,3,IF(ABS($L261)&lt;=Config!$C$10,0,IF($L261&lt;0,2,1))))</f>
        <v/>
      </c>
      <c r="O261" s="81" t="str">
        <f>IF($C261="","",IF($N261&gt;0,COUNTIFS($N$4:$N261,"&gt;0"),""))</f>
        <v/>
      </c>
    </row>
    <row r="262" spans="2:15" x14ac:dyDescent="0.25">
      <c r="B262" s="81" t="str">
        <f t="shared" si="8"/>
        <v/>
      </c>
      <c r="C262" s="82" t="str">
        <f>IF(INT((ROW()-4)/5)+1&gt;Config!$C$14,"",INDEX(BPOworkers!$B$6:$B$105,INT((ROW()-4)/5)+1))</f>
        <v/>
      </c>
      <c r="D262" s="82" t="str">
        <f>IF($C262="","",IFERROR(INDEX(BPOworkers!$E$6:$E$105,MATCH($C262,BPOworkers!$B$6:$B$105,0)),""))</f>
        <v/>
      </c>
      <c r="E262" s="83" t="str">
        <f>IF($C262="","",Config!$C$7+MOD(ROW()-4,5))</f>
        <v/>
      </c>
      <c r="F262" s="82" t="str">
        <f>IF($C262="","",INDEX(Config!$F$7:$F$11,MOD(ROW()-4,5)+1))</f>
        <v/>
      </c>
      <c r="G262" s="81" t="str">
        <f>IF($C262="","",COUNTIFS(RawBtabs!$A$2:$A$1500,$C262,RawBtabs!$C$2:$C$1500,$E262))</f>
        <v/>
      </c>
      <c r="H262" s="84" t="str">
        <f>IF($C262="","",SUMIFS(RawBtabs!$T$2:$T$1500,RawBtabs!$A$2:$A$1500,$C262,RawBtabs!$C$2:$C$1500,$E262))</f>
        <v/>
      </c>
      <c r="I262" s="84" t="str">
        <f>IF($C262="","",SUMIFS(RawBtabs!$U$2:$U$1500,RawBtabs!$A$2:$A$1500,$C262,RawBtabs!$C$2:$C$1500,$E262))</f>
        <v/>
      </c>
      <c r="J262" s="84" t="str">
        <f t="shared" si="9"/>
        <v/>
      </c>
      <c r="K262" s="85" t="str">
        <f>IF($C262="","",$J262/Config!$C$9)</f>
        <v/>
      </c>
      <c r="L262" s="84" t="str">
        <f>IF($C262="","",$J262-Config!$C$9)</f>
        <v/>
      </c>
      <c r="M262" s="82" t="str">
        <f>IF($C262="","",IF($G262=0,"⛔ NO ENTRY IN BTABS",IF(ABS($L262)&lt;=Config!$C$10,"✅ OK ("&amp;TEXT($J262,"0.##")&amp;" h)",IF($L262&lt;0,"🔻 MISSING "&amp;TEXT(-$L262,"0.##")&amp;" h","🔺 OVER BY "&amp;TEXT($L262,"0.##")&amp;" h"))))</f>
        <v/>
      </c>
      <c r="N262" s="81" t="str">
        <f>IF($C262="","",IF($G262=0,3,IF(ABS($L262)&lt;=Config!$C$10,0,IF($L262&lt;0,2,1))))</f>
        <v/>
      </c>
      <c r="O262" s="81" t="str">
        <f>IF($C262="","",IF($N262&gt;0,COUNTIFS($N$4:$N262,"&gt;0"),""))</f>
        <v/>
      </c>
    </row>
    <row r="263" spans="2:15" x14ac:dyDescent="0.25">
      <c r="B263" s="81" t="str">
        <f t="shared" si="8"/>
        <v/>
      </c>
      <c r="C263" s="82" t="str">
        <f>IF(INT((ROW()-4)/5)+1&gt;Config!$C$14,"",INDEX(BPOworkers!$B$6:$B$105,INT((ROW()-4)/5)+1))</f>
        <v/>
      </c>
      <c r="D263" s="82" t="str">
        <f>IF($C263="","",IFERROR(INDEX(BPOworkers!$E$6:$E$105,MATCH($C263,BPOworkers!$B$6:$B$105,0)),""))</f>
        <v/>
      </c>
      <c r="E263" s="83" t="str">
        <f>IF($C263="","",Config!$C$7+MOD(ROW()-4,5))</f>
        <v/>
      </c>
      <c r="F263" s="82" t="str">
        <f>IF($C263="","",INDEX(Config!$F$7:$F$11,MOD(ROW()-4,5)+1))</f>
        <v/>
      </c>
      <c r="G263" s="81" t="str">
        <f>IF($C263="","",COUNTIFS(RawBtabs!$A$2:$A$1500,$C263,RawBtabs!$C$2:$C$1500,$E263))</f>
        <v/>
      </c>
      <c r="H263" s="84" t="str">
        <f>IF($C263="","",SUMIFS(RawBtabs!$T$2:$T$1500,RawBtabs!$A$2:$A$1500,$C263,RawBtabs!$C$2:$C$1500,$E263))</f>
        <v/>
      </c>
      <c r="I263" s="84" t="str">
        <f>IF($C263="","",SUMIFS(RawBtabs!$U$2:$U$1500,RawBtabs!$A$2:$A$1500,$C263,RawBtabs!$C$2:$C$1500,$E263))</f>
        <v/>
      </c>
      <c r="J263" s="84" t="str">
        <f t="shared" si="9"/>
        <v/>
      </c>
      <c r="K263" s="85" t="str">
        <f>IF($C263="","",$J263/Config!$C$9)</f>
        <v/>
      </c>
      <c r="L263" s="84" t="str">
        <f>IF($C263="","",$J263-Config!$C$9)</f>
        <v/>
      </c>
      <c r="M263" s="82" t="str">
        <f>IF($C263="","",IF($G263=0,"⛔ NO ENTRY IN BTABS",IF(ABS($L263)&lt;=Config!$C$10,"✅ OK ("&amp;TEXT($J263,"0.##")&amp;" h)",IF($L263&lt;0,"🔻 MISSING "&amp;TEXT(-$L263,"0.##")&amp;" h","🔺 OVER BY "&amp;TEXT($L263,"0.##")&amp;" h"))))</f>
        <v/>
      </c>
      <c r="N263" s="81" t="str">
        <f>IF($C263="","",IF($G263=0,3,IF(ABS($L263)&lt;=Config!$C$10,0,IF($L263&lt;0,2,1))))</f>
        <v/>
      </c>
      <c r="O263" s="81" t="str">
        <f>IF($C263="","",IF($N263&gt;0,COUNTIFS($N$4:$N263,"&gt;0"),""))</f>
        <v/>
      </c>
    </row>
    <row r="264" spans="2:15" x14ac:dyDescent="0.25">
      <c r="B264" s="81" t="str">
        <f t="shared" si="8"/>
        <v/>
      </c>
      <c r="C264" s="82" t="str">
        <f>IF(INT((ROW()-4)/5)+1&gt;Config!$C$14,"",INDEX(BPOworkers!$B$6:$B$105,INT((ROW()-4)/5)+1))</f>
        <v/>
      </c>
      <c r="D264" s="82" t="str">
        <f>IF($C264="","",IFERROR(INDEX(BPOworkers!$E$6:$E$105,MATCH($C264,BPOworkers!$B$6:$B$105,0)),""))</f>
        <v/>
      </c>
      <c r="E264" s="83" t="str">
        <f>IF($C264="","",Config!$C$7+MOD(ROW()-4,5))</f>
        <v/>
      </c>
      <c r="F264" s="82" t="str">
        <f>IF($C264="","",INDEX(Config!$F$7:$F$11,MOD(ROW()-4,5)+1))</f>
        <v/>
      </c>
      <c r="G264" s="81" t="str">
        <f>IF($C264="","",COUNTIFS(RawBtabs!$A$2:$A$1500,$C264,RawBtabs!$C$2:$C$1500,$E264))</f>
        <v/>
      </c>
      <c r="H264" s="84" t="str">
        <f>IF($C264="","",SUMIFS(RawBtabs!$T$2:$T$1500,RawBtabs!$A$2:$A$1500,$C264,RawBtabs!$C$2:$C$1500,$E264))</f>
        <v/>
      </c>
      <c r="I264" s="84" t="str">
        <f>IF($C264="","",SUMIFS(RawBtabs!$U$2:$U$1500,RawBtabs!$A$2:$A$1500,$C264,RawBtabs!$C$2:$C$1500,$E264))</f>
        <v/>
      </c>
      <c r="J264" s="84" t="str">
        <f t="shared" si="9"/>
        <v/>
      </c>
      <c r="K264" s="85" t="str">
        <f>IF($C264="","",$J264/Config!$C$9)</f>
        <v/>
      </c>
      <c r="L264" s="84" t="str">
        <f>IF($C264="","",$J264-Config!$C$9)</f>
        <v/>
      </c>
      <c r="M264" s="82" t="str">
        <f>IF($C264="","",IF($G264=0,"⛔ NO ENTRY IN BTABS",IF(ABS($L264)&lt;=Config!$C$10,"✅ OK ("&amp;TEXT($J264,"0.##")&amp;" h)",IF($L264&lt;0,"🔻 MISSING "&amp;TEXT(-$L264,"0.##")&amp;" h","🔺 OVER BY "&amp;TEXT($L264,"0.##")&amp;" h"))))</f>
        <v/>
      </c>
      <c r="N264" s="81" t="str">
        <f>IF($C264="","",IF($G264=0,3,IF(ABS($L264)&lt;=Config!$C$10,0,IF($L264&lt;0,2,1))))</f>
        <v/>
      </c>
      <c r="O264" s="81" t="str">
        <f>IF($C264="","",IF($N264&gt;0,COUNTIFS($N$4:$N264,"&gt;0"),""))</f>
        <v/>
      </c>
    </row>
    <row r="265" spans="2:15" x14ac:dyDescent="0.25">
      <c r="B265" s="81" t="str">
        <f t="shared" si="8"/>
        <v/>
      </c>
      <c r="C265" s="82" t="str">
        <f>IF(INT((ROW()-4)/5)+1&gt;Config!$C$14,"",INDEX(BPOworkers!$B$6:$B$105,INT((ROW()-4)/5)+1))</f>
        <v/>
      </c>
      <c r="D265" s="82" t="str">
        <f>IF($C265="","",IFERROR(INDEX(BPOworkers!$E$6:$E$105,MATCH($C265,BPOworkers!$B$6:$B$105,0)),""))</f>
        <v/>
      </c>
      <c r="E265" s="83" t="str">
        <f>IF($C265="","",Config!$C$7+MOD(ROW()-4,5))</f>
        <v/>
      </c>
      <c r="F265" s="82" t="str">
        <f>IF($C265="","",INDEX(Config!$F$7:$F$11,MOD(ROW()-4,5)+1))</f>
        <v/>
      </c>
      <c r="G265" s="81" t="str">
        <f>IF($C265="","",COUNTIFS(RawBtabs!$A$2:$A$1500,$C265,RawBtabs!$C$2:$C$1500,$E265))</f>
        <v/>
      </c>
      <c r="H265" s="84" t="str">
        <f>IF($C265="","",SUMIFS(RawBtabs!$T$2:$T$1500,RawBtabs!$A$2:$A$1500,$C265,RawBtabs!$C$2:$C$1500,$E265))</f>
        <v/>
      </c>
      <c r="I265" s="84" t="str">
        <f>IF($C265="","",SUMIFS(RawBtabs!$U$2:$U$1500,RawBtabs!$A$2:$A$1500,$C265,RawBtabs!$C$2:$C$1500,$E265))</f>
        <v/>
      </c>
      <c r="J265" s="84" t="str">
        <f t="shared" si="9"/>
        <v/>
      </c>
      <c r="K265" s="85" t="str">
        <f>IF($C265="","",$J265/Config!$C$9)</f>
        <v/>
      </c>
      <c r="L265" s="84" t="str">
        <f>IF($C265="","",$J265-Config!$C$9)</f>
        <v/>
      </c>
      <c r="M265" s="82" t="str">
        <f>IF($C265="","",IF($G265=0,"⛔ NO ENTRY IN BTABS",IF(ABS($L265)&lt;=Config!$C$10,"✅ OK ("&amp;TEXT($J265,"0.##")&amp;" h)",IF($L265&lt;0,"🔻 MISSING "&amp;TEXT(-$L265,"0.##")&amp;" h","🔺 OVER BY "&amp;TEXT($L265,"0.##")&amp;" h"))))</f>
        <v/>
      </c>
      <c r="N265" s="81" t="str">
        <f>IF($C265="","",IF($G265=0,3,IF(ABS($L265)&lt;=Config!$C$10,0,IF($L265&lt;0,2,1))))</f>
        <v/>
      </c>
      <c r="O265" s="81" t="str">
        <f>IF($C265="","",IF($N265&gt;0,COUNTIFS($N$4:$N265,"&gt;0"),""))</f>
        <v/>
      </c>
    </row>
    <row r="266" spans="2:15" x14ac:dyDescent="0.25">
      <c r="B266" s="81" t="str">
        <f t="shared" si="8"/>
        <v/>
      </c>
      <c r="C266" s="82" t="str">
        <f>IF(INT((ROW()-4)/5)+1&gt;Config!$C$14,"",INDEX(BPOworkers!$B$6:$B$105,INT((ROW()-4)/5)+1))</f>
        <v/>
      </c>
      <c r="D266" s="82" t="str">
        <f>IF($C266="","",IFERROR(INDEX(BPOworkers!$E$6:$E$105,MATCH($C266,BPOworkers!$B$6:$B$105,0)),""))</f>
        <v/>
      </c>
      <c r="E266" s="83" t="str">
        <f>IF($C266="","",Config!$C$7+MOD(ROW()-4,5))</f>
        <v/>
      </c>
      <c r="F266" s="82" t="str">
        <f>IF($C266="","",INDEX(Config!$F$7:$F$11,MOD(ROW()-4,5)+1))</f>
        <v/>
      </c>
      <c r="G266" s="81" t="str">
        <f>IF($C266="","",COUNTIFS(RawBtabs!$A$2:$A$1500,$C266,RawBtabs!$C$2:$C$1500,$E266))</f>
        <v/>
      </c>
      <c r="H266" s="84" t="str">
        <f>IF($C266="","",SUMIFS(RawBtabs!$T$2:$T$1500,RawBtabs!$A$2:$A$1500,$C266,RawBtabs!$C$2:$C$1500,$E266))</f>
        <v/>
      </c>
      <c r="I266" s="84" t="str">
        <f>IF($C266="","",SUMIFS(RawBtabs!$U$2:$U$1500,RawBtabs!$A$2:$A$1500,$C266,RawBtabs!$C$2:$C$1500,$E266))</f>
        <v/>
      </c>
      <c r="J266" s="84" t="str">
        <f t="shared" si="9"/>
        <v/>
      </c>
      <c r="K266" s="85" t="str">
        <f>IF($C266="","",$J266/Config!$C$9)</f>
        <v/>
      </c>
      <c r="L266" s="84" t="str">
        <f>IF($C266="","",$J266-Config!$C$9)</f>
        <v/>
      </c>
      <c r="M266" s="82" t="str">
        <f>IF($C266="","",IF($G266=0,"⛔ NO ENTRY IN BTABS",IF(ABS($L266)&lt;=Config!$C$10,"✅ OK ("&amp;TEXT($J266,"0.##")&amp;" h)",IF($L266&lt;0,"🔻 MISSING "&amp;TEXT(-$L266,"0.##")&amp;" h","🔺 OVER BY "&amp;TEXT($L266,"0.##")&amp;" h"))))</f>
        <v/>
      </c>
      <c r="N266" s="81" t="str">
        <f>IF($C266="","",IF($G266=0,3,IF(ABS($L266)&lt;=Config!$C$10,0,IF($L266&lt;0,2,1))))</f>
        <v/>
      </c>
      <c r="O266" s="81" t="str">
        <f>IF($C266="","",IF($N266&gt;0,COUNTIFS($N$4:$N266,"&gt;0"),""))</f>
        <v/>
      </c>
    </row>
    <row r="267" spans="2:15" x14ac:dyDescent="0.25">
      <c r="B267" s="81" t="str">
        <f t="shared" si="8"/>
        <v/>
      </c>
      <c r="C267" s="82" t="str">
        <f>IF(INT((ROW()-4)/5)+1&gt;Config!$C$14,"",INDEX(BPOworkers!$B$6:$B$105,INT((ROW()-4)/5)+1))</f>
        <v/>
      </c>
      <c r="D267" s="82" t="str">
        <f>IF($C267="","",IFERROR(INDEX(BPOworkers!$E$6:$E$105,MATCH($C267,BPOworkers!$B$6:$B$105,0)),""))</f>
        <v/>
      </c>
      <c r="E267" s="83" t="str">
        <f>IF($C267="","",Config!$C$7+MOD(ROW()-4,5))</f>
        <v/>
      </c>
      <c r="F267" s="82" t="str">
        <f>IF($C267="","",INDEX(Config!$F$7:$F$11,MOD(ROW()-4,5)+1))</f>
        <v/>
      </c>
      <c r="G267" s="81" t="str">
        <f>IF($C267="","",COUNTIFS(RawBtabs!$A$2:$A$1500,$C267,RawBtabs!$C$2:$C$1500,$E267))</f>
        <v/>
      </c>
      <c r="H267" s="84" t="str">
        <f>IF($C267="","",SUMIFS(RawBtabs!$T$2:$T$1500,RawBtabs!$A$2:$A$1500,$C267,RawBtabs!$C$2:$C$1500,$E267))</f>
        <v/>
      </c>
      <c r="I267" s="84" t="str">
        <f>IF($C267="","",SUMIFS(RawBtabs!$U$2:$U$1500,RawBtabs!$A$2:$A$1500,$C267,RawBtabs!$C$2:$C$1500,$E267))</f>
        <v/>
      </c>
      <c r="J267" s="84" t="str">
        <f t="shared" si="9"/>
        <v/>
      </c>
      <c r="K267" s="85" t="str">
        <f>IF($C267="","",$J267/Config!$C$9)</f>
        <v/>
      </c>
      <c r="L267" s="84" t="str">
        <f>IF($C267="","",$J267-Config!$C$9)</f>
        <v/>
      </c>
      <c r="M267" s="82" t="str">
        <f>IF($C267="","",IF($G267=0,"⛔ NO ENTRY IN BTABS",IF(ABS($L267)&lt;=Config!$C$10,"✅ OK ("&amp;TEXT($J267,"0.##")&amp;" h)",IF($L267&lt;0,"🔻 MISSING "&amp;TEXT(-$L267,"0.##")&amp;" h","🔺 OVER BY "&amp;TEXT($L267,"0.##")&amp;" h"))))</f>
        <v/>
      </c>
      <c r="N267" s="81" t="str">
        <f>IF($C267="","",IF($G267=0,3,IF(ABS($L267)&lt;=Config!$C$10,0,IF($L267&lt;0,2,1))))</f>
        <v/>
      </c>
      <c r="O267" s="81" t="str">
        <f>IF($C267="","",IF($N267&gt;0,COUNTIFS($N$4:$N267,"&gt;0"),""))</f>
        <v/>
      </c>
    </row>
    <row r="268" spans="2:15" x14ac:dyDescent="0.25">
      <c r="B268" s="81" t="str">
        <f t="shared" si="8"/>
        <v/>
      </c>
      <c r="C268" s="82" t="str">
        <f>IF(INT((ROW()-4)/5)+1&gt;Config!$C$14,"",INDEX(BPOworkers!$B$6:$B$105,INT((ROW()-4)/5)+1))</f>
        <v/>
      </c>
      <c r="D268" s="82" t="str">
        <f>IF($C268="","",IFERROR(INDEX(BPOworkers!$E$6:$E$105,MATCH($C268,BPOworkers!$B$6:$B$105,0)),""))</f>
        <v/>
      </c>
      <c r="E268" s="83" t="str">
        <f>IF($C268="","",Config!$C$7+MOD(ROW()-4,5))</f>
        <v/>
      </c>
      <c r="F268" s="82" t="str">
        <f>IF($C268="","",INDEX(Config!$F$7:$F$11,MOD(ROW()-4,5)+1))</f>
        <v/>
      </c>
      <c r="G268" s="81" t="str">
        <f>IF($C268="","",COUNTIFS(RawBtabs!$A$2:$A$1500,$C268,RawBtabs!$C$2:$C$1500,$E268))</f>
        <v/>
      </c>
      <c r="H268" s="84" t="str">
        <f>IF($C268="","",SUMIFS(RawBtabs!$T$2:$T$1500,RawBtabs!$A$2:$A$1500,$C268,RawBtabs!$C$2:$C$1500,$E268))</f>
        <v/>
      </c>
      <c r="I268" s="84" t="str">
        <f>IF($C268="","",SUMIFS(RawBtabs!$U$2:$U$1500,RawBtabs!$A$2:$A$1500,$C268,RawBtabs!$C$2:$C$1500,$E268))</f>
        <v/>
      </c>
      <c r="J268" s="84" t="str">
        <f t="shared" si="9"/>
        <v/>
      </c>
      <c r="K268" s="85" t="str">
        <f>IF($C268="","",$J268/Config!$C$9)</f>
        <v/>
      </c>
      <c r="L268" s="84" t="str">
        <f>IF($C268="","",$J268-Config!$C$9)</f>
        <v/>
      </c>
      <c r="M268" s="82" t="str">
        <f>IF($C268="","",IF($G268=0,"⛔ NO ENTRY IN BTABS",IF(ABS($L268)&lt;=Config!$C$10,"✅ OK ("&amp;TEXT($J268,"0.##")&amp;" h)",IF($L268&lt;0,"🔻 MISSING "&amp;TEXT(-$L268,"0.##")&amp;" h","🔺 OVER BY "&amp;TEXT($L268,"0.##")&amp;" h"))))</f>
        <v/>
      </c>
      <c r="N268" s="81" t="str">
        <f>IF($C268="","",IF($G268=0,3,IF(ABS($L268)&lt;=Config!$C$10,0,IF($L268&lt;0,2,1))))</f>
        <v/>
      </c>
      <c r="O268" s="81" t="str">
        <f>IF($C268="","",IF($N268&gt;0,COUNTIFS($N$4:$N268,"&gt;0"),""))</f>
        <v/>
      </c>
    </row>
    <row r="269" spans="2:15" x14ac:dyDescent="0.25">
      <c r="B269" s="81" t="str">
        <f t="shared" si="8"/>
        <v/>
      </c>
      <c r="C269" s="82" t="str">
        <f>IF(INT((ROW()-4)/5)+1&gt;Config!$C$14,"",INDEX(BPOworkers!$B$6:$B$105,INT((ROW()-4)/5)+1))</f>
        <v/>
      </c>
      <c r="D269" s="82" t="str">
        <f>IF($C269="","",IFERROR(INDEX(BPOworkers!$E$6:$E$105,MATCH($C269,BPOworkers!$B$6:$B$105,0)),""))</f>
        <v/>
      </c>
      <c r="E269" s="83" t="str">
        <f>IF($C269="","",Config!$C$7+MOD(ROW()-4,5))</f>
        <v/>
      </c>
      <c r="F269" s="82" t="str">
        <f>IF($C269="","",INDEX(Config!$F$7:$F$11,MOD(ROW()-4,5)+1))</f>
        <v/>
      </c>
      <c r="G269" s="81" t="str">
        <f>IF($C269="","",COUNTIFS(RawBtabs!$A$2:$A$1500,$C269,RawBtabs!$C$2:$C$1500,$E269))</f>
        <v/>
      </c>
      <c r="H269" s="84" t="str">
        <f>IF($C269="","",SUMIFS(RawBtabs!$T$2:$T$1500,RawBtabs!$A$2:$A$1500,$C269,RawBtabs!$C$2:$C$1500,$E269))</f>
        <v/>
      </c>
      <c r="I269" s="84" t="str">
        <f>IF($C269="","",SUMIFS(RawBtabs!$U$2:$U$1500,RawBtabs!$A$2:$A$1500,$C269,RawBtabs!$C$2:$C$1500,$E269))</f>
        <v/>
      </c>
      <c r="J269" s="84" t="str">
        <f t="shared" si="9"/>
        <v/>
      </c>
      <c r="K269" s="85" t="str">
        <f>IF($C269="","",$J269/Config!$C$9)</f>
        <v/>
      </c>
      <c r="L269" s="84" t="str">
        <f>IF($C269="","",$J269-Config!$C$9)</f>
        <v/>
      </c>
      <c r="M269" s="82" t="str">
        <f>IF($C269="","",IF($G269=0,"⛔ NO ENTRY IN BTABS",IF(ABS($L269)&lt;=Config!$C$10,"✅ OK ("&amp;TEXT($J269,"0.##")&amp;" h)",IF($L269&lt;0,"🔻 MISSING "&amp;TEXT(-$L269,"0.##")&amp;" h","🔺 OVER BY "&amp;TEXT($L269,"0.##")&amp;" h"))))</f>
        <v/>
      </c>
      <c r="N269" s="81" t="str">
        <f>IF($C269="","",IF($G269=0,3,IF(ABS($L269)&lt;=Config!$C$10,0,IF($L269&lt;0,2,1))))</f>
        <v/>
      </c>
      <c r="O269" s="81" t="str">
        <f>IF($C269="","",IF($N269&gt;0,COUNTIFS($N$4:$N269,"&gt;0"),""))</f>
        <v/>
      </c>
    </row>
    <row r="270" spans="2:15" x14ac:dyDescent="0.25">
      <c r="B270" s="81" t="str">
        <f t="shared" si="8"/>
        <v/>
      </c>
      <c r="C270" s="82" t="str">
        <f>IF(INT((ROW()-4)/5)+1&gt;Config!$C$14,"",INDEX(BPOworkers!$B$6:$B$105,INT((ROW()-4)/5)+1))</f>
        <v/>
      </c>
      <c r="D270" s="82" t="str">
        <f>IF($C270="","",IFERROR(INDEX(BPOworkers!$E$6:$E$105,MATCH($C270,BPOworkers!$B$6:$B$105,0)),""))</f>
        <v/>
      </c>
      <c r="E270" s="83" t="str">
        <f>IF($C270="","",Config!$C$7+MOD(ROW()-4,5))</f>
        <v/>
      </c>
      <c r="F270" s="82" t="str">
        <f>IF($C270="","",INDEX(Config!$F$7:$F$11,MOD(ROW()-4,5)+1))</f>
        <v/>
      </c>
      <c r="G270" s="81" t="str">
        <f>IF($C270="","",COUNTIFS(RawBtabs!$A$2:$A$1500,$C270,RawBtabs!$C$2:$C$1500,$E270))</f>
        <v/>
      </c>
      <c r="H270" s="84" t="str">
        <f>IF($C270="","",SUMIFS(RawBtabs!$T$2:$T$1500,RawBtabs!$A$2:$A$1500,$C270,RawBtabs!$C$2:$C$1500,$E270))</f>
        <v/>
      </c>
      <c r="I270" s="84" t="str">
        <f>IF($C270="","",SUMIFS(RawBtabs!$U$2:$U$1500,RawBtabs!$A$2:$A$1500,$C270,RawBtabs!$C$2:$C$1500,$E270))</f>
        <v/>
      </c>
      <c r="J270" s="84" t="str">
        <f t="shared" si="9"/>
        <v/>
      </c>
      <c r="K270" s="85" t="str">
        <f>IF($C270="","",$J270/Config!$C$9)</f>
        <v/>
      </c>
      <c r="L270" s="84" t="str">
        <f>IF($C270="","",$J270-Config!$C$9)</f>
        <v/>
      </c>
      <c r="M270" s="82" t="str">
        <f>IF($C270="","",IF($G270=0,"⛔ NO ENTRY IN BTABS",IF(ABS($L270)&lt;=Config!$C$10,"✅ OK ("&amp;TEXT($J270,"0.##")&amp;" h)",IF($L270&lt;0,"🔻 MISSING "&amp;TEXT(-$L270,"0.##")&amp;" h","🔺 OVER BY "&amp;TEXT($L270,"0.##")&amp;" h"))))</f>
        <v/>
      </c>
      <c r="N270" s="81" t="str">
        <f>IF($C270="","",IF($G270=0,3,IF(ABS($L270)&lt;=Config!$C$10,0,IF($L270&lt;0,2,1))))</f>
        <v/>
      </c>
      <c r="O270" s="81" t="str">
        <f>IF($C270="","",IF($N270&gt;0,COUNTIFS($N$4:$N270,"&gt;0"),""))</f>
        <v/>
      </c>
    </row>
    <row r="271" spans="2:15" x14ac:dyDescent="0.25">
      <c r="B271" s="81" t="str">
        <f t="shared" si="8"/>
        <v/>
      </c>
      <c r="C271" s="82" t="str">
        <f>IF(INT((ROW()-4)/5)+1&gt;Config!$C$14,"",INDEX(BPOworkers!$B$6:$B$105,INT((ROW()-4)/5)+1))</f>
        <v/>
      </c>
      <c r="D271" s="82" t="str">
        <f>IF($C271="","",IFERROR(INDEX(BPOworkers!$E$6:$E$105,MATCH($C271,BPOworkers!$B$6:$B$105,0)),""))</f>
        <v/>
      </c>
      <c r="E271" s="83" t="str">
        <f>IF($C271="","",Config!$C$7+MOD(ROW()-4,5))</f>
        <v/>
      </c>
      <c r="F271" s="82" t="str">
        <f>IF($C271="","",INDEX(Config!$F$7:$F$11,MOD(ROW()-4,5)+1))</f>
        <v/>
      </c>
      <c r="G271" s="81" t="str">
        <f>IF($C271="","",COUNTIFS(RawBtabs!$A$2:$A$1500,$C271,RawBtabs!$C$2:$C$1500,$E271))</f>
        <v/>
      </c>
      <c r="H271" s="84" t="str">
        <f>IF($C271="","",SUMIFS(RawBtabs!$T$2:$T$1500,RawBtabs!$A$2:$A$1500,$C271,RawBtabs!$C$2:$C$1500,$E271))</f>
        <v/>
      </c>
      <c r="I271" s="84" t="str">
        <f>IF($C271="","",SUMIFS(RawBtabs!$U$2:$U$1500,RawBtabs!$A$2:$A$1500,$C271,RawBtabs!$C$2:$C$1500,$E271))</f>
        <v/>
      </c>
      <c r="J271" s="84" t="str">
        <f t="shared" si="9"/>
        <v/>
      </c>
      <c r="K271" s="85" t="str">
        <f>IF($C271="","",$J271/Config!$C$9)</f>
        <v/>
      </c>
      <c r="L271" s="84" t="str">
        <f>IF($C271="","",$J271-Config!$C$9)</f>
        <v/>
      </c>
      <c r="M271" s="82" t="str">
        <f>IF($C271="","",IF($G271=0,"⛔ NO ENTRY IN BTABS",IF(ABS($L271)&lt;=Config!$C$10,"✅ OK ("&amp;TEXT($J271,"0.##")&amp;" h)",IF($L271&lt;0,"🔻 MISSING "&amp;TEXT(-$L271,"0.##")&amp;" h","🔺 OVER BY "&amp;TEXT($L271,"0.##")&amp;" h"))))</f>
        <v/>
      </c>
      <c r="N271" s="81" t="str">
        <f>IF($C271="","",IF($G271=0,3,IF(ABS($L271)&lt;=Config!$C$10,0,IF($L271&lt;0,2,1))))</f>
        <v/>
      </c>
      <c r="O271" s="81" t="str">
        <f>IF($C271="","",IF($N271&gt;0,COUNTIFS($N$4:$N271,"&gt;0"),""))</f>
        <v/>
      </c>
    </row>
    <row r="272" spans="2:15" x14ac:dyDescent="0.25">
      <c r="B272" s="81" t="str">
        <f t="shared" si="8"/>
        <v/>
      </c>
      <c r="C272" s="82" t="str">
        <f>IF(INT((ROW()-4)/5)+1&gt;Config!$C$14,"",INDEX(BPOworkers!$B$6:$B$105,INT((ROW()-4)/5)+1))</f>
        <v/>
      </c>
      <c r="D272" s="82" t="str">
        <f>IF($C272="","",IFERROR(INDEX(BPOworkers!$E$6:$E$105,MATCH($C272,BPOworkers!$B$6:$B$105,0)),""))</f>
        <v/>
      </c>
      <c r="E272" s="83" t="str">
        <f>IF($C272="","",Config!$C$7+MOD(ROW()-4,5))</f>
        <v/>
      </c>
      <c r="F272" s="82" t="str">
        <f>IF($C272="","",INDEX(Config!$F$7:$F$11,MOD(ROW()-4,5)+1))</f>
        <v/>
      </c>
      <c r="G272" s="81" t="str">
        <f>IF($C272="","",COUNTIFS(RawBtabs!$A$2:$A$1500,$C272,RawBtabs!$C$2:$C$1500,$E272))</f>
        <v/>
      </c>
      <c r="H272" s="84" t="str">
        <f>IF($C272="","",SUMIFS(RawBtabs!$T$2:$T$1500,RawBtabs!$A$2:$A$1500,$C272,RawBtabs!$C$2:$C$1500,$E272))</f>
        <v/>
      </c>
      <c r="I272" s="84" t="str">
        <f>IF($C272="","",SUMIFS(RawBtabs!$U$2:$U$1500,RawBtabs!$A$2:$A$1500,$C272,RawBtabs!$C$2:$C$1500,$E272))</f>
        <v/>
      </c>
      <c r="J272" s="84" t="str">
        <f t="shared" si="9"/>
        <v/>
      </c>
      <c r="K272" s="85" t="str">
        <f>IF($C272="","",$J272/Config!$C$9)</f>
        <v/>
      </c>
      <c r="L272" s="84" t="str">
        <f>IF($C272="","",$J272-Config!$C$9)</f>
        <v/>
      </c>
      <c r="M272" s="82" t="str">
        <f>IF($C272="","",IF($G272=0,"⛔ NO ENTRY IN BTABS",IF(ABS($L272)&lt;=Config!$C$10,"✅ OK ("&amp;TEXT($J272,"0.##")&amp;" h)",IF($L272&lt;0,"🔻 MISSING "&amp;TEXT(-$L272,"0.##")&amp;" h","🔺 OVER BY "&amp;TEXT($L272,"0.##")&amp;" h"))))</f>
        <v/>
      </c>
      <c r="N272" s="81" t="str">
        <f>IF($C272="","",IF($G272=0,3,IF(ABS($L272)&lt;=Config!$C$10,0,IF($L272&lt;0,2,1))))</f>
        <v/>
      </c>
      <c r="O272" s="81" t="str">
        <f>IF($C272="","",IF($N272&gt;0,COUNTIFS($N$4:$N272,"&gt;0"),""))</f>
        <v/>
      </c>
    </row>
    <row r="273" spans="2:15" x14ac:dyDescent="0.25">
      <c r="B273" s="81" t="str">
        <f t="shared" si="8"/>
        <v/>
      </c>
      <c r="C273" s="82" t="str">
        <f>IF(INT((ROW()-4)/5)+1&gt;Config!$C$14,"",INDEX(BPOworkers!$B$6:$B$105,INT((ROW()-4)/5)+1))</f>
        <v/>
      </c>
      <c r="D273" s="82" t="str">
        <f>IF($C273="","",IFERROR(INDEX(BPOworkers!$E$6:$E$105,MATCH($C273,BPOworkers!$B$6:$B$105,0)),""))</f>
        <v/>
      </c>
      <c r="E273" s="83" t="str">
        <f>IF($C273="","",Config!$C$7+MOD(ROW()-4,5))</f>
        <v/>
      </c>
      <c r="F273" s="82" t="str">
        <f>IF($C273="","",INDEX(Config!$F$7:$F$11,MOD(ROW()-4,5)+1))</f>
        <v/>
      </c>
      <c r="G273" s="81" t="str">
        <f>IF($C273="","",COUNTIFS(RawBtabs!$A$2:$A$1500,$C273,RawBtabs!$C$2:$C$1500,$E273))</f>
        <v/>
      </c>
      <c r="H273" s="84" t="str">
        <f>IF($C273="","",SUMIFS(RawBtabs!$T$2:$T$1500,RawBtabs!$A$2:$A$1500,$C273,RawBtabs!$C$2:$C$1500,$E273))</f>
        <v/>
      </c>
      <c r="I273" s="84" t="str">
        <f>IF($C273="","",SUMIFS(RawBtabs!$U$2:$U$1500,RawBtabs!$A$2:$A$1500,$C273,RawBtabs!$C$2:$C$1500,$E273))</f>
        <v/>
      </c>
      <c r="J273" s="84" t="str">
        <f t="shared" si="9"/>
        <v/>
      </c>
      <c r="K273" s="85" t="str">
        <f>IF($C273="","",$J273/Config!$C$9)</f>
        <v/>
      </c>
      <c r="L273" s="84" t="str">
        <f>IF($C273="","",$J273-Config!$C$9)</f>
        <v/>
      </c>
      <c r="M273" s="82" t="str">
        <f>IF($C273="","",IF($G273=0,"⛔ NO ENTRY IN BTABS",IF(ABS($L273)&lt;=Config!$C$10,"✅ OK ("&amp;TEXT($J273,"0.##")&amp;" h)",IF($L273&lt;0,"🔻 MISSING "&amp;TEXT(-$L273,"0.##")&amp;" h","🔺 OVER BY "&amp;TEXT($L273,"0.##")&amp;" h"))))</f>
        <v/>
      </c>
      <c r="N273" s="81" t="str">
        <f>IF($C273="","",IF($G273=0,3,IF(ABS($L273)&lt;=Config!$C$10,0,IF($L273&lt;0,2,1))))</f>
        <v/>
      </c>
      <c r="O273" s="81" t="str">
        <f>IF($C273="","",IF($N273&gt;0,COUNTIFS($N$4:$N273,"&gt;0"),""))</f>
        <v/>
      </c>
    </row>
    <row r="274" spans="2:15" x14ac:dyDescent="0.25">
      <c r="B274" s="81" t="str">
        <f t="shared" si="8"/>
        <v/>
      </c>
      <c r="C274" s="82" t="str">
        <f>IF(INT((ROW()-4)/5)+1&gt;Config!$C$14,"",INDEX(BPOworkers!$B$6:$B$105,INT((ROW()-4)/5)+1))</f>
        <v/>
      </c>
      <c r="D274" s="82" t="str">
        <f>IF($C274="","",IFERROR(INDEX(BPOworkers!$E$6:$E$105,MATCH($C274,BPOworkers!$B$6:$B$105,0)),""))</f>
        <v/>
      </c>
      <c r="E274" s="83" t="str">
        <f>IF($C274="","",Config!$C$7+MOD(ROW()-4,5))</f>
        <v/>
      </c>
      <c r="F274" s="82" t="str">
        <f>IF($C274="","",INDEX(Config!$F$7:$F$11,MOD(ROW()-4,5)+1))</f>
        <v/>
      </c>
      <c r="G274" s="81" t="str">
        <f>IF($C274="","",COUNTIFS(RawBtabs!$A$2:$A$1500,$C274,RawBtabs!$C$2:$C$1500,$E274))</f>
        <v/>
      </c>
      <c r="H274" s="84" t="str">
        <f>IF($C274="","",SUMIFS(RawBtabs!$T$2:$T$1500,RawBtabs!$A$2:$A$1500,$C274,RawBtabs!$C$2:$C$1500,$E274))</f>
        <v/>
      </c>
      <c r="I274" s="84" t="str">
        <f>IF($C274="","",SUMIFS(RawBtabs!$U$2:$U$1500,RawBtabs!$A$2:$A$1500,$C274,RawBtabs!$C$2:$C$1500,$E274))</f>
        <v/>
      </c>
      <c r="J274" s="84" t="str">
        <f t="shared" si="9"/>
        <v/>
      </c>
      <c r="K274" s="85" t="str">
        <f>IF($C274="","",$J274/Config!$C$9)</f>
        <v/>
      </c>
      <c r="L274" s="84" t="str">
        <f>IF($C274="","",$J274-Config!$C$9)</f>
        <v/>
      </c>
      <c r="M274" s="82" t="str">
        <f>IF($C274="","",IF($G274=0,"⛔ NO ENTRY IN BTABS",IF(ABS($L274)&lt;=Config!$C$10,"✅ OK ("&amp;TEXT($J274,"0.##")&amp;" h)",IF($L274&lt;0,"🔻 MISSING "&amp;TEXT(-$L274,"0.##")&amp;" h","🔺 OVER BY "&amp;TEXT($L274,"0.##")&amp;" h"))))</f>
        <v/>
      </c>
      <c r="N274" s="81" t="str">
        <f>IF($C274="","",IF($G274=0,3,IF(ABS($L274)&lt;=Config!$C$10,0,IF($L274&lt;0,2,1))))</f>
        <v/>
      </c>
      <c r="O274" s="81" t="str">
        <f>IF($C274="","",IF($N274&gt;0,COUNTIFS($N$4:$N274,"&gt;0"),""))</f>
        <v/>
      </c>
    </row>
    <row r="275" spans="2:15" x14ac:dyDescent="0.25">
      <c r="B275" s="81" t="str">
        <f t="shared" si="8"/>
        <v/>
      </c>
      <c r="C275" s="82" t="str">
        <f>IF(INT((ROW()-4)/5)+1&gt;Config!$C$14,"",INDEX(BPOworkers!$B$6:$B$105,INT((ROW()-4)/5)+1))</f>
        <v/>
      </c>
      <c r="D275" s="82" t="str">
        <f>IF($C275="","",IFERROR(INDEX(BPOworkers!$E$6:$E$105,MATCH($C275,BPOworkers!$B$6:$B$105,0)),""))</f>
        <v/>
      </c>
      <c r="E275" s="83" t="str">
        <f>IF($C275="","",Config!$C$7+MOD(ROW()-4,5))</f>
        <v/>
      </c>
      <c r="F275" s="82" t="str">
        <f>IF($C275="","",INDEX(Config!$F$7:$F$11,MOD(ROW()-4,5)+1))</f>
        <v/>
      </c>
      <c r="G275" s="81" t="str">
        <f>IF($C275="","",COUNTIFS(RawBtabs!$A$2:$A$1500,$C275,RawBtabs!$C$2:$C$1500,$E275))</f>
        <v/>
      </c>
      <c r="H275" s="84" t="str">
        <f>IF($C275="","",SUMIFS(RawBtabs!$T$2:$T$1500,RawBtabs!$A$2:$A$1500,$C275,RawBtabs!$C$2:$C$1500,$E275))</f>
        <v/>
      </c>
      <c r="I275" s="84" t="str">
        <f>IF($C275="","",SUMIFS(RawBtabs!$U$2:$U$1500,RawBtabs!$A$2:$A$1500,$C275,RawBtabs!$C$2:$C$1500,$E275))</f>
        <v/>
      </c>
      <c r="J275" s="84" t="str">
        <f t="shared" si="9"/>
        <v/>
      </c>
      <c r="K275" s="85" t="str">
        <f>IF($C275="","",$J275/Config!$C$9)</f>
        <v/>
      </c>
      <c r="L275" s="84" t="str">
        <f>IF($C275="","",$J275-Config!$C$9)</f>
        <v/>
      </c>
      <c r="M275" s="82" t="str">
        <f>IF($C275="","",IF($G275=0,"⛔ NO ENTRY IN BTABS",IF(ABS($L275)&lt;=Config!$C$10,"✅ OK ("&amp;TEXT($J275,"0.##")&amp;" h)",IF($L275&lt;0,"🔻 MISSING "&amp;TEXT(-$L275,"0.##")&amp;" h","🔺 OVER BY "&amp;TEXT($L275,"0.##")&amp;" h"))))</f>
        <v/>
      </c>
      <c r="N275" s="81" t="str">
        <f>IF($C275="","",IF($G275=0,3,IF(ABS($L275)&lt;=Config!$C$10,0,IF($L275&lt;0,2,1))))</f>
        <v/>
      </c>
      <c r="O275" s="81" t="str">
        <f>IF($C275="","",IF($N275&gt;0,COUNTIFS($N$4:$N275,"&gt;0"),""))</f>
        <v/>
      </c>
    </row>
    <row r="276" spans="2:15" x14ac:dyDescent="0.25">
      <c r="B276" s="81" t="str">
        <f t="shared" si="8"/>
        <v/>
      </c>
      <c r="C276" s="82" t="str">
        <f>IF(INT((ROW()-4)/5)+1&gt;Config!$C$14,"",INDEX(BPOworkers!$B$6:$B$105,INT((ROW()-4)/5)+1))</f>
        <v/>
      </c>
      <c r="D276" s="82" t="str">
        <f>IF($C276="","",IFERROR(INDEX(BPOworkers!$E$6:$E$105,MATCH($C276,BPOworkers!$B$6:$B$105,0)),""))</f>
        <v/>
      </c>
      <c r="E276" s="83" t="str">
        <f>IF($C276="","",Config!$C$7+MOD(ROW()-4,5))</f>
        <v/>
      </c>
      <c r="F276" s="82" t="str">
        <f>IF($C276="","",INDEX(Config!$F$7:$F$11,MOD(ROW()-4,5)+1))</f>
        <v/>
      </c>
      <c r="G276" s="81" t="str">
        <f>IF($C276="","",COUNTIFS(RawBtabs!$A$2:$A$1500,$C276,RawBtabs!$C$2:$C$1500,$E276))</f>
        <v/>
      </c>
      <c r="H276" s="84" t="str">
        <f>IF($C276="","",SUMIFS(RawBtabs!$T$2:$T$1500,RawBtabs!$A$2:$A$1500,$C276,RawBtabs!$C$2:$C$1500,$E276))</f>
        <v/>
      </c>
      <c r="I276" s="84" t="str">
        <f>IF($C276="","",SUMIFS(RawBtabs!$U$2:$U$1500,RawBtabs!$A$2:$A$1500,$C276,RawBtabs!$C$2:$C$1500,$E276))</f>
        <v/>
      </c>
      <c r="J276" s="84" t="str">
        <f t="shared" si="9"/>
        <v/>
      </c>
      <c r="K276" s="85" t="str">
        <f>IF($C276="","",$J276/Config!$C$9)</f>
        <v/>
      </c>
      <c r="L276" s="84" t="str">
        <f>IF($C276="","",$J276-Config!$C$9)</f>
        <v/>
      </c>
      <c r="M276" s="82" t="str">
        <f>IF($C276="","",IF($G276=0,"⛔ NO ENTRY IN BTABS",IF(ABS($L276)&lt;=Config!$C$10,"✅ OK ("&amp;TEXT($J276,"0.##")&amp;" h)",IF($L276&lt;0,"🔻 MISSING "&amp;TEXT(-$L276,"0.##")&amp;" h","🔺 OVER BY "&amp;TEXT($L276,"0.##")&amp;" h"))))</f>
        <v/>
      </c>
      <c r="N276" s="81" t="str">
        <f>IF($C276="","",IF($G276=0,3,IF(ABS($L276)&lt;=Config!$C$10,0,IF($L276&lt;0,2,1))))</f>
        <v/>
      </c>
      <c r="O276" s="81" t="str">
        <f>IF($C276="","",IF($N276&gt;0,COUNTIFS($N$4:$N276,"&gt;0"),""))</f>
        <v/>
      </c>
    </row>
    <row r="277" spans="2:15" x14ac:dyDescent="0.25">
      <c r="B277" s="81" t="str">
        <f t="shared" si="8"/>
        <v/>
      </c>
      <c r="C277" s="82" t="str">
        <f>IF(INT((ROW()-4)/5)+1&gt;Config!$C$14,"",INDEX(BPOworkers!$B$6:$B$105,INT((ROW()-4)/5)+1))</f>
        <v/>
      </c>
      <c r="D277" s="82" t="str">
        <f>IF($C277="","",IFERROR(INDEX(BPOworkers!$E$6:$E$105,MATCH($C277,BPOworkers!$B$6:$B$105,0)),""))</f>
        <v/>
      </c>
      <c r="E277" s="83" t="str">
        <f>IF($C277="","",Config!$C$7+MOD(ROW()-4,5))</f>
        <v/>
      </c>
      <c r="F277" s="82" t="str">
        <f>IF($C277="","",INDEX(Config!$F$7:$F$11,MOD(ROW()-4,5)+1))</f>
        <v/>
      </c>
      <c r="G277" s="81" t="str">
        <f>IF($C277="","",COUNTIFS(RawBtabs!$A$2:$A$1500,$C277,RawBtabs!$C$2:$C$1500,$E277))</f>
        <v/>
      </c>
      <c r="H277" s="84" t="str">
        <f>IF($C277="","",SUMIFS(RawBtabs!$T$2:$T$1500,RawBtabs!$A$2:$A$1500,$C277,RawBtabs!$C$2:$C$1500,$E277))</f>
        <v/>
      </c>
      <c r="I277" s="84" t="str">
        <f>IF($C277="","",SUMIFS(RawBtabs!$U$2:$U$1500,RawBtabs!$A$2:$A$1500,$C277,RawBtabs!$C$2:$C$1500,$E277))</f>
        <v/>
      </c>
      <c r="J277" s="84" t="str">
        <f t="shared" si="9"/>
        <v/>
      </c>
      <c r="K277" s="85" t="str">
        <f>IF($C277="","",$J277/Config!$C$9)</f>
        <v/>
      </c>
      <c r="L277" s="84" t="str">
        <f>IF($C277="","",$J277-Config!$C$9)</f>
        <v/>
      </c>
      <c r="M277" s="82" t="str">
        <f>IF($C277="","",IF($G277=0,"⛔ NO ENTRY IN BTABS",IF(ABS($L277)&lt;=Config!$C$10,"✅ OK ("&amp;TEXT($J277,"0.##")&amp;" h)",IF($L277&lt;0,"🔻 MISSING "&amp;TEXT(-$L277,"0.##")&amp;" h","🔺 OVER BY "&amp;TEXT($L277,"0.##")&amp;" h"))))</f>
        <v/>
      </c>
      <c r="N277" s="81" t="str">
        <f>IF($C277="","",IF($G277=0,3,IF(ABS($L277)&lt;=Config!$C$10,0,IF($L277&lt;0,2,1))))</f>
        <v/>
      </c>
      <c r="O277" s="81" t="str">
        <f>IF($C277="","",IF($N277&gt;0,COUNTIFS($N$4:$N277,"&gt;0"),""))</f>
        <v/>
      </c>
    </row>
    <row r="278" spans="2:15" x14ac:dyDescent="0.25">
      <c r="B278" s="81" t="str">
        <f t="shared" si="8"/>
        <v/>
      </c>
      <c r="C278" s="82" t="str">
        <f>IF(INT((ROW()-4)/5)+1&gt;Config!$C$14,"",INDEX(BPOworkers!$B$6:$B$105,INT((ROW()-4)/5)+1))</f>
        <v/>
      </c>
      <c r="D278" s="82" t="str">
        <f>IF($C278="","",IFERROR(INDEX(BPOworkers!$E$6:$E$105,MATCH($C278,BPOworkers!$B$6:$B$105,0)),""))</f>
        <v/>
      </c>
      <c r="E278" s="83" t="str">
        <f>IF($C278="","",Config!$C$7+MOD(ROW()-4,5))</f>
        <v/>
      </c>
      <c r="F278" s="82" t="str">
        <f>IF($C278="","",INDEX(Config!$F$7:$F$11,MOD(ROW()-4,5)+1))</f>
        <v/>
      </c>
      <c r="G278" s="81" t="str">
        <f>IF($C278="","",COUNTIFS(RawBtabs!$A$2:$A$1500,$C278,RawBtabs!$C$2:$C$1500,$E278))</f>
        <v/>
      </c>
      <c r="H278" s="84" t="str">
        <f>IF($C278="","",SUMIFS(RawBtabs!$T$2:$T$1500,RawBtabs!$A$2:$A$1500,$C278,RawBtabs!$C$2:$C$1500,$E278))</f>
        <v/>
      </c>
      <c r="I278" s="84" t="str">
        <f>IF($C278="","",SUMIFS(RawBtabs!$U$2:$U$1500,RawBtabs!$A$2:$A$1500,$C278,RawBtabs!$C$2:$C$1500,$E278))</f>
        <v/>
      </c>
      <c r="J278" s="84" t="str">
        <f t="shared" si="9"/>
        <v/>
      </c>
      <c r="K278" s="85" t="str">
        <f>IF($C278="","",$J278/Config!$C$9)</f>
        <v/>
      </c>
      <c r="L278" s="84" t="str">
        <f>IF($C278="","",$J278-Config!$C$9)</f>
        <v/>
      </c>
      <c r="M278" s="82" t="str">
        <f>IF($C278="","",IF($G278=0,"⛔ NO ENTRY IN BTABS",IF(ABS($L278)&lt;=Config!$C$10,"✅ OK ("&amp;TEXT($J278,"0.##")&amp;" h)",IF($L278&lt;0,"🔻 MISSING "&amp;TEXT(-$L278,"0.##")&amp;" h","🔺 OVER BY "&amp;TEXT($L278,"0.##")&amp;" h"))))</f>
        <v/>
      </c>
      <c r="N278" s="81" t="str">
        <f>IF($C278="","",IF($G278=0,3,IF(ABS($L278)&lt;=Config!$C$10,0,IF($L278&lt;0,2,1))))</f>
        <v/>
      </c>
      <c r="O278" s="81" t="str">
        <f>IF($C278="","",IF($N278&gt;0,COUNTIFS($N$4:$N278,"&gt;0"),""))</f>
        <v/>
      </c>
    </row>
    <row r="279" spans="2:15" x14ac:dyDescent="0.25">
      <c r="B279" s="81" t="str">
        <f t="shared" si="8"/>
        <v/>
      </c>
      <c r="C279" s="82" t="str">
        <f>IF(INT((ROW()-4)/5)+1&gt;Config!$C$14,"",INDEX(BPOworkers!$B$6:$B$105,INT((ROW()-4)/5)+1))</f>
        <v/>
      </c>
      <c r="D279" s="82" t="str">
        <f>IF($C279="","",IFERROR(INDEX(BPOworkers!$E$6:$E$105,MATCH($C279,BPOworkers!$B$6:$B$105,0)),""))</f>
        <v/>
      </c>
      <c r="E279" s="83" t="str">
        <f>IF($C279="","",Config!$C$7+MOD(ROW()-4,5))</f>
        <v/>
      </c>
      <c r="F279" s="82" t="str">
        <f>IF($C279="","",INDEX(Config!$F$7:$F$11,MOD(ROW()-4,5)+1))</f>
        <v/>
      </c>
      <c r="G279" s="81" t="str">
        <f>IF($C279="","",COUNTIFS(RawBtabs!$A$2:$A$1500,$C279,RawBtabs!$C$2:$C$1500,$E279))</f>
        <v/>
      </c>
      <c r="H279" s="84" t="str">
        <f>IF($C279="","",SUMIFS(RawBtabs!$T$2:$T$1500,RawBtabs!$A$2:$A$1500,$C279,RawBtabs!$C$2:$C$1500,$E279))</f>
        <v/>
      </c>
      <c r="I279" s="84" t="str">
        <f>IF($C279="","",SUMIFS(RawBtabs!$U$2:$U$1500,RawBtabs!$A$2:$A$1500,$C279,RawBtabs!$C$2:$C$1500,$E279))</f>
        <v/>
      </c>
      <c r="J279" s="84" t="str">
        <f t="shared" si="9"/>
        <v/>
      </c>
      <c r="K279" s="85" t="str">
        <f>IF($C279="","",$J279/Config!$C$9)</f>
        <v/>
      </c>
      <c r="L279" s="84" t="str">
        <f>IF($C279="","",$J279-Config!$C$9)</f>
        <v/>
      </c>
      <c r="M279" s="82" t="str">
        <f>IF($C279="","",IF($G279=0,"⛔ NO ENTRY IN BTABS",IF(ABS($L279)&lt;=Config!$C$10,"✅ OK ("&amp;TEXT($J279,"0.##")&amp;" h)",IF($L279&lt;0,"🔻 MISSING "&amp;TEXT(-$L279,"0.##")&amp;" h","🔺 OVER BY "&amp;TEXT($L279,"0.##")&amp;" h"))))</f>
        <v/>
      </c>
      <c r="N279" s="81" t="str">
        <f>IF($C279="","",IF($G279=0,3,IF(ABS($L279)&lt;=Config!$C$10,0,IF($L279&lt;0,2,1))))</f>
        <v/>
      </c>
      <c r="O279" s="81" t="str">
        <f>IF($C279="","",IF($N279&gt;0,COUNTIFS($N$4:$N279,"&gt;0"),""))</f>
        <v/>
      </c>
    </row>
    <row r="280" spans="2:15" x14ac:dyDescent="0.25">
      <c r="B280" s="81" t="str">
        <f t="shared" si="8"/>
        <v/>
      </c>
      <c r="C280" s="82" t="str">
        <f>IF(INT((ROW()-4)/5)+1&gt;Config!$C$14,"",INDEX(BPOworkers!$B$6:$B$105,INT((ROW()-4)/5)+1))</f>
        <v/>
      </c>
      <c r="D280" s="82" t="str">
        <f>IF($C280="","",IFERROR(INDEX(BPOworkers!$E$6:$E$105,MATCH($C280,BPOworkers!$B$6:$B$105,0)),""))</f>
        <v/>
      </c>
      <c r="E280" s="83" t="str">
        <f>IF($C280="","",Config!$C$7+MOD(ROW()-4,5))</f>
        <v/>
      </c>
      <c r="F280" s="82" t="str">
        <f>IF($C280="","",INDEX(Config!$F$7:$F$11,MOD(ROW()-4,5)+1))</f>
        <v/>
      </c>
      <c r="G280" s="81" t="str">
        <f>IF($C280="","",COUNTIFS(RawBtabs!$A$2:$A$1500,$C280,RawBtabs!$C$2:$C$1500,$E280))</f>
        <v/>
      </c>
      <c r="H280" s="84" t="str">
        <f>IF($C280="","",SUMIFS(RawBtabs!$T$2:$T$1500,RawBtabs!$A$2:$A$1500,$C280,RawBtabs!$C$2:$C$1500,$E280))</f>
        <v/>
      </c>
      <c r="I280" s="84" t="str">
        <f>IF($C280="","",SUMIFS(RawBtabs!$U$2:$U$1500,RawBtabs!$A$2:$A$1500,$C280,RawBtabs!$C$2:$C$1500,$E280))</f>
        <v/>
      </c>
      <c r="J280" s="84" t="str">
        <f t="shared" si="9"/>
        <v/>
      </c>
      <c r="K280" s="85" t="str">
        <f>IF($C280="","",$J280/Config!$C$9)</f>
        <v/>
      </c>
      <c r="L280" s="84" t="str">
        <f>IF($C280="","",$J280-Config!$C$9)</f>
        <v/>
      </c>
      <c r="M280" s="82" t="str">
        <f>IF($C280="","",IF($G280=0,"⛔ NO ENTRY IN BTABS",IF(ABS($L280)&lt;=Config!$C$10,"✅ OK ("&amp;TEXT($J280,"0.##")&amp;" h)",IF($L280&lt;0,"🔻 MISSING "&amp;TEXT(-$L280,"0.##")&amp;" h","🔺 OVER BY "&amp;TEXT($L280,"0.##")&amp;" h"))))</f>
        <v/>
      </c>
      <c r="N280" s="81" t="str">
        <f>IF($C280="","",IF($G280=0,3,IF(ABS($L280)&lt;=Config!$C$10,0,IF($L280&lt;0,2,1))))</f>
        <v/>
      </c>
      <c r="O280" s="81" t="str">
        <f>IF($C280="","",IF($N280&gt;0,COUNTIFS($N$4:$N280,"&gt;0"),""))</f>
        <v/>
      </c>
    </row>
    <row r="281" spans="2:15" x14ac:dyDescent="0.25">
      <c r="B281" s="81" t="str">
        <f t="shared" si="8"/>
        <v/>
      </c>
      <c r="C281" s="82" t="str">
        <f>IF(INT((ROW()-4)/5)+1&gt;Config!$C$14,"",INDEX(BPOworkers!$B$6:$B$105,INT((ROW()-4)/5)+1))</f>
        <v/>
      </c>
      <c r="D281" s="82" t="str">
        <f>IF($C281="","",IFERROR(INDEX(BPOworkers!$E$6:$E$105,MATCH($C281,BPOworkers!$B$6:$B$105,0)),""))</f>
        <v/>
      </c>
      <c r="E281" s="83" t="str">
        <f>IF($C281="","",Config!$C$7+MOD(ROW()-4,5))</f>
        <v/>
      </c>
      <c r="F281" s="82" t="str">
        <f>IF($C281="","",INDEX(Config!$F$7:$F$11,MOD(ROW()-4,5)+1))</f>
        <v/>
      </c>
      <c r="G281" s="81" t="str">
        <f>IF($C281="","",COUNTIFS(RawBtabs!$A$2:$A$1500,$C281,RawBtabs!$C$2:$C$1500,$E281))</f>
        <v/>
      </c>
      <c r="H281" s="84" t="str">
        <f>IF($C281="","",SUMIFS(RawBtabs!$T$2:$T$1500,RawBtabs!$A$2:$A$1500,$C281,RawBtabs!$C$2:$C$1500,$E281))</f>
        <v/>
      </c>
      <c r="I281" s="84" t="str">
        <f>IF($C281="","",SUMIFS(RawBtabs!$U$2:$U$1500,RawBtabs!$A$2:$A$1500,$C281,RawBtabs!$C$2:$C$1500,$E281))</f>
        <v/>
      </c>
      <c r="J281" s="84" t="str">
        <f t="shared" si="9"/>
        <v/>
      </c>
      <c r="K281" s="85" t="str">
        <f>IF($C281="","",$J281/Config!$C$9)</f>
        <v/>
      </c>
      <c r="L281" s="84" t="str">
        <f>IF($C281="","",$J281-Config!$C$9)</f>
        <v/>
      </c>
      <c r="M281" s="82" t="str">
        <f>IF($C281="","",IF($G281=0,"⛔ NO ENTRY IN BTABS",IF(ABS($L281)&lt;=Config!$C$10,"✅ OK ("&amp;TEXT($J281,"0.##")&amp;" h)",IF($L281&lt;0,"🔻 MISSING "&amp;TEXT(-$L281,"0.##")&amp;" h","🔺 OVER BY "&amp;TEXT($L281,"0.##")&amp;" h"))))</f>
        <v/>
      </c>
      <c r="N281" s="81" t="str">
        <f>IF($C281="","",IF($G281=0,3,IF(ABS($L281)&lt;=Config!$C$10,0,IF($L281&lt;0,2,1))))</f>
        <v/>
      </c>
      <c r="O281" s="81" t="str">
        <f>IF($C281="","",IF($N281&gt;0,COUNTIFS($N$4:$N281,"&gt;0"),""))</f>
        <v/>
      </c>
    </row>
    <row r="282" spans="2:15" x14ac:dyDescent="0.25">
      <c r="B282" s="81" t="str">
        <f t="shared" si="8"/>
        <v/>
      </c>
      <c r="C282" s="82" t="str">
        <f>IF(INT((ROW()-4)/5)+1&gt;Config!$C$14,"",INDEX(BPOworkers!$B$6:$B$105,INT((ROW()-4)/5)+1))</f>
        <v/>
      </c>
      <c r="D282" s="82" t="str">
        <f>IF($C282="","",IFERROR(INDEX(BPOworkers!$E$6:$E$105,MATCH($C282,BPOworkers!$B$6:$B$105,0)),""))</f>
        <v/>
      </c>
      <c r="E282" s="83" t="str">
        <f>IF($C282="","",Config!$C$7+MOD(ROW()-4,5))</f>
        <v/>
      </c>
      <c r="F282" s="82" t="str">
        <f>IF($C282="","",INDEX(Config!$F$7:$F$11,MOD(ROW()-4,5)+1))</f>
        <v/>
      </c>
      <c r="G282" s="81" t="str">
        <f>IF($C282="","",COUNTIFS(RawBtabs!$A$2:$A$1500,$C282,RawBtabs!$C$2:$C$1500,$E282))</f>
        <v/>
      </c>
      <c r="H282" s="84" t="str">
        <f>IF($C282="","",SUMIFS(RawBtabs!$T$2:$T$1500,RawBtabs!$A$2:$A$1500,$C282,RawBtabs!$C$2:$C$1500,$E282))</f>
        <v/>
      </c>
      <c r="I282" s="84" t="str">
        <f>IF($C282="","",SUMIFS(RawBtabs!$U$2:$U$1500,RawBtabs!$A$2:$A$1500,$C282,RawBtabs!$C$2:$C$1500,$E282))</f>
        <v/>
      </c>
      <c r="J282" s="84" t="str">
        <f t="shared" si="9"/>
        <v/>
      </c>
      <c r="K282" s="85" t="str">
        <f>IF($C282="","",$J282/Config!$C$9)</f>
        <v/>
      </c>
      <c r="L282" s="84" t="str">
        <f>IF($C282="","",$J282-Config!$C$9)</f>
        <v/>
      </c>
      <c r="M282" s="82" t="str">
        <f>IF($C282="","",IF($G282=0,"⛔ NO ENTRY IN BTABS",IF(ABS($L282)&lt;=Config!$C$10,"✅ OK ("&amp;TEXT($J282,"0.##")&amp;" h)",IF($L282&lt;0,"🔻 MISSING "&amp;TEXT(-$L282,"0.##")&amp;" h","🔺 OVER BY "&amp;TEXT($L282,"0.##")&amp;" h"))))</f>
        <v/>
      </c>
      <c r="N282" s="81" t="str">
        <f>IF($C282="","",IF($G282=0,3,IF(ABS($L282)&lt;=Config!$C$10,0,IF($L282&lt;0,2,1))))</f>
        <v/>
      </c>
      <c r="O282" s="81" t="str">
        <f>IF($C282="","",IF($N282&gt;0,COUNTIFS($N$4:$N282,"&gt;0"),""))</f>
        <v/>
      </c>
    </row>
    <row r="283" spans="2:15" x14ac:dyDescent="0.25">
      <c r="B283" s="81" t="str">
        <f t="shared" si="8"/>
        <v/>
      </c>
      <c r="C283" s="82" t="str">
        <f>IF(INT((ROW()-4)/5)+1&gt;Config!$C$14,"",INDEX(BPOworkers!$B$6:$B$105,INT((ROW()-4)/5)+1))</f>
        <v/>
      </c>
      <c r="D283" s="82" t="str">
        <f>IF($C283="","",IFERROR(INDEX(BPOworkers!$E$6:$E$105,MATCH($C283,BPOworkers!$B$6:$B$105,0)),""))</f>
        <v/>
      </c>
      <c r="E283" s="83" t="str">
        <f>IF($C283="","",Config!$C$7+MOD(ROW()-4,5))</f>
        <v/>
      </c>
      <c r="F283" s="82" t="str">
        <f>IF($C283="","",INDEX(Config!$F$7:$F$11,MOD(ROW()-4,5)+1))</f>
        <v/>
      </c>
      <c r="G283" s="81" t="str">
        <f>IF($C283="","",COUNTIFS(RawBtabs!$A$2:$A$1500,$C283,RawBtabs!$C$2:$C$1500,$E283))</f>
        <v/>
      </c>
      <c r="H283" s="84" t="str">
        <f>IF($C283="","",SUMIFS(RawBtabs!$T$2:$T$1500,RawBtabs!$A$2:$A$1500,$C283,RawBtabs!$C$2:$C$1500,$E283))</f>
        <v/>
      </c>
      <c r="I283" s="84" t="str">
        <f>IF($C283="","",SUMIFS(RawBtabs!$U$2:$U$1500,RawBtabs!$A$2:$A$1500,$C283,RawBtabs!$C$2:$C$1500,$E283))</f>
        <v/>
      </c>
      <c r="J283" s="84" t="str">
        <f t="shared" si="9"/>
        <v/>
      </c>
      <c r="K283" s="85" t="str">
        <f>IF($C283="","",$J283/Config!$C$9)</f>
        <v/>
      </c>
      <c r="L283" s="84" t="str">
        <f>IF($C283="","",$J283-Config!$C$9)</f>
        <v/>
      </c>
      <c r="M283" s="82" t="str">
        <f>IF($C283="","",IF($G283=0,"⛔ NO ENTRY IN BTABS",IF(ABS($L283)&lt;=Config!$C$10,"✅ OK ("&amp;TEXT($J283,"0.##")&amp;" h)",IF($L283&lt;0,"🔻 MISSING "&amp;TEXT(-$L283,"0.##")&amp;" h","🔺 OVER BY "&amp;TEXT($L283,"0.##")&amp;" h"))))</f>
        <v/>
      </c>
      <c r="N283" s="81" t="str">
        <f>IF($C283="","",IF($G283=0,3,IF(ABS($L283)&lt;=Config!$C$10,0,IF($L283&lt;0,2,1))))</f>
        <v/>
      </c>
      <c r="O283" s="81" t="str">
        <f>IF($C283="","",IF($N283&gt;0,COUNTIFS($N$4:$N283,"&gt;0"),""))</f>
        <v/>
      </c>
    </row>
    <row r="284" spans="2:15" x14ac:dyDescent="0.25">
      <c r="B284" s="81" t="str">
        <f t="shared" si="8"/>
        <v/>
      </c>
      <c r="C284" s="82" t="str">
        <f>IF(INT((ROW()-4)/5)+1&gt;Config!$C$14,"",INDEX(BPOworkers!$B$6:$B$105,INT((ROW()-4)/5)+1))</f>
        <v/>
      </c>
      <c r="D284" s="82" t="str">
        <f>IF($C284="","",IFERROR(INDEX(BPOworkers!$E$6:$E$105,MATCH($C284,BPOworkers!$B$6:$B$105,0)),""))</f>
        <v/>
      </c>
      <c r="E284" s="83" t="str">
        <f>IF($C284="","",Config!$C$7+MOD(ROW()-4,5))</f>
        <v/>
      </c>
      <c r="F284" s="82" t="str">
        <f>IF($C284="","",INDEX(Config!$F$7:$F$11,MOD(ROW()-4,5)+1))</f>
        <v/>
      </c>
      <c r="G284" s="81" t="str">
        <f>IF($C284="","",COUNTIFS(RawBtabs!$A$2:$A$1500,$C284,RawBtabs!$C$2:$C$1500,$E284))</f>
        <v/>
      </c>
      <c r="H284" s="84" t="str">
        <f>IF($C284="","",SUMIFS(RawBtabs!$T$2:$T$1500,RawBtabs!$A$2:$A$1500,$C284,RawBtabs!$C$2:$C$1500,$E284))</f>
        <v/>
      </c>
      <c r="I284" s="84" t="str">
        <f>IF($C284="","",SUMIFS(RawBtabs!$U$2:$U$1500,RawBtabs!$A$2:$A$1500,$C284,RawBtabs!$C$2:$C$1500,$E284))</f>
        <v/>
      </c>
      <c r="J284" s="84" t="str">
        <f t="shared" si="9"/>
        <v/>
      </c>
      <c r="K284" s="85" t="str">
        <f>IF($C284="","",$J284/Config!$C$9)</f>
        <v/>
      </c>
      <c r="L284" s="84" t="str">
        <f>IF($C284="","",$J284-Config!$C$9)</f>
        <v/>
      </c>
      <c r="M284" s="82" t="str">
        <f>IF($C284="","",IF($G284=0,"⛔ NO ENTRY IN BTABS",IF(ABS($L284)&lt;=Config!$C$10,"✅ OK ("&amp;TEXT($J284,"0.##")&amp;" h)",IF($L284&lt;0,"🔻 MISSING "&amp;TEXT(-$L284,"0.##")&amp;" h","🔺 OVER BY "&amp;TEXT($L284,"0.##")&amp;" h"))))</f>
        <v/>
      </c>
      <c r="N284" s="81" t="str">
        <f>IF($C284="","",IF($G284=0,3,IF(ABS($L284)&lt;=Config!$C$10,0,IF($L284&lt;0,2,1))))</f>
        <v/>
      </c>
      <c r="O284" s="81" t="str">
        <f>IF($C284="","",IF($N284&gt;0,COUNTIFS($N$4:$N284,"&gt;0"),""))</f>
        <v/>
      </c>
    </row>
    <row r="285" spans="2:15" x14ac:dyDescent="0.25">
      <c r="B285" s="81" t="str">
        <f t="shared" si="8"/>
        <v/>
      </c>
      <c r="C285" s="82" t="str">
        <f>IF(INT((ROW()-4)/5)+1&gt;Config!$C$14,"",INDEX(BPOworkers!$B$6:$B$105,INT((ROW()-4)/5)+1))</f>
        <v/>
      </c>
      <c r="D285" s="82" t="str">
        <f>IF($C285="","",IFERROR(INDEX(BPOworkers!$E$6:$E$105,MATCH($C285,BPOworkers!$B$6:$B$105,0)),""))</f>
        <v/>
      </c>
      <c r="E285" s="83" t="str">
        <f>IF($C285="","",Config!$C$7+MOD(ROW()-4,5))</f>
        <v/>
      </c>
      <c r="F285" s="82" t="str">
        <f>IF($C285="","",INDEX(Config!$F$7:$F$11,MOD(ROW()-4,5)+1))</f>
        <v/>
      </c>
      <c r="G285" s="81" t="str">
        <f>IF($C285="","",COUNTIFS(RawBtabs!$A$2:$A$1500,$C285,RawBtabs!$C$2:$C$1500,$E285))</f>
        <v/>
      </c>
      <c r="H285" s="84" t="str">
        <f>IF($C285="","",SUMIFS(RawBtabs!$T$2:$T$1500,RawBtabs!$A$2:$A$1500,$C285,RawBtabs!$C$2:$C$1500,$E285))</f>
        <v/>
      </c>
      <c r="I285" s="84" t="str">
        <f>IF($C285="","",SUMIFS(RawBtabs!$U$2:$U$1500,RawBtabs!$A$2:$A$1500,$C285,RawBtabs!$C$2:$C$1500,$E285))</f>
        <v/>
      </c>
      <c r="J285" s="84" t="str">
        <f t="shared" si="9"/>
        <v/>
      </c>
      <c r="K285" s="85" t="str">
        <f>IF($C285="","",$J285/Config!$C$9)</f>
        <v/>
      </c>
      <c r="L285" s="84" t="str">
        <f>IF($C285="","",$J285-Config!$C$9)</f>
        <v/>
      </c>
      <c r="M285" s="82" t="str">
        <f>IF($C285="","",IF($G285=0,"⛔ NO ENTRY IN BTABS",IF(ABS($L285)&lt;=Config!$C$10,"✅ OK ("&amp;TEXT($J285,"0.##")&amp;" h)",IF($L285&lt;0,"🔻 MISSING "&amp;TEXT(-$L285,"0.##")&amp;" h","🔺 OVER BY "&amp;TEXT($L285,"0.##")&amp;" h"))))</f>
        <v/>
      </c>
      <c r="N285" s="81" t="str">
        <f>IF($C285="","",IF($G285=0,3,IF(ABS($L285)&lt;=Config!$C$10,0,IF($L285&lt;0,2,1))))</f>
        <v/>
      </c>
      <c r="O285" s="81" t="str">
        <f>IF($C285="","",IF($N285&gt;0,COUNTIFS($N$4:$N285,"&gt;0"),""))</f>
        <v/>
      </c>
    </row>
    <row r="286" spans="2:15" x14ac:dyDescent="0.25">
      <c r="B286" s="81" t="str">
        <f t="shared" si="8"/>
        <v/>
      </c>
      <c r="C286" s="82" t="str">
        <f>IF(INT((ROW()-4)/5)+1&gt;Config!$C$14,"",INDEX(BPOworkers!$B$6:$B$105,INT((ROW()-4)/5)+1))</f>
        <v/>
      </c>
      <c r="D286" s="82" t="str">
        <f>IF($C286="","",IFERROR(INDEX(BPOworkers!$E$6:$E$105,MATCH($C286,BPOworkers!$B$6:$B$105,0)),""))</f>
        <v/>
      </c>
      <c r="E286" s="83" t="str">
        <f>IF($C286="","",Config!$C$7+MOD(ROW()-4,5))</f>
        <v/>
      </c>
      <c r="F286" s="82" t="str">
        <f>IF($C286="","",INDEX(Config!$F$7:$F$11,MOD(ROW()-4,5)+1))</f>
        <v/>
      </c>
      <c r="G286" s="81" t="str">
        <f>IF($C286="","",COUNTIFS(RawBtabs!$A$2:$A$1500,$C286,RawBtabs!$C$2:$C$1500,$E286))</f>
        <v/>
      </c>
      <c r="H286" s="84" t="str">
        <f>IF($C286="","",SUMIFS(RawBtabs!$T$2:$T$1500,RawBtabs!$A$2:$A$1500,$C286,RawBtabs!$C$2:$C$1500,$E286))</f>
        <v/>
      </c>
      <c r="I286" s="84" t="str">
        <f>IF($C286="","",SUMIFS(RawBtabs!$U$2:$U$1500,RawBtabs!$A$2:$A$1500,$C286,RawBtabs!$C$2:$C$1500,$E286))</f>
        <v/>
      </c>
      <c r="J286" s="84" t="str">
        <f t="shared" si="9"/>
        <v/>
      </c>
      <c r="K286" s="85" t="str">
        <f>IF($C286="","",$J286/Config!$C$9)</f>
        <v/>
      </c>
      <c r="L286" s="84" t="str">
        <f>IF($C286="","",$J286-Config!$C$9)</f>
        <v/>
      </c>
      <c r="M286" s="82" t="str">
        <f>IF($C286="","",IF($G286=0,"⛔ NO ENTRY IN BTABS",IF(ABS($L286)&lt;=Config!$C$10,"✅ OK ("&amp;TEXT($J286,"0.##")&amp;" h)",IF($L286&lt;0,"🔻 MISSING "&amp;TEXT(-$L286,"0.##")&amp;" h","🔺 OVER BY "&amp;TEXT($L286,"0.##")&amp;" h"))))</f>
        <v/>
      </c>
      <c r="N286" s="81" t="str">
        <f>IF($C286="","",IF($G286=0,3,IF(ABS($L286)&lt;=Config!$C$10,0,IF($L286&lt;0,2,1))))</f>
        <v/>
      </c>
      <c r="O286" s="81" t="str">
        <f>IF($C286="","",IF($N286&gt;0,COUNTIFS($N$4:$N286,"&gt;0"),""))</f>
        <v/>
      </c>
    </row>
    <row r="287" spans="2:15" x14ac:dyDescent="0.25">
      <c r="B287" s="81" t="str">
        <f t="shared" si="8"/>
        <v/>
      </c>
      <c r="C287" s="82" t="str">
        <f>IF(INT((ROW()-4)/5)+1&gt;Config!$C$14,"",INDEX(BPOworkers!$B$6:$B$105,INT((ROW()-4)/5)+1))</f>
        <v/>
      </c>
      <c r="D287" s="82" t="str">
        <f>IF($C287="","",IFERROR(INDEX(BPOworkers!$E$6:$E$105,MATCH($C287,BPOworkers!$B$6:$B$105,0)),""))</f>
        <v/>
      </c>
      <c r="E287" s="83" t="str">
        <f>IF($C287="","",Config!$C$7+MOD(ROW()-4,5))</f>
        <v/>
      </c>
      <c r="F287" s="82" t="str">
        <f>IF($C287="","",INDEX(Config!$F$7:$F$11,MOD(ROW()-4,5)+1))</f>
        <v/>
      </c>
      <c r="G287" s="81" t="str">
        <f>IF($C287="","",COUNTIFS(RawBtabs!$A$2:$A$1500,$C287,RawBtabs!$C$2:$C$1500,$E287))</f>
        <v/>
      </c>
      <c r="H287" s="84" t="str">
        <f>IF($C287="","",SUMIFS(RawBtabs!$T$2:$T$1500,RawBtabs!$A$2:$A$1500,$C287,RawBtabs!$C$2:$C$1500,$E287))</f>
        <v/>
      </c>
      <c r="I287" s="84" t="str">
        <f>IF($C287="","",SUMIFS(RawBtabs!$U$2:$U$1500,RawBtabs!$A$2:$A$1500,$C287,RawBtabs!$C$2:$C$1500,$E287))</f>
        <v/>
      </c>
      <c r="J287" s="84" t="str">
        <f t="shared" si="9"/>
        <v/>
      </c>
      <c r="K287" s="85" t="str">
        <f>IF($C287="","",$J287/Config!$C$9)</f>
        <v/>
      </c>
      <c r="L287" s="84" t="str">
        <f>IF($C287="","",$J287-Config!$C$9)</f>
        <v/>
      </c>
      <c r="M287" s="82" t="str">
        <f>IF($C287="","",IF($G287=0,"⛔ NO ENTRY IN BTABS",IF(ABS($L287)&lt;=Config!$C$10,"✅ OK ("&amp;TEXT($J287,"0.##")&amp;" h)",IF($L287&lt;0,"🔻 MISSING "&amp;TEXT(-$L287,"0.##")&amp;" h","🔺 OVER BY "&amp;TEXT($L287,"0.##")&amp;" h"))))</f>
        <v/>
      </c>
      <c r="N287" s="81" t="str">
        <f>IF($C287="","",IF($G287=0,3,IF(ABS($L287)&lt;=Config!$C$10,0,IF($L287&lt;0,2,1))))</f>
        <v/>
      </c>
      <c r="O287" s="81" t="str">
        <f>IF($C287="","",IF($N287&gt;0,COUNTIFS($N$4:$N287,"&gt;0"),""))</f>
        <v/>
      </c>
    </row>
    <row r="288" spans="2:15" x14ac:dyDescent="0.25">
      <c r="B288" s="81" t="str">
        <f t="shared" si="8"/>
        <v/>
      </c>
      <c r="C288" s="82" t="str">
        <f>IF(INT((ROW()-4)/5)+1&gt;Config!$C$14,"",INDEX(BPOworkers!$B$6:$B$105,INT((ROW()-4)/5)+1))</f>
        <v/>
      </c>
      <c r="D288" s="82" t="str">
        <f>IF($C288="","",IFERROR(INDEX(BPOworkers!$E$6:$E$105,MATCH($C288,BPOworkers!$B$6:$B$105,0)),""))</f>
        <v/>
      </c>
      <c r="E288" s="83" t="str">
        <f>IF($C288="","",Config!$C$7+MOD(ROW()-4,5))</f>
        <v/>
      </c>
      <c r="F288" s="82" t="str">
        <f>IF($C288="","",INDEX(Config!$F$7:$F$11,MOD(ROW()-4,5)+1))</f>
        <v/>
      </c>
      <c r="G288" s="81" t="str">
        <f>IF($C288="","",COUNTIFS(RawBtabs!$A$2:$A$1500,$C288,RawBtabs!$C$2:$C$1500,$E288))</f>
        <v/>
      </c>
      <c r="H288" s="84" t="str">
        <f>IF($C288="","",SUMIFS(RawBtabs!$T$2:$T$1500,RawBtabs!$A$2:$A$1500,$C288,RawBtabs!$C$2:$C$1500,$E288))</f>
        <v/>
      </c>
      <c r="I288" s="84" t="str">
        <f>IF($C288="","",SUMIFS(RawBtabs!$U$2:$U$1500,RawBtabs!$A$2:$A$1500,$C288,RawBtabs!$C$2:$C$1500,$E288))</f>
        <v/>
      </c>
      <c r="J288" s="84" t="str">
        <f t="shared" si="9"/>
        <v/>
      </c>
      <c r="K288" s="85" t="str">
        <f>IF($C288="","",$J288/Config!$C$9)</f>
        <v/>
      </c>
      <c r="L288" s="84" t="str">
        <f>IF($C288="","",$J288-Config!$C$9)</f>
        <v/>
      </c>
      <c r="M288" s="82" t="str">
        <f>IF($C288="","",IF($G288=0,"⛔ NO ENTRY IN BTABS",IF(ABS($L288)&lt;=Config!$C$10,"✅ OK ("&amp;TEXT($J288,"0.##")&amp;" h)",IF($L288&lt;0,"🔻 MISSING "&amp;TEXT(-$L288,"0.##")&amp;" h","🔺 OVER BY "&amp;TEXT($L288,"0.##")&amp;" h"))))</f>
        <v/>
      </c>
      <c r="N288" s="81" t="str">
        <f>IF($C288="","",IF($G288=0,3,IF(ABS($L288)&lt;=Config!$C$10,0,IF($L288&lt;0,2,1))))</f>
        <v/>
      </c>
      <c r="O288" s="81" t="str">
        <f>IF($C288="","",IF($N288&gt;0,COUNTIFS($N$4:$N288,"&gt;0"),""))</f>
        <v/>
      </c>
    </row>
    <row r="289" spans="2:15" x14ac:dyDescent="0.25">
      <c r="B289" s="81" t="str">
        <f t="shared" si="8"/>
        <v/>
      </c>
      <c r="C289" s="82" t="str">
        <f>IF(INT((ROW()-4)/5)+1&gt;Config!$C$14,"",INDEX(BPOworkers!$B$6:$B$105,INT((ROW()-4)/5)+1))</f>
        <v/>
      </c>
      <c r="D289" s="82" t="str">
        <f>IF($C289="","",IFERROR(INDEX(BPOworkers!$E$6:$E$105,MATCH($C289,BPOworkers!$B$6:$B$105,0)),""))</f>
        <v/>
      </c>
      <c r="E289" s="83" t="str">
        <f>IF($C289="","",Config!$C$7+MOD(ROW()-4,5))</f>
        <v/>
      </c>
      <c r="F289" s="82" t="str">
        <f>IF($C289="","",INDEX(Config!$F$7:$F$11,MOD(ROW()-4,5)+1))</f>
        <v/>
      </c>
      <c r="G289" s="81" t="str">
        <f>IF($C289="","",COUNTIFS(RawBtabs!$A$2:$A$1500,$C289,RawBtabs!$C$2:$C$1500,$E289))</f>
        <v/>
      </c>
      <c r="H289" s="84" t="str">
        <f>IF($C289="","",SUMIFS(RawBtabs!$T$2:$T$1500,RawBtabs!$A$2:$A$1500,$C289,RawBtabs!$C$2:$C$1500,$E289))</f>
        <v/>
      </c>
      <c r="I289" s="84" t="str">
        <f>IF($C289="","",SUMIFS(RawBtabs!$U$2:$U$1500,RawBtabs!$A$2:$A$1500,$C289,RawBtabs!$C$2:$C$1500,$E289))</f>
        <v/>
      </c>
      <c r="J289" s="84" t="str">
        <f t="shared" si="9"/>
        <v/>
      </c>
      <c r="K289" s="85" t="str">
        <f>IF($C289="","",$J289/Config!$C$9)</f>
        <v/>
      </c>
      <c r="L289" s="84" t="str">
        <f>IF($C289="","",$J289-Config!$C$9)</f>
        <v/>
      </c>
      <c r="M289" s="82" t="str">
        <f>IF($C289="","",IF($G289=0,"⛔ NO ENTRY IN BTABS",IF(ABS($L289)&lt;=Config!$C$10,"✅ OK ("&amp;TEXT($J289,"0.##")&amp;" h)",IF($L289&lt;0,"🔻 MISSING "&amp;TEXT(-$L289,"0.##")&amp;" h","🔺 OVER BY "&amp;TEXT($L289,"0.##")&amp;" h"))))</f>
        <v/>
      </c>
      <c r="N289" s="81" t="str">
        <f>IF($C289="","",IF($G289=0,3,IF(ABS($L289)&lt;=Config!$C$10,0,IF($L289&lt;0,2,1))))</f>
        <v/>
      </c>
      <c r="O289" s="81" t="str">
        <f>IF($C289="","",IF($N289&gt;0,COUNTIFS($N$4:$N289,"&gt;0"),""))</f>
        <v/>
      </c>
    </row>
    <row r="290" spans="2:15" x14ac:dyDescent="0.25">
      <c r="B290" s="81" t="str">
        <f t="shared" si="8"/>
        <v/>
      </c>
      <c r="C290" s="82" t="str">
        <f>IF(INT((ROW()-4)/5)+1&gt;Config!$C$14,"",INDEX(BPOworkers!$B$6:$B$105,INT((ROW()-4)/5)+1))</f>
        <v/>
      </c>
      <c r="D290" s="82" t="str">
        <f>IF($C290="","",IFERROR(INDEX(BPOworkers!$E$6:$E$105,MATCH($C290,BPOworkers!$B$6:$B$105,0)),""))</f>
        <v/>
      </c>
      <c r="E290" s="83" t="str">
        <f>IF($C290="","",Config!$C$7+MOD(ROW()-4,5))</f>
        <v/>
      </c>
      <c r="F290" s="82" t="str">
        <f>IF($C290="","",INDEX(Config!$F$7:$F$11,MOD(ROW()-4,5)+1))</f>
        <v/>
      </c>
      <c r="G290" s="81" t="str">
        <f>IF($C290="","",COUNTIFS(RawBtabs!$A$2:$A$1500,$C290,RawBtabs!$C$2:$C$1500,$E290))</f>
        <v/>
      </c>
      <c r="H290" s="84" t="str">
        <f>IF($C290="","",SUMIFS(RawBtabs!$T$2:$T$1500,RawBtabs!$A$2:$A$1500,$C290,RawBtabs!$C$2:$C$1500,$E290))</f>
        <v/>
      </c>
      <c r="I290" s="84" t="str">
        <f>IF($C290="","",SUMIFS(RawBtabs!$U$2:$U$1500,RawBtabs!$A$2:$A$1500,$C290,RawBtabs!$C$2:$C$1500,$E290))</f>
        <v/>
      </c>
      <c r="J290" s="84" t="str">
        <f t="shared" si="9"/>
        <v/>
      </c>
      <c r="K290" s="85" t="str">
        <f>IF($C290="","",$J290/Config!$C$9)</f>
        <v/>
      </c>
      <c r="L290" s="84" t="str">
        <f>IF($C290="","",$J290-Config!$C$9)</f>
        <v/>
      </c>
      <c r="M290" s="82" t="str">
        <f>IF($C290="","",IF($G290=0,"⛔ NO ENTRY IN BTABS",IF(ABS($L290)&lt;=Config!$C$10,"✅ OK ("&amp;TEXT($J290,"0.##")&amp;" h)",IF($L290&lt;0,"🔻 MISSING "&amp;TEXT(-$L290,"0.##")&amp;" h","🔺 OVER BY "&amp;TEXT($L290,"0.##")&amp;" h"))))</f>
        <v/>
      </c>
      <c r="N290" s="81" t="str">
        <f>IF($C290="","",IF($G290=0,3,IF(ABS($L290)&lt;=Config!$C$10,0,IF($L290&lt;0,2,1))))</f>
        <v/>
      </c>
      <c r="O290" s="81" t="str">
        <f>IF($C290="","",IF($N290&gt;0,COUNTIFS($N$4:$N290,"&gt;0"),""))</f>
        <v/>
      </c>
    </row>
    <row r="291" spans="2:15" x14ac:dyDescent="0.25">
      <c r="B291" s="81" t="str">
        <f t="shared" si="8"/>
        <v/>
      </c>
      <c r="C291" s="82" t="str">
        <f>IF(INT((ROW()-4)/5)+1&gt;Config!$C$14,"",INDEX(BPOworkers!$B$6:$B$105,INT((ROW()-4)/5)+1))</f>
        <v/>
      </c>
      <c r="D291" s="82" t="str">
        <f>IF($C291="","",IFERROR(INDEX(BPOworkers!$E$6:$E$105,MATCH($C291,BPOworkers!$B$6:$B$105,0)),""))</f>
        <v/>
      </c>
      <c r="E291" s="83" t="str">
        <f>IF($C291="","",Config!$C$7+MOD(ROW()-4,5))</f>
        <v/>
      </c>
      <c r="F291" s="82" t="str">
        <f>IF($C291="","",INDEX(Config!$F$7:$F$11,MOD(ROW()-4,5)+1))</f>
        <v/>
      </c>
      <c r="G291" s="81" t="str">
        <f>IF($C291="","",COUNTIFS(RawBtabs!$A$2:$A$1500,$C291,RawBtabs!$C$2:$C$1500,$E291))</f>
        <v/>
      </c>
      <c r="H291" s="84" t="str">
        <f>IF($C291="","",SUMIFS(RawBtabs!$T$2:$T$1500,RawBtabs!$A$2:$A$1500,$C291,RawBtabs!$C$2:$C$1500,$E291))</f>
        <v/>
      </c>
      <c r="I291" s="84" t="str">
        <f>IF($C291="","",SUMIFS(RawBtabs!$U$2:$U$1500,RawBtabs!$A$2:$A$1500,$C291,RawBtabs!$C$2:$C$1500,$E291))</f>
        <v/>
      </c>
      <c r="J291" s="84" t="str">
        <f t="shared" si="9"/>
        <v/>
      </c>
      <c r="K291" s="85" t="str">
        <f>IF($C291="","",$J291/Config!$C$9)</f>
        <v/>
      </c>
      <c r="L291" s="84" t="str">
        <f>IF($C291="","",$J291-Config!$C$9)</f>
        <v/>
      </c>
      <c r="M291" s="82" t="str">
        <f>IF($C291="","",IF($G291=0,"⛔ NO ENTRY IN BTABS",IF(ABS($L291)&lt;=Config!$C$10,"✅ OK ("&amp;TEXT($J291,"0.##")&amp;" h)",IF($L291&lt;0,"🔻 MISSING "&amp;TEXT(-$L291,"0.##")&amp;" h","🔺 OVER BY "&amp;TEXT($L291,"0.##")&amp;" h"))))</f>
        <v/>
      </c>
      <c r="N291" s="81" t="str">
        <f>IF($C291="","",IF($G291=0,3,IF(ABS($L291)&lt;=Config!$C$10,0,IF($L291&lt;0,2,1))))</f>
        <v/>
      </c>
      <c r="O291" s="81" t="str">
        <f>IF($C291="","",IF($N291&gt;0,COUNTIFS($N$4:$N291,"&gt;0"),""))</f>
        <v/>
      </c>
    </row>
    <row r="292" spans="2:15" x14ac:dyDescent="0.25">
      <c r="B292" s="81" t="str">
        <f t="shared" si="8"/>
        <v/>
      </c>
      <c r="C292" s="82" t="str">
        <f>IF(INT((ROW()-4)/5)+1&gt;Config!$C$14,"",INDEX(BPOworkers!$B$6:$B$105,INT((ROW()-4)/5)+1))</f>
        <v/>
      </c>
      <c r="D292" s="82" t="str">
        <f>IF($C292="","",IFERROR(INDEX(BPOworkers!$E$6:$E$105,MATCH($C292,BPOworkers!$B$6:$B$105,0)),""))</f>
        <v/>
      </c>
      <c r="E292" s="83" t="str">
        <f>IF($C292="","",Config!$C$7+MOD(ROW()-4,5))</f>
        <v/>
      </c>
      <c r="F292" s="82" t="str">
        <f>IF($C292="","",INDEX(Config!$F$7:$F$11,MOD(ROW()-4,5)+1))</f>
        <v/>
      </c>
      <c r="G292" s="81" t="str">
        <f>IF($C292="","",COUNTIFS(RawBtabs!$A$2:$A$1500,$C292,RawBtabs!$C$2:$C$1500,$E292))</f>
        <v/>
      </c>
      <c r="H292" s="84" t="str">
        <f>IF($C292="","",SUMIFS(RawBtabs!$T$2:$T$1500,RawBtabs!$A$2:$A$1500,$C292,RawBtabs!$C$2:$C$1500,$E292))</f>
        <v/>
      </c>
      <c r="I292" s="84" t="str">
        <f>IF($C292="","",SUMIFS(RawBtabs!$U$2:$U$1500,RawBtabs!$A$2:$A$1500,$C292,RawBtabs!$C$2:$C$1500,$E292))</f>
        <v/>
      </c>
      <c r="J292" s="84" t="str">
        <f t="shared" si="9"/>
        <v/>
      </c>
      <c r="K292" s="85" t="str">
        <f>IF($C292="","",$J292/Config!$C$9)</f>
        <v/>
      </c>
      <c r="L292" s="84" t="str">
        <f>IF($C292="","",$J292-Config!$C$9)</f>
        <v/>
      </c>
      <c r="M292" s="82" t="str">
        <f>IF($C292="","",IF($G292=0,"⛔ NO ENTRY IN BTABS",IF(ABS($L292)&lt;=Config!$C$10,"✅ OK ("&amp;TEXT($J292,"0.##")&amp;" h)",IF($L292&lt;0,"🔻 MISSING "&amp;TEXT(-$L292,"0.##")&amp;" h","🔺 OVER BY "&amp;TEXT($L292,"0.##")&amp;" h"))))</f>
        <v/>
      </c>
      <c r="N292" s="81" t="str">
        <f>IF($C292="","",IF($G292=0,3,IF(ABS($L292)&lt;=Config!$C$10,0,IF($L292&lt;0,2,1))))</f>
        <v/>
      </c>
      <c r="O292" s="81" t="str">
        <f>IF($C292="","",IF($N292&gt;0,COUNTIFS($N$4:$N292,"&gt;0"),""))</f>
        <v/>
      </c>
    </row>
    <row r="293" spans="2:15" x14ac:dyDescent="0.25">
      <c r="B293" s="81" t="str">
        <f t="shared" si="8"/>
        <v/>
      </c>
      <c r="C293" s="82" t="str">
        <f>IF(INT((ROW()-4)/5)+1&gt;Config!$C$14,"",INDEX(BPOworkers!$B$6:$B$105,INT((ROW()-4)/5)+1))</f>
        <v/>
      </c>
      <c r="D293" s="82" t="str">
        <f>IF($C293="","",IFERROR(INDEX(BPOworkers!$E$6:$E$105,MATCH($C293,BPOworkers!$B$6:$B$105,0)),""))</f>
        <v/>
      </c>
      <c r="E293" s="83" t="str">
        <f>IF($C293="","",Config!$C$7+MOD(ROW()-4,5))</f>
        <v/>
      </c>
      <c r="F293" s="82" t="str">
        <f>IF($C293="","",INDEX(Config!$F$7:$F$11,MOD(ROW()-4,5)+1))</f>
        <v/>
      </c>
      <c r="G293" s="81" t="str">
        <f>IF($C293="","",COUNTIFS(RawBtabs!$A$2:$A$1500,$C293,RawBtabs!$C$2:$C$1500,$E293))</f>
        <v/>
      </c>
      <c r="H293" s="84" t="str">
        <f>IF($C293="","",SUMIFS(RawBtabs!$T$2:$T$1500,RawBtabs!$A$2:$A$1500,$C293,RawBtabs!$C$2:$C$1500,$E293))</f>
        <v/>
      </c>
      <c r="I293" s="84" t="str">
        <f>IF($C293="","",SUMIFS(RawBtabs!$U$2:$U$1500,RawBtabs!$A$2:$A$1500,$C293,RawBtabs!$C$2:$C$1500,$E293))</f>
        <v/>
      </c>
      <c r="J293" s="84" t="str">
        <f t="shared" si="9"/>
        <v/>
      </c>
      <c r="K293" s="85" t="str">
        <f>IF($C293="","",$J293/Config!$C$9)</f>
        <v/>
      </c>
      <c r="L293" s="84" t="str">
        <f>IF($C293="","",$J293-Config!$C$9)</f>
        <v/>
      </c>
      <c r="M293" s="82" t="str">
        <f>IF($C293="","",IF($G293=0,"⛔ NO ENTRY IN BTABS",IF(ABS($L293)&lt;=Config!$C$10,"✅ OK ("&amp;TEXT($J293,"0.##")&amp;" h)",IF($L293&lt;0,"🔻 MISSING "&amp;TEXT(-$L293,"0.##")&amp;" h","🔺 OVER BY "&amp;TEXT($L293,"0.##")&amp;" h"))))</f>
        <v/>
      </c>
      <c r="N293" s="81" t="str">
        <f>IF($C293="","",IF($G293=0,3,IF(ABS($L293)&lt;=Config!$C$10,0,IF($L293&lt;0,2,1))))</f>
        <v/>
      </c>
      <c r="O293" s="81" t="str">
        <f>IF($C293="","",IF($N293&gt;0,COUNTIFS($N$4:$N293,"&gt;0"),""))</f>
        <v/>
      </c>
    </row>
    <row r="294" spans="2:15" x14ac:dyDescent="0.25">
      <c r="B294" s="81" t="str">
        <f t="shared" si="8"/>
        <v/>
      </c>
      <c r="C294" s="82" t="str">
        <f>IF(INT((ROW()-4)/5)+1&gt;Config!$C$14,"",INDEX(BPOworkers!$B$6:$B$105,INT((ROW()-4)/5)+1))</f>
        <v/>
      </c>
      <c r="D294" s="82" t="str">
        <f>IF($C294="","",IFERROR(INDEX(BPOworkers!$E$6:$E$105,MATCH($C294,BPOworkers!$B$6:$B$105,0)),""))</f>
        <v/>
      </c>
      <c r="E294" s="83" t="str">
        <f>IF($C294="","",Config!$C$7+MOD(ROW()-4,5))</f>
        <v/>
      </c>
      <c r="F294" s="82" t="str">
        <f>IF($C294="","",INDEX(Config!$F$7:$F$11,MOD(ROW()-4,5)+1))</f>
        <v/>
      </c>
      <c r="G294" s="81" t="str">
        <f>IF($C294="","",COUNTIFS(RawBtabs!$A$2:$A$1500,$C294,RawBtabs!$C$2:$C$1500,$E294))</f>
        <v/>
      </c>
      <c r="H294" s="84" t="str">
        <f>IF($C294="","",SUMIFS(RawBtabs!$T$2:$T$1500,RawBtabs!$A$2:$A$1500,$C294,RawBtabs!$C$2:$C$1500,$E294))</f>
        <v/>
      </c>
      <c r="I294" s="84" t="str">
        <f>IF($C294="","",SUMIFS(RawBtabs!$U$2:$U$1500,RawBtabs!$A$2:$A$1500,$C294,RawBtabs!$C$2:$C$1500,$E294))</f>
        <v/>
      </c>
      <c r="J294" s="84" t="str">
        <f t="shared" si="9"/>
        <v/>
      </c>
      <c r="K294" s="85" t="str">
        <f>IF($C294="","",$J294/Config!$C$9)</f>
        <v/>
      </c>
      <c r="L294" s="84" t="str">
        <f>IF($C294="","",$J294-Config!$C$9)</f>
        <v/>
      </c>
      <c r="M294" s="82" t="str">
        <f>IF($C294="","",IF($G294=0,"⛔ NO ENTRY IN BTABS",IF(ABS($L294)&lt;=Config!$C$10,"✅ OK ("&amp;TEXT($J294,"0.##")&amp;" h)",IF($L294&lt;0,"🔻 MISSING "&amp;TEXT(-$L294,"0.##")&amp;" h","🔺 OVER BY "&amp;TEXT($L294,"0.##")&amp;" h"))))</f>
        <v/>
      </c>
      <c r="N294" s="81" t="str">
        <f>IF($C294="","",IF($G294=0,3,IF(ABS($L294)&lt;=Config!$C$10,0,IF($L294&lt;0,2,1))))</f>
        <v/>
      </c>
      <c r="O294" s="81" t="str">
        <f>IF($C294="","",IF($N294&gt;0,COUNTIFS($N$4:$N294,"&gt;0"),""))</f>
        <v/>
      </c>
    </row>
    <row r="295" spans="2:15" x14ac:dyDescent="0.25">
      <c r="B295" s="81" t="str">
        <f t="shared" si="8"/>
        <v/>
      </c>
      <c r="C295" s="82" t="str">
        <f>IF(INT((ROW()-4)/5)+1&gt;Config!$C$14,"",INDEX(BPOworkers!$B$6:$B$105,INT((ROW()-4)/5)+1))</f>
        <v/>
      </c>
      <c r="D295" s="82" t="str">
        <f>IF($C295="","",IFERROR(INDEX(BPOworkers!$E$6:$E$105,MATCH($C295,BPOworkers!$B$6:$B$105,0)),""))</f>
        <v/>
      </c>
      <c r="E295" s="83" t="str">
        <f>IF($C295="","",Config!$C$7+MOD(ROW()-4,5))</f>
        <v/>
      </c>
      <c r="F295" s="82" t="str">
        <f>IF($C295="","",INDEX(Config!$F$7:$F$11,MOD(ROW()-4,5)+1))</f>
        <v/>
      </c>
      <c r="G295" s="81" t="str">
        <f>IF($C295="","",COUNTIFS(RawBtabs!$A$2:$A$1500,$C295,RawBtabs!$C$2:$C$1500,$E295))</f>
        <v/>
      </c>
      <c r="H295" s="84" t="str">
        <f>IF($C295="","",SUMIFS(RawBtabs!$T$2:$T$1500,RawBtabs!$A$2:$A$1500,$C295,RawBtabs!$C$2:$C$1500,$E295))</f>
        <v/>
      </c>
      <c r="I295" s="84" t="str">
        <f>IF($C295="","",SUMIFS(RawBtabs!$U$2:$U$1500,RawBtabs!$A$2:$A$1500,$C295,RawBtabs!$C$2:$C$1500,$E295))</f>
        <v/>
      </c>
      <c r="J295" s="84" t="str">
        <f t="shared" si="9"/>
        <v/>
      </c>
      <c r="K295" s="85" t="str">
        <f>IF($C295="","",$J295/Config!$C$9)</f>
        <v/>
      </c>
      <c r="L295" s="84" t="str">
        <f>IF($C295="","",$J295-Config!$C$9)</f>
        <v/>
      </c>
      <c r="M295" s="82" t="str">
        <f>IF($C295="","",IF($G295=0,"⛔ NO ENTRY IN BTABS",IF(ABS($L295)&lt;=Config!$C$10,"✅ OK ("&amp;TEXT($J295,"0.##")&amp;" h)",IF($L295&lt;0,"🔻 MISSING "&amp;TEXT(-$L295,"0.##")&amp;" h","🔺 OVER BY "&amp;TEXT($L295,"0.##")&amp;" h"))))</f>
        <v/>
      </c>
      <c r="N295" s="81" t="str">
        <f>IF($C295="","",IF($G295=0,3,IF(ABS($L295)&lt;=Config!$C$10,0,IF($L295&lt;0,2,1))))</f>
        <v/>
      </c>
      <c r="O295" s="81" t="str">
        <f>IF($C295="","",IF($N295&gt;0,COUNTIFS($N$4:$N295,"&gt;0"),""))</f>
        <v/>
      </c>
    </row>
    <row r="296" spans="2:15" x14ac:dyDescent="0.25">
      <c r="B296" s="81" t="str">
        <f t="shared" si="8"/>
        <v/>
      </c>
      <c r="C296" s="82" t="str">
        <f>IF(INT((ROW()-4)/5)+1&gt;Config!$C$14,"",INDEX(BPOworkers!$B$6:$B$105,INT((ROW()-4)/5)+1))</f>
        <v/>
      </c>
      <c r="D296" s="82" t="str">
        <f>IF($C296="","",IFERROR(INDEX(BPOworkers!$E$6:$E$105,MATCH($C296,BPOworkers!$B$6:$B$105,0)),""))</f>
        <v/>
      </c>
      <c r="E296" s="83" t="str">
        <f>IF($C296="","",Config!$C$7+MOD(ROW()-4,5))</f>
        <v/>
      </c>
      <c r="F296" s="82" t="str">
        <f>IF($C296="","",INDEX(Config!$F$7:$F$11,MOD(ROW()-4,5)+1))</f>
        <v/>
      </c>
      <c r="G296" s="81" t="str">
        <f>IF($C296="","",COUNTIFS(RawBtabs!$A$2:$A$1500,$C296,RawBtabs!$C$2:$C$1500,$E296))</f>
        <v/>
      </c>
      <c r="H296" s="84" t="str">
        <f>IF($C296="","",SUMIFS(RawBtabs!$T$2:$T$1500,RawBtabs!$A$2:$A$1500,$C296,RawBtabs!$C$2:$C$1500,$E296))</f>
        <v/>
      </c>
      <c r="I296" s="84" t="str">
        <f>IF($C296="","",SUMIFS(RawBtabs!$U$2:$U$1500,RawBtabs!$A$2:$A$1500,$C296,RawBtabs!$C$2:$C$1500,$E296))</f>
        <v/>
      </c>
      <c r="J296" s="84" t="str">
        <f t="shared" si="9"/>
        <v/>
      </c>
      <c r="K296" s="85" t="str">
        <f>IF($C296="","",$J296/Config!$C$9)</f>
        <v/>
      </c>
      <c r="L296" s="84" t="str">
        <f>IF($C296="","",$J296-Config!$C$9)</f>
        <v/>
      </c>
      <c r="M296" s="82" t="str">
        <f>IF($C296="","",IF($G296=0,"⛔ NO ENTRY IN BTABS",IF(ABS($L296)&lt;=Config!$C$10,"✅ OK ("&amp;TEXT($J296,"0.##")&amp;" h)",IF($L296&lt;0,"🔻 MISSING "&amp;TEXT(-$L296,"0.##")&amp;" h","🔺 OVER BY "&amp;TEXT($L296,"0.##")&amp;" h"))))</f>
        <v/>
      </c>
      <c r="N296" s="81" t="str">
        <f>IF($C296="","",IF($G296=0,3,IF(ABS($L296)&lt;=Config!$C$10,0,IF($L296&lt;0,2,1))))</f>
        <v/>
      </c>
      <c r="O296" s="81" t="str">
        <f>IF($C296="","",IF($N296&gt;0,COUNTIFS($N$4:$N296,"&gt;0"),""))</f>
        <v/>
      </c>
    </row>
    <row r="297" spans="2:15" x14ac:dyDescent="0.25">
      <c r="B297" s="81" t="str">
        <f t="shared" si="8"/>
        <v/>
      </c>
      <c r="C297" s="82" t="str">
        <f>IF(INT((ROW()-4)/5)+1&gt;Config!$C$14,"",INDEX(BPOworkers!$B$6:$B$105,INT((ROW()-4)/5)+1))</f>
        <v/>
      </c>
      <c r="D297" s="82" t="str">
        <f>IF($C297="","",IFERROR(INDEX(BPOworkers!$E$6:$E$105,MATCH($C297,BPOworkers!$B$6:$B$105,0)),""))</f>
        <v/>
      </c>
      <c r="E297" s="83" t="str">
        <f>IF($C297="","",Config!$C$7+MOD(ROW()-4,5))</f>
        <v/>
      </c>
      <c r="F297" s="82" t="str">
        <f>IF($C297="","",INDEX(Config!$F$7:$F$11,MOD(ROW()-4,5)+1))</f>
        <v/>
      </c>
      <c r="G297" s="81" t="str">
        <f>IF($C297="","",COUNTIFS(RawBtabs!$A$2:$A$1500,$C297,RawBtabs!$C$2:$C$1500,$E297))</f>
        <v/>
      </c>
      <c r="H297" s="84" t="str">
        <f>IF($C297="","",SUMIFS(RawBtabs!$T$2:$T$1500,RawBtabs!$A$2:$A$1500,$C297,RawBtabs!$C$2:$C$1500,$E297))</f>
        <v/>
      </c>
      <c r="I297" s="84" t="str">
        <f>IF($C297="","",SUMIFS(RawBtabs!$U$2:$U$1500,RawBtabs!$A$2:$A$1500,$C297,RawBtabs!$C$2:$C$1500,$E297))</f>
        <v/>
      </c>
      <c r="J297" s="84" t="str">
        <f t="shared" si="9"/>
        <v/>
      </c>
      <c r="K297" s="85" t="str">
        <f>IF($C297="","",$J297/Config!$C$9)</f>
        <v/>
      </c>
      <c r="L297" s="84" t="str">
        <f>IF($C297="","",$J297-Config!$C$9)</f>
        <v/>
      </c>
      <c r="M297" s="82" t="str">
        <f>IF($C297="","",IF($G297=0,"⛔ NO ENTRY IN BTABS",IF(ABS($L297)&lt;=Config!$C$10,"✅ OK ("&amp;TEXT($J297,"0.##")&amp;" h)",IF($L297&lt;0,"🔻 MISSING "&amp;TEXT(-$L297,"0.##")&amp;" h","🔺 OVER BY "&amp;TEXT($L297,"0.##")&amp;" h"))))</f>
        <v/>
      </c>
      <c r="N297" s="81" t="str">
        <f>IF($C297="","",IF($G297=0,3,IF(ABS($L297)&lt;=Config!$C$10,0,IF($L297&lt;0,2,1))))</f>
        <v/>
      </c>
      <c r="O297" s="81" t="str">
        <f>IF($C297="","",IF($N297&gt;0,COUNTIFS($N$4:$N297,"&gt;0"),""))</f>
        <v/>
      </c>
    </row>
    <row r="298" spans="2:15" x14ac:dyDescent="0.25">
      <c r="B298" s="81" t="str">
        <f t="shared" si="8"/>
        <v/>
      </c>
      <c r="C298" s="82" t="str">
        <f>IF(INT((ROW()-4)/5)+1&gt;Config!$C$14,"",INDEX(BPOworkers!$B$6:$B$105,INT((ROW()-4)/5)+1))</f>
        <v/>
      </c>
      <c r="D298" s="82" t="str">
        <f>IF($C298="","",IFERROR(INDEX(BPOworkers!$E$6:$E$105,MATCH($C298,BPOworkers!$B$6:$B$105,0)),""))</f>
        <v/>
      </c>
      <c r="E298" s="83" t="str">
        <f>IF($C298="","",Config!$C$7+MOD(ROW()-4,5))</f>
        <v/>
      </c>
      <c r="F298" s="82" t="str">
        <f>IF($C298="","",INDEX(Config!$F$7:$F$11,MOD(ROW()-4,5)+1))</f>
        <v/>
      </c>
      <c r="G298" s="81" t="str">
        <f>IF($C298="","",COUNTIFS(RawBtabs!$A$2:$A$1500,$C298,RawBtabs!$C$2:$C$1500,$E298))</f>
        <v/>
      </c>
      <c r="H298" s="84" t="str">
        <f>IF($C298="","",SUMIFS(RawBtabs!$T$2:$T$1500,RawBtabs!$A$2:$A$1500,$C298,RawBtabs!$C$2:$C$1500,$E298))</f>
        <v/>
      </c>
      <c r="I298" s="84" t="str">
        <f>IF($C298="","",SUMIFS(RawBtabs!$U$2:$U$1500,RawBtabs!$A$2:$A$1500,$C298,RawBtabs!$C$2:$C$1500,$E298))</f>
        <v/>
      </c>
      <c r="J298" s="84" t="str">
        <f t="shared" si="9"/>
        <v/>
      </c>
      <c r="K298" s="85" t="str">
        <f>IF($C298="","",$J298/Config!$C$9)</f>
        <v/>
      </c>
      <c r="L298" s="84" t="str">
        <f>IF($C298="","",$J298-Config!$C$9)</f>
        <v/>
      </c>
      <c r="M298" s="82" t="str">
        <f>IF($C298="","",IF($G298=0,"⛔ NO ENTRY IN BTABS",IF(ABS($L298)&lt;=Config!$C$10,"✅ OK ("&amp;TEXT($J298,"0.##")&amp;" h)",IF($L298&lt;0,"🔻 MISSING "&amp;TEXT(-$L298,"0.##")&amp;" h","🔺 OVER BY "&amp;TEXT($L298,"0.##")&amp;" h"))))</f>
        <v/>
      </c>
      <c r="N298" s="81" t="str">
        <f>IF($C298="","",IF($G298=0,3,IF(ABS($L298)&lt;=Config!$C$10,0,IF($L298&lt;0,2,1))))</f>
        <v/>
      </c>
      <c r="O298" s="81" t="str">
        <f>IF($C298="","",IF($N298&gt;0,COUNTIFS($N$4:$N298,"&gt;0"),""))</f>
        <v/>
      </c>
    </row>
    <row r="299" spans="2:15" x14ac:dyDescent="0.25">
      <c r="B299" s="81" t="str">
        <f t="shared" si="8"/>
        <v/>
      </c>
      <c r="C299" s="82" t="str">
        <f>IF(INT((ROW()-4)/5)+1&gt;Config!$C$14,"",INDEX(BPOworkers!$B$6:$B$105,INT((ROW()-4)/5)+1))</f>
        <v/>
      </c>
      <c r="D299" s="82" t="str">
        <f>IF($C299="","",IFERROR(INDEX(BPOworkers!$E$6:$E$105,MATCH($C299,BPOworkers!$B$6:$B$105,0)),""))</f>
        <v/>
      </c>
      <c r="E299" s="83" t="str">
        <f>IF($C299="","",Config!$C$7+MOD(ROW()-4,5))</f>
        <v/>
      </c>
      <c r="F299" s="82" t="str">
        <f>IF($C299="","",INDEX(Config!$F$7:$F$11,MOD(ROW()-4,5)+1))</f>
        <v/>
      </c>
      <c r="G299" s="81" t="str">
        <f>IF($C299="","",COUNTIFS(RawBtabs!$A$2:$A$1500,$C299,RawBtabs!$C$2:$C$1500,$E299))</f>
        <v/>
      </c>
      <c r="H299" s="84" t="str">
        <f>IF($C299="","",SUMIFS(RawBtabs!$T$2:$T$1500,RawBtabs!$A$2:$A$1500,$C299,RawBtabs!$C$2:$C$1500,$E299))</f>
        <v/>
      </c>
      <c r="I299" s="84" t="str">
        <f>IF($C299="","",SUMIFS(RawBtabs!$U$2:$U$1500,RawBtabs!$A$2:$A$1500,$C299,RawBtabs!$C$2:$C$1500,$E299))</f>
        <v/>
      </c>
      <c r="J299" s="84" t="str">
        <f t="shared" si="9"/>
        <v/>
      </c>
      <c r="K299" s="85" t="str">
        <f>IF($C299="","",$J299/Config!$C$9)</f>
        <v/>
      </c>
      <c r="L299" s="84" t="str">
        <f>IF($C299="","",$J299-Config!$C$9)</f>
        <v/>
      </c>
      <c r="M299" s="82" t="str">
        <f>IF($C299="","",IF($G299=0,"⛔ NO ENTRY IN BTABS",IF(ABS($L299)&lt;=Config!$C$10,"✅ OK ("&amp;TEXT($J299,"0.##")&amp;" h)",IF($L299&lt;0,"🔻 MISSING "&amp;TEXT(-$L299,"0.##")&amp;" h","🔺 OVER BY "&amp;TEXT($L299,"0.##")&amp;" h"))))</f>
        <v/>
      </c>
      <c r="N299" s="81" t="str">
        <f>IF($C299="","",IF($G299=0,3,IF(ABS($L299)&lt;=Config!$C$10,0,IF($L299&lt;0,2,1))))</f>
        <v/>
      </c>
      <c r="O299" s="81" t="str">
        <f>IF($C299="","",IF($N299&gt;0,COUNTIFS($N$4:$N299,"&gt;0"),""))</f>
        <v/>
      </c>
    </row>
    <row r="300" spans="2:15" x14ac:dyDescent="0.25">
      <c r="B300" s="81" t="str">
        <f t="shared" si="8"/>
        <v/>
      </c>
      <c r="C300" s="82" t="str">
        <f>IF(INT((ROW()-4)/5)+1&gt;Config!$C$14,"",INDEX(BPOworkers!$B$6:$B$105,INT((ROW()-4)/5)+1))</f>
        <v/>
      </c>
      <c r="D300" s="82" t="str">
        <f>IF($C300="","",IFERROR(INDEX(BPOworkers!$E$6:$E$105,MATCH($C300,BPOworkers!$B$6:$B$105,0)),""))</f>
        <v/>
      </c>
      <c r="E300" s="83" t="str">
        <f>IF($C300="","",Config!$C$7+MOD(ROW()-4,5))</f>
        <v/>
      </c>
      <c r="F300" s="82" t="str">
        <f>IF($C300="","",INDEX(Config!$F$7:$F$11,MOD(ROW()-4,5)+1))</f>
        <v/>
      </c>
      <c r="G300" s="81" t="str">
        <f>IF($C300="","",COUNTIFS(RawBtabs!$A$2:$A$1500,$C300,RawBtabs!$C$2:$C$1500,$E300))</f>
        <v/>
      </c>
      <c r="H300" s="84" t="str">
        <f>IF($C300="","",SUMIFS(RawBtabs!$T$2:$T$1500,RawBtabs!$A$2:$A$1500,$C300,RawBtabs!$C$2:$C$1500,$E300))</f>
        <v/>
      </c>
      <c r="I300" s="84" t="str">
        <f>IF($C300="","",SUMIFS(RawBtabs!$U$2:$U$1500,RawBtabs!$A$2:$A$1500,$C300,RawBtabs!$C$2:$C$1500,$E300))</f>
        <v/>
      </c>
      <c r="J300" s="84" t="str">
        <f t="shared" si="9"/>
        <v/>
      </c>
      <c r="K300" s="85" t="str">
        <f>IF($C300="","",$J300/Config!$C$9)</f>
        <v/>
      </c>
      <c r="L300" s="84" t="str">
        <f>IF($C300="","",$J300-Config!$C$9)</f>
        <v/>
      </c>
      <c r="M300" s="82" t="str">
        <f>IF($C300="","",IF($G300=0,"⛔ NO ENTRY IN BTABS",IF(ABS($L300)&lt;=Config!$C$10,"✅ OK ("&amp;TEXT($J300,"0.##")&amp;" h)",IF($L300&lt;0,"🔻 MISSING "&amp;TEXT(-$L300,"0.##")&amp;" h","🔺 OVER BY "&amp;TEXT($L300,"0.##")&amp;" h"))))</f>
        <v/>
      </c>
      <c r="N300" s="81" t="str">
        <f>IF($C300="","",IF($G300=0,3,IF(ABS($L300)&lt;=Config!$C$10,0,IF($L300&lt;0,2,1))))</f>
        <v/>
      </c>
      <c r="O300" s="81" t="str">
        <f>IF($C300="","",IF($N300&gt;0,COUNTIFS($N$4:$N300,"&gt;0"),""))</f>
        <v/>
      </c>
    </row>
    <row r="301" spans="2:15" x14ac:dyDescent="0.25">
      <c r="B301" s="81" t="str">
        <f t="shared" si="8"/>
        <v/>
      </c>
      <c r="C301" s="82" t="str">
        <f>IF(INT((ROW()-4)/5)+1&gt;Config!$C$14,"",INDEX(BPOworkers!$B$6:$B$105,INT((ROW()-4)/5)+1))</f>
        <v/>
      </c>
      <c r="D301" s="82" t="str">
        <f>IF($C301="","",IFERROR(INDEX(BPOworkers!$E$6:$E$105,MATCH($C301,BPOworkers!$B$6:$B$105,0)),""))</f>
        <v/>
      </c>
      <c r="E301" s="83" t="str">
        <f>IF($C301="","",Config!$C$7+MOD(ROW()-4,5))</f>
        <v/>
      </c>
      <c r="F301" s="82" t="str">
        <f>IF($C301="","",INDEX(Config!$F$7:$F$11,MOD(ROW()-4,5)+1))</f>
        <v/>
      </c>
      <c r="G301" s="81" t="str">
        <f>IF($C301="","",COUNTIFS(RawBtabs!$A$2:$A$1500,$C301,RawBtabs!$C$2:$C$1500,$E301))</f>
        <v/>
      </c>
      <c r="H301" s="84" t="str">
        <f>IF($C301="","",SUMIFS(RawBtabs!$T$2:$T$1500,RawBtabs!$A$2:$A$1500,$C301,RawBtabs!$C$2:$C$1500,$E301))</f>
        <v/>
      </c>
      <c r="I301" s="84" t="str">
        <f>IF($C301="","",SUMIFS(RawBtabs!$U$2:$U$1500,RawBtabs!$A$2:$A$1500,$C301,RawBtabs!$C$2:$C$1500,$E301))</f>
        <v/>
      </c>
      <c r="J301" s="84" t="str">
        <f t="shared" si="9"/>
        <v/>
      </c>
      <c r="K301" s="85" t="str">
        <f>IF($C301="","",$J301/Config!$C$9)</f>
        <v/>
      </c>
      <c r="L301" s="84" t="str">
        <f>IF($C301="","",$J301-Config!$C$9)</f>
        <v/>
      </c>
      <c r="M301" s="82" t="str">
        <f>IF($C301="","",IF($G301=0,"⛔ NO ENTRY IN BTABS",IF(ABS($L301)&lt;=Config!$C$10,"✅ OK ("&amp;TEXT($J301,"0.##")&amp;" h)",IF($L301&lt;0,"🔻 MISSING "&amp;TEXT(-$L301,"0.##")&amp;" h","🔺 OVER BY "&amp;TEXT($L301,"0.##")&amp;" h"))))</f>
        <v/>
      </c>
      <c r="N301" s="81" t="str">
        <f>IF($C301="","",IF($G301=0,3,IF(ABS($L301)&lt;=Config!$C$10,0,IF($L301&lt;0,2,1))))</f>
        <v/>
      </c>
      <c r="O301" s="81" t="str">
        <f>IF($C301="","",IF($N301&gt;0,COUNTIFS($N$4:$N301,"&gt;0"),""))</f>
        <v/>
      </c>
    </row>
    <row r="302" spans="2:15" x14ac:dyDescent="0.25">
      <c r="B302" s="81" t="str">
        <f t="shared" si="8"/>
        <v/>
      </c>
      <c r="C302" s="82" t="str">
        <f>IF(INT((ROW()-4)/5)+1&gt;Config!$C$14,"",INDEX(BPOworkers!$B$6:$B$105,INT((ROW()-4)/5)+1))</f>
        <v/>
      </c>
      <c r="D302" s="82" t="str">
        <f>IF($C302="","",IFERROR(INDEX(BPOworkers!$E$6:$E$105,MATCH($C302,BPOworkers!$B$6:$B$105,0)),""))</f>
        <v/>
      </c>
      <c r="E302" s="83" t="str">
        <f>IF($C302="","",Config!$C$7+MOD(ROW()-4,5))</f>
        <v/>
      </c>
      <c r="F302" s="82" t="str">
        <f>IF($C302="","",INDEX(Config!$F$7:$F$11,MOD(ROW()-4,5)+1))</f>
        <v/>
      </c>
      <c r="G302" s="81" t="str">
        <f>IF($C302="","",COUNTIFS(RawBtabs!$A$2:$A$1500,$C302,RawBtabs!$C$2:$C$1500,$E302))</f>
        <v/>
      </c>
      <c r="H302" s="84" t="str">
        <f>IF($C302="","",SUMIFS(RawBtabs!$T$2:$T$1500,RawBtabs!$A$2:$A$1500,$C302,RawBtabs!$C$2:$C$1500,$E302))</f>
        <v/>
      </c>
      <c r="I302" s="84" t="str">
        <f>IF($C302="","",SUMIFS(RawBtabs!$U$2:$U$1500,RawBtabs!$A$2:$A$1500,$C302,RawBtabs!$C$2:$C$1500,$E302))</f>
        <v/>
      </c>
      <c r="J302" s="84" t="str">
        <f t="shared" si="9"/>
        <v/>
      </c>
      <c r="K302" s="85" t="str">
        <f>IF($C302="","",$J302/Config!$C$9)</f>
        <v/>
      </c>
      <c r="L302" s="84" t="str">
        <f>IF($C302="","",$J302-Config!$C$9)</f>
        <v/>
      </c>
      <c r="M302" s="82" t="str">
        <f>IF($C302="","",IF($G302=0,"⛔ NO ENTRY IN BTABS",IF(ABS($L302)&lt;=Config!$C$10,"✅ OK ("&amp;TEXT($J302,"0.##")&amp;" h)",IF($L302&lt;0,"🔻 MISSING "&amp;TEXT(-$L302,"0.##")&amp;" h","🔺 OVER BY "&amp;TEXT($L302,"0.##")&amp;" h"))))</f>
        <v/>
      </c>
      <c r="N302" s="81" t="str">
        <f>IF($C302="","",IF($G302=0,3,IF(ABS($L302)&lt;=Config!$C$10,0,IF($L302&lt;0,2,1))))</f>
        <v/>
      </c>
      <c r="O302" s="81" t="str">
        <f>IF($C302="","",IF($N302&gt;0,COUNTIFS($N$4:$N302,"&gt;0"),""))</f>
        <v/>
      </c>
    </row>
    <row r="303" spans="2:15" x14ac:dyDescent="0.25">
      <c r="B303" s="81" t="str">
        <f t="shared" si="8"/>
        <v/>
      </c>
      <c r="C303" s="82" t="str">
        <f>IF(INT((ROW()-4)/5)+1&gt;Config!$C$14,"",INDEX(BPOworkers!$B$6:$B$105,INT((ROW()-4)/5)+1))</f>
        <v/>
      </c>
      <c r="D303" s="82" t="str">
        <f>IF($C303="","",IFERROR(INDEX(BPOworkers!$E$6:$E$105,MATCH($C303,BPOworkers!$B$6:$B$105,0)),""))</f>
        <v/>
      </c>
      <c r="E303" s="83" t="str">
        <f>IF($C303="","",Config!$C$7+MOD(ROW()-4,5))</f>
        <v/>
      </c>
      <c r="F303" s="82" t="str">
        <f>IF($C303="","",INDEX(Config!$F$7:$F$11,MOD(ROW()-4,5)+1))</f>
        <v/>
      </c>
      <c r="G303" s="81" t="str">
        <f>IF($C303="","",COUNTIFS(RawBtabs!$A$2:$A$1500,$C303,RawBtabs!$C$2:$C$1500,$E303))</f>
        <v/>
      </c>
      <c r="H303" s="84" t="str">
        <f>IF($C303="","",SUMIFS(RawBtabs!$T$2:$T$1500,RawBtabs!$A$2:$A$1500,$C303,RawBtabs!$C$2:$C$1500,$E303))</f>
        <v/>
      </c>
      <c r="I303" s="84" t="str">
        <f>IF($C303="","",SUMIFS(RawBtabs!$U$2:$U$1500,RawBtabs!$A$2:$A$1500,$C303,RawBtabs!$C$2:$C$1500,$E303))</f>
        <v/>
      </c>
      <c r="J303" s="84" t="str">
        <f t="shared" si="9"/>
        <v/>
      </c>
      <c r="K303" s="85" t="str">
        <f>IF($C303="","",$J303/Config!$C$9)</f>
        <v/>
      </c>
      <c r="L303" s="84" t="str">
        <f>IF($C303="","",$J303-Config!$C$9)</f>
        <v/>
      </c>
      <c r="M303" s="82" t="str">
        <f>IF($C303="","",IF($G303=0,"⛔ NO ENTRY IN BTABS",IF(ABS($L303)&lt;=Config!$C$10,"✅ OK ("&amp;TEXT($J303,"0.##")&amp;" h)",IF($L303&lt;0,"🔻 MISSING "&amp;TEXT(-$L303,"0.##")&amp;" h","🔺 OVER BY "&amp;TEXT($L303,"0.##")&amp;" h"))))</f>
        <v/>
      </c>
      <c r="N303" s="81" t="str">
        <f>IF($C303="","",IF($G303=0,3,IF(ABS($L303)&lt;=Config!$C$10,0,IF($L303&lt;0,2,1))))</f>
        <v/>
      </c>
      <c r="O303" s="81" t="str">
        <f>IF($C303="","",IF($N303&gt;0,COUNTIFS($N$4:$N303,"&gt;0"),""))</f>
        <v/>
      </c>
    </row>
  </sheetData>
  <mergeCells count="2">
    <mergeCell ref="B2:O2"/>
    <mergeCell ref="B3:O3"/>
  </mergeCells>
  <pageMargins left="0.3" right="0.3" top="0.4" bottom="0.4" header="0.511811023622047" footer="0.511811023622047"/>
  <pageSetup paperSize="9" fitToHeight="0" orientation="landscape"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BFBF"/>
    <pageSetUpPr fitToPage="1"/>
  </sheetPr>
  <dimension ref="B2:G28"/>
  <sheetViews>
    <sheetView showGridLines="0" zoomScaleNormal="100" workbookViewId="0">
      <selection activeCell="C8" sqref="C8"/>
    </sheetView>
  </sheetViews>
  <sheetFormatPr defaultColWidth="8.7109375" defaultRowHeight="15" x14ac:dyDescent="0.25"/>
  <cols>
    <col min="1" max="1" width="2" customWidth="1"/>
    <col min="2" max="2" width="44" customWidth="1"/>
    <col min="3" max="3" width="18" customWidth="1"/>
    <col min="4" max="5" width="3" customWidth="1"/>
    <col min="6" max="6" width="14" customWidth="1"/>
    <col min="7" max="7" width="3" customWidth="1"/>
  </cols>
  <sheetData>
    <row r="2" spans="2:7" ht="33.75" customHeight="1" x14ac:dyDescent="0.25">
      <c r="B2" s="116" t="s">
        <v>508</v>
      </c>
      <c r="C2" s="116"/>
      <c r="D2" s="116"/>
      <c r="E2" s="116"/>
      <c r="F2" s="116"/>
      <c r="G2" s="116"/>
    </row>
    <row r="3" spans="2:7" ht="19.5" customHeight="1" x14ac:dyDescent="0.25">
      <c r="B3" s="117" t="s">
        <v>509</v>
      </c>
      <c r="C3" s="117"/>
      <c r="D3" s="117"/>
      <c r="E3" s="117"/>
      <c r="F3" s="117"/>
      <c r="G3" s="117"/>
    </row>
    <row r="6" spans="2:7" ht="19.5" customHeight="1" x14ac:dyDescent="0.25">
      <c r="B6" s="175" t="s">
        <v>510</v>
      </c>
      <c r="C6" s="175"/>
      <c r="F6" s="91" t="s">
        <v>511</v>
      </c>
    </row>
    <row r="7" spans="2:7" x14ac:dyDescent="0.25">
      <c r="B7" s="4" t="s">
        <v>512</v>
      </c>
      <c r="C7" s="92">
        <v>46265</v>
      </c>
      <c r="F7" s="93" t="s">
        <v>513</v>
      </c>
    </row>
    <row r="8" spans="2:7" x14ac:dyDescent="0.25">
      <c r="B8" s="4" t="s">
        <v>514</v>
      </c>
      <c r="C8" s="94">
        <f>$C$7+4</f>
        <v>46269</v>
      </c>
      <c r="F8" s="93" t="s">
        <v>515</v>
      </c>
    </row>
    <row r="9" spans="2:7" x14ac:dyDescent="0.25">
      <c r="B9" s="4" t="s">
        <v>516</v>
      </c>
      <c r="C9" s="95">
        <v>8</v>
      </c>
      <c r="F9" s="93" t="s">
        <v>517</v>
      </c>
    </row>
    <row r="10" spans="2:7" x14ac:dyDescent="0.25">
      <c r="B10" s="4" t="s">
        <v>518</v>
      </c>
      <c r="C10" s="96">
        <v>0</v>
      </c>
      <c r="F10" s="93" t="s">
        <v>519</v>
      </c>
    </row>
    <row r="11" spans="2:7" x14ac:dyDescent="0.25">
      <c r="B11" s="4" t="s">
        <v>520</v>
      </c>
      <c r="C11" s="97">
        <f>1/$C$9</f>
        <v>0.125</v>
      </c>
      <c r="F11" s="93" t="s">
        <v>521</v>
      </c>
    </row>
    <row r="13" spans="2:7" ht="19.5" customHeight="1" x14ac:dyDescent="0.25">
      <c r="B13" s="175" t="s">
        <v>522</v>
      </c>
      <c r="C13" s="175"/>
    </row>
    <row r="14" spans="2:7" x14ac:dyDescent="0.25">
      <c r="B14" s="4" t="s">
        <v>523</v>
      </c>
      <c r="C14" s="98">
        <f>COUNTA(BPOworkers!$B$6:$B$105)</f>
        <v>38</v>
      </c>
    </row>
    <row r="15" spans="2:7" x14ac:dyDescent="0.25">
      <c r="B15" s="4" t="s">
        <v>176</v>
      </c>
      <c r="C15" s="98">
        <f>COUNTA(RawBtabs!$A$2:$A$1500)</f>
        <v>858</v>
      </c>
    </row>
    <row r="16" spans="2:7" x14ac:dyDescent="0.25">
      <c r="B16" s="4" t="s">
        <v>524</v>
      </c>
      <c r="C16" s="99">
        <f>$C$9*5</f>
        <v>40</v>
      </c>
    </row>
    <row r="17" spans="2:6" x14ac:dyDescent="0.25">
      <c r="B17" s="4" t="s">
        <v>525</v>
      </c>
      <c r="C17" s="98">
        <f>SUM(RawBtabs!$W$2:$W$1500)</f>
        <v>733</v>
      </c>
    </row>
    <row r="18" spans="2:6" x14ac:dyDescent="0.25">
      <c r="B18" s="4" t="s">
        <v>526</v>
      </c>
      <c r="C18" s="98">
        <f>SUMPRODUCT(RawBtabs!$W$2:$W$1500,RawBtabs!$S$2:$S$1500)</f>
        <v>283</v>
      </c>
    </row>
    <row r="20" spans="2:6" ht="19.5" customHeight="1" x14ac:dyDescent="0.25">
      <c r="B20" s="175" t="s">
        <v>527</v>
      </c>
      <c r="C20" s="175"/>
    </row>
    <row r="21" spans="2:6" x14ac:dyDescent="0.25">
      <c r="B21" s="4" t="s">
        <v>528</v>
      </c>
      <c r="C21" s="100" t="s">
        <v>529</v>
      </c>
    </row>
    <row r="22" spans="2:6" x14ac:dyDescent="0.25">
      <c r="B22" s="4" t="s">
        <v>530</v>
      </c>
      <c r="C22" s="100" t="s">
        <v>531</v>
      </c>
    </row>
    <row r="23" spans="2:6" x14ac:dyDescent="0.25">
      <c r="B23" s="4" t="s">
        <v>532</v>
      </c>
      <c r="C23" s="100" t="s">
        <v>533</v>
      </c>
    </row>
    <row r="25" spans="2:6" ht="15" customHeight="1" x14ac:dyDescent="0.25">
      <c r="B25" s="174" t="s">
        <v>534</v>
      </c>
      <c r="C25" s="174"/>
      <c r="D25" s="174"/>
      <c r="E25" s="174"/>
      <c r="F25" s="174"/>
    </row>
    <row r="26" spans="2:6" x14ac:dyDescent="0.25">
      <c r="B26" s="174"/>
      <c r="C26" s="174"/>
      <c r="D26" s="174"/>
      <c r="E26" s="174"/>
      <c r="F26" s="174"/>
    </row>
    <row r="27" spans="2:6" x14ac:dyDescent="0.25">
      <c r="B27" s="174"/>
      <c r="C27" s="174"/>
      <c r="D27" s="174"/>
      <c r="E27" s="174"/>
      <c r="F27" s="174"/>
    </row>
    <row r="28" spans="2:6" x14ac:dyDescent="0.25">
      <c r="B28" s="174"/>
      <c r="C28" s="174"/>
      <c r="D28" s="174"/>
      <c r="E28" s="174"/>
      <c r="F28" s="174"/>
    </row>
  </sheetData>
  <mergeCells count="6">
    <mergeCell ref="B25:F28"/>
    <mergeCell ref="B2:G2"/>
    <mergeCell ref="B3:G3"/>
    <mergeCell ref="B6:C6"/>
    <mergeCell ref="B13:C13"/>
    <mergeCell ref="B20:C20"/>
  </mergeCells>
  <pageMargins left="0.3" right="0.3" top="0.4" bottom="0.4" header="0.511811023622047" footer="0.511811023622047"/>
  <pageSetup paperSize="9" fitToHeight="0" orientation="landscape" horizontalDpi="300" verticalDpi="30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BFBF"/>
    <pageSetUpPr fitToPage="1"/>
  </sheetPr>
  <dimension ref="B2:G105"/>
  <sheetViews>
    <sheetView showGridLines="0" zoomScaleNormal="100" workbookViewId="0">
      <pane xSplit="1" ySplit="5" topLeftCell="B6" activePane="bottomRight" state="frozen"/>
      <selection pane="topRight" activeCell="B1" sqref="B1"/>
      <selection pane="bottomLeft" activeCell="A6" sqref="A6"/>
      <selection pane="bottomRight" activeCell="B44" sqref="B44:E45"/>
    </sheetView>
  </sheetViews>
  <sheetFormatPr defaultColWidth="8.7109375" defaultRowHeight="15" x14ac:dyDescent="0.25"/>
  <cols>
    <col min="1" max="1" width="2" customWidth="1"/>
    <col min="2" max="2" width="24" customWidth="1"/>
    <col min="3" max="4" width="32" customWidth="1"/>
    <col min="5" max="5" width="26" customWidth="1"/>
  </cols>
  <sheetData>
    <row r="2" spans="2:7" ht="33.75" customHeight="1" x14ac:dyDescent="0.25">
      <c r="B2" s="116" t="s">
        <v>535</v>
      </c>
      <c r="C2" s="116"/>
      <c r="D2" s="116"/>
      <c r="E2" s="116"/>
    </row>
    <row r="3" spans="2:7" ht="19.5" customHeight="1" x14ac:dyDescent="0.25">
      <c r="B3" s="117" t="s">
        <v>536</v>
      </c>
      <c r="C3" s="117"/>
      <c r="D3" s="117"/>
      <c r="E3" s="117"/>
    </row>
    <row r="5" spans="2:7" ht="24" x14ac:dyDescent="0.25">
      <c r="B5" s="26" t="s">
        <v>537</v>
      </c>
      <c r="C5" s="26" t="s">
        <v>538</v>
      </c>
      <c r="D5" s="26" t="s">
        <v>539</v>
      </c>
      <c r="E5" s="26" t="s">
        <v>540</v>
      </c>
      <c r="G5" s="101" t="s">
        <v>541</v>
      </c>
    </row>
    <row r="6" spans="2:7" x14ac:dyDescent="0.25">
      <c r="B6" s="56" t="s">
        <v>120</v>
      </c>
      <c r="C6" s="56" t="s">
        <v>542</v>
      </c>
      <c r="D6" s="56"/>
      <c r="E6" s="102" t="str">
        <f>IF($B6="","",IF($D6="","BPO Management",IFERROR(INDEX(BPOworkers!$B$6:$B$105,MATCH($D6,BPOworkers!$C$6:$C$105,0)),"[!] email not in roster")))</f>
        <v>BPO Management</v>
      </c>
    </row>
    <row r="7" spans="2:7" x14ac:dyDescent="0.25">
      <c r="B7" s="56" t="s">
        <v>457</v>
      </c>
      <c r="C7" s="56" t="s">
        <v>543</v>
      </c>
      <c r="D7" s="56" t="s">
        <v>544</v>
      </c>
      <c r="E7" s="102" t="str">
        <f>IF($B7="","",IF($D7="","BPO Management",IFERROR(INDEX(BPOworkers!$B$6:$B$105,MATCH($D7,BPOworkers!$C$6:$C$105,0)),"[!] email not in roster")))</f>
        <v>S Romero</v>
      </c>
    </row>
    <row r="8" spans="2:7" x14ac:dyDescent="0.25">
      <c r="B8" s="56" t="s">
        <v>122</v>
      </c>
      <c r="C8" s="56" t="s">
        <v>545</v>
      </c>
      <c r="D8" s="56"/>
      <c r="E8" s="102" t="str">
        <f>IF($B8="","",IF($D8="","BPO Management",IFERROR(INDEX(BPOworkers!$B$6:$B$105,MATCH($D8,BPOworkers!$C$6:$C$105,0)),"[!] email not in roster")))</f>
        <v>BPO Management</v>
      </c>
    </row>
    <row r="9" spans="2:7" x14ac:dyDescent="0.25">
      <c r="B9" s="56" t="s">
        <v>460</v>
      </c>
      <c r="C9" s="56" t="s">
        <v>546</v>
      </c>
      <c r="D9" s="56" t="s">
        <v>547</v>
      </c>
      <c r="E9" s="102" t="str">
        <f>IF($B9="","",IF($D9="","BPO Management",IFERROR(INDEX(BPOworkers!$B$6:$B$105,MATCH($D9,BPOworkers!$C$6:$C$105,0)),"[!] email not in roster")))</f>
        <v>M Leon</v>
      </c>
    </row>
    <row r="10" spans="2:7" x14ac:dyDescent="0.25">
      <c r="B10" s="56" t="s">
        <v>123</v>
      </c>
      <c r="C10" s="56" t="s">
        <v>548</v>
      </c>
      <c r="D10" s="56"/>
      <c r="E10" s="102" t="str">
        <f>IF($B10="","",IF($D10="","BPO Management",IFERROR(INDEX(BPOworkers!$B$6:$B$105,MATCH($D10,BPOworkers!$C$6:$C$105,0)),"[!] email not in roster")))</f>
        <v>BPO Management</v>
      </c>
    </row>
    <row r="11" spans="2:7" x14ac:dyDescent="0.25">
      <c r="B11" s="56" t="s">
        <v>464</v>
      </c>
      <c r="C11" s="56" t="s">
        <v>549</v>
      </c>
      <c r="D11" s="56" t="s">
        <v>545</v>
      </c>
      <c r="E11" s="102" t="str">
        <f>IF($B11="","",IF($D11="","BPO Management",IFERROR(INDEX(BPOworkers!$B$6:$B$105,MATCH($D11,BPOworkers!$C$6:$C$105,0)),"[!] email not in roster")))</f>
        <v>A Lorenzo</v>
      </c>
    </row>
    <row r="12" spans="2:7" x14ac:dyDescent="0.25">
      <c r="B12" s="56" t="s">
        <v>468</v>
      </c>
      <c r="C12" s="56" t="s">
        <v>550</v>
      </c>
      <c r="D12" s="56" t="s">
        <v>551</v>
      </c>
      <c r="E12" s="102" t="str">
        <f>IF($B12="","",IF($D12="","BPO Management",IFERROR(INDEX(BPOworkers!$B$6:$B$105,MATCH($D12,BPOworkers!$C$6:$C$105,0)),"[!] email not in roster")))</f>
        <v>J S Bermudez</v>
      </c>
    </row>
    <row r="13" spans="2:7" x14ac:dyDescent="0.25">
      <c r="B13" s="56" t="s">
        <v>474</v>
      </c>
      <c r="C13" s="56" t="s">
        <v>552</v>
      </c>
      <c r="D13" s="56" t="s">
        <v>548</v>
      </c>
      <c r="E13" s="102" t="str">
        <f>IF($B13="","",IF($D13="","BPO Management",IFERROR(INDEX(BPOworkers!$B$6:$B$105,MATCH($D13,BPOworkers!$C$6:$C$105,0)),"[!] email not in roster")))</f>
        <v>H Daza</v>
      </c>
    </row>
    <row r="14" spans="2:7" x14ac:dyDescent="0.25">
      <c r="B14" s="56" t="s">
        <v>470</v>
      </c>
      <c r="C14" s="56" t="s">
        <v>553</v>
      </c>
      <c r="D14" s="56" t="s">
        <v>554</v>
      </c>
      <c r="E14" s="102" t="str">
        <f>IF($B14="","",IF($D14="","BPO Management",IFERROR(INDEX(BPOworkers!$B$6:$B$105,MATCH($D14,BPOworkers!$C$6:$C$105,0)),"[!] email not in roster")))</f>
        <v>R Sanchez</v>
      </c>
    </row>
    <row r="15" spans="2:7" x14ac:dyDescent="0.25">
      <c r="B15" s="56" t="s">
        <v>473</v>
      </c>
      <c r="C15" s="56" t="s">
        <v>555</v>
      </c>
      <c r="D15" s="56" t="s">
        <v>542</v>
      </c>
      <c r="E15" s="102" t="str">
        <f>IF($B15="","",IF($D15="","BPO Management",IFERROR(INDEX(BPOworkers!$B$6:$B$105,MATCH($D15,BPOworkers!$C$6:$C$105,0)),"[!] email not in roster")))</f>
        <v>A Camargo</v>
      </c>
    </row>
    <row r="16" spans="2:7" x14ac:dyDescent="0.25">
      <c r="B16" s="56" t="s">
        <v>478</v>
      </c>
      <c r="C16" s="56" t="s">
        <v>556</v>
      </c>
      <c r="D16" s="56"/>
      <c r="E16" s="102" t="str">
        <f>IF($B16="","",IF($D16="","BPO Management",IFERROR(INDEX(BPOworkers!$B$6:$B$105,MATCH($D16,BPOworkers!$C$6:$C$105,0)),"[!] email not in roster")))</f>
        <v>BPO Management</v>
      </c>
    </row>
    <row r="17" spans="2:5" x14ac:dyDescent="0.25">
      <c r="B17" s="56" t="s">
        <v>482</v>
      </c>
      <c r="C17" s="56" t="s">
        <v>557</v>
      </c>
      <c r="D17" s="56" t="s">
        <v>551</v>
      </c>
      <c r="E17" s="102" t="str">
        <f>IF($B17="","",IF($D17="","BPO Management",IFERROR(INDEX(BPOworkers!$B$6:$B$105,MATCH($D17,BPOworkers!$C$6:$C$105,0)),"[!] email not in roster")))</f>
        <v>J S Bermudez</v>
      </c>
    </row>
    <row r="18" spans="2:5" x14ac:dyDescent="0.25">
      <c r="B18" s="56" t="s">
        <v>125</v>
      </c>
      <c r="C18" s="56" t="s">
        <v>547</v>
      </c>
      <c r="D18" s="56"/>
      <c r="E18" s="102" t="str">
        <f>IF($B18="","",IF($D18="","BPO Management",IFERROR(INDEX(BPOworkers!$B$6:$B$105,MATCH($D18,BPOworkers!$C$6:$C$105,0)),"[!] email not in roster")))</f>
        <v>BPO Management</v>
      </c>
    </row>
    <row r="19" spans="2:5" x14ac:dyDescent="0.25">
      <c r="B19" s="56" t="s">
        <v>126</v>
      </c>
      <c r="C19" s="56" t="s">
        <v>554</v>
      </c>
      <c r="D19" s="56"/>
      <c r="E19" s="102" t="str">
        <f>IF($B19="","",IF($D19="","BPO Management",IFERROR(INDEX(BPOworkers!$B$6:$B$105,MATCH($D19,BPOworkers!$C$6:$C$105,0)),"[!] email not in roster")))</f>
        <v>BPO Management</v>
      </c>
    </row>
    <row r="20" spans="2:5" x14ac:dyDescent="0.25">
      <c r="B20" s="56" t="s">
        <v>127</v>
      </c>
      <c r="C20" s="56" t="s">
        <v>544</v>
      </c>
      <c r="D20" s="56"/>
      <c r="E20" s="102" t="str">
        <f>IF($B20="","",IF($D20="","BPO Management",IFERROR(INDEX(BPOworkers!$B$6:$B$105,MATCH($D20,BPOworkers!$C$6:$C$105,0)),"[!] email not in roster")))</f>
        <v>BPO Management</v>
      </c>
    </row>
    <row r="21" spans="2:5" x14ac:dyDescent="0.25">
      <c r="B21" s="56" t="s">
        <v>458</v>
      </c>
      <c r="C21" s="56" t="s">
        <v>558</v>
      </c>
      <c r="D21" s="56" t="s">
        <v>551</v>
      </c>
      <c r="E21" s="102" t="str">
        <f>IF($B21="","",IF($D21="","BPO Management",IFERROR(INDEX(BPOworkers!$B$6:$B$105,MATCH($D21,BPOworkers!$C$6:$C$105,0)),"[!] email not in roster")))</f>
        <v>J S Bermudez</v>
      </c>
    </row>
    <row r="22" spans="2:5" x14ac:dyDescent="0.25">
      <c r="B22" s="56" t="s">
        <v>461</v>
      </c>
      <c r="C22" s="56" t="s">
        <v>559</v>
      </c>
      <c r="D22" s="56"/>
      <c r="E22" s="102" t="str">
        <f>IF($B22="","",IF($D22="","BPO Management",IFERROR(INDEX(BPOworkers!$B$6:$B$105,MATCH($D22,BPOworkers!$C$6:$C$105,0)),"[!] email not in roster")))</f>
        <v>BPO Management</v>
      </c>
    </row>
    <row r="23" spans="2:5" x14ac:dyDescent="0.25">
      <c r="B23" s="56" t="s">
        <v>465</v>
      </c>
      <c r="C23" s="56" t="s">
        <v>560</v>
      </c>
      <c r="D23" s="56" t="s">
        <v>547</v>
      </c>
      <c r="E23" s="102" t="str">
        <f>IF($B23="","",IF($D23="","BPO Management",IFERROR(INDEX(BPOworkers!$B$6:$B$105,MATCH($D23,BPOworkers!$C$6:$C$105,0)),"[!] email not in roster")))</f>
        <v>M Leon</v>
      </c>
    </row>
    <row r="24" spans="2:5" x14ac:dyDescent="0.25">
      <c r="B24" s="56" t="s">
        <v>466</v>
      </c>
      <c r="C24" s="56" t="s">
        <v>561</v>
      </c>
      <c r="D24" s="56" t="s">
        <v>544</v>
      </c>
      <c r="E24" s="102" t="str">
        <f>IF($B24="","",IF($D24="","BPO Management",IFERROR(INDEX(BPOworkers!$B$6:$B$105,MATCH($D24,BPOworkers!$C$6:$C$105,0)),"[!] email not in roster")))</f>
        <v>S Romero</v>
      </c>
    </row>
    <row r="25" spans="2:5" x14ac:dyDescent="0.25">
      <c r="B25" s="56" t="s">
        <v>472</v>
      </c>
      <c r="C25" s="56" t="s">
        <v>562</v>
      </c>
      <c r="D25" s="56" t="s">
        <v>547</v>
      </c>
      <c r="E25" s="102" t="str">
        <f>IF($B25="","",IF($D25="","BPO Management",IFERROR(INDEX(BPOworkers!$B$6:$B$105,MATCH($D25,BPOworkers!$C$6:$C$105,0)),"[!] email not in roster")))</f>
        <v>M Leon</v>
      </c>
    </row>
    <row r="26" spans="2:5" x14ac:dyDescent="0.25">
      <c r="B26" s="56" t="s">
        <v>124</v>
      </c>
      <c r="C26" s="56" t="s">
        <v>551</v>
      </c>
      <c r="D26" s="56"/>
      <c r="E26" s="102" t="str">
        <f>IF($B26="","",IF($D26="","BPO Management",IFERROR(INDEX(BPOworkers!$B$6:$B$105,MATCH($D26,BPOworkers!$C$6:$C$105,0)),"[!] email not in roster")))</f>
        <v>BPO Management</v>
      </c>
    </row>
    <row r="27" spans="2:5" x14ac:dyDescent="0.25">
      <c r="B27" s="56" t="s">
        <v>475</v>
      </c>
      <c r="C27" s="56" t="s">
        <v>563</v>
      </c>
      <c r="D27" s="56" t="s">
        <v>554</v>
      </c>
      <c r="E27" s="102" t="str">
        <f>IF($B27="","",IF($D27="","BPO Management",IFERROR(INDEX(BPOworkers!$B$6:$B$105,MATCH($D27,BPOworkers!$C$6:$C$105,0)),"[!] email not in roster")))</f>
        <v>R Sanchez</v>
      </c>
    </row>
    <row r="28" spans="2:5" x14ac:dyDescent="0.25">
      <c r="B28" s="56" t="s">
        <v>477</v>
      </c>
      <c r="C28" s="56" t="s">
        <v>564</v>
      </c>
      <c r="D28" s="56" t="s">
        <v>551</v>
      </c>
      <c r="E28" s="102" t="str">
        <f>IF($B28="","",IF($D28="","BPO Management",IFERROR(INDEX(BPOworkers!$B$6:$B$105,MATCH($D28,BPOworkers!$C$6:$C$105,0)),"[!] email not in roster")))</f>
        <v>J S Bermudez</v>
      </c>
    </row>
    <row r="29" spans="2:5" x14ac:dyDescent="0.25">
      <c r="B29" s="56" t="s">
        <v>483</v>
      </c>
      <c r="C29" s="56" t="s">
        <v>565</v>
      </c>
      <c r="D29" s="56" t="s">
        <v>548</v>
      </c>
      <c r="E29" s="102" t="str">
        <f>IF($B29="","",IF($D29="","BPO Management",IFERROR(INDEX(BPOworkers!$B$6:$B$105,MATCH($D29,BPOworkers!$C$6:$C$105,0)),"[!] email not in roster")))</f>
        <v>H Daza</v>
      </c>
    </row>
    <row r="30" spans="2:5" x14ac:dyDescent="0.25">
      <c r="B30" s="56" t="s">
        <v>484</v>
      </c>
      <c r="C30" s="56" t="s">
        <v>566</v>
      </c>
      <c r="D30" s="56" t="s">
        <v>554</v>
      </c>
      <c r="E30" s="102" t="str">
        <f>IF($B30="","",IF($D30="","BPO Management",IFERROR(INDEX(BPOworkers!$B$6:$B$105,MATCH($D30,BPOworkers!$C$6:$C$105,0)),"[!] email not in roster")))</f>
        <v>R Sanchez</v>
      </c>
    </row>
    <row r="31" spans="2:5" x14ac:dyDescent="0.25">
      <c r="B31" s="56" t="s">
        <v>481</v>
      </c>
      <c r="C31" s="56" t="s">
        <v>567</v>
      </c>
      <c r="D31" s="56" t="s">
        <v>548</v>
      </c>
      <c r="E31" s="102" t="str">
        <f>IF($B31="","",IF($D31="","BPO Management",IFERROR(INDEX(BPOworkers!$B$6:$B$105,MATCH($D31,BPOworkers!$C$6:$C$105,0)),"[!] email not in roster")))</f>
        <v>H Daza</v>
      </c>
    </row>
    <row r="32" spans="2:5" x14ac:dyDescent="0.25">
      <c r="B32" s="56" t="s">
        <v>462</v>
      </c>
      <c r="C32" s="56" t="s">
        <v>568</v>
      </c>
      <c r="D32" s="56" t="s">
        <v>548</v>
      </c>
      <c r="E32" s="102" t="str">
        <f>IF($B32="","",IF($D32="","BPO Management",IFERROR(INDEX(BPOworkers!$B$6:$B$105,MATCH($D32,BPOworkers!$C$6:$C$105,0)),"[!] email not in roster")))</f>
        <v>H Daza</v>
      </c>
    </row>
    <row r="33" spans="2:5" x14ac:dyDescent="0.25">
      <c r="B33" s="56" t="s">
        <v>494</v>
      </c>
      <c r="C33" s="56" t="s">
        <v>569</v>
      </c>
      <c r="D33" s="56" t="s">
        <v>554</v>
      </c>
      <c r="E33" s="102" t="str">
        <f>IF($B33="","",IF($D33="","BPO Management",IFERROR(INDEX(BPOworkers!$B$6:$B$105,MATCH($D33,BPOworkers!$C$6:$C$105,0)),"[!] email not in roster")))</f>
        <v>R Sanchez</v>
      </c>
    </row>
    <row r="34" spans="2:5" x14ac:dyDescent="0.25">
      <c r="B34" s="56" t="s">
        <v>493</v>
      </c>
      <c r="C34" s="56" t="s">
        <v>570</v>
      </c>
      <c r="D34" s="56" t="s">
        <v>544</v>
      </c>
      <c r="E34" s="102" t="str">
        <f>IF($B34="","",IF($D34="","BPO Management",IFERROR(INDEX(BPOworkers!$B$6:$B$105,MATCH($D34,BPOworkers!$C$6:$C$105,0)),"[!] email not in roster")))</f>
        <v>S Romero</v>
      </c>
    </row>
    <row r="35" spans="2:5" x14ac:dyDescent="0.25">
      <c r="B35" s="56" t="s">
        <v>496</v>
      </c>
      <c r="C35" s="56" t="s">
        <v>571</v>
      </c>
      <c r="D35" s="56" t="s">
        <v>542</v>
      </c>
      <c r="E35" s="102" t="str">
        <f>IF($B35="","",IF($D35="","BPO Management",IFERROR(INDEX(BPOworkers!$B$6:$B$105,MATCH($D35,BPOworkers!$C$6:$C$105,0)),"[!] email not in roster")))</f>
        <v>A Camargo</v>
      </c>
    </row>
    <row r="36" spans="2:5" x14ac:dyDescent="0.25">
      <c r="B36" s="56" t="s">
        <v>491</v>
      </c>
      <c r="C36" s="56" t="s">
        <v>572</v>
      </c>
      <c r="D36" s="56" t="s">
        <v>551</v>
      </c>
      <c r="E36" s="102" t="str">
        <f>IF($B36="","",IF($D36="","BPO Management",IFERROR(INDEX(BPOworkers!$B$6:$B$105,MATCH($D36,BPOworkers!$C$6:$C$105,0)),"[!] email not in roster")))</f>
        <v>J S Bermudez</v>
      </c>
    </row>
    <row r="37" spans="2:5" x14ac:dyDescent="0.25">
      <c r="B37" s="56" t="s">
        <v>503</v>
      </c>
      <c r="C37" s="56" t="s">
        <v>573</v>
      </c>
      <c r="D37" s="56" t="s">
        <v>547</v>
      </c>
      <c r="E37" s="102" t="str">
        <f>IF($B37="","",IF($D37="","BPO Management",IFERROR(INDEX(BPOworkers!$B$6:$B$105,MATCH($D37,BPOworkers!$C$6:$C$105,0)),"[!] email not in roster")))</f>
        <v>M Leon</v>
      </c>
    </row>
    <row r="38" spans="2:5" x14ac:dyDescent="0.25">
      <c r="B38" s="56" t="s">
        <v>500</v>
      </c>
      <c r="C38" s="56" t="s">
        <v>574</v>
      </c>
      <c r="D38" s="56" t="s">
        <v>542</v>
      </c>
      <c r="E38" s="102" t="str">
        <f>IF($B38="","",IF($D38="","BPO Management",IFERROR(INDEX(BPOworkers!$B$6:$B$105,MATCH($D38,BPOworkers!$C$6:$C$105,0)),"[!] email not in roster")))</f>
        <v>A Camargo</v>
      </c>
    </row>
    <row r="39" spans="2:5" x14ac:dyDescent="0.25">
      <c r="B39" s="56" t="s">
        <v>488</v>
      </c>
      <c r="C39" s="56" t="s">
        <v>575</v>
      </c>
      <c r="D39" s="56" t="s">
        <v>547</v>
      </c>
      <c r="E39" s="102" t="str">
        <f>IF($B39="","",IF($D39="","BPO Management",IFERROR(INDEX(BPOworkers!$B$6:$B$105,MATCH($D39,BPOworkers!$C$6:$C$105,0)),"[!] email not in roster")))</f>
        <v>M Leon</v>
      </c>
    </row>
    <row r="40" spans="2:5" x14ac:dyDescent="0.25">
      <c r="B40" s="56" t="s">
        <v>487</v>
      </c>
      <c r="C40" s="56" t="s">
        <v>576</v>
      </c>
      <c r="D40" s="56" t="s">
        <v>542</v>
      </c>
      <c r="E40" s="102" t="str">
        <f>IF($B40="","",IF($D40="","BPO Management",IFERROR(INDEX(BPOworkers!$B$6:$B$105,MATCH($D40,BPOworkers!$C$6:$C$105,0)),"[!] email not in roster")))</f>
        <v>A Camargo</v>
      </c>
    </row>
    <row r="41" spans="2:5" x14ac:dyDescent="0.25">
      <c r="B41" s="56" t="s">
        <v>489</v>
      </c>
      <c r="C41" s="56" t="s">
        <v>577</v>
      </c>
      <c r="D41" s="56" t="s">
        <v>544</v>
      </c>
      <c r="E41" s="102" t="str">
        <f>IF($B41="","",IF($D41="","BPO Management",IFERROR(INDEX(BPOworkers!$B$6:$B$105,MATCH($D41,BPOworkers!$C$6:$C$105,0)),"[!] email not in roster")))</f>
        <v>S Romero</v>
      </c>
    </row>
    <row r="42" spans="2:5" x14ac:dyDescent="0.25">
      <c r="B42" s="56" t="s">
        <v>501</v>
      </c>
      <c r="C42" s="56" t="s">
        <v>578</v>
      </c>
      <c r="D42" s="56" t="s">
        <v>554</v>
      </c>
      <c r="E42" s="102" t="str">
        <f>IF($B42="","",IF($D42="","BPO Management",IFERROR(INDEX(BPOworkers!$B$6:$B$105,MATCH($D42,BPOworkers!$C$6:$C$105,0)),"[!] email not in roster")))</f>
        <v>R Sanchez</v>
      </c>
    </row>
    <row r="43" spans="2:5" x14ac:dyDescent="0.25">
      <c r="B43" s="56" t="s">
        <v>502</v>
      </c>
      <c r="C43" s="56" t="s">
        <v>579</v>
      </c>
      <c r="D43" s="56" t="s">
        <v>544</v>
      </c>
      <c r="E43" s="102" t="str">
        <f>IF($B43="","",IF($D43="","BPO Management",IFERROR(INDEX(BPOworkers!$B$6:$B$105,MATCH($D43,BPOworkers!$C$6:$C$105,0)),"[!] email not in roster")))</f>
        <v>S Romero</v>
      </c>
    </row>
    <row r="44" spans="2:5" x14ac:dyDescent="0.25">
      <c r="B44" s="56"/>
      <c r="C44" s="56"/>
      <c r="D44" s="56"/>
      <c r="E44" s="102" t="str">
        <f>IF($B44="","",IF($D44="","BPO Management",IFERROR(INDEX(BPOworkers!$B$6:$B$105,MATCH($D44,BPOworkers!$C$6:$C$105,0)),"[!] email not in roster")))</f>
        <v/>
      </c>
    </row>
    <row r="45" spans="2:5" x14ac:dyDescent="0.25">
      <c r="B45" s="56"/>
      <c r="C45" s="56"/>
      <c r="D45" s="56"/>
      <c r="E45" s="102" t="str">
        <f>IF($B45="","",IF($D45="","BPO Management",IFERROR(INDEX(BPOworkers!$B$6:$B$105,MATCH($D45,BPOworkers!$C$6:$C$105,0)),"[!] email not in roster")))</f>
        <v/>
      </c>
    </row>
    <row r="46" spans="2:5" x14ac:dyDescent="0.25">
      <c r="B46" s="56"/>
      <c r="C46" s="56"/>
      <c r="D46" s="56"/>
      <c r="E46" s="102" t="str">
        <f>IF($B46="","",IF($D46="","BPO Management",IFERROR(INDEX(BPOworkers!$B$6:$B$105,MATCH($D46,BPOworkers!$C$6:$C$105,0)),"[!] email not in roster")))</f>
        <v/>
      </c>
    </row>
    <row r="47" spans="2:5" x14ac:dyDescent="0.25">
      <c r="B47" s="56"/>
      <c r="C47" s="56"/>
      <c r="D47" s="56"/>
      <c r="E47" s="102" t="str">
        <f>IF($B47="","",IF($D47="","BPO Management",IFERROR(INDEX(BPOworkers!$B$6:$B$105,MATCH($D47,BPOworkers!$C$6:$C$105,0)),"[!] email not in roster")))</f>
        <v/>
      </c>
    </row>
    <row r="48" spans="2:5" x14ac:dyDescent="0.25">
      <c r="B48" s="56"/>
      <c r="C48" s="56"/>
      <c r="D48" s="56"/>
      <c r="E48" s="102" t="str">
        <f>IF($B48="","",IF($D48="","BPO Management",IFERROR(INDEX(BPOworkers!$B$6:$B$105,MATCH($D48,BPOworkers!$C$6:$C$105,0)),"[!] email not in roster")))</f>
        <v/>
      </c>
    </row>
    <row r="49" spans="2:5" x14ac:dyDescent="0.25">
      <c r="B49" s="56"/>
      <c r="C49" s="56"/>
      <c r="D49" s="56"/>
      <c r="E49" s="102" t="str">
        <f>IF($B49="","",IF($D49="","BPO Management",IFERROR(INDEX(BPOworkers!$B$6:$B$105,MATCH($D49,BPOworkers!$C$6:$C$105,0)),"[!] email not in roster")))</f>
        <v/>
      </c>
    </row>
    <row r="50" spans="2:5" x14ac:dyDescent="0.25">
      <c r="B50" s="56"/>
      <c r="C50" s="56"/>
      <c r="D50" s="56"/>
      <c r="E50" s="102" t="str">
        <f>IF($B50="","",IF($D50="","BPO Management",IFERROR(INDEX(BPOworkers!$B$6:$B$105,MATCH($D50,BPOworkers!$C$6:$C$105,0)),"[!] email not in roster")))</f>
        <v/>
      </c>
    </row>
    <row r="51" spans="2:5" x14ac:dyDescent="0.25">
      <c r="B51" s="56"/>
      <c r="C51" s="56"/>
      <c r="D51" s="56"/>
      <c r="E51" s="102" t="str">
        <f>IF($B51="","",IF($D51="","BPO Management",IFERROR(INDEX(BPOworkers!$B$6:$B$105,MATCH($D51,BPOworkers!$C$6:$C$105,0)),"[!] email not in roster")))</f>
        <v/>
      </c>
    </row>
    <row r="52" spans="2:5" x14ac:dyDescent="0.25">
      <c r="B52" s="56"/>
      <c r="C52" s="56"/>
      <c r="D52" s="56"/>
      <c r="E52" s="102" t="str">
        <f>IF($B52="","",IF($D52="","BPO Management",IFERROR(INDEX(BPOworkers!$B$6:$B$105,MATCH($D52,BPOworkers!$C$6:$C$105,0)),"[!] email not in roster")))</f>
        <v/>
      </c>
    </row>
    <row r="53" spans="2:5" x14ac:dyDescent="0.25">
      <c r="B53" s="56"/>
      <c r="C53" s="56"/>
      <c r="D53" s="56"/>
      <c r="E53" s="102" t="str">
        <f>IF($B53="","",IF($D53="","BPO Management",IFERROR(INDEX(BPOworkers!$B$6:$B$105,MATCH($D53,BPOworkers!$C$6:$C$105,0)),"[!] email not in roster")))</f>
        <v/>
      </c>
    </row>
    <row r="54" spans="2:5" x14ac:dyDescent="0.25">
      <c r="B54" s="56"/>
      <c r="C54" s="56"/>
      <c r="D54" s="56"/>
      <c r="E54" s="102" t="str">
        <f>IF($B54="","",IF($D54="","BPO Management",IFERROR(INDEX(BPOworkers!$B$6:$B$105,MATCH($D54,BPOworkers!$C$6:$C$105,0)),"[!] email not in roster")))</f>
        <v/>
      </c>
    </row>
    <row r="55" spans="2:5" x14ac:dyDescent="0.25">
      <c r="B55" s="56"/>
      <c r="C55" s="56"/>
      <c r="D55" s="56"/>
      <c r="E55" s="102" t="str">
        <f>IF($B55="","",IF($D55="","BPO Management",IFERROR(INDEX(BPOworkers!$B$6:$B$105,MATCH($D55,BPOworkers!$C$6:$C$105,0)),"[!] email not in roster")))</f>
        <v/>
      </c>
    </row>
    <row r="56" spans="2:5" x14ac:dyDescent="0.25">
      <c r="B56" s="56"/>
      <c r="C56" s="56"/>
      <c r="D56" s="56"/>
      <c r="E56" s="102" t="str">
        <f>IF($B56="","",IF($D56="","BPO Management",IFERROR(INDEX(BPOworkers!$B$6:$B$105,MATCH($D56,BPOworkers!$C$6:$C$105,0)),"[!] email not in roster")))</f>
        <v/>
      </c>
    </row>
    <row r="57" spans="2:5" x14ac:dyDescent="0.25">
      <c r="B57" s="56"/>
      <c r="C57" s="56"/>
      <c r="D57" s="56"/>
      <c r="E57" s="102" t="str">
        <f>IF($B57="","",IF($D57="","BPO Management",IFERROR(INDEX(BPOworkers!$B$6:$B$105,MATCH($D57,BPOworkers!$C$6:$C$105,0)),"[!] email not in roster")))</f>
        <v/>
      </c>
    </row>
    <row r="58" spans="2:5" x14ac:dyDescent="0.25">
      <c r="B58" s="56"/>
      <c r="C58" s="56"/>
      <c r="D58" s="56"/>
      <c r="E58" s="102" t="str">
        <f>IF($B58="","",IF($D58="","BPO Management",IFERROR(INDEX(BPOworkers!$B$6:$B$105,MATCH($D58,BPOworkers!$C$6:$C$105,0)),"[!] email not in roster")))</f>
        <v/>
      </c>
    </row>
    <row r="59" spans="2:5" x14ac:dyDescent="0.25">
      <c r="B59" s="56"/>
      <c r="C59" s="56"/>
      <c r="D59" s="56"/>
      <c r="E59" s="102" t="str">
        <f>IF($B59="","",IF($D59="","BPO Management",IFERROR(INDEX(BPOworkers!$B$6:$B$105,MATCH($D59,BPOworkers!$C$6:$C$105,0)),"[!] email not in roster")))</f>
        <v/>
      </c>
    </row>
    <row r="60" spans="2:5" x14ac:dyDescent="0.25">
      <c r="B60" s="56"/>
      <c r="C60" s="56"/>
      <c r="D60" s="56"/>
      <c r="E60" s="102" t="str">
        <f>IF($B60="","",IF($D60="","BPO Management",IFERROR(INDEX(BPOworkers!$B$6:$B$105,MATCH($D60,BPOworkers!$C$6:$C$105,0)),"[!] email not in roster")))</f>
        <v/>
      </c>
    </row>
    <row r="61" spans="2:5" x14ac:dyDescent="0.25">
      <c r="B61" s="56"/>
      <c r="C61" s="56"/>
      <c r="D61" s="56"/>
      <c r="E61" s="102" t="str">
        <f>IF($B61="","",IF($D61="","BPO Management",IFERROR(INDEX(BPOworkers!$B$6:$B$105,MATCH($D61,BPOworkers!$C$6:$C$105,0)),"[!] email not in roster")))</f>
        <v/>
      </c>
    </row>
    <row r="62" spans="2:5" x14ac:dyDescent="0.25">
      <c r="B62" s="56"/>
      <c r="C62" s="56"/>
      <c r="D62" s="56"/>
      <c r="E62" s="102" t="str">
        <f>IF($B62="","",IF($D62="","BPO Management",IFERROR(INDEX(BPOworkers!$B$6:$B$105,MATCH($D62,BPOworkers!$C$6:$C$105,0)),"[!] email not in roster")))</f>
        <v/>
      </c>
    </row>
    <row r="63" spans="2:5" x14ac:dyDescent="0.25">
      <c r="B63" s="56"/>
      <c r="C63" s="56"/>
      <c r="D63" s="56"/>
      <c r="E63" s="102" t="str">
        <f>IF($B63="","",IF($D63="","BPO Management",IFERROR(INDEX(BPOworkers!$B$6:$B$105,MATCH($D63,BPOworkers!$C$6:$C$105,0)),"[!] email not in roster")))</f>
        <v/>
      </c>
    </row>
    <row r="64" spans="2:5" x14ac:dyDescent="0.25">
      <c r="B64" s="56"/>
      <c r="C64" s="56"/>
      <c r="D64" s="56"/>
      <c r="E64" s="102" t="str">
        <f>IF($B64="","",IF($D64="","BPO Management",IFERROR(INDEX(BPOworkers!$B$6:$B$105,MATCH($D64,BPOworkers!$C$6:$C$105,0)),"[!] email not in roster")))</f>
        <v/>
      </c>
    </row>
    <row r="65" spans="2:5" x14ac:dyDescent="0.25">
      <c r="B65" s="56"/>
      <c r="C65" s="56"/>
      <c r="D65" s="56"/>
      <c r="E65" s="102" t="str">
        <f>IF($B65="","",IF($D65="","BPO Management",IFERROR(INDEX(BPOworkers!$B$6:$B$105,MATCH($D65,BPOworkers!$C$6:$C$105,0)),"[!] email not in roster")))</f>
        <v/>
      </c>
    </row>
    <row r="66" spans="2:5" x14ac:dyDescent="0.25">
      <c r="B66" s="56"/>
      <c r="C66" s="56"/>
      <c r="D66" s="56"/>
      <c r="E66" s="102" t="str">
        <f>IF($B66="","",IF($D66="","BPO Management",IFERROR(INDEX(BPOworkers!$B$6:$B$105,MATCH($D66,BPOworkers!$C$6:$C$105,0)),"[!] email not in roster")))</f>
        <v/>
      </c>
    </row>
    <row r="67" spans="2:5" x14ac:dyDescent="0.25">
      <c r="B67" s="56"/>
      <c r="C67" s="56"/>
      <c r="D67" s="56"/>
      <c r="E67" s="102" t="str">
        <f>IF($B67="","",IF($D67="","BPO Management",IFERROR(INDEX(BPOworkers!$B$6:$B$105,MATCH($D67,BPOworkers!$C$6:$C$105,0)),"[!] email not in roster")))</f>
        <v/>
      </c>
    </row>
    <row r="68" spans="2:5" x14ac:dyDescent="0.25">
      <c r="B68" s="56"/>
      <c r="C68" s="56"/>
      <c r="D68" s="56"/>
      <c r="E68" s="102" t="str">
        <f>IF($B68="","",IF($D68="","BPO Management",IFERROR(INDEX(BPOworkers!$B$6:$B$105,MATCH($D68,BPOworkers!$C$6:$C$105,0)),"[!] email not in roster")))</f>
        <v/>
      </c>
    </row>
    <row r="69" spans="2:5" x14ac:dyDescent="0.25">
      <c r="B69" s="56"/>
      <c r="C69" s="56"/>
      <c r="D69" s="56"/>
      <c r="E69" s="102" t="str">
        <f>IF($B69="","",IF($D69="","BPO Management",IFERROR(INDEX(BPOworkers!$B$6:$B$105,MATCH($D69,BPOworkers!$C$6:$C$105,0)),"[!] email not in roster")))</f>
        <v/>
      </c>
    </row>
    <row r="70" spans="2:5" x14ac:dyDescent="0.25">
      <c r="B70" s="56"/>
      <c r="C70" s="56"/>
      <c r="D70" s="56"/>
      <c r="E70" s="102" t="str">
        <f>IF($B70="","",IF($D70="","BPO Management",IFERROR(INDEX(BPOworkers!$B$6:$B$105,MATCH($D70,BPOworkers!$C$6:$C$105,0)),"[!] email not in roster")))</f>
        <v/>
      </c>
    </row>
    <row r="71" spans="2:5" x14ac:dyDescent="0.25">
      <c r="B71" s="56"/>
      <c r="C71" s="56"/>
      <c r="D71" s="56"/>
      <c r="E71" s="102" t="str">
        <f>IF($B71="","",IF($D71="","BPO Management",IFERROR(INDEX(BPOworkers!$B$6:$B$105,MATCH($D71,BPOworkers!$C$6:$C$105,0)),"[!] email not in roster")))</f>
        <v/>
      </c>
    </row>
    <row r="72" spans="2:5" x14ac:dyDescent="0.25">
      <c r="B72" s="56"/>
      <c r="C72" s="56"/>
      <c r="D72" s="56"/>
      <c r="E72" s="102" t="str">
        <f>IF($B72="","",IF($D72="","BPO Management",IFERROR(INDEX(BPOworkers!$B$6:$B$105,MATCH($D72,BPOworkers!$C$6:$C$105,0)),"[!] email not in roster")))</f>
        <v/>
      </c>
    </row>
    <row r="73" spans="2:5" x14ac:dyDescent="0.25">
      <c r="B73" s="56"/>
      <c r="C73" s="56"/>
      <c r="D73" s="56"/>
      <c r="E73" s="102" t="str">
        <f>IF($B73="","",IF($D73="","BPO Management",IFERROR(INDEX(BPOworkers!$B$6:$B$105,MATCH($D73,BPOworkers!$C$6:$C$105,0)),"[!] email not in roster")))</f>
        <v/>
      </c>
    </row>
    <row r="74" spans="2:5" x14ac:dyDescent="0.25">
      <c r="B74" s="56"/>
      <c r="C74" s="56"/>
      <c r="D74" s="56"/>
      <c r="E74" s="102" t="str">
        <f>IF($B74="","",IF($D74="","BPO Management",IFERROR(INDEX(BPOworkers!$B$6:$B$105,MATCH($D74,BPOworkers!$C$6:$C$105,0)),"[!] email not in roster")))</f>
        <v/>
      </c>
    </row>
    <row r="75" spans="2:5" x14ac:dyDescent="0.25">
      <c r="B75" s="56"/>
      <c r="C75" s="56"/>
      <c r="D75" s="56"/>
      <c r="E75" s="102" t="str">
        <f>IF($B75="","",IF($D75="","BPO Management",IFERROR(INDEX(BPOworkers!$B$6:$B$105,MATCH($D75,BPOworkers!$C$6:$C$105,0)),"[!] email not in roster")))</f>
        <v/>
      </c>
    </row>
    <row r="76" spans="2:5" x14ac:dyDescent="0.25">
      <c r="B76" s="56"/>
      <c r="C76" s="56"/>
      <c r="D76" s="56"/>
      <c r="E76" s="102" t="str">
        <f>IF($B76="","",IF($D76="","BPO Management",IFERROR(INDEX(BPOworkers!$B$6:$B$105,MATCH($D76,BPOworkers!$C$6:$C$105,0)),"[!] email not in roster")))</f>
        <v/>
      </c>
    </row>
    <row r="77" spans="2:5" x14ac:dyDescent="0.25">
      <c r="B77" s="56"/>
      <c r="C77" s="56"/>
      <c r="D77" s="56"/>
      <c r="E77" s="102" t="str">
        <f>IF($B77="","",IF($D77="","BPO Management",IFERROR(INDEX(BPOworkers!$B$6:$B$105,MATCH($D77,BPOworkers!$C$6:$C$105,0)),"[!] email not in roster")))</f>
        <v/>
      </c>
    </row>
    <row r="78" spans="2:5" x14ac:dyDescent="0.25">
      <c r="B78" s="56"/>
      <c r="C78" s="56"/>
      <c r="D78" s="56"/>
      <c r="E78" s="102" t="str">
        <f>IF($B78="","",IF($D78="","BPO Management",IFERROR(INDEX(BPOworkers!$B$6:$B$105,MATCH($D78,BPOworkers!$C$6:$C$105,0)),"[!] email not in roster")))</f>
        <v/>
      </c>
    </row>
    <row r="79" spans="2:5" x14ac:dyDescent="0.25">
      <c r="B79" s="56"/>
      <c r="C79" s="56"/>
      <c r="D79" s="56"/>
      <c r="E79" s="102" t="str">
        <f>IF($B79="","",IF($D79="","BPO Management",IFERROR(INDEX(BPOworkers!$B$6:$B$105,MATCH($D79,BPOworkers!$C$6:$C$105,0)),"[!] email not in roster")))</f>
        <v/>
      </c>
    </row>
    <row r="80" spans="2:5" x14ac:dyDescent="0.25">
      <c r="B80" s="56"/>
      <c r="C80" s="56"/>
      <c r="D80" s="56"/>
      <c r="E80" s="102" t="str">
        <f>IF($B80="","",IF($D80="","BPO Management",IFERROR(INDEX(BPOworkers!$B$6:$B$105,MATCH($D80,BPOworkers!$C$6:$C$105,0)),"[!] email not in roster")))</f>
        <v/>
      </c>
    </row>
    <row r="81" spans="2:5" x14ac:dyDescent="0.25">
      <c r="B81" s="56"/>
      <c r="C81" s="56"/>
      <c r="D81" s="56"/>
      <c r="E81" s="102" t="str">
        <f>IF($B81="","",IF($D81="","BPO Management",IFERROR(INDEX(BPOworkers!$B$6:$B$105,MATCH($D81,BPOworkers!$C$6:$C$105,0)),"[!] email not in roster")))</f>
        <v/>
      </c>
    </row>
    <row r="82" spans="2:5" x14ac:dyDescent="0.25">
      <c r="B82" s="56"/>
      <c r="C82" s="56"/>
      <c r="D82" s="56"/>
      <c r="E82" s="102" t="str">
        <f>IF($B82="","",IF($D82="","BPO Management",IFERROR(INDEX(BPOworkers!$B$6:$B$105,MATCH($D82,BPOworkers!$C$6:$C$105,0)),"[!] email not in roster")))</f>
        <v/>
      </c>
    </row>
    <row r="83" spans="2:5" x14ac:dyDescent="0.25">
      <c r="B83" s="56"/>
      <c r="C83" s="56"/>
      <c r="D83" s="56"/>
      <c r="E83" s="102" t="str">
        <f>IF($B83="","",IF($D83="","BPO Management",IFERROR(INDEX(BPOworkers!$B$6:$B$105,MATCH($D83,BPOworkers!$C$6:$C$105,0)),"[!] email not in roster")))</f>
        <v/>
      </c>
    </row>
    <row r="84" spans="2:5" x14ac:dyDescent="0.25">
      <c r="B84" s="56"/>
      <c r="C84" s="56"/>
      <c r="D84" s="56"/>
      <c r="E84" s="102" t="str">
        <f>IF($B84="","",IF($D84="","BPO Management",IFERROR(INDEX(BPOworkers!$B$6:$B$105,MATCH($D84,BPOworkers!$C$6:$C$105,0)),"[!] email not in roster")))</f>
        <v/>
      </c>
    </row>
    <row r="85" spans="2:5" x14ac:dyDescent="0.25">
      <c r="B85" s="56"/>
      <c r="C85" s="56"/>
      <c r="D85" s="56"/>
      <c r="E85" s="102" t="str">
        <f>IF($B85="","",IF($D85="","BPO Management",IFERROR(INDEX(BPOworkers!$B$6:$B$105,MATCH($D85,BPOworkers!$C$6:$C$105,0)),"[!] email not in roster")))</f>
        <v/>
      </c>
    </row>
    <row r="86" spans="2:5" x14ac:dyDescent="0.25">
      <c r="B86" s="56"/>
      <c r="C86" s="56"/>
      <c r="D86" s="56"/>
      <c r="E86" s="102" t="str">
        <f>IF($B86="","",IF($D86="","BPO Management",IFERROR(INDEX(BPOworkers!$B$6:$B$105,MATCH($D86,BPOworkers!$C$6:$C$105,0)),"[!] email not in roster")))</f>
        <v/>
      </c>
    </row>
    <row r="87" spans="2:5" x14ac:dyDescent="0.25">
      <c r="B87" s="56"/>
      <c r="C87" s="56"/>
      <c r="D87" s="56"/>
      <c r="E87" s="102" t="str">
        <f>IF($B87="","",IF($D87="","BPO Management",IFERROR(INDEX(BPOworkers!$B$6:$B$105,MATCH($D87,BPOworkers!$C$6:$C$105,0)),"[!] email not in roster")))</f>
        <v/>
      </c>
    </row>
    <row r="88" spans="2:5" x14ac:dyDescent="0.25">
      <c r="B88" s="56"/>
      <c r="C88" s="56"/>
      <c r="D88" s="56"/>
      <c r="E88" s="102" t="str">
        <f>IF($B88="","",IF($D88="","BPO Management",IFERROR(INDEX(BPOworkers!$B$6:$B$105,MATCH($D88,BPOworkers!$C$6:$C$105,0)),"[!] email not in roster")))</f>
        <v/>
      </c>
    </row>
    <row r="89" spans="2:5" x14ac:dyDescent="0.25">
      <c r="B89" s="56"/>
      <c r="C89" s="56"/>
      <c r="D89" s="56"/>
      <c r="E89" s="102" t="str">
        <f>IF($B89="","",IF($D89="","BPO Management",IFERROR(INDEX(BPOworkers!$B$6:$B$105,MATCH($D89,BPOworkers!$C$6:$C$105,0)),"[!] email not in roster")))</f>
        <v/>
      </c>
    </row>
    <row r="90" spans="2:5" x14ac:dyDescent="0.25">
      <c r="B90" s="56"/>
      <c r="C90" s="56"/>
      <c r="D90" s="56"/>
      <c r="E90" s="102" t="str">
        <f>IF($B90="","",IF($D90="","BPO Management",IFERROR(INDEX(BPOworkers!$B$6:$B$105,MATCH($D90,BPOworkers!$C$6:$C$105,0)),"[!] email not in roster")))</f>
        <v/>
      </c>
    </row>
    <row r="91" spans="2:5" x14ac:dyDescent="0.25">
      <c r="B91" s="56"/>
      <c r="C91" s="56"/>
      <c r="D91" s="56"/>
      <c r="E91" s="102" t="str">
        <f>IF($B91="","",IF($D91="","BPO Management",IFERROR(INDEX(BPOworkers!$B$6:$B$105,MATCH($D91,BPOworkers!$C$6:$C$105,0)),"[!] email not in roster")))</f>
        <v/>
      </c>
    </row>
    <row r="92" spans="2:5" x14ac:dyDescent="0.25">
      <c r="B92" s="56"/>
      <c r="C92" s="56"/>
      <c r="D92" s="56"/>
      <c r="E92" s="102" t="str">
        <f>IF($B92="","",IF($D92="","BPO Management",IFERROR(INDEX(BPOworkers!$B$6:$B$105,MATCH($D92,BPOworkers!$C$6:$C$105,0)),"[!] email not in roster")))</f>
        <v/>
      </c>
    </row>
    <row r="93" spans="2:5" x14ac:dyDescent="0.25">
      <c r="B93" s="56"/>
      <c r="C93" s="56"/>
      <c r="D93" s="56"/>
      <c r="E93" s="102" t="str">
        <f>IF($B93="","",IF($D93="","BPO Management",IFERROR(INDEX(BPOworkers!$B$6:$B$105,MATCH($D93,BPOworkers!$C$6:$C$105,0)),"[!] email not in roster")))</f>
        <v/>
      </c>
    </row>
    <row r="94" spans="2:5" x14ac:dyDescent="0.25">
      <c r="B94" s="56"/>
      <c r="C94" s="56"/>
      <c r="D94" s="56"/>
      <c r="E94" s="102" t="str">
        <f>IF($B94="","",IF($D94="","BPO Management",IFERROR(INDEX(BPOworkers!$B$6:$B$105,MATCH($D94,BPOworkers!$C$6:$C$105,0)),"[!] email not in roster")))</f>
        <v/>
      </c>
    </row>
    <row r="95" spans="2:5" x14ac:dyDescent="0.25">
      <c r="B95" s="56"/>
      <c r="C95" s="56"/>
      <c r="D95" s="56"/>
      <c r="E95" s="102" t="str">
        <f>IF($B95="","",IF($D95="","BPO Management",IFERROR(INDEX(BPOworkers!$B$6:$B$105,MATCH($D95,BPOworkers!$C$6:$C$105,0)),"[!] email not in roster")))</f>
        <v/>
      </c>
    </row>
    <row r="96" spans="2:5" x14ac:dyDescent="0.25">
      <c r="B96" s="56"/>
      <c r="C96" s="56"/>
      <c r="D96" s="56"/>
      <c r="E96" s="102" t="str">
        <f>IF($B96="","",IF($D96="","BPO Management",IFERROR(INDEX(BPOworkers!$B$6:$B$105,MATCH($D96,BPOworkers!$C$6:$C$105,0)),"[!] email not in roster")))</f>
        <v/>
      </c>
    </row>
    <row r="97" spans="2:5" x14ac:dyDescent="0.25">
      <c r="B97" s="56"/>
      <c r="C97" s="56"/>
      <c r="D97" s="56"/>
      <c r="E97" s="102" t="str">
        <f>IF($B97="","",IF($D97="","BPO Management",IFERROR(INDEX(BPOworkers!$B$6:$B$105,MATCH($D97,BPOworkers!$C$6:$C$105,0)),"[!] email not in roster")))</f>
        <v/>
      </c>
    </row>
    <row r="98" spans="2:5" x14ac:dyDescent="0.25">
      <c r="B98" s="56"/>
      <c r="C98" s="56"/>
      <c r="D98" s="56"/>
      <c r="E98" s="102" t="str">
        <f>IF($B98="","",IF($D98="","BPO Management",IFERROR(INDEX(BPOworkers!$B$6:$B$105,MATCH($D98,BPOworkers!$C$6:$C$105,0)),"[!] email not in roster")))</f>
        <v/>
      </c>
    </row>
    <row r="99" spans="2:5" x14ac:dyDescent="0.25">
      <c r="B99" s="56"/>
      <c r="C99" s="56"/>
      <c r="D99" s="56"/>
      <c r="E99" s="102" t="str">
        <f>IF($B99="","",IF($D99="","BPO Management",IFERROR(INDEX(BPOworkers!$B$6:$B$105,MATCH($D99,BPOworkers!$C$6:$C$105,0)),"[!] email not in roster")))</f>
        <v/>
      </c>
    </row>
    <row r="100" spans="2:5" x14ac:dyDescent="0.25">
      <c r="B100" s="56"/>
      <c r="C100" s="56"/>
      <c r="D100" s="56"/>
      <c r="E100" s="102" t="str">
        <f>IF($B100="","",IF($D100="","BPO Management",IFERROR(INDEX(BPOworkers!$B$6:$B$105,MATCH($D100,BPOworkers!$C$6:$C$105,0)),"[!] email not in roster")))</f>
        <v/>
      </c>
    </row>
    <row r="101" spans="2:5" x14ac:dyDescent="0.25">
      <c r="B101" s="56"/>
      <c r="C101" s="56"/>
      <c r="D101" s="56"/>
      <c r="E101" s="102" t="str">
        <f>IF($B101="","",IF($D101="","BPO Management",IFERROR(INDEX(BPOworkers!$B$6:$B$105,MATCH($D101,BPOworkers!$C$6:$C$105,0)),"[!] email not in roster")))</f>
        <v/>
      </c>
    </row>
    <row r="102" spans="2:5" x14ac:dyDescent="0.25">
      <c r="B102" s="56"/>
      <c r="C102" s="56"/>
      <c r="D102" s="56"/>
      <c r="E102" s="102" t="str">
        <f>IF($B102="","",IF($D102="","BPO Management",IFERROR(INDEX(BPOworkers!$B$6:$B$105,MATCH($D102,BPOworkers!$C$6:$C$105,0)),"[!] email not in roster")))</f>
        <v/>
      </c>
    </row>
    <row r="103" spans="2:5" x14ac:dyDescent="0.25">
      <c r="B103" s="56"/>
      <c r="C103" s="56"/>
      <c r="D103" s="56"/>
      <c r="E103" s="102" t="str">
        <f>IF($B103="","",IF($D103="","BPO Management",IFERROR(INDEX(BPOworkers!$B$6:$B$105,MATCH($D103,BPOworkers!$C$6:$C$105,0)),"[!] email not in roster")))</f>
        <v/>
      </c>
    </row>
    <row r="104" spans="2:5" x14ac:dyDescent="0.25">
      <c r="B104" s="56"/>
      <c r="C104" s="56"/>
      <c r="D104" s="56"/>
      <c r="E104" s="102" t="str">
        <f>IF($B104="","",IF($D104="","BPO Management",IFERROR(INDEX(BPOworkers!$B$6:$B$105,MATCH($D104,BPOworkers!$C$6:$C$105,0)),"[!] email not in roster")))</f>
        <v/>
      </c>
    </row>
    <row r="105" spans="2:5" x14ac:dyDescent="0.25">
      <c r="B105" s="56"/>
      <c r="C105" s="56"/>
      <c r="D105" s="56"/>
      <c r="E105" s="102" t="str">
        <f>IF($B105="","",IF($D105="","BPO Management",IFERROR(INDEX(BPOworkers!$B$6:$B$105,MATCH($D105,BPOworkers!$C$6:$C$105,0)),"[!] email not in roster")))</f>
        <v/>
      </c>
    </row>
  </sheetData>
  <mergeCells count="2">
    <mergeCell ref="B2:E2"/>
    <mergeCell ref="B3:E3"/>
  </mergeCells>
  <pageMargins left="0.3" right="0.3" top="0.4" bottom="0.4" header="0.511811023622047" footer="0.511811023622047"/>
  <pageSetup paperSize="9" fitToHeight="0" orientation="landscape" horizontalDpi="300" verticalDpi="3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BFBF"/>
    <pageSetUpPr fitToPage="1"/>
  </sheetPr>
  <dimension ref="A1:AL1500"/>
  <sheetViews>
    <sheetView tabSelected="1" zoomScaleNormal="100" workbookViewId="0">
      <pane ySplit="1" topLeftCell="A2" activePane="bottomLeft" state="frozen"/>
      <selection pane="bottomLeft" activeCell="A2" sqref="A2"/>
    </sheetView>
  </sheetViews>
  <sheetFormatPr defaultColWidth="8.7109375" defaultRowHeight="15" x14ac:dyDescent="0.25"/>
  <cols>
    <col min="1" max="16" width="15" customWidth="1"/>
    <col min="17" max="17" width="50" customWidth="1"/>
    <col min="18" max="18" width="3" customWidth="1"/>
    <col min="19" max="26" width="12" customWidth="1"/>
    <col min="28" max="28" width="18" customWidth="1"/>
    <col min="29" max="31" width="12" customWidth="1"/>
    <col min="32" max="33" width="18" customWidth="1"/>
    <col min="34" max="34" width="12" customWidth="1"/>
    <col min="35" max="38" width="18" customWidth="1"/>
  </cols>
  <sheetData>
    <row r="1" spans="1:38" ht="42" customHeight="1" x14ac:dyDescent="0.25">
      <c r="A1" s="103" t="s">
        <v>580</v>
      </c>
      <c r="B1" s="103" t="s">
        <v>581</v>
      </c>
      <c r="C1" s="103" t="s">
        <v>85</v>
      </c>
      <c r="D1" s="103" t="s">
        <v>582</v>
      </c>
      <c r="E1" s="103" t="s">
        <v>583</v>
      </c>
      <c r="F1" s="103" t="s">
        <v>584</v>
      </c>
      <c r="G1" s="103" t="s">
        <v>585</v>
      </c>
      <c r="H1" s="103" t="s">
        <v>403</v>
      </c>
      <c r="I1" s="103" t="s">
        <v>586</v>
      </c>
      <c r="J1" s="103" t="s">
        <v>587</v>
      </c>
      <c r="K1" s="103" t="s">
        <v>399</v>
      </c>
      <c r="L1" s="103" t="s">
        <v>588</v>
      </c>
      <c r="M1" s="103" t="s">
        <v>589</v>
      </c>
      <c r="N1" s="103" t="s">
        <v>590</v>
      </c>
      <c r="O1" s="103" t="s">
        <v>591</v>
      </c>
      <c r="P1" s="103" t="s">
        <v>592</v>
      </c>
      <c r="Q1" s="103" t="s">
        <v>593</v>
      </c>
      <c r="S1" s="104" t="s">
        <v>594</v>
      </c>
      <c r="T1" s="104" t="s">
        <v>595</v>
      </c>
      <c r="U1" s="104" t="s">
        <v>596</v>
      </c>
      <c r="V1" s="104" t="s">
        <v>597</v>
      </c>
      <c r="W1" s="104" t="s">
        <v>598</v>
      </c>
      <c r="X1" s="104" t="s">
        <v>599</v>
      </c>
      <c r="Y1" s="104" t="s">
        <v>600</v>
      </c>
      <c r="Z1" s="104" t="s">
        <v>601</v>
      </c>
      <c r="AB1" s="105" t="s">
        <v>602</v>
      </c>
      <c r="AC1" s="104" t="s">
        <v>603</v>
      </c>
      <c r="AD1" s="104" t="s">
        <v>604</v>
      </c>
      <c r="AE1" s="104" t="s">
        <v>605</v>
      </c>
      <c r="AF1" s="105" t="s">
        <v>606</v>
      </c>
      <c r="AG1" s="105" t="s">
        <v>607</v>
      </c>
      <c r="AH1" s="104" t="s">
        <v>608</v>
      </c>
      <c r="AI1" s="105" t="s">
        <v>609</v>
      </c>
      <c r="AJ1" s="105" t="s">
        <v>610</v>
      </c>
      <c r="AK1" s="105" t="s">
        <v>611</v>
      </c>
      <c r="AL1" s="105" t="s">
        <v>612</v>
      </c>
    </row>
    <row r="2" spans="1:38" x14ac:dyDescent="0.25">
      <c r="A2" s="106" t="s">
        <v>613</v>
      </c>
      <c r="B2" s="106" t="s">
        <v>614</v>
      </c>
      <c r="C2" s="107">
        <v>46272</v>
      </c>
      <c r="D2" s="106" t="s">
        <v>529</v>
      </c>
      <c r="E2" s="106" t="s">
        <v>529</v>
      </c>
      <c r="F2" s="106" t="s">
        <v>615</v>
      </c>
      <c r="G2" s="106"/>
      <c r="H2" s="106" t="s">
        <v>529</v>
      </c>
      <c r="I2" s="106"/>
      <c r="J2" s="106"/>
      <c r="K2" s="106">
        <v>0</v>
      </c>
      <c r="L2" s="106">
        <v>0</v>
      </c>
      <c r="M2" s="106">
        <v>0</v>
      </c>
      <c r="N2" s="106"/>
      <c r="O2" s="106"/>
      <c r="P2" s="106">
        <v>0</v>
      </c>
      <c r="Q2" s="106" t="s">
        <v>616</v>
      </c>
      <c r="S2" s="108">
        <f>IF($A2="","",COUNTIF(BPOworkers!$B$6:$B$105,$A2))</f>
        <v>0</v>
      </c>
      <c r="T2" s="109">
        <f>IF($A2="","",$K2*Config!$C$9)</f>
        <v>0</v>
      </c>
      <c r="U2" s="109">
        <f>IF($A2="","",IF(COUNTIF(Config!$C$21:$C$23,$H2)&gt;0,IFERROR(VALUE(LEFT(TRIM($Q2),FIND(" ",TRIM($Q2)&amp;" ")-1)),0),0))</f>
        <v>8</v>
      </c>
      <c r="V2" s="109">
        <f t="shared" ref="V2:V65" si="0">IF($A2="","",$T2+$U2)</f>
        <v>8</v>
      </c>
      <c r="W2" s="108">
        <f>IF($A2="",0,IF(AND($C2&gt;=Config!$C$7,$C2&lt;=Config!$C$8),1,0))</f>
        <v>0</v>
      </c>
      <c r="X2" s="108">
        <f>IF($A2="",0,IF(COUNTIF(Config!$C$21:$C$23,$H2)&gt;0,1,0))</f>
        <v>1</v>
      </c>
      <c r="Y2" s="108">
        <f t="shared" ref="Y2:Y65" si="1">IF($A2="",MAX(0,Y1),MAX(0,Y1)+IF(AND($W2=1,$X2=1,$S2=1),1,0))</f>
        <v>0</v>
      </c>
      <c r="Z2" s="108" t="str">
        <f t="shared" ref="Z2:Z65" si="2">IF($A2="","",IF(AND($W2=1,$X2=1,$S2=1),$Y2,""))</f>
        <v/>
      </c>
      <c r="AB2" s="108">
        <f t="shared" ref="AB2:AB65" si="3">IF($A2="",0,IF(AND($S2=0,ISERROR(FIND(".",$A2))),1,0))</f>
        <v>0</v>
      </c>
      <c r="AC2" s="108">
        <f>IF($A2="",0,IF(AND($AB2=1,COUNTIF($A$2:$A2,$A2)=1),1,0))</f>
        <v>0</v>
      </c>
      <c r="AD2" s="108">
        <f t="shared" ref="AD2:AD65" si="4">IF($A2="",MAX(0,AD1),MAX(0,AD1)+$AC2)</f>
        <v>0</v>
      </c>
      <c r="AE2" s="108" t="str">
        <f t="shared" ref="AE2:AE65" si="5">IF($AC2=1,$AD2,"")</f>
        <v/>
      </c>
      <c r="AF2" s="108">
        <f t="shared" ref="AF2:AF65" si="6">IF($A2="",0,IFERROR(IF(AND($S2=1,WEEKDAY($C2,2)&gt;5),1,0),0))</f>
        <v>0</v>
      </c>
      <c r="AG2" s="108">
        <f t="shared" ref="AG2:AG65" si="7">IF($A2="",0,IF(AND($S2=1,$W2=0),1,0))</f>
        <v>0</v>
      </c>
      <c r="AH2" s="110" t="str">
        <f t="shared" ref="AH2:AH65" si="8">IF($A2="","",$A2&amp;"|"&amp;TEXT($C2,"yyyymmdd")&amp;"|"&amp;$H2&amp;"|"&amp;TEXT($K2,"0.000")&amp;"|"&amp;SUBSTITUTE(SUBSTITUTE(SUBSTITUTE(LEFT($Q2,120),"~",""),"*",""),"?",""))</f>
        <v>V. Toran|20260907|Time Off|0.000|8 hours not billed (Labor Day)</v>
      </c>
      <c r="AI2" s="108">
        <f t="shared" ref="AI2:AI65" si="9">IF($A2="",0,IF(AND($S2=1,$W2=1,COUNTIF($AH$2:$AH$1500,$AH2)&gt;1),1,0))</f>
        <v>0</v>
      </c>
      <c r="AJ2" s="108">
        <f t="shared" ref="AJ2:AJ65" si="10">IF($A2="",0,IF(AND($S2=1,$W2=1,ABS($K2*8-ROUND($K2*8,0))&gt;0.0001),1,0))</f>
        <v>0</v>
      </c>
      <c r="AK2" s="108">
        <f>IF($A2="",0,IF(AND($S2=1,$W2=1,$X2=1,$U2&gt;Config!$C$9),1,0))</f>
        <v>0</v>
      </c>
      <c r="AL2" s="108">
        <f t="shared" ref="AL2:AL65" si="11">IF($A2="",0,IF(AND($S2=1,$W2=1,$X2=1,$U2=0),1,0))</f>
        <v>0</v>
      </c>
    </row>
    <row r="3" spans="1:38" x14ac:dyDescent="0.25">
      <c r="A3" s="106" t="s">
        <v>617</v>
      </c>
      <c r="B3" s="106" t="s">
        <v>618</v>
      </c>
      <c r="C3" s="107">
        <v>46272</v>
      </c>
      <c r="D3" s="106" t="s">
        <v>529</v>
      </c>
      <c r="E3" s="106" t="s">
        <v>529</v>
      </c>
      <c r="F3" s="106" t="s">
        <v>615</v>
      </c>
      <c r="G3" s="106"/>
      <c r="H3" s="106" t="s">
        <v>529</v>
      </c>
      <c r="I3" s="106"/>
      <c r="J3" s="106"/>
      <c r="K3" s="106">
        <v>0</v>
      </c>
      <c r="L3" s="106">
        <v>0</v>
      </c>
      <c r="M3" s="106">
        <v>0</v>
      </c>
      <c r="N3" s="106"/>
      <c r="O3" s="106"/>
      <c r="P3" s="106">
        <v>0</v>
      </c>
      <c r="Q3" s="106" t="s">
        <v>619</v>
      </c>
      <c r="S3" s="108">
        <f>IF($A3="","",COUNTIF(BPOworkers!$B$6:$B$105,$A3))</f>
        <v>0</v>
      </c>
      <c r="T3" s="109">
        <f>IF($A3="","",$K3*Config!$C$9)</f>
        <v>0</v>
      </c>
      <c r="U3" s="109">
        <f>IF($A3="","",IF(COUNTIF(Config!$C$21:$C$23,$H3)&gt;0,IFERROR(VALUE(LEFT(TRIM($Q3),FIND(" ",TRIM($Q3)&amp;" ")-1)),0),0))</f>
        <v>8</v>
      </c>
      <c r="V3" s="109">
        <f t="shared" si="0"/>
        <v>8</v>
      </c>
      <c r="W3" s="108">
        <f>IF($A3="",0,IF(AND($C3&gt;=Config!$C$7,$C3&lt;=Config!$C$8),1,0))</f>
        <v>0</v>
      </c>
      <c r="X3" s="108">
        <f>IF($A3="",0,IF(COUNTIF(Config!$C$21:$C$23,$H3)&gt;0,1,0))</f>
        <v>1</v>
      </c>
      <c r="Y3" s="108">
        <f t="shared" si="1"/>
        <v>0</v>
      </c>
      <c r="Z3" s="108" t="str">
        <f t="shared" si="2"/>
        <v/>
      </c>
      <c r="AB3" s="108">
        <f t="shared" si="3"/>
        <v>0</v>
      </c>
      <c r="AC3" s="108">
        <f>IF($A3="",0,IF(AND($AB3=1,COUNTIF($A$2:$A3,$A3)=1),1,0))</f>
        <v>0</v>
      </c>
      <c r="AD3" s="108">
        <f t="shared" si="4"/>
        <v>0</v>
      </c>
      <c r="AE3" s="108" t="str">
        <f t="shared" si="5"/>
        <v/>
      </c>
      <c r="AF3" s="108">
        <f t="shared" si="6"/>
        <v>0</v>
      </c>
      <c r="AG3" s="108">
        <f t="shared" si="7"/>
        <v>0</v>
      </c>
      <c r="AH3" s="110" t="str">
        <f t="shared" si="8"/>
        <v>P. Tamez|20260907|Time Off|0.000|8 hours off for Labor Day.</v>
      </c>
      <c r="AI3" s="108">
        <f t="shared" si="9"/>
        <v>0</v>
      </c>
      <c r="AJ3" s="108">
        <f t="shared" si="10"/>
        <v>0</v>
      </c>
      <c r="AK3" s="108">
        <f>IF($A3="",0,IF(AND($S3=1,$W3=1,$X3=1,$U3&gt;Config!$C$9),1,0))</f>
        <v>0</v>
      </c>
      <c r="AL3" s="108">
        <f t="shared" si="11"/>
        <v>0</v>
      </c>
    </row>
    <row r="4" spans="1:38" x14ac:dyDescent="0.25">
      <c r="A4" s="106" t="s">
        <v>620</v>
      </c>
      <c r="B4" s="106" t="s">
        <v>614</v>
      </c>
      <c r="C4" s="107">
        <v>46272</v>
      </c>
      <c r="D4" s="106" t="s">
        <v>529</v>
      </c>
      <c r="E4" s="106" t="s">
        <v>529</v>
      </c>
      <c r="F4" s="106" t="s">
        <v>615</v>
      </c>
      <c r="G4" s="106"/>
      <c r="H4" s="106" t="s">
        <v>529</v>
      </c>
      <c r="I4" s="106"/>
      <c r="J4" s="106"/>
      <c r="K4" s="106">
        <v>0</v>
      </c>
      <c r="L4" s="106">
        <v>0</v>
      </c>
      <c r="M4" s="106">
        <v>0</v>
      </c>
      <c r="N4" s="106"/>
      <c r="O4" s="106"/>
      <c r="P4" s="106">
        <v>0</v>
      </c>
      <c r="Q4" s="106" t="s">
        <v>621</v>
      </c>
      <c r="S4" s="108">
        <f>IF($A4="","",COUNTIF(BPOworkers!$B$6:$B$105,$A4))</f>
        <v>0</v>
      </c>
      <c r="T4" s="109">
        <f>IF($A4="","",$K4*Config!$C$9)</f>
        <v>0</v>
      </c>
      <c r="U4" s="109">
        <f>IF($A4="","",IF(COUNTIF(Config!$C$21:$C$23,$H4)&gt;0,IFERROR(VALUE(LEFT(TRIM($Q4),FIND(" ",TRIM($Q4)&amp;" ")-1)),0),0))</f>
        <v>8</v>
      </c>
      <c r="V4" s="109">
        <f t="shared" si="0"/>
        <v>8</v>
      </c>
      <c r="W4" s="108">
        <f>IF($A4="",0,IF(AND($C4&gt;=Config!$C$7,$C4&lt;=Config!$C$8),1,0))</f>
        <v>0</v>
      </c>
      <c r="X4" s="108">
        <f>IF($A4="",0,IF(COUNTIF(Config!$C$21:$C$23,$H4)&gt;0,1,0))</f>
        <v>1</v>
      </c>
      <c r="Y4" s="108">
        <f t="shared" si="1"/>
        <v>0</v>
      </c>
      <c r="Z4" s="108" t="str">
        <f t="shared" si="2"/>
        <v/>
      </c>
      <c r="AB4" s="108">
        <f t="shared" si="3"/>
        <v>0</v>
      </c>
      <c r="AC4" s="108">
        <f>IF($A4="",0,IF(AND($AB4=1,COUNTIF($A$2:$A4,$A4)=1),1,0))</f>
        <v>0</v>
      </c>
      <c r="AD4" s="108">
        <f t="shared" si="4"/>
        <v>0</v>
      </c>
      <c r="AE4" s="108" t="str">
        <f t="shared" si="5"/>
        <v/>
      </c>
      <c r="AF4" s="108">
        <f t="shared" si="6"/>
        <v>0</v>
      </c>
      <c r="AG4" s="108">
        <f t="shared" si="7"/>
        <v>0</v>
      </c>
      <c r="AH4" s="110" t="str">
        <f t="shared" si="8"/>
        <v>I. Rice|20260907|Time Off|0.000|8 hours unbilled- Labor Day</v>
      </c>
      <c r="AI4" s="108">
        <f t="shared" si="9"/>
        <v>0</v>
      </c>
      <c r="AJ4" s="108">
        <f t="shared" si="10"/>
        <v>0</v>
      </c>
      <c r="AK4" s="108">
        <f>IF($A4="",0,IF(AND($S4=1,$W4=1,$X4=1,$U4&gt;Config!$C$9),1,0))</f>
        <v>0</v>
      </c>
      <c r="AL4" s="108">
        <f t="shared" si="11"/>
        <v>0</v>
      </c>
    </row>
    <row r="5" spans="1:38" x14ac:dyDescent="0.25">
      <c r="A5" s="106" t="s">
        <v>622</v>
      </c>
      <c r="B5" s="106" t="s">
        <v>618</v>
      </c>
      <c r="C5" s="107">
        <v>46272</v>
      </c>
      <c r="D5" s="106" t="s">
        <v>623</v>
      </c>
      <c r="E5" s="106" t="s">
        <v>624</v>
      </c>
      <c r="F5" s="106" t="s">
        <v>615</v>
      </c>
      <c r="G5" s="106" t="s">
        <v>625</v>
      </c>
      <c r="H5" s="106" t="s">
        <v>533</v>
      </c>
      <c r="I5" s="106"/>
      <c r="J5" s="106"/>
      <c r="K5" s="106">
        <v>1</v>
      </c>
      <c r="L5" s="106">
        <v>0</v>
      </c>
      <c r="M5" s="106">
        <v>0</v>
      </c>
      <c r="N5" s="106"/>
      <c r="O5" s="106"/>
      <c r="P5" s="106">
        <v>0</v>
      </c>
      <c r="Q5" s="106" t="s">
        <v>626</v>
      </c>
      <c r="S5" s="108">
        <f>IF($A5="","",COUNTIF(BPOworkers!$B$6:$B$105,$A5))</f>
        <v>0</v>
      </c>
      <c r="T5" s="109">
        <f>IF($A5="","",$K5*Config!$C$9)</f>
        <v>8</v>
      </c>
      <c r="U5" s="109">
        <f>IF($A5="","",IF(COUNTIF(Config!$C$21:$C$23,$H5)&gt;0,IFERROR(VALUE(LEFT(TRIM($Q5),FIND(" ",TRIM($Q5)&amp;" ")-1)),0),0))</f>
        <v>8</v>
      </c>
      <c r="V5" s="109">
        <f t="shared" si="0"/>
        <v>16</v>
      </c>
      <c r="W5" s="108">
        <f>IF($A5="",0,IF(AND($C5&gt;=Config!$C$7,$C5&lt;=Config!$C$8),1,0))</f>
        <v>0</v>
      </c>
      <c r="X5" s="108">
        <f>IF($A5="",0,IF(COUNTIF(Config!$C$21:$C$23,$H5)&gt;0,1,0))</f>
        <v>1</v>
      </c>
      <c r="Y5" s="108">
        <f t="shared" si="1"/>
        <v>0</v>
      </c>
      <c r="Z5" s="108" t="str">
        <f t="shared" si="2"/>
        <v/>
      </c>
      <c r="AB5" s="108">
        <f t="shared" si="3"/>
        <v>0</v>
      </c>
      <c r="AC5" s="108">
        <f>IF($A5="",0,IF(AND($AB5=1,COUNTIF($A$2:$A5,$A5)=1),1,0))</f>
        <v>0</v>
      </c>
      <c r="AD5" s="108">
        <f t="shared" si="4"/>
        <v>0</v>
      </c>
      <c r="AE5" s="108" t="str">
        <f t="shared" si="5"/>
        <v/>
      </c>
      <c r="AF5" s="108">
        <f t="shared" si="6"/>
        <v>0</v>
      </c>
      <c r="AG5" s="108">
        <f t="shared" si="7"/>
        <v>0</v>
      </c>
      <c r="AH5" s="110" t="str">
        <f t="shared" si="8"/>
        <v>K. Milcarzyk|20260907|Holiday|1.000|8 hours PTO Holiday.</v>
      </c>
      <c r="AI5" s="108">
        <f t="shared" si="9"/>
        <v>0</v>
      </c>
      <c r="AJ5" s="108">
        <f t="shared" si="10"/>
        <v>0</v>
      </c>
      <c r="AK5" s="108">
        <f>IF($A5="",0,IF(AND($S5=1,$W5=1,$X5=1,$U5&gt;Config!$C$9),1,0))</f>
        <v>0</v>
      </c>
      <c r="AL5" s="108">
        <f t="shared" si="11"/>
        <v>0</v>
      </c>
    </row>
    <row r="6" spans="1:38" x14ac:dyDescent="0.25">
      <c r="A6" s="106" t="s">
        <v>627</v>
      </c>
      <c r="B6" s="106" t="s">
        <v>614</v>
      </c>
      <c r="C6" s="107">
        <v>46272</v>
      </c>
      <c r="D6" s="106" t="s">
        <v>628</v>
      </c>
      <c r="E6" s="106" t="s">
        <v>629</v>
      </c>
      <c r="F6" s="106" t="s">
        <v>630</v>
      </c>
      <c r="G6" s="106"/>
      <c r="H6" s="106" t="s">
        <v>631</v>
      </c>
      <c r="I6" s="106"/>
      <c r="J6" s="106"/>
      <c r="K6" s="106">
        <v>0.5</v>
      </c>
      <c r="L6" s="106">
        <v>0</v>
      </c>
      <c r="M6" s="106">
        <v>0</v>
      </c>
      <c r="N6" s="106"/>
      <c r="O6" s="106"/>
      <c r="P6" s="106">
        <v>0</v>
      </c>
      <c r="Q6" s="106" t="s">
        <v>632</v>
      </c>
      <c r="S6" s="108">
        <f>IF($A6="","",COUNTIF(BPOworkers!$B$6:$B$105,$A6))</f>
        <v>0</v>
      </c>
      <c r="T6" s="109">
        <f>IF($A6="","",$K6*Config!$C$9)</f>
        <v>4</v>
      </c>
      <c r="U6" s="109">
        <f>IF($A6="","",IF(COUNTIF(Config!$C$21:$C$23,$H6)&gt;0,IFERROR(VALUE(LEFT(TRIM($Q6),FIND(" ",TRIM($Q6)&amp;" ")-1)),0),0))</f>
        <v>0</v>
      </c>
      <c r="V6" s="109">
        <f t="shared" si="0"/>
        <v>4</v>
      </c>
      <c r="W6" s="108">
        <f>IF($A6="",0,IF(AND($C6&gt;=Config!$C$7,$C6&lt;=Config!$C$8),1,0))</f>
        <v>0</v>
      </c>
      <c r="X6" s="108">
        <f>IF($A6="",0,IF(COUNTIF(Config!$C$21:$C$23,$H6)&gt;0,1,0))</f>
        <v>0</v>
      </c>
      <c r="Y6" s="108">
        <f t="shared" si="1"/>
        <v>0</v>
      </c>
      <c r="Z6" s="108" t="str">
        <f t="shared" si="2"/>
        <v/>
      </c>
      <c r="AB6" s="108">
        <f t="shared" si="3"/>
        <v>0</v>
      </c>
      <c r="AC6" s="108">
        <f>IF($A6="",0,IF(AND($AB6=1,COUNTIF($A$2:$A6,$A6)=1),1,0))</f>
        <v>0</v>
      </c>
      <c r="AD6" s="108">
        <f t="shared" si="4"/>
        <v>0</v>
      </c>
      <c r="AE6" s="108" t="str">
        <f t="shared" si="5"/>
        <v/>
      </c>
      <c r="AF6" s="108">
        <f t="shared" si="6"/>
        <v>0</v>
      </c>
      <c r="AG6" s="108">
        <f t="shared" si="7"/>
        <v>0</v>
      </c>
      <c r="AH6" s="110" t="str">
        <f t="shared" si="8"/>
        <v>G. Bond|20260907|Title|0.500|Helped pull docs for Sec 28 Blk 34</v>
      </c>
      <c r="AI6" s="108">
        <f t="shared" si="9"/>
        <v>0</v>
      </c>
      <c r="AJ6" s="108">
        <f t="shared" si="10"/>
        <v>0</v>
      </c>
      <c r="AK6" s="108">
        <f>IF($A6="",0,IF(AND($S6=1,$W6=1,$X6=1,$U6&gt;Config!$C$9),1,0))</f>
        <v>0</v>
      </c>
      <c r="AL6" s="108">
        <f t="shared" si="11"/>
        <v>0</v>
      </c>
    </row>
    <row r="7" spans="1:38" x14ac:dyDescent="0.25">
      <c r="A7" s="106" t="s">
        <v>627</v>
      </c>
      <c r="B7" s="106" t="s">
        <v>614</v>
      </c>
      <c r="C7" s="107">
        <v>46272</v>
      </c>
      <c r="D7" s="106" t="s">
        <v>529</v>
      </c>
      <c r="E7" s="106" t="s">
        <v>529</v>
      </c>
      <c r="F7" s="106" t="s">
        <v>615</v>
      </c>
      <c r="G7" s="106"/>
      <c r="H7" s="106" t="s">
        <v>529</v>
      </c>
      <c r="I7" s="106"/>
      <c r="J7" s="106"/>
      <c r="K7" s="106">
        <v>0</v>
      </c>
      <c r="L7" s="106">
        <v>0</v>
      </c>
      <c r="M7" s="106">
        <v>0</v>
      </c>
      <c r="N7" s="106"/>
      <c r="O7" s="106"/>
      <c r="P7" s="106">
        <v>0</v>
      </c>
      <c r="Q7" s="106" t="s">
        <v>633</v>
      </c>
      <c r="S7" s="108">
        <f>IF($A7="","",COUNTIF(BPOworkers!$B$6:$B$105,$A7))</f>
        <v>0</v>
      </c>
      <c r="T7" s="109">
        <f>IF($A7="","",$K7*Config!$C$9)</f>
        <v>0</v>
      </c>
      <c r="U7" s="109">
        <f>IF($A7="","",IF(COUNTIF(Config!$C$21:$C$23,$H7)&gt;0,IFERROR(VALUE(LEFT(TRIM($Q7),FIND(" ",TRIM($Q7)&amp;" ")-1)),0),0))</f>
        <v>4</v>
      </c>
      <c r="V7" s="109">
        <f t="shared" si="0"/>
        <v>4</v>
      </c>
      <c r="W7" s="108">
        <f>IF($A7="",0,IF(AND($C7&gt;=Config!$C$7,$C7&lt;=Config!$C$8),1,0))</f>
        <v>0</v>
      </c>
      <c r="X7" s="108">
        <f>IF($A7="",0,IF(COUNTIF(Config!$C$21:$C$23,$H7)&gt;0,1,0))</f>
        <v>1</v>
      </c>
      <c r="Y7" s="108">
        <f t="shared" si="1"/>
        <v>0</v>
      </c>
      <c r="Z7" s="108" t="str">
        <f t="shared" si="2"/>
        <v/>
      </c>
      <c r="AB7" s="108">
        <f t="shared" si="3"/>
        <v>0</v>
      </c>
      <c r="AC7" s="108">
        <f>IF($A7="",0,IF(AND($AB7=1,COUNTIF($A$2:$A7,$A7)=1),1,0))</f>
        <v>0</v>
      </c>
      <c r="AD7" s="108">
        <f t="shared" si="4"/>
        <v>0</v>
      </c>
      <c r="AE7" s="108" t="str">
        <f t="shared" si="5"/>
        <v/>
      </c>
      <c r="AF7" s="108">
        <f t="shared" si="6"/>
        <v>0</v>
      </c>
      <c r="AG7" s="108">
        <f t="shared" si="7"/>
        <v>0</v>
      </c>
      <c r="AH7" s="110" t="str">
        <f t="shared" si="8"/>
        <v>G. Bond|20260907|Time Off|0.000|4 hours not billed.</v>
      </c>
      <c r="AI7" s="108">
        <f t="shared" si="9"/>
        <v>0</v>
      </c>
      <c r="AJ7" s="108">
        <f t="shared" si="10"/>
        <v>0</v>
      </c>
      <c r="AK7" s="108">
        <f>IF($A7="",0,IF(AND($S7=1,$W7=1,$X7=1,$U7&gt;Config!$C$9),1,0))</f>
        <v>0</v>
      </c>
      <c r="AL7" s="108">
        <f t="shared" si="11"/>
        <v>0</v>
      </c>
    </row>
    <row r="8" spans="1:38" x14ac:dyDescent="0.25">
      <c r="A8" s="106" t="s">
        <v>634</v>
      </c>
      <c r="B8" s="106" t="s">
        <v>614</v>
      </c>
      <c r="C8" s="107">
        <v>46272</v>
      </c>
      <c r="D8" s="106" t="s">
        <v>635</v>
      </c>
      <c r="E8" s="106" t="s">
        <v>636</v>
      </c>
      <c r="F8" s="106" t="s">
        <v>637</v>
      </c>
      <c r="G8" s="106" t="s">
        <v>638</v>
      </c>
      <c r="H8" s="106" t="s">
        <v>639</v>
      </c>
      <c r="I8" s="106"/>
      <c r="J8" s="106"/>
      <c r="K8" s="106">
        <v>1</v>
      </c>
      <c r="L8" s="106">
        <v>0</v>
      </c>
      <c r="M8" s="106">
        <v>0</v>
      </c>
      <c r="N8" s="106"/>
      <c r="O8" s="106"/>
      <c r="P8" s="106">
        <v>0</v>
      </c>
      <c r="Q8" s="106" t="s">
        <v>640</v>
      </c>
      <c r="S8" s="108">
        <f>IF($A8="","",COUNTIF(BPOworkers!$B$6:$B$105,$A8))</f>
        <v>0</v>
      </c>
      <c r="T8" s="109">
        <f>IF($A8="","",$K8*Config!$C$9)</f>
        <v>8</v>
      </c>
      <c r="U8" s="109">
        <f>IF($A8="","",IF(COUNTIF(Config!$C$21:$C$23,$H8)&gt;0,IFERROR(VALUE(LEFT(TRIM($Q8),FIND(" ",TRIM($Q8)&amp;" ")-1)),0),0))</f>
        <v>0</v>
      </c>
      <c r="V8" s="109">
        <f t="shared" si="0"/>
        <v>8</v>
      </c>
      <c r="W8" s="108">
        <f>IF($A8="",0,IF(AND($C8&gt;=Config!$C$7,$C8&lt;=Config!$C$8),1,0))</f>
        <v>0</v>
      </c>
      <c r="X8" s="108">
        <f>IF($A8="",0,IF(COUNTIF(Config!$C$21:$C$23,$H8)&gt;0,1,0))</f>
        <v>0</v>
      </c>
      <c r="Y8" s="108">
        <f t="shared" si="1"/>
        <v>0</v>
      </c>
      <c r="Z8" s="108" t="str">
        <f t="shared" si="2"/>
        <v/>
      </c>
      <c r="AB8" s="108">
        <f t="shared" si="3"/>
        <v>0</v>
      </c>
      <c r="AC8" s="108">
        <f>IF($A8="",0,IF(AND($AB8=1,COUNTIF($A$2:$A8,$A8)=1),1,0))</f>
        <v>0</v>
      </c>
      <c r="AD8" s="108">
        <f t="shared" si="4"/>
        <v>0</v>
      </c>
      <c r="AE8" s="108" t="str">
        <f t="shared" si="5"/>
        <v/>
      </c>
      <c r="AF8" s="108">
        <f t="shared" si="6"/>
        <v>0</v>
      </c>
      <c r="AG8" s="108">
        <f t="shared" si="7"/>
        <v>0</v>
      </c>
      <c r="AH8" s="110" t="str">
        <f t="shared" si="8"/>
        <v xml:space="preserve">L. Bailiff|20260907|Review|1.000|Finished reviewing AOI for Section 28, Township 19 South, Range 34 East in Lea County, NM associated with Federal Lease </v>
      </c>
      <c r="AI8" s="108">
        <f t="shared" si="9"/>
        <v>0</v>
      </c>
      <c r="AJ8" s="108">
        <f t="shared" si="10"/>
        <v>0</v>
      </c>
      <c r="AK8" s="108">
        <f>IF($A8="",0,IF(AND($S8=1,$W8=1,$X8=1,$U8&gt;Config!$C$9),1,0))</f>
        <v>0</v>
      </c>
      <c r="AL8" s="108">
        <f t="shared" si="11"/>
        <v>0</v>
      </c>
    </row>
    <row r="9" spans="1:38" x14ac:dyDescent="0.25">
      <c r="A9" s="106" t="s">
        <v>641</v>
      </c>
      <c r="B9" s="106" t="s">
        <v>618</v>
      </c>
      <c r="C9" s="107">
        <v>46272</v>
      </c>
      <c r="D9" s="106" t="s">
        <v>529</v>
      </c>
      <c r="E9" s="106" t="s">
        <v>529</v>
      </c>
      <c r="F9" s="106" t="s">
        <v>615</v>
      </c>
      <c r="G9" s="106"/>
      <c r="H9" s="106" t="s">
        <v>529</v>
      </c>
      <c r="I9" s="106"/>
      <c r="J9" s="106"/>
      <c r="K9" s="106">
        <v>0</v>
      </c>
      <c r="L9" s="106">
        <v>0</v>
      </c>
      <c r="M9" s="106">
        <v>0</v>
      </c>
      <c r="N9" s="106"/>
      <c r="O9" s="106"/>
      <c r="P9" s="106">
        <v>0</v>
      </c>
      <c r="Q9" s="106" t="s">
        <v>642</v>
      </c>
      <c r="S9" s="108">
        <f>IF($A9="","",COUNTIF(BPOworkers!$B$6:$B$105,$A9))</f>
        <v>0</v>
      </c>
      <c r="T9" s="109">
        <f>IF($A9="","",$K9*Config!$C$9)</f>
        <v>0</v>
      </c>
      <c r="U9" s="109">
        <f>IF($A9="","",IF(COUNTIF(Config!$C$21:$C$23,$H9)&gt;0,IFERROR(VALUE(LEFT(TRIM($Q9),FIND(" ",TRIM($Q9)&amp;" ")-1)),0),0))</f>
        <v>0</v>
      </c>
      <c r="V9" s="109">
        <f t="shared" si="0"/>
        <v>0</v>
      </c>
      <c r="W9" s="108">
        <f>IF($A9="",0,IF(AND($C9&gt;=Config!$C$7,$C9&lt;=Config!$C$8),1,0))</f>
        <v>0</v>
      </c>
      <c r="X9" s="108">
        <f>IF($A9="",0,IF(COUNTIF(Config!$C$21:$C$23,$H9)&gt;0,1,0))</f>
        <v>1</v>
      </c>
      <c r="Y9" s="108">
        <f t="shared" si="1"/>
        <v>0</v>
      </c>
      <c r="Z9" s="108" t="str">
        <f t="shared" si="2"/>
        <v/>
      </c>
      <c r="AB9" s="108">
        <f t="shared" si="3"/>
        <v>0</v>
      </c>
      <c r="AC9" s="108">
        <f>IF($A9="",0,IF(AND($AB9=1,COUNTIF($A$2:$A9,$A9)=1),1,0))</f>
        <v>0</v>
      </c>
      <c r="AD9" s="108">
        <f t="shared" si="4"/>
        <v>0</v>
      </c>
      <c r="AE9" s="108" t="str">
        <f t="shared" si="5"/>
        <v/>
      </c>
      <c r="AF9" s="108">
        <f t="shared" si="6"/>
        <v>0</v>
      </c>
      <c r="AG9" s="108">
        <f t="shared" si="7"/>
        <v>0</v>
      </c>
      <c r="AH9" s="110" t="str">
        <f t="shared" si="8"/>
        <v>M. Young|20260907|Time Off|0.000|Not Billed - 6 hours</v>
      </c>
      <c r="AI9" s="108">
        <f t="shared" si="9"/>
        <v>0</v>
      </c>
      <c r="AJ9" s="108">
        <f t="shared" si="10"/>
        <v>0</v>
      </c>
      <c r="AK9" s="108">
        <f>IF($A9="",0,IF(AND($S9=1,$W9=1,$X9=1,$U9&gt;Config!$C$9),1,0))</f>
        <v>0</v>
      </c>
      <c r="AL9" s="108">
        <f t="shared" si="11"/>
        <v>0</v>
      </c>
    </row>
    <row r="10" spans="1:38" x14ac:dyDescent="0.25">
      <c r="A10" s="106" t="s">
        <v>641</v>
      </c>
      <c r="B10" s="106" t="s">
        <v>618</v>
      </c>
      <c r="C10" s="107">
        <v>46272</v>
      </c>
      <c r="D10" s="106" t="s">
        <v>643</v>
      </c>
      <c r="E10" s="106" t="s">
        <v>644</v>
      </c>
      <c r="F10" s="106" t="s">
        <v>645</v>
      </c>
      <c r="G10" s="106" t="s">
        <v>646</v>
      </c>
      <c r="H10" s="106" t="s">
        <v>639</v>
      </c>
      <c r="I10" s="106"/>
      <c r="J10" s="106"/>
      <c r="K10" s="106">
        <v>0.25</v>
      </c>
      <c r="L10" s="106">
        <v>0</v>
      </c>
      <c r="M10" s="106">
        <v>0</v>
      </c>
      <c r="N10" s="106"/>
      <c r="O10" s="106"/>
      <c r="P10" s="106">
        <v>0</v>
      </c>
      <c r="Q10" s="106" t="s">
        <v>647</v>
      </c>
      <c r="S10" s="108">
        <f>IF($A10="","",COUNTIF(BPOworkers!$B$6:$B$105,$A10))</f>
        <v>0</v>
      </c>
      <c r="T10" s="109">
        <f>IF($A10="","",$K10*Config!$C$9)</f>
        <v>2</v>
      </c>
      <c r="U10" s="109">
        <f>IF($A10="","",IF(COUNTIF(Config!$C$21:$C$23,$H10)&gt;0,IFERROR(VALUE(LEFT(TRIM($Q10),FIND(" ",TRIM($Q10)&amp;" ")-1)),0),0))</f>
        <v>0</v>
      </c>
      <c r="V10" s="109">
        <f t="shared" si="0"/>
        <v>2</v>
      </c>
      <c r="W10" s="108">
        <f>IF($A10="",0,IF(AND($C10&gt;=Config!$C$7,$C10&lt;=Config!$C$8),1,0))</f>
        <v>0</v>
      </c>
      <c r="X10" s="108">
        <f>IF($A10="",0,IF(COUNTIF(Config!$C$21:$C$23,$H10)&gt;0,1,0))</f>
        <v>0</v>
      </c>
      <c r="Y10" s="108">
        <f t="shared" si="1"/>
        <v>0</v>
      </c>
      <c r="Z10" s="108" t="str">
        <f t="shared" si="2"/>
        <v/>
      </c>
      <c r="AB10" s="108">
        <f t="shared" si="3"/>
        <v>0</v>
      </c>
      <c r="AC10" s="108">
        <f>IF($A10="",0,IF(AND($AB10=1,COUNTIF($A$2:$A10,$A10)=1),1,0))</f>
        <v>0</v>
      </c>
      <c r="AD10" s="108">
        <f t="shared" si="4"/>
        <v>0</v>
      </c>
      <c r="AE10" s="108" t="str">
        <f t="shared" si="5"/>
        <v/>
      </c>
      <c r="AF10" s="108">
        <f t="shared" si="6"/>
        <v>0</v>
      </c>
      <c r="AG10" s="108">
        <f t="shared" si="7"/>
        <v>0</v>
      </c>
      <c r="AH10" s="110" t="str">
        <f t="shared" si="8"/>
        <v>M. Young|20260907|Review|0.250|Review cards</v>
      </c>
      <c r="AI10" s="108">
        <f t="shared" si="9"/>
        <v>0</v>
      </c>
      <c r="AJ10" s="108">
        <f t="shared" si="10"/>
        <v>0</v>
      </c>
      <c r="AK10" s="108">
        <f>IF($A10="",0,IF(AND($S10=1,$W10=1,$X10=1,$U10&gt;Config!$C$9),1,0))</f>
        <v>0</v>
      </c>
      <c r="AL10" s="108">
        <f t="shared" si="11"/>
        <v>0</v>
      </c>
    </row>
    <row r="11" spans="1:38" x14ac:dyDescent="0.25">
      <c r="A11" s="106" t="s">
        <v>648</v>
      </c>
      <c r="B11" s="106" t="s">
        <v>614</v>
      </c>
      <c r="C11" s="107">
        <v>46272</v>
      </c>
      <c r="D11" s="106" t="s">
        <v>529</v>
      </c>
      <c r="E11" s="106" t="s">
        <v>529</v>
      </c>
      <c r="F11" s="106" t="s">
        <v>615</v>
      </c>
      <c r="G11" s="106"/>
      <c r="H11" s="106" t="s">
        <v>529</v>
      </c>
      <c r="I11" s="106"/>
      <c r="J11" s="106"/>
      <c r="K11" s="106">
        <v>0</v>
      </c>
      <c r="L11" s="106">
        <v>0</v>
      </c>
      <c r="M11" s="106">
        <v>0</v>
      </c>
      <c r="N11" s="106"/>
      <c r="O11" s="106"/>
      <c r="P11" s="106">
        <v>0</v>
      </c>
      <c r="Q11" s="106" t="s">
        <v>649</v>
      </c>
      <c r="S11" s="108">
        <f>IF($A11="","",COUNTIF(BPOworkers!$B$6:$B$105,$A11))</f>
        <v>0</v>
      </c>
      <c r="T11" s="109">
        <f>IF($A11="","",$K11*Config!$C$9)</f>
        <v>0</v>
      </c>
      <c r="U11" s="109">
        <f>IF($A11="","",IF(COUNTIF(Config!$C$21:$C$23,$H11)&gt;0,IFERROR(VALUE(LEFT(TRIM($Q11),FIND(" ",TRIM($Q11)&amp;" ")-1)),0),0))</f>
        <v>8</v>
      </c>
      <c r="V11" s="109">
        <f t="shared" si="0"/>
        <v>8</v>
      </c>
      <c r="W11" s="108">
        <f>IF($A11="",0,IF(AND($C11&gt;=Config!$C$7,$C11&lt;=Config!$C$8),1,0))</f>
        <v>0</v>
      </c>
      <c r="X11" s="108">
        <f>IF($A11="",0,IF(COUNTIF(Config!$C$21:$C$23,$H11)&gt;0,1,0))</f>
        <v>1</v>
      </c>
      <c r="Y11" s="108">
        <f t="shared" si="1"/>
        <v>0</v>
      </c>
      <c r="Z11" s="108" t="str">
        <f t="shared" si="2"/>
        <v/>
      </c>
      <c r="AB11" s="108">
        <f t="shared" si="3"/>
        <v>0</v>
      </c>
      <c r="AC11" s="108">
        <f>IF($A11="",0,IF(AND($AB11=1,COUNTIF($A$2:$A11,$A11)=1),1,0))</f>
        <v>0</v>
      </c>
      <c r="AD11" s="108">
        <f t="shared" si="4"/>
        <v>0</v>
      </c>
      <c r="AE11" s="108" t="str">
        <f t="shared" si="5"/>
        <v/>
      </c>
      <c r="AF11" s="108">
        <f t="shared" si="6"/>
        <v>0</v>
      </c>
      <c r="AG11" s="108">
        <f t="shared" si="7"/>
        <v>0</v>
      </c>
      <c r="AH11" s="110" t="str">
        <f t="shared" si="8"/>
        <v>M. Witheridge|20260907|Time Off|0.000|8 hours unpaid</v>
      </c>
      <c r="AI11" s="108">
        <f t="shared" si="9"/>
        <v>0</v>
      </c>
      <c r="AJ11" s="108">
        <f t="shared" si="10"/>
        <v>0</v>
      </c>
      <c r="AK11" s="108">
        <f>IF($A11="",0,IF(AND($S11=1,$W11=1,$X11=1,$U11&gt;Config!$C$9),1,0))</f>
        <v>0</v>
      </c>
      <c r="AL11" s="108">
        <f t="shared" si="11"/>
        <v>0</v>
      </c>
    </row>
    <row r="12" spans="1:38" x14ac:dyDescent="0.25">
      <c r="A12" s="106" t="s">
        <v>650</v>
      </c>
      <c r="B12" s="106" t="s">
        <v>614</v>
      </c>
      <c r="C12" s="107">
        <v>46272</v>
      </c>
      <c r="D12" s="106" t="s">
        <v>529</v>
      </c>
      <c r="E12" s="106" t="s">
        <v>529</v>
      </c>
      <c r="F12" s="106" t="s">
        <v>615</v>
      </c>
      <c r="G12" s="106"/>
      <c r="H12" s="106" t="s">
        <v>529</v>
      </c>
      <c r="I12" s="106"/>
      <c r="J12" s="106"/>
      <c r="K12" s="106">
        <v>0</v>
      </c>
      <c r="L12" s="106">
        <v>0</v>
      </c>
      <c r="M12" s="106">
        <v>0</v>
      </c>
      <c r="N12" s="106"/>
      <c r="O12" s="106"/>
      <c r="P12" s="106">
        <v>0</v>
      </c>
      <c r="Q12" s="106" t="s">
        <v>651</v>
      </c>
      <c r="S12" s="108">
        <f>IF($A12="","",COUNTIF(BPOworkers!$B$6:$B$105,$A12))</f>
        <v>0</v>
      </c>
      <c r="T12" s="109">
        <f>IF($A12="","",$K12*Config!$C$9)</f>
        <v>0</v>
      </c>
      <c r="U12" s="109">
        <f>IF($A12="","",IF(COUNTIF(Config!$C$21:$C$23,$H12)&gt;0,IFERROR(VALUE(LEFT(TRIM($Q12),FIND(" ",TRIM($Q12)&amp;" ")-1)),0),0))</f>
        <v>8</v>
      </c>
      <c r="V12" s="109">
        <f t="shared" si="0"/>
        <v>8</v>
      </c>
      <c r="W12" s="108">
        <f>IF($A12="",0,IF(AND($C12&gt;=Config!$C$7,$C12&lt;=Config!$C$8),1,0))</f>
        <v>0</v>
      </c>
      <c r="X12" s="108">
        <f>IF($A12="",0,IF(COUNTIF(Config!$C$21:$C$23,$H12)&gt;0,1,0))</f>
        <v>1</v>
      </c>
      <c r="Y12" s="108">
        <f t="shared" si="1"/>
        <v>0</v>
      </c>
      <c r="Z12" s="108" t="str">
        <f t="shared" si="2"/>
        <v/>
      </c>
      <c r="AB12" s="108">
        <f t="shared" si="3"/>
        <v>0</v>
      </c>
      <c r="AC12" s="108">
        <f>IF($A12="",0,IF(AND($AB12=1,COUNTIF($A$2:$A12,$A12)=1),1,0))</f>
        <v>0</v>
      </c>
      <c r="AD12" s="108">
        <f t="shared" si="4"/>
        <v>0</v>
      </c>
      <c r="AE12" s="108" t="str">
        <f t="shared" si="5"/>
        <v/>
      </c>
      <c r="AF12" s="108">
        <f t="shared" si="6"/>
        <v>0</v>
      </c>
      <c r="AG12" s="108">
        <f t="shared" si="7"/>
        <v>0</v>
      </c>
      <c r="AH12" s="110" t="str">
        <f t="shared" si="8"/>
        <v>P. Elliott|20260907|Time Off|0.000|8 hours time off.</v>
      </c>
      <c r="AI12" s="108">
        <f t="shared" si="9"/>
        <v>0</v>
      </c>
      <c r="AJ12" s="108">
        <f t="shared" si="10"/>
        <v>0</v>
      </c>
      <c r="AK12" s="108">
        <f>IF($A12="",0,IF(AND($S12=1,$W12=1,$X12=1,$U12&gt;Config!$C$9),1,0))</f>
        <v>0</v>
      </c>
      <c r="AL12" s="108">
        <f t="shared" si="11"/>
        <v>0</v>
      </c>
    </row>
    <row r="13" spans="1:38" x14ac:dyDescent="0.25">
      <c r="A13" s="106" t="s">
        <v>652</v>
      </c>
      <c r="B13" s="106" t="s">
        <v>618</v>
      </c>
      <c r="C13" s="107">
        <v>46272</v>
      </c>
      <c r="D13" s="106" t="s">
        <v>529</v>
      </c>
      <c r="E13" s="106" t="s">
        <v>529</v>
      </c>
      <c r="F13" s="106" t="s">
        <v>615</v>
      </c>
      <c r="G13" s="106"/>
      <c r="H13" s="106" t="s">
        <v>529</v>
      </c>
      <c r="I13" s="106"/>
      <c r="J13" s="106"/>
      <c r="K13" s="106">
        <v>0</v>
      </c>
      <c r="L13" s="106">
        <v>0</v>
      </c>
      <c r="M13" s="106">
        <v>0</v>
      </c>
      <c r="N13" s="106"/>
      <c r="O13" s="106"/>
      <c r="P13" s="106">
        <v>0</v>
      </c>
      <c r="Q13" s="106" t="s">
        <v>649</v>
      </c>
      <c r="S13" s="108">
        <f>IF($A13="","",COUNTIF(BPOworkers!$B$6:$B$105,$A13))</f>
        <v>0</v>
      </c>
      <c r="T13" s="109">
        <f>IF($A13="","",$K13*Config!$C$9)</f>
        <v>0</v>
      </c>
      <c r="U13" s="109">
        <f>IF($A13="","",IF(COUNTIF(Config!$C$21:$C$23,$H13)&gt;0,IFERROR(VALUE(LEFT(TRIM($Q13),FIND(" ",TRIM($Q13)&amp;" ")-1)),0),0))</f>
        <v>8</v>
      </c>
      <c r="V13" s="109">
        <f t="shared" si="0"/>
        <v>8</v>
      </c>
      <c r="W13" s="108">
        <f>IF($A13="",0,IF(AND($C13&gt;=Config!$C$7,$C13&lt;=Config!$C$8),1,0))</f>
        <v>0</v>
      </c>
      <c r="X13" s="108">
        <f>IF($A13="",0,IF(COUNTIF(Config!$C$21:$C$23,$H13)&gt;0,1,0))</f>
        <v>1</v>
      </c>
      <c r="Y13" s="108">
        <f t="shared" si="1"/>
        <v>0</v>
      </c>
      <c r="Z13" s="108" t="str">
        <f t="shared" si="2"/>
        <v/>
      </c>
      <c r="AB13" s="108">
        <f t="shared" si="3"/>
        <v>0</v>
      </c>
      <c r="AC13" s="108">
        <f>IF($A13="",0,IF(AND($AB13=1,COUNTIF($A$2:$A13,$A13)=1),1,0))</f>
        <v>0</v>
      </c>
      <c r="AD13" s="108">
        <f t="shared" si="4"/>
        <v>0</v>
      </c>
      <c r="AE13" s="108" t="str">
        <f t="shared" si="5"/>
        <v/>
      </c>
      <c r="AF13" s="108">
        <f t="shared" si="6"/>
        <v>0</v>
      </c>
      <c r="AG13" s="108">
        <f t="shared" si="7"/>
        <v>0</v>
      </c>
      <c r="AH13" s="110" t="str">
        <f t="shared" si="8"/>
        <v>J. Greenlee|20260907|Time Off|0.000|8 hours unpaid</v>
      </c>
      <c r="AI13" s="108">
        <f t="shared" si="9"/>
        <v>0</v>
      </c>
      <c r="AJ13" s="108">
        <f t="shared" si="10"/>
        <v>0</v>
      </c>
      <c r="AK13" s="108">
        <f>IF($A13="",0,IF(AND($S13=1,$W13=1,$X13=1,$U13&gt;Config!$C$9),1,0))</f>
        <v>0</v>
      </c>
      <c r="AL13" s="108">
        <f t="shared" si="11"/>
        <v>0</v>
      </c>
    </row>
    <row r="14" spans="1:38" x14ac:dyDescent="0.25">
      <c r="A14" s="106" t="s">
        <v>653</v>
      </c>
      <c r="B14" s="106" t="s">
        <v>614</v>
      </c>
      <c r="C14" s="107">
        <v>46272</v>
      </c>
      <c r="D14" s="106" t="s">
        <v>533</v>
      </c>
      <c r="E14" s="106" t="s">
        <v>533</v>
      </c>
      <c r="F14" s="106" t="s">
        <v>615</v>
      </c>
      <c r="G14" s="106" t="s">
        <v>654</v>
      </c>
      <c r="H14" s="106" t="s">
        <v>533</v>
      </c>
      <c r="I14" s="106"/>
      <c r="J14" s="106"/>
      <c r="K14" s="106">
        <v>1</v>
      </c>
      <c r="L14" s="106">
        <v>0</v>
      </c>
      <c r="M14" s="106">
        <v>0</v>
      </c>
      <c r="N14" s="106"/>
      <c r="O14" s="106"/>
      <c r="P14" s="106">
        <v>0</v>
      </c>
      <c r="Q14" s="106"/>
      <c r="S14" s="108">
        <f>IF($A14="","",COUNTIF(BPOworkers!$B$6:$B$105,$A14))</f>
        <v>0</v>
      </c>
      <c r="T14" s="109">
        <f>IF($A14="","",$K14*Config!$C$9)</f>
        <v>8</v>
      </c>
      <c r="U14" s="109">
        <f>IF($A14="","",IF(COUNTIF(Config!$C$21:$C$23,$H14)&gt;0,IFERROR(VALUE(LEFT(TRIM($Q14),FIND(" ",TRIM($Q14)&amp;" ")-1)),0),0))</f>
        <v>0</v>
      </c>
      <c r="V14" s="109">
        <f t="shared" si="0"/>
        <v>8</v>
      </c>
      <c r="W14" s="108">
        <f>IF($A14="",0,IF(AND($C14&gt;=Config!$C$7,$C14&lt;=Config!$C$8),1,0))</f>
        <v>0</v>
      </c>
      <c r="X14" s="108">
        <f>IF($A14="",0,IF(COUNTIF(Config!$C$21:$C$23,$H14)&gt;0,1,0))</f>
        <v>1</v>
      </c>
      <c r="Y14" s="108">
        <f t="shared" si="1"/>
        <v>0</v>
      </c>
      <c r="Z14" s="108" t="str">
        <f t="shared" si="2"/>
        <v/>
      </c>
      <c r="AB14" s="108">
        <f t="shared" si="3"/>
        <v>0</v>
      </c>
      <c r="AC14" s="108">
        <f>IF($A14="",0,IF(AND($AB14=1,COUNTIF($A$2:$A14,$A14)=1),1,0))</f>
        <v>0</v>
      </c>
      <c r="AD14" s="108">
        <f t="shared" si="4"/>
        <v>0</v>
      </c>
      <c r="AE14" s="108" t="str">
        <f t="shared" si="5"/>
        <v/>
      </c>
      <c r="AF14" s="108">
        <f t="shared" si="6"/>
        <v>0</v>
      </c>
      <c r="AG14" s="108">
        <f t="shared" si="7"/>
        <v>0</v>
      </c>
      <c r="AH14" s="110" t="str">
        <f t="shared" si="8"/>
        <v>J. Howell|20260907|Holiday|1.000|</v>
      </c>
      <c r="AI14" s="108">
        <f t="shared" si="9"/>
        <v>0</v>
      </c>
      <c r="AJ14" s="108">
        <f t="shared" si="10"/>
        <v>0</v>
      </c>
      <c r="AK14" s="108">
        <f>IF($A14="",0,IF(AND($S14=1,$W14=1,$X14=1,$U14&gt;Config!$C$9),1,0))</f>
        <v>0</v>
      </c>
      <c r="AL14" s="108">
        <f t="shared" si="11"/>
        <v>0</v>
      </c>
    </row>
    <row r="15" spans="1:38" x14ac:dyDescent="0.25">
      <c r="A15" s="106" t="s">
        <v>655</v>
      </c>
      <c r="B15" s="106" t="s">
        <v>614</v>
      </c>
      <c r="C15" s="107">
        <v>46272</v>
      </c>
      <c r="D15" s="106" t="s">
        <v>623</v>
      </c>
      <c r="E15" s="106" t="s">
        <v>624</v>
      </c>
      <c r="F15" s="106" t="s">
        <v>615</v>
      </c>
      <c r="G15" s="106" t="s">
        <v>625</v>
      </c>
      <c r="H15" s="106" t="s">
        <v>656</v>
      </c>
      <c r="I15" s="106" t="s">
        <v>657</v>
      </c>
      <c r="J15" s="106" t="s">
        <v>658</v>
      </c>
      <c r="K15" s="106">
        <v>1</v>
      </c>
      <c r="L15" s="106">
        <v>0</v>
      </c>
      <c r="M15" s="106">
        <v>0</v>
      </c>
      <c r="N15" s="106"/>
      <c r="O15" s="106"/>
      <c r="P15" s="106">
        <v>0</v>
      </c>
      <c r="Q15" s="106" t="s">
        <v>659</v>
      </c>
      <c r="S15" s="108">
        <f>IF($A15="","",COUNTIF(BPOworkers!$B$6:$B$105,$A15))</f>
        <v>0</v>
      </c>
      <c r="T15" s="109">
        <f>IF($A15="","",$K15*Config!$C$9)</f>
        <v>8</v>
      </c>
      <c r="U15" s="109">
        <f>IF($A15="","",IF(COUNTIF(Config!$C$21:$C$23,$H15)&gt;0,IFERROR(VALUE(LEFT(TRIM($Q15),FIND(" ",TRIM($Q15)&amp;" ")-1)),0),0))</f>
        <v>0</v>
      </c>
      <c r="V15" s="109">
        <f t="shared" si="0"/>
        <v>8</v>
      </c>
      <c r="W15" s="108">
        <f>IF($A15="",0,IF(AND($C15&gt;=Config!$C$7,$C15&lt;=Config!$C$8),1,0))</f>
        <v>0</v>
      </c>
      <c r="X15" s="108">
        <f>IF($A15="",0,IF(COUNTIF(Config!$C$21:$C$23,$H15)&gt;0,1,0))</f>
        <v>0</v>
      </c>
      <c r="Y15" s="108">
        <f t="shared" si="1"/>
        <v>0</v>
      </c>
      <c r="Z15" s="108" t="str">
        <f t="shared" si="2"/>
        <v/>
      </c>
      <c r="AB15" s="108">
        <f t="shared" si="3"/>
        <v>0</v>
      </c>
      <c r="AC15" s="108">
        <f>IF($A15="",0,IF(AND($AB15=1,COUNTIF($A$2:$A15,$A15)=1),1,0))</f>
        <v>0</v>
      </c>
      <c r="AD15" s="108">
        <f t="shared" si="4"/>
        <v>0</v>
      </c>
      <c r="AE15" s="108" t="str">
        <f t="shared" si="5"/>
        <v/>
      </c>
      <c r="AF15" s="108">
        <f t="shared" si="6"/>
        <v>0</v>
      </c>
      <c r="AG15" s="108">
        <f t="shared" si="7"/>
        <v>0</v>
      </c>
      <c r="AH15" s="110" t="str">
        <f t="shared" si="8"/>
        <v xml:space="preserve">A. Beato|20260907|Project Management|1.000|Continued development and refinement of the Tracts Command Center, with a primary focus on building out and integrating </v>
      </c>
      <c r="AI15" s="108">
        <f t="shared" si="9"/>
        <v>0</v>
      </c>
      <c r="AJ15" s="108">
        <f t="shared" si="10"/>
        <v>0</v>
      </c>
      <c r="AK15" s="108">
        <f>IF($A15="",0,IF(AND($S15=1,$W15=1,$X15=1,$U15&gt;Config!$C$9),1,0))</f>
        <v>0</v>
      </c>
      <c r="AL15" s="108">
        <f t="shared" si="11"/>
        <v>0</v>
      </c>
    </row>
    <row r="16" spans="1:38" x14ac:dyDescent="0.25">
      <c r="A16" s="106" t="s">
        <v>660</v>
      </c>
      <c r="B16" s="106" t="s">
        <v>614</v>
      </c>
      <c r="C16" s="107">
        <v>46272</v>
      </c>
      <c r="D16" s="106" t="s">
        <v>529</v>
      </c>
      <c r="E16" s="106" t="s">
        <v>529</v>
      </c>
      <c r="F16" s="106" t="s">
        <v>615</v>
      </c>
      <c r="G16" s="106"/>
      <c r="H16" s="106" t="s">
        <v>529</v>
      </c>
      <c r="I16" s="106"/>
      <c r="J16" s="106"/>
      <c r="K16" s="106">
        <v>0</v>
      </c>
      <c r="L16" s="106">
        <v>0</v>
      </c>
      <c r="M16" s="106">
        <v>0</v>
      </c>
      <c r="N16" s="106"/>
      <c r="O16" s="106"/>
      <c r="P16" s="106">
        <v>0</v>
      </c>
      <c r="Q16" s="106" t="s">
        <v>661</v>
      </c>
      <c r="S16" s="108">
        <f>IF($A16="","",COUNTIF(BPOworkers!$B$6:$B$105,$A16))</f>
        <v>0</v>
      </c>
      <c r="T16" s="109">
        <f>IF($A16="","",$K16*Config!$C$9)</f>
        <v>0</v>
      </c>
      <c r="U16" s="109">
        <f>IF($A16="","",IF(COUNTIF(Config!$C$21:$C$23,$H16)&gt;0,IFERROR(VALUE(LEFT(TRIM($Q16),FIND(" ",TRIM($Q16)&amp;" ")-1)),0),0))</f>
        <v>8</v>
      </c>
      <c r="V16" s="109">
        <f t="shared" si="0"/>
        <v>8</v>
      </c>
      <c r="W16" s="108">
        <f>IF($A16="",0,IF(AND($C16&gt;=Config!$C$7,$C16&lt;=Config!$C$8),1,0))</f>
        <v>0</v>
      </c>
      <c r="X16" s="108">
        <f>IF($A16="",0,IF(COUNTIF(Config!$C$21:$C$23,$H16)&gt;0,1,0))</f>
        <v>1</v>
      </c>
      <c r="Y16" s="108">
        <f t="shared" si="1"/>
        <v>0</v>
      </c>
      <c r="Z16" s="108" t="str">
        <f t="shared" si="2"/>
        <v/>
      </c>
      <c r="AB16" s="108">
        <f t="shared" si="3"/>
        <v>0</v>
      </c>
      <c r="AC16" s="108">
        <f>IF($A16="",0,IF(AND($AB16=1,COUNTIF($A$2:$A16,$A16)=1),1,0))</f>
        <v>0</v>
      </c>
      <c r="AD16" s="108">
        <f t="shared" si="4"/>
        <v>0</v>
      </c>
      <c r="AE16" s="108" t="str">
        <f t="shared" si="5"/>
        <v/>
      </c>
      <c r="AF16" s="108">
        <f t="shared" si="6"/>
        <v>0</v>
      </c>
      <c r="AG16" s="108">
        <f t="shared" si="7"/>
        <v>0</v>
      </c>
      <c r="AH16" s="110" t="str">
        <f t="shared" si="8"/>
        <v>L. Yasir|20260907|Time Off|0.000|8 hours not billed</v>
      </c>
      <c r="AI16" s="108">
        <f t="shared" si="9"/>
        <v>0</v>
      </c>
      <c r="AJ16" s="108">
        <f t="shared" si="10"/>
        <v>0</v>
      </c>
      <c r="AK16" s="108">
        <f>IF($A16="",0,IF(AND($S16=1,$W16=1,$X16=1,$U16&gt;Config!$C$9),1,0))</f>
        <v>0</v>
      </c>
      <c r="AL16" s="108">
        <f t="shared" si="11"/>
        <v>0</v>
      </c>
    </row>
    <row r="17" spans="1:38" x14ac:dyDescent="0.25">
      <c r="A17" s="106" t="s">
        <v>662</v>
      </c>
      <c r="B17" s="106" t="s">
        <v>614</v>
      </c>
      <c r="C17" s="107">
        <v>46272</v>
      </c>
      <c r="D17" s="106" t="s">
        <v>529</v>
      </c>
      <c r="E17" s="106" t="s">
        <v>529</v>
      </c>
      <c r="F17" s="106" t="s">
        <v>615</v>
      </c>
      <c r="G17" s="106"/>
      <c r="H17" s="106" t="s">
        <v>529</v>
      </c>
      <c r="I17" s="106"/>
      <c r="J17" s="106"/>
      <c r="K17" s="106">
        <v>0</v>
      </c>
      <c r="L17" s="106">
        <v>0</v>
      </c>
      <c r="M17" s="106">
        <v>0</v>
      </c>
      <c r="N17" s="106"/>
      <c r="O17" s="106"/>
      <c r="P17" s="106">
        <v>0</v>
      </c>
      <c r="Q17" s="106" t="s">
        <v>661</v>
      </c>
      <c r="S17" s="108">
        <f>IF($A17="","",COUNTIF(BPOworkers!$B$6:$B$105,$A17))</f>
        <v>0</v>
      </c>
      <c r="T17" s="109">
        <f>IF($A17="","",$K17*Config!$C$9)</f>
        <v>0</v>
      </c>
      <c r="U17" s="109">
        <f>IF($A17="","",IF(COUNTIF(Config!$C$21:$C$23,$H17)&gt;0,IFERROR(VALUE(LEFT(TRIM($Q17),FIND(" ",TRIM($Q17)&amp;" ")-1)),0),0))</f>
        <v>8</v>
      </c>
      <c r="V17" s="109">
        <f t="shared" si="0"/>
        <v>8</v>
      </c>
      <c r="W17" s="108">
        <f>IF($A17="",0,IF(AND($C17&gt;=Config!$C$7,$C17&lt;=Config!$C$8),1,0))</f>
        <v>0</v>
      </c>
      <c r="X17" s="108">
        <f>IF($A17="",0,IF(COUNTIF(Config!$C$21:$C$23,$H17)&gt;0,1,0))</f>
        <v>1</v>
      </c>
      <c r="Y17" s="108">
        <f t="shared" si="1"/>
        <v>0</v>
      </c>
      <c r="Z17" s="108" t="str">
        <f t="shared" si="2"/>
        <v/>
      </c>
      <c r="AB17" s="108">
        <f t="shared" si="3"/>
        <v>0</v>
      </c>
      <c r="AC17" s="108">
        <f>IF($A17="",0,IF(AND($AB17=1,COUNTIF($A$2:$A17,$A17)=1),1,0))</f>
        <v>0</v>
      </c>
      <c r="AD17" s="108">
        <f t="shared" si="4"/>
        <v>0</v>
      </c>
      <c r="AE17" s="108" t="str">
        <f t="shared" si="5"/>
        <v/>
      </c>
      <c r="AF17" s="108">
        <f t="shared" si="6"/>
        <v>0</v>
      </c>
      <c r="AG17" s="108">
        <f t="shared" si="7"/>
        <v>0</v>
      </c>
      <c r="AH17" s="110" t="str">
        <f t="shared" si="8"/>
        <v>M. Svatek|20260907|Time Off|0.000|8 hours not billed</v>
      </c>
      <c r="AI17" s="108">
        <f t="shared" si="9"/>
        <v>0</v>
      </c>
      <c r="AJ17" s="108">
        <f t="shared" si="10"/>
        <v>0</v>
      </c>
      <c r="AK17" s="108">
        <f>IF($A17="",0,IF(AND($S17=1,$W17=1,$X17=1,$U17&gt;Config!$C$9),1,0))</f>
        <v>0</v>
      </c>
      <c r="AL17" s="108">
        <f t="shared" si="11"/>
        <v>0</v>
      </c>
    </row>
    <row r="18" spans="1:38" x14ac:dyDescent="0.25">
      <c r="A18" s="106" t="s">
        <v>663</v>
      </c>
      <c r="B18" s="106" t="s">
        <v>614</v>
      </c>
      <c r="C18" s="107">
        <v>46272</v>
      </c>
      <c r="D18" s="106" t="s">
        <v>529</v>
      </c>
      <c r="E18" s="106" t="s">
        <v>529</v>
      </c>
      <c r="F18" s="106" t="s">
        <v>615</v>
      </c>
      <c r="G18" s="106"/>
      <c r="H18" s="106" t="s">
        <v>529</v>
      </c>
      <c r="I18" s="106"/>
      <c r="J18" s="106"/>
      <c r="K18" s="106">
        <v>0</v>
      </c>
      <c r="L18" s="106">
        <v>0</v>
      </c>
      <c r="M18" s="106">
        <v>0</v>
      </c>
      <c r="N18" s="106"/>
      <c r="O18" s="106"/>
      <c r="P18" s="106">
        <v>0</v>
      </c>
      <c r="Q18" s="106" t="s">
        <v>664</v>
      </c>
      <c r="S18" s="108">
        <f>IF($A18="","",COUNTIF(BPOworkers!$B$6:$B$105,$A18))</f>
        <v>0</v>
      </c>
      <c r="T18" s="109">
        <f>IF($A18="","",$K18*Config!$C$9)</f>
        <v>0</v>
      </c>
      <c r="U18" s="109">
        <f>IF($A18="","",IF(COUNTIF(Config!$C$21:$C$23,$H18)&gt;0,IFERROR(VALUE(LEFT(TRIM($Q18),FIND(" ",TRIM($Q18)&amp;" ")-1)),0),0))</f>
        <v>8</v>
      </c>
      <c r="V18" s="109">
        <f t="shared" si="0"/>
        <v>8</v>
      </c>
      <c r="W18" s="108">
        <f>IF($A18="",0,IF(AND($C18&gt;=Config!$C$7,$C18&lt;=Config!$C$8),1,0))</f>
        <v>0</v>
      </c>
      <c r="X18" s="108">
        <f>IF($A18="",0,IF(COUNTIF(Config!$C$21:$C$23,$H18)&gt;0,1,0))</f>
        <v>1</v>
      </c>
      <c r="Y18" s="108">
        <f t="shared" si="1"/>
        <v>0</v>
      </c>
      <c r="Z18" s="108" t="str">
        <f t="shared" si="2"/>
        <v/>
      </c>
      <c r="AB18" s="108">
        <f t="shared" si="3"/>
        <v>0</v>
      </c>
      <c r="AC18" s="108">
        <f>IF($A18="",0,IF(AND($AB18=1,COUNTIF($A$2:$A18,$A18)=1),1,0))</f>
        <v>0</v>
      </c>
      <c r="AD18" s="108">
        <f t="shared" si="4"/>
        <v>0</v>
      </c>
      <c r="AE18" s="108" t="str">
        <f t="shared" si="5"/>
        <v/>
      </c>
      <c r="AF18" s="108">
        <f t="shared" si="6"/>
        <v>0</v>
      </c>
      <c r="AG18" s="108">
        <f t="shared" si="7"/>
        <v>0</v>
      </c>
      <c r="AH18" s="110" t="str">
        <f t="shared" si="8"/>
        <v>J. Jinkins|20260907|Time Off|0.000|8 hours not billed.</v>
      </c>
      <c r="AI18" s="108">
        <f t="shared" si="9"/>
        <v>0</v>
      </c>
      <c r="AJ18" s="108">
        <f t="shared" si="10"/>
        <v>0</v>
      </c>
      <c r="AK18" s="108">
        <f>IF($A18="",0,IF(AND($S18=1,$W18=1,$X18=1,$U18&gt;Config!$C$9),1,0))</f>
        <v>0</v>
      </c>
      <c r="AL18" s="108">
        <f t="shared" si="11"/>
        <v>0</v>
      </c>
    </row>
    <row r="19" spans="1:38" x14ac:dyDescent="0.25">
      <c r="A19" s="106" t="s">
        <v>665</v>
      </c>
      <c r="B19" s="106" t="s">
        <v>618</v>
      </c>
      <c r="C19" s="107">
        <v>46272</v>
      </c>
      <c r="D19" s="106" t="s">
        <v>635</v>
      </c>
      <c r="E19" s="106" t="s">
        <v>636</v>
      </c>
      <c r="F19" s="106" t="s">
        <v>637</v>
      </c>
      <c r="G19" s="106"/>
      <c r="H19" s="106" t="s">
        <v>639</v>
      </c>
      <c r="I19" s="106"/>
      <c r="J19" s="106"/>
      <c r="K19" s="106">
        <v>0.625</v>
      </c>
      <c r="L19" s="106">
        <v>0</v>
      </c>
      <c r="M19" s="106">
        <v>0</v>
      </c>
      <c r="N19" s="106"/>
      <c r="O19" s="106"/>
      <c r="P19" s="106">
        <v>0</v>
      </c>
      <c r="Q19" s="106" t="s">
        <v>666</v>
      </c>
      <c r="S19" s="108">
        <f>IF($A19="","",COUNTIF(BPOworkers!$B$6:$B$105,$A19))</f>
        <v>0</v>
      </c>
      <c r="T19" s="109">
        <f>IF($A19="","",$K19*Config!$C$9)</f>
        <v>5</v>
      </c>
      <c r="U19" s="109">
        <f>IF($A19="","",IF(COUNTIF(Config!$C$21:$C$23,$H19)&gt;0,IFERROR(VALUE(LEFT(TRIM($Q19),FIND(" ",TRIM($Q19)&amp;" ")-1)),0),0))</f>
        <v>0</v>
      </c>
      <c r="V19" s="109">
        <f t="shared" si="0"/>
        <v>5</v>
      </c>
      <c r="W19" s="108">
        <f>IF($A19="",0,IF(AND($C19&gt;=Config!$C$7,$C19&lt;=Config!$C$8),1,0))</f>
        <v>0</v>
      </c>
      <c r="X19" s="108">
        <f>IF($A19="",0,IF(COUNTIF(Config!$C$21:$C$23,$H19)&gt;0,1,0))</f>
        <v>0</v>
      </c>
      <c r="Y19" s="108">
        <f t="shared" si="1"/>
        <v>0</v>
      </c>
      <c r="Z19" s="108" t="str">
        <f t="shared" si="2"/>
        <v/>
      </c>
      <c r="AB19" s="108">
        <f t="shared" si="3"/>
        <v>0</v>
      </c>
      <c r="AC19" s="108">
        <f>IF($A19="",0,IF(AND($AB19=1,COUNTIF($A$2:$A19,$A19)=1),1,0))</f>
        <v>0</v>
      </c>
      <c r="AD19" s="108">
        <f t="shared" si="4"/>
        <v>0</v>
      </c>
      <c r="AE19" s="108" t="str">
        <f t="shared" si="5"/>
        <v/>
      </c>
      <c r="AF19" s="108">
        <f t="shared" si="6"/>
        <v>0</v>
      </c>
      <c r="AG19" s="108">
        <f t="shared" si="7"/>
        <v>0</v>
      </c>
      <c r="AH19" s="110" t="str">
        <f t="shared" si="8"/>
        <v>M. Tamez|20260907|Review|0.625|Continued quality control work on completed AOIs per PM Instructions.</v>
      </c>
      <c r="AI19" s="108">
        <f t="shared" si="9"/>
        <v>0</v>
      </c>
      <c r="AJ19" s="108">
        <f t="shared" si="10"/>
        <v>0</v>
      </c>
      <c r="AK19" s="108">
        <f>IF($A19="",0,IF(AND($S19=1,$W19=1,$X19=1,$U19&gt;Config!$C$9),1,0))</f>
        <v>0</v>
      </c>
      <c r="AL19" s="108">
        <f t="shared" si="11"/>
        <v>0</v>
      </c>
    </row>
    <row r="20" spans="1:38" x14ac:dyDescent="0.25">
      <c r="A20" s="106" t="s">
        <v>665</v>
      </c>
      <c r="B20" s="106" t="s">
        <v>618</v>
      </c>
      <c r="C20" s="107">
        <v>46272</v>
      </c>
      <c r="D20" s="106" t="s">
        <v>529</v>
      </c>
      <c r="E20" s="106" t="s">
        <v>529</v>
      </c>
      <c r="F20" s="106" t="s">
        <v>615</v>
      </c>
      <c r="G20" s="106"/>
      <c r="H20" s="106" t="s">
        <v>529</v>
      </c>
      <c r="I20" s="106"/>
      <c r="J20" s="106"/>
      <c r="K20" s="106">
        <v>0.375</v>
      </c>
      <c r="L20" s="106">
        <v>0</v>
      </c>
      <c r="M20" s="106">
        <v>0</v>
      </c>
      <c r="N20" s="106"/>
      <c r="O20" s="106"/>
      <c r="P20" s="106">
        <v>0</v>
      </c>
      <c r="Q20" s="106" t="s">
        <v>667</v>
      </c>
      <c r="S20" s="108">
        <f>IF($A20="","",COUNTIF(BPOworkers!$B$6:$B$105,$A20))</f>
        <v>0</v>
      </c>
      <c r="T20" s="109">
        <f>IF($A20="","",$K20*Config!$C$9)</f>
        <v>3</v>
      </c>
      <c r="U20" s="109">
        <f>IF($A20="","",IF(COUNTIF(Config!$C$21:$C$23,$H20)&gt;0,IFERROR(VALUE(LEFT(TRIM($Q20),FIND(" ",TRIM($Q20)&amp;" ")-1)),0),0))</f>
        <v>3</v>
      </c>
      <c r="V20" s="109">
        <f t="shared" si="0"/>
        <v>6</v>
      </c>
      <c r="W20" s="108">
        <f>IF($A20="",0,IF(AND($C20&gt;=Config!$C$7,$C20&lt;=Config!$C$8),1,0))</f>
        <v>0</v>
      </c>
      <c r="X20" s="108">
        <f>IF($A20="",0,IF(COUNTIF(Config!$C$21:$C$23,$H20)&gt;0,1,0))</f>
        <v>1</v>
      </c>
      <c r="Y20" s="108">
        <f t="shared" si="1"/>
        <v>0</v>
      </c>
      <c r="Z20" s="108" t="str">
        <f t="shared" si="2"/>
        <v/>
      </c>
      <c r="AB20" s="108">
        <f t="shared" si="3"/>
        <v>0</v>
      </c>
      <c r="AC20" s="108">
        <f>IF($A20="",0,IF(AND($AB20=1,COUNTIF($A$2:$A20,$A20)=1),1,0))</f>
        <v>0</v>
      </c>
      <c r="AD20" s="108">
        <f t="shared" si="4"/>
        <v>0</v>
      </c>
      <c r="AE20" s="108" t="str">
        <f t="shared" si="5"/>
        <v/>
      </c>
      <c r="AF20" s="108">
        <f t="shared" si="6"/>
        <v>0</v>
      </c>
      <c r="AG20" s="108">
        <f t="shared" si="7"/>
        <v>0</v>
      </c>
      <c r="AH20" s="110" t="str">
        <f t="shared" si="8"/>
        <v>M. Tamez|20260907|Time Off|0.375|3 hours not worked.</v>
      </c>
      <c r="AI20" s="108">
        <f t="shared" si="9"/>
        <v>0</v>
      </c>
      <c r="AJ20" s="108">
        <f t="shared" si="10"/>
        <v>0</v>
      </c>
      <c r="AK20" s="108">
        <f>IF($A20="",0,IF(AND($S20=1,$W20=1,$X20=1,$U20&gt;Config!$C$9),1,0))</f>
        <v>0</v>
      </c>
      <c r="AL20" s="108">
        <f t="shared" si="11"/>
        <v>0</v>
      </c>
    </row>
    <row r="21" spans="1:38" ht="204.75" x14ac:dyDescent="0.25">
      <c r="A21" s="106" t="s">
        <v>668</v>
      </c>
      <c r="B21" s="106" t="s">
        <v>614</v>
      </c>
      <c r="C21" s="107">
        <v>46272</v>
      </c>
      <c r="D21" s="106" t="s">
        <v>669</v>
      </c>
      <c r="E21" s="106" t="s">
        <v>669</v>
      </c>
      <c r="F21" s="106" t="s">
        <v>670</v>
      </c>
      <c r="G21" s="106"/>
      <c r="H21" s="106" t="s">
        <v>671</v>
      </c>
      <c r="I21" s="106"/>
      <c r="J21" s="106" t="s">
        <v>669</v>
      </c>
      <c r="K21" s="106">
        <v>1</v>
      </c>
      <c r="L21" s="106">
        <v>0</v>
      </c>
      <c r="M21" s="106">
        <v>0</v>
      </c>
      <c r="N21" s="106"/>
      <c r="O21" s="106"/>
      <c r="P21" s="106">
        <v>0</v>
      </c>
      <c r="Q21" s="111" t="s">
        <v>672</v>
      </c>
      <c r="S21" s="108">
        <f>IF($A21="","",COUNTIF(BPOworkers!$B$6:$B$105,$A21))</f>
        <v>0</v>
      </c>
      <c r="T21" s="109">
        <f>IF($A21="","",$K21*Config!$C$9)</f>
        <v>8</v>
      </c>
      <c r="U21" s="109">
        <f>IF($A21="","",IF(COUNTIF(Config!$C$21:$C$23,$H21)&gt;0,IFERROR(VALUE(LEFT(TRIM($Q21),FIND(" ",TRIM($Q21)&amp;" ")-1)),0),0))</f>
        <v>0</v>
      </c>
      <c r="V21" s="109">
        <f t="shared" si="0"/>
        <v>8</v>
      </c>
      <c r="W21" s="108">
        <f>IF($A21="",0,IF(AND($C21&gt;=Config!$C$7,$C21&lt;=Config!$C$8),1,0))</f>
        <v>0</v>
      </c>
      <c r="X21" s="108">
        <f>IF($A21="",0,IF(COUNTIF(Config!$C$21:$C$23,$H21)&gt;0,1,0))</f>
        <v>0</v>
      </c>
      <c r="Y21" s="108">
        <f t="shared" si="1"/>
        <v>0</v>
      </c>
      <c r="Z21" s="108" t="str">
        <f t="shared" si="2"/>
        <v/>
      </c>
      <c r="AB21" s="108">
        <f t="shared" si="3"/>
        <v>0</v>
      </c>
      <c r="AC21" s="108">
        <f>IF($A21="",0,IF(AND($AB21=1,COUNTIF($A$2:$A21,$A21)=1),1,0))</f>
        <v>0</v>
      </c>
      <c r="AD21" s="108">
        <f t="shared" si="4"/>
        <v>0</v>
      </c>
      <c r="AE21" s="108" t="str">
        <f t="shared" si="5"/>
        <v/>
      </c>
      <c r="AF21" s="108">
        <f t="shared" si="6"/>
        <v>0</v>
      </c>
      <c r="AG21" s="108">
        <f t="shared" si="7"/>
        <v>0</v>
      </c>
      <c r="AH21" s="112" t="str">
        <f t="shared" si="8"/>
        <v xml:space="preserve">M. Bearrow|20260907|TitleNotes - Library|1.000|I am currently training with Matt regarding the library title
 notes. I am encountering some issues with documents that
</v>
      </c>
      <c r="AI21" s="108">
        <f t="shared" si="9"/>
        <v>0</v>
      </c>
      <c r="AJ21" s="108">
        <f t="shared" si="10"/>
        <v>0</v>
      </c>
      <c r="AK21" s="108">
        <f>IF($A21="",0,IF(AND($S21=1,$W21=1,$X21=1,$U21&gt;Config!$C$9),1,0))</f>
        <v>0</v>
      </c>
      <c r="AL21" s="108">
        <f t="shared" si="11"/>
        <v>0</v>
      </c>
    </row>
    <row r="22" spans="1:38" ht="132.75" x14ac:dyDescent="0.25">
      <c r="A22" s="106" t="s">
        <v>668</v>
      </c>
      <c r="B22" s="106" t="s">
        <v>618</v>
      </c>
      <c r="C22" s="107">
        <v>46272</v>
      </c>
      <c r="D22" s="106" t="s">
        <v>669</v>
      </c>
      <c r="E22" s="106" t="s">
        <v>669</v>
      </c>
      <c r="F22" s="106" t="s">
        <v>670</v>
      </c>
      <c r="G22" s="106"/>
      <c r="H22" s="106" t="s">
        <v>671</v>
      </c>
      <c r="I22" s="106"/>
      <c r="J22" s="106"/>
      <c r="K22" s="106">
        <v>1</v>
      </c>
      <c r="L22" s="106">
        <v>0</v>
      </c>
      <c r="M22" s="106">
        <v>0</v>
      </c>
      <c r="N22" s="106"/>
      <c r="O22" s="106"/>
      <c r="P22" s="106">
        <v>0</v>
      </c>
      <c r="Q22" s="111" t="s">
        <v>673</v>
      </c>
      <c r="S22" s="108">
        <f>IF($A22="","",COUNTIF(BPOworkers!$B$6:$B$105,$A22))</f>
        <v>0</v>
      </c>
      <c r="T22" s="109">
        <f>IF($A22="","",$K22*Config!$C$9)</f>
        <v>8</v>
      </c>
      <c r="U22" s="109">
        <f>IF($A22="","",IF(COUNTIF(Config!$C$21:$C$23,$H22)&gt;0,IFERROR(VALUE(LEFT(TRIM($Q22),FIND(" ",TRIM($Q22)&amp;" ")-1)),0),0))</f>
        <v>0</v>
      </c>
      <c r="V22" s="109">
        <f t="shared" si="0"/>
        <v>8</v>
      </c>
      <c r="W22" s="108">
        <f>IF($A22="",0,IF(AND($C22&gt;=Config!$C$7,$C22&lt;=Config!$C$8),1,0))</f>
        <v>0</v>
      </c>
      <c r="X22" s="108">
        <f>IF($A22="",0,IF(COUNTIF(Config!$C$21:$C$23,$H22)&gt;0,1,0))</f>
        <v>0</v>
      </c>
      <c r="Y22" s="108">
        <f t="shared" si="1"/>
        <v>0</v>
      </c>
      <c r="Z22" s="108" t="str">
        <f t="shared" si="2"/>
        <v/>
      </c>
      <c r="AB22" s="108">
        <f t="shared" si="3"/>
        <v>0</v>
      </c>
      <c r="AC22" s="108">
        <f>IF($A22="",0,IF(AND($AB22=1,COUNTIF($A$2:$A22,$A22)=1),1,0))</f>
        <v>0</v>
      </c>
      <c r="AD22" s="108">
        <f t="shared" si="4"/>
        <v>0</v>
      </c>
      <c r="AE22" s="108" t="str">
        <f t="shared" si="5"/>
        <v/>
      </c>
      <c r="AF22" s="108">
        <f t="shared" si="6"/>
        <v>0</v>
      </c>
      <c r="AG22" s="108">
        <f t="shared" si="7"/>
        <v>0</v>
      </c>
      <c r="AH22" s="112" t="str">
        <f t="shared" si="8"/>
        <v>M. Bearrow|20260907|TitleNotes - Library|1.000|41 documents reviewed
 87 Transactions</v>
      </c>
      <c r="AI22" s="108">
        <f t="shared" si="9"/>
        <v>0</v>
      </c>
      <c r="AJ22" s="108">
        <f t="shared" si="10"/>
        <v>0</v>
      </c>
      <c r="AK22" s="108">
        <f>IF($A22="",0,IF(AND($S22=1,$W22=1,$X22=1,$U22&gt;Config!$C$9),1,0))</f>
        <v>0</v>
      </c>
      <c r="AL22" s="108">
        <f t="shared" si="11"/>
        <v>0</v>
      </c>
    </row>
    <row r="23" spans="1:38" ht="180.75" x14ac:dyDescent="0.25">
      <c r="A23" s="106" t="s">
        <v>668</v>
      </c>
      <c r="B23" s="106" t="s">
        <v>614</v>
      </c>
      <c r="C23" s="107">
        <v>46272</v>
      </c>
      <c r="D23" s="106" t="s">
        <v>669</v>
      </c>
      <c r="E23" s="106" t="s">
        <v>669</v>
      </c>
      <c r="F23" s="106" t="s">
        <v>670</v>
      </c>
      <c r="G23" s="106"/>
      <c r="H23" s="106" t="s">
        <v>674</v>
      </c>
      <c r="I23" s="106"/>
      <c r="J23" s="106"/>
      <c r="K23" s="106">
        <v>1</v>
      </c>
      <c r="L23" s="106">
        <v>0</v>
      </c>
      <c r="M23" s="106">
        <v>0</v>
      </c>
      <c r="N23" s="106"/>
      <c r="O23" s="106"/>
      <c r="P23" s="106">
        <v>0</v>
      </c>
      <c r="Q23" s="111" t="s">
        <v>675</v>
      </c>
      <c r="S23" s="108">
        <f>IF($A23="","",COUNTIF(BPOworkers!$B$6:$B$105,$A23))</f>
        <v>0</v>
      </c>
      <c r="T23" s="109">
        <f>IF($A23="","",$K23*Config!$C$9)</f>
        <v>8</v>
      </c>
      <c r="U23" s="109">
        <f>IF($A23="","",IF(COUNTIF(Config!$C$21:$C$23,$H23)&gt;0,IFERROR(VALUE(LEFT(TRIM($Q23),FIND(" ",TRIM($Q23)&amp;" ")-1)),0),0))</f>
        <v>0</v>
      </c>
      <c r="V23" s="109">
        <f t="shared" si="0"/>
        <v>8</v>
      </c>
      <c r="W23" s="108">
        <f>IF($A23="",0,IF(AND($C23&gt;=Config!$C$7,$C23&lt;=Config!$C$8),1,0))</f>
        <v>0</v>
      </c>
      <c r="X23" s="108">
        <f>IF($A23="",0,IF(COUNTIF(Config!$C$21:$C$23,$H23)&gt;0,1,0))</f>
        <v>0</v>
      </c>
      <c r="Y23" s="108">
        <f t="shared" si="1"/>
        <v>0</v>
      </c>
      <c r="Z23" s="108" t="str">
        <f t="shared" si="2"/>
        <v/>
      </c>
      <c r="AB23" s="108">
        <f t="shared" si="3"/>
        <v>0</v>
      </c>
      <c r="AC23" s="108">
        <f>IF($A23="",0,IF(AND($AB23=1,COUNTIF($A$2:$A23,$A23)=1),1,0))</f>
        <v>0</v>
      </c>
      <c r="AD23" s="108">
        <f t="shared" si="4"/>
        <v>0</v>
      </c>
      <c r="AE23" s="108" t="str">
        <f t="shared" si="5"/>
        <v/>
      </c>
      <c r="AF23" s="108">
        <f t="shared" si="6"/>
        <v>0</v>
      </c>
      <c r="AG23" s="108">
        <f t="shared" si="7"/>
        <v>0</v>
      </c>
      <c r="AH23" s="112" t="str">
        <f t="shared" si="8"/>
        <v>M. Bearrow|20260907|TitleNotes - Client|1.000|Documents 56
 Trnsactions 123
 The Title Notes website was very glitchy today</v>
      </c>
      <c r="AI23" s="108">
        <f t="shared" si="9"/>
        <v>0</v>
      </c>
      <c r="AJ23" s="108">
        <f t="shared" si="10"/>
        <v>0</v>
      </c>
      <c r="AK23" s="108">
        <f>IF($A23="",0,IF(AND($S23=1,$W23=1,$X23=1,$U23&gt;Config!$C$9),1,0))</f>
        <v>0</v>
      </c>
      <c r="AL23" s="108">
        <f t="shared" si="11"/>
        <v>0</v>
      </c>
    </row>
    <row r="24" spans="1:38" x14ac:dyDescent="0.25">
      <c r="A24" s="106" t="s">
        <v>668</v>
      </c>
      <c r="B24" s="106" t="s">
        <v>618</v>
      </c>
      <c r="C24" s="107">
        <v>46272</v>
      </c>
      <c r="D24" s="106" t="s">
        <v>669</v>
      </c>
      <c r="E24" s="106" t="s">
        <v>669</v>
      </c>
      <c r="F24" s="106" t="s">
        <v>670</v>
      </c>
      <c r="G24" s="106"/>
      <c r="H24" s="106" t="s">
        <v>671</v>
      </c>
      <c r="I24" s="106"/>
      <c r="J24" s="106"/>
      <c r="K24" s="106">
        <v>1</v>
      </c>
      <c r="L24" s="106">
        <v>0</v>
      </c>
      <c r="M24" s="106">
        <v>0</v>
      </c>
      <c r="N24" s="106"/>
      <c r="O24" s="106"/>
      <c r="P24" s="106">
        <v>0</v>
      </c>
      <c r="Q24" s="106" t="s">
        <v>676</v>
      </c>
      <c r="S24" s="108">
        <f>IF($A24="","",COUNTIF(BPOworkers!$B$6:$B$105,$A24))</f>
        <v>0</v>
      </c>
      <c r="T24" s="109">
        <f>IF($A24="","",$K24*Config!$C$9)</f>
        <v>8</v>
      </c>
      <c r="U24" s="109">
        <f>IF($A24="","",IF(COUNTIF(Config!$C$21:$C$23,$H24)&gt;0,IFERROR(VALUE(LEFT(TRIM($Q24),FIND(" ",TRIM($Q24)&amp;" ")-1)),0),0))</f>
        <v>0</v>
      </c>
      <c r="V24" s="109">
        <f t="shared" si="0"/>
        <v>8</v>
      </c>
      <c r="W24" s="108">
        <f>IF($A24="",0,IF(AND($C24&gt;=Config!$C$7,$C24&lt;=Config!$C$8),1,0))</f>
        <v>0</v>
      </c>
      <c r="X24" s="108">
        <f>IF($A24="",0,IF(COUNTIF(Config!$C$21:$C$23,$H24)&gt;0,1,0))</f>
        <v>0</v>
      </c>
      <c r="Y24" s="108">
        <f t="shared" si="1"/>
        <v>0</v>
      </c>
      <c r="Z24" s="108" t="str">
        <f t="shared" si="2"/>
        <v/>
      </c>
      <c r="AB24" s="108">
        <f t="shared" si="3"/>
        <v>0</v>
      </c>
      <c r="AC24" s="108">
        <f>IF($A24="",0,IF(AND($AB24=1,COUNTIF($A$2:$A24,$A24)=1),1,0))</f>
        <v>0</v>
      </c>
      <c r="AD24" s="108">
        <f t="shared" si="4"/>
        <v>0</v>
      </c>
      <c r="AE24" s="108" t="str">
        <f t="shared" si="5"/>
        <v/>
      </c>
      <c r="AF24" s="108">
        <f t="shared" si="6"/>
        <v>0</v>
      </c>
      <c r="AG24" s="108">
        <f t="shared" si="7"/>
        <v>0</v>
      </c>
      <c r="AH24" s="110" t="str">
        <f t="shared" si="8"/>
        <v>M. Bearrow|20260907|TitleNotes - Library|1.000|32 Documents 69 Transactions</v>
      </c>
      <c r="AI24" s="108">
        <f t="shared" si="9"/>
        <v>0</v>
      </c>
      <c r="AJ24" s="108">
        <f t="shared" si="10"/>
        <v>0</v>
      </c>
      <c r="AK24" s="108">
        <f>IF($A24="",0,IF(AND($S24=1,$W24=1,$X24=1,$U24&gt;Config!$C$9),1,0))</f>
        <v>0</v>
      </c>
      <c r="AL24" s="108">
        <f t="shared" si="11"/>
        <v>0</v>
      </c>
    </row>
    <row r="25" spans="1:38" x14ac:dyDescent="0.25">
      <c r="A25" s="106" t="s">
        <v>668</v>
      </c>
      <c r="B25" s="106" t="s">
        <v>618</v>
      </c>
      <c r="C25" s="107">
        <v>46272</v>
      </c>
      <c r="D25" s="106" t="s">
        <v>669</v>
      </c>
      <c r="E25" s="106" t="s">
        <v>669</v>
      </c>
      <c r="F25" s="106" t="s">
        <v>670</v>
      </c>
      <c r="G25" s="106"/>
      <c r="H25" s="106" t="s">
        <v>671</v>
      </c>
      <c r="I25" s="106"/>
      <c r="J25" s="106"/>
      <c r="K25" s="106">
        <v>1</v>
      </c>
      <c r="L25" s="106">
        <v>0</v>
      </c>
      <c r="M25" s="106">
        <v>0</v>
      </c>
      <c r="N25" s="106"/>
      <c r="O25" s="106"/>
      <c r="P25" s="106">
        <v>0</v>
      </c>
      <c r="Q25" s="106" t="s">
        <v>677</v>
      </c>
      <c r="S25" s="108">
        <f>IF($A25="","",COUNTIF(BPOworkers!$B$6:$B$105,$A25))</f>
        <v>0</v>
      </c>
      <c r="T25" s="109">
        <f>IF($A25="","",$K25*Config!$C$9)</f>
        <v>8</v>
      </c>
      <c r="U25" s="109">
        <f>IF($A25="","",IF(COUNTIF(Config!$C$21:$C$23,$H25)&gt;0,IFERROR(VALUE(LEFT(TRIM($Q25),FIND(" ",TRIM($Q25)&amp;" ")-1)),0),0))</f>
        <v>0</v>
      </c>
      <c r="V25" s="109">
        <f t="shared" si="0"/>
        <v>8</v>
      </c>
      <c r="W25" s="108">
        <f>IF($A25="",0,IF(AND($C25&gt;=Config!$C$7,$C25&lt;=Config!$C$8),1,0))</f>
        <v>0</v>
      </c>
      <c r="X25" s="108">
        <f>IF($A25="",0,IF(COUNTIF(Config!$C$21:$C$23,$H25)&gt;0,1,0))</f>
        <v>0</v>
      </c>
      <c r="Y25" s="108">
        <f t="shared" si="1"/>
        <v>0</v>
      </c>
      <c r="Z25" s="108" t="str">
        <f t="shared" si="2"/>
        <v/>
      </c>
      <c r="AB25" s="108">
        <f t="shared" si="3"/>
        <v>0</v>
      </c>
      <c r="AC25" s="108">
        <f>IF($A25="",0,IF(AND($AB25=1,COUNTIF($A$2:$A25,$A25)=1),1,0))</f>
        <v>0</v>
      </c>
      <c r="AD25" s="108">
        <f t="shared" si="4"/>
        <v>0</v>
      </c>
      <c r="AE25" s="108" t="str">
        <f t="shared" si="5"/>
        <v/>
      </c>
      <c r="AF25" s="108">
        <f t="shared" si="6"/>
        <v>0</v>
      </c>
      <c r="AG25" s="108">
        <f t="shared" si="7"/>
        <v>0</v>
      </c>
      <c r="AH25" s="110" t="str">
        <f t="shared" si="8"/>
        <v>M. Bearrow|20260907|TitleNotes - Library|1.000|22 notecards and 57 transactions</v>
      </c>
      <c r="AI25" s="108">
        <f t="shared" si="9"/>
        <v>0</v>
      </c>
      <c r="AJ25" s="108">
        <f t="shared" si="10"/>
        <v>0</v>
      </c>
      <c r="AK25" s="108">
        <f>IF($A25="",0,IF(AND($S25=1,$W25=1,$X25=1,$U25&gt;Config!$C$9),1,0))</f>
        <v>0</v>
      </c>
      <c r="AL25" s="108">
        <f t="shared" si="11"/>
        <v>0</v>
      </c>
    </row>
    <row r="26" spans="1:38" x14ac:dyDescent="0.25">
      <c r="A26" s="106" t="s">
        <v>668</v>
      </c>
      <c r="B26" s="106" t="s">
        <v>614</v>
      </c>
      <c r="C26" s="107">
        <v>46272</v>
      </c>
      <c r="D26" s="106" t="s">
        <v>623</v>
      </c>
      <c r="E26" s="106" t="s">
        <v>624</v>
      </c>
      <c r="F26" s="106" t="s">
        <v>615</v>
      </c>
      <c r="G26" s="106" t="s">
        <v>625</v>
      </c>
      <c r="H26" s="106" t="s">
        <v>533</v>
      </c>
      <c r="I26" s="106"/>
      <c r="J26" s="106" t="s">
        <v>678</v>
      </c>
      <c r="K26" s="106">
        <v>1</v>
      </c>
      <c r="L26" s="106">
        <v>0</v>
      </c>
      <c r="M26" s="106">
        <v>0</v>
      </c>
      <c r="N26" s="106"/>
      <c r="O26" s="106"/>
      <c r="P26" s="106">
        <v>0</v>
      </c>
      <c r="Q26" s="106" t="s">
        <v>678</v>
      </c>
      <c r="S26" s="108">
        <f>IF($A26="","",COUNTIF(BPOworkers!$B$6:$B$105,$A26))</f>
        <v>0</v>
      </c>
      <c r="T26" s="109">
        <f>IF($A26="","",$K26*Config!$C$9)</f>
        <v>8</v>
      </c>
      <c r="U26" s="109">
        <f>IF($A26="","",IF(COUNTIF(Config!$C$21:$C$23,$H26)&gt;0,IFERROR(VALUE(LEFT(TRIM($Q26),FIND(" ",TRIM($Q26)&amp;" ")-1)),0),0))</f>
        <v>0</v>
      </c>
      <c r="V26" s="109">
        <f t="shared" si="0"/>
        <v>8</v>
      </c>
      <c r="W26" s="108">
        <f>IF($A26="",0,IF(AND($C26&gt;=Config!$C$7,$C26&lt;=Config!$C$8),1,0))</f>
        <v>0</v>
      </c>
      <c r="X26" s="108">
        <f>IF($A26="",0,IF(COUNTIF(Config!$C$21:$C$23,$H26)&gt;0,1,0))</f>
        <v>1</v>
      </c>
      <c r="Y26" s="108">
        <f t="shared" si="1"/>
        <v>0</v>
      </c>
      <c r="Z26" s="108" t="str">
        <f t="shared" si="2"/>
        <v/>
      </c>
      <c r="AB26" s="108">
        <f t="shared" si="3"/>
        <v>0</v>
      </c>
      <c r="AC26" s="108">
        <f>IF($A26="",0,IF(AND($AB26=1,COUNTIF($A$2:$A26,$A26)=1),1,0))</f>
        <v>0</v>
      </c>
      <c r="AD26" s="108">
        <f t="shared" si="4"/>
        <v>0</v>
      </c>
      <c r="AE26" s="108" t="str">
        <f t="shared" si="5"/>
        <v/>
      </c>
      <c r="AF26" s="108">
        <f t="shared" si="6"/>
        <v>0</v>
      </c>
      <c r="AG26" s="108">
        <f t="shared" si="7"/>
        <v>0</v>
      </c>
      <c r="AH26" s="110" t="str">
        <f t="shared" si="8"/>
        <v>M. Bearrow|20260907|Holiday|1.000|Labor Day</v>
      </c>
      <c r="AI26" s="108">
        <f t="shared" si="9"/>
        <v>0</v>
      </c>
      <c r="AJ26" s="108">
        <f t="shared" si="10"/>
        <v>0</v>
      </c>
      <c r="AK26" s="108">
        <f>IF($A26="",0,IF(AND($S26=1,$W26=1,$X26=1,$U26&gt;Config!$C$9),1,0))</f>
        <v>0</v>
      </c>
      <c r="AL26" s="108">
        <f t="shared" si="11"/>
        <v>0</v>
      </c>
    </row>
    <row r="27" spans="1:38" x14ac:dyDescent="0.25">
      <c r="A27" s="106" t="s">
        <v>679</v>
      </c>
      <c r="B27" s="106" t="s">
        <v>614</v>
      </c>
      <c r="C27" s="107">
        <v>46272</v>
      </c>
      <c r="D27" s="106" t="s">
        <v>680</v>
      </c>
      <c r="E27" s="106" t="s">
        <v>681</v>
      </c>
      <c r="F27" s="106" t="s">
        <v>682</v>
      </c>
      <c r="G27" s="106" t="s">
        <v>683</v>
      </c>
      <c r="H27" s="106" t="s">
        <v>631</v>
      </c>
      <c r="I27" s="106"/>
      <c r="J27" s="106" t="s">
        <v>684</v>
      </c>
      <c r="K27" s="106">
        <v>0.5</v>
      </c>
      <c r="L27" s="106">
        <v>0</v>
      </c>
      <c r="M27" s="106">
        <v>0</v>
      </c>
      <c r="N27" s="106"/>
      <c r="O27" s="106"/>
      <c r="P27" s="106">
        <v>0</v>
      </c>
      <c r="Q27" s="106" t="s">
        <v>685</v>
      </c>
      <c r="S27" s="108">
        <f>IF($A27="","",COUNTIF(BPOworkers!$B$6:$B$105,$A27))</f>
        <v>0</v>
      </c>
      <c r="T27" s="109">
        <f>IF($A27="","",$K27*Config!$C$9)</f>
        <v>4</v>
      </c>
      <c r="U27" s="109">
        <f>IF($A27="","",IF(COUNTIF(Config!$C$21:$C$23,$H27)&gt;0,IFERROR(VALUE(LEFT(TRIM($Q27),FIND(" ",TRIM($Q27)&amp;" ")-1)),0),0))</f>
        <v>0</v>
      </c>
      <c r="V27" s="109">
        <f t="shared" si="0"/>
        <v>4</v>
      </c>
      <c r="W27" s="108">
        <f>IF($A27="",0,IF(AND($C27&gt;=Config!$C$7,$C27&lt;=Config!$C$8),1,0))</f>
        <v>0</v>
      </c>
      <c r="X27" s="108">
        <f>IF($A27="",0,IF(COUNTIF(Config!$C$21:$C$23,$H27)&gt;0,1,0))</f>
        <v>0</v>
      </c>
      <c r="Y27" s="108">
        <f t="shared" si="1"/>
        <v>0</v>
      </c>
      <c r="Z27" s="108" t="str">
        <f t="shared" si="2"/>
        <v/>
      </c>
      <c r="AB27" s="108">
        <f t="shared" si="3"/>
        <v>0</v>
      </c>
      <c r="AC27" s="108">
        <f>IF($A27="",0,IF(AND($AB27=1,COUNTIF($A$2:$A27,$A27)=1),1,0))</f>
        <v>0</v>
      </c>
      <c r="AD27" s="108">
        <f t="shared" si="4"/>
        <v>0</v>
      </c>
      <c r="AE27" s="108" t="str">
        <f t="shared" si="5"/>
        <v/>
      </c>
      <c r="AF27" s="108">
        <f t="shared" si="6"/>
        <v>0</v>
      </c>
      <c r="AG27" s="108">
        <f t="shared" si="7"/>
        <v>0</v>
      </c>
      <c r="AH27" s="110" t="str">
        <f t="shared" si="8"/>
        <v>M. Soter|20260907|Title|0.500|Indexed for Parcel 75-00194.005 S 28 SW 1/4 T 13 R 3.</v>
      </c>
      <c r="AI27" s="108">
        <f t="shared" si="9"/>
        <v>0</v>
      </c>
      <c r="AJ27" s="108">
        <f t="shared" si="10"/>
        <v>0</v>
      </c>
      <c r="AK27" s="108">
        <f>IF($A27="",0,IF(AND($S27=1,$W27=1,$X27=1,$U27&gt;Config!$C$9),1,0))</f>
        <v>0</v>
      </c>
      <c r="AL27" s="108">
        <f t="shared" si="11"/>
        <v>0</v>
      </c>
    </row>
    <row r="28" spans="1:38" ht="144.75" x14ac:dyDescent="0.25">
      <c r="A28" s="106" t="s">
        <v>679</v>
      </c>
      <c r="B28" s="106" t="s">
        <v>614</v>
      </c>
      <c r="C28" s="107">
        <v>46272</v>
      </c>
      <c r="D28" s="106" t="s">
        <v>680</v>
      </c>
      <c r="E28" s="106" t="s">
        <v>681</v>
      </c>
      <c r="F28" s="106" t="s">
        <v>686</v>
      </c>
      <c r="G28" s="106"/>
      <c r="H28" s="106" t="s">
        <v>631</v>
      </c>
      <c r="I28" s="106"/>
      <c r="J28" s="106" t="s">
        <v>687</v>
      </c>
      <c r="K28" s="106">
        <v>0.5</v>
      </c>
      <c r="L28" s="106">
        <v>0</v>
      </c>
      <c r="M28" s="106">
        <v>0</v>
      </c>
      <c r="N28" s="106"/>
      <c r="O28" s="106"/>
      <c r="P28" s="106">
        <v>0</v>
      </c>
      <c r="Q28" s="111" t="s">
        <v>688</v>
      </c>
      <c r="S28" s="108">
        <f>IF($A28="","",COUNTIF(BPOworkers!$B$6:$B$105,$A28))</f>
        <v>0</v>
      </c>
      <c r="T28" s="109">
        <f>IF($A28="","",$K28*Config!$C$9)</f>
        <v>4</v>
      </c>
      <c r="U28" s="109">
        <f>IF($A28="","",IF(COUNTIF(Config!$C$21:$C$23,$H28)&gt;0,IFERROR(VALUE(LEFT(TRIM($Q28),FIND(" ",TRIM($Q28)&amp;" ")-1)),0),0))</f>
        <v>0</v>
      </c>
      <c r="V28" s="109">
        <f t="shared" si="0"/>
        <v>4</v>
      </c>
      <c r="W28" s="108">
        <f>IF($A28="",0,IF(AND($C28&gt;=Config!$C$7,$C28&lt;=Config!$C$8),1,0))</f>
        <v>0</v>
      </c>
      <c r="X28" s="108">
        <f>IF($A28="",0,IF(COUNTIF(Config!$C$21:$C$23,$H28)&gt;0,1,0))</f>
        <v>0</v>
      </c>
      <c r="Y28" s="108">
        <f t="shared" si="1"/>
        <v>0</v>
      </c>
      <c r="Z28" s="108" t="str">
        <f t="shared" si="2"/>
        <v/>
      </c>
      <c r="AB28" s="108">
        <f t="shared" si="3"/>
        <v>0</v>
      </c>
      <c r="AC28" s="108">
        <f>IF($A28="",0,IF(AND($AB28=1,COUNTIF($A$2:$A28,$A28)=1),1,0))</f>
        <v>0</v>
      </c>
      <c r="AD28" s="108">
        <f t="shared" si="4"/>
        <v>0</v>
      </c>
      <c r="AE28" s="108" t="str">
        <f t="shared" si="5"/>
        <v/>
      </c>
      <c r="AF28" s="108">
        <f t="shared" si="6"/>
        <v>0</v>
      </c>
      <c r="AG28" s="108">
        <f t="shared" si="7"/>
        <v>0</v>
      </c>
      <c r="AH28" s="112" t="str">
        <f t="shared" si="8"/>
        <v>M. Soter|20260907|Title|0.500|Indexed for Parcel 25-0000194.001 S 4 PT SE T 14 R 4.
 The above is in Harrison and Carroll Counties.</v>
      </c>
      <c r="AI28" s="108">
        <f t="shared" si="9"/>
        <v>0</v>
      </c>
      <c r="AJ28" s="108">
        <f t="shared" si="10"/>
        <v>0</v>
      </c>
      <c r="AK28" s="108">
        <f>IF($A28="",0,IF(AND($S28=1,$W28=1,$X28=1,$U28&gt;Config!$C$9),1,0))</f>
        <v>0</v>
      </c>
      <c r="AL28" s="108">
        <f t="shared" si="11"/>
        <v>0</v>
      </c>
    </row>
    <row r="29" spans="1:38" x14ac:dyDescent="0.25">
      <c r="A29" s="106" t="s">
        <v>689</v>
      </c>
      <c r="B29" s="106" t="s">
        <v>614</v>
      </c>
      <c r="C29" s="107">
        <v>46272</v>
      </c>
      <c r="D29" s="106" t="s">
        <v>529</v>
      </c>
      <c r="E29" s="106" t="s">
        <v>529</v>
      </c>
      <c r="F29" s="106" t="s">
        <v>615</v>
      </c>
      <c r="G29" s="106"/>
      <c r="H29" s="106" t="s">
        <v>529</v>
      </c>
      <c r="I29" s="106"/>
      <c r="J29" s="106"/>
      <c r="K29" s="106">
        <v>0</v>
      </c>
      <c r="L29" s="106">
        <v>0</v>
      </c>
      <c r="M29" s="106">
        <v>0</v>
      </c>
      <c r="N29" s="106"/>
      <c r="O29" s="106"/>
      <c r="P29" s="106">
        <v>0</v>
      </c>
      <c r="Q29" s="106" t="s">
        <v>690</v>
      </c>
      <c r="S29" s="108">
        <f>IF($A29="","",COUNTIF(BPOworkers!$B$6:$B$105,$A29))</f>
        <v>0</v>
      </c>
      <c r="T29" s="109">
        <f>IF($A29="","",$K29*Config!$C$9)</f>
        <v>0</v>
      </c>
      <c r="U29" s="109">
        <f>IF($A29="","",IF(COUNTIF(Config!$C$21:$C$23,$H29)&gt;0,IFERROR(VALUE(LEFT(TRIM($Q29),FIND(" ",TRIM($Q29)&amp;" ")-1)),0),0))</f>
        <v>8</v>
      </c>
      <c r="V29" s="109">
        <f t="shared" si="0"/>
        <v>8</v>
      </c>
      <c r="W29" s="108">
        <f>IF($A29="",0,IF(AND($C29&gt;=Config!$C$7,$C29&lt;=Config!$C$8),1,0))</f>
        <v>0</v>
      </c>
      <c r="X29" s="108">
        <f>IF($A29="",0,IF(COUNTIF(Config!$C$21:$C$23,$H29)&gt;0,1,0))</f>
        <v>1</v>
      </c>
      <c r="Y29" s="108">
        <f t="shared" si="1"/>
        <v>0</v>
      </c>
      <c r="Z29" s="108" t="str">
        <f t="shared" si="2"/>
        <v/>
      </c>
      <c r="AB29" s="108">
        <f t="shared" si="3"/>
        <v>0</v>
      </c>
      <c r="AC29" s="108">
        <f>IF($A29="",0,IF(AND($AB29=1,COUNTIF($A$2:$A29,$A29)=1),1,0))</f>
        <v>0</v>
      </c>
      <c r="AD29" s="108">
        <f t="shared" si="4"/>
        <v>0</v>
      </c>
      <c r="AE29" s="108" t="str">
        <f t="shared" si="5"/>
        <v/>
      </c>
      <c r="AF29" s="108">
        <f t="shared" si="6"/>
        <v>0</v>
      </c>
      <c r="AG29" s="108">
        <f t="shared" si="7"/>
        <v>0</v>
      </c>
      <c r="AH29" s="110" t="str">
        <f t="shared" si="8"/>
        <v>M. Avery|20260907|Time Off|0.000|8 hours time off (Holiday)</v>
      </c>
      <c r="AI29" s="108">
        <f t="shared" si="9"/>
        <v>0</v>
      </c>
      <c r="AJ29" s="108">
        <f t="shared" si="10"/>
        <v>0</v>
      </c>
      <c r="AK29" s="108">
        <f>IF($A29="",0,IF(AND($S29=1,$W29=1,$X29=1,$U29&gt;Config!$C$9),1,0))</f>
        <v>0</v>
      </c>
      <c r="AL29" s="108">
        <f t="shared" si="11"/>
        <v>0</v>
      </c>
    </row>
    <row r="30" spans="1:38" ht="228.75" x14ac:dyDescent="0.25">
      <c r="A30" s="106" t="s">
        <v>478</v>
      </c>
      <c r="B30" s="106" t="s">
        <v>614</v>
      </c>
      <c r="C30" s="107">
        <v>46272</v>
      </c>
      <c r="D30" s="106" t="s">
        <v>623</v>
      </c>
      <c r="E30" s="106" t="s">
        <v>624</v>
      </c>
      <c r="F30" s="106" t="s">
        <v>615</v>
      </c>
      <c r="G30" s="106" t="s">
        <v>625</v>
      </c>
      <c r="H30" s="106" t="s">
        <v>691</v>
      </c>
      <c r="I30" s="106"/>
      <c r="J30" s="106" t="s">
        <v>692</v>
      </c>
      <c r="K30" s="106">
        <v>1</v>
      </c>
      <c r="L30" s="106">
        <v>0</v>
      </c>
      <c r="M30" s="106">
        <v>0</v>
      </c>
      <c r="N30" s="106"/>
      <c r="O30" s="106"/>
      <c r="P30" s="106">
        <v>0</v>
      </c>
      <c r="Q30" s="111" t="s">
        <v>693</v>
      </c>
      <c r="S30" s="108">
        <f>IF($A30="","",COUNTIF(BPOworkers!$B$6:$B$105,$A30))</f>
        <v>1</v>
      </c>
      <c r="T30" s="109">
        <f>IF($A30="","",$K30*Config!$C$9)</f>
        <v>8</v>
      </c>
      <c r="U30" s="109">
        <f>IF($A30="","",IF(COUNTIF(Config!$C$21:$C$23,$H30)&gt;0,IFERROR(VALUE(LEFT(TRIM($Q30),FIND(" ",TRIM($Q30)&amp;" ")-1)),0),0))</f>
        <v>0</v>
      </c>
      <c r="V30" s="109">
        <f t="shared" si="0"/>
        <v>8</v>
      </c>
      <c r="W30" s="108">
        <f>IF($A30="",0,IF(AND($C30&gt;=Config!$C$7,$C30&lt;=Config!$C$8),1,0))</f>
        <v>0</v>
      </c>
      <c r="X30" s="108">
        <f>IF($A30="",0,IF(COUNTIF(Config!$C$21:$C$23,$H30)&gt;0,1,0))</f>
        <v>0</v>
      </c>
      <c r="Y30" s="108">
        <f t="shared" si="1"/>
        <v>0</v>
      </c>
      <c r="Z30" s="108" t="str">
        <f t="shared" si="2"/>
        <v/>
      </c>
      <c r="AB30" s="108">
        <f t="shared" si="3"/>
        <v>0</v>
      </c>
      <c r="AC30" s="108">
        <f>IF($A30="",0,IF(AND($AB30=1,COUNTIF($A$2:$A30,$A30)=1),1,0))</f>
        <v>0</v>
      </c>
      <c r="AD30" s="108">
        <f t="shared" si="4"/>
        <v>0</v>
      </c>
      <c r="AE30" s="108" t="str">
        <f t="shared" si="5"/>
        <v/>
      </c>
      <c r="AF30" s="108">
        <f t="shared" si="6"/>
        <v>0</v>
      </c>
      <c r="AG30" s="108">
        <f t="shared" si="7"/>
        <v>1</v>
      </c>
      <c r="AH30" s="112" t="str">
        <f t="shared" si="8"/>
        <v>L Silva|20260907|BPO Project Management|1.000|Absences report.
 Team leads meeting.
 Helping out Juan Sebastián Bermudez with WV pilot.
 Offboarding with ca</v>
      </c>
      <c r="AI30" s="108">
        <f t="shared" si="9"/>
        <v>0</v>
      </c>
      <c r="AJ30" s="108">
        <f t="shared" si="10"/>
        <v>0</v>
      </c>
      <c r="AK30" s="108">
        <f>IF($A30="",0,IF(AND($S30=1,$W30=1,$X30=1,$U30&gt;Config!$C$9),1,0))</f>
        <v>0</v>
      </c>
      <c r="AL30" s="108">
        <f t="shared" si="11"/>
        <v>0</v>
      </c>
    </row>
    <row r="31" spans="1:38" x14ac:dyDescent="0.25">
      <c r="A31" s="106" t="s">
        <v>127</v>
      </c>
      <c r="B31" s="106" t="s">
        <v>614</v>
      </c>
      <c r="C31" s="107">
        <v>46272</v>
      </c>
      <c r="D31" s="106" t="s">
        <v>694</v>
      </c>
      <c r="E31" s="106" t="s">
        <v>695</v>
      </c>
      <c r="F31" s="106" t="s">
        <v>696</v>
      </c>
      <c r="G31" s="106" t="s">
        <v>697</v>
      </c>
      <c r="H31" s="106" t="s">
        <v>639</v>
      </c>
      <c r="I31" s="106"/>
      <c r="J31" s="106"/>
      <c r="K31" s="106">
        <v>0.625</v>
      </c>
      <c r="L31" s="106">
        <v>0</v>
      </c>
      <c r="M31" s="106">
        <v>0</v>
      </c>
      <c r="N31" s="106"/>
      <c r="O31" s="106"/>
      <c r="P31" s="106">
        <v>0</v>
      </c>
      <c r="Q31" s="106" t="s">
        <v>698</v>
      </c>
      <c r="S31" s="108">
        <f>IF($A31="","",COUNTIF(BPOworkers!$B$6:$B$105,$A31))</f>
        <v>1</v>
      </c>
      <c r="T31" s="109">
        <f>IF($A31="","",$K31*Config!$C$9)</f>
        <v>5</v>
      </c>
      <c r="U31" s="109">
        <f>IF($A31="","",IF(COUNTIF(Config!$C$21:$C$23,$H31)&gt;0,IFERROR(VALUE(LEFT(TRIM($Q31),FIND(" ",TRIM($Q31)&amp;" ")-1)),0),0))</f>
        <v>0</v>
      </c>
      <c r="V31" s="109">
        <f t="shared" si="0"/>
        <v>5</v>
      </c>
      <c r="W31" s="108">
        <f>IF($A31="",0,IF(AND($C31&gt;=Config!$C$7,$C31&lt;=Config!$C$8),1,0))</f>
        <v>0</v>
      </c>
      <c r="X31" s="108">
        <f>IF($A31="",0,IF(COUNTIF(Config!$C$21:$C$23,$H31)&gt;0,1,0))</f>
        <v>0</v>
      </c>
      <c r="Y31" s="108">
        <f t="shared" si="1"/>
        <v>0</v>
      </c>
      <c r="Z31" s="108" t="str">
        <f t="shared" si="2"/>
        <v/>
      </c>
      <c r="AB31" s="108">
        <f t="shared" si="3"/>
        <v>0</v>
      </c>
      <c r="AC31" s="108">
        <f>IF($A31="",0,IF(AND($AB31=1,COUNTIF($A$2:$A31,$A31)=1),1,0))</f>
        <v>0</v>
      </c>
      <c r="AD31" s="108">
        <f t="shared" si="4"/>
        <v>0</v>
      </c>
      <c r="AE31" s="108" t="str">
        <f t="shared" si="5"/>
        <v/>
      </c>
      <c r="AF31" s="108">
        <f t="shared" si="6"/>
        <v>0</v>
      </c>
      <c r="AG31" s="108">
        <f t="shared" si="7"/>
        <v>1</v>
      </c>
      <c r="AH31" s="110" t="str">
        <f t="shared" si="8"/>
        <v>S Romero|20260907|Review|0.625|Reviewed subject assignment</v>
      </c>
      <c r="AI31" s="108">
        <f t="shared" si="9"/>
        <v>0</v>
      </c>
      <c r="AJ31" s="108">
        <f t="shared" si="10"/>
        <v>0</v>
      </c>
      <c r="AK31" s="108">
        <f>IF($A31="",0,IF(AND($S31=1,$W31=1,$X31=1,$U31&gt;Config!$C$9),1,0))</f>
        <v>0</v>
      </c>
      <c r="AL31" s="108">
        <f t="shared" si="11"/>
        <v>0</v>
      </c>
    </row>
    <row r="32" spans="1:38" x14ac:dyDescent="0.25">
      <c r="A32" s="106" t="s">
        <v>127</v>
      </c>
      <c r="B32" s="106" t="s">
        <v>614</v>
      </c>
      <c r="C32" s="107">
        <v>46272</v>
      </c>
      <c r="D32" s="106" t="s">
        <v>623</v>
      </c>
      <c r="E32" s="106" t="s">
        <v>624</v>
      </c>
      <c r="F32" s="106" t="s">
        <v>615</v>
      </c>
      <c r="G32" s="106" t="s">
        <v>625</v>
      </c>
      <c r="H32" s="106" t="s">
        <v>691</v>
      </c>
      <c r="I32" s="106"/>
      <c r="J32" s="106" t="s">
        <v>699</v>
      </c>
      <c r="K32" s="106">
        <v>0.375</v>
      </c>
      <c r="L32" s="106">
        <v>0</v>
      </c>
      <c r="M32" s="106">
        <v>0</v>
      </c>
      <c r="N32" s="106"/>
      <c r="O32" s="106"/>
      <c r="P32" s="106">
        <v>0</v>
      </c>
      <c r="Q32" s="106" t="s">
        <v>700</v>
      </c>
      <c r="S32" s="108">
        <f>IF($A32="","",COUNTIF(BPOworkers!$B$6:$B$105,$A32))</f>
        <v>1</v>
      </c>
      <c r="T32" s="109">
        <f>IF($A32="","",$K32*Config!$C$9)</f>
        <v>3</v>
      </c>
      <c r="U32" s="109">
        <f>IF($A32="","",IF(COUNTIF(Config!$C$21:$C$23,$H32)&gt;0,IFERROR(VALUE(LEFT(TRIM($Q32),FIND(" ",TRIM($Q32)&amp;" ")-1)),0),0))</f>
        <v>0</v>
      </c>
      <c r="V32" s="109">
        <f t="shared" si="0"/>
        <v>3</v>
      </c>
      <c r="W32" s="108">
        <f>IF($A32="",0,IF(AND($C32&gt;=Config!$C$7,$C32&lt;=Config!$C$8),1,0))</f>
        <v>0</v>
      </c>
      <c r="X32" s="108">
        <f>IF($A32="",0,IF(COUNTIF(Config!$C$21:$C$23,$H32)&gt;0,1,0))</f>
        <v>0</v>
      </c>
      <c r="Y32" s="108">
        <f t="shared" si="1"/>
        <v>0</v>
      </c>
      <c r="Z32" s="108" t="str">
        <f t="shared" si="2"/>
        <v/>
      </c>
      <c r="AB32" s="108">
        <f t="shared" si="3"/>
        <v>0</v>
      </c>
      <c r="AC32" s="108">
        <f>IF($A32="",0,IF(AND($AB32=1,COUNTIF($A$2:$A32,$A32)=1),1,0))</f>
        <v>0</v>
      </c>
      <c r="AD32" s="108">
        <f t="shared" si="4"/>
        <v>0</v>
      </c>
      <c r="AE32" s="108" t="str">
        <f t="shared" si="5"/>
        <v/>
      </c>
      <c r="AF32" s="108">
        <f t="shared" si="6"/>
        <v>0</v>
      </c>
      <c r="AG32" s="108">
        <f t="shared" si="7"/>
        <v>1</v>
      </c>
      <c r="AH32" s="110" t="str">
        <f t="shared" si="8"/>
        <v>S Romero|20260907|BPO Project Management|0.375|Provided an introduction to the Tracts application, including preparation of training materials and assistance with answ</v>
      </c>
      <c r="AI32" s="108">
        <f t="shared" si="9"/>
        <v>0</v>
      </c>
      <c r="AJ32" s="108">
        <f t="shared" si="10"/>
        <v>0</v>
      </c>
      <c r="AK32" s="108">
        <f>IF($A32="",0,IF(AND($S32=1,$W32=1,$X32=1,$U32&gt;Config!$C$9),1,0))</f>
        <v>0</v>
      </c>
      <c r="AL32" s="108">
        <f t="shared" si="11"/>
        <v>0</v>
      </c>
    </row>
    <row r="33" spans="1:38" ht="72.75" x14ac:dyDescent="0.25">
      <c r="A33" s="106" t="s">
        <v>123</v>
      </c>
      <c r="B33" s="106" t="s">
        <v>614</v>
      </c>
      <c r="C33" s="107">
        <v>46272</v>
      </c>
      <c r="D33" s="106" t="s">
        <v>628</v>
      </c>
      <c r="E33" s="106" t="s">
        <v>701</v>
      </c>
      <c r="F33" s="106" t="s">
        <v>630</v>
      </c>
      <c r="G33" s="106"/>
      <c r="H33" s="106" t="s">
        <v>702</v>
      </c>
      <c r="I33" s="106"/>
      <c r="J33" s="106"/>
      <c r="K33" s="106">
        <v>1</v>
      </c>
      <c r="L33" s="106">
        <v>0</v>
      </c>
      <c r="M33" s="106">
        <v>0</v>
      </c>
      <c r="N33" s="106"/>
      <c r="O33" s="106"/>
      <c r="P33" s="106">
        <v>0</v>
      </c>
      <c r="Q33" s="111" t="s">
        <v>703</v>
      </c>
      <c r="S33" s="108">
        <f>IF($A33="","",COUNTIF(BPOworkers!$B$6:$B$105,$A33))</f>
        <v>1</v>
      </c>
      <c r="T33" s="109">
        <f>IF($A33="","",$K33*Config!$C$9)</f>
        <v>8</v>
      </c>
      <c r="U33" s="109">
        <f>IF($A33="","",IF(COUNTIF(Config!$C$21:$C$23,$H33)&gt;0,IFERROR(VALUE(LEFT(TRIM($Q33),FIND(" ",TRIM($Q33)&amp;" ")-1)),0),0))</f>
        <v>0</v>
      </c>
      <c r="V33" s="109">
        <f t="shared" si="0"/>
        <v>8</v>
      </c>
      <c r="W33" s="108">
        <f>IF($A33="",0,IF(AND($C33&gt;=Config!$C$7,$C33&lt;=Config!$C$8),1,0))</f>
        <v>0</v>
      </c>
      <c r="X33" s="108">
        <f>IF($A33="",0,IF(COUNTIF(Config!$C$21:$C$23,$H33)&gt;0,1,0))</f>
        <v>0</v>
      </c>
      <c r="Y33" s="108">
        <f t="shared" si="1"/>
        <v>0</v>
      </c>
      <c r="Z33" s="108" t="str">
        <f t="shared" si="2"/>
        <v/>
      </c>
      <c r="AB33" s="108">
        <f t="shared" si="3"/>
        <v>0</v>
      </c>
      <c r="AC33" s="108">
        <f>IF($A33="",0,IF(AND($AB33=1,COUNTIF($A$2:$A33,$A33)=1),1,0))</f>
        <v>0</v>
      </c>
      <c r="AD33" s="108">
        <f t="shared" si="4"/>
        <v>0</v>
      </c>
      <c r="AE33" s="108" t="str">
        <f t="shared" si="5"/>
        <v/>
      </c>
      <c r="AF33" s="108">
        <f t="shared" si="6"/>
        <v>0</v>
      </c>
      <c r="AG33" s="108">
        <f t="shared" si="7"/>
        <v>1</v>
      </c>
      <c r="AH33" s="110" t="str">
        <f t="shared" si="8"/>
        <v>H Daza|20260907|Data Processing|1.000|Mapping all the mentioned leases from the TO, distributing the starting interest among the original lessors. Make assign</v>
      </c>
      <c r="AI33" s="108">
        <f t="shared" si="9"/>
        <v>0</v>
      </c>
      <c r="AJ33" s="108">
        <f t="shared" si="10"/>
        <v>0</v>
      </c>
      <c r="AK33" s="108">
        <f>IF($A33="",0,IF(AND($S33=1,$W33=1,$X33=1,$U33&gt;Config!$C$9),1,0))</f>
        <v>0</v>
      </c>
      <c r="AL33" s="108">
        <f t="shared" si="11"/>
        <v>0</v>
      </c>
    </row>
    <row r="34" spans="1:38" x14ac:dyDescent="0.25">
      <c r="A34" s="106" t="s">
        <v>126</v>
      </c>
      <c r="B34" s="106" t="s">
        <v>614</v>
      </c>
      <c r="C34" s="107">
        <v>46272</v>
      </c>
      <c r="D34" s="106" t="s">
        <v>623</v>
      </c>
      <c r="E34" s="106" t="s">
        <v>624</v>
      </c>
      <c r="F34" s="106" t="s">
        <v>615</v>
      </c>
      <c r="G34" s="106" t="s">
        <v>625</v>
      </c>
      <c r="H34" s="106" t="s">
        <v>691</v>
      </c>
      <c r="I34" s="106"/>
      <c r="J34" s="106" t="s">
        <v>691</v>
      </c>
      <c r="K34" s="106">
        <v>0.25</v>
      </c>
      <c r="L34" s="106">
        <v>0</v>
      </c>
      <c r="M34" s="106">
        <v>0</v>
      </c>
      <c r="N34" s="106"/>
      <c r="O34" s="106"/>
      <c r="P34" s="106">
        <v>0</v>
      </c>
      <c r="Q34" s="106" t="s">
        <v>704</v>
      </c>
      <c r="S34" s="108">
        <f>IF($A34="","",COUNTIF(BPOworkers!$B$6:$B$105,$A34))</f>
        <v>1</v>
      </c>
      <c r="T34" s="109">
        <f>IF($A34="","",$K34*Config!$C$9)</f>
        <v>2</v>
      </c>
      <c r="U34" s="109">
        <f>IF($A34="","",IF(COUNTIF(Config!$C$21:$C$23,$H34)&gt;0,IFERROR(VALUE(LEFT(TRIM($Q34),FIND(" ",TRIM($Q34)&amp;" ")-1)),0),0))</f>
        <v>0</v>
      </c>
      <c r="V34" s="109">
        <f t="shared" si="0"/>
        <v>2</v>
      </c>
      <c r="W34" s="108">
        <f>IF($A34="",0,IF(AND($C34&gt;=Config!$C$7,$C34&lt;=Config!$C$8),1,0))</f>
        <v>0</v>
      </c>
      <c r="X34" s="108">
        <f>IF($A34="",0,IF(COUNTIF(Config!$C$21:$C$23,$H34)&gt;0,1,0))</f>
        <v>0</v>
      </c>
      <c r="Y34" s="108">
        <f t="shared" si="1"/>
        <v>0</v>
      </c>
      <c r="Z34" s="108" t="str">
        <f t="shared" si="2"/>
        <v/>
      </c>
      <c r="AB34" s="108">
        <f t="shared" si="3"/>
        <v>0</v>
      </c>
      <c r="AC34" s="108">
        <f>IF($A34="",0,IF(AND($AB34=1,COUNTIF($A$2:$A34,$A34)=1),1,0))</f>
        <v>0</v>
      </c>
      <c r="AD34" s="108">
        <f t="shared" si="4"/>
        <v>0</v>
      </c>
      <c r="AE34" s="108" t="str">
        <f t="shared" si="5"/>
        <v/>
      </c>
      <c r="AF34" s="108">
        <f t="shared" si="6"/>
        <v>0</v>
      </c>
      <c r="AG34" s="108">
        <f t="shared" si="7"/>
        <v>1</v>
      </c>
      <c r="AH34" s="110" t="str">
        <f t="shared" si="8"/>
        <v>R Sanchez|20260907|BPO Project Management|0.250|Q&amp;A with new trainees around the last reading chapter of AAPL guide around Pooling and unitization, and touching point o</v>
      </c>
      <c r="AI34" s="108">
        <f t="shared" si="9"/>
        <v>0</v>
      </c>
      <c r="AJ34" s="108">
        <f t="shared" si="10"/>
        <v>0</v>
      </c>
      <c r="AK34" s="108">
        <f>IF($A34="",0,IF(AND($S34=1,$W34=1,$X34=1,$U34&gt;Config!$C$9),1,0))</f>
        <v>0</v>
      </c>
      <c r="AL34" s="108">
        <f t="shared" si="11"/>
        <v>0</v>
      </c>
    </row>
    <row r="35" spans="1:38" ht="60.75" x14ac:dyDescent="0.25">
      <c r="A35" s="106" t="s">
        <v>126</v>
      </c>
      <c r="B35" s="106" t="s">
        <v>614</v>
      </c>
      <c r="C35" s="107">
        <v>46272</v>
      </c>
      <c r="D35" s="106" t="s">
        <v>628</v>
      </c>
      <c r="E35" s="106" t="s">
        <v>705</v>
      </c>
      <c r="F35" s="106" t="s">
        <v>630</v>
      </c>
      <c r="G35" s="106" t="s">
        <v>706</v>
      </c>
      <c r="H35" s="106" t="s">
        <v>707</v>
      </c>
      <c r="I35" s="106"/>
      <c r="J35" s="106"/>
      <c r="K35" s="106">
        <v>0.75</v>
      </c>
      <c r="L35" s="106">
        <v>0</v>
      </c>
      <c r="M35" s="106">
        <v>0</v>
      </c>
      <c r="N35" s="106"/>
      <c r="O35" s="106"/>
      <c r="P35" s="106">
        <v>0</v>
      </c>
      <c r="Q35" s="111" t="s">
        <v>708</v>
      </c>
      <c r="S35" s="108">
        <f>IF($A35="","",COUNTIF(BPOworkers!$B$6:$B$105,$A35))</f>
        <v>1</v>
      </c>
      <c r="T35" s="109">
        <f>IF($A35="","",$K35*Config!$C$9)</f>
        <v>6</v>
      </c>
      <c r="U35" s="109">
        <f>IF($A35="","",IF(COUNTIF(Config!$C$21:$C$23,$H35)&gt;0,IFERROR(VALUE(LEFT(TRIM($Q35),FIND(" ",TRIM($Q35)&amp;" ")-1)),0),0))</f>
        <v>0</v>
      </c>
      <c r="V35" s="109">
        <f t="shared" si="0"/>
        <v>6</v>
      </c>
      <c r="W35" s="108">
        <f>IF($A35="",0,IF(AND($C35&gt;=Config!$C$7,$C35&lt;=Config!$C$8),1,0))</f>
        <v>0</v>
      </c>
      <c r="X35" s="108">
        <f>IF($A35="",0,IF(COUNTIF(Config!$C$21:$C$23,$H35)&gt;0,1,0))</f>
        <v>0</v>
      </c>
      <c r="Y35" s="108">
        <f t="shared" si="1"/>
        <v>0</v>
      </c>
      <c r="Z35" s="108" t="str">
        <f t="shared" si="2"/>
        <v/>
      </c>
      <c r="AB35" s="108">
        <f t="shared" si="3"/>
        <v>0</v>
      </c>
      <c r="AC35" s="108">
        <f>IF($A35="",0,IF(AND($AB35=1,COUNTIF($A$2:$A35,$A35)=1),1,0))</f>
        <v>0</v>
      </c>
      <c r="AD35" s="108">
        <f t="shared" si="4"/>
        <v>0</v>
      </c>
      <c r="AE35" s="108" t="str">
        <f t="shared" si="5"/>
        <v/>
      </c>
      <c r="AF35" s="108">
        <f t="shared" si="6"/>
        <v>0</v>
      </c>
      <c r="AG35" s="108">
        <f t="shared" si="7"/>
        <v>1</v>
      </c>
      <c r="AH35" s="110" t="str">
        <f t="shared" si="8"/>
        <v>R Sanchez|20260907|Title Opinion data entry|0.750|Had to re-do multimple starting interest as the original input was including curatvie parties and strangers in title exc</v>
      </c>
      <c r="AI35" s="108">
        <f t="shared" si="9"/>
        <v>0</v>
      </c>
      <c r="AJ35" s="108">
        <f t="shared" si="10"/>
        <v>0</v>
      </c>
      <c r="AK35" s="108">
        <f>IF($A35="",0,IF(AND($S35=1,$W35=1,$X35=1,$U35&gt;Config!$C$9),1,0))</f>
        <v>0</v>
      </c>
      <c r="AL35" s="108">
        <f t="shared" si="11"/>
        <v>0</v>
      </c>
    </row>
    <row r="36" spans="1:38" x14ac:dyDescent="0.25">
      <c r="A36" s="106" t="s">
        <v>122</v>
      </c>
      <c r="B36" s="106" t="s">
        <v>614</v>
      </c>
      <c r="C36" s="107">
        <v>46272</v>
      </c>
      <c r="D36" s="106" t="s">
        <v>694</v>
      </c>
      <c r="E36" s="106" t="s">
        <v>709</v>
      </c>
      <c r="F36" s="106" t="s">
        <v>615</v>
      </c>
      <c r="G36" s="106"/>
      <c r="H36" s="106" t="s">
        <v>709</v>
      </c>
      <c r="I36" s="106"/>
      <c r="J36" s="106" t="s">
        <v>710</v>
      </c>
      <c r="K36" s="106">
        <v>1</v>
      </c>
      <c r="L36" s="106">
        <v>0</v>
      </c>
      <c r="M36" s="106">
        <v>0</v>
      </c>
      <c r="N36" s="106"/>
      <c r="O36" s="106"/>
      <c r="P36" s="106">
        <v>0</v>
      </c>
      <c r="Q36" s="106" t="s">
        <v>711</v>
      </c>
      <c r="S36" s="108">
        <f>IF($A36="","",COUNTIF(BPOworkers!$B$6:$B$105,$A36))</f>
        <v>1</v>
      </c>
      <c r="T36" s="109">
        <f>IF($A36="","",$K36*Config!$C$9)</f>
        <v>8</v>
      </c>
      <c r="U36" s="109">
        <f>IF($A36="","",IF(COUNTIF(Config!$C$21:$C$23,$H36)&gt;0,IFERROR(VALUE(LEFT(TRIM($Q36),FIND(" ",TRIM($Q36)&amp;" ")-1)),0),0))</f>
        <v>0</v>
      </c>
      <c r="V36" s="109">
        <f t="shared" si="0"/>
        <v>8</v>
      </c>
      <c r="W36" s="108">
        <f>IF($A36="",0,IF(AND($C36&gt;=Config!$C$7,$C36&lt;=Config!$C$8),1,0))</f>
        <v>0</v>
      </c>
      <c r="X36" s="108">
        <f>IF($A36="",0,IF(COUNTIF(Config!$C$21:$C$23,$H36)&gt;0,1,0))</f>
        <v>0</v>
      </c>
      <c r="Y36" s="108">
        <f t="shared" si="1"/>
        <v>0</v>
      </c>
      <c r="Z36" s="108" t="str">
        <f t="shared" si="2"/>
        <v/>
      </c>
      <c r="AB36" s="108">
        <f t="shared" si="3"/>
        <v>0</v>
      </c>
      <c r="AC36" s="108">
        <f>IF($A36="",0,IF(AND($AB36=1,COUNTIF($A$2:$A36,$A36)=1),1,0))</f>
        <v>0</v>
      </c>
      <c r="AD36" s="108">
        <f t="shared" si="4"/>
        <v>0</v>
      </c>
      <c r="AE36" s="108" t="str">
        <f t="shared" si="5"/>
        <v/>
      </c>
      <c r="AF36" s="108">
        <f t="shared" si="6"/>
        <v>0</v>
      </c>
      <c r="AG36" s="108">
        <f t="shared" si="7"/>
        <v>1</v>
      </c>
      <c r="AH36" s="110" t="str">
        <f t="shared" si="8"/>
        <v>A Lorenzo|20260907|Land Admin|1.000|Data reconciliation</v>
      </c>
      <c r="AI36" s="108">
        <f t="shared" si="9"/>
        <v>0</v>
      </c>
      <c r="AJ36" s="108">
        <f t="shared" si="10"/>
        <v>0</v>
      </c>
      <c r="AK36" s="108">
        <f>IF($A36="",0,IF(AND($S36=1,$W36=1,$X36=1,$U36&gt;Config!$C$9),1,0))</f>
        <v>0</v>
      </c>
      <c r="AL36" s="108">
        <f t="shared" si="11"/>
        <v>0</v>
      </c>
    </row>
    <row r="37" spans="1:38" ht="180.75" x14ac:dyDescent="0.25">
      <c r="A37" s="106" t="s">
        <v>120</v>
      </c>
      <c r="B37" s="106" t="s">
        <v>614</v>
      </c>
      <c r="C37" s="107">
        <v>46272</v>
      </c>
      <c r="D37" s="106" t="s">
        <v>712</v>
      </c>
      <c r="E37" s="106" t="s">
        <v>713</v>
      </c>
      <c r="F37" s="106" t="s">
        <v>714</v>
      </c>
      <c r="G37" s="106" t="s">
        <v>715</v>
      </c>
      <c r="H37" s="106" t="s">
        <v>639</v>
      </c>
      <c r="I37" s="106"/>
      <c r="J37" s="106" t="s">
        <v>716</v>
      </c>
      <c r="K37" s="106">
        <v>1</v>
      </c>
      <c r="L37" s="106">
        <v>0</v>
      </c>
      <c r="M37" s="106">
        <v>0</v>
      </c>
      <c r="N37" s="106"/>
      <c r="O37" s="106"/>
      <c r="P37" s="106">
        <v>0</v>
      </c>
      <c r="Q37" s="111" t="s">
        <v>717</v>
      </c>
      <c r="S37" s="108">
        <f>IF($A37="","",COUNTIF(BPOworkers!$B$6:$B$105,$A37))</f>
        <v>1</v>
      </c>
      <c r="T37" s="109">
        <f>IF($A37="","",$K37*Config!$C$9)</f>
        <v>8</v>
      </c>
      <c r="U37" s="109">
        <f>IF($A37="","",IF(COUNTIF(Config!$C$21:$C$23,$H37)&gt;0,IFERROR(VALUE(LEFT(TRIM($Q37),FIND(" ",TRIM($Q37)&amp;" ")-1)),0),0))</f>
        <v>0</v>
      </c>
      <c r="V37" s="109">
        <f t="shared" si="0"/>
        <v>8</v>
      </c>
      <c r="W37" s="108">
        <f>IF($A37="",0,IF(AND($C37&gt;=Config!$C$7,$C37&lt;=Config!$C$8),1,0))</f>
        <v>0</v>
      </c>
      <c r="X37" s="108">
        <f>IF($A37="",0,IF(COUNTIF(Config!$C$21:$C$23,$H37)&gt;0,1,0))</f>
        <v>0</v>
      </c>
      <c r="Y37" s="108">
        <f t="shared" si="1"/>
        <v>0</v>
      </c>
      <c r="Z37" s="108" t="str">
        <f t="shared" si="2"/>
        <v/>
      </c>
      <c r="AB37" s="108">
        <f t="shared" si="3"/>
        <v>0</v>
      </c>
      <c r="AC37" s="108">
        <f>IF($A37="",0,IF(AND($AB37=1,COUNTIF($A$2:$A37,$A37)=1),1,0))</f>
        <v>0</v>
      </c>
      <c r="AD37" s="108">
        <f t="shared" si="4"/>
        <v>0</v>
      </c>
      <c r="AE37" s="108" t="str">
        <f t="shared" si="5"/>
        <v/>
      </c>
      <c r="AF37" s="108">
        <f t="shared" si="6"/>
        <v>0</v>
      </c>
      <c r="AG37" s="108">
        <f t="shared" si="7"/>
        <v>1</v>
      </c>
      <c r="AH37" s="112" t="str">
        <f t="shared" si="8"/>
        <v>A Camargo|20260907|Review|1.000|Worked on the review of the AOI 
 Re-indexing of 4 parties (±180 documents)
 Added missing instruments</v>
      </c>
      <c r="AI37" s="108">
        <f t="shared" si="9"/>
        <v>0</v>
      </c>
      <c r="AJ37" s="108">
        <f t="shared" si="10"/>
        <v>0</v>
      </c>
      <c r="AK37" s="108">
        <f>IF($A37="",0,IF(AND($S37=1,$W37=1,$X37=1,$U37&gt;Config!$C$9),1,0))</f>
        <v>0</v>
      </c>
      <c r="AL37" s="108">
        <f t="shared" si="11"/>
        <v>0</v>
      </c>
    </row>
    <row r="38" spans="1:38" x14ac:dyDescent="0.25">
      <c r="A38" s="106" t="s">
        <v>718</v>
      </c>
      <c r="B38" s="106" t="s">
        <v>614</v>
      </c>
      <c r="C38" s="107">
        <v>46272</v>
      </c>
      <c r="D38" s="106" t="s">
        <v>529</v>
      </c>
      <c r="E38" s="106" t="s">
        <v>529</v>
      </c>
      <c r="F38" s="106" t="s">
        <v>615</v>
      </c>
      <c r="G38" s="106"/>
      <c r="H38" s="106" t="s">
        <v>529</v>
      </c>
      <c r="I38" s="106"/>
      <c r="J38" s="106"/>
      <c r="K38" s="106">
        <v>0</v>
      </c>
      <c r="L38" s="106">
        <v>0</v>
      </c>
      <c r="M38" s="106">
        <v>0</v>
      </c>
      <c r="N38" s="106"/>
      <c r="O38" s="106"/>
      <c r="P38" s="106">
        <v>0</v>
      </c>
      <c r="Q38" s="106" t="s">
        <v>719</v>
      </c>
      <c r="S38" s="108">
        <f>IF($A38="","",COUNTIF(BPOworkers!$B$6:$B$105,$A38))</f>
        <v>0</v>
      </c>
      <c r="T38" s="109">
        <f>IF($A38="","",$K38*Config!$C$9)</f>
        <v>0</v>
      </c>
      <c r="U38" s="109">
        <f>IF($A38="","",IF(COUNTIF(Config!$C$21:$C$23,$H38)&gt;0,IFERROR(VALUE(LEFT(TRIM($Q38),FIND(" ",TRIM($Q38)&amp;" ")-1)),0),0))</f>
        <v>8</v>
      </c>
      <c r="V38" s="109">
        <f t="shared" si="0"/>
        <v>8</v>
      </c>
      <c r="W38" s="108">
        <f>IF($A38="",0,IF(AND($C38&gt;=Config!$C$7,$C38&lt;=Config!$C$8),1,0))</f>
        <v>0</v>
      </c>
      <c r="X38" s="108">
        <f>IF($A38="",0,IF(COUNTIF(Config!$C$21:$C$23,$H38)&gt;0,1,0))</f>
        <v>1</v>
      </c>
      <c r="Y38" s="108">
        <f t="shared" si="1"/>
        <v>0</v>
      </c>
      <c r="Z38" s="108" t="str">
        <f t="shared" si="2"/>
        <v/>
      </c>
      <c r="AB38" s="108">
        <f t="shared" si="3"/>
        <v>0</v>
      </c>
      <c r="AC38" s="108">
        <f>IF($A38="",0,IF(AND($AB38=1,COUNTIF($A$2:$A38,$A38)=1),1,0))</f>
        <v>0</v>
      </c>
      <c r="AD38" s="108">
        <f t="shared" si="4"/>
        <v>0</v>
      </c>
      <c r="AE38" s="108" t="str">
        <f t="shared" si="5"/>
        <v/>
      </c>
      <c r="AF38" s="108">
        <f t="shared" si="6"/>
        <v>0</v>
      </c>
      <c r="AG38" s="108">
        <f t="shared" si="7"/>
        <v>0</v>
      </c>
      <c r="AH38" s="110" t="str">
        <f t="shared" si="8"/>
        <v>B. Lukes|20260907|Time Off|0.000|8 hours unpaid. Labor Day.</v>
      </c>
      <c r="AI38" s="108">
        <f t="shared" si="9"/>
        <v>0</v>
      </c>
      <c r="AJ38" s="108">
        <f t="shared" si="10"/>
        <v>0</v>
      </c>
      <c r="AK38" s="108">
        <f>IF($A38="",0,IF(AND($S38=1,$W38=1,$X38=1,$U38&gt;Config!$C$9),1,0))</f>
        <v>0</v>
      </c>
      <c r="AL38" s="108">
        <f t="shared" si="11"/>
        <v>0</v>
      </c>
    </row>
    <row r="39" spans="1:38" ht="168.75" x14ac:dyDescent="0.25">
      <c r="A39" s="106" t="s">
        <v>125</v>
      </c>
      <c r="B39" s="106" t="s">
        <v>618</v>
      </c>
      <c r="C39" s="107">
        <v>46272</v>
      </c>
      <c r="D39" s="106" t="s">
        <v>720</v>
      </c>
      <c r="E39" s="106" t="s">
        <v>721</v>
      </c>
      <c r="F39" s="106" t="s">
        <v>722</v>
      </c>
      <c r="G39" s="106" t="s">
        <v>723</v>
      </c>
      <c r="H39" s="106" t="s">
        <v>639</v>
      </c>
      <c r="I39" s="106"/>
      <c r="J39" s="106"/>
      <c r="K39" s="106">
        <v>0.5</v>
      </c>
      <c r="L39" s="106">
        <v>0</v>
      </c>
      <c r="M39" s="106">
        <v>0</v>
      </c>
      <c r="N39" s="106"/>
      <c r="O39" s="106"/>
      <c r="P39" s="106">
        <v>0</v>
      </c>
      <c r="Q39" s="111" t="s">
        <v>724</v>
      </c>
      <c r="S39" s="108">
        <f>IF($A39="","",COUNTIF(BPOworkers!$B$6:$B$105,$A39))</f>
        <v>1</v>
      </c>
      <c r="T39" s="109">
        <f>IF($A39="","",$K39*Config!$C$9)</f>
        <v>4</v>
      </c>
      <c r="U39" s="109">
        <f>IF($A39="","",IF(COUNTIF(Config!$C$21:$C$23,$H39)&gt;0,IFERROR(VALUE(LEFT(TRIM($Q39),FIND(" ",TRIM($Q39)&amp;" ")-1)),0),0))</f>
        <v>0</v>
      </c>
      <c r="V39" s="109">
        <f t="shared" si="0"/>
        <v>4</v>
      </c>
      <c r="W39" s="108">
        <f>IF($A39="",0,IF(AND($C39&gt;=Config!$C$7,$C39&lt;=Config!$C$8),1,0))</f>
        <v>0</v>
      </c>
      <c r="X39" s="108">
        <f>IF($A39="",0,IF(COUNTIF(Config!$C$21:$C$23,$H39)&gt;0,1,0))</f>
        <v>0</v>
      </c>
      <c r="Y39" s="108">
        <f t="shared" si="1"/>
        <v>0</v>
      </c>
      <c r="Z39" s="108" t="str">
        <f t="shared" si="2"/>
        <v/>
      </c>
      <c r="AB39" s="108">
        <f t="shared" si="3"/>
        <v>0</v>
      </c>
      <c r="AC39" s="108">
        <f>IF($A39="",0,IF(AND($AB39=1,COUNTIF($A$2:$A39,$A39)=1),1,0))</f>
        <v>0</v>
      </c>
      <c r="AD39" s="108">
        <f t="shared" si="4"/>
        <v>0</v>
      </c>
      <c r="AE39" s="108" t="str">
        <f t="shared" si="5"/>
        <v/>
      </c>
      <c r="AF39" s="108">
        <f t="shared" si="6"/>
        <v>0</v>
      </c>
      <c r="AG39" s="108">
        <f t="shared" si="7"/>
        <v>1</v>
      </c>
      <c r="AH39" s="112" t="str">
        <f t="shared" si="8"/>
        <v xml:space="preserve">M Leon|20260907|Review|0.500|-Created review copy
 -Corrected all grantors' names
 -Corrected some interests and reservations that were not applied. </v>
      </c>
      <c r="AI39" s="108">
        <f t="shared" si="9"/>
        <v>0</v>
      </c>
      <c r="AJ39" s="108">
        <f t="shared" si="10"/>
        <v>0</v>
      </c>
      <c r="AK39" s="108">
        <f>IF($A39="",0,IF(AND($S39=1,$W39=1,$X39=1,$U39&gt;Config!$C$9),1,0))</f>
        <v>0</v>
      </c>
      <c r="AL39" s="108">
        <f t="shared" si="11"/>
        <v>0</v>
      </c>
    </row>
    <row r="40" spans="1:38" ht="168.75" x14ac:dyDescent="0.25">
      <c r="A40" s="106" t="s">
        <v>125</v>
      </c>
      <c r="B40" s="106" t="s">
        <v>618</v>
      </c>
      <c r="C40" s="107">
        <v>46272</v>
      </c>
      <c r="D40" s="106" t="s">
        <v>720</v>
      </c>
      <c r="E40" s="106" t="s">
        <v>721</v>
      </c>
      <c r="F40" s="106" t="s">
        <v>722</v>
      </c>
      <c r="G40" s="106" t="s">
        <v>725</v>
      </c>
      <c r="H40" s="106" t="s">
        <v>639</v>
      </c>
      <c r="I40" s="106"/>
      <c r="J40" s="106"/>
      <c r="K40" s="106">
        <v>0.5</v>
      </c>
      <c r="L40" s="106">
        <v>0</v>
      </c>
      <c r="M40" s="106">
        <v>0</v>
      </c>
      <c r="N40" s="106"/>
      <c r="O40" s="106"/>
      <c r="P40" s="106">
        <v>0</v>
      </c>
      <c r="Q40" s="111" t="s">
        <v>726</v>
      </c>
      <c r="S40" s="108">
        <f>IF($A40="","",COUNTIF(BPOworkers!$B$6:$B$105,$A40))</f>
        <v>1</v>
      </c>
      <c r="T40" s="109">
        <f>IF($A40="","",$K40*Config!$C$9)</f>
        <v>4</v>
      </c>
      <c r="U40" s="109">
        <f>IF($A40="","",IF(COUNTIF(Config!$C$21:$C$23,$H40)&gt;0,IFERROR(VALUE(LEFT(TRIM($Q40),FIND(" ",TRIM($Q40)&amp;" ")-1)),0),0))</f>
        <v>0</v>
      </c>
      <c r="V40" s="109">
        <f t="shared" si="0"/>
        <v>4</v>
      </c>
      <c r="W40" s="108">
        <f>IF($A40="",0,IF(AND($C40&gt;=Config!$C$7,$C40&lt;=Config!$C$8),1,0))</f>
        <v>0</v>
      </c>
      <c r="X40" s="108">
        <f>IF($A40="",0,IF(COUNTIF(Config!$C$21:$C$23,$H40)&gt;0,1,0))</f>
        <v>0</v>
      </c>
      <c r="Y40" s="108">
        <f t="shared" si="1"/>
        <v>0</v>
      </c>
      <c r="Z40" s="108" t="str">
        <f t="shared" si="2"/>
        <v/>
      </c>
      <c r="AB40" s="108">
        <f t="shared" si="3"/>
        <v>0</v>
      </c>
      <c r="AC40" s="108">
        <f>IF($A40="",0,IF(AND($AB40=1,COUNTIF($A$2:$A40,$A40)=1),1,0))</f>
        <v>0</v>
      </c>
      <c r="AD40" s="108">
        <f t="shared" si="4"/>
        <v>0</v>
      </c>
      <c r="AE40" s="108" t="str">
        <f t="shared" si="5"/>
        <v/>
      </c>
      <c r="AF40" s="108">
        <f t="shared" si="6"/>
        <v>0</v>
      </c>
      <c r="AG40" s="108">
        <f t="shared" si="7"/>
        <v>1</v>
      </c>
      <c r="AH40" s="112" t="str">
        <f t="shared" si="8"/>
        <v>M Leon|20260907|Review|0.500|-Created review copy
 -Indexed to find a gray copy of the documents; only found the 13-558 conveyance and replaced it in</v>
      </c>
      <c r="AI40" s="108">
        <f t="shared" si="9"/>
        <v>0</v>
      </c>
      <c r="AJ40" s="108">
        <f t="shared" si="10"/>
        <v>0</v>
      </c>
      <c r="AK40" s="108">
        <f>IF($A40="",0,IF(AND($S40=1,$W40=1,$X40=1,$U40&gt;Config!$C$9),1,0))</f>
        <v>0</v>
      </c>
      <c r="AL40" s="108">
        <f t="shared" si="11"/>
        <v>0</v>
      </c>
    </row>
    <row r="41" spans="1:38" x14ac:dyDescent="0.25">
      <c r="A41" s="106" t="s">
        <v>468</v>
      </c>
      <c r="B41" s="106" t="s">
        <v>618</v>
      </c>
      <c r="C41" s="107">
        <v>46272</v>
      </c>
      <c r="D41" s="106" t="s">
        <v>529</v>
      </c>
      <c r="E41" s="106" t="s">
        <v>529</v>
      </c>
      <c r="F41" s="106" t="s">
        <v>615</v>
      </c>
      <c r="G41" s="106"/>
      <c r="H41" s="106" t="s">
        <v>529</v>
      </c>
      <c r="I41" s="106"/>
      <c r="J41" s="106" t="s">
        <v>727</v>
      </c>
      <c r="K41" s="106">
        <v>0</v>
      </c>
      <c r="L41" s="106">
        <v>0</v>
      </c>
      <c r="M41" s="106">
        <v>0</v>
      </c>
      <c r="N41" s="106"/>
      <c r="O41" s="106"/>
      <c r="P41" s="106">
        <v>0</v>
      </c>
      <c r="Q41" s="106" t="s">
        <v>728</v>
      </c>
      <c r="S41" s="108">
        <f>IF($A41="","",COUNTIF(BPOworkers!$B$6:$B$105,$A41))</f>
        <v>1</v>
      </c>
      <c r="T41" s="109">
        <f>IF($A41="","",$K41*Config!$C$9)</f>
        <v>0</v>
      </c>
      <c r="U41" s="109">
        <f>IF($A41="","",IF(COUNTIF(Config!$C$21:$C$23,$H41)&gt;0,IFERROR(VALUE(LEFT(TRIM($Q41),FIND(" ",TRIM($Q41)&amp;" ")-1)),0),0))</f>
        <v>8</v>
      </c>
      <c r="V41" s="109">
        <f t="shared" si="0"/>
        <v>8</v>
      </c>
      <c r="W41" s="108">
        <f>IF($A41="",0,IF(AND($C41&gt;=Config!$C$7,$C41&lt;=Config!$C$8),1,0))</f>
        <v>0</v>
      </c>
      <c r="X41" s="108">
        <f>IF($A41="",0,IF(COUNTIF(Config!$C$21:$C$23,$H41)&gt;0,1,0))</f>
        <v>1</v>
      </c>
      <c r="Y41" s="108">
        <f t="shared" si="1"/>
        <v>0</v>
      </c>
      <c r="Z41" s="108" t="str">
        <f t="shared" si="2"/>
        <v/>
      </c>
      <c r="AB41" s="108">
        <f t="shared" si="3"/>
        <v>0</v>
      </c>
      <c r="AC41" s="108">
        <f>IF($A41="",0,IF(AND($AB41=1,COUNTIF($A$2:$A41,$A41)=1),1,0))</f>
        <v>0</v>
      </c>
      <c r="AD41" s="108">
        <f t="shared" si="4"/>
        <v>0</v>
      </c>
      <c r="AE41" s="108" t="str">
        <f t="shared" si="5"/>
        <v/>
      </c>
      <c r="AF41" s="108">
        <f t="shared" si="6"/>
        <v>0</v>
      </c>
      <c r="AG41" s="108">
        <f t="shared" si="7"/>
        <v>1</v>
      </c>
      <c r="AH41" s="110" t="str">
        <f t="shared" si="8"/>
        <v>J Castillo|20260907|Time Off|0.000|8 hours not worked medical leave. 8 Hours not billed</v>
      </c>
      <c r="AI41" s="108">
        <f t="shared" si="9"/>
        <v>0</v>
      </c>
      <c r="AJ41" s="108">
        <f t="shared" si="10"/>
        <v>0</v>
      </c>
      <c r="AK41" s="108">
        <f>IF($A41="",0,IF(AND($S41=1,$W41=1,$X41=1,$U41&gt;Config!$C$9),1,0))</f>
        <v>0</v>
      </c>
      <c r="AL41" s="108">
        <f t="shared" si="11"/>
        <v>0</v>
      </c>
    </row>
    <row r="42" spans="1:38" x14ac:dyDescent="0.25">
      <c r="A42" s="106" t="s">
        <v>729</v>
      </c>
      <c r="B42" s="106" t="s">
        <v>614</v>
      </c>
      <c r="C42" s="107">
        <v>46272</v>
      </c>
      <c r="D42" s="106" t="s">
        <v>712</v>
      </c>
      <c r="E42" s="106" t="s">
        <v>713</v>
      </c>
      <c r="F42" s="106" t="s">
        <v>714</v>
      </c>
      <c r="G42" s="106" t="s">
        <v>730</v>
      </c>
      <c r="H42" s="106" t="s">
        <v>639</v>
      </c>
      <c r="I42" s="106"/>
      <c r="J42" s="106"/>
      <c r="K42" s="106">
        <v>0.25</v>
      </c>
      <c r="L42" s="106">
        <v>0</v>
      </c>
      <c r="M42" s="106">
        <v>0</v>
      </c>
      <c r="N42" s="106"/>
      <c r="O42" s="106"/>
      <c r="P42" s="106">
        <v>0</v>
      </c>
      <c r="Q42" s="106" t="s">
        <v>731</v>
      </c>
      <c r="S42" s="108">
        <f>IF($A42="","",COUNTIF(BPOworkers!$B$6:$B$105,$A42))</f>
        <v>0</v>
      </c>
      <c r="T42" s="109">
        <f>IF($A42="","",$K42*Config!$C$9)</f>
        <v>2</v>
      </c>
      <c r="U42" s="109">
        <f>IF($A42="","",IF(COUNTIF(Config!$C$21:$C$23,$H42)&gt;0,IFERROR(VALUE(LEFT(TRIM($Q42),FIND(" ",TRIM($Q42)&amp;" ")-1)),0),0))</f>
        <v>0</v>
      </c>
      <c r="V42" s="109">
        <f t="shared" si="0"/>
        <v>2</v>
      </c>
      <c r="W42" s="108">
        <f>IF($A42="",0,IF(AND($C42&gt;=Config!$C$7,$C42&lt;=Config!$C$8),1,0))</f>
        <v>0</v>
      </c>
      <c r="X42" s="108">
        <f>IF($A42="",0,IF(COUNTIF(Config!$C$21:$C$23,$H42)&gt;0,1,0))</f>
        <v>0</v>
      </c>
      <c r="Y42" s="108">
        <f t="shared" si="1"/>
        <v>0</v>
      </c>
      <c r="Z42" s="108" t="str">
        <f t="shared" si="2"/>
        <v/>
      </c>
      <c r="AB42" s="108">
        <f t="shared" si="3"/>
        <v>0</v>
      </c>
      <c r="AC42" s="108">
        <f>IF($A42="",0,IF(AND($AB42=1,COUNTIF($A$2:$A42,$A42)=1),1,0))</f>
        <v>0</v>
      </c>
      <c r="AD42" s="108">
        <f t="shared" si="4"/>
        <v>0</v>
      </c>
      <c r="AE42" s="108" t="str">
        <f t="shared" si="5"/>
        <v/>
      </c>
      <c r="AF42" s="108">
        <f t="shared" si="6"/>
        <v>0</v>
      </c>
      <c r="AG42" s="108">
        <f t="shared" si="7"/>
        <v>0</v>
      </c>
      <c r="AH42" s="110" t="str">
        <f t="shared" si="8"/>
        <v>Z. Greenlee|20260907|Review|0.250|Review of 52 Blk 37, T2S. Addressed questions from BPO team regarding assignments and best practices.</v>
      </c>
      <c r="AI42" s="108">
        <f t="shared" si="9"/>
        <v>0</v>
      </c>
      <c r="AJ42" s="108">
        <f t="shared" si="10"/>
        <v>0</v>
      </c>
      <c r="AK42" s="108">
        <f>IF($A42="",0,IF(AND($S42=1,$W42=1,$X42=1,$U42&gt;Config!$C$9),1,0))</f>
        <v>0</v>
      </c>
      <c r="AL42" s="108">
        <f t="shared" si="11"/>
        <v>0</v>
      </c>
    </row>
    <row r="43" spans="1:38" x14ac:dyDescent="0.25">
      <c r="A43" s="106" t="s">
        <v>729</v>
      </c>
      <c r="B43" s="106" t="s">
        <v>614</v>
      </c>
      <c r="C43" s="107">
        <v>46272</v>
      </c>
      <c r="D43" s="106" t="s">
        <v>529</v>
      </c>
      <c r="E43" s="106" t="s">
        <v>529</v>
      </c>
      <c r="F43" s="106" t="s">
        <v>615</v>
      </c>
      <c r="G43" s="106"/>
      <c r="H43" s="106" t="s">
        <v>529</v>
      </c>
      <c r="I43" s="106"/>
      <c r="J43" s="106"/>
      <c r="K43" s="106">
        <v>0</v>
      </c>
      <c r="L43" s="106">
        <v>0</v>
      </c>
      <c r="M43" s="106">
        <v>0</v>
      </c>
      <c r="N43" s="106"/>
      <c r="O43" s="106"/>
      <c r="P43" s="106">
        <v>0</v>
      </c>
      <c r="Q43" s="106" t="s">
        <v>732</v>
      </c>
      <c r="S43" s="108">
        <f>IF($A43="","",COUNTIF(BPOworkers!$B$6:$B$105,$A43))</f>
        <v>0</v>
      </c>
      <c r="T43" s="109">
        <f>IF($A43="","",$K43*Config!$C$9)</f>
        <v>0</v>
      </c>
      <c r="U43" s="109">
        <f>IF($A43="","",IF(COUNTIF(Config!$C$21:$C$23,$H43)&gt;0,IFERROR(VALUE(LEFT(TRIM($Q43),FIND(" ",TRIM($Q43)&amp;" ")-1)),0),0))</f>
        <v>0</v>
      </c>
      <c r="V43" s="109">
        <f t="shared" si="0"/>
        <v>0</v>
      </c>
      <c r="W43" s="108">
        <f>IF($A43="",0,IF(AND($C43&gt;=Config!$C$7,$C43&lt;=Config!$C$8),1,0))</f>
        <v>0</v>
      </c>
      <c r="X43" s="108">
        <f>IF($A43="",0,IF(COUNTIF(Config!$C$21:$C$23,$H43)&gt;0,1,0))</f>
        <v>1</v>
      </c>
      <c r="Y43" s="108">
        <f t="shared" si="1"/>
        <v>0</v>
      </c>
      <c r="Z43" s="108" t="str">
        <f t="shared" si="2"/>
        <v/>
      </c>
      <c r="AB43" s="108">
        <f t="shared" si="3"/>
        <v>0</v>
      </c>
      <c r="AC43" s="108">
        <f>IF($A43="",0,IF(AND($AB43=1,COUNTIF($A$2:$A43,$A43)=1),1,0))</f>
        <v>0</v>
      </c>
      <c r="AD43" s="108">
        <f t="shared" si="4"/>
        <v>0</v>
      </c>
      <c r="AE43" s="108" t="str">
        <f t="shared" si="5"/>
        <v/>
      </c>
      <c r="AF43" s="108">
        <f t="shared" si="6"/>
        <v>0</v>
      </c>
      <c r="AG43" s="108">
        <f t="shared" si="7"/>
        <v>0</v>
      </c>
      <c r="AH43" s="110" t="str">
        <f t="shared" si="8"/>
        <v>Z. Greenlee|20260907|Time Off|0.000|Six hours not billed</v>
      </c>
      <c r="AI43" s="108">
        <f t="shared" si="9"/>
        <v>0</v>
      </c>
      <c r="AJ43" s="108">
        <f t="shared" si="10"/>
        <v>0</v>
      </c>
      <c r="AK43" s="108">
        <f>IF($A43="",0,IF(AND($S43=1,$W43=1,$X43=1,$U43&gt;Config!$C$9),1,0))</f>
        <v>0</v>
      </c>
      <c r="AL43" s="108">
        <f t="shared" si="11"/>
        <v>0</v>
      </c>
    </row>
    <row r="44" spans="1:38" x14ac:dyDescent="0.25">
      <c r="A44" s="106" t="s">
        <v>733</v>
      </c>
      <c r="B44" s="106" t="s">
        <v>614</v>
      </c>
      <c r="C44" s="107">
        <v>46272</v>
      </c>
      <c r="D44" s="106" t="s">
        <v>529</v>
      </c>
      <c r="E44" s="106" t="s">
        <v>529</v>
      </c>
      <c r="F44" s="106" t="s">
        <v>615</v>
      </c>
      <c r="G44" s="106"/>
      <c r="H44" s="106" t="s">
        <v>529</v>
      </c>
      <c r="I44" s="106"/>
      <c r="J44" s="106" t="s">
        <v>529</v>
      </c>
      <c r="K44" s="106">
        <v>0</v>
      </c>
      <c r="L44" s="106">
        <v>0</v>
      </c>
      <c r="M44" s="106">
        <v>0</v>
      </c>
      <c r="N44" s="106"/>
      <c r="O44" s="106"/>
      <c r="P44" s="106">
        <v>0</v>
      </c>
      <c r="Q44" s="106" t="s">
        <v>734</v>
      </c>
      <c r="S44" s="108">
        <f>IF($A44="","",COUNTIF(BPOworkers!$B$6:$B$105,$A44))</f>
        <v>0</v>
      </c>
      <c r="T44" s="109">
        <f>IF($A44="","",$K44*Config!$C$9)</f>
        <v>0</v>
      </c>
      <c r="U44" s="109">
        <f>IF($A44="","",IF(COUNTIF(Config!$C$21:$C$23,$H44)&gt;0,IFERROR(VALUE(LEFT(TRIM($Q44),FIND(" ",TRIM($Q44)&amp;" ")-1)),0),0))</f>
        <v>8</v>
      </c>
      <c r="V44" s="109">
        <f t="shared" si="0"/>
        <v>8</v>
      </c>
      <c r="W44" s="108">
        <f>IF($A44="",0,IF(AND($C44&gt;=Config!$C$7,$C44&lt;=Config!$C$8),1,0))</f>
        <v>0</v>
      </c>
      <c r="X44" s="108">
        <f>IF($A44="",0,IF(COUNTIF(Config!$C$21:$C$23,$H44)&gt;0,1,0))</f>
        <v>1</v>
      </c>
      <c r="Y44" s="108">
        <f t="shared" si="1"/>
        <v>0</v>
      </c>
      <c r="Z44" s="108" t="str">
        <f t="shared" si="2"/>
        <v/>
      </c>
      <c r="AB44" s="108">
        <f t="shared" si="3"/>
        <v>0</v>
      </c>
      <c r="AC44" s="108">
        <f>IF($A44="",0,IF(AND($AB44=1,COUNTIF($A$2:$A44,$A44)=1),1,0))</f>
        <v>0</v>
      </c>
      <c r="AD44" s="108">
        <f t="shared" si="4"/>
        <v>0</v>
      </c>
      <c r="AE44" s="108" t="str">
        <f t="shared" si="5"/>
        <v/>
      </c>
      <c r="AF44" s="108">
        <f t="shared" si="6"/>
        <v>0</v>
      </c>
      <c r="AG44" s="108">
        <f t="shared" si="7"/>
        <v>0</v>
      </c>
      <c r="AH44" s="110" t="str">
        <f t="shared" si="8"/>
        <v>R. Norris|20260907|Time Off|0.000|8 hours not billed for the holiday</v>
      </c>
      <c r="AI44" s="108">
        <f t="shared" si="9"/>
        <v>0</v>
      </c>
      <c r="AJ44" s="108">
        <f t="shared" si="10"/>
        <v>0</v>
      </c>
      <c r="AK44" s="108">
        <f>IF($A44="",0,IF(AND($S44=1,$W44=1,$X44=1,$U44&gt;Config!$C$9),1,0))</f>
        <v>0</v>
      </c>
      <c r="AL44" s="108">
        <f t="shared" si="11"/>
        <v>0</v>
      </c>
    </row>
    <row r="45" spans="1:38" x14ac:dyDescent="0.25">
      <c r="A45" s="106" t="s">
        <v>735</v>
      </c>
      <c r="B45" s="106" t="s">
        <v>614</v>
      </c>
      <c r="C45" s="107">
        <v>46272</v>
      </c>
      <c r="D45" s="106" t="s">
        <v>680</v>
      </c>
      <c r="E45" s="106" t="s">
        <v>681</v>
      </c>
      <c r="F45" s="106" t="s">
        <v>686</v>
      </c>
      <c r="G45" s="106" t="s">
        <v>736</v>
      </c>
      <c r="H45" s="106" t="s">
        <v>631</v>
      </c>
      <c r="I45" s="106"/>
      <c r="J45" s="106" t="s">
        <v>737</v>
      </c>
      <c r="K45" s="106">
        <v>1</v>
      </c>
      <c r="L45" s="106">
        <v>0</v>
      </c>
      <c r="M45" s="106">
        <v>0</v>
      </c>
      <c r="N45" s="106"/>
      <c r="O45" s="106"/>
      <c r="P45" s="106">
        <v>0</v>
      </c>
      <c r="Q45" s="106" t="s">
        <v>738</v>
      </c>
      <c r="S45" s="108">
        <f>IF($A45="","",COUNTIF(BPOworkers!$B$6:$B$105,$A45))</f>
        <v>0</v>
      </c>
      <c r="T45" s="109">
        <f>IF($A45="","",$K45*Config!$C$9)</f>
        <v>8</v>
      </c>
      <c r="U45" s="109">
        <f>IF($A45="","",IF(COUNTIF(Config!$C$21:$C$23,$H45)&gt;0,IFERROR(VALUE(LEFT(TRIM($Q45),FIND(" ",TRIM($Q45)&amp;" ")-1)),0),0))</f>
        <v>0</v>
      </c>
      <c r="V45" s="109">
        <f t="shared" si="0"/>
        <v>8</v>
      </c>
      <c r="W45" s="108">
        <f>IF($A45="",0,IF(AND($C45&gt;=Config!$C$7,$C45&lt;=Config!$C$8),1,0))</f>
        <v>0</v>
      </c>
      <c r="X45" s="108">
        <f>IF($A45="",0,IF(COUNTIF(Config!$C$21:$C$23,$H45)&gt;0,1,0))</f>
        <v>0</v>
      </c>
      <c r="Y45" s="108">
        <f t="shared" si="1"/>
        <v>0</v>
      </c>
      <c r="Z45" s="108" t="str">
        <f t="shared" si="2"/>
        <v/>
      </c>
      <c r="AB45" s="108">
        <f t="shared" si="3"/>
        <v>0</v>
      </c>
      <c r="AC45" s="108">
        <f>IF($A45="",0,IF(AND($AB45=1,COUNTIF($A$2:$A45,$A45)=1),1,0))</f>
        <v>0</v>
      </c>
      <c r="AD45" s="108">
        <f t="shared" si="4"/>
        <v>0</v>
      </c>
      <c r="AE45" s="108" t="str">
        <f t="shared" si="5"/>
        <v/>
      </c>
      <c r="AF45" s="108">
        <f t="shared" si="6"/>
        <v>0</v>
      </c>
      <c r="AG45" s="108">
        <f t="shared" si="7"/>
        <v>0</v>
      </c>
      <c r="AH45" s="110" t="str">
        <f t="shared" si="8"/>
        <v>R. Liska|20260907|Title|1.000|AOI Set Up, Parcel Identification, 9 names indexed and 9 documents entered.</v>
      </c>
      <c r="AI45" s="108">
        <f t="shared" si="9"/>
        <v>0</v>
      </c>
      <c r="AJ45" s="108">
        <f t="shared" si="10"/>
        <v>0</v>
      </c>
      <c r="AK45" s="108">
        <f>IF($A45="",0,IF(AND($S45=1,$W45=1,$X45=1,$U45&gt;Config!$C$9),1,0))</f>
        <v>0</v>
      </c>
      <c r="AL45" s="108">
        <f t="shared" si="11"/>
        <v>0</v>
      </c>
    </row>
    <row r="46" spans="1:38" ht="192.75" x14ac:dyDescent="0.25">
      <c r="A46" s="106" t="s">
        <v>473</v>
      </c>
      <c r="B46" s="106" t="s">
        <v>614</v>
      </c>
      <c r="C46" s="107">
        <v>46272</v>
      </c>
      <c r="D46" s="106" t="s">
        <v>680</v>
      </c>
      <c r="E46" s="106" t="s">
        <v>681</v>
      </c>
      <c r="F46" s="106" t="s">
        <v>686</v>
      </c>
      <c r="G46" s="106" t="s">
        <v>739</v>
      </c>
      <c r="H46" s="106" t="s">
        <v>631</v>
      </c>
      <c r="I46" s="106"/>
      <c r="J46" s="106" t="s">
        <v>740</v>
      </c>
      <c r="K46" s="106">
        <v>1</v>
      </c>
      <c r="L46" s="106">
        <v>0</v>
      </c>
      <c r="M46" s="106">
        <v>0</v>
      </c>
      <c r="N46" s="106"/>
      <c r="O46" s="106"/>
      <c r="P46" s="106">
        <v>0</v>
      </c>
      <c r="Q46" s="111" t="s">
        <v>741</v>
      </c>
      <c r="S46" s="108">
        <f>IF($A46="","",COUNTIF(BPOworkers!$B$6:$B$105,$A46))</f>
        <v>1</v>
      </c>
      <c r="T46" s="109">
        <f>IF($A46="","",$K46*Config!$C$9)</f>
        <v>8</v>
      </c>
      <c r="U46" s="109">
        <f>IF($A46="","",IF(COUNTIF(Config!$C$21:$C$23,$H46)&gt;0,IFERROR(VALUE(LEFT(TRIM($Q46),FIND(" ",TRIM($Q46)&amp;" ")-1)),0),0))</f>
        <v>0</v>
      </c>
      <c r="V46" s="109">
        <f t="shared" si="0"/>
        <v>8</v>
      </c>
      <c r="W46" s="108">
        <f>IF($A46="",0,IF(AND($C46&gt;=Config!$C$7,$C46&lt;=Config!$C$8),1,0))</f>
        <v>0</v>
      </c>
      <c r="X46" s="108">
        <f>IF($A46="",0,IF(COUNTIF(Config!$C$21:$C$23,$H46)&gt;0,1,0))</f>
        <v>0</v>
      </c>
      <c r="Y46" s="108">
        <f t="shared" si="1"/>
        <v>0</v>
      </c>
      <c r="Z46" s="108" t="str">
        <f t="shared" si="2"/>
        <v/>
      </c>
      <c r="AB46" s="108">
        <f t="shared" si="3"/>
        <v>0</v>
      </c>
      <c r="AC46" s="108">
        <f>IF($A46="",0,IF(AND($AB46=1,COUNTIF($A$2:$A46,$A46)=1),1,0))</f>
        <v>0</v>
      </c>
      <c r="AD46" s="108">
        <f t="shared" si="4"/>
        <v>0</v>
      </c>
      <c r="AE46" s="108" t="str">
        <f t="shared" si="5"/>
        <v/>
      </c>
      <c r="AF46" s="108">
        <f t="shared" si="6"/>
        <v>0</v>
      </c>
      <c r="AG46" s="108">
        <f t="shared" si="7"/>
        <v>1</v>
      </c>
      <c r="AH46" s="112" t="str">
        <f t="shared" si="8"/>
        <v>J Rincon|20260907|Title|1.000|Indexed 5 parties
 Added 7 notecards
 SIV Title: 17-0000058.000 et al, CARROLL (OH), SMELTZ
 Created M&amp;B for each docu</v>
      </c>
      <c r="AI46" s="108">
        <f t="shared" si="9"/>
        <v>0</v>
      </c>
      <c r="AJ46" s="108">
        <f t="shared" si="10"/>
        <v>0</v>
      </c>
      <c r="AK46" s="108">
        <f>IF($A46="",0,IF(AND($S46=1,$W46=1,$X46=1,$U46&gt;Config!$C$9),1,0))</f>
        <v>0</v>
      </c>
      <c r="AL46" s="108">
        <f t="shared" si="11"/>
        <v>0</v>
      </c>
    </row>
    <row r="47" spans="1:38" ht="204.75" x14ac:dyDescent="0.25">
      <c r="A47" s="106" t="s">
        <v>474</v>
      </c>
      <c r="B47" s="106" t="s">
        <v>618</v>
      </c>
      <c r="C47" s="107">
        <v>46272</v>
      </c>
      <c r="D47" s="106" t="s">
        <v>669</v>
      </c>
      <c r="E47" s="106" t="s">
        <v>669</v>
      </c>
      <c r="F47" s="106" t="s">
        <v>670</v>
      </c>
      <c r="G47" s="106"/>
      <c r="H47" s="106" t="s">
        <v>671</v>
      </c>
      <c r="I47" s="106"/>
      <c r="J47" s="106" t="s">
        <v>669</v>
      </c>
      <c r="K47" s="106">
        <v>1</v>
      </c>
      <c r="L47" s="106">
        <v>0</v>
      </c>
      <c r="M47" s="106">
        <v>0</v>
      </c>
      <c r="N47" s="106"/>
      <c r="O47" s="106"/>
      <c r="P47" s="106">
        <v>0</v>
      </c>
      <c r="Q47" s="111" t="s">
        <v>672</v>
      </c>
      <c r="S47" s="108">
        <f>IF($A47="","",COUNTIF(BPOworkers!$B$6:$B$105,$A47))</f>
        <v>1</v>
      </c>
      <c r="T47" s="109">
        <f>IF($A47="","",$K47*Config!$C$9)</f>
        <v>8</v>
      </c>
      <c r="U47" s="109">
        <f>IF($A47="","",IF(COUNTIF(Config!$C$21:$C$23,$H47)&gt;0,IFERROR(VALUE(LEFT(TRIM($Q47),FIND(" ",TRIM($Q47)&amp;" ")-1)),0),0))</f>
        <v>0</v>
      </c>
      <c r="V47" s="109">
        <f t="shared" si="0"/>
        <v>8</v>
      </c>
      <c r="W47" s="108">
        <f>IF($A47="",0,IF(AND($C47&gt;=Config!$C$7,$C47&lt;=Config!$C$8),1,0))</f>
        <v>0</v>
      </c>
      <c r="X47" s="108">
        <f>IF($A47="",0,IF(COUNTIF(Config!$C$21:$C$23,$H47)&gt;0,1,0))</f>
        <v>0</v>
      </c>
      <c r="Y47" s="108">
        <f t="shared" si="1"/>
        <v>0</v>
      </c>
      <c r="Z47" s="108" t="str">
        <f t="shared" si="2"/>
        <v/>
      </c>
      <c r="AB47" s="108">
        <f t="shared" si="3"/>
        <v>0</v>
      </c>
      <c r="AC47" s="108">
        <f>IF($A47="",0,IF(AND($AB47=1,COUNTIF($A$2:$A47,$A47)=1),1,0))</f>
        <v>0</v>
      </c>
      <c r="AD47" s="108">
        <f t="shared" si="4"/>
        <v>0</v>
      </c>
      <c r="AE47" s="108" t="str">
        <f t="shared" si="5"/>
        <v/>
      </c>
      <c r="AF47" s="108">
        <f t="shared" si="6"/>
        <v>0</v>
      </c>
      <c r="AG47" s="108">
        <f t="shared" si="7"/>
        <v>1</v>
      </c>
      <c r="AH47" s="112" t="str">
        <f t="shared" si="8"/>
        <v xml:space="preserve">J Valbuena|20260907|TitleNotes - Library|1.000|I am currently training with Matt regarding the library title
 notes. I am encountering some issues with documents that
</v>
      </c>
      <c r="AI47" s="108">
        <f t="shared" si="9"/>
        <v>0</v>
      </c>
      <c r="AJ47" s="108">
        <f t="shared" si="10"/>
        <v>0</v>
      </c>
      <c r="AK47" s="108">
        <f>IF($A47="",0,IF(AND($S47=1,$W47=1,$X47=1,$U47&gt;Config!$C$9),1,0))</f>
        <v>0</v>
      </c>
      <c r="AL47" s="108">
        <f t="shared" si="11"/>
        <v>0</v>
      </c>
    </row>
    <row r="48" spans="1:38" x14ac:dyDescent="0.25">
      <c r="A48" s="106" t="s">
        <v>742</v>
      </c>
      <c r="B48" s="106" t="s">
        <v>614</v>
      </c>
      <c r="C48" s="107">
        <v>46272</v>
      </c>
      <c r="D48" s="106" t="s">
        <v>529</v>
      </c>
      <c r="E48" s="106" t="s">
        <v>529</v>
      </c>
      <c r="F48" s="106" t="s">
        <v>615</v>
      </c>
      <c r="G48" s="106"/>
      <c r="H48" s="106" t="s">
        <v>529</v>
      </c>
      <c r="I48" s="106"/>
      <c r="J48" s="106" t="s">
        <v>743</v>
      </c>
      <c r="K48" s="106">
        <v>0</v>
      </c>
      <c r="L48" s="106">
        <v>0</v>
      </c>
      <c r="M48" s="106">
        <v>0</v>
      </c>
      <c r="N48" s="106"/>
      <c r="O48" s="106"/>
      <c r="P48" s="106">
        <v>0</v>
      </c>
      <c r="Q48" s="106" t="s">
        <v>744</v>
      </c>
      <c r="S48" s="108">
        <f>IF($A48="","",COUNTIF(BPOworkers!$B$6:$B$105,$A48))</f>
        <v>0</v>
      </c>
      <c r="T48" s="109">
        <f>IF($A48="","",$K48*Config!$C$9)</f>
        <v>0</v>
      </c>
      <c r="U48" s="109">
        <f>IF($A48="","",IF(COUNTIF(Config!$C$21:$C$23,$H48)&gt;0,IFERROR(VALUE(LEFT(TRIM($Q48),FIND(" ",TRIM($Q48)&amp;" ")-1)),0),0))</f>
        <v>0</v>
      </c>
      <c r="V48" s="109">
        <f t="shared" si="0"/>
        <v>0</v>
      </c>
      <c r="W48" s="108">
        <f>IF($A48="",0,IF(AND($C48&gt;=Config!$C$7,$C48&lt;=Config!$C$8),1,0))</f>
        <v>0</v>
      </c>
      <c r="X48" s="108">
        <f>IF($A48="",0,IF(COUNTIF(Config!$C$21:$C$23,$H48)&gt;0,1,0))</f>
        <v>1</v>
      </c>
      <c r="Y48" s="108">
        <f t="shared" si="1"/>
        <v>0</v>
      </c>
      <c r="Z48" s="108" t="str">
        <f t="shared" si="2"/>
        <v/>
      </c>
      <c r="AB48" s="108">
        <f t="shared" si="3"/>
        <v>0</v>
      </c>
      <c r="AC48" s="108">
        <f>IF($A48="",0,IF(AND($AB48=1,COUNTIF($A$2:$A48,$A48)=1),1,0))</f>
        <v>0</v>
      </c>
      <c r="AD48" s="108">
        <f t="shared" si="4"/>
        <v>0</v>
      </c>
      <c r="AE48" s="108" t="str">
        <f t="shared" si="5"/>
        <v/>
      </c>
      <c r="AF48" s="108">
        <f t="shared" si="6"/>
        <v>0</v>
      </c>
      <c r="AG48" s="108">
        <f t="shared" si="7"/>
        <v>0</v>
      </c>
      <c r="AH48" s="110" t="str">
        <f t="shared" si="8"/>
        <v>J. Edwards|20260907|Time Off|0.000|Time Off...0 of 8 hours worked.</v>
      </c>
      <c r="AI48" s="108">
        <f t="shared" si="9"/>
        <v>0</v>
      </c>
      <c r="AJ48" s="108">
        <f t="shared" si="10"/>
        <v>0</v>
      </c>
      <c r="AK48" s="108">
        <f>IF($A48="",0,IF(AND($S48=1,$W48=1,$X48=1,$U48&gt;Config!$C$9),1,0))</f>
        <v>0</v>
      </c>
      <c r="AL48" s="108">
        <f t="shared" si="11"/>
        <v>0</v>
      </c>
    </row>
    <row r="49" spans="1:38" ht="180.75" x14ac:dyDescent="0.25">
      <c r="A49" s="106" t="s">
        <v>457</v>
      </c>
      <c r="B49" s="106" t="s">
        <v>614</v>
      </c>
      <c r="C49" s="107">
        <v>46272</v>
      </c>
      <c r="D49" s="106" t="s">
        <v>680</v>
      </c>
      <c r="E49" s="106" t="s">
        <v>681</v>
      </c>
      <c r="F49" s="106" t="s">
        <v>745</v>
      </c>
      <c r="G49" s="106" t="s">
        <v>746</v>
      </c>
      <c r="H49" s="106" t="s">
        <v>631</v>
      </c>
      <c r="I49" s="106"/>
      <c r="J49" s="106" t="s">
        <v>747</v>
      </c>
      <c r="K49" s="106">
        <v>0.375</v>
      </c>
      <c r="L49" s="106">
        <v>0</v>
      </c>
      <c r="M49" s="106">
        <v>0</v>
      </c>
      <c r="N49" s="106"/>
      <c r="O49" s="106"/>
      <c r="P49" s="106">
        <v>0</v>
      </c>
      <c r="Q49" s="111" t="s">
        <v>748</v>
      </c>
      <c r="S49" s="108">
        <f>IF($A49="","",COUNTIF(BPOworkers!$B$6:$B$105,$A49))</f>
        <v>1</v>
      </c>
      <c r="T49" s="109">
        <f>IF($A49="","",$K49*Config!$C$9)</f>
        <v>3</v>
      </c>
      <c r="U49" s="109">
        <f>IF($A49="","",IF(COUNTIF(Config!$C$21:$C$23,$H49)&gt;0,IFERROR(VALUE(LEFT(TRIM($Q49),FIND(" ",TRIM($Q49)&amp;" ")-1)),0),0))</f>
        <v>0</v>
      </c>
      <c r="V49" s="109">
        <f t="shared" si="0"/>
        <v>3</v>
      </c>
      <c r="W49" s="108">
        <f>IF($A49="",0,IF(AND($C49&gt;=Config!$C$7,$C49&lt;=Config!$C$8),1,0))</f>
        <v>0</v>
      </c>
      <c r="X49" s="108">
        <f>IF($A49="",0,IF(COUNTIF(Config!$C$21:$C$23,$H49)&gt;0,1,0))</f>
        <v>0</v>
      </c>
      <c r="Y49" s="108">
        <f t="shared" si="1"/>
        <v>0</v>
      </c>
      <c r="Z49" s="108" t="str">
        <f t="shared" si="2"/>
        <v/>
      </c>
      <c r="AB49" s="108">
        <f t="shared" si="3"/>
        <v>0</v>
      </c>
      <c r="AC49" s="108">
        <f>IF($A49="",0,IF(AND($AB49=1,COUNTIF($A$2:$A49,$A49)=1),1,0))</f>
        <v>0</v>
      </c>
      <c r="AD49" s="108">
        <f t="shared" si="4"/>
        <v>0</v>
      </c>
      <c r="AE49" s="108" t="str">
        <f t="shared" si="5"/>
        <v/>
      </c>
      <c r="AF49" s="108">
        <f t="shared" si="6"/>
        <v>0</v>
      </c>
      <c r="AG49" s="108">
        <f t="shared" si="7"/>
        <v>1</v>
      </c>
      <c r="AH49" s="112" t="str">
        <f t="shared" si="8"/>
        <v>A Lopez|20260907|Title|0.375|Identified source deed, indexed parties and started the SIV. 
 2 notecards entered
 3 parties indexed
 manual indexing i</v>
      </c>
      <c r="AI49" s="108">
        <f t="shared" si="9"/>
        <v>0</v>
      </c>
      <c r="AJ49" s="108">
        <f t="shared" si="10"/>
        <v>0</v>
      </c>
      <c r="AK49" s="108">
        <f>IF($A49="",0,IF(AND($S49=1,$W49=1,$X49=1,$U49&gt;Config!$C$9),1,0))</f>
        <v>0</v>
      </c>
      <c r="AL49" s="108">
        <f t="shared" si="11"/>
        <v>0</v>
      </c>
    </row>
    <row r="50" spans="1:38" x14ac:dyDescent="0.25">
      <c r="A50" s="106" t="s">
        <v>457</v>
      </c>
      <c r="B50" s="106" t="s">
        <v>618</v>
      </c>
      <c r="C50" s="107">
        <v>46272</v>
      </c>
      <c r="D50" s="106" t="s">
        <v>529</v>
      </c>
      <c r="E50" s="106" t="s">
        <v>529</v>
      </c>
      <c r="F50" s="106" t="s">
        <v>615</v>
      </c>
      <c r="G50" s="106"/>
      <c r="H50" s="106" t="s">
        <v>529</v>
      </c>
      <c r="I50" s="106"/>
      <c r="J50" s="106" t="s">
        <v>749</v>
      </c>
      <c r="K50" s="106">
        <v>0</v>
      </c>
      <c r="L50" s="106">
        <v>0</v>
      </c>
      <c r="M50" s="106">
        <v>0</v>
      </c>
      <c r="N50" s="106"/>
      <c r="O50" s="106"/>
      <c r="P50" s="106">
        <v>0</v>
      </c>
      <c r="Q50" s="106" t="s">
        <v>750</v>
      </c>
      <c r="S50" s="108">
        <f>IF($A50="","",COUNTIF(BPOworkers!$B$6:$B$105,$A50))</f>
        <v>1</v>
      </c>
      <c r="T50" s="109">
        <f>IF($A50="","",$K50*Config!$C$9)</f>
        <v>0</v>
      </c>
      <c r="U50" s="109">
        <f>IF($A50="","",IF(COUNTIF(Config!$C$21:$C$23,$H50)&gt;0,IFERROR(VALUE(LEFT(TRIM($Q50),FIND(" ",TRIM($Q50)&amp;" ")-1)),0),0))</f>
        <v>5</v>
      </c>
      <c r="V50" s="109">
        <f t="shared" si="0"/>
        <v>5</v>
      </c>
      <c r="W50" s="108">
        <f>IF($A50="",0,IF(AND($C50&gt;=Config!$C$7,$C50&lt;=Config!$C$8),1,0))</f>
        <v>0</v>
      </c>
      <c r="X50" s="108">
        <f>IF($A50="",0,IF(COUNTIF(Config!$C$21:$C$23,$H50)&gt;0,1,0))</f>
        <v>1</v>
      </c>
      <c r="Y50" s="108">
        <f t="shared" si="1"/>
        <v>0</v>
      </c>
      <c r="Z50" s="108" t="str">
        <f t="shared" si="2"/>
        <v/>
      </c>
      <c r="AB50" s="108">
        <f t="shared" si="3"/>
        <v>0</v>
      </c>
      <c r="AC50" s="108">
        <f>IF($A50="",0,IF(AND($AB50=1,COUNTIF($A$2:$A50,$A50)=1),1,0))</f>
        <v>0</v>
      </c>
      <c r="AD50" s="108">
        <f t="shared" si="4"/>
        <v>0</v>
      </c>
      <c r="AE50" s="108" t="str">
        <f t="shared" si="5"/>
        <v/>
      </c>
      <c r="AF50" s="108">
        <f t="shared" si="6"/>
        <v>0</v>
      </c>
      <c r="AG50" s="108">
        <f t="shared" si="7"/>
        <v>1</v>
      </c>
      <c r="AH50" s="110" t="str">
        <f t="shared" si="8"/>
        <v>A Lopez|20260907|Time Off|0.000|5 hours</v>
      </c>
      <c r="AI50" s="108">
        <f t="shared" si="9"/>
        <v>0</v>
      </c>
      <c r="AJ50" s="108">
        <f t="shared" si="10"/>
        <v>0</v>
      </c>
      <c r="AK50" s="108">
        <f>IF($A50="",0,IF(AND($S50=1,$W50=1,$X50=1,$U50&gt;Config!$C$9),1,0))</f>
        <v>0</v>
      </c>
      <c r="AL50" s="108">
        <f t="shared" si="11"/>
        <v>0</v>
      </c>
    </row>
    <row r="51" spans="1:38" ht="132.75" x14ac:dyDescent="0.25">
      <c r="A51" s="106" t="s">
        <v>482</v>
      </c>
      <c r="B51" s="106" t="s">
        <v>614</v>
      </c>
      <c r="C51" s="107">
        <v>46272</v>
      </c>
      <c r="D51" s="106" t="s">
        <v>680</v>
      </c>
      <c r="E51" s="106" t="s">
        <v>681</v>
      </c>
      <c r="F51" s="106" t="s">
        <v>686</v>
      </c>
      <c r="G51" s="106" t="s">
        <v>751</v>
      </c>
      <c r="H51" s="106" t="s">
        <v>631</v>
      </c>
      <c r="I51" s="106"/>
      <c r="J51" s="106" t="s">
        <v>752</v>
      </c>
      <c r="K51" s="106">
        <v>0.875</v>
      </c>
      <c r="L51" s="106">
        <v>0</v>
      </c>
      <c r="M51" s="106">
        <v>0</v>
      </c>
      <c r="N51" s="106"/>
      <c r="O51" s="106"/>
      <c r="P51" s="106">
        <v>0</v>
      </c>
      <c r="Q51" s="111" t="s">
        <v>753</v>
      </c>
      <c r="S51" s="108">
        <f>IF($A51="","",COUNTIF(BPOworkers!$B$6:$B$105,$A51))</f>
        <v>1</v>
      </c>
      <c r="T51" s="109">
        <f>IF($A51="","",$K51*Config!$C$9)</f>
        <v>7</v>
      </c>
      <c r="U51" s="109">
        <f>IF($A51="","",IF(COUNTIF(Config!$C$21:$C$23,$H51)&gt;0,IFERROR(VALUE(LEFT(TRIM($Q51),FIND(" ",TRIM($Q51)&amp;" ")-1)),0),0))</f>
        <v>0</v>
      </c>
      <c r="V51" s="109">
        <f t="shared" si="0"/>
        <v>7</v>
      </c>
      <c r="W51" s="108">
        <f>IF($A51="",0,IF(AND($C51&gt;=Config!$C$7,$C51&lt;=Config!$C$8),1,0))</f>
        <v>0</v>
      </c>
      <c r="X51" s="108">
        <f>IF($A51="",0,IF(COUNTIF(Config!$C$21:$C$23,$H51)&gt;0,1,0))</f>
        <v>0</v>
      </c>
      <c r="Y51" s="108">
        <f t="shared" si="1"/>
        <v>0</v>
      </c>
      <c r="Z51" s="108" t="str">
        <f t="shared" si="2"/>
        <v/>
      </c>
      <c r="AB51" s="108">
        <f t="shared" si="3"/>
        <v>0</v>
      </c>
      <c r="AC51" s="108">
        <f>IF($A51="",0,IF(AND($AB51=1,COUNTIF($A$2:$A51,$A51)=1),1,0))</f>
        <v>0</v>
      </c>
      <c r="AD51" s="108">
        <f t="shared" si="4"/>
        <v>0</v>
      </c>
      <c r="AE51" s="108" t="str">
        <f t="shared" si="5"/>
        <v/>
      </c>
      <c r="AF51" s="108">
        <f t="shared" si="6"/>
        <v>0</v>
      </c>
      <c r="AG51" s="108">
        <f t="shared" si="7"/>
        <v>1</v>
      </c>
      <c r="AH51" s="112" t="str">
        <f t="shared" si="8"/>
        <v>M Grazziani|20260907|Title|0.875|11 party names indexed.
 1 notecards created.
 231 Documents indexed.</v>
      </c>
      <c r="AI51" s="108">
        <f t="shared" si="9"/>
        <v>0</v>
      </c>
      <c r="AJ51" s="108">
        <f t="shared" si="10"/>
        <v>0</v>
      </c>
      <c r="AK51" s="108">
        <f>IF($A51="",0,IF(AND($S51=1,$W51=1,$X51=1,$U51&gt;Config!$C$9),1,0))</f>
        <v>0</v>
      </c>
      <c r="AL51" s="108">
        <f t="shared" si="11"/>
        <v>0</v>
      </c>
    </row>
    <row r="52" spans="1:38" x14ac:dyDescent="0.25">
      <c r="A52" s="106" t="s">
        <v>464</v>
      </c>
      <c r="B52" s="106" t="s">
        <v>614</v>
      </c>
      <c r="C52" s="107">
        <v>46272</v>
      </c>
      <c r="D52" s="106" t="s">
        <v>694</v>
      </c>
      <c r="E52" s="106" t="s">
        <v>709</v>
      </c>
      <c r="F52" s="106" t="s">
        <v>615</v>
      </c>
      <c r="G52" s="106"/>
      <c r="H52" s="106" t="s">
        <v>709</v>
      </c>
      <c r="I52" s="106"/>
      <c r="J52" s="106" t="s">
        <v>754</v>
      </c>
      <c r="K52" s="106">
        <v>1</v>
      </c>
      <c r="L52" s="106">
        <v>0</v>
      </c>
      <c r="M52" s="106">
        <v>0</v>
      </c>
      <c r="N52" s="106"/>
      <c r="O52" s="106"/>
      <c r="P52" s="106">
        <v>0</v>
      </c>
      <c r="Q52" s="106" t="s">
        <v>755</v>
      </c>
      <c r="S52" s="108">
        <f>IF($A52="","",COUNTIF(BPOworkers!$B$6:$B$105,$A52))</f>
        <v>1</v>
      </c>
      <c r="T52" s="109">
        <f>IF($A52="","",$K52*Config!$C$9)</f>
        <v>8</v>
      </c>
      <c r="U52" s="109">
        <f>IF($A52="","",IF(COUNTIF(Config!$C$21:$C$23,$H52)&gt;0,IFERROR(VALUE(LEFT(TRIM($Q52),FIND(" ",TRIM($Q52)&amp;" ")-1)),0),0))</f>
        <v>0</v>
      </c>
      <c r="V52" s="109">
        <f t="shared" si="0"/>
        <v>8</v>
      </c>
      <c r="W52" s="108">
        <f>IF($A52="",0,IF(AND($C52&gt;=Config!$C$7,$C52&lt;=Config!$C$8),1,0))</f>
        <v>0</v>
      </c>
      <c r="X52" s="108">
        <f>IF($A52="",0,IF(COUNTIF(Config!$C$21:$C$23,$H52)&gt;0,1,0))</f>
        <v>0</v>
      </c>
      <c r="Y52" s="108">
        <f t="shared" si="1"/>
        <v>0</v>
      </c>
      <c r="Z52" s="108" t="str">
        <f t="shared" si="2"/>
        <v/>
      </c>
      <c r="AB52" s="108">
        <f t="shared" si="3"/>
        <v>0</v>
      </c>
      <c r="AC52" s="108">
        <f>IF($A52="",0,IF(AND($AB52=1,COUNTIF($A$2:$A52,$A52)=1),1,0))</f>
        <v>0</v>
      </c>
      <c r="AD52" s="108">
        <f t="shared" si="4"/>
        <v>0</v>
      </c>
      <c r="AE52" s="108" t="str">
        <f t="shared" si="5"/>
        <v/>
      </c>
      <c r="AF52" s="108">
        <f t="shared" si="6"/>
        <v>0</v>
      </c>
      <c r="AG52" s="108">
        <f t="shared" si="7"/>
        <v>1</v>
      </c>
      <c r="AH52" s="110" t="str">
        <f t="shared" si="8"/>
        <v>I De La Parra|20260907|Land Admin|1.000|- AIP Well List Tracker</v>
      </c>
      <c r="AI52" s="108">
        <f t="shared" si="9"/>
        <v>0</v>
      </c>
      <c r="AJ52" s="108">
        <f t="shared" si="10"/>
        <v>0</v>
      </c>
      <c r="AK52" s="108">
        <f>IF($A52="",0,IF(AND($S52=1,$W52=1,$X52=1,$U52&gt;Config!$C$9),1,0))</f>
        <v>0</v>
      </c>
      <c r="AL52" s="108">
        <f t="shared" si="11"/>
        <v>0</v>
      </c>
    </row>
    <row r="53" spans="1:38" x14ac:dyDescent="0.25">
      <c r="A53" s="106" t="s">
        <v>460</v>
      </c>
      <c r="B53" s="106" t="s">
        <v>618</v>
      </c>
      <c r="C53" s="107">
        <v>46272</v>
      </c>
      <c r="D53" s="106" t="s">
        <v>529</v>
      </c>
      <c r="E53" s="106" t="s">
        <v>529</v>
      </c>
      <c r="F53" s="106" t="s">
        <v>615</v>
      </c>
      <c r="G53" s="106"/>
      <c r="H53" s="106" t="s">
        <v>531</v>
      </c>
      <c r="I53" s="106"/>
      <c r="J53" s="106" t="s">
        <v>756</v>
      </c>
      <c r="K53" s="106">
        <v>0</v>
      </c>
      <c r="L53" s="106">
        <v>0</v>
      </c>
      <c r="M53" s="106">
        <v>0</v>
      </c>
      <c r="N53" s="106"/>
      <c r="O53" s="106"/>
      <c r="P53" s="106">
        <v>0</v>
      </c>
      <c r="Q53" s="106" t="s">
        <v>757</v>
      </c>
      <c r="S53" s="108">
        <f>IF($A53="","",COUNTIF(BPOworkers!$B$6:$B$105,$A53))</f>
        <v>1</v>
      </c>
      <c r="T53" s="109">
        <f>IF($A53="","",$K53*Config!$C$9)</f>
        <v>0</v>
      </c>
      <c r="U53" s="109">
        <f>IF($A53="","",IF(COUNTIF(Config!$C$21:$C$23,$H53)&gt;0,IFERROR(VALUE(LEFT(TRIM($Q53),FIND(" ",TRIM($Q53)&amp;" ")-1)),0),0))</f>
        <v>8</v>
      </c>
      <c r="V53" s="109">
        <f t="shared" si="0"/>
        <v>8</v>
      </c>
      <c r="W53" s="108">
        <f>IF($A53="",0,IF(AND($C53&gt;=Config!$C$7,$C53&lt;=Config!$C$8),1,0))</f>
        <v>0</v>
      </c>
      <c r="X53" s="108">
        <f>IF($A53="",0,IF(COUNTIF(Config!$C$21:$C$23,$H53)&gt;0,1,0))</f>
        <v>1</v>
      </c>
      <c r="Y53" s="108">
        <f t="shared" si="1"/>
        <v>0</v>
      </c>
      <c r="Z53" s="108" t="str">
        <f t="shared" si="2"/>
        <v/>
      </c>
      <c r="AB53" s="108">
        <f t="shared" si="3"/>
        <v>0</v>
      </c>
      <c r="AC53" s="108">
        <f>IF($A53="",0,IF(AND($AB53=1,COUNTIF($A$2:$A53,$A53)=1),1,0))</f>
        <v>0</v>
      </c>
      <c r="AD53" s="108">
        <f t="shared" si="4"/>
        <v>0</v>
      </c>
      <c r="AE53" s="108" t="str">
        <f t="shared" si="5"/>
        <v/>
      </c>
      <c r="AF53" s="108">
        <f t="shared" si="6"/>
        <v>0</v>
      </c>
      <c r="AG53" s="108">
        <f t="shared" si="7"/>
        <v>1</v>
      </c>
      <c r="AH53" s="110" t="str">
        <f t="shared" si="8"/>
        <v>C Mesa|20260907|BPO Vacation|0.000|8 hours of paid vacations</v>
      </c>
      <c r="AI53" s="108">
        <f t="shared" si="9"/>
        <v>0</v>
      </c>
      <c r="AJ53" s="108">
        <f t="shared" si="10"/>
        <v>0</v>
      </c>
      <c r="AK53" s="108">
        <f>IF($A53="",0,IF(AND($S53=1,$W53=1,$X53=1,$U53&gt;Config!$C$9),1,0))</f>
        <v>0</v>
      </c>
      <c r="AL53" s="108">
        <f t="shared" si="11"/>
        <v>0</v>
      </c>
    </row>
    <row r="54" spans="1:38" ht="144.75" x14ac:dyDescent="0.25">
      <c r="A54" s="106" t="s">
        <v>470</v>
      </c>
      <c r="B54" s="106" t="s">
        <v>618</v>
      </c>
      <c r="C54" s="107">
        <v>46272</v>
      </c>
      <c r="D54" s="106" t="s">
        <v>669</v>
      </c>
      <c r="E54" s="106" t="s">
        <v>669</v>
      </c>
      <c r="F54" s="106" t="s">
        <v>670</v>
      </c>
      <c r="G54" s="106"/>
      <c r="H54" s="106" t="s">
        <v>671</v>
      </c>
      <c r="I54" s="106"/>
      <c r="J54" s="106"/>
      <c r="K54" s="106">
        <v>1</v>
      </c>
      <c r="L54" s="106">
        <v>0</v>
      </c>
      <c r="M54" s="106">
        <v>0</v>
      </c>
      <c r="N54" s="106"/>
      <c r="O54" s="106"/>
      <c r="P54" s="106">
        <v>0</v>
      </c>
      <c r="Q54" s="111" t="s">
        <v>758</v>
      </c>
      <c r="S54" s="108">
        <f>IF($A54="","",COUNTIF(BPOworkers!$B$6:$B$105,$A54))</f>
        <v>1</v>
      </c>
      <c r="T54" s="109">
        <f>IF($A54="","",$K54*Config!$C$9)</f>
        <v>8</v>
      </c>
      <c r="U54" s="109">
        <f>IF($A54="","",IF(COUNTIF(Config!$C$21:$C$23,$H54)&gt;0,IFERROR(VALUE(LEFT(TRIM($Q54),FIND(" ",TRIM($Q54)&amp;" ")-1)),0),0))</f>
        <v>0</v>
      </c>
      <c r="V54" s="109">
        <f t="shared" si="0"/>
        <v>8</v>
      </c>
      <c r="W54" s="108">
        <f>IF($A54="",0,IF(AND($C54&gt;=Config!$C$7,$C54&lt;=Config!$C$8),1,0))</f>
        <v>0</v>
      </c>
      <c r="X54" s="108">
        <f>IF($A54="",0,IF(COUNTIF(Config!$C$21:$C$23,$H54)&gt;0,1,0))</f>
        <v>0</v>
      </c>
      <c r="Y54" s="108">
        <f t="shared" si="1"/>
        <v>0</v>
      </c>
      <c r="Z54" s="108" t="str">
        <f t="shared" si="2"/>
        <v/>
      </c>
      <c r="AB54" s="108">
        <f t="shared" si="3"/>
        <v>0</v>
      </c>
      <c r="AC54" s="108">
        <f>IF($A54="",0,IF(AND($AB54=1,COUNTIF($A$2:$A54,$A54)=1),1,0))</f>
        <v>0</v>
      </c>
      <c r="AD54" s="108">
        <f t="shared" si="4"/>
        <v>0</v>
      </c>
      <c r="AE54" s="108" t="str">
        <f t="shared" si="5"/>
        <v/>
      </c>
      <c r="AF54" s="108">
        <f t="shared" si="6"/>
        <v>0</v>
      </c>
      <c r="AG54" s="108">
        <f t="shared" si="7"/>
        <v>1</v>
      </c>
      <c r="AH54" s="112" t="str">
        <f t="shared" si="8"/>
        <v>J Gonzalez|20260907|TitleNotes - Library|1.000|30 docs
 Document 524-306, 9 transaction, 32 grantors per transaction</v>
      </c>
      <c r="AI54" s="108">
        <f t="shared" si="9"/>
        <v>0</v>
      </c>
      <c r="AJ54" s="108">
        <f t="shared" si="10"/>
        <v>0</v>
      </c>
      <c r="AK54" s="108">
        <f>IF($A54="",0,IF(AND($S54=1,$W54=1,$X54=1,$U54&gt;Config!$C$9),1,0))</f>
        <v>0</v>
      </c>
      <c r="AL54" s="108">
        <f t="shared" si="11"/>
        <v>0</v>
      </c>
    </row>
    <row r="55" spans="1:38" x14ac:dyDescent="0.25">
      <c r="A55" s="106" t="s">
        <v>759</v>
      </c>
      <c r="B55" s="106" t="s">
        <v>618</v>
      </c>
      <c r="C55" s="107">
        <v>46272</v>
      </c>
      <c r="D55" s="106" t="s">
        <v>712</v>
      </c>
      <c r="E55" s="106" t="s">
        <v>713</v>
      </c>
      <c r="F55" s="106" t="s">
        <v>714</v>
      </c>
      <c r="G55" s="106" t="s">
        <v>715</v>
      </c>
      <c r="H55" s="106" t="s">
        <v>639</v>
      </c>
      <c r="I55" s="106"/>
      <c r="J55" s="106"/>
      <c r="K55" s="106">
        <v>0.5</v>
      </c>
      <c r="L55" s="106">
        <v>0</v>
      </c>
      <c r="M55" s="106">
        <v>0</v>
      </c>
      <c r="N55" s="106"/>
      <c r="O55" s="106"/>
      <c r="P55" s="106">
        <v>0</v>
      </c>
      <c r="Q55" s="106" t="s">
        <v>639</v>
      </c>
      <c r="S55" s="108">
        <f>IF($A55="","",COUNTIF(BPOworkers!$B$6:$B$105,$A55))</f>
        <v>0</v>
      </c>
      <c r="T55" s="109">
        <f>IF($A55="","",$K55*Config!$C$9)</f>
        <v>4</v>
      </c>
      <c r="U55" s="109">
        <f>IF($A55="","",IF(COUNTIF(Config!$C$21:$C$23,$H55)&gt;0,IFERROR(VALUE(LEFT(TRIM($Q55),FIND(" ",TRIM($Q55)&amp;" ")-1)),0),0))</f>
        <v>0</v>
      </c>
      <c r="V55" s="109">
        <f t="shared" si="0"/>
        <v>4</v>
      </c>
      <c r="W55" s="108">
        <f>IF($A55="",0,IF(AND($C55&gt;=Config!$C$7,$C55&lt;=Config!$C$8),1,0))</f>
        <v>0</v>
      </c>
      <c r="X55" s="108">
        <f>IF($A55="",0,IF(COUNTIF(Config!$C$21:$C$23,$H55)&gt;0,1,0))</f>
        <v>0</v>
      </c>
      <c r="Y55" s="108">
        <f t="shared" si="1"/>
        <v>0</v>
      </c>
      <c r="Z55" s="108" t="str">
        <f t="shared" si="2"/>
        <v/>
      </c>
      <c r="AB55" s="108">
        <f t="shared" si="3"/>
        <v>0</v>
      </c>
      <c r="AC55" s="108">
        <f>IF($A55="",0,IF(AND($AB55=1,COUNTIF($A$2:$A55,$A55)=1),1,0))</f>
        <v>0</v>
      </c>
      <c r="AD55" s="108">
        <f t="shared" si="4"/>
        <v>0</v>
      </c>
      <c r="AE55" s="108" t="str">
        <f t="shared" si="5"/>
        <v/>
      </c>
      <c r="AF55" s="108">
        <f t="shared" si="6"/>
        <v>0</v>
      </c>
      <c r="AG55" s="108">
        <f t="shared" si="7"/>
        <v>0</v>
      </c>
      <c r="AH55" s="110" t="str">
        <f t="shared" si="8"/>
        <v>T. Aguillard|20260907|Review|0.500|Review</v>
      </c>
      <c r="AI55" s="108">
        <f t="shared" si="9"/>
        <v>0</v>
      </c>
      <c r="AJ55" s="108">
        <f t="shared" si="10"/>
        <v>0</v>
      </c>
      <c r="AK55" s="108">
        <f>IF($A55="",0,IF(AND($S55=1,$W55=1,$X55=1,$U55&gt;Config!$C$9),1,0))</f>
        <v>0</v>
      </c>
      <c r="AL55" s="108">
        <f t="shared" si="11"/>
        <v>0</v>
      </c>
    </row>
    <row r="56" spans="1:38" x14ac:dyDescent="0.25">
      <c r="A56" s="106" t="s">
        <v>759</v>
      </c>
      <c r="B56" s="106" t="s">
        <v>618</v>
      </c>
      <c r="C56" s="107">
        <v>46272</v>
      </c>
      <c r="D56" s="106" t="s">
        <v>529</v>
      </c>
      <c r="E56" s="106" t="s">
        <v>529</v>
      </c>
      <c r="F56" s="106" t="s">
        <v>615</v>
      </c>
      <c r="G56" s="106"/>
      <c r="H56" s="106" t="s">
        <v>529</v>
      </c>
      <c r="I56" s="106"/>
      <c r="J56" s="106"/>
      <c r="K56" s="106">
        <v>0</v>
      </c>
      <c r="L56" s="106">
        <v>0</v>
      </c>
      <c r="M56" s="106">
        <v>0</v>
      </c>
      <c r="N56" s="106"/>
      <c r="O56" s="106"/>
      <c r="P56" s="106">
        <v>0</v>
      </c>
      <c r="Q56" s="106" t="s">
        <v>760</v>
      </c>
      <c r="S56" s="108">
        <f>IF($A56="","",COUNTIF(BPOworkers!$B$6:$B$105,$A56))</f>
        <v>0</v>
      </c>
      <c r="T56" s="109">
        <f>IF($A56="","",$K56*Config!$C$9)</f>
        <v>0</v>
      </c>
      <c r="U56" s="109">
        <f>IF($A56="","",IF(COUNTIF(Config!$C$21:$C$23,$H56)&gt;0,IFERROR(VALUE(LEFT(TRIM($Q56),FIND(" ",TRIM($Q56)&amp;" ")-1)),0),0))</f>
        <v>4</v>
      </c>
      <c r="V56" s="109">
        <f t="shared" si="0"/>
        <v>4</v>
      </c>
      <c r="W56" s="108">
        <f>IF($A56="",0,IF(AND($C56&gt;=Config!$C$7,$C56&lt;=Config!$C$8),1,0))</f>
        <v>0</v>
      </c>
      <c r="X56" s="108">
        <f>IF($A56="",0,IF(COUNTIF(Config!$C$21:$C$23,$H56)&gt;0,1,0))</f>
        <v>1</v>
      </c>
      <c r="Y56" s="108">
        <f t="shared" si="1"/>
        <v>0</v>
      </c>
      <c r="Z56" s="108" t="str">
        <f t="shared" si="2"/>
        <v/>
      </c>
      <c r="AB56" s="108">
        <f t="shared" si="3"/>
        <v>0</v>
      </c>
      <c r="AC56" s="108">
        <f>IF($A56="",0,IF(AND($AB56=1,COUNTIF($A$2:$A56,$A56)=1),1,0))</f>
        <v>0</v>
      </c>
      <c r="AD56" s="108">
        <f t="shared" si="4"/>
        <v>0</v>
      </c>
      <c r="AE56" s="108" t="str">
        <f t="shared" si="5"/>
        <v/>
      </c>
      <c r="AF56" s="108">
        <f t="shared" si="6"/>
        <v>0</v>
      </c>
      <c r="AG56" s="108">
        <f t="shared" si="7"/>
        <v>0</v>
      </c>
      <c r="AH56" s="110" t="str">
        <f t="shared" si="8"/>
        <v>T. Aguillard|20260907|Time Off|0.000|4 hours not worked</v>
      </c>
      <c r="AI56" s="108">
        <f t="shared" si="9"/>
        <v>0</v>
      </c>
      <c r="AJ56" s="108">
        <f t="shared" si="10"/>
        <v>0</v>
      </c>
      <c r="AK56" s="108">
        <f>IF($A56="",0,IF(AND($S56=1,$W56=1,$X56=1,$U56&gt;Config!$C$9),1,0))</f>
        <v>0</v>
      </c>
      <c r="AL56" s="108">
        <f t="shared" si="11"/>
        <v>0</v>
      </c>
    </row>
    <row r="57" spans="1:38" x14ac:dyDescent="0.25">
      <c r="A57" s="106" t="s">
        <v>761</v>
      </c>
      <c r="B57" s="106" t="s">
        <v>614</v>
      </c>
      <c r="C57" s="107">
        <v>46272</v>
      </c>
      <c r="D57" s="106" t="s">
        <v>529</v>
      </c>
      <c r="E57" s="106" t="s">
        <v>529</v>
      </c>
      <c r="F57" s="106" t="s">
        <v>615</v>
      </c>
      <c r="G57" s="106"/>
      <c r="H57" s="106" t="s">
        <v>529</v>
      </c>
      <c r="I57" s="106"/>
      <c r="J57" s="106"/>
      <c r="K57" s="106">
        <v>0</v>
      </c>
      <c r="L57" s="106">
        <v>0</v>
      </c>
      <c r="M57" s="106">
        <v>0</v>
      </c>
      <c r="N57" s="106"/>
      <c r="O57" s="106"/>
      <c r="P57" s="106">
        <v>0</v>
      </c>
      <c r="Q57" s="106" t="s">
        <v>762</v>
      </c>
      <c r="S57" s="108">
        <f>IF($A57="","",COUNTIF(BPOworkers!$B$6:$B$105,$A57))</f>
        <v>0</v>
      </c>
      <c r="T57" s="109">
        <f>IF($A57="","",$K57*Config!$C$9)</f>
        <v>0</v>
      </c>
      <c r="U57" s="109">
        <f>IF($A57="","",IF(COUNTIF(Config!$C$21:$C$23,$H57)&gt;0,IFERROR(VALUE(LEFT(TRIM($Q57),FIND(" ",TRIM($Q57)&amp;" ")-1)),0),0))</f>
        <v>8</v>
      </c>
      <c r="V57" s="109">
        <f t="shared" si="0"/>
        <v>8</v>
      </c>
      <c r="W57" s="108">
        <f>IF($A57="",0,IF(AND($C57&gt;=Config!$C$7,$C57&lt;=Config!$C$8),1,0))</f>
        <v>0</v>
      </c>
      <c r="X57" s="108">
        <f>IF($A57="",0,IF(COUNTIF(Config!$C$21:$C$23,$H57)&gt;0,1,0))</f>
        <v>1</v>
      </c>
      <c r="Y57" s="108">
        <f t="shared" si="1"/>
        <v>0</v>
      </c>
      <c r="Z57" s="108" t="str">
        <f t="shared" si="2"/>
        <v/>
      </c>
      <c r="AB57" s="108">
        <f t="shared" si="3"/>
        <v>0</v>
      </c>
      <c r="AC57" s="108">
        <f>IF($A57="",0,IF(AND($AB57=1,COUNTIF($A$2:$A57,$A57)=1),1,0))</f>
        <v>0</v>
      </c>
      <c r="AD57" s="108">
        <f t="shared" si="4"/>
        <v>0</v>
      </c>
      <c r="AE57" s="108" t="str">
        <f t="shared" si="5"/>
        <v/>
      </c>
      <c r="AF57" s="108">
        <f t="shared" si="6"/>
        <v>0</v>
      </c>
      <c r="AG57" s="108">
        <f t="shared" si="7"/>
        <v>0</v>
      </c>
      <c r="AH57" s="110" t="str">
        <f t="shared" si="8"/>
        <v>J. Smallridge|20260907|Time Off|0.000|8 hours not billed holiday</v>
      </c>
      <c r="AI57" s="108">
        <f t="shared" si="9"/>
        <v>0</v>
      </c>
      <c r="AJ57" s="108">
        <f t="shared" si="10"/>
        <v>0</v>
      </c>
      <c r="AK57" s="108">
        <f>IF($A57="",0,IF(AND($S57=1,$W57=1,$X57=1,$U57&gt;Config!$C$9),1,0))</f>
        <v>0</v>
      </c>
      <c r="AL57" s="108">
        <f t="shared" si="11"/>
        <v>0</v>
      </c>
    </row>
    <row r="58" spans="1:38" ht="204.75" x14ac:dyDescent="0.25">
      <c r="A58" s="106" t="s">
        <v>458</v>
      </c>
      <c r="B58" s="106" t="s">
        <v>618</v>
      </c>
      <c r="C58" s="107">
        <v>46272</v>
      </c>
      <c r="D58" s="106" t="s">
        <v>669</v>
      </c>
      <c r="E58" s="106" t="s">
        <v>669</v>
      </c>
      <c r="F58" s="106" t="s">
        <v>670</v>
      </c>
      <c r="G58" s="106"/>
      <c r="H58" s="106" t="s">
        <v>671</v>
      </c>
      <c r="I58" s="106"/>
      <c r="J58" s="106"/>
      <c r="K58" s="106">
        <v>1</v>
      </c>
      <c r="L58" s="106">
        <v>0</v>
      </c>
      <c r="M58" s="106">
        <v>0</v>
      </c>
      <c r="N58" s="106"/>
      <c r="O58" s="106"/>
      <c r="P58" s="106">
        <v>0</v>
      </c>
      <c r="Q58" s="111" t="s">
        <v>763</v>
      </c>
      <c r="S58" s="108">
        <f>IF($A58="","",COUNTIF(BPOworkers!$B$6:$B$105,$A58))</f>
        <v>1</v>
      </c>
      <c r="T58" s="109">
        <f>IF($A58="","",$K58*Config!$C$9)</f>
        <v>8</v>
      </c>
      <c r="U58" s="109">
        <f>IF($A58="","",IF(COUNTIF(Config!$C$21:$C$23,$H58)&gt;0,IFERROR(VALUE(LEFT(TRIM($Q58),FIND(" ",TRIM($Q58)&amp;" ")-1)),0),0))</f>
        <v>0</v>
      </c>
      <c r="V58" s="109">
        <f t="shared" si="0"/>
        <v>8</v>
      </c>
      <c r="W58" s="108">
        <f>IF($A58="",0,IF(AND($C58&gt;=Config!$C$7,$C58&lt;=Config!$C$8),1,0))</f>
        <v>0</v>
      </c>
      <c r="X58" s="108">
        <f>IF($A58="",0,IF(COUNTIF(Config!$C$21:$C$23,$H58)&gt;0,1,0))</f>
        <v>0</v>
      </c>
      <c r="Y58" s="108">
        <f t="shared" si="1"/>
        <v>0</v>
      </c>
      <c r="Z58" s="108" t="str">
        <f t="shared" si="2"/>
        <v/>
      </c>
      <c r="AB58" s="108">
        <f t="shared" si="3"/>
        <v>0</v>
      </c>
      <c r="AC58" s="108">
        <f>IF($A58="",0,IF(AND($AB58=1,COUNTIF($A$2:$A58,$A58)=1),1,0))</f>
        <v>0</v>
      </c>
      <c r="AD58" s="108">
        <f t="shared" si="4"/>
        <v>0</v>
      </c>
      <c r="AE58" s="108" t="str">
        <f t="shared" si="5"/>
        <v/>
      </c>
      <c r="AF58" s="108">
        <f t="shared" si="6"/>
        <v>0</v>
      </c>
      <c r="AG58" s="108">
        <f t="shared" si="7"/>
        <v>1</v>
      </c>
      <c r="AH58" s="112" t="str">
        <f t="shared" si="8"/>
        <v>C Castellanos|20260907|TitleNotes - Library|1.000|40 Documents 
 130 Transactions
 Provided feedback from the team
 Performed some changes in the dashboard</v>
      </c>
      <c r="AI58" s="108">
        <f t="shared" si="9"/>
        <v>0</v>
      </c>
      <c r="AJ58" s="108">
        <f t="shared" si="10"/>
        <v>0</v>
      </c>
      <c r="AK58" s="108">
        <f>IF($A58="",0,IF(AND($S58=1,$W58=1,$X58=1,$U58&gt;Config!$C$9),1,0))</f>
        <v>0</v>
      </c>
      <c r="AL58" s="108">
        <f t="shared" si="11"/>
        <v>0</v>
      </c>
    </row>
    <row r="59" spans="1:38" ht="204.75" x14ac:dyDescent="0.25">
      <c r="A59" s="106" t="s">
        <v>461</v>
      </c>
      <c r="B59" s="106" t="s">
        <v>614</v>
      </c>
      <c r="C59" s="107">
        <v>46272</v>
      </c>
      <c r="D59" s="106" t="s">
        <v>623</v>
      </c>
      <c r="E59" s="106" t="s">
        <v>624</v>
      </c>
      <c r="F59" s="106" t="s">
        <v>615</v>
      </c>
      <c r="G59" s="106" t="s">
        <v>625</v>
      </c>
      <c r="H59" s="106" t="s">
        <v>691</v>
      </c>
      <c r="I59" s="106"/>
      <c r="J59" s="106" t="s">
        <v>691</v>
      </c>
      <c r="K59" s="106">
        <v>1</v>
      </c>
      <c r="L59" s="106">
        <v>0</v>
      </c>
      <c r="M59" s="106">
        <v>0</v>
      </c>
      <c r="N59" s="106"/>
      <c r="O59" s="106"/>
      <c r="P59" s="106">
        <v>0</v>
      </c>
      <c r="Q59" s="111" t="s">
        <v>764</v>
      </c>
      <c r="S59" s="108">
        <f>IF($A59="","",COUNTIF(BPOworkers!$B$6:$B$105,$A59))</f>
        <v>1</v>
      </c>
      <c r="T59" s="109">
        <f>IF($A59="","",$K59*Config!$C$9)</f>
        <v>8</v>
      </c>
      <c r="U59" s="109">
        <f>IF($A59="","",IF(COUNTIF(Config!$C$21:$C$23,$H59)&gt;0,IFERROR(VALUE(LEFT(TRIM($Q59),FIND(" ",TRIM($Q59)&amp;" ")-1)),0),0))</f>
        <v>0</v>
      </c>
      <c r="V59" s="109">
        <f t="shared" si="0"/>
        <v>8</v>
      </c>
      <c r="W59" s="108">
        <f>IF($A59="",0,IF(AND($C59&gt;=Config!$C$7,$C59&lt;=Config!$C$8),1,0))</f>
        <v>0</v>
      </c>
      <c r="X59" s="108">
        <f>IF($A59="",0,IF(COUNTIF(Config!$C$21:$C$23,$H59)&gt;0,1,0))</f>
        <v>0</v>
      </c>
      <c r="Y59" s="108">
        <f t="shared" si="1"/>
        <v>0</v>
      </c>
      <c r="Z59" s="108" t="str">
        <f t="shared" si="2"/>
        <v/>
      </c>
      <c r="AB59" s="108">
        <f t="shared" si="3"/>
        <v>0</v>
      </c>
      <c r="AC59" s="108">
        <f>IF($A59="",0,IF(AND($AB59=1,COUNTIF($A$2:$A59,$A59)=1),1,0))</f>
        <v>0</v>
      </c>
      <c r="AD59" s="108">
        <f t="shared" si="4"/>
        <v>0</v>
      </c>
      <c r="AE59" s="108" t="str">
        <f t="shared" si="5"/>
        <v/>
      </c>
      <c r="AF59" s="108">
        <f t="shared" si="6"/>
        <v>0</v>
      </c>
      <c r="AG59" s="108">
        <f t="shared" si="7"/>
        <v>1</v>
      </c>
      <c r="AH59" s="112" t="str">
        <f t="shared" si="8"/>
        <v xml:space="preserve">D Trujillo|20260907|BPO Project Management|1.000|BTABs Checkings Approval
 Adding legals in BTABs
 Extra Hours Spreadsheet
 Office mgmt
 Onboarding process fort the new </v>
      </c>
      <c r="AI59" s="108">
        <f t="shared" si="9"/>
        <v>0</v>
      </c>
      <c r="AJ59" s="108">
        <f t="shared" si="10"/>
        <v>0</v>
      </c>
      <c r="AK59" s="108">
        <f>IF($A59="",0,IF(AND($S59=1,$W59=1,$X59=1,$U59&gt;Config!$C$9),1,0))</f>
        <v>0</v>
      </c>
      <c r="AL59" s="108">
        <f t="shared" si="11"/>
        <v>0</v>
      </c>
    </row>
    <row r="60" spans="1:38" x14ac:dyDescent="0.25">
      <c r="A60" s="106" t="s">
        <v>465</v>
      </c>
      <c r="B60" s="106" t="s">
        <v>614</v>
      </c>
      <c r="C60" s="107">
        <v>46272</v>
      </c>
      <c r="D60" s="106" t="s">
        <v>694</v>
      </c>
      <c r="E60" s="106" t="s">
        <v>765</v>
      </c>
      <c r="F60" s="106" t="s">
        <v>766</v>
      </c>
      <c r="G60" s="106" t="s">
        <v>767</v>
      </c>
      <c r="H60" s="106" t="s">
        <v>765</v>
      </c>
      <c r="I60" s="106"/>
      <c r="J60" s="106"/>
      <c r="K60" s="106">
        <v>1</v>
      </c>
      <c r="L60" s="106">
        <v>0</v>
      </c>
      <c r="M60" s="106">
        <v>0</v>
      </c>
      <c r="N60" s="106"/>
      <c r="O60" s="106"/>
      <c r="P60" s="106">
        <v>0</v>
      </c>
      <c r="Q60" s="106" t="s">
        <v>768</v>
      </c>
      <c r="S60" s="108">
        <f>IF($A60="","",COUNTIF(BPOworkers!$B$6:$B$105,$A60))</f>
        <v>1</v>
      </c>
      <c r="T60" s="109">
        <f>IF($A60="","",$K60*Config!$C$9)</f>
        <v>8</v>
      </c>
      <c r="U60" s="109">
        <f>IF($A60="","",IF(COUNTIF(Config!$C$21:$C$23,$H60)&gt;0,IFERROR(VALUE(LEFT(TRIM($Q60),FIND(" ",TRIM($Q60)&amp;" ")-1)),0),0))</f>
        <v>0</v>
      </c>
      <c r="V60" s="109">
        <f t="shared" si="0"/>
        <v>8</v>
      </c>
      <c r="W60" s="108">
        <f>IF($A60="",0,IF(AND($C60&gt;=Config!$C$7,$C60&lt;=Config!$C$8),1,0))</f>
        <v>0</v>
      </c>
      <c r="X60" s="108">
        <f>IF($A60="",0,IF(COUNTIF(Config!$C$21:$C$23,$H60)&gt;0,1,0))</f>
        <v>0</v>
      </c>
      <c r="Y60" s="108">
        <f t="shared" si="1"/>
        <v>0</v>
      </c>
      <c r="Z60" s="108" t="str">
        <f t="shared" si="2"/>
        <v/>
      </c>
      <c r="AB60" s="108">
        <f t="shared" si="3"/>
        <v>0</v>
      </c>
      <c r="AC60" s="108">
        <f>IF($A60="",0,IF(AND($AB60=1,COUNTIF($A$2:$A60,$A60)=1),1,0))</f>
        <v>0</v>
      </c>
      <c r="AD60" s="108">
        <f t="shared" si="4"/>
        <v>0</v>
      </c>
      <c r="AE60" s="108" t="str">
        <f t="shared" si="5"/>
        <v/>
      </c>
      <c r="AF60" s="108">
        <f t="shared" si="6"/>
        <v>0</v>
      </c>
      <c r="AG60" s="108">
        <f t="shared" si="7"/>
        <v>1</v>
      </c>
      <c r="AH60" s="110" t="str">
        <f t="shared" si="8"/>
        <v>I Salamanca|20260907|Lease Bringdown|1.000|Filled 50 notecards of leases</v>
      </c>
      <c r="AI60" s="108">
        <f t="shared" si="9"/>
        <v>0</v>
      </c>
      <c r="AJ60" s="108">
        <f t="shared" si="10"/>
        <v>0</v>
      </c>
      <c r="AK60" s="108">
        <f>IF($A60="",0,IF(AND($S60=1,$W60=1,$X60=1,$U60&gt;Config!$C$9),1,0))</f>
        <v>0</v>
      </c>
      <c r="AL60" s="108">
        <f t="shared" si="11"/>
        <v>0</v>
      </c>
    </row>
    <row r="61" spans="1:38" ht="120.75" x14ac:dyDescent="0.25">
      <c r="A61" s="106" t="s">
        <v>466</v>
      </c>
      <c r="B61" s="106" t="s">
        <v>614</v>
      </c>
      <c r="C61" s="107">
        <v>46272</v>
      </c>
      <c r="D61" s="106" t="s">
        <v>669</v>
      </c>
      <c r="E61" s="106" t="s">
        <v>669</v>
      </c>
      <c r="F61" s="106" t="s">
        <v>670</v>
      </c>
      <c r="G61" s="106"/>
      <c r="H61" s="106" t="s">
        <v>671</v>
      </c>
      <c r="I61" s="106"/>
      <c r="J61" s="106" t="s">
        <v>669</v>
      </c>
      <c r="K61" s="106">
        <v>1</v>
      </c>
      <c r="L61" s="106">
        <v>0</v>
      </c>
      <c r="M61" s="106">
        <v>0</v>
      </c>
      <c r="N61" s="106"/>
      <c r="O61" s="106"/>
      <c r="P61" s="106">
        <v>0</v>
      </c>
      <c r="Q61" s="111" t="s">
        <v>769</v>
      </c>
      <c r="S61" s="108">
        <f>IF($A61="","",COUNTIF(BPOworkers!$B$6:$B$105,$A61))</f>
        <v>1</v>
      </c>
      <c r="T61" s="109">
        <f>IF($A61="","",$K61*Config!$C$9)</f>
        <v>8</v>
      </c>
      <c r="U61" s="109">
        <f>IF($A61="","",IF(COUNTIF(Config!$C$21:$C$23,$H61)&gt;0,IFERROR(VALUE(LEFT(TRIM($Q61),FIND(" ",TRIM($Q61)&amp;" ")-1)),0),0))</f>
        <v>0</v>
      </c>
      <c r="V61" s="109">
        <f t="shared" si="0"/>
        <v>8</v>
      </c>
      <c r="W61" s="108">
        <f>IF($A61="",0,IF(AND($C61&gt;=Config!$C$7,$C61&lt;=Config!$C$8),1,0))</f>
        <v>0</v>
      </c>
      <c r="X61" s="108">
        <f>IF($A61="",0,IF(COUNTIF(Config!$C$21:$C$23,$H61)&gt;0,1,0))</f>
        <v>0</v>
      </c>
      <c r="Y61" s="108">
        <f t="shared" si="1"/>
        <v>0</v>
      </c>
      <c r="Z61" s="108" t="str">
        <f t="shared" si="2"/>
        <v/>
      </c>
      <c r="AB61" s="108">
        <f t="shared" si="3"/>
        <v>0</v>
      </c>
      <c r="AC61" s="108">
        <f>IF($A61="",0,IF(AND($AB61=1,COUNTIF($A$2:$A61,$A61)=1),1,0))</f>
        <v>0</v>
      </c>
      <c r="AD61" s="108">
        <f t="shared" si="4"/>
        <v>0</v>
      </c>
      <c r="AE61" s="108" t="str">
        <f t="shared" si="5"/>
        <v/>
      </c>
      <c r="AF61" s="108">
        <f t="shared" si="6"/>
        <v>0</v>
      </c>
      <c r="AG61" s="108">
        <f t="shared" si="7"/>
        <v>1</v>
      </c>
      <c r="AH61" s="112" t="str">
        <f t="shared" si="8"/>
        <v>J Abay|20260907|TitleNotes - Library|1.000|Title Notes 
 13 Documents 
 72 Transactions</v>
      </c>
      <c r="AI61" s="108">
        <f t="shared" si="9"/>
        <v>0</v>
      </c>
      <c r="AJ61" s="108">
        <f t="shared" si="10"/>
        <v>0</v>
      </c>
      <c r="AK61" s="108">
        <f>IF($A61="",0,IF(AND($S61=1,$W61=1,$X61=1,$U61&gt;Config!$C$9),1,0))</f>
        <v>0</v>
      </c>
      <c r="AL61" s="108">
        <f t="shared" si="11"/>
        <v>0</v>
      </c>
    </row>
    <row r="62" spans="1:38" x14ac:dyDescent="0.25">
      <c r="A62" s="106" t="s">
        <v>472</v>
      </c>
      <c r="B62" s="106" t="s">
        <v>614</v>
      </c>
      <c r="C62" s="107">
        <v>46272</v>
      </c>
      <c r="D62" s="106" t="s">
        <v>628</v>
      </c>
      <c r="E62" s="106" t="s">
        <v>701</v>
      </c>
      <c r="F62" s="106" t="s">
        <v>630</v>
      </c>
      <c r="G62" s="106" t="s">
        <v>770</v>
      </c>
      <c r="H62" s="106" t="s">
        <v>707</v>
      </c>
      <c r="I62" s="106"/>
      <c r="J62" s="106"/>
      <c r="K62" s="106">
        <v>1</v>
      </c>
      <c r="L62" s="106">
        <v>0</v>
      </c>
      <c r="M62" s="106">
        <v>0</v>
      </c>
      <c r="N62" s="106"/>
      <c r="O62" s="106"/>
      <c r="P62" s="106">
        <v>0</v>
      </c>
      <c r="Q62" s="106" t="s">
        <v>771</v>
      </c>
      <c r="S62" s="108">
        <f>IF($A62="","",COUNTIF(BPOworkers!$B$6:$B$105,$A62))</f>
        <v>1</v>
      </c>
      <c r="T62" s="109">
        <f>IF($A62="","",$K62*Config!$C$9)</f>
        <v>8</v>
      </c>
      <c r="U62" s="109">
        <f>IF($A62="","",IF(COUNTIF(Config!$C$21:$C$23,$H62)&gt;0,IFERROR(VALUE(LEFT(TRIM($Q62),FIND(" ",TRIM($Q62)&amp;" ")-1)),0),0))</f>
        <v>0</v>
      </c>
      <c r="V62" s="109">
        <f t="shared" si="0"/>
        <v>8</v>
      </c>
      <c r="W62" s="108">
        <f>IF($A62="",0,IF(AND($C62&gt;=Config!$C$7,$C62&lt;=Config!$C$8),1,0))</f>
        <v>0</v>
      </c>
      <c r="X62" s="108">
        <f>IF($A62="",0,IF(COUNTIF(Config!$C$21:$C$23,$H62)&gt;0,1,0))</f>
        <v>0</v>
      </c>
      <c r="Y62" s="108">
        <f t="shared" si="1"/>
        <v>0</v>
      </c>
      <c r="Z62" s="108" t="str">
        <f t="shared" si="2"/>
        <v/>
      </c>
      <c r="AB62" s="108">
        <f t="shared" si="3"/>
        <v>0</v>
      </c>
      <c r="AC62" s="108">
        <f>IF($A62="",0,IF(AND($AB62=1,COUNTIF($A$2:$A62,$A62)=1),1,0))</f>
        <v>0</v>
      </c>
      <c r="AD62" s="108">
        <f t="shared" si="4"/>
        <v>0</v>
      </c>
      <c r="AE62" s="108" t="str">
        <f t="shared" si="5"/>
        <v/>
      </c>
      <c r="AF62" s="108">
        <f t="shared" si="6"/>
        <v>0</v>
      </c>
      <c r="AG62" s="108">
        <f t="shared" si="7"/>
        <v>1</v>
      </c>
      <c r="AH62" s="110" t="str">
        <f t="shared" si="8"/>
        <v>J Reyes|20260907|Title Opinion data entry|1.000|Title Opinion data entry - (WI/NRI; ORRI and verify number correctness in AOI)</v>
      </c>
      <c r="AI62" s="108">
        <f t="shared" si="9"/>
        <v>0</v>
      </c>
      <c r="AJ62" s="108">
        <f t="shared" si="10"/>
        <v>0</v>
      </c>
      <c r="AK62" s="108">
        <f>IF($A62="",0,IF(AND($S62=1,$W62=1,$X62=1,$U62&gt;Config!$C$9),1,0))</f>
        <v>0</v>
      </c>
      <c r="AL62" s="108">
        <f t="shared" si="11"/>
        <v>0</v>
      </c>
    </row>
    <row r="63" spans="1:38" x14ac:dyDescent="0.25">
      <c r="A63" s="106" t="s">
        <v>124</v>
      </c>
      <c r="B63" s="106" t="s">
        <v>614</v>
      </c>
      <c r="C63" s="107">
        <v>46272</v>
      </c>
      <c r="D63" s="106" t="s">
        <v>772</v>
      </c>
      <c r="E63" s="106" t="s">
        <v>773</v>
      </c>
      <c r="F63" s="106" t="s">
        <v>774</v>
      </c>
      <c r="G63" s="106" t="s">
        <v>775</v>
      </c>
      <c r="H63" s="106" t="s">
        <v>631</v>
      </c>
      <c r="I63" s="106"/>
      <c r="J63" s="106"/>
      <c r="K63" s="106">
        <v>1</v>
      </c>
      <c r="L63" s="106">
        <v>0</v>
      </c>
      <c r="M63" s="106">
        <v>0</v>
      </c>
      <c r="N63" s="106"/>
      <c r="O63" s="106"/>
      <c r="P63" s="106">
        <v>0</v>
      </c>
      <c r="Q63" s="106" t="s">
        <v>776</v>
      </c>
      <c r="S63" s="108">
        <f>IF($A63="","",COUNTIF(BPOworkers!$B$6:$B$105,$A63))</f>
        <v>1</v>
      </c>
      <c r="T63" s="109">
        <f>IF($A63="","",$K63*Config!$C$9)</f>
        <v>8</v>
      </c>
      <c r="U63" s="109">
        <f>IF($A63="","",IF(COUNTIF(Config!$C$21:$C$23,$H63)&gt;0,IFERROR(VALUE(LEFT(TRIM($Q63),FIND(" ",TRIM($Q63)&amp;" ")-1)),0),0))</f>
        <v>0</v>
      </c>
      <c r="V63" s="109">
        <f t="shared" si="0"/>
        <v>8</v>
      </c>
      <c r="W63" s="108">
        <f>IF($A63="",0,IF(AND($C63&gt;=Config!$C$7,$C63&lt;=Config!$C$8),1,0))</f>
        <v>0</v>
      </c>
      <c r="X63" s="108">
        <f>IF($A63="",0,IF(COUNTIF(Config!$C$21:$C$23,$H63)&gt;0,1,0))</f>
        <v>0</v>
      </c>
      <c r="Y63" s="108">
        <f t="shared" si="1"/>
        <v>0</v>
      </c>
      <c r="Z63" s="108" t="str">
        <f t="shared" si="2"/>
        <v/>
      </c>
      <c r="AB63" s="108">
        <f t="shared" si="3"/>
        <v>0</v>
      </c>
      <c r="AC63" s="108">
        <f>IF($A63="",0,IF(AND($AB63=1,COUNTIF($A$2:$A63,$A63)=1),1,0))</f>
        <v>0</v>
      </c>
      <c r="AD63" s="108">
        <f t="shared" si="4"/>
        <v>0</v>
      </c>
      <c r="AE63" s="108" t="str">
        <f t="shared" si="5"/>
        <v/>
      </c>
      <c r="AF63" s="108">
        <f t="shared" si="6"/>
        <v>0</v>
      </c>
      <c r="AG63" s="108">
        <f t="shared" si="7"/>
        <v>1</v>
      </c>
      <c r="AH63" s="110" t="str">
        <f t="shared" si="8"/>
        <v>J S Bermudez|20260907|Title|1.000|Runsheet created and uploaded, all the documents are uploaded to the AOI, started to verify interest</v>
      </c>
      <c r="AI63" s="108">
        <f t="shared" si="9"/>
        <v>0</v>
      </c>
      <c r="AJ63" s="108">
        <f t="shared" si="10"/>
        <v>0</v>
      </c>
      <c r="AK63" s="108">
        <f>IF($A63="",0,IF(AND($S63=1,$W63=1,$X63=1,$U63&gt;Config!$C$9),1,0))</f>
        <v>0</v>
      </c>
      <c r="AL63" s="108">
        <f t="shared" si="11"/>
        <v>0</v>
      </c>
    </row>
    <row r="64" spans="1:38" ht="120.75" x14ac:dyDescent="0.25">
      <c r="A64" s="106" t="s">
        <v>475</v>
      </c>
      <c r="B64" s="106" t="s">
        <v>618</v>
      </c>
      <c r="C64" s="107">
        <v>46272</v>
      </c>
      <c r="D64" s="106" t="s">
        <v>669</v>
      </c>
      <c r="E64" s="106" t="s">
        <v>669</v>
      </c>
      <c r="F64" s="106" t="s">
        <v>670</v>
      </c>
      <c r="G64" s="106"/>
      <c r="H64" s="106" t="s">
        <v>671</v>
      </c>
      <c r="I64" s="106"/>
      <c r="J64" s="106"/>
      <c r="K64" s="106">
        <v>1</v>
      </c>
      <c r="L64" s="106">
        <v>0</v>
      </c>
      <c r="M64" s="106">
        <v>0</v>
      </c>
      <c r="N64" s="106"/>
      <c r="O64" s="106"/>
      <c r="P64" s="106">
        <v>0</v>
      </c>
      <c r="Q64" s="111" t="s">
        <v>777</v>
      </c>
      <c r="S64" s="108">
        <f>IF($A64="","",COUNTIF(BPOworkers!$B$6:$B$105,$A64))</f>
        <v>1</v>
      </c>
      <c r="T64" s="109">
        <f>IF($A64="","",$K64*Config!$C$9)</f>
        <v>8</v>
      </c>
      <c r="U64" s="109">
        <f>IF($A64="","",IF(COUNTIF(Config!$C$21:$C$23,$H64)&gt;0,IFERROR(VALUE(LEFT(TRIM($Q64),FIND(" ",TRIM($Q64)&amp;" ")-1)),0),0))</f>
        <v>0</v>
      </c>
      <c r="V64" s="109">
        <f t="shared" si="0"/>
        <v>8</v>
      </c>
      <c r="W64" s="108">
        <f>IF($A64="",0,IF(AND($C64&gt;=Config!$C$7,$C64&lt;=Config!$C$8),1,0))</f>
        <v>0</v>
      </c>
      <c r="X64" s="108">
        <f>IF($A64="",0,IF(COUNTIF(Config!$C$21:$C$23,$H64)&gt;0,1,0))</f>
        <v>0</v>
      </c>
      <c r="Y64" s="108">
        <f t="shared" si="1"/>
        <v>0</v>
      </c>
      <c r="Z64" s="108" t="str">
        <f t="shared" si="2"/>
        <v/>
      </c>
      <c r="AB64" s="108">
        <f t="shared" si="3"/>
        <v>0</v>
      </c>
      <c r="AC64" s="108">
        <f>IF($A64="",0,IF(AND($AB64=1,COUNTIF($A$2:$A64,$A64)=1),1,0))</f>
        <v>0</v>
      </c>
      <c r="AD64" s="108">
        <f t="shared" si="4"/>
        <v>0</v>
      </c>
      <c r="AE64" s="108" t="str">
        <f t="shared" si="5"/>
        <v/>
      </c>
      <c r="AF64" s="108">
        <f t="shared" si="6"/>
        <v>0</v>
      </c>
      <c r="AG64" s="108">
        <f t="shared" si="7"/>
        <v>1</v>
      </c>
      <c r="AH64" s="112" t="str">
        <f t="shared" si="8"/>
        <v>L Alfonso|20260907|TitleNotes - Library|1.000|12 Documents
 88 transacciones</v>
      </c>
      <c r="AI64" s="108">
        <f t="shared" si="9"/>
        <v>0</v>
      </c>
      <c r="AJ64" s="108">
        <f t="shared" si="10"/>
        <v>0</v>
      </c>
      <c r="AK64" s="108">
        <f>IF($A64="",0,IF(AND($S64=1,$W64=1,$X64=1,$U64&gt;Config!$C$9),1,0))</f>
        <v>0</v>
      </c>
      <c r="AL64" s="108">
        <f t="shared" si="11"/>
        <v>0</v>
      </c>
    </row>
    <row r="65" spans="1:38" x14ac:dyDescent="0.25">
      <c r="A65" s="106" t="s">
        <v>477</v>
      </c>
      <c r="B65" s="106" t="s">
        <v>614</v>
      </c>
      <c r="C65" s="107">
        <v>46272</v>
      </c>
      <c r="D65" s="106" t="s">
        <v>694</v>
      </c>
      <c r="E65" s="106" t="s">
        <v>778</v>
      </c>
      <c r="F65" s="106" t="s">
        <v>779</v>
      </c>
      <c r="G65" s="106" t="s">
        <v>780</v>
      </c>
      <c r="H65" s="106" t="s">
        <v>781</v>
      </c>
      <c r="I65" s="106"/>
      <c r="J65" s="106"/>
      <c r="K65" s="106">
        <v>1</v>
      </c>
      <c r="L65" s="106">
        <v>0</v>
      </c>
      <c r="M65" s="106">
        <v>0</v>
      </c>
      <c r="N65" s="106"/>
      <c r="O65" s="106"/>
      <c r="P65" s="106">
        <v>0</v>
      </c>
      <c r="Q65" s="106" t="s">
        <v>782</v>
      </c>
      <c r="S65" s="108">
        <f>IF($A65="","",COUNTIF(BPOworkers!$B$6:$B$105,$A65))</f>
        <v>1</v>
      </c>
      <c r="T65" s="109">
        <f>IF($A65="","",$K65*Config!$C$9)</f>
        <v>8</v>
      </c>
      <c r="U65" s="109">
        <f>IF($A65="","",IF(COUNTIF(Config!$C$21:$C$23,$H65)&gt;0,IFERROR(VALUE(LEFT(TRIM($Q65),FIND(" ",TRIM($Q65)&amp;" ")-1)),0),0))</f>
        <v>0</v>
      </c>
      <c r="V65" s="109">
        <f t="shared" si="0"/>
        <v>8</v>
      </c>
      <c r="W65" s="108">
        <f>IF($A65="",0,IF(AND($C65&gt;=Config!$C$7,$C65&lt;=Config!$C$8),1,0))</f>
        <v>0</v>
      </c>
      <c r="X65" s="108">
        <f>IF($A65="",0,IF(COUNTIF(Config!$C$21:$C$23,$H65)&gt;0,1,0))</f>
        <v>0</v>
      </c>
      <c r="Y65" s="108">
        <f t="shared" si="1"/>
        <v>0</v>
      </c>
      <c r="Z65" s="108" t="str">
        <f t="shared" si="2"/>
        <v/>
      </c>
      <c r="AB65" s="108">
        <f t="shared" si="3"/>
        <v>0</v>
      </c>
      <c r="AC65" s="108">
        <f>IF($A65="",0,IF(AND($AB65=1,COUNTIF($A$2:$A65,$A65)=1),1,0))</f>
        <v>0</v>
      </c>
      <c r="AD65" s="108">
        <f t="shared" si="4"/>
        <v>0</v>
      </c>
      <c r="AE65" s="108" t="str">
        <f t="shared" si="5"/>
        <v/>
      </c>
      <c r="AF65" s="108">
        <f t="shared" si="6"/>
        <v>0</v>
      </c>
      <c r="AG65" s="108">
        <f t="shared" si="7"/>
        <v>1</v>
      </c>
      <c r="AH65" s="110" t="str">
        <f t="shared" si="8"/>
        <v>L Escobar|20260907|Single Interest Verification|1.000|I indexed and double-checked the party names for any missing information. I also pulled documents from the vault and ima</v>
      </c>
      <c r="AI65" s="108">
        <f t="shared" si="9"/>
        <v>0</v>
      </c>
      <c r="AJ65" s="108">
        <f t="shared" si="10"/>
        <v>0</v>
      </c>
      <c r="AK65" s="108">
        <f>IF($A65="",0,IF(AND($S65=1,$W65=1,$X65=1,$U65&gt;Config!$C$9),1,0))</f>
        <v>0</v>
      </c>
      <c r="AL65" s="108">
        <f t="shared" si="11"/>
        <v>0</v>
      </c>
    </row>
    <row r="66" spans="1:38" ht="108.75" x14ac:dyDescent="0.25">
      <c r="A66" s="106" t="s">
        <v>484</v>
      </c>
      <c r="B66" s="106" t="s">
        <v>614</v>
      </c>
      <c r="C66" s="107">
        <v>46272</v>
      </c>
      <c r="D66" s="106" t="s">
        <v>669</v>
      </c>
      <c r="E66" s="106" t="s">
        <v>669</v>
      </c>
      <c r="F66" s="106" t="s">
        <v>670</v>
      </c>
      <c r="G66" s="106"/>
      <c r="H66" s="106" t="s">
        <v>671</v>
      </c>
      <c r="I66" s="106"/>
      <c r="J66" s="106"/>
      <c r="K66" s="106">
        <v>1</v>
      </c>
      <c r="L66" s="106">
        <v>0</v>
      </c>
      <c r="M66" s="106">
        <v>0</v>
      </c>
      <c r="N66" s="106"/>
      <c r="O66" s="106"/>
      <c r="P66" s="106">
        <v>0</v>
      </c>
      <c r="Q66" s="111" t="s">
        <v>783</v>
      </c>
      <c r="S66" s="108">
        <f>IF($A66="","",COUNTIF(BPOworkers!$B$6:$B$105,$A66))</f>
        <v>1</v>
      </c>
      <c r="T66" s="109">
        <f>IF($A66="","",$K66*Config!$C$9)</f>
        <v>8</v>
      </c>
      <c r="U66" s="109">
        <f>IF($A66="","",IF(COUNTIF(Config!$C$21:$C$23,$H66)&gt;0,IFERROR(VALUE(LEFT(TRIM($Q66),FIND(" ",TRIM($Q66)&amp;" ")-1)),0),0))</f>
        <v>0</v>
      </c>
      <c r="V66" s="109">
        <f t="shared" ref="V66:V129" si="12">IF($A66="","",$T66+$U66)</f>
        <v>8</v>
      </c>
      <c r="W66" s="108">
        <f>IF($A66="",0,IF(AND($C66&gt;=Config!$C$7,$C66&lt;=Config!$C$8),1,0))</f>
        <v>0</v>
      </c>
      <c r="X66" s="108">
        <f>IF($A66="",0,IF(COUNTIF(Config!$C$21:$C$23,$H66)&gt;0,1,0))</f>
        <v>0</v>
      </c>
      <c r="Y66" s="108">
        <f t="shared" ref="Y66:Y129" si="13">IF($A66="",MAX(0,Y65),MAX(0,Y65)+IF(AND($W66=1,$X66=1,$S66=1),1,0))</f>
        <v>0</v>
      </c>
      <c r="Z66" s="108" t="str">
        <f t="shared" ref="Z66:Z129" si="14">IF($A66="","",IF(AND($W66=1,$X66=1,$S66=1),$Y66,""))</f>
        <v/>
      </c>
      <c r="AB66" s="108">
        <f t="shared" ref="AB66:AB129" si="15">IF($A66="",0,IF(AND($S66=0,ISERROR(FIND(".",$A66))),1,0))</f>
        <v>0</v>
      </c>
      <c r="AC66" s="108">
        <f>IF($A66="",0,IF(AND($AB66=1,COUNTIF($A$2:$A66,$A66)=1),1,0))</f>
        <v>0</v>
      </c>
      <c r="AD66" s="108">
        <f t="shared" ref="AD66:AD129" si="16">IF($A66="",MAX(0,AD65),MAX(0,AD65)+$AC66)</f>
        <v>0</v>
      </c>
      <c r="AE66" s="108" t="str">
        <f t="shared" ref="AE66:AE129" si="17">IF($AC66=1,$AD66,"")</f>
        <v/>
      </c>
      <c r="AF66" s="108">
        <f t="shared" ref="AF66:AF129" si="18">IF($A66="",0,IFERROR(IF(AND($S66=1,WEEKDAY($C66,2)&gt;5),1,0),0))</f>
        <v>0</v>
      </c>
      <c r="AG66" s="108">
        <f t="shared" ref="AG66:AG129" si="19">IF($A66="",0,IF(AND($S66=1,$W66=0),1,0))</f>
        <v>1</v>
      </c>
      <c r="AH66" s="112" t="str">
        <f t="shared" ref="AH66:AH129" si="20">IF($A66="","",$A66&amp;"|"&amp;TEXT($C66,"yyyymmdd")&amp;"|"&amp;$H66&amp;"|"&amp;TEXT($K66,"0.000")&amp;"|"&amp;SUBSTITUTE(SUBSTITUTE(SUBSTITUTE(LEFT($Q66,120),"~",""),"*",""),"?",""))</f>
        <v>M Verdooren|20260907|TitleNotes - Library|1.000|26 Documents
 82 Transactions</v>
      </c>
      <c r="AI66" s="108">
        <f t="shared" ref="AI66:AI129" si="21">IF($A66="",0,IF(AND($S66=1,$W66=1,COUNTIF($AH$2:$AH$1500,$AH66)&gt;1),1,0))</f>
        <v>0</v>
      </c>
      <c r="AJ66" s="108">
        <f t="shared" ref="AJ66:AJ129" si="22">IF($A66="",0,IF(AND($S66=1,$W66=1,ABS($K66*8-ROUND($K66*8,0))&gt;0.0001),1,0))</f>
        <v>0</v>
      </c>
      <c r="AK66" s="108">
        <f>IF($A66="",0,IF(AND($S66=1,$W66=1,$X66=1,$U66&gt;Config!$C$9),1,0))</f>
        <v>0</v>
      </c>
      <c r="AL66" s="108">
        <f t="shared" ref="AL66:AL129" si="23">IF($A66="",0,IF(AND($S66=1,$W66=1,$X66=1,$U66=0),1,0))</f>
        <v>0</v>
      </c>
    </row>
    <row r="67" spans="1:38" x14ac:dyDescent="0.25">
      <c r="A67" s="106" t="s">
        <v>481</v>
      </c>
      <c r="B67" s="106" t="s">
        <v>614</v>
      </c>
      <c r="C67" s="107">
        <v>46272</v>
      </c>
      <c r="D67" s="106" t="s">
        <v>680</v>
      </c>
      <c r="E67" s="106" t="s">
        <v>681</v>
      </c>
      <c r="F67" s="106" t="s">
        <v>745</v>
      </c>
      <c r="G67" s="106" t="s">
        <v>784</v>
      </c>
      <c r="H67" s="106" t="s">
        <v>631</v>
      </c>
      <c r="I67" s="106"/>
      <c r="J67" s="106" t="s">
        <v>785</v>
      </c>
      <c r="K67" s="106">
        <v>1</v>
      </c>
      <c r="L67" s="106">
        <v>0</v>
      </c>
      <c r="M67" s="106">
        <v>0</v>
      </c>
      <c r="N67" s="106"/>
      <c r="O67" s="106"/>
      <c r="P67" s="106">
        <v>0</v>
      </c>
      <c r="Q67" s="106" t="s">
        <v>786</v>
      </c>
      <c r="S67" s="108">
        <f>IF($A67="","",COUNTIF(BPOworkers!$B$6:$B$105,$A67))</f>
        <v>1</v>
      </c>
      <c r="T67" s="109">
        <f>IF($A67="","",$K67*Config!$C$9)</f>
        <v>8</v>
      </c>
      <c r="U67" s="109">
        <f>IF($A67="","",IF(COUNTIF(Config!$C$21:$C$23,$H67)&gt;0,IFERROR(VALUE(LEFT(TRIM($Q67),FIND(" ",TRIM($Q67)&amp;" ")-1)),0),0))</f>
        <v>0</v>
      </c>
      <c r="V67" s="109">
        <f t="shared" si="12"/>
        <v>8</v>
      </c>
      <c r="W67" s="108">
        <f>IF($A67="",0,IF(AND($C67&gt;=Config!$C$7,$C67&lt;=Config!$C$8),1,0))</f>
        <v>0</v>
      </c>
      <c r="X67" s="108">
        <f>IF($A67="",0,IF(COUNTIF(Config!$C$21:$C$23,$H67)&gt;0,1,0))</f>
        <v>0</v>
      </c>
      <c r="Y67" s="108">
        <f t="shared" si="13"/>
        <v>0</v>
      </c>
      <c r="Z67" s="108" t="str">
        <f t="shared" si="14"/>
        <v/>
      </c>
      <c r="AB67" s="108">
        <f t="shared" si="15"/>
        <v>0</v>
      </c>
      <c r="AC67" s="108">
        <f>IF($A67="",0,IF(AND($AB67=1,COUNTIF($A$2:$A67,$A67)=1),1,0))</f>
        <v>0</v>
      </c>
      <c r="AD67" s="108">
        <f t="shared" si="16"/>
        <v>0</v>
      </c>
      <c r="AE67" s="108" t="str">
        <f t="shared" si="17"/>
        <v/>
      </c>
      <c r="AF67" s="108">
        <f t="shared" si="18"/>
        <v>0</v>
      </c>
      <c r="AG67" s="108">
        <f t="shared" si="19"/>
        <v>1</v>
      </c>
      <c r="AH67" s="110" t="str">
        <f t="shared" si="20"/>
        <v>M Fernandez|20260907|Title|1.000|Indexed 4 different parties, analyzed 44 documents, reviewed different historic indexes, created 2 notecards.</v>
      </c>
      <c r="AI67" s="108">
        <f t="shared" si="21"/>
        <v>0</v>
      </c>
      <c r="AJ67" s="108">
        <f t="shared" si="22"/>
        <v>0</v>
      </c>
      <c r="AK67" s="108">
        <f>IF($A67="",0,IF(AND($S67=1,$W67=1,$X67=1,$U67&gt;Config!$C$9),1,0))</f>
        <v>0</v>
      </c>
      <c r="AL67" s="108">
        <f t="shared" si="23"/>
        <v>0</v>
      </c>
    </row>
    <row r="68" spans="1:38" ht="192.75" x14ac:dyDescent="0.25">
      <c r="A68" s="106" t="s">
        <v>462</v>
      </c>
      <c r="B68" s="106" t="s">
        <v>614</v>
      </c>
      <c r="C68" s="107">
        <v>46272</v>
      </c>
      <c r="D68" s="106" t="s">
        <v>680</v>
      </c>
      <c r="E68" s="106" t="s">
        <v>681</v>
      </c>
      <c r="F68" s="106" t="s">
        <v>745</v>
      </c>
      <c r="G68" s="106" t="s">
        <v>787</v>
      </c>
      <c r="H68" s="106" t="s">
        <v>631</v>
      </c>
      <c r="I68" s="106"/>
      <c r="J68" s="106" t="s">
        <v>788</v>
      </c>
      <c r="K68" s="106">
        <v>1</v>
      </c>
      <c r="L68" s="106">
        <v>0</v>
      </c>
      <c r="M68" s="106">
        <v>0</v>
      </c>
      <c r="N68" s="106"/>
      <c r="O68" s="106"/>
      <c r="P68" s="106">
        <v>0</v>
      </c>
      <c r="Q68" s="111" t="s">
        <v>789</v>
      </c>
      <c r="S68" s="108">
        <f>IF($A68="","",COUNTIF(BPOworkers!$B$6:$B$105,$A68))</f>
        <v>1</v>
      </c>
      <c r="T68" s="109">
        <f>IF($A68="","",$K68*Config!$C$9)</f>
        <v>8</v>
      </c>
      <c r="U68" s="109">
        <f>IF($A68="","",IF(COUNTIF(Config!$C$21:$C$23,$H68)&gt;0,IFERROR(VALUE(LEFT(TRIM($Q68),FIND(" ",TRIM($Q68)&amp;" ")-1)),0),0))</f>
        <v>0</v>
      </c>
      <c r="V68" s="109">
        <f t="shared" si="12"/>
        <v>8</v>
      </c>
      <c r="W68" s="108">
        <f>IF($A68="",0,IF(AND($C68&gt;=Config!$C$7,$C68&lt;=Config!$C$8),1,0))</f>
        <v>0</v>
      </c>
      <c r="X68" s="108">
        <f>IF($A68="",0,IF(COUNTIF(Config!$C$21:$C$23,$H68)&gt;0,1,0))</f>
        <v>0</v>
      </c>
      <c r="Y68" s="108">
        <f t="shared" si="13"/>
        <v>0</v>
      </c>
      <c r="Z68" s="108" t="str">
        <f t="shared" si="14"/>
        <v/>
      </c>
      <c r="AB68" s="108">
        <f t="shared" si="15"/>
        <v>0</v>
      </c>
      <c r="AC68" s="108">
        <f>IF($A68="",0,IF(AND($AB68=1,COUNTIF($A$2:$A68,$A68)=1),1,0))</f>
        <v>0</v>
      </c>
      <c r="AD68" s="108">
        <f t="shared" si="16"/>
        <v>0</v>
      </c>
      <c r="AE68" s="108" t="str">
        <f t="shared" si="17"/>
        <v/>
      </c>
      <c r="AF68" s="108">
        <f t="shared" si="18"/>
        <v>0</v>
      </c>
      <c r="AG68" s="108">
        <f t="shared" si="19"/>
        <v>1</v>
      </c>
      <c r="AH68" s="112" t="str">
        <f t="shared" si="20"/>
        <v>F Montañez|20260907|Title|1.000|Documents added in AOI: 2
 Indexed documents: 32
 Indexed parties: 4
 In an attempt to trace the title to the present,</v>
      </c>
      <c r="AI68" s="108">
        <f t="shared" si="21"/>
        <v>0</v>
      </c>
      <c r="AJ68" s="108">
        <f t="shared" si="22"/>
        <v>0</v>
      </c>
      <c r="AK68" s="108">
        <f>IF($A68="",0,IF(AND($S68=1,$W68=1,$X68=1,$U68&gt;Config!$C$9),1,0))</f>
        <v>0</v>
      </c>
      <c r="AL68" s="108">
        <f t="shared" si="23"/>
        <v>0</v>
      </c>
    </row>
    <row r="69" spans="1:38" ht="144.75" x14ac:dyDescent="0.25">
      <c r="A69" s="106" t="s">
        <v>496</v>
      </c>
      <c r="B69" s="106" t="s">
        <v>614</v>
      </c>
      <c r="C69" s="107">
        <v>46272</v>
      </c>
      <c r="D69" s="106" t="s">
        <v>720</v>
      </c>
      <c r="E69" s="106" t="s">
        <v>721</v>
      </c>
      <c r="F69" s="106" t="s">
        <v>722</v>
      </c>
      <c r="G69" s="106" t="s">
        <v>790</v>
      </c>
      <c r="H69" s="106" t="s">
        <v>639</v>
      </c>
      <c r="I69" s="106"/>
      <c r="J69" s="106" t="s">
        <v>791</v>
      </c>
      <c r="K69" s="106">
        <v>1</v>
      </c>
      <c r="L69" s="106">
        <v>0</v>
      </c>
      <c r="M69" s="106">
        <v>0</v>
      </c>
      <c r="N69" s="106"/>
      <c r="O69" s="106"/>
      <c r="P69" s="106">
        <v>0</v>
      </c>
      <c r="Q69" s="111" t="s">
        <v>792</v>
      </c>
      <c r="S69" s="108">
        <f>IF($A69="","",COUNTIF(BPOworkers!$B$6:$B$105,$A69))</f>
        <v>1</v>
      </c>
      <c r="T69" s="109">
        <f>IF($A69="","",$K69*Config!$C$9)</f>
        <v>8</v>
      </c>
      <c r="U69" s="109">
        <f>IF($A69="","",IF(COUNTIF(Config!$C$21:$C$23,$H69)&gt;0,IFERROR(VALUE(LEFT(TRIM($Q69),FIND(" ",TRIM($Q69)&amp;" ")-1)),0),0))</f>
        <v>0</v>
      </c>
      <c r="V69" s="109">
        <f t="shared" si="12"/>
        <v>8</v>
      </c>
      <c r="W69" s="108">
        <f>IF($A69="",0,IF(AND($C69&gt;=Config!$C$7,$C69&lt;=Config!$C$8),1,0))</f>
        <v>0</v>
      </c>
      <c r="X69" s="108">
        <f>IF($A69="",0,IF(COUNTIF(Config!$C$21:$C$23,$H69)&gt;0,1,0))</f>
        <v>0</v>
      </c>
      <c r="Y69" s="108">
        <f t="shared" si="13"/>
        <v>0</v>
      </c>
      <c r="Z69" s="108" t="str">
        <f t="shared" si="14"/>
        <v/>
      </c>
      <c r="AB69" s="108">
        <f t="shared" si="15"/>
        <v>0</v>
      </c>
      <c r="AC69" s="108">
        <f>IF($A69="",0,IF(AND($AB69=1,COUNTIF($A$2:$A69,$A69)=1),1,0))</f>
        <v>0</v>
      </c>
      <c r="AD69" s="108">
        <f t="shared" si="16"/>
        <v>0</v>
      </c>
      <c r="AE69" s="108" t="str">
        <f t="shared" si="17"/>
        <v/>
      </c>
      <c r="AF69" s="108">
        <f t="shared" si="18"/>
        <v>0</v>
      </c>
      <c r="AG69" s="108">
        <f t="shared" si="19"/>
        <v>1</v>
      </c>
      <c r="AH69" s="112" t="str">
        <f t="shared" si="20"/>
        <v>N Espitia|20260907|Review|1.000|- Started reviewing AOI
 - Fixed multiple gaps in title, pending correction of some notecards</v>
      </c>
      <c r="AI69" s="108">
        <f t="shared" si="21"/>
        <v>0</v>
      </c>
      <c r="AJ69" s="108">
        <f t="shared" si="22"/>
        <v>0</v>
      </c>
      <c r="AK69" s="108">
        <f>IF($A69="",0,IF(AND($S69=1,$W69=1,$X69=1,$U69&gt;Config!$C$9),1,0))</f>
        <v>0</v>
      </c>
      <c r="AL69" s="108">
        <f t="shared" si="23"/>
        <v>0</v>
      </c>
    </row>
    <row r="70" spans="1:38" x14ac:dyDescent="0.25">
      <c r="A70" s="106" t="s">
        <v>503</v>
      </c>
      <c r="B70" s="106" t="s">
        <v>614</v>
      </c>
      <c r="C70" s="107">
        <v>46272</v>
      </c>
      <c r="D70" s="106" t="s">
        <v>628</v>
      </c>
      <c r="E70" s="106" t="s">
        <v>793</v>
      </c>
      <c r="F70" s="106" t="s">
        <v>670</v>
      </c>
      <c r="G70" s="106" t="s">
        <v>794</v>
      </c>
      <c r="H70" s="106" t="s">
        <v>707</v>
      </c>
      <c r="I70" s="106"/>
      <c r="J70" s="106" t="s">
        <v>795</v>
      </c>
      <c r="K70" s="106">
        <v>1</v>
      </c>
      <c r="L70" s="106">
        <v>0</v>
      </c>
      <c r="M70" s="106">
        <v>0</v>
      </c>
      <c r="N70" s="106"/>
      <c r="O70" s="106"/>
      <c r="P70" s="106">
        <v>0</v>
      </c>
      <c r="Q70" s="106" t="s">
        <v>796</v>
      </c>
      <c r="S70" s="108">
        <f>IF($A70="","",COUNTIF(BPOworkers!$B$6:$B$105,$A70))</f>
        <v>1</v>
      </c>
      <c r="T70" s="109">
        <f>IF($A70="","",$K70*Config!$C$9)</f>
        <v>8</v>
      </c>
      <c r="U70" s="109">
        <f>IF($A70="","",IF(COUNTIF(Config!$C$21:$C$23,$H70)&gt;0,IFERROR(VALUE(LEFT(TRIM($Q70),FIND(" ",TRIM($Q70)&amp;" ")-1)),0),0))</f>
        <v>0</v>
      </c>
      <c r="V70" s="109">
        <f t="shared" si="12"/>
        <v>8</v>
      </c>
      <c r="W70" s="108">
        <f>IF($A70="",0,IF(AND($C70&gt;=Config!$C$7,$C70&lt;=Config!$C$8),1,0))</f>
        <v>0</v>
      </c>
      <c r="X70" s="108">
        <f>IF($A70="",0,IF(COUNTIF(Config!$C$21:$C$23,$H70)&gt;0,1,0))</f>
        <v>0</v>
      </c>
      <c r="Y70" s="108">
        <f t="shared" si="13"/>
        <v>0</v>
      </c>
      <c r="Z70" s="108" t="str">
        <f t="shared" si="14"/>
        <v/>
      </c>
      <c r="AB70" s="108">
        <f t="shared" si="15"/>
        <v>0</v>
      </c>
      <c r="AC70" s="108">
        <f>IF($A70="",0,IF(AND($AB70=1,COUNTIF($A$2:$A70,$A70)=1),1,0))</f>
        <v>0</v>
      </c>
      <c r="AD70" s="108">
        <f t="shared" si="16"/>
        <v>0</v>
      </c>
      <c r="AE70" s="108" t="str">
        <f t="shared" si="17"/>
        <v/>
      </c>
      <c r="AF70" s="108">
        <f t="shared" si="18"/>
        <v>0</v>
      </c>
      <c r="AG70" s="108">
        <f t="shared" si="19"/>
        <v>1</v>
      </c>
      <c r="AH70" s="110" t="str">
        <f t="shared" si="20"/>
        <v xml:space="preserve">T Vargas|20260907|Title Opinion data entry|1.000|Most of the 90 lease notecards had their pdf attached, notes created, dates updated and the leases with extensions have </v>
      </c>
      <c r="AI70" s="108">
        <f t="shared" si="21"/>
        <v>0</v>
      </c>
      <c r="AJ70" s="108">
        <f t="shared" si="22"/>
        <v>0</v>
      </c>
      <c r="AK70" s="108">
        <f>IF($A70="",0,IF(AND($S70=1,$W70=1,$X70=1,$U70&gt;Config!$C$9),1,0))</f>
        <v>0</v>
      </c>
      <c r="AL70" s="108">
        <f t="shared" si="23"/>
        <v>0</v>
      </c>
    </row>
    <row r="71" spans="1:38" x14ac:dyDescent="0.25">
      <c r="A71" s="106" t="s">
        <v>500</v>
      </c>
      <c r="B71" s="106" t="s">
        <v>614</v>
      </c>
      <c r="C71" s="107">
        <v>46272</v>
      </c>
      <c r="D71" s="106" t="s">
        <v>680</v>
      </c>
      <c r="E71" s="106" t="s">
        <v>681</v>
      </c>
      <c r="F71" s="106" t="s">
        <v>745</v>
      </c>
      <c r="G71" s="106" t="s">
        <v>797</v>
      </c>
      <c r="H71" s="106" t="s">
        <v>631</v>
      </c>
      <c r="I71" s="106"/>
      <c r="J71" s="106" t="s">
        <v>788</v>
      </c>
      <c r="K71" s="106">
        <v>1</v>
      </c>
      <c r="L71" s="106">
        <v>0</v>
      </c>
      <c r="M71" s="106">
        <v>0</v>
      </c>
      <c r="N71" s="106"/>
      <c r="O71" s="106"/>
      <c r="P71" s="106">
        <v>0</v>
      </c>
      <c r="Q71" s="106" t="s">
        <v>798</v>
      </c>
      <c r="S71" s="108">
        <f>IF($A71="","",COUNTIF(BPOworkers!$B$6:$B$105,$A71))</f>
        <v>1</v>
      </c>
      <c r="T71" s="109">
        <f>IF($A71="","",$K71*Config!$C$9)</f>
        <v>8</v>
      </c>
      <c r="U71" s="109">
        <f>IF($A71="","",IF(COUNTIF(Config!$C$21:$C$23,$H71)&gt;0,IFERROR(VALUE(LEFT(TRIM($Q71),FIND(" ",TRIM($Q71)&amp;" ")-1)),0),0))</f>
        <v>0</v>
      </c>
      <c r="V71" s="109">
        <f t="shared" si="12"/>
        <v>8</v>
      </c>
      <c r="W71" s="108">
        <f>IF($A71="",0,IF(AND($C71&gt;=Config!$C$7,$C71&lt;=Config!$C$8),1,0))</f>
        <v>0</v>
      </c>
      <c r="X71" s="108">
        <f>IF($A71="",0,IF(COUNTIF(Config!$C$21:$C$23,$H71)&gt;0,1,0))</f>
        <v>0</v>
      </c>
      <c r="Y71" s="108">
        <f t="shared" si="13"/>
        <v>0</v>
      </c>
      <c r="Z71" s="108" t="str">
        <f t="shared" si="14"/>
        <v/>
      </c>
      <c r="AB71" s="108">
        <f t="shared" si="15"/>
        <v>0</v>
      </c>
      <c r="AC71" s="108">
        <f>IF($A71="",0,IF(AND($AB71=1,COUNTIF($A$2:$A71,$A71)=1),1,0))</f>
        <v>0</v>
      </c>
      <c r="AD71" s="108">
        <f t="shared" si="16"/>
        <v>0</v>
      </c>
      <c r="AE71" s="108" t="str">
        <f t="shared" si="17"/>
        <v/>
      </c>
      <c r="AF71" s="108">
        <f t="shared" si="18"/>
        <v>0</v>
      </c>
      <c r="AG71" s="108">
        <f t="shared" si="19"/>
        <v>1</v>
      </c>
      <c r="AH71" s="110" t="str">
        <f t="shared" si="20"/>
        <v>K Martínez|20260907|Title|1.000|Reviewed +/- 100 documents about different parties to identify the parties involved in different transactions, unable to</v>
      </c>
      <c r="AI71" s="108">
        <f t="shared" si="21"/>
        <v>0</v>
      </c>
      <c r="AJ71" s="108">
        <f t="shared" si="22"/>
        <v>0</v>
      </c>
      <c r="AK71" s="108">
        <f>IF($A71="",0,IF(AND($S71=1,$W71=1,$X71=1,$U71&gt;Config!$C$9),1,0))</f>
        <v>0</v>
      </c>
      <c r="AL71" s="108">
        <f t="shared" si="23"/>
        <v>0</v>
      </c>
    </row>
    <row r="72" spans="1:38" ht="120.75" x14ac:dyDescent="0.25">
      <c r="A72" s="106" t="s">
        <v>487</v>
      </c>
      <c r="B72" s="106" t="s">
        <v>618</v>
      </c>
      <c r="C72" s="107">
        <v>46272</v>
      </c>
      <c r="D72" s="106" t="s">
        <v>669</v>
      </c>
      <c r="E72" s="106" t="s">
        <v>669</v>
      </c>
      <c r="F72" s="106" t="s">
        <v>670</v>
      </c>
      <c r="G72" s="106"/>
      <c r="H72" s="106" t="s">
        <v>671</v>
      </c>
      <c r="I72" s="106"/>
      <c r="J72" s="106"/>
      <c r="K72" s="106">
        <v>0.875</v>
      </c>
      <c r="L72" s="106">
        <v>0</v>
      </c>
      <c r="M72" s="106">
        <v>0</v>
      </c>
      <c r="N72" s="106"/>
      <c r="O72" s="106"/>
      <c r="P72" s="106">
        <v>0</v>
      </c>
      <c r="Q72" s="111" t="s">
        <v>799</v>
      </c>
      <c r="S72" s="108">
        <f>IF($A72="","",COUNTIF(BPOworkers!$B$6:$B$105,$A72))</f>
        <v>1</v>
      </c>
      <c r="T72" s="109">
        <f>IF($A72="","",$K72*Config!$C$9)</f>
        <v>7</v>
      </c>
      <c r="U72" s="109">
        <f>IF($A72="","",IF(COUNTIF(Config!$C$21:$C$23,$H72)&gt;0,IFERROR(VALUE(LEFT(TRIM($Q72),FIND(" ",TRIM($Q72)&amp;" ")-1)),0),0))</f>
        <v>0</v>
      </c>
      <c r="V72" s="109">
        <f t="shared" si="12"/>
        <v>7</v>
      </c>
      <c r="W72" s="108">
        <f>IF($A72="",0,IF(AND($C72&gt;=Config!$C$7,$C72&lt;=Config!$C$8),1,0))</f>
        <v>0</v>
      </c>
      <c r="X72" s="108">
        <f>IF($A72="",0,IF(COUNTIF(Config!$C$21:$C$23,$H72)&gt;0,1,0))</f>
        <v>0</v>
      </c>
      <c r="Y72" s="108">
        <f t="shared" si="13"/>
        <v>0</v>
      </c>
      <c r="Z72" s="108" t="str">
        <f t="shared" si="14"/>
        <v/>
      </c>
      <c r="AB72" s="108">
        <f t="shared" si="15"/>
        <v>0</v>
      </c>
      <c r="AC72" s="108">
        <f>IF($A72="",0,IF(AND($AB72=1,COUNTIF($A$2:$A72,$A72)=1),1,0))</f>
        <v>0</v>
      </c>
      <c r="AD72" s="108">
        <f t="shared" si="16"/>
        <v>0</v>
      </c>
      <c r="AE72" s="108" t="str">
        <f t="shared" si="17"/>
        <v/>
      </c>
      <c r="AF72" s="108">
        <f t="shared" si="18"/>
        <v>0</v>
      </c>
      <c r="AG72" s="108">
        <f t="shared" si="19"/>
        <v>1</v>
      </c>
      <c r="AH72" s="112" t="str">
        <f t="shared" si="20"/>
        <v>A Guerra|20260907|TitleNotes - Library|0.875|Notecards: 23±
 Transactions: 53±</v>
      </c>
      <c r="AI72" s="108">
        <f t="shared" si="21"/>
        <v>0</v>
      </c>
      <c r="AJ72" s="108">
        <f t="shared" si="22"/>
        <v>0</v>
      </c>
      <c r="AK72" s="108">
        <f>IF($A72="",0,IF(AND($S72=1,$W72=1,$X72=1,$U72&gt;Config!$C$9),1,0))</f>
        <v>0</v>
      </c>
      <c r="AL72" s="108">
        <f t="shared" si="23"/>
        <v>0</v>
      </c>
    </row>
    <row r="73" spans="1:38" x14ac:dyDescent="0.25">
      <c r="A73" s="106" t="s">
        <v>487</v>
      </c>
      <c r="B73" s="106" t="s">
        <v>614</v>
      </c>
      <c r="C73" s="107">
        <v>46272</v>
      </c>
      <c r="D73" s="106" t="s">
        <v>712</v>
      </c>
      <c r="E73" s="106" t="s">
        <v>713</v>
      </c>
      <c r="F73" s="106" t="s">
        <v>714</v>
      </c>
      <c r="G73" s="106" t="s">
        <v>800</v>
      </c>
      <c r="H73" s="106" t="s">
        <v>631</v>
      </c>
      <c r="I73" s="106"/>
      <c r="J73" s="106" t="s">
        <v>801</v>
      </c>
      <c r="K73" s="106">
        <v>0.125</v>
      </c>
      <c r="L73" s="106">
        <v>0</v>
      </c>
      <c r="M73" s="106">
        <v>0</v>
      </c>
      <c r="N73" s="106"/>
      <c r="O73" s="106"/>
      <c r="P73" s="106">
        <v>0</v>
      </c>
      <c r="Q73" s="106" t="s">
        <v>802</v>
      </c>
      <c r="S73" s="108">
        <f>IF($A73="","",COUNTIF(BPOworkers!$B$6:$B$105,$A73))</f>
        <v>1</v>
      </c>
      <c r="T73" s="109">
        <f>IF($A73="","",$K73*Config!$C$9)</f>
        <v>1</v>
      </c>
      <c r="U73" s="109">
        <f>IF($A73="","",IF(COUNTIF(Config!$C$21:$C$23,$H73)&gt;0,IFERROR(VALUE(LEFT(TRIM($Q73),FIND(" ",TRIM($Q73)&amp;" ")-1)),0),0))</f>
        <v>0</v>
      </c>
      <c r="V73" s="109">
        <f t="shared" si="12"/>
        <v>1</v>
      </c>
      <c r="W73" s="108">
        <f>IF($A73="",0,IF(AND($C73&gt;=Config!$C$7,$C73&lt;=Config!$C$8),1,0))</f>
        <v>0</v>
      </c>
      <c r="X73" s="108">
        <f>IF($A73="",0,IF(COUNTIF(Config!$C$21:$C$23,$H73)&gt;0,1,0))</f>
        <v>0</v>
      </c>
      <c r="Y73" s="108">
        <f t="shared" si="13"/>
        <v>0</v>
      </c>
      <c r="Z73" s="108" t="str">
        <f t="shared" si="14"/>
        <v/>
      </c>
      <c r="AB73" s="108">
        <f t="shared" si="15"/>
        <v>0</v>
      </c>
      <c r="AC73" s="108">
        <f>IF($A73="",0,IF(AND($AB73=1,COUNTIF($A$2:$A73,$A73)=1),1,0))</f>
        <v>0</v>
      </c>
      <c r="AD73" s="108">
        <f t="shared" si="16"/>
        <v>0</v>
      </c>
      <c r="AE73" s="108" t="str">
        <f t="shared" si="17"/>
        <v/>
      </c>
      <c r="AF73" s="108">
        <f t="shared" si="18"/>
        <v>0</v>
      </c>
      <c r="AG73" s="108">
        <f t="shared" si="19"/>
        <v>1</v>
      </c>
      <c r="AH73" s="110" t="str">
        <f t="shared" si="20"/>
        <v>A Guerra|20260907|Title|0.125|Finalizing the AOI.</v>
      </c>
      <c r="AI73" s="108">
        <f t="shared" si="21"/>
        <v>0</v>
      </c>
      <c r="AJ73" s="108">
        <f t="shared" si="22"/>
        <v>0</v>
      </c>
      <c r="AK73" s="108">
        <f>IF($A73="",0,IF(AND($S73=1,$W73=1,$X73=1,$U73&gt;Config!$C$9),1,0))</f>
        <v>0</v>
      </c>
      <c r="AL73" s="108">
        <f t="shared" si="23"/>
        <v>0</v>
      </c>
    </row>
    <row r="74" spans="1:38" ht="108.75" x14ac:dyDescent="0.25">
      <c r="A74" s="106" t="s">
        <v>489</v>
      </c>
      <c r="B74" s="106" t="s">
        <v>618</v>
      </c>
      <c r="C74" s="107">
        <v>46272</v>
      </c>
      <c r="D74" s="106" t="s">
        <v>669</v>
      </c>
      <c r="E74" s="106" t="s">
        <v>669</v>
      </c>
      <c r="F74" s="106" t="s">
        <v>670</v>
      </c>
      <c r="G74" s="106"/>
      <c r="H74" s="106" t="s">
        <v>671</v>
      </c>
      <c r="I74" s="106"/>
      <c r="J74" s="106"/>
      <c r="K74" s="106">
        <v>1</v>
      </c>
      <c r="L74" s="106">
        <v>0</v>
      </c>
      <c r="M74" s="106">
        <v>0</v>
      </c>
      <c r="N74" s="106"/>
      <c r="O74" s="106"/>
      <c r="P74" s="106">
        <v>0</v>
      </c>
      <c r="Q74" s="111" t="s">
        <v>803</v>
      </c>
      <c r="S74" s="108">
        <f>IF($A74="","",COUNTIF(BPOworkers!$B$6:$B$105,$A74))</f>
        <v>1</v>
      </c>
      <c r="T74" s="109">
        <f>IF($A74="","",$K74*Config!$C$9)</f>
        <v>8</v>
      </c>
      <c r="U74" s="109">
        <f>IF($A74="","",IF(COUNTIF(Config!$C$21:$C$23,$H74)&gt;0,IFERROR(VALUE(LEFT(TRIM($Q74),FIND(" ",TRIM($Q74)&amp;" ")-1)),0),0))</f>
        <v>0</v>
      </c>
      <c r="V74" s="109">
        <f t="shared" si="12"/>
        <v>8</v>
      </c>
      <c r="W74" s="108">
        <f>IF($A74="",0,IF(AND($C74&gt;=Config!$C$7,$C74&lt;=Config!$C$8),1,0))</f>
        <v>0</v>
      </c>
      <c r="X74" s="108">
        <f>IF($A74="",0,IF(COUNTIF(Config!$C$21:$C$23,$H74)&gt;0,1,0))</f>
        <v>0</v>
      </c>
      <c r="Y74" s="108">
        <f t="shared" si="13"/>
        <v>0</v>
      </c>
      <c r="Z74" s="108" t="str">
        <f t="shared" si="14"/>
        <v/>
      </c>
      <c r="AB74" s="108">
        <f t="shared" si="15"/>
        <v>0</v>
      </c>
      <c r="AC74" s="108">
        <f>IF($A74="",0,IF(AND($AB74=1,COUNTIF($A$2:$A74,$A74)=1),1,0))</f>
        <v>0</v>
      </c>
      <c r="AD74" s="108">
        <f t="shared" si="16"/>
        <v>0</v>
      </c>
      <c r="AE74" s="108" t="str">
        <f t="shared" si="17"/>
        <v/>
      </c>
      <c r="AF74" s="108">
        <f t="shared" si="18"/>
        <v>0</v>
      </c>
      <c r="AG74" s="108">
        <f t="shared" si="19"/>
        <v>1</v>
      </c>
      <c r="AH74" s="112" t="str">
        <f t="shared" si="20"/>
        <v>G Pereira|20260907|TitleNotes - Library|1.000|39 Documents
 81 Transactions</v>
      </c>
      <c r="AI74" s="108">
        <f t="shared" si="21"/>
        <v>0</v>
      </c>
      <c r="AJ74" s="108">
        <f t="shared" si="22"/>
        <v>0</v>
      </c>
      <c r="AK74" s="108">
        <f>IF($A74="",0,IF(AND($S74=1,$W74=1,$X74=1,$U74&gt;Config!$C$9),1,0))</f>
        <v>0</v>
      </c>
      <c r="AL74" s="108">
        <f t="shared" si="23"/>
        <v>0</v>
      </c>
    </row>
    <row r="75" spans="1:38" ht="96.75" x14ac:dyDescent="0.25">
      <c r="A75" s="106" t="s">
        <v>501</v>
      </c>
      <c r="B75" s="106" t="s">
        <v>614</v>
      </c>
      <c r="C75" s="107">
        <v>46272</v>
      </c>
      <c r="D75" s="106" t="s">
        <v>680</v>
      </c>
      <c r="E75" s="106" t="s">
        <v>681</v>
      </c>
      <c r="F75" s="106" t="s">
        <v>745</v>
      </c>
      <c r="G75" s="106" t="s">
        <v>804</v>
      </c>
      <c r="H75" s="106" t="s">
        <v>631</v>
      </c>
      <c r="I75" s="106"/>
      <c r="J75" s="106"/>
      <c r="K75" s="106">
        <v>1</v>
      </c>
      <c r="L75" s="106">
        <v>0</v>
      </c>
      <c r="M75" s="106">
        <v>0</v>
      </c>
      <c r="N75" s="106"/>
      <c r="O75" s="106"/>
      <c r="P75" s="106">
        <v>0</v>
      </c>
      <c r="Q75" s="111" t="s">
        <v>805</v>
      </c>
      <c r="S75" s="108">
        <f>IF($A75="","",COUNTIF(BPOworkers!$B$6:$B$105,$A75))</f>
        <v>1</v>
      </c>
      <c r="T75" s="109">
        <f>IF($A75="","",$K75*Config!$C$9)</f>
        <v>8</v>
      </c>
      <c r="U75" s="109">
        <f>IF($A75="","",IF(COUNTIF(Config!$C$21:$C$23,$H75)&gt;0,IFERROR(VALUE(LEFT(TRIM($Q75),FIND(" ",TRIM($Q75)&amp;" ")-1)),0),0))</f>
        <v>0</v>
      </c>
      <c r="V75" s="109">
        <f t="shared" si="12"/>
        <v>8</v>
      </c>
      <c r="W75" s="108">
        <f>IF($A75="",0,IF(AND($C75&gt;=Config!$C$7,$C75&lt;=Config!$C$8),1,0))</f>
        <v>0</v>
      </c>
      <c r="X75" s="108">
        <f>IF($A75="",0,IF(COUNTIF(Config!$C$21:$C$23,$H75)&gt;0,1,0))</f>
        <v>0</v>
      </c>
      <c r="Y75" s="108">
        <f t="shared" si="13"/>
        <v>0</v>
      </c>
      <c r="Z75" s="108" t="str">
        <f t="shared" si="14"/>
        <v/>
      </c>
      <c r="AB75" s="108">
        <f t="shared" si="15"/>
        <v>0</v>
      </c>
      <c r="AC75" s="108">
        <f>IF($A75="",0,IF(AND($AB75=1,COUNTIF($A$2:$A75,$A75)=1),1,0))</f>
        <v>0</v>
      </c>
      <c r="AD75" s="108">
        <f t="shared" si="16"/>
        <v>0</v>
      </c>
      <c r="AE75" s="108" t="str">
        <f t="shared" si="17"/>
        <v/>
      </c>
      <c r="AF75" s="108">
        <f t="shared" si="18"/>
        <v>0</v>
      </c>
      <c r="AG75" s="108">
        <f t="shared" si="19"/>
        <v>1</v>
      </c>
      <c r="AH75" s="112" t="str">
        <f t="shared" si="20"/>
        <v>O Moreno|20260907|Title|1.000|SIV patent to present.
 Manual indexing.</v>
      </c>
      <c r="AI75" s="108">
        <f t="shared" si="21"/>
        <v>0</v>
      </c>
      <c r="AJ75" s="108">
        <f t="shared" si="22"/>
        <v>0</v>
      </c>
      <c r="AK75" s="108">
        <f>IF($A75="",0,IF(AND($S75=1,$W75=1,$X75=1,$U75&gt;Config!$C$9),1,0))</f>
        <v>0</v>
      </c>
      <c r="AL75" s="108">
        <f t="shared" si="23"/>
        <v>0</v>
      </c>
    </row>
    <row r="76" spans="1:38" x14ac:dyDescent="0.25">
      <c r="A76" s="106" t="s">
        <v>502</v>
      </c>
      <c r="B76" s="106" t="s">
        <v>614</v>
      </c>
      <c r="C76" s="107">
        <v>46272</v>
      </c>
      <c r="D76" s="106" t="s">
        <v>694</v>
      </c>
      <c r="E76" s="106" t="s">
        <v>765</v>
      </c>
      <c r="F76" s="106" t="s">
        <v>766</v>
      </c>
      <c r="G76" s="106" t="s">
        <v>806</v>
      </c>
      <c r="H76" s="106" t="s">
        <v>765</v>
      </c>
      <c r="I76" s="106"/>
      <c r="J76" s="106" t="s">
        <v>807</v>
      </c>
      <c r="K76" s="106">
        <v>0.25</v>
      </c>
      <c r="L76" s="106">
        <v>0</v>
      </c>
      <c r="M76" s="106">
        <v>0</v>
      </c>
      <c r="N76" s="106"/>
      <c r="O76" s="106"/>
      <c r="P76" s="106">
        <v>0</v>
      </c>
      <c r="Q76" s="106" t="s">
        <v>808</v>
      </c>
      <c r="S76" s="108">
        <f>IF($A76="","",COUNTIF(BPOworkers!$B$6:$B$105,$A76))</f>
        <v>1</v>
      </c>
      <c r="T76" s="109">
        <f>IF($A76="","",$K76*Config!$C$9)</f>
        <v>2</v>
      </c>
      <c r="U76" s="109">
        <f>IF($A76="","",IF(COUNTIF(Config!$C$21:$C$23,$H76)&gt;0,IFERROR(VALUE(LEFT(TRIM($Q76),FIND(" ",TRIM($Q76)&amp;" ")-1)),0),0))</f>
        <v>0</v>
      </c>
      <c r="V76" s="109">
        <f t="shared" si="12"/>
        <v>2</v>
      </c>
      <c r="W76" s="108">
        <f>IF($A76="",0,IF(AND($C76&gt;=Config!$C$7,$C76&lt;=Config!$C$8),1,0))</f>
        <v>0</v>
      </c>
      <c r="X76" s="108">
        <f>IF($A76="",0,IF(COUNTIF(Config!$C$21:$C$23,$H76)&gt;0,1,0))</f>
        <v>0</v>
      </c>
      <c r="Y76" s="108">
        <f t="shared" si="13"/>
        <v>0</v>
      </c>
      <c r="Z76" s="108" t="str">
        <f t="shared" si="14"/>
        <v/>
      </c>
      <c r="AB76" s="108">
        <f t="shared" si="15"/>
        <v>0</v>
      </c>
      <c r="AC76" s="108">
        <f>IF($A76="",0,IF(AND($AB76=1,COUNTIF($A$2:$A76,$A76)=1),1,0))</f>
        <v>0</v>
      </c>
      <c r="AD76" s="108">
        <f t="shared" si="16"/>
        <v>0</v>
      </c>
      <c r="AE76" s="108" t="str">
        <f t="shared" si="17"/>
        <v/>
      </c>
      <c r="AF76" s="108">
        <f t="shared" si="18"/>
        <v>0</v>
      </c>
      <c r="AG76" s="108">
        <f t="shared" si="19"/>
        <v>1</v>
      </c>
      <c r="AH76" s="110" t="str">
        <f t="shared" si="20"/>
        <v>S Calderon|20260907|Lease Bringdown|0.250|Added last leases and ran title forward to present.</v>
      </c>
      <c r="AI76" s="108">
        <f t="shared" si="21"/>
        <v>0</v>
      </c>
      <c r="AJ76" s="108">
        <f t="shared" si="22"/>
        <v>0</v>
      </c>
      <c r="AK76" s="108">
        <f>IF($A76="",0,IF(AND($S76=1,$W76=1,$X76=1,$U76&gt;Config!$C$9),1,0))</f>
        <v>0</v>
      </c>
      <c r="AL76" s="108">
        <f t="shared" si="23"/>
        <v>0</v>
      </c>
    </row>
    <row r="77" spans="1:38" x14ac:dyDescent="0.25">
      <c r="A77" s="106" t="s">
        <v>502</v>
      </c>
      <c r="B77" s="106" t="s">
        <v>614</v>
      </c>
      <c r="C77" s="107">
        <v>46272</v>
      </c>
      <c r="D77" s="106" t="s">
        <v>694</v>
      </c>
      <c r="E77" s="106" t="s">
        <v>765</v>
      </c>
      <c r="F77" s="106" t="s">
        <v>766</v>
      </c>
      <c r="G77" s="106" t="s">
        <v>809</v>
      </c>
      <c r="H77" s="106" t="s">
        <v>765</v>
      </c>
      <c r="I77" s="106"/>
      <c r="J77" s="106" t="s">
        <v>807</v>
      </c>
      <c r="K77" s="106">
        <v>0.75</v>
      </c>
      <c r="L77" s="106">
        <v>0</v>
      </c>
      <c r="M77" s="106">
        <v>0</v>
      </c>
      <c r="N77" s="106"/>
      <c r="O77" s="106"/>
      <c r="P77" s="106">
        <v>0</v>
      </c>
      <c r="Q77" s="106" t="s">
        <v>808</v>
      </c>
      <c r="S77" s="108">
        <f>IF($A77="","",COUNTIF(BPOworkers!$B$6:$B$105,$A77))</f>
        <v>1</v>
      </c>
      <c r="T77" s="109">
        <f>IF($A77="","",$K77*Config!$C$9)</f>
        <v>6</v>
      </c>
      <c r="U77" s="109">
        <f>IF($A77="","",IF(COUNTIF(Config!$C$21:$C$23,$H77)&gt;0,IFERROR(VALUE(LEFT(TRIM($Q77),FIND(" ",TRIM($Q77)&amp;" ")-1)),0),0))</f>
        <v>0</v>
      </c>
      <c r="V77" s="109">
        <f t="shared" si="12"/>
        <v>6</v>
      </c>
      <c r="W77" s="108">
        <f>IF($A77="",0,IF(AND($C77&gt;=Config!$C$7,$C77&lt;=Config!$C$8),1,0))</f>
        <v>0</v>
      </c>
      <c r="X77" s="108">
        <f>IF($A77="",0,IF(COUNTIF(Config!$C$21:$C$23,$H77)&gt;0,1,0))</f>
        <v>0</v>
      </c>
      <c r="Y77" s="108">
        <f t="shared" si="13"/>
        <v>0</v>
      </c>
      <c r="Z77" s="108" t="str">
        <f t="shared" si="14"/>
        <v/>
      </c>
      <c r="AB77" s="108">
        <f t="shared" si="15"/>
        <v>0</v>
      </c>
      <c r="AC77" s="108">
        <f>IF($A77="",0,IF(AND($AB77=1,COUNTIF($A$2:$A77,$A77)=1),1,0))</f>
        <v>0</v>
      </c>
      <c r="AD77" s="108">
        <f t="shared" si="16"/>
        <v>0</v>
      </c>
      <c r="AE77" s="108" t="str">
        <f t="shared" si="17"/>
        <v/>
      </c>
      <c r="AF77" s="108">
        <f t="shared" si="18"/>
        <v>0</v>
      </c>
      <c r="AG77" s="108">
        <f t="shared" si="19"/>
        <v>1</v>
      </c>
      <c r="AH77" s="110" t="str">
        <f t="shared" si="20"/>
        <v>S Calderon|20260907|Lease Bringdown|0.750|Added last leases and ran title forward to present.</v>
      </c>
      <c r="AI77" s="108">
        <f t="shared" si="21"/>
        <v>0</v>
      </c>
      <c r="AJ77" s="108">
        <f t="shared" si="22"/>
        <v>0</v>
      </c>
      <c r="AK77" s="108">
        <f>IF($A77="",0,IF(AND($S77=1,$W77=1,$X77=1,$U77&gt;Config!$C$9),1,0))</f>
        <v>0</v>
      </c>
      <c r="AL77" s="108">
        <f t="shared" si="23"/>
        <v>0</v>
      </c>
    </row>
    <row r="78" spans="1:38" x14ac:dyDescent="0.25">
      <c r="A78" s="106" t="s">
        <v>810</v>
      </c>
      <c r="B78" s="106" t="s">
        <v>614</v>
      </c>
      <c r="C78" s="107">
        <v>46272</v>
      </c>
      <c r="D78" s="106" t="s">
        <v>694</v>
      </c>
      <c r="E78" s="106" t="s">
        <v>765</v>
      </c>
      <c r="F78" s="106" t="s">
        <v>766</v>
      </c>
      <c r="G78" s="106" t="s">
        <v>811</v>
      </c>
      <c r="H78" s="106" t="s">
        <v>765</v>
      </c>
      <c r="I78" s="106"/>
      <c r="J78" s="106"/>
      <c r="K78" s="106">
        <v>1</v>
      </c>
      <c r="L78" s="106">
        <v>0</v>
      </c>
      <c r="M78" s="106">
        <v>0</v>
      </c>
      <c r="N78" s="106"/>
      <c r="O78" s="106"/>
      <c r="P78" s="106">
        <v>0</v>
      </c>
      <c r="Q78" s="106" t="s">
        <v>812</v>
      </c>
      <c r="S78" s="108">
        <f>IF($A78="","",COUNTIF(BPOworkers!$B$6:$B$105,$A78))</f>
        <v>0</v>
      </c>
      <c r="T78" s="109">
        <f>IF($A78="","",$K78*Config!$C$9)</f>
        <v>8</v>
      </c>
      <c r="U78" s="109">
        <f>IF($A78="","",IF(COUNTIF(Config!$C$21:$C$23,$H78)&gt;0,IFERROR(VALUE(LEFT(TRIM($Q78),FIND(" ",TRIM($Q78)&amp;" ")-1)),0),0))</f>
        <v>0</v>
      </c>
      <c r="V78" s="109">
        <f t="shared" si="12"/>
        <v>8</v>
      </c>
      <c r="W78" s="108">
        <f>IF($A78="",0,IF(AND($C78&gt;=Config!$C$7,$C78&lt;=Config!$C$8),1,0))</f>
        <v>0</v>
      </c>
      <c r="X78" s="108">
        <f>IF($A78="",0,IF(COUNTIF(Config!$C$21:$C$23,$H78)&gt;0,1,0))</f>
        <v>0</v>
      </c>
      <c r="Y78" s="108">
        <f t="shared" si="13"/>
        <v>0</v>
      </c>
      <c r="Z78" s="108" t="str">
        <f t="shared" si="14"/>
        <v/>
      </c>
      <c r="AB78" s="108">
        <f t="shared" si="15"/>
        <v>0</v>
      </c>
      <c r="AC78" s="108">
        <f>IF($A78="",0,IF(AND($AB78=1,COUNTIF($A$2:$A78,$A78)=1),1,0))</f>
        <v>0</v>
      </c>
      <c r="AD78" s="108">
        <f t="shared" si="16"/>
        <v>0</v>
      </c>
      <c r="AE78" s="108" t="str">
        <f t="shared" si="17"/>
        <v/>
      </c>
      <c r="AF78" s="108">
        <f t="shared" si="18"/>
        <v>0</v>
      </c>
      <c r="AG78" s="108">
        <f t="shared" si="19"/>
        <v>0</v>
      </c>
      <c r="AH78" s="110" t="str">
        <f t="shared" si="20"/>
        <v>T. Allerman|20260907|Lease Bringdown|1.000|Worked pulling leases and indexing 28-2S-3W.</v>
      </c>
      <c r="AI78" s="108">
        <f t="shared" si="21"/>
        <v>0</v>
      </c>
      <c r="AJ78" s="108">
        <f t="shared" si="22"/>
        <v>0</v>
      </c>
      <c r="AK78" s="108">
        <f>IF($A78="",0,IF(AND($S78=1,$W78=1,$X78=1,$U78&gt;Config!$C$9),1,0))</f>
        <v>0</v>
      </c>
      <c r="AL78" s="108">
        <f t="shared" si="23"/>
        <v>0</v>
      </c>
    </row>
    <row r="79" spans="1:38" x14ac:dyDescent="0.25">
      <c r="A79" s="106" t="s">
        <v>813</v>
      </c>
      <c r="B79" s="106" t="s">
        <v>614</v>
      </c>
      <c r="C79" s="107">
        <v>46272</v>
      </c>
      <c r="D79" s="106" t="s">
        <v>694</v>
      </c>
      <c r="E79" s="106" t="s">
        <v>765</v>
      </c>
      <c r="F79" s="106" t="s">
        <v>766</v>
      </c>
      <c r="G79" s="106"/>
      <c r="H79" s="106" t="s">
        <v>765</v>
      </c>
      <c r="I79" s="106"/>
      <c r="J79" s="106" t="s">
        <v>814</v>
      </c>
      <c r="K79" s="106">
        <v>1</v>
      </c>
      <c r="L79" s="106">
        <v>0</v>
      </c>
      <c r="M79" s="106">
        <v>0</v>
      </c>
      <c r="N79" s="106"/>
      <c r="O79" s="106"/>
      <c r="P79" s="106">
        <v>0</v>
      </c>
      <c r="Q79" s="106" t="s">
        <v>815</v>
      </c>
      <c r="S79" s="108">
        <f>IF($A79="","",COUNTIF(BPOworkers!$B$6:$B$105,$A79))</f>
        <v>0</v>
      </c>
      <c r="T79" s="109">
        <f>IF($A79="","",$K79*Config!$C$9)</f>
        <v>8</v>
      </c>
      <c r="U79" s="109">
        <f>IF($A79="","",IF(COUNTIF(Config!$C$21:$C$23,$H79)&gt;0,IFERROR(VALUE(LEFT(TRIM($Q79),FIND(" ",TRIM($Q79)&amp;" ")-1)),0),0))</f>
        <v>0</v>
      </c>
      <c r="V79" s="109">
        <f t="shared" si="12"/>
        <v>8</v>
      </c>
      <c r="W79" s="108">
        <f>IF($A79="",0,IF(AND($C79&gt;=Config!$C$7,$C79&lt;=Config!$C$8),1,0))</f>
        <v>0</v>
      </c>
      <c r="X79" s="108">
        <f>IF($A79="",0,IF(COUNTIF(Config!$C$21:$C$23,$H79)&gt;0,1,0))</f>
        <v>0</v>
      </c>
      <c r="Y79" s="108">
        <f t="shared" si="13"/>
        <v>0</v>
      </c>
      <c r="Z79" s="108" t="str">
        <f t="shared" si="14"/>
        <v/>
      </c>
      <c r="AB79" s="108">
        <f t="shared" si="15"/>
        <v>0</v>
      </c>
      <c r="AC79" s="108">
        <f>IF($A79="",0,IF(AND($AB79=1,COUNTIF($A$2:$A79,$A79)=1),1,0))</f>
        <v>0</v>
      </c>
      <c r="AD79" s="108">
        <f t="shared" si="16"/>
        <v>0</v>
      </c>
      <c r="AE79" s="108" t="str">
        <f t="shared" si="17"/>
        <v/>
      </c>
      <c r="AF79" s="108">
        <f t="shared" si="18"/>
        <v>0</v>
      </c>
      <c r="AG79" s="108">
        <f t="shared" si="19"/>
        <v>0</v>
      </c>
      <c r="AH79" s="110" t="str">
        <f t="shared" si="20"/>
        <v>A. Dycus|20260907|Lease Bringdown|1.000|Finished filling out notecards for source leases</v>
      </c>
      <c r="AI79" s="108">
        <f t="shared" si="21"/>
        <v>0</v>
      </c>
      <c r="AJ79" s="108">
        <f t="shared" si="22"/>
        <v>0</v>
      </c>
      <c r="AK79" s="108">
        <f>IF($A79="",0,IF(AND($S79=1,$W79=1,$X79=1,$U79&gt;Config!$C$9),1,0))</f>
        <v>0</v>
      </c>
      <c r="AL79" s="108">
        <f t="shared" si="23"/>
        <v>0</v>
      </c>
    </row>
    <row r="80" spans="1:38" x14ac:dyDescent="0.25">
      <c r="A80" s="106" t="s">
        <v>816</v>
      </c>
      <c r="B80" s="106" t="s">
        <v>614</v>
      </c>
      <c r="C80" s="107">
        <v>46272</v>
      </c>
      <c r="D80" s="106" t="s">
        <v>529</v>
      </c>
      <c r="E80" s="106" t="s">
        <v>529</v>
      </c>
      <c r="F80" s="106" t="s">
        <v>615</v>
      </c>
      <c r="G80" s="106"/>
      <c r="H80" s="106" t="s">
        <v>529</v>
      </c>
      <c r="I80" s="106"/>
      <c r="J80" s="106"/>
      <c r="K80" s="106">
        <v>0</v>
      </c>
      <c r="L80" s="106">
        <v>0</v>
      </c>
      <c r="M80" s="106">
        <v>0</v>
      </c>
      <c r="N80" s="106"/>
      <c r="O80" s="106"/>
      <c r="P80" s="106">
        <v>0</v>
      </c>
      <c r="Q80" s="106" t="s">
        <v>817</v>
      </c>
      <c r="S80" s="108">
        <f>IF($A80="","",COUNTIF(BPOworkers!$B$6:$B$105,$A80))</f>
        <v>0</v>
      </c>
      <c r="T80" s="109">
        <f>IF($A80="","",$K80*Config!$C$9)</f>
        <v>0</v>
      </c>
      <c r="U80" s="109">
        <f>IF($A80="","",IF(COUNTIF(Config!$C$21:$C$23,$H80)&gt;0,IFERROR(VALUE(LEFT(TRIM($Q80),FIND(" ",TRIM($Q80)&amp;" ")-1)),0),0))</f>
        <v>0</v>
      </c>
      <c r="V80" s="109">
        <f t="shared" si="12"/>
        <v>0</v>
      </c>
      <c r="W80" s="108">
        <f>IF($A80="",0,IF(AND($C80&gt;=Config!$C$7,$C80&lt;=Config!$C$8),1,0))</f>
        <v>0</v>
      </c>
      <c r="X80" s="108">
        <f>IF($A80="",0,IF(COUNTIF(Config!$C$21:$C$23,$H80)&gt;0,1,0))</f>
        <v>1</v>
      </c>
      <c r="Y80" s="108">
        <f t="shared" si="13"/>
        <v>0</v>
      </c>
      <c r="Z80" s="108" t="str">
        <f t="shared" si="14"/>
        <v/>
      </c>
      <c r="AB80" s="108">
        <f t="shared" si="15"/>
        <v>0</v>
      </c>
      <c r="AC80" s="108">
        <f>IF($A80="",0,IF(AND($AB80=1,COUNTIF($A$2:$A80,$A80)=1),1,0))</f>
        <v>0</v>
      </c>
      <c r="AD80" s="108">
        <f t="shared" si="16"/>
        <v>0</v>
      </c>
      <c r="AE80" s="108" t="str">
        <f t="shared" si="17"/>
        <v/>
      </c>
      <c r="AF80" s="108">
        <f t="shared" si="18"/>
        <v>0</v>
      </c>
      <c r="AG80" s="108">
        <f t="shared" si="19"/>
        <v>0</v>
      </c>
      <c r="AH80" s="110" t="str">
        <f t="shared" si="20"/>
        <v>S. Bacot|20260907|Time Off|0.000|Labor Day Holiday</v>
      </c>
      <c r="AI80" s="108">
        <f t="shared" si="21"/>
        <v>0</v>
      </c>
      <c r="AJ80" s="108">
        <f t="shared" si="22"/>
        <v>0</v>
      </c>
      <c r="AK80" s="108">
        <f>IF($A80="",0,IF(AND($S80=1,$W80=1,$X80=1,$U80&gt;Config!$C$9),1,0))</f>
        <v>0</v>
      </c>
      <c r="AL80" s="108">
        <f t="shared" si="23"/>
        <v>0</v>
      </c>
    </row>
    <row r="81" spans="1:38" ht="216.75" x14ac:dyDescent="0.25">
      <c r="A81" s="106" t="s">
        <v>818</v>
      </c>
      <c r="B81" s="106" t="s">
        <v>614</v>
      </c>
      <c r="C81" s="107">
        <v>46272</v>
      </c>
      <c r="D81" s="106" t="s">
        <v>623</v>
      </c>
      <c r="E81" s="106" t="s">
        <v>624</v>
      </c>
      <c r="F81" s="106" t="s">
        <v>615</v>
      </c>
      <c r="G81" s="106" t="s">
        <v>625</v>
      </c>
      <c r="H81" s="106" t="s">
        <v>819</v>
      </c>
      <c r="I81" s="106"/>
      <c r="J81" s="106" t="s">
        <v>820</v>
      </c>
      <c r="K81" s="106">
        <v>1</v>
      </c>
      <c r="L81" s="106">
        <v>0</v>
      </c>
      <c r="M81" s="106">
        <v>0</v>
      </c>
      <c r="N81" s="106"/>
      <c r="O81" s="106"/>
      <c r="P81" s="106">
        <v>0</v>
      </c>
      <c r="Q81" s="111" t="s">
        <v>821</v>
      </c>
      <c r="S81" s="108">
        <f>IF($A81="","",COUNTIF(BPOworkers!$B$6:$B$105,$A81))</f>
        <v>0</v>
      </c>
      <c r="T81" s="109">
        <f>IF($A81="","",$K81*Config!$C$9)</f>
        <v>8</v>
      </c>
      <c r="U81" s="109">
        <f>IF($A81="","",IF(COUNTIF(Config!$C$21:$C$23,$H81)&gt;0,IFERROR(VALUE(LEFT(TRIM($Q81),FIND(" ",TRIM($Q81)&amp;" ")-1)),0),0))</f>
        <v>0</v>
      </c>
      <c r="V81" s="109">
        <f t="shared" si="12"/>
        <v>8</v>
      </c>
      <c r="W81" s="108">
        <f>IF($A81="",0,IF(AND($C81&gt;=Config!$C$7,$C81&lt;=Config!$C$8),1,0))</f>
        <v>0</v>
      </c>
      <c r="X81" s="108">
        <f>IF($A81="",0,IF(COUNTIF(Config!$C$21:$C$23,$H81)&gt;0,1,0))</f>
        <v>0</v>
      </c>
      <c r="Y81" s="108">
        <f t="shared" si="13"/>
        <v>0</v>
      </c>
      <c r="Z81" s="108" t="str">
        <f t="shared" si="14"/>
        <v/>
      </c>
      <c r="AB81" s="108">
        <f t="shared" si="15"/>
        <v>0</v>
      </c>
      <c r="AC81" s="108">
        <f>IF($A81="",0,IF(AND($AB81=1,COUNTIF($A$2:$A81,$A81)=1),1,0))</f>
        <v>0</v>
      </c>
      <c r="AD81" s="108">
        <f t="shared" si="16"/>
        <v>0</v>
      </c>
      <c r="AE81" s="108" t="str">
        <f t="shared" si="17"/>
        <v/>
      </c>
      <c r="AF81" s="108">
        <f t="shared" si="18"/>
        <v>0</v>
      </c>
      <c r="AG81" s="108">
        <f t="shared" si="19"/>
        <v>0</v>
      </c>
      <c r="AH81" s="112" t="str">
        <f t="shared" si="20"/>
        <v xml:space="preserve">J. Burgos|20260907|Training - BPO|1.000|Day 5 – Monday, September 7: Chapter 8, Pooling (pp. 141–160)
 • Reading: Chapter 8 – Pooling. Read the assigned pages 
</v>
      </c>
      <c r="AI81" s="108">
        <f t="shared" si="21"/>
        <v>0</v>
      </c>
      <c r="AJ81" s="108">
        <f t="shared" si="22"/>
        <v>0</v>
      </c>
      <c r="AK81" s="108">
        <f>IF($A81="",0,IF(AND($S81=1,$W81=1,$X81=1,$U81&gt;Config!$C$9),1,0))</f>
        <v>0</v>
      </c>
      <c r="AL81" s="108">
        <f t="shared" si="23"/>
        <v>0</v>
      </c>
    </row>
    <row r="82" spans="1:38" x14ac:dyDescent="0.25">
      <c r="A82" s="106" t="s">
        <v>822</v>
      </c>
      <c r="B82" s="106" t="s">
        <v>614</v>
      </c>
      <c r="C82" s="107">
        <v>46272</v>
      </c>
      <c r="D82" s="106" t="s">
        <v>623</v>
      </c>
      <c r="E82" s="106" t="s">
        <v>624</v>
      </c>
      <c r="F82" s="106" t="s">
        <v>615</v>
      </c>
      <c r="G82" s="106" t="s">
        <v>625</v>
      </c>
      <c r="H82" s="106" t="s">
        <v>819</v>
      </c>
      <c r="I82" s="106"/>
      <c r="J82" s="106" t="s">
        <v>823</v>
      </c>
      <c r="K82" s="106">
        <v>1</v>
      </c>
      <c r="L82" s="106">
        <v>0</v>
      </c>
      <c r="M82" s="106">
        <v>0</v>
      </c>
      <c r="N82" s="106"/>
      <c r="O82" s="106"/>
      <c r="P82" s="106">
        <v>0</v>
      </c>
      <c r="Q82" s="106" t="s">
        <v>824</v>
      </c>
      <c r="S82" s="108">
        <f>IF($A82="","",COUNTIF(BPOworkers!$B$6:$B$105,$A82))</f>
        <v>0</v>
      </c>
      <c r="T82" s="109">
        <f>IF($A82="","",$K82*Config!$C$9)</f>
        <v>8</v>
      </c>
      <c r="U82" s="109">
        <f>IF($A82="","",IF(COUNTIF(Config!$C$21:$C$23,$H82)&gt;0,IFERROR(VALUE(LEFT(TRIM($Q82),FIND(" ",TRIM($Q82)&amp;" ")-1)),0),0))</f>
        <v>0</v>
      </c>
      <c r="V82" s="109">
        <f t="shared" si="12"/>
        <v>8</v>
      </c>
      <c r="W82" s="108">
        <f>IF($A82="",0,IF(AND($C82&gt;=Config!$C$7,$C82&lt;=Config!$C$8),1,0))</f>
        <v>0</v>
      </c>
      <c r="X82" s="108">
        <f>IF($A82="",0,IF(COUNTIF(Config!$C$21:$C$23,$H82)&gt;0,1,0))</f>
        <v>0</v>
      </c>
      <c r="Y82" s="108">
        <f t="shared" si="13"/>
        <v>0</v>
      </c>
      <c r="Z82" s="108" t="str">
        <f t="shared" si="14"/>
        <v/>
      </c>
      <c r="AB82" s="108">
        <f t="shared" si="15"/>
        <v>0</v>
      </c>
      <c r="AC82" s="108">
        <f>IF($A82="",0,IF(AND($AB82=1,COUNTIF($A$2:$A82,$A82)=1),1,0))</f>
        <v>0</v>
      </c>
      <c r="AD82" s="108">
        <f t="shared" si="16"/>
        <v>0</v>
      </c>
      <c r="AE82" s="108" t="str">
        <f t="shared" si="17"/>
        <v/>
      </c>
      <c r="AF82" s="108">
        <f t="shared" si="18"/>
        <v>0</v>
      </c>
      <c r="AG82" s="108">
        <f t="shared" si="19"/>
        <v>0</v>
      </c>
      <c r="AH82" s="110" t="str">
        <f t="shared" si="20"/>
        <v>D. Pescador|20260907|Training - BPO|1.000|Read the charapter 8 of the AAPL study guide about Pooling, and also an introduction to the tracts platform and how to u</v>
      </c>
      <c r="AI82" s="108">
        <f t="shared" si="21"/>
        <v>0</v>
      </c>
      <c r="AJ82" s="108">
        <f t="shared" si="22"/>
        <v>0</v>
      </c>
      <c r="AK82" s="108">
        <f>IF($A82="",0,IF(AND($S82=1,$W82=1,$X82=1,$U82&gt;Config!$C$9),1,0))</f>
        <v>0</v>
      </c>
      <c r="AL82" s="108">
        <f t="shared" si="23"/>
        <v>0</v>
      </c>
    </row>
    <row r="83" spans="1:38" ht="204.75" x14ac:dyDescent="0.25">
      <c r="A83" s="106" t="s">
        <v>825</v>
      </c>
      <c r="B83" s="106" t="s">
        <v>614</v>
      </c>
      <c r="C83" s="107">
        <v>46272</v>
      </c>
      <c r="D83" s="106" t="s">
        <v>623</v>
      </c>
      <c r="E83" s="106" t="s">
        <v>624</v>
      </c>
      <c r="F83" s="106" t="s">
        <v>615</v>
      </c>
      <c r="G83" s="106" t="s">
        <v>625</v>
      </c>
      <c r="H83" s="106" t="s">
        <v>819</v>
      </c>
      <c r="I83" s="106"/>
      <c r="J83" s="106" t="s">
        <v>823</v>
      </c>
      <c r="K83" s="106">
        <v>1</v>
      </c>
      <c r="L83" s="106">
        <v>0</v>
      </c>
      <c r="M83" s="106">
        <v>0</v>
      </c>
      <c r="N83" s="106"/>
      <c r="O83" s="106"/>
      <c r="P83" s="106">
        <v>0</v>
      </c>
      <c r="Q83" s="111" t="s">
        <v>826</v>
      </c>
      <c r="S83" s="108">
        <f>IF($A83="","",COUNTIF(BPOworkers!$B$6:$B$105,$A83))</f>
        <v>0</v>
      </c>
      <c r="T83" s="109">
        <f>IF($A83="","",$K83*Config!$C$9)</f>
        <v>8</v>
      </c>
      <c r="U83" s="109">
        <f>IF($A83="","",IF(COUNTIF(Config!$C$21:$C$23,$H83)&gt;0,IFERROR(VALUE(LEFT(TRIM($Q83),FIND(" ",TRIM($Q83)&amp;" ")-1)),0),0))</f>
        <v>0</v>
      </c>
      <c r="V83" s="109">
        <f t="shared" si="12"/>
        <v>8</v>
      </c>
      <c r="W83" s="108">
        <f>IF($A83="",0,IF(AND($C83&gt;=Config!$C$7,$C83&lt;=Config!$C$8),1,0))</f>
        <v>0</v>
      </c>
      <c r="X83" s="108">
        <f>IF($A83="",0,IF(COUNTIF(Config!$C$21:$C$23,$H83)&gt;0,1,0))</f>
        <v>0</v>
      </c>
      <c r="Y83" s="108">
        <f t="shared" si="13"/>
        <v>0</v>
      </c>
      <c r="Z83" s="108" t="str">
        <f t="shared" si="14"/>
        <v/>
      </c>
      <c r="AB83" s="108">
        <f t="shared" si="15"/>
        <v>0</v>
      </c>
      <c r="AC83" s="108">
        <f>IF($A83="",0,IF(AND($AB83=1,COUNTIF($A$2:$A83,$A83)=1),1,0))</f>
        <v>0</v>
      </c>
      <c r="AD83" s="108">
        <f t="shared" si="16"/>
        <v>0</v>
      </c>
      <c r="AE83" s="108" t="str">
        <f t="shared" si="17"/>
        <v/>
      </c>
      <c r="AF83" s="108">
        <f t="shared" si="18"/>
        <v>0</v>
      </c>
      <c r="AG83" s="108">
        <f t="shared" si="19"/>
        <v>0</v>
      </c>
      <c r="AH83" s="112" t="str">
        <f t="shared" si="20"/>
        <v>L. Pinto|20260907|Training - BPO|1.000|- Read Ch. 8 Pooling
 - ELT Lesson "Title Fundamentals: Comprehesive Quiz"
 - Meeting with Sebastian Romero: Tracts plat</v>
      </c>
      <c r="AI83" s="108">
        <f t="shared" si="21"/>
        <v>0</v>
      </c>
      <c r="AJ83" s="108">
        <f t="shared" si="22"/>
        <v>0</v>
      </c>
      <c r="AK83" s="108">
        <f>IF($A83="",0,IF(AND($S83=1,$W83=1,$X83=1,$U83&gt;Config!$C$9),1,0))</f>
        <v>0</v>
      </c>
      <c r="AL83" s="108">
        <f t="shared" si="23"/>
        <v>0</v>
      </c>
    </row>
    <row r="84" spans="1:38" x14ac:dyDescent="0.25">
      <c r="A84" s="106" t="s">
        <v>827</v>
      </c>
      <c r="B84" s="106" t="s">
        <v>614</v>
      </c>
      <c r="C84" s="107">
        <v>46272</v>
      </c>
      <c r="D84" s="106" t="s">
        <v>623</v>
      </c>
      <c r="E84" s="106" t="s">
        <v>624</v>
      </c>
      <c r="F84" s="106" t="s">
        <v>615</v>
      </c>
      <c r="G84" s="106" t="s">
        <v>625</v>
      </c>
      <c r="H84" s="106" t="s">
        <v>819</v>
      </c>
      <c r="I84" s="106"/>
      <c r="J84" s="106" t="s">
        <v>823</v>
      </c>
      <c r="K84" s="106">
        <v>1</v>
      </c>
      <c r="L84" s="106">
        <v>0</v>
      </c>
      <c r="M84" s="106">
        <v>0</v>
      </c>
      <c r="N84" s="106"/>
      <c r="O84" s="106"/>
      <c r="P84" s="106">
        <v>0</v>
      </c>
      <c r="Q84" s="106" t="s">
        <v>828</v>
      </c>
      <c r="S84" s="108">
        <f>IF($A84="","",COUNTIF(BPOworkers!$B$6:$B$105,$A84))</f>
        <v>0</v>
      </c>
      <c r="T84" s="109">
        <f>IF($A84="","",$K84*Config!$C$9)</f>
        <v>8</v>
      </c>
      <c r="U84" s="109">
        <f>IF($A84="","",IF(COUNTIF(Config!$C$21:$C$23,$H84)&gt;0,IFERROR(VALUE(LEFT(TRIM($Q84),FIND(" ",TRIM($Q84)&amp;" ")-1)),0),0))</f>
        <v>0</v>
      </c>
      <c r="V84" s="109">
        <f t="shared" si="12"/>
        <v>8</v>
      </c>
      <c r="W84" s="108">
        <f>IF($A84="",0,IF(AND($C84&gt;=Config!$C$7,$C84&lt;=Config!$C$8),1,0))</f>
        <v>0</v>
      </c>
      <c r="X84" s="108">
        <f>IF($A84="",0,IF(COUNTIF(Config!$C$21:$C$23,$H84)&gt;0,1,0))</f>
        <v>0</v>
      </c>
      <c r="Y84" s="108">
        <f t="shared" si="13"/>
        <v>0</v>
      </c>
      <c r="Z84" s="108" t="str">
        <f t="shared" si="14"/>
        <v/>
      </c>
      <c r="AB84" s="108">
        <f t="shared" si="15"/>
        <v>0</v>
      </c>
      <c r="AC84" s="108">
        <f>IF($A84="",0,IF(AND($AB84=1,COUNTIF($A$2:$A84,$A84)=1),1,0))</f>
        <v>0</v>
      </c>
      <c r="AD84" s="108">
        <f t="shared" si="16"/>
        <v>0</v>
      </c>
      <c r="AE84" s="108" t="str">
        <f t="shared" si="17"/>
        <v/>
      </c>
      <c r="AF84" s="108">
        <f t="shared" si="18"/>
        <v>0</v>
      </c>
      <c r="AG84" s="108">
        <f t="shared" si="19"/>
        <v>0</v>
      </c>
      <c r="AH84" s="110" t="str">
        <f t="shared" si="20"/>
        <v>J. Cañon|20260907|Training - BPO|1.000|Reading about pooling and a view about how tracts work</v>
      </c>
      <c r="AI84" s="108">
        <f t="shared" si="21"/>
        <v>0</v>
      </c>
      <c r="AJ84" s="108">
        <f t="shared" si="22"/>
        <v>0</v>
      </c>
      <c r="AK84" s="108">
        <f>IF($A84="",0,IF(AND($S84=1,$W84=1,$X84=1,$U84&gt;Config!$C$9),1,0))</f>
        <v>0</v>
      </c>
      <c r="AL84" s="108">
        <f t="shared" si="23"/>
        <v>0</v>
      </c>
    </row>
    <row r="85" spans="1:38" x14ac:dyDescent="0.25">
      <c r="A85" s="106" t="s">
        <v>829</v>
      </c>
      <c r="B85" s="106" t="s">
        <v>614</v>
      </c>
      <c r="C85" s="107">
        <v>46272</v>
      </c>
      <c r="D85" s="106" t="s">
        <v>623</v>
      </c>
      <c r="E85" s="106" t="s">
        <v>624</v>
      </c>
      <c r="F85" s="106" t="s">
        <v>615</v>
      </c>
      <c r="G85" s="106" t="s">
        <v>625</v>
      </c>
      <c r="H85" s="106" t="s">
        <v>830</v>
      </c>
      <c r="I85" s="106" t="s">
        <v>831</v>
      </c>
      <c r="J85" s="106" t="s">
        <v>832</v>
      </c>
      <c r="K85" s="106">
        <v>1</v>
      </c>
      <c r="L85" s="106">
        <v>0</v>
      </c>
      <c r="M85" s="106">
        <v>0</v>
      </c>
      <c r="N85" s="106"/>
      <c r="O85" s="106"/>
      <c r="P85" s="106">
        <v>0</v>
      </c>
      <c r="Q85" s="106" t="s">
        <v>833</v>
      </c>
      <c r="S85" s="108">
        <f>IF($A85="","",COUNTIF(BPOworkers!$B$6:$B$105,$A85))</f>
        <v>0</v>
      </c>
      <c r="T85" s="109">
        <f>IF($A85="","",$K85*Config!$C$9)</f>
        <v>8</v>
      </c>
      <c r="U85" s="109">
        <f>IF($A85="","",IF(COUNTIF(Config!$C$21:$C$23,$H85)&gt;0,IFERROR(VALUE(LEFT(TRIM($Q85),FIND(" ",TRIM($Q85)&amp;" ")-1)),0),0))</f>
        <v>0</v>
      </c>
      <c r="V85" s="109">
        <f t="shared" si="12"/>
        <v>8</v>
      </c>
      <c r="W85" s="108">
        <f>IF($A85="",0,IF(AND($C85&gt;=Config!$C$7,$C85&lt;=Config!$C$8),1,0))</f>
        <v>0</v>
      </c>
      <c r="X85" s="108">
        <f>IF($A85="",0,IF(COUNTIF(Config!$C$21:$C$23,$H85)&gt;0,1,0))</f>
        <v>0</v>
      </c>
      <c r="Y85" s="108">
        <f t="shared" si="13"/>
        <v>0</v>
      </c>
      <c r="Z85" s="108" t="str">
        <f t="shared" si="14"/>
        <v/>
      </c>
      <c r="AB85" s="108">
        <f t="shared" si="15"/>
        <v>0</v>
      </c>
      <c r="AC85" s="108">
        <f>IF($A85="",0,IF(AND($AB85=1,COUNTIF($A$2:$A85,$A85)=1),1,0))</f>
        <v>0</v>
      </c>
      <c r="AD85" s="108">
        <f t="shared" si="16"/>
        <v>0</v>
      </c>
      <c r="AE85" s="108" t="str">
        <f t="shared" si="17"/>
        <v/>
      </c>
      <c r="AF85" s="108">
        <f t="shared" si="18"/>
        <v>0</v>
      </c>
      <c r="AG85" s="108">
        <f t="shared" si="19"/>
        <v>0</v>
      </c>
      <c r="AH85" s="110" t="str">
        <f t="shared" si="20"/>
        <v>S. Guataquira|20260907|Training - TLS|1.000|Today i learned about the pooling and unitization and how this works in a real life sitation. Also, i get an indrotuctio</v>
      </c>
      <c r="AI85" s="108">
        <f t="shared" si="21"/>
        <v>0</v>
      </c>
      <c r="AJ85" s="108">
        <f t="shared" si="22"/>
        <v>0</v>
      </c>
      <c r="AK85" s="108">
        <f>IF($A85="",0,IF(AND($S85=1,$W85=1,$X85=1,$U85&gt;Config!$C$9),1,0))</f>
        <v>0</v>
      </c>
      <c r="AL85" s="108">
        <f t="shared" si="23"/>
        <v>0</v>
      </c>
    </row>
    <row r="86" spans="1:38" ht="204.75" x14ac:dyDescent="0.25">
      <c r="A86" s="106" t="s">
        <v>834</v>
      </c>
      <c r="B86" s="106" t="s">
        <v>614</v>
      </c>
      <c r="C86" s="107">
        <v>46272</v>
      </c>
      <c r="D86" s="106" t="s">
        <v>623</v>
      </c>
      <c r="E86" s="106" t="s">
        <v>624</v>
      </c>
      <c r="F86" s="106" t="s">
        <v>615</v>
      </c>
      <c r="G86" s="106" t="s">
        <v>625</v>
      </c>
      <c r="H86" s="106" t="s">
        <v>819</v>
      </c>
      <c r="I86" s="106"/>
      <c r="J86" s="106" t="s">
        <v>823</v>
      </c>
      <c r="K86" s="106">
        <v>1</v>
      </c>
      <c r="L86" s="106">
        <v>0</v>
      </c>
      <c r="M86" s="106">
        <v>0</v>
      </c>
      <c r="N86" s="106"/>
      <c r="O86" s="106"/>
      <c r="P86" s="106">
        <v>0</v>
      </c>
      <c r="Q86" s="111" t="s">
        <v>835</v>
      </c>
      <c r="S86" s="108">
        <f>IF($A86="","",COUNTIF(BPOworkers!$B$6:$B$105,$A86))</f>
        <v>0</v>
      </c>
      <c r="T86" s="109">
        <f>IF($A86="","",$K86*Config!$C$9)</f>
        <v>8</v>
      </c>
      <c r="U86" s="109">
        <f>IF($A86="","",IF(COUNTIF(Config!$C$21:$C$23,$H86)&gt;0,IFERROR(VALUE(LEFT(TRIM($Q86),FIND(" ",TRIM($Q86)&amp;" ")-1)),0),0))</f>
        <v>0</v>
      </c>
      <c r="V86" s="109">
        <f t="shared" si="12"/>
        <v>8</v>
      </c>
      <c r="W86" s="108">
        <f>IF($A86="",0,IF(AND($C86&gt;=Config!$C$7,$C86&lt;=Config!$C$8),1,0))</f>
        <v>0</v>
      </c>
      <c r="X86" s="108">
        <f>IF($A86="",0,IF(COUNTIF(Config!$C$21:$C$23,$H86)&gt;0,1,0))</f>
        <v>0</v>
      </c>
      <c r="Y86" s="108">
        <f t="shared" si="13"/>
        <v>0</v>
      </c>
      <c r="Z86" s="108" t="str">
        <f t="shared" si="14"/>
        <v/>
      </c>
      <c r="AB86" s="108">
        <f t="shared" si="15"/>
        <v>0</v>
      </c>
      <c r="AC86" s="108">
        <f>IF($A86="",0,IF(AND($AB86=1,COUNTIF($A$2:$A86,$A86)=1),1,0))</f>
        <v>0</v>
      </c>
      <c r="AD86" s="108">
        <f t="shared" si="16"/>
        <v>0</v>
      </c>
      <c r="AE86" s="108" t="str">
        <f t="shared" si="17"/>
        <v/>
      </c>
      <c r="AF86" s="108">
        <f t="shared" si="18"/>
        <v>0</v>
      </c>
      <c r="AG86" s="108">
        <f t="shared" si="19"/>
        <v>0</v>
      </c>
      <c r="AH86" s="112" t="str">
        <f t="shared" si="20"/>
        <v>C. Diaz|20260907|Training - BPO|1.000|Read the assigned pages of Chapter 8. Close out the week with a general wrap-up discussion of the readings.
 Title F</v>
      </c>
      <c r="AI86" s="108">
        <f t="shared" si="21"/>
        <v>0</v>
      </c>
      <c r="AJ86" s="108">
        <f t="shared" si="22"/>
        <v>0</v>
      </c>
      <c r="AK86" s="108">
        <f>IF($A86="",0,IF(AND($S86=1,$W86=1,$X86=1,$U86&gt;Config!$C$9),1,0))</f>
        <v>0</v>
      </c>
      <c r="AL86" s="108">
        <f t="shared" si="23"/>
        <v>0</v>
      </c>
    </row>
    <row r="87" spans="1:38" ht="204.75" x14ac:dyDescent="0.25">
      <c r="A87" s="106" t="s">
        <v>836</v>
      </c>
      <c r="B87" s="106" t="s">
        <v>614</v>
      </c>
      <c r="C87" s="107">
        <v>46272</v>
      </c>
      <c r="D87" s="106" t="s">
        <v>623</v>
      </c>
      <c r="E87" s="106" t="s">
        <v>624</v>
      </c>
      <c r="F87" s="106" t="s">
        <v>615</v>
      </c>
      <c r="G87" s="106" t="s">
        <v>625</v>
      </c>
      <c r="H87" s="106" t="s">
        <v>819</v>
      </c>
      <c r="I87" s="106"/>
      <c r="J87" s="106" t="s">
        <v>837</v>
      </c>
      <c r="K87" s="106">
        <v>1</v>
      </c>
      <c r="L87" s="106">
        <v>0</v>
      </c>
      <c r="M87" s="106">
        <v>0</v>
      </c>
      <c r="N87" s="106"/>
      <c r="O87" s="106"/>
      <c r="P87" s="106">
        <v>0</v>
      </c>
      <c r="Q87" s="111" t="s">
        <v>838</v>
      </c>
      <c r="S87" s="108">
        <f>IF($A87="","",COUNTIF(BPOworkers!$B$6:$B$105,$A87))</f>
        <v>0</v>
      </c>
      <c r="T87" s="109">
        <f>IF($A87="","",$K87*Config!$C$9)</f>
        <v>8</v>
      </c>
      <c r="U87" s="109">
        <f>IF($A87="","",IF(COUNTIF(Config!$C$21:$C$23,$H87)&gt;0,IFERROR(VALUE(LEFT(TRIM($Q87),FIND(" ",TRIM($Q87)&amp;" ")-1)),0),0))</f>
        <v>0</v>
      </c>
      <c r="V87" s="109">
        <f t="shared" si="12"/>
        <v>8</v>
      </c>
      <c r="W87" s="108">
        <f>IF($A87="",0,IF(AND($C87&gt;=Config!$C$7,$C87&lt;=Config!$C$8),1,0))</f>
        <v>0</v>
      </c>
      <c r="X87" s="108">
        <f>IF($A87="",0,IF(COUNTIF(Config!$C$21:$C$23,$H87)&gt;0,1,0))</f>
        <v>0</v>
      </c>
      <c r="Y87" s="108">
        <f t="shared" si="13"/>
        <v>0</v>
      </c>
      <c r="Z87" s="108" t="str">
        <f t="shared" si="14"/>
        <v/>
      </c>
      <c r="AB87" s="108">
        <f t="shared" si="15"/>
        <v>0</v>
      </c>
      <c r="AC87" s="108">
        <f>IF($A87="",0,IF(AND($AB87=1,COUNTIF($A$2:$A87,$A87)=1),1,0))</f>
        <v>0</v>
      </c>
      <c r="AD87" s="108">
        <f t="shared" si="16"/>
        <v>0</v>
      </c>
      <c r="AE87" s="108" t="str">
        <f t="shared" si="17"/>
        <v/>
      </c>
      <c r="AF87" s="108">
        <f t="shared" si="18"/>
        <v>0</v>
      </c>
      <c r="AG87" s="108">
        <f t="shared" si="19"/>
        <v>0</v>
      </c>
      <c r="AH87" s="112" t="str">
        <f t="shared" si="20"/>
        <v>T. Moreno|20260907|Training - BPO|1.000|- Reading: Chapter 8 – Pooling. Read the assigned pages. 
 - CPL-RPL, Appendix C - Quiz
 - Meeting and practice of T</v>
      </c>
      <c r="AI87" s="108">
        <f t="shared" si="21"/>
        <v>0</v>
      </c>
      <c r="AJ87" s="108">
        <f t="shared" si="22"/>
        <v>0</v>
      </c>
      <c r="AK87" s="108">
        <f>IF($A87="",0,IF(AND($S87=1,$W87=1,$X87=1,$U87&gt;Config!$C$9),1,0))</f>
        <v>0</v>
      </c>
      <c r="AL87" s="108">
        <f t="shared" si="23"/>
        <v>0</v>
      </c>
    </row>
    <row r="88" spans="1:38" ht="180.75" x14ac:dyDescent="0.25">
      <c r="A88" s="106" t="s">
        <v>839</v>
      </c>
      <c r="B88" s="106" t="s">
        <v>614</v>
      </c>
      <c r="C88" s="107">
        <v>46272</v>
      </c>
      <c r="D88" s="106" t="s">
        <v>623</v>
      </c>
      <c r="E88" s="106" t="s">
        <v>624</v>
      </c>
      <c r="F88" s="106" t="s">
        <v>615</v>
      </c>
      <c r="G88" s="106" t="s">
        <v>625</v>
      </c>
      <c r="H88" s="106" t="s">
        <v>819</v>
      </c>
      <c r="I88" s="106"/>
      <c r="J88" s="106" t="s">
        <v>823</v>
      </c>
      <c r="K88" s="106">
        <v>1</v>
      </c>
      <c r="L88" s="106">
        <v>0</v>
      </c>
      <c r="M88" s="106">
        <v>0</v>
      </c>
      <c r="N88" s="106"/>
      <c r="O88" s="106"/>
      <c r="P88" s="106">
        <v>0</v>
      </c>
      <c r="Q88" s="111" t="s">
        <v>840</v>
      </c>
      <c r="S88" s="108">
        <f>IF($A88="","",COUNTIF(BPOworkers!$B$6:$B$105,$A88))</f>
        <v>0</v>
      </c>
      <c r="T88" s="109">
        <f>IF($A88="","",$K88*Config!$C$9)</f>
        <v>8</v>
      </c>
      <c r="U88" s="109">
        <f>IF($A88="","",IF(COUNTIF(Config!$C$21:$C$23,$H88)&gt;0,IFERROR(VALUE(LEFT(TRIM($Q88),FIND(" ",TRIM($Q88)&amp;" ")-1)),0),0))</f>
        <v>0</v>
      </c>
      <c r="V88" s="109">
        <f t="shared" si="12"/>
        <v>8</v>
      </c>
      <c r="W88" s="108">
        <f>IF($A88="",0,IF(AND($C88&gt;=Config!$C$7,$C88&lt;=Config!$C$8),1,0))</f>
        <v>0</v>
      </c>
      <c r="X88" s="108">
        <f>IF($A88="",0,IF(COUNTIF(Config!$C$21:$C$23,$H88)&gt;0,1,0))</f>
        <v>0</v>
      </c>
      <c r="Y88" s="108">
        <f t="shared" si="13"/>
        <v>0</v>
      </c>
      <c r="Z88" s="108" t="str">
        <f t="shared" si="14"/>
        <v/>
      </c>
      <c r="AB88" s="108">
        <f t="shared" si="15"/>
        <v>0</v>
      </c>
      <c r="AC88" s="108">
        <f>IF($A88="",0,IF(AND($AB88=1,COUNTIF($A$2:$A88,$A88)=1),1,0))</f>
        <v>0</v>
      </c>
      <c r="AD88" s="108">
        <f t="shared" si="16"/>
        <v>0</v>
      </c>
      <c r="AE88" s="108" t="str">
        <f t="shared" si="17"/>
        <v/>
      </c>
      <c r="AF88" s="108">
        <f t="shared" si="18"/>
        <v>0</v>
      </c>
      <c r="AG88" s="108">
        <f t="shared" si="19"/>
        <v>0</v>
      </c>
      <c r="AH88" s="112" t="str">
        <f t="shared" si="20"/>
        <v>S. Lopez|20260907|Training - BPO|1.000|Reading of Chapter 8 of the AAPL Guide related to Pooling. 
 Attending to the explanation and recap done by Roberto abou</v>
      </c>
      <c r="AI88" s="108">
        <f t="shared" si="21"/>
        <v>0</v>
      </c>
      <c r="AJ88" s="108">
        <f t="shared" si="22"/>
        <v>0</v>
      </c>
      <c r="AK88" s="108">
        <f>IF($A88="",0,IF(AND($S88=1,$W88=1,$X88=1,$U88&gt;Config!$C$9),1,0))</f>
        <v>0</v>
      </c>
      <c r="AL88" s="108">
        <f t="shared" si="23"/>
        <v>0</v>
      </c>
    </row>
    <row r="89" spans="1:38" x14ac:dyDescent="0.25">
      <c r="A89" s="106" t="s">
        <v>841</v>
      </c>
      <c r="B89" s="106" t="s">
        <v>614</v>
      </c>
      <c r="C89" s="107">
        <v>46272</v>
      </c>
      <c r="D89" s="106" t="s">
        <v>623</v>
      </c>
      <c r="E89" s="106" t="s">
        <v>624</v>
      </c>
      <c r="F89" s="106" t="s">
        <v>615</v>
      </c>
      <c r="G89" s="106" t="s">
        <v>625</v>
      </c>
      <c r="H89" s="106" t="s">
        <v>819</v>
      </c>
      <c r="I89" s="106"/>
      <c r="J89" s="106" t="s">
        <v>823</v>
      </c>
      <c r="K89" s="106">
        <v>1</v>
      </c>
      <c r="L89" s="106">
        <v>0</v>
      </c>
      <c r="M89" s="106">
        <v>0</v>
      </c>
      <c r="N89" s="106"/>
      <c r="O89" s="106"/>
      <c r="P89" s="106">
        <v>0</v>
      </c>
      <c r="Q89" s="106" t="s">
        <v>842</v>
      </c>
      <c r="S89" s="108">
        <f>IF($A89="","",COUNTIF(BPOworkers!$B$6:$B$105,$A89))</f>
        <v>0</v>
      </c>
      <c r="T89" s="109">
        <f>IF($A89="","",$K89*Config!$C$9)</f>
        <v>8</v>
      </c>
      <c r="U89" s="109">
        <f>IF($A89="","",IF(COUNTIF(Config!$C$21:$C$23,$H89)&gt;0,IFERROR(VALUE(LEFT(TRIM($Q89),FIND(" ",TRIM($Q89)&amp;" ")-1)),0),0))</f>
        <v>0</v>
      </c>
      <c r="V89" s="109">
        <f t="shared" si="12"/>
        <v>8</v>
      </c>
      <c r="W89" s="108">
        <f>IF($A89="",0,IF(AND($C89&gt;=Config!$C$7,$C89&lt;=Config!$C$8),1,0))</f>
        <v>0</v>
      </c>
      <c r="X89" s="108">
        <f>IF($A89="",0,IF(COUNTIF(Config!$C$21:$C$23,$H89)&gt;0,1,0))</f>
        <v>0</v>
      </c>
      <c r="Y89" s="108">
        <f t="shared" si="13"/>
        <v>0</v>
      </c>
      <c r="Z89" s="108" t="str">
        <f t="shared" si="14"/>
        <v/>
      </c>
      <c r="AB89" s="108">
        <f t="shared" si="15"/>
        <v>0</v>
      </c>
      <c r="AC89" s="108">
        <f>IF($A89="",0,IF(AND($AB89=1,COUNTIF($A$2:$A89,$A89)=1),1,0))</f>
        <v>0</v>
      </c>
      <c r="AD89" s="108">
        <f t="shared" si="16"/>
        <v>0</v>
      </c>
      <c r="AE89" s="108" t="str">
        <f t="shared" si="17"/>
        <v/>
      </c>
      <c r="AF89" s="108">
        <f t="shared" si="18"/>
        <v>0</v>
      </c>
      <c r="AG89" s="108">
        <f t="shared" si="19"/>
        <v>0</v>
      </c>
      <c r="AH89" s="110" t="str">
        <f t="shared" si="20"/>
        <v>A. Roa|20260907|Training - BPO|1.000|Read the assigned pages of Chapter 8. Close out the week with a general wrap-up discussion of the readings.</v>
      </c>
      <c r="AI89" s="108">
        <f t="shared" si="21"/>
        <v>0</v>
      </c>
      <c r="AJ89" s="108">
        <f t="shared" si="22"/>
        <v>0</v>
      </c>
      <c r="AK89" s="108">
        <f>IF($A89="",0,IF(AND($S89=1,$W89=1,$X89=1,$U89&gt;Config!$C$9),1,0))</f>
        <v>0</v>
      </c>
      <c r="AL89" s="108">
        <f t="shared" si="23"/>
        <v>0</v>
      </c>
    </row>
    <row r="90" spans="1:38" x14ac:dyDescent="0.25">
      <c r="A90" s="106" t="s">
        <v>843</v>
      </c>
      <c r="B90" s="106" t="s">
        <v>614</v>
      </c>
      <c r="C90" s="107">
        <v>46272</v>
      </c>
      <c r="D90" s="106" t="s">
        <v>623</v>
      </c>
      <c r="E90" s="106" t="s">
        <v>624</v>
      </c>
      <c r="F90" s="106" t="s">
        <v>615</v>
      </c>
      <c r="G90" s="106" t="s">
        <v>625</v>
      </c>
      <c r="H90" s="106" t="s">
        <v>819</v>
      </c>
      <c r="I90" s="106"/>
      <c r="J90" s="106" t="s">
        <v>823</v>
      </c>
      <c r="K90" s="106">
        <v>1</v>
      </c>
      <c r="L90" s="106">
        <v>0</v>
      </c>
      <c r="M90" s="106">
        <v>0</v>
      </c>
      <c r="N90" s="106"/>
      <c r="O90" s="106"/>
      <c r="P90" s="106">
        <v>0</v>
      </c>
      <c r="Q90" s="106" t="s">
        <v>844</v>
      </c>
      <c r="S90" s="108">
        <f>IF($A90="","",COUNTIF(BPOworkers!$B$6:$B$105,$A90))</f>
        <v>0</v>
      </c>
      <c r="T90" s="109">
        <f>IF($A90="","",$K90*Config!$C$9)</f>
        <v>8</v>
      </c>
      <c r="U90" s="109">
        <f>IF($A90="","",IF(COUNTIF(Config!$C$21:$C$23,$H90)&gt;0,IFERROR(VALUE(LEFT(TRIM($Q90),FIND(" ",TRIM($Q90)&amp;" ")-1)),0),0))</f>
        <v>0</v>
      </c>
      <c r="V90" s="109">
        <f t="shared" si="12"/>
        <v>8</v>
      </c>
      <c r="W90" s="108">
        <f>IF($A90="",0,IF(AND($C90&gt;=Config!$C$7,$C90&lt;=Config!$C$8),1,0))</f>
        <v>0</v>
      </c>
      <c r="X90" s="108">
        <f>IF($A90="",0,IF(COUNTIF(Config!$C$21:$C$23,$H90)&gt;0,1,0))</f>
        <v>0</v>
      </c>
      <c r="Y90" s="108">
        <f t="shared" si="13"/>
        <v>0</v>
      </c>
      <c r="Z90" s="108" t="str">
        <f t="shared" si="14"/>
        <v/>
      </c>
      <c r="AB90" s="108">
        <f t="shared" si="15"/>
        <v>0</v>
      </c>
      <c r="AC90" s="108">
        <f>IF($A90="",0,IF(AND($AB90=1,COUNTIF($A$2:$A90,$A90)=1),1,0))</f>
        <v>0</v>
      </c>
      <c r="AD90" s="108">
        <f t="shared" si="16"/>
        <v>0</v>
      </c>
      <c r="AE90" s="108" t="str">
        <f t="shared" si="17"/>
        <v/>
      </c>
      <c r="AF90" s="108">
        <f t="shared" si="18"/>
        <v>0</v>
      </c>
      <c r="AG90" s="108">
        <f t="shared" si="19"/>
        <v>0</v>
      </c>
      <c r="AH90" s="110" t="str">
        <f t="shared" si="20"/>
        <v>G. Gonzalez|20260907|Training - BPO|1.000|Lecture of chapter 8th regarding pooling and introduction to tracts</v>
      </c>
      <c r="AI90" s="108">
        <f t="shared" si="21"/>
        <v>0</v>
      </c>
      <c r="AJ90" s="108">
        <f t="shared" si="22"/>
        <v>0</v>
      </c>
      <c r="AK90" s="108">
        <f>IF($A90="",0,IF(AND($S90=1,$W90=1,$X90=1,$U90&gt;Config!$C$9),1,0))</f>
        <v>0</v>
      </c>
      <c r="AL90" s="108">
        <f t="shared" si="23"/>
        <v>0</v>
      </c>
    </row>
    <row r="91" spans="1:38" ht="156.75" x14ac:dyDescent="0.25">
      <c r="A91" s="106" t="s">
        <v>845</v>
      </c>
      <c r="B91" s="106" t="s">
        <v>614</v>
      </c>
      <c r="C91" s="107">
        <v>46272</v>
      </c>
      <c r="D91" s="106" t="s">
        <v>623</v>
      </c>
      <c r="E91" s="106" t="s">
        <v>624</v>
      </c>
      <c r="F91" s="106" t="s">
        <v>615</v>
      </c>
      <c r="G91" s="106" t="s">
        <v>625</v>
      </c>
      <c r="H91" s="106" t="s">
        <v>819</v>
      </c>
      <c r="I91" s="106"/>
      <c r="J91" s="106" t="s">
        <v>823</v>
      </c>
      <c r="K91" s="106">
        <v>1</v>
      </c>
      <c r="L91" s="106">
        <v>0</v>
      </c>
      <c r="M91" s="106">
        <v>0</v>
      </c>
      <c r="N91" s="106"/>
      <c r="O91" s="106"/>
      <c r="P91" s="106">
        <v>0</v>
      </c>
      <c r="Q91" s="111" t="s">
        <v>846</v>
      </c>
      <c r="S91" s="108">
        <f>IF($A91="","",COUNTIF(BPOworkers!$B$6:$B$105,$A91))</f>
        <v>0</v>
      </c>
      <c r="T91" s="109">
        <f>IF($A91="","",$K91*Config!$C$9)</f>
        <v>8</v>
      </c>
      <c r="U91" s="109">
        <f>IF($A91="","",IF(COUNTIF(Config!$C$21:$C$23,$H91)&gt;0,IFERROR(VALUE(LEFT(TRIM($Q91),FIND(" ",TRIM($Q91)&amp;" ")-1)),0),0))</f>
        <v>0</v>
      </c>
      <c r="V91" s="109">
        <f t="shared" si="12"/>
        <v>8</v>
      </c>
      <c r="W91" s="108">
        <f>IF($A91="",0,IF(AND($C91&gt;=Config!$C$7,$C91&lt;=Config!$C$8),1,0))</f>
        <v>0</v>
      </c>
      <c r="X91" s="108">
        <f>IF($A91="",0,IF(COUNTIF(Config!$C$21:$C$23,$H91)&gt;0,1,0))</f>
        <v>0</v>
      </c>
      <c r="Y91" s="108">
        <f t="shared" si="13"/>
        <v>0</v>
      </c>
      <c r="Z91" s="108" t="str">
        <f t="shared" si="14"/>
        <v/>
      </c>
      <c r="AB91" s="108">
        <f t="shared" si="15"/>
        <v>0</v>
      </c>
      <c r="AC91" s="108">
        <f>IF($A91="",0,IF(AND($AB91=1,COUNTIF($A$2:$A91,$A91)=1),1,0))</f>
        <v>0</v>
      </c>
      <c r="AD91" s="108">
        <f t="shared" si="16"/>
        <v>0</v>
      </c>
      <c r="AE91" s="108" t="str">
        <f t="shared" si="17"/>
        <v/>
      </c>
      <c r="AF91" s="108">
        <f t="shared" si="18"/>
        <v>0</v>
      </c>
      <c r="AG91" s="108">
        <f t="shared" si="19"/>
        <v>0</v>
      </c>
      <c r="AH91" s="112" t="str">
        <f t="shared" si="20"/>
        <v>L. Rincon|20260907|Training - BPO|1.000|Reading: Reading: Chapter 8 – Pooling.
 Quiz Title fundamentals: Comprehensive quiz</v>
      </c>
      <c r="AI91" s="108">
        <f t="shared" si="21"/>
        <v>0</v>
      </c>
      <c r="AJ91" s="108">
        <f t="shared" si="22"/>
        <v>0</v>
      </c>
      <c r="AK91" s="108">
        <f>IF($A91="",0,IF(AND($S91=1,$W91=1,$X91=1,$U91&gt;Config!$C$9),1,0))</f>
        <v>0</v>
      </c>
      <c r="AL91" s="108">
        <f t="shared" si="23"/>
        <v>0</v>
      </c>
    </row>
    <row r="92" spans="1:38" x14ac:dyDescent="0.25">
      <c r="A92" s="106" t="s">
        <v>847</v>
      </c>
      <c r="B92" s="106" t="s">
        <v>614</v>
      </c>
      <c r="C92" s="107">
        <v>46272</v>
      </c>
      <c r="D92" s="106" t="s">
        <v>623</v>
      </c>
      <c r="E92" s="106" t="s">
        <v>624</v>
      </c>
      <c r="F92" s="106" t="s">
        <v>615</v>
      </c>
      <c r="G92" s="106" t="s">
        <v>625</v>
      </c>
      <c r="H92" s="106" t="s">
        <v>819</v>
      </c>
      <c r="I92" s="106"/>
      <c r="J92" s="106" t="s">
        <v>848</v>
      </c>
      <c r="K92" s="106">
        <v>1</v>
      </c>
      <c r="L92" s="106">
        <v>0</v>
      </c>
      <c r="M92" s="106">
        <v>0</v>
      </c>
      <c r="N92" s="106"/>
      <c r="O92" s="106"/>
      <c r="P92" s="106">
        <v>0</v>
      </c>
      <c r="Q92" s="106" t="s">
        <v>849</v>
      </c>
      <c r="S92" s="108">
        <f>IF($A92="","",COUNTIF(BPOworkers!$B$6:$B$105,$A92))</f>
        <v>0</v>
      </c>
      <c r="T92" s="109">
        <f>IF($A92="","",$K92*Config!$C$9)</f>
        <v>8</v>
      </c>
      <c r="U92" s="109">
        <f>IF($A92="","",IF(COUNTIF(Config!$C$21:$C$23,$H92)&gt;0,IFERROR(VALUE(LEFT(TRIM($Q92),FIND(" ",TRIM($Q92)&amp;" ")-1)),0),0))</f>
        <v>0</v>
      </c>
      <c r="V92" s="109">
        <f t="shared" si="12"/>
        <v>8</v>
      </c>
      <c r="W92" s="108">
        <f>IF($A92="",0,IF(AND($C92&gt;=Config!$C$7,$C92&lt;=Config!$C$8),1,0))</f>
        <v>0</v>
      </c>
      <c r="X92" s="108">
        <f>IF($A92="",0,IF(COUNTIF(Config!$C$21:$C$23,$H92)&gt;0,1,0))</f>
        <v>0</v>
      </c>
      <c r="Y92" s="108">
        <f t="shared" si="13"/>
        <v>0</v>
      </c>
      <c r="Z92" s="108" t="str">
        <f t="shared" si="14"/>
        <v/>
      </c>
      <c r="AB92" s="108">
        <f t="shared" si="15"/>
        <v>0</v>
      </c>
      <c r="AC92" s="108">
        <f>IF($A92="",0,IF(AND($AB92=1,COUNTIF($A$2:$A92,$A92)=1),1,0))</f>
        <v>0</v>
      </c>
      <c r="AD92" s="108">
        <f t="shared" si="16"/>
        <v>0</v>
      </c>
      <c r="AE92" s="108" t="str">
        <f t="shared" si="17"/>
        <v/>
      </c>
      <c r="AF92" s="108">
        <f t="shared" si="18"/>
        <v>0</v>
      </c>
      <c r="AG92" s="108">
        <f t="shared" si="19"/>
        <v>0</v>
      </c>
      <c r="AH92" s="110" t="str">
        <f t="shared" si="20"/>
        <v>A. Mojica|20260907|Training - BPO|1.000|Reading: Chapter 8 – Pooling.</v>
      </c>
      <c r="AI92" s="108">
        <f t="shared" si="21"/>
        <v>0</v>
      </c>
      <c r="AJ92" s="108">
        <f t="shared" si="22"/>
        <v>0</v>
      </c>
      <c r="AK92" s="108">
        <f>IF($A92="",0,IF(AND($S92=1,$W92=1,$X92=1,$U92&gt;Config!$C$9),1,0))</f>
        <v>0</v>
      </c>
      <c r="AL92" s="108">
        <f t="shared" si="23"/>
        <v>0</v>
      </c>
    </row>
    <row r="93" spans="1:38" x14ac:dyDescent="0.25">
      <c r="A93" s="106" t="s">
        <v>850</v>
      </c>
      <c r="B93" s="106" t="s">
        <v>614</v>
      </c>
      <c r="C93" s="107">
        <v>46272</v>
      </c>
      <c r="D93" s="106" t="s">
        <v>669</v>
      </c>
      <c r="E93" s="106" t="s">
        <v>669</v>
      </c>
      <c r="F93" s="106" t="s">
        <v>615</v>
      </c>
      <c r="G93" s="106"/>
      <c r="H93" s="106" t="s">
        <v>819</v>
      </c>
      <c r="I93" s="106"/>
      <c r="J93" s="106" t="s">
        <v>823</v>
      </c>
      <c r="K93" s="106">
        <v>1</v>
      </c>
      <c r="L93" s="106">
        <v>0</v>
      </c>
      <c r="M93" s="106">
        <v>0</v>
      </c>
      <c r="N93" s="106"/>
      <c r="O93" s="106"/>
      <c r="P93" s="106">
        <v>0</v>
      </c>
      <c r="Q93" s="106" t="s">
        <v>851</v>
      </c>
      <c r="S93" s="108">
        <f>IF($A93="","",COUNTIF(BPOworkers!$B$6:$B$105,$A93))</f>
        <v>0</v>
      </c>
      <c r="T93" s="109">
        <f>IF($A93="","",$K93*Config!$C$9)</f>
        <v>8</v>
      </c>
      <c r="U93" s="109">
        <f>IF($A93="","",IF(COUNTIF(Config!$C$21:$C$23,$H93)&gt;0,IFERROR(VALUE(LEFT(TRIM($Q93),FIND(" ",TRIM($Q93)&amp;" ")-1)),0),0))</f>
        <v>0</v>
      </c>
      <c r="V93" s="109">
        <f t="shared" si="12"/>
        <v>8</v>
      </c>
      <c r="W93" s="108">
        <f>IF($A93="",0,IF(AND($C93&gt;=Config!$C$7,$C93&lt;=Config!$C$8),1,0))</f>
        <v>0</v>
      </c>
      <c r="X93" s="108">
        <f>IF($A93="",0,IF(COUNTIF(Config!$C$21:$C$23,$H93)&gt;0,1,0))</f>
        <v>0</v>
      </c>
      <c r="Y93" s="108">
        <f t="shared" si="13"/>
        <v>0</v>
      </c>
      <c r="Z93" s="108" t="str">
        <f t="shared" si="14"/>
        <v/>
      </c>
      <c r="AB93" s="108">
        <f t="shared" si="15"/>
        <v>0</v>
      </c>
      <c r="AC93" s="108">
        <f>IF($A93="",0,IF(AND($AB93=1,COUNTIF($A$2:$A93,$A93)=1),1,0))</f>
        <v>0</v>
      </c>
      <c r="AD93" s="108">
        <f t="shared" si="16"/>
        <v>0</v>
      </c>
      <c r="AE93" s="108" t="str">
        <f t="shared" si="17"/>
        <v/>
      </c>
      <c r="AF93" s="108">
        <f t="shared" si="18"/>
        <v>0</v>
      </c>
      <c r="AG93" s="108">
        <f t="shared" si="19"/>
        <v>0</v>
      </c>
      <c r="AH93" s="110" t="str">
        <f t="shared" si="20"/>
        <v>M. Patron|20260907|Training - BPO|1.000|Chapter 8 and activities, quiz.</v>
      </c>
      <c r="AI93" s="108">
        <f t="shared" si="21"/>
        <v>0</v>
      </c>
      <c r="AJ93" s="108">
        <f t="shared" si="22"/>
        <v>0</v>
      </c>
      <c r="AK93" s="108">
        <f>IF($A93="",0,IF(AND($S93=1,$W93=1,$X93=1,$U93&gt;Config!$C$9),1,0))</f>
        <v>0</v>
      </c>
      <c r="AL93" s="108">
        <f t="shared" si="23"/>
        <v>0</v>
      </c>
    </row>
    <row r="94" spans="1:38" x14ac:dyDescent="0.25">
      <c r="A94" s="106" t="s">
        <v>852</v>
      </c>
      <c r="B94" s="106" t="s">
        <v>614</v>
      </c>
      <c r="C94" s="107">
        <v>46272</v>
      </c>
      <c r="D94" s="106" t="s">
        <v>623</v>
      </c>
      <c r="E94" s="106" t="s">
        <v>624</v>
      </c>
      <c r="F94" s="106" t="s">
        <v>615</v>
      </c>
      <c r="G94" s="106" t="s">
        <v>625</v>
      </c>
      <c r="H94" s="106" t="s">
        <v>819</v>
      </c>
      <c r="I94" s="106"/>
      <c r="J94" s="106" t="s">
        <v>823</v>
      </c>
      <c r="K94" s="106">
        <v>1</v>
      </c>
      <c r="L94" s="106">
        <v>0</v>
      </c>
      <c r="M94" s="106">
        <v>0</v>
      </c>
      <c r="N94" s="106"/>
      <c r="O94" s="106"/>
      <c r="P94" s="106">
        <v>0</v>
      </c>
      <c r="Q94" s="106" t="s">
        <v>853</v>
      </c>
      <c r="S94" s="108">
        <f>IF($A94="","",COUNTIF(BPOworkers!$B$6:$B$105,$A94))</f>
        <v>0</v>
      </c>
      <c r="T94" s="109">
        <f>IF($A94="","",$K94*Config!$C$9)</f>
        <v>8</v>
      </c>
      <c r="U94" s="109">
        <f>IF($A94="","",IF(COUNTIF(Config!$C$21:$C$23,$H94)&gt;0,IFERROR(VALUE(LEFT(TRIM($Q94),FIND(" ",TRIM($Q94)&amp;" ")-1)),0),0))</f>
        <v>0</v>
      </c>
      <c r="V94" s="109">
        <f t="shared" si="12"/>
        <v>8</v>
      </c>
      <c r="W94" s="108">
        <f>IF($A94="",0,IF(AND($C94&gt;=Config!$C$7,$C94&lt;=Config!$C$8),1,0))</f>
        <v>0</v>
      </c>
      <c r="X94" s="108">
        <f>IF($A94="",0,IF(COUNTIF(Config!$C$21:$C$23,$H94)&gt;0,1,0))</f>
        <v>0</v>
      </c>
      <c r="Y94" s="108">
        <f t="shared" si="13"/>
        <v>0</v>
      </c>
      <c r="Z94" s="108" t="str">
        <f t="shared" si="14"/>
        <v/>
      </c>
      <c r="AB94" s="108">
        <f t="shared" si="15"/>
        <v>0</v>
      </c>
      <c r="AC94" s="108">
        <f>IF($A94="",0,IF(AND($AB94=1,COUNTIF($A$2:$A94,$A94)=1),1,0))</f>
        <v>0</v>
      </c>
      <c r="AD94" s="108">
        <f t="shared" si="16"/>
        <v>0</v>
      </c>
      <c r="AE94" s="108" t="str">
        <f t="shared" si="17"/>
        <v/>
      </c>
      <c r="AF94" s="108">
        <f t="shared" si="18"/>
        <v>0</v>
      </c>
      <c r="AG94" s="108">
        <f t="shared" si="19"/>
        <v>0</v>
      </c>
      <c r="AH94" s="110" t="str">
        <f t="shared" si="20"/>
        <v>A. Pujana|20260907|Training - BPO|1.000|Completed onboarding training: Read the assigned pages of Chapter 8. Close out the week with a general wrap-up discussio</v>
      </c>
      <c r="AI94" s="108">
        <f t="shared" si="21"/>
        <v>0</v>
      </c>
      <c r="AJ94" s="108">
        <f t="shared" si="22"/>
        <v>0</v>
      </c>
      <c r="AK94" s="108">
        <f>IF($A94="",0,IF(AND($S94=1,$W94=1,$X94=1,$U94&gt;Config!$C$9),1,0))</f>
        <v>0</v>
      </c>
      <c r="AL94" s="108">
        <f t="shared" si="23"/>
        <v>0</v>
      </c>
    </row>
    <row r="95" spans="1:38" x14ac:dyDescent="0.25">
      <c r="A95" s="106" t="s">
        <v>854</v>
      </c>
      <c r="B95" s="106" t="s">
        <v>614</v>
      </c>
      <c r="C95" s="107">
        <v>46272</v>
      </c>
      <c r="D95" s="106" t="s">
        <v>623</v>
      </c>
      <c r="E95" s="106" t="s">
        <v>624</v>
      </c>
      <c r="F95" s="106" t="s">
        <v>615</v>
      </c>
      <c r="G95" s="106" t="s">
        <v>625</v>
      </c>
      <c r="H95" s="106" t="s">
        <v>819</v>
      </c>
      <c r="I95" s="106"/>
      <c r="J95" s="106" t="s">
        <v>855</v>
      </c>
      <c r="K95" s="106">
        <v>0.75</v>
      </c>
      <c r="L95" s="106">
        <v>0</v>
      </c>
      <c r="M95" s="106">
        <v>0</v>
      </c>
      <c r="N95" s="106"/>
      <c r="O95" s="106"/>
      <c r="P95" s="106">
        <v>0</v>
      </c>
      <c r="Q95" s="106" t="s">
        <v>856</v>
      </c>
      <c r="S95" s="108">
        <f>IF($A95="","",COUNTIF(BPOworkers!$B$6:$B$105,$A95))</f>
        <v>0</v>
      </c>
      <c r="T95" s="109">
        <f>IF($A95="","",$K95*Config!$C$9)</f>
        <v>6</v>
      </c>
      <c r="U95" s="109">
        <f>IF($A95="","",IF(COUNTIF(Config!$C$21:$C$23,$H95)&gt;0,IFERROR(VALUE(LEFT(TRIM($Q95),FIND(" ",TRIM($Q95)&amp;" ")-1)),0),0))</f>
        <v>0</v>
      </c>
      <c r="V95" s="109">
        <f t="shared" si="12"/>
        <v>6</v>
      </c>
      <c r="W95" s="108">
        <f>IF($A95="",0,IF(AND($C95&gt;=Config!$C$7,$C95&lt;=Config!$C$8),1,0))</f>
        <v>0</v>
      </c>
      <c r="X95" s="108">
        <f>IF($A95="",0,IF(COUNTIF(Config!$C$21:$C$23,$H95)&gt;0,1,0))</f>
        <v>0</v>
      </c>
      <c r="Y95" s="108">
        <f t="shared" si="13"/>
        <v>0</v>
      </c>
      <c r="Z95" s="108" t="str">
        <f t="shared" si="14"/>
        <v/>
      </c>
      <c r="AB95" s="108">
        <f t="shared" si="15"/>
        <v>0</v>
      </c>
      <c r="AC95" s="108">
        <f>IF($A95="",0,IF(AND($AB95=1,COUNTIF($A$2:$A95,$A95)=1),1,0))</f>
        <v>0</v>
      </c>
      <c r="AD95" s="108">
        <f t="shared" si="16"/>
        <v>0</v>
      </c>
      <c r="AE95" s="108" t="str">
        <f t="shared" si="17"/>
        <v/>
      </c>
      <c r="AF95" s="108">
        <f t="shared" si="18"/>
        <v>0</v>
      </c>
      <c r="AG95" s="108">
        <f t="shared" si="19"/>
        <v>0</v>
      </c>
      <c r="AH95" s="110" t="str">
        <f t="shared" si="20"/>
        <v>L. Cardenas|20260907|Training - BPO|0.750|Chapter 8: Pooling</v>
      </c>
      <c r="AI95" s="108">
        <f t="shared" si="21"/>
        <v>0</v>
      </c>
      <c r="AJ95" s="108">
        <f t="shared" si="22"/>
        <v>0</v>
      </c>
      <c r="AK95" s="108">
        <f>IF($A95="",0,IF(AND($S95=1,$W95=1,$X95=1,$U95&gt;Config!$C$9),1,0))</f>
        <v>0</v>
      </c>
      <c r="AL95" s="108">
        <f t="shared" si="23"/>
        <v>0</v>
      </c>
    </row>
    <row r="96" spans="1:38" x14ac:dyDescent="0.25">
      <c r="A96" s="106" t="s">
        <v>854</v>
      </c>
      <c r="B96" s="106" t="s">
        <v>614</v>
      </c>
      <c r="C96" s="107">
        <v>46272</v>
      </c>
      <c r="D96" s="106" t="s">
        <v>623</v>
      </c>
      <c r="E96" s="106" t="s">
        <v>624</v>
      </c>
      <c r="F96" s="106" t="s">
        <v>615</v>
      </c>
      <c r="G96" s="106" t="s">
        <v>625</v>
      </c>
      <c r="H96" s="106" t="s">
        <v>819</v>
      </c>
      <c r="I96" s="106"/>
      <c r="J96" s="106" t="s">
        <v>855</v>
      </c>
      <c r="K96" s="106">
        <v>0.25</v>
      </c>
      <c r="L96" s="106">
        <v>0</v>
      </c>
      <c r="M96" s="106">
        <v>0</v>
      </c>
      <c r="N96" s="106"/>
      <c r="O96" s="106"/>
      <c r="P96" s="106">
        <v>0</v>
      </c>
      <c r="Q96" s="106" t="s">
        <v>857</v>
      </c>
      <c r="S96" s="108">
        <f>IF($A96="","",COUNTIF(BPOworkers!$B$6:$B$105,$A96))</f>
        <v>0</v>
      </c>
      <c r="T96" s="109">
        <f>IF($A96="","",$K96*Config!$C$9)</f>
        <v>2</v>
      </c>
      <c r="U96" s="109">
        <f>IF($A96="","",IF(COUNTIF(Config!$C$21:$C$23,$H96)&gt;0,IFERROR(VALUE(LEFT(TRIM($Q96),FIND(" ",TRIM($Q96)&amp;" ")-1)),0),0))</f>
        <v>0</v>
      </c>
      <c r="V96" s="109">
        <f t="shared" si="12"/>
        <v>2</v>
      </c>
      <c r="W96" s="108">
        <f>IF($A96="",0,IF(AND($C96&gt;=Config!$C$7,$C96&lt;=Config!$C$8),1,0))</f>
        <v>0</v>
      </c>
      <c r="X96" s="108">
        <f>IF($A96="",0,IF(COUNTIF(Config!$C$21:$C$23,$H96)&gt;0,1,0))</f>
        <v>0</v>
      </c>
      <c r="Y96" s="108">
        <f t="shared" si="13"/>
        <v>0</v>
      </c>
      <c r="Z96" s="108" t="str">
        <f t="shared" si="14"/>
        <v/>
      </c>
      <c r="AB96" s="108">
        <f t="shared" si="15"/>
        <v>0</v>
      </c>
      <c r="AC96" s="108">
        <f>IF($A96="",0,IF(AND($AB96=1,COUNTIF($A$2:$A96,$A96)=1),1,0))</f>
        <v>0</v>
      </c>
      <c r="AD96" s="108">
        <f t="shared" si="16"/>
        <v>0</v>
      </c>
      <c r="AE96" s="108" t="str">
        <f t="shared" si="17"/>
        <v/>
      </c>
      <c r="AF96" s="108">
        <f t="shared" si="18"/>
        <v>0</v>
      </c>
      <c r="AG96" s="108">
        <f t="shared" si="19"/>
        <v>0</v>
      </c>
      <c r="AH96" s="110" t="str">
        <f t="shared" si="20"/>
        <v>L. Cardenas|20260907|Training - BPO|0.250|Meeting about tracts</v>
      </c>
      <c r="AI96" s="108">
        <f t="shared" si="21"/>
        <v>0</v>
      </c>
      <c r="AJ96" s="108">
        <f t="shared" si="22"/>
        <v>0</v>
      </c>
      <c r="AK96" s="108">
        <f>IF($A96="",0,IF(AND($S96=1,$W96=1,$X96=1,$U96&gt;Config!$C$9),1,0))</f>
        <v>0</v>
      </c>
      <c r="AL96" s="108">
        <f t="shared" si="23"/>
        <v>0</v>
      </c>
    </row>
    <row r="97" spans="1:38" x14ac:dyDescent="0.25">
      <c r="A97" s="106" t="s">
        <v>858</v>
      </c>
      <c r="B97" s="106" t="s">
        <v>614</v>
      </c>
      <c r="C97" s="107">
        <v>46272</v>
      </c>
      <c r="D97" s="106" t="s">
        <v>623</v>
      </c>
      <c r="E97" s="106" t="s">
        <v>624</v>
      </c>
      <c r="F97" s="106" t="s">
        <v>615</v>
      </c>
      <c r="G97" s="106" t="s">
        <v>625</v>
      </c>
      <c r="H97" s="106" t="s">
        <v>819</v>
      </c>
      <c r="I97" s="106"/>
      <c r="J97" s="106" t="s">
        <v>823</v>
      </c>
      <c r="K97" s="106">
        <v>1</v>
      </c>
      <c r="L97" s="106">
        <v>0</v>
      </c>
      <c r="M97" s="106">
        <v>0</v>
      </c>
      <c r="N97" s="106"/>
      <c r="O97" s="106"/>
      <c r="P97" s="106">
        <v>0</v>
      </c>
      <c r="Q97" s="106" t="s">
        <v>842</v>
      </c>
      <c r="S97" s="108">
        <f>IF($A97="","",COUNTIF(BPOworkers!$B$6:$B$105,$A97))</f>
        <v>0</v>
      </c>
      <c r="T97" s="109">
        <f>IF($A97="","",$K97*Config!$C$9)</f>
        <v>8</v>
      </c>
      <c r="U97" s="109">
        <f>IF($A97="","",IF(COUNTIF(Config!$C$21:$C$23,$H97)&gt;0,IFERROR(VALUE(LEFT(TRIM($Q97),FIND(" ",TRIM($Q97)&amp;" ")-1)),0),0))</f>
        <v>0</v>
      </c>
      <c r="V97" s="109">
        <f t="shared" si="12"/>
        <v>8</v>
      </c>
      <c r="W97" s="108">
        <f>IF($A97="",0,IF(AND($C97&gt;=Config!$C$7,$C97&lt;=Config!$C$8),1,0))</f>
        <v>0</v>
      </c>
      <c r="X97" s="108">
        <f>IF($A97="",0,IF(COUNTIF(Config!$C$21:$C$23,$H97)&gt;0,1,0))</f>
        <v>0</v>
      </c>
      <c r="Y97" s="108">
        <f t="shared" si="13"/>
        <v>0</v>
      </c>
      <c r="Z97" s="108" t="str">
        <f t="shared" si="14"/>
        <v/>
      </c>
      <c r="AB97" s="108">
        <f t="shared" si="15"/>
        <v>0</v>
      </c>
      <c r="AC97" s="108">
        <f>IF($A97="",0,IF(AND($AB97=1,COUNTIF($A$2:$A97,$A97)=1),1,0))</f>
        <v>0</v>
      </c>
      <c r="AD97" s="108">
        <f t="shared" si="16"/>
        <v>0</v>
      </c>
      <c r="AE97" s="108" t="str">
        <f t="shared" si="17"/>
        <v/>
      </c>
      <c r="AF97" s="108">
        <f t="shared" si="18"/>
        <v>0</v>
      </c>
      <c r="AG97" s="108">
        <f t="shared" si="19"/>
        <v>0</v>
      </c>
      <c r="AH97" s="110" t="str">
        <f t="shared" si="20"/>
        <v>S. Torres|20260907|Training - BPO|1.000|Read the assigned pages of Chapter 8. Close out the week with a general wrap-up discussion of the readings.</v>
      </c>
      <c r="AI97" s="108">
        <f t="shared" si="21"/>
        <v>0</v>
      </c>
      <c r="AJ97" s="108">
        <f t="shared" si="22"/>
        <v>0</v>
      </c>
      <c r="AK97" s="108">
        <f>IF($A97="",0,IF(AND($S97=1,$W97=1,$X97=1,$U97&gt;Config!$C$9),1,0))</f>
        <v>0</v>
      </c>
      <c r="AL97" s="108">
        <f t="shared" si="23"/>
        <v>0</v>
      </c>
    </row>
    <row r="98" spans="1:38" x14ac:dyDescent="0.25">
      <c r="A98" s="106" t="s">
        <v>859</v>
      </c>
      <c r="B98" s="106" t="s">
        <v>614</v>
      </c>
      <c r="C98" s="107">
        <v>46272</v>
      </c>
      <c r="D98" s="106" t="s">
        <v>623</v>
      </c>
      <c r="E98" s="106" t="s">
        <v>624</v>
      </c>
      <c r="F98" s="106" t="s">
        <v>615</v>
      </c>
      <c r="G98" s="106" t="s">
        <v>625</v>
      </c>
      <c r="H98" s="106" t="s">
        <v>819</v>
      </c>
      <c r="I98" s="106" t="s">
        <v>831</v>
      </c>
      <c r="J98" s="106" t="s">
        <v>823</v>
      </c>
      <c r="K98" s="106">
        <v>1</v>
      </c>
      <c r="L98" s="106">
        <v>0</v>
      </c>
      <c r="M98" s="106">
        <v>0</v>
      </c>
      <c r="N98" s="106"/>
      <c r="O98" s="106"/>
      <c r="P98" s="106">
        <v>0</v>
      </c>
      <c r="Q98" s="106" t="s">
        <v>860</v>
      </c>
      <c r="S98" s="108">
        <f>IF($A98="","",COUNTIF(BPOworkers!$B$6:$B$105,$A98))</f>
        <v>0</v>
      </c>
      <c r="T98" s="109">
        <f>IF($A98="","",$K98*Config!$C$9)</f>
        <v>8</v>
      </c>
      <c r="U98" s="109">
        <f>IF($A98="","",IF(COUNTIF(Config!$C$21:$C$23,$H98)&gt;0,IFERROR(VALUE(LEFT(TRIM($Q98),FIND(" ",TRIM($Q98)&amp;" ")-1)),0),0))</f>
        <v>0</v>
      </c>
      <c r="V98" s="109">
        <f t="shared" si="12"/>
        <v>8</v>
      </c>
      <c r="W98" s="108">
        <f>IF($A98="",0,IF(AND($C98&gt;=Config!$C$7,$C98&lt;=Config!$C$8),1,0))</f>
        <v>0</v>
      </c>
      <c r="X98" s="108">
        <f>IF($A98="",0,IF(COUNTIF(Config!$C$21:$C$23,$H98)&gt;0,1,0))</f>
        <v>0</v>
      </c>
      <c r="Y98" s="108">
        <f t="shared" si="13"/>
        <v>0</v>
      </c>
      <c r="Z98" s="108" t="str">
        <f t="shared" si="14"/>
        <v/>
      </c>
      <c r="AB98" s="108">
        <f t="shared" si="15"/>
        <v>0</v>
      </c>
      <c r="AC98" s="108">
        <f>IF($A98="",0,IF(AND($AB98=1,COUNTIF($A$2:$A98,$A98)=1),1,0))</f>
        <v>0</v>
      </c>
      <c r="AD98" s="108">
        <f t="shared" si="16"/>
        <v>0</v>
      </c>
      <c r="AE98" s="108" t="str">
        <f t="shared" si="17"/>
        <v/>
      </c>
      <c r="AF98" s="108">
        <f t="shared" si="18"/>
        <v>0</v>
      </c>
      <c r="AG98" s="108">
        <f t="shared" si="19"/>
        <v>0</v>
      </c>
      <c r="AH98" s="110" t="str">
        <f t="shared" si="20"/>
        <v>N. Parra|20260907|Training - BPO|1.000|Reading and discussion of Chapter 8 - Pooling from the book AAPL Oil &amp; Gas Land Reference Volume &amp; Study Guide. Introduc</v>
      </c>
      <c r="AI98" s="108">
        <f t="shared" si="21"/>
        <v>0</v>
      </c>
      <c r="AJ98" s="108">
        <f t="shared" si="22"/>
        <v>0</v>
      </c>
      <c r="AK98" s="108">
        <f>IF($A98="",0,IF(AND($S98=1,$W98=1,$X98=1,$U98&gt;Config!$C$9),1,0))</f>
        <v>0</v>
      </c>
      <c r="AL98" s="108">
        <f t="shared" si="23"/>
        <v>0</v>
      </c>
    </row>
    <row r="99" spans="1:38" x14ac:dyDescent="0.25">
      <c r="A99" s="106" t="s">
        <v>634</v>
      </c>
      <c r="B99" s="106" t="s">
        <v>614</v>
      </c>
      <c r="C99" s="107">
        <v>46271</v>
      </c>
      <c r="D99" s="106" t="s">
        <v>635</v>
      </c>
      <c r="E99" s="106" t="s">
        <v>636</v>
      </c>
      <c r="F99" s="106" t="s">
        <v>637</v>
      </c>
      <c r="G99" s="106" t="s">
        <v>638</v>
      </c>
      <c r="H99" s="106" t="s">
        <v>639</v>
      </c>
      <c r="I99" s="106"/>
      <c r="J99" s="106"/>
      <c r="K99" s="106">
        <v>0.5</v>
      </c>
      <c r="L99" s="106">
        <v>0</v>
      </c>
      <c r="M99" s="106">
        <v>0</v>
      </c>
      <c r="N99" s="106"/>
      <c r="O99" s="106"/>
      <c r="P99" s="106">
        <v>0</v>
      </c>
      <c r="Q99" s="106" t="s">
        <v>861</v>
      </c>
      <c r="S99" s="108">
        <f>IF($A99="","",COUNTIF(BPOworkers!$B$6:$B$105,$A99))</f>
        <v>0</v>
      </c>
      <c r="T99" s="109">
        <f>IF($A99="","",$K99*Config!$C$9)</f>
        <v>4</v>
      </c>
      <c r="U99" s="109">
        <f>IF($A99="","",IF(COUNTIF(Config!$C$21:$C$23,$H99)&gt;0,IFERROR(VALUE(LEFT(TRIM($Q99),FIND(" ",TRIM($Q99)&amp;" ")-1)),0),0))</f>
        <v>0</v>
      </c>
      <c r="V99" s="109">
        <f t="shared" si="12"/>
        <v>4</v>
      </c>
      <c r="W99" s="108">
        <f>IF($A99="",0,IF(AND($C99&gt;=Config!$C$7,$C99&lt;=Config!$C$8),1,0))</f>
        <v>0</v>
      </c>
      <c r="X99" s="108">
        <f>IF($A99="",0,IF(COUNTIF(Config!$C$21:$C$23,$H99)&gt;0,1,0))</f>
        <v>0</v>
      </c>
      <c r="Y99" s="108">
        <f t="shared" si="13"/>
        <v>0</v>
      </c>
      <c r="Z99" s="108" t="str">
        <f t="shared" si="14"/>
        <v/>
      </c>
      <c r="AB99" s="108">
        <f t="shared" si="15"/>
        <v>0</v>
      </c>
      <c r="AC99" s="108">
        <f>IF($A99="",0,IF(AND($AB99=1,COUNTIF($A$2:$A99,$A99)=1),1,0))</f>
        <v>0</v>
      </c>
      <c r="AD99" s="108">
        <f t="shared" si="16"/>
        <v>0</v>
      </c>
      <c r="AE99" s="108" t="str">
        <f t="shared" si="17"/>
        <v/>
      </c>
      <c r="AF99" s="108">
        <f t="shared" si="18"/>
        <v>0</v>
      </c>
      <c r="AG99" s="108">
        <f t="shared" si="19"/>
        <v>0</v>
      </c>
      <c r="AH99" s="110" t="str">
        <f t="shared" si="20"/>
        <v xml:space="preserve">L. Bailiff|20260906|Review|0.500|Reviewed AOI for Section 28, Township 19 South, Range 34 East in Lea County, NM associated with Federal Lease NM057285. </v>
      </c>
      <c r="AI99" s="108">
        <f t="shared" si="21"/>
        <v>0</v>
      </c>
      <c r="AJ99" s="108">
        <f t="shared" si="22"/>
        <v>0</v>
      </c>
      <c r="AK99" s="108">
        <f>IF($A99="",0,IF(AND($S99=1,$W99=1,$X99=1,$U99&gt;Config!$C$9),1,0))</f>
        <v>0</v>
      </c>
      <c r="AL99" s="108">
        <f t="shared" si="23"/>
        <v>0</v>
      </c>
    </row>
    <row r="100" spans="1:38" x14ac:dyDescent="0.25">
      <c r="A100" s="106" t="s">
        <v>648</v>
      </c>
      <c r="B100" s="106" t="s">
        <v>614</v>
      </c>
      <c r="C100" s="107">
        <v>46271</v>
      </c>
      <c r="D100" s="106" t="s">
        <v>694</v>
      </c>
      <c r="E100" s="106" t="s">
        <v>862</v>
      </c>
      <c r="F100" s="106" t="s">
        <v>766</v>
      </c>
      <c r="G100" s="106" t="s">
        <v>863</v>
      </c>
      <c r="H100" s="106" t="s">
        <v>639</v>
      </c>
      <c r="I100" s="106"/>
      <c r="J100" s="106"/>
      <c r="K100" s="106">
        <v>0.25</v>
      </c>
      <c r="L100" s="106">
        <v>0</v>
      </c>
      <c r="M100" s="106">
        <v>0</v>
      </c>
      <c r="N100" s="106"/>
      <c r="O100" s="106"/>
      <c r="P100" s="106">
        <v>0</v>
      </c>
      <c r="Q100" s="106" t="s">
        <v>864</v>
      </c>
      <c r="S100" s="108">
        <f>IF($A100="","",COUNTIF(BPOworkers!$B$6:$B$105,$A100))</f>
        <v>0</v>
      </c>
      <c r="T100" s="109">
        <f>IF($A100="","",$K100*Config!$C$9)</f>
        <v>2</v>
      </c>
      <c r="U100" s="109">
        <f>IF($A100="","",IF(COUNTIF(Config!$C$21:$C$23,$H100)&gt;0,IFERROR(VALUE(LEFT(TRIM($Q100),FIND(" ",TRIM($Q100)&amp;" ")-1)),0),0))</f>
        <v>0</v>
      </c>
      <c r="V100" s="109">
        <f t="shared" si="12"/>
        <v>2</v>
      </c>
      <c r="W100" s="108">
        <f>IF($A100="",0,IF(AND($C100&gt;=Config!$C$7,$C100&lt;=Config!$C$8),1,0))</f>
        <v>0</v>
      </c>
      <c r="X100" s="108">
        <f>IF($A100="",0,IF(COUNTIF(Config!$C$21:$C$23,$H100)&gt;0,1,0))</f>
        <v>0</v>
      </c>
      <c r="Y100" s="108">
        <f t="shared" si="13"/>
        <v>0</v>
      </c>
      <c r="Z100" s="108" t="str">
        <f t="shared" si="14"/>
        <v/>
      </c>
      <c r="AB100" s="108">
        <f t="shared" si="15"/>
        <v>0</v>
      </c>
      <c r="AC100" s="108">
        <f>IF($A100="",0,IF(AND($AB100=1,COUNTIF($A$2:$A100,$A100)=1),1,0))</f>
        <v>0</v>
      </c>
      <c r="AD100" s="108">
        <f t="shared" si="16"/>
        <v>0</v>
      </c>
      <c r="AE100" s="108" t="str">
        <f t="shared" si="17"/>
        <v/>
      </c>
      <c r="AF100" s="108">
        <f t="shared" si="18"/>
        <v>0</v>
      </c>
      <c r="AG100" s="108">
        <f t="shared" si="19"/>
        <v>0</v>
      </c>
      <c r="AH100" s="110" t="str">
        <f t="shared" si="20"/>
        <v>M. Witheridge|20260906|Review|0.250|Pulled index from OnBase and VmWare and continued reviewing 34-4S-4W | Dewey Max and Cynthia Jessen Family Trust SIV | A</v>
      </c>
      <c r="AI100" s="108">
        <f t="shared" si="21"/>
        <v>0</v>
      </c>
      <c r="AJ100" s="108">
        <f t="shared" si="22"/>
        <v>0</v>
      </c>
      <c r="AK100" s="108">
        <f>IF($A100="",0,IF(AND($S100=1,$W100=1,$X100=1,$U100&gt;Config!$C$9),1,0))</f>
        <v>0</v>
      </c>
      <c r="AL100" s="108">
        <f t="shared" si="23"/>
        <v>0</v>
      </c>
    </row>
    <row r="101" spans="1:38" x14ac:dyDescent="0.25">
      <c r="A101" s="106" t="s">
        <v>648</v>
      </c>
      <c r="B101" s="106" t="s">
        <v>614</v>
      </c>
      <c r="C101" s="107">
        <v>46271</v>
      </c>
      <c r="D101" s="106" t="s">
        <v>529</v>
      </c>
      <c r="E101" s="106" t="s">
        <v>529</v>
      </c>
      <c r="F101" s="106" t="s">
        <v>615</v>
      </c>
      <c r="G101" s="106"/>
      <c r="H101" s="106" t="s">
        <v>529</v>
      </c>
      <c r="I101" s="106"/>
      <c r="J101" s="106"/>
      <c r="K101" s="106">
        <v>0</v>
      </c>
      <c r="L101" s="106">
        <v>0</v>
      </c>
      <c r="M101" s="106">
        <v>0</v>
      </c>
      <c r="N101" s="106"/>
      <c r="O101" s="106"/>
      <c r="P101" s="106">
        <v>0</v>
      </c>
      <c r="Q101" s="106" t="s">
        <v>865</v>
      </c>
      <c r="S101" s="108">
        <f>IF($A101="","",COUNTIF(BPOworkers!$B$6:$B$105,$A101))</f>
        <v>0</v>
      </c>
      <c r="T101" s="109">
        <f>IF($A101="","",$K101*Config!$C$9)</f>
        <v>0</v>
      </c>
      <c r="U101" s="109">
        <f>IF($A101="","",IF(COUNTIF(Config!$C$21:$C$23,$H101)&gt;0,IFERROR(VALUE(LEFT(TRIM($Q101),FIND(" ",TRIM($Q101)&amp;" ")-1)),0),0))</f>
        <v>6</v>
      </c>
      <c r="V101" s="109">
        <f t="shared" si="12"/>
        <v>6</v>
      </c>
      <c r="W101" s="108">
        <f>IF($A101="",0,IF(AND($C101&gt;=Config!$C$7,$C101&lt;=Config!$C$8),1,0))</f>
        <v>0</v>
      </c>
      <c r="X101" s="108">
        <f>IF($A101="",0,IF(COUNTIF(Config!$C$21:$C$23,$H101)&gt;0,1,0))</f>
        <v>1</v>
      </c>
      <c r="Y101" s="108">
        <f t="shared" si="13"/>
        <v>0</v>
      </c>
      <c r="Z101" s="108" t="str">
        <f t="shared" si="14"/>
        <v/>
      </c>
      <c r="AB101" s="108">
        <f t="shared" si="15"/>
        <v>0</v>
      </c>
      <c r="AC101" s="108">
        <f>IF($A101="",0,IF(AND($AB101=1,COUNTIF($A$2:$A101,$A101)=1),1,0))</f>
        <v>0</v>
      </c>
      <c r="AD101" s="108">
        <f t="shared" si="16"/>
        <v>0</v>
      </c>
      <c r="AE101" s="108" t="str">
        <f t="shared" si="17"/>
        <v/>
      </c>
      <c r="AF101" s="108">
        <f t="shared" si="18"/>
        <v>0</v>
      </c>
      <c r="AG101" s="108">
        <f t="shared" si="19"/>
        <v>0</v>
      </c>
      <c r="AH101" s="110" t="str">
        <f t="shared" si="20"/>
        <v>M. Witheridge|20260906|Time Off|0.000|6 hours unpaid</v>
      </c>
      <c r="AI101" s="108">
        <f t="shared" si="21"/>
        <v>0</v>
      </c>
      <c r="AJ101" s="108">
        <f t="shared" si="22"/>
        <v>0</v>
      </c>
      <c r="AK101" s="108">
        <f>IF($A101="",0,IF(AND($S101=1,$W101=1,$X101=1,$U101&gt;Config!$C$9),1,0))</f>
        <v>0</v>
      </c>
      <c r="AL101" s="108">
        <f t="shared" si="23"/>
        <v>0</v>
      </c>
    </row>
    <row r="102" spans="1:38" x14ac:dyDescent="0.25">
      <c r="A102" s="106" t="s">
        <v>634</v>
      </c>
      <c r="B102" s="106" t="s">
        <v>614</v>
      </c>
      <c r="C102" s="107">
        <v>46270</v>
      </c>
      <c r="D102" s="106" t="s">
        <v>635</v>
      </c>
      <c r="E102" s="106" t="s">
        <v>636</v>
      </c>
      <c r="F102" s="106" t="s">
        <v>637</v>
      </c>
      <c r="G102" s="106" t="s">
        <v>638</v>
      </c>
      <c r="H102" s="106" t="s">
        <v>639</v>
      </c>
      <c r="I102" s="106"/>
      <c r="J102" s="106"/>
      <c r="K102" s="106">
        <v>1</v>
      </c>
      <c r="L102" s="106">
        <v>0</v>
      </c>
      <c r="M102" s="106">
        <v>0</v>
      </c>
      <c r="N102" s="106"/>
      <c r="O102" s="106"/>
      <c r="P102" s="106">
        <v>0</v>
      </c>
      <c r="Q102" s="106" t="s">
        <v>861</v>
      </c>
      <c r="S102" s="108">
        <f>IF($A102="","",COUNTIF(BPOworkers!$B$6:$B$105,$A102))</f>
        <v>0</v>
      </c>
      <c r="T102" s="109">
        <f>IF($A102="","",$K102*Config!$C$9)</f>
        <v>8</v>
      </c>
      <c r="U102" s="109">
        <f>IF($A102="","",IF(COUNTIF(Config!$C$21:$C$23,$H102)&gt;0,IFERROR(VALUE(LEFT(TRIM($Q102),FIND(" ",TRIM($Q102)&amp;" ")-1)),0),0))</f>
        <v>0</v>
      </c>
      <c r="V102" s="109">
        <f t="shared" si="12"/>
        <v>8</v>
      </c>
      <c r="W102" s="108">
        <f>IF($A102="",0,IF(AND($C102&gt;=Config!$C$7,$C102&lt;=Config!$C$8),1,0))</f>
        <v>0</v>
      </c>
      <c r="X102" s="108">
        <f>IF($A102="",0,IF(COUNTIF(Config!$C$21:$C$23,$H102)&gt;0,1,0))</f>
        <v>0</v>
      </c>
      <c r="Y102" s="108">
        <f t="shared" si="13"/>
        <v>0</v>
      </c>
      <c r="Z102" s="108" t="str">
        <f t="shared" si="14"/>
        <v/>
      </c>
      <c r="AB102" s="108">
        <f t="shared" si="15"/>
        <v>0</v>
      </c>
      <c r="AC102" s="108">
        <f>IF($A102="",0,IF(AND($AB102=1,COUNTIF($A$2:$A102,$A102)=1),1,0))</f>
        <v>0</v>
      </c>
      <c r="AD102" s="108">
        <f t="shared" si="16"/>
        <v>0</v>
      </c>
      <c r="AE102" s="108" t="str">
        <f t="shared" si="17"/>
        <v/>
      </c>
      <c r="AF102" s="108">
        <f t="shared" si="18"/>
        <v>0</v>
      </c>
      <c r="AG102" s="108">
        <f t="shared" si="19"/>
        <v>0</v>
      </c>
      <c r="AH102" s="110" t="str">
        <f t="shared" si="20"/>
        <v xml:space="preserve">L. Bailiff|20260905|Review|1.000|Reviewed AOI for Section 28, Township 19 South, Range 34 East in Lea County, NM associated with Federal Lease NM057285. </v>
      </c>
      <c r="AI102" s="108">
        <f t="shared" si="21"/>
        <v>0</v>
      </c>
      <c r="AJ102" s="108">
        <f t="shared" si="22"/>
        <v>0</v>
      </c>
      <c r="AK102" s="108">
        <f>IF($A102="",0,IF(AND($S102=1,$W102=1,$X102=1,$U102&gt;Config!$C$9),1,0))</f>
        <v>0</v>
      </c>
      <c r="AL102" s="108">
        <f t="shared" si="23"/>
        <v>0</v>
      </c>
    </row>
    <row r="103" spans="1:38" x14ac:dyDescent="0.25">
      <c r="A103" s="106" t="s">
        <v>759</v>
      </c>
      <c r="B103" s="106" t="s">
        <v>618</v>
      </c>
      <c r="C103" s="107">
        <v>46270</v>
      </c>
      <c r="D103" s="106" t="s">
        <v>712</v>
      </c>
      <c r="E103" s="106" t="s">
        <v>713</v>
      </c>
      <c r="F103" s="106" t="s">
        <v>714</v>
      </c>
      <c r="G103" s="106" t="s">
        <v>715</v>
      </c>
      <c r="H103" s="106" t="s">
        <v>639</v>
      </c>
      <c r="I103" s="106"/>
      <c r="J103" s="106"/>
      <c r="K103" s="106">
        <v>0.5</v>
      </c>
      <c r="L103" s="106">
        <v>0</v>
      </c>
      <c r="M103" s="106">
        <v>0</v>
      </c>
      <c r="N103" s="106"/>
      <c r="O103" s="106"/>
      <c r="P103" s="106">
        <v>0</v>
      </c>
      <c r="Q103" s="106" t="s">
        <v>639</v>
      </c>
      <c r="S103" s="108">
        <f>IF($A103="","",COUNTIF(BPOworkers!$B$6:$B$105,$A103))</f>
        <v>0</v>
      </c>
      <c r="T103" s="109">
        <f>IF($A103="","",$K103*Config!$C$9)</f>
        <v>4</v>
      </c>
      <c r="U103" s="109">
        <f>IF($A103="","",IF(COUNTIF(Config!$C$21:$C$23,$H103)&gt;0,IFERROR(VALUE(LEFT(TRIM($Q103),FIND(" ",TRIM($Q103)&amp;" ")-1)),0),0))</f>
        <v>0</v>
      </c>
      <c r="V103" s="109">
        <f t="shared" si="12"/>
        <v>4</v>
      </c>
      <c r="W103" s="108">
        <f>IF($A103="",0,IF(AND($C103&gt;=Config!$C$7,$C103&lt;=Config!$C$8),1,0))</f>
        <v>0</v>
      </c>
      <c r="X103" s="108">
        <f>IF($A103="",0,IF(COUNTIF(Config!$C$21:$C$23,$H103)&gt;0,1,0))</f>
        <v>0</v>
      </c>
      <c r="Y103" s="108">
        <f t="shared" si="13"/>
        <v>0</v>
      </c>
      <c r="Z103" s="108" t="str">
        <f t="shared" si="14"/>
        <v/>
      </c>
      <c r="AB103" s="108">
        <f t="shared" si="15"/>
        <v>0</v>
      </c>
      <c r="AC103" s="108">
        <f>IF($A103="",0,IF(AND($AB103=1,COUNTIF($A$2:$A103,$A103)=1),1,0))</f>
        <v>0</v>
      </c>
      <c r="AD103" s="108">
        <f t="shared" si="16"/>
        <v>0</v>
      </c>
      <c r="AE103" s="108" t="str">
        <f t="shared" si="17"/>
        <v/>
      </c>
      <c r="AF103" s="108">
        <f t="shared" si="18"/>
        <v>0</v>
      </c>
      <c r="AG103" s="108">
        <f t="shared" si="19"/>
        <v>0</v>
      </c>
      <c r="AH103" s="110" t="str">
        <f t="shared" si="20"/>
        <v>T. Aguillard|20260905|Review|0.500|Review</v>
      </c>
      <c r="AI103" s="108">
        <f t="shared" si="21"/>
        <v>0</v>
      </c>
      <c r="AJ103" s="108">
        <f t="shared" si="22"/>
        <v>0</v>
      </c>
      <c r="AK103" s="108">
        <f>IF($A103="",0,IF(AND($S103=1,$W103=1,$X103=1,$U103&gt;Config!$C$9),1,0))</f>
        <v>0</v>
      </c>
      <c r="AL103" s="108">
        <f t="shared" si="23"/>
        <v>0</v>
      </c>
    </row>
    <row r="104" spans="1:38" x14ac:dyDescent="0.25">
      <c r="A104" s="106" t="s">
        <v>759</v>
      </c>
      <c r="B104" s="106" t="s">
        <v>618</v>
      </c>
      <c r="C104" s="107">
        <v>46270</v>
      </c>
      <c r="D104" s="106" t="s">
        <v>529</v>
      </c>
      <c r="E104" s="106" t="s">
        <v>529</v>
      </c>
      <c r="F104" s="106" t="s">
        <v>615</v>
      </c>
      <c r="G104" s="106"/>
      <c r="H104" s="106" t="s">
        <v>529</v>
      </c>
      <c r="I104" s="106"/>
      <c r="J104" s="106"/>
      <c r="K104" s="106">
        <v>0</v>
      </c>
      <c r="L104" s="106">
        <v>0</v>
      </c>
      <c r="M104" s="106">
        <v>0</v>
      </c>
      <c r="N104" s="106"/>
      <c r="O104" s="106"/>
      <c r="P104" s="106">
        <v>0</v>
      </c>
      <c r="Q104" s="106" t="s">
        <v>760</v>
      </c>
      <c r="S104" s="108">
        <f>IF($A104="","",COUNTIF(BPOworkers!$B$6:$B$105,$A104))</f>
        <v>0</v>
      </c>
      <c r="T104" s="109">
        <f>IF($A104="","",$K104*Config!$C$9)</f>
        <v>0</v>
      </c>
      <c r="U104" s="109">
        <f>IF($A104="","",IF(COUNTIF(Config!$C$21:$C$23,$H104)&gt;0,IFERROR(VALUE(LEFT(TRIM($Q104),FIND(" ",TRIM($Q104)&amp;" ")-1)),0),0))</f>
        <v>4</v>
      </c>
      <c r="V104" s="109">
        <f t="shared" si="12"/>
        <v>4</v>
      </c>
      <c r="W104" s="108">
        <f>IF($A104="",0,IF(AND($C104&gt;=Config!$C$7,$C104&lt;=Config!$C$8),1,0))</f>
        <v>0</v>
      </c>
      <c r="X104" s="108">
        <f>IF($A104="",0,IF(COUNTIF(Config!$C$21:$C$23,$H104)&gt;0,1,0))</f>
        <v>1</v>
      </c>
      <c r="Y104" s="108">
        <f t="shared" si="13"/>
        <v>0</v>
      </c>
      <c r="Z104" s="108" t="str">
        <f t="shared" si="14"/>
        <v/>
      </c>
      <c r="AB104" s="108">
        <f t="shared" si="15"/>
        <v>0</v>
      </c>
      <c r="AC104" s="108">
        <f>IF($A104="",0,IF(AND($AB104=1,COUNTIF($A$2:$A104,$A104)=1),1,0))</f>
        <v>0</v>
      </c>
      <c r="AD104" s="108">
        <f t="shared" si="16"/>
        <v>0</v>
      </c>
      <c r="AE104" s="108" t="str">
        <f t="shared" si="17"/>
        <v/>
      </c>
      <c r="AF104" s="108">
        <f t="shared" si="18"/>
        <v>0</v>
      </c>
      <c r="AG104" s="108">
        <f t="shared" si="19"/>
        <v>0</v>
      </c>
      <c r="AH104" s="110" t="str">
        <f t="shared" si="20"/>
        <v>T. Aguillard|20260905|Time Off|0.000|4 hours not worked</v>
      </c>
      <c r="AI104" s="108">
        <f t="shared" si="21"/>
        <v>0</v>
      </c>
      <c r="AJ104" s="108">
        <f t="shared" si="22"/>
        <v>0</v>
      </c>
      <c r="AK104" s="108">
        <f>IF($A104="",0,IF(AND($S104=1,$W104=1,$X104=1,$U104&gt;Config!$C$9),1,0))</f>
        <v>0</v>
      </c>
      <c r="AL104" s="108">
        <f t="shared" si="23"/>
        <v>0</v>
      </c>
    </row>
    <row r="105" spans="1:38" x14ac:dyDescent="0.25">
      <c r="A105" s="106" t="s">
        <v>613</v>
      </c>
      <c r="B105" s="106" t="s">
        <v>618</v>
      </c>
      <c r="C105" s="107">
        <v>46269</v>
      </c>
      <c r="D105" s="106" t="s">
        <v>712</v>
      </c>
      <c r="E105" s="106" t="s">
        <v>713</v>
      </c>
      <c r="F105" s="106" t="s">
        <v>866</v>
      </c>
      <c r="G105" s="106" t="s">
        <v>867</v>
      </c>
      <c r="H105" s="106" t="s">
        <v>639</v>
      </c>
      <c r="I105" s="106"/>
      <c r="J105" s="106"/>
      <c r="K105" s="106">
        <v>1</v>
      </c>
      <c r="L105" s="106">
        <v>0</v>
      </c>
      <c r="M105" s="106">
        <v>0</v>
      </c>
      <c r="N105" s="106"/>
      <c r="O105" s="106"/>
      <c r="P105" s="106">
        <v>0</v>
      </c>
      <c r="Q105" s="106" t="s">
        <v>868</v>
      </c>
      <c r="S105" s="108">
        <f>IF($A105="","",COUNTIF(BPOworkers!$B$6:$B$105,$A105))</f>
        <v>0</v>
      </c>
      <c r="T105" s="109">
        <f>IF($A105="","",$K105*Config!$C$9)</f>
        <v>8</v>
      </c>
      <c r="U105" s="109">
        <f>IF($A105="","",IF(COUNTIF(Config!$C$21:$C$23,$H105)&gt;0,IFERROR(VALUE(LEFT(TRIM($Q105),FIND(" ",TRIM($Q105)&amp;" ")-1)),0),0))</f>
        <v>0</v>
      </c>
      <c r="V105" s="109">
        <f t="shared" si="12"/>
        <v>8</v>
      </c>
      <c r="W105" s="108">
        <f>IF($A105="",0,IF(AND($C105&gt;=Config!$C$7,$C105&lt;=Config!$C$8),1,0))</f>
        <v>1</v>
      </c>
      <c r="X105" s="108">
        <f>IF($A105="",0,IF(COUNTIF(Config!$C$21:$C$23,$H105)&gt;0,1,0))</f>
        <v>0</v>
      </c>
      <c r="Y105" s="108">
        <f t="shared" si="13"/>
        <v>0</v>
      </c>
      <c r="Z105" s="108" t="str">
        <f t="shared" si="14"/>
        <v/>
      </c>
      <c r="AB105" s="108">
        <f t="shared" si="15"/>
        <v>0</v>
      </c>
      <c r="AC105" s="108">
        <f>IF($A105="",0,IF(AND($AB105=1,COUNTIF($A$2:$A105,$A105)=1),1,0))</f>
        <v>0</v>
      </c>
      <c r="AD105" s="108">
        <f t="shared" si="16"/>
        <v>0</v>
      </c>
      <c r="AE105" s="108" t="str">
        <f t="shared" si="17"/>
        <v/>
      </c>
      <c r="AF105" s="108">
        <f t="shared" si="18"/>
        <v>0</v>
      </c>
      <c r="AG105" s="108">
        <f t="shared" si="19"/>
        <v>0</v>
      </c>
      <c r="AH105" s="110" t="str">
        <f t="shared" si="20"/>
        <v>V. Toran|20260904|Review|1.000|44 docs reviewed; asana updated; review notes sent to original landman; LMS updated; Alliance Royalty Team Meeting</v>
      </c>
      <c r="AI105" s="108">
        <f t="shared" si="21"/>
        <v>0</v>
      </c>
      <c r="AJ105" s="108">
        <f t="shared" si="22"/>
        <v>0</v>
      </c>
      <c r="AK105" s="108">
        <f>IF($A105="",0,IF(AND($S105=1,$W105=1,$X105=1,$U105&gt;Config!$C$9),1,0))</f>
        <v>0</v>
      </c>
      <c r="AL105" s="108">
        <f t="shared" si="23"/>
        <v>0</v>
      </c>
    </row>
    <row r="106" spans="1:38" x14ac:dyDescent="0.25">
      <c r="A106" s="106" t="s">
        <v>869</v>
      </c>
      <c r="B106" s="106" t="s">
        <v>618</v>
      </c>
      <c r="C106" s="107">
        <v>46269</v>
      </c>
      <c r="D106" s="106" t="s">
        <v>694</v>
      </c>
      <c r="E106" s="106" t="s">
        <v>695</v>
      </c>
      <c r="F106" s="106" t="s">
        <v>696</v>
      </c>
      <c r="G106" s="106" t="s">
        <v>870</v>
      </c>
      <c r="H106" s="106" t="s">
        <v>639</v>
      </c>
      <c r="I106" s="106"/>
      <c r="J106" s="106"/>
      <c r="K106" s="106">
        <v>0.375</v>
      </c>
      <c r="L106" s="106">
        <v>0</v>
      </c>
      <c r="M106" s="106">
        <v>0</v>
      </c>
      <c r="N106" s="106"/>
      <c r="O106" s="106"/>
      <c r="P106" s="106">
        <v>0</v>
      </c>
      <c r="Q106" s="106" t="s">
        <v>871</v>
      </c>
      <c r="S106" s="108">
        <f>IF($A106="","",COUNTIF(BPOworkers!$B$6:$B$105,$A106))</f>
        <v>0</v>
      </c>
      <c r="T106" s="109">
        <f>IF($A106="","",$K106*Config!$C$9)</f>
        <v>3</v>
      </c>
      <c r="U106" s="109">
        <f>IF($A106="","",IF(COUNTIF(Config!$C$21:$C$23,$H106)&gt;0,IFERROR(VALUE(LEFT(TRIM($Q106),FIND(" ",TRIM($Q106)&amp;" ")-1)),0),0))</f>
        <v>0</v>
      </c>
      <c r="V106" s="109">
        <f t="shared" si="12"/>
        <v>3</v>
      </c>
      <c r="W106" s="108">
        <f>IF($A106="",0,IF(AND($C106&gt;=Config!$C$7,$C106&lt;=Config!$C$8),1,0))</f>
        <v>1</v>
      </c>
      <c r="X106" s="108">
        <f>IF($A106="",0,IF(COUNTIF(Config!$C$21:$C$23,$H106)&gt;0,1,0))</f>
        <v>0</v>
      </c>
      <c r="Y106" s="108">
        <f t="shared" si="13"/>
        <v>0</v>
      </c>
      <c r="Z106" s="108" t="str">
        <f t="shared" si="14"/>
        <v/>
      </c>
      <c r="AB106" s="108">
        <f t="shared" si="15"/>
        <v>0</v>
      </c>
      <c r="AC106" s="108">
        <f>IF($A106="",0,IF(AND($AB106=1,COUNTIF($A$2:$A106,$A106)=1),1,0))</f>
        <v>0</v>
      </c>
      <c r="AD106" s="108">
        <f t="shared" si="16"/>
        <v>0</v>
      </c>
      <c r="AE106" s="108" t="str">
        <f t="shared" si="17"/>
        <v/>
      </c>
      <c r="AF106" s="108">
        <f t="shared" si="18"/>
        <v>0</v>
      </c>
      <c r="AG106" s="108">
        <f t="shared" si="19"/>
        <v>0</v>
      </c>
      <c r="AH106" s="110" t="str">
        <f t="shared" si="20"/>
        <v>K. Mainard|20260904|Review|0.375|Reviewed remainder of report and rebuilt GIS polygons</v>
      </c>
      <c r="AI106" s="108">
        <f t="shared" si="21"/>
        <v>0</v>
      </c>
      <c r="AJ106" s="108">
        <f t="shared" si="22"/>
        <v>0</v>
      </c>
      <c r="AK106" s="108">
        <f>IF($A106="",0,IF(AND($S106=1,$W106=1,$X106=1,$U106&gt;Config!$C$9),1,0))</f>
        <v>0</v>
      </c>
      <c r="AL106" s="108">
        <f t="shared" si="23"/>
        <v>0</v>
      </c>
    </row>
    <row r="107" spans="1:38" x14ac:dyDescent="0.25">
      <c r="A107" s="106" t="s">
        <v>869</v>
      </c>
      <c r="B107" s="106" t="s">
        <v>618</v>
      </c>
      <c r="C107" s="107">
        <v>46269</v>
      </c>
      <c r="D107" s="106" t="s">
        <v>694</v>
      </c>
      <c r="E107" s="106" t="s">
        <v>872</v>
      </c>
      <c r="F107" s="106" t="s">
        <v>766</v>
      </c>
      <c r="G107" s="106" t="s">
        <v>873</v>
      </c>
      <c r="H107" s="106" t="s">
        <v>874</v>
      </c>
      <c r="I107" s="106"/>
      <c r="J107" s="106"/>
      <c r="K107" s="106">
        <v>0.25</v>
      </c>
      <c r="L107" s="106">
        <v>0</v>
      </c>
      <c r="M107" s="106">
        <v>0</v>
      </c>
      <c r="N107" s="106"/>
      <c r="O107" s="106"/>
      <c r="P107" s="106">
        <v>0</v>
      </c>
      <c r="Q107" s="106" t="s">
        <v>875</v>
      </c>
      <c r="S107" s="108">
        <f>IF($A107="","",COUNTIF(BPOworkers!$B$6:$B$105,$A107))</f>
        <v>0</v>
      </c>
      <c r="T107" s="109">
        <f>IF($A107="","",$K107*Config!$C$9)</f>
        <v>2</v>
      </c>
      <c r="U107" s="109">
        <f>IF($A107="","",IF(COUNTIF(Config!$C$21:$C$23,$H107)&gt;0,IFERROR(VALUE(LEFT(TRIM($Q107),FIND(" ",TRIM($Q107)&amp;" ")-1)),0),0))</f>
        <v>0</v>
      </c>
      <c r="V107" s="109">
        <f t="shared" si="12"/>
        <v>2</v>
      </c>
      <c r="W107" s="108">
        <f>IF($A107="",0,IF(AND($C107&gt;=Config!$C$7,$C107&lt;=Config!$C$8),1,0))</f>
        <v>1</v>
      </c>
      <c r="X107" s="108">
        <f>IF($A107="",0,IF(COUNTIF(Config!$C$21:$C$23,$H107)&gt;0,1,0))</f>
        <v>0</v>
      </c>
      <c r="Y107" s="108">
        <f t="shared" si="13"/>
        <v>0</v>
      </c>
      <c r="Z107" s="108" t="str">
        <f t="shared" si="14"/>
        <v/>
      </c>
      <c r="AB107" s="108">
        <f t="shared" si="15"/>
        <v>0</v>
      </c>
      <c r="AC107" s="108">
        <f>IF($A107="",0,IF(AND($AB107=1,COUNTIF($A$2:$A107,$A107)=1),1,0))</f>
        <v>0</v>
      </c>
      <c r="AD107" s="108">
        <f t="shared" si="16"/>
        <v>0</v>
      </c>
      <c r="AE107" s="108" t="str">
        <f t="shared" si="17"/>
        <v/>
      </c>
      <c r="AF107" s="108">
        <f t="shared" si="18"/>
        <v>0</v>
      </c>
      <c r="AG107" s="108">
        <f t="shared" si="19"/>
        <v>0</v>
      </c>
      <c r="AH107" s="110" t="str">
        <f t="shared" si="20"/>
        <v>K. Mainard|20260904|Hybrid Title|0.250|Reviewed hybrid quotes.</v>
      </c>
      <c r="AI107" s="108">
        <f t="shared" si="21"/>
        <v>0</v>
      </c>
      <c r="AJ107" s="108">
        <f t="shared" si="22"/>
        <v>0</v>
      </c>
      <c r="AK107" s="108">
        <f>IF($A107="",0,IF(AND($S107=1,$W107=1,$X107=1,$U107&gt;Config!$C$9),1,0))</f>
        <v>0</v>
      </c>
      <c r="AL107" s="108">
        <f t="shared" si="23"/>
        <v>0</v>
      </c>
    </row>
    <row r="108" spans="1:38" x14ac:dyDescent="0.25">
      <c r="A108" s="106" t="s">
        <v>869</v>
      </c>
      <c r="B108" s="106" t="s">
        <v>618</v>
      </c>
      <c r="C108" s="107">
        <v>46269</v>
      </c>
      <c r="D108" s="106" t="s">
        <v>694</v>
      </c>
      <c r="E108" s="106" t="s">
        <v>876</v>
      </c>
      <c r="F108" s="106" t="s">
        <v>766</v>
      </c>
      <c r="G108" s="106" t="s">
        <v>877</v>
      </c>
      <c r="H108" s="106" t="s">
        <v>878</v>
      </c>
      <c r="I108" s="106"/>
      <c r="J108" s="106"/>
      <c r="K108" s="106">
        <v>0.25</v>
      </c>
      <c r="L108" s="106">
        <v>0</v>
      </c>
      <c r="M108" s="106">
        <v>0</v>
      </c>
      <c r="N108" s="106"/>
      <c r="O108" s="106"/>
      <c r="P108" s="106">
        <v>0</v>
      </c>
      <c r="Q108" s="106" t="s">
        <v>879</v>
      </c>
      <c r="S108" s="108">
        <f>IF($A108="","",COUNTIF(BPOworkers!$B$6:$B$105,$A108))</f>
        <v>0</v>
      </c>
      <c r="T108" s="109">
        <f>IF($A108="","",$K108*Config!$C$9)</f>
        <v>2</v>
      </c>
      <c r="U108" s="109">
        <f>IF($A108="","",IF(COUNTIF(Config!$C$21:$C$23,$H108)&gt;0,IFERROR(VALUE(LEFT(TRIM($Q108),FIND(" ",TRIM($Q108)&amp;" ")-1)),0),0))</f>
        <v>0</v>
      </c>
      <c r="V108" s="109">
        <f t="shared" si="12"/>
        <v>2</v>
      </c>
      <c r="W108" s="108">
        <f>IF($A108="",0,IF(AND($C108&gt;=Config!$C$7,$C108&lt;=Config!$C$8),1,0))</f>
        <v>1</v>
      </c>
      <c r="X108" s="108">
        <f>IF($A108="",0,IF(COUNTIF(Config!$C$21:$C$23,$H108)&gt;0,1,0))</f>
        <v>0</v>
      </c>
      <c r="Y108" s="108">
        <f t="shared" si="13"/>
        <v>0</v>
      </c>
      <c r="Z108" s="108" t="str">
        <f t="shared" si="14"/>
        <v/>
      </c>
      <c r="AB108" s="108">
        <f t="shared" si="15"/>
        <v>0</v>
      </c>
      <c r="AC108" s="108">
        <f>IF($A108="",0,IF(AND($AB108=1,COUNTIF($A$2:$A108,$A108)=1),1,0))</f>
        <v>0</v>
      </c>
      <c r="AD108" s="108">
        <f t="shared" si="16"/>
        <v>0</v>
      </c>
      <c r="AE108" s="108" t="str">
        <f t="shared" si="17"/>
        <v/>
      </c>
      <c r="AF108" s="108">
        <f t="shared" si="18"/>
        <v>0</v>
      </c>
      <c r="AG108" s="108">
        <f t="shared" si="19"/>
        <v>0</v>
      </c>
      <c r="AH108" s="110" t="str">
        <f t="shared" si="20"/>
        <v>K. Mainard|20260904|Curative|0.250|Online research to determine heirs of Helen Akslund Nilsson</v>
      </c>
      <c r="AI108" s="108">
        <f t="shared" si="21"/>
        <v>0</v>
      </c>
      <c r="AJ108" s="108">
        <f t="shared" si="22"/>
        <v>0</v>
      </c>
      <c r="AK108" s="108">
        <f>IF($A108="",0,IF(AND($S108=1,$W108=1,$X108=1,$U108&gt;Config!$C$9),1,0))</f>
        <v>0</v>
      </c>
      <c r="AL108" s="108">
        <f t="shared" si="23"/>
        <v>0</v>
      </c>
    </row>
    <row r="109" spans="1:38" x14ac:dyDescent="0.25">
      <c r="A109" s="106" t="s">
        <v>869</v>
      </c>
      <c r="B109" s="106" t="s">
        <v>618</v>
      </c>
      <c r="C109" s="107">
        <v>46269</v>
      </c>
      <c r="D109" s="106" t="s">
        <v>643</v>
      </c>
      <c r="E109" s="106" t="s">
        <v>644</v>
      </c>
      <c r="F109" s="106" t="s">
        <v>645</v>
      </c>
      <c r="G109" s="106" t="s">
        <v>646</v>
      </c>
      <c r="H109" s="106" t="s">
        <v>656</v>
      </c>
      <c r="I109" s="106"/>
      <c r="J109" s="106"/>
      <c r="K109" s="106">
        <v>0.125</v>
      </c>
      <c r="L109" s="106">
        <v>0</v>
      </c>
      <c r="M109" s="106">
        <v>0</v>
      </c>
      <c r="N109" s="106"/>
      <c r="O109" s="106"/>
      <c r="P109" s="106">
        <v>0</v>
      </c>
      <c r="Q109" s="106" t="s">
        <v>880</v>
      </c>
      <c r="S109" s="108">
        <f>IF($A109="","",COUNTIF(BPOworkers!$B$6:$B$105,$A109))</f>
        <v>0</v>
      </c>
      <c r="T109" s="109">
        <f>IF($A109="","",$K109*Config!$C$9)</f>
        <v>1</v>
      </c>
      <c r="U109" s="109">
        <f>IF($A109="","",IF(COUNTIF(Config!$C$21:$C$23,$H109)&gt;0,IFERROR(VALUE(LEFT(TRIM($Q109),FIND(" ",TRIM($Q109)&amp;" ")-1)),0),0))</f>
        <v>0</v>
      </c>
      <c r="V109" s="109">
        <f t="shared" si="12"/>
        <v>1</v>
      </c>
      <c r="W109" s="108">
        <f>IF($A109="",0,IF(AND($C109&gt;=Config!$C$7,$C109&lt;=Config!$C$8),1,0))</f>
        <v>1</v>
      </c>
      <c r="X109" s="108">
        <f>IF($A109="",0,IF(COUNTIF(Config!$C$21:$C$23,$H109)&gt;0,1,0))</f>
        <v>0</v>
      </c>
      <c r="Y109" s="108">
        <f t="shared" si="13"/>
        <v>0</v>
      </c>
      <c r="Z109" s="108" t="str">
        <f t="shared" si="14"/>
        <v/>
      </c>
      <c r="AB109" s="108">
        <f t="shared" si="15"/>
        <v>0</v>
      </c>
      <c r="AC109" s="108">
        <f>IF($A109="",0,IF(AND($AB109=1,COUNTIF($A$2:$A109,$A109)=1),1,0))</f>
        <v>0</v>
      </c>
      <c r="AD109" s="108">
        <f t="shared" si="16"/>
        <v>0</v>
      </c>
      <c r="AE109" s="108" t="str">
        <f t="shared" si="17"/>
        <v/>
      </c>
      <c r="AF109" s="108">
        <f t="shared" si="18"/>
        <v>0</v>
      </c>
      <c r="AG109" s="108">
        <f t="shared" si="19"/>
        <v>0</v>
      </c>
      <c r="AH109" s="110" t="str">
        <f t="shared" si="20"/>
        <v>K. Mainard|20260904|Project Management|0.125|Meeting with team to address progress.</v>
      </c>
      <c r="AI109" s="108">
        <f t="shared" si="21"/>
        <v>0</v>
      </c>
      <c r="AJ109" s="108">
        <f t="shared" si="22"/>
        <v>0</v>
      </c>
      <c r="AK109" s="108">
        <f>IF($A109="",0,IF(AND($S109=1,$W109=1,$X109=1,$U109&gt;Config!$C$9),1,0))</f>
        <v>0</v>
      </c>
      <c r="AL109" s="108">
        <f t="shared" si="23"/>
        <v>0</v>
      </c>
    </row>
    <row r="110" spans="1:38" x14ac:dyDescent="0.25">
      <c r="A110" s="106" t="s">
        <v>617</v>
      </c>
      <c r="B110" s="106" t="s">
        <v>618</v>
      </c>
      <c r="C110" s="107">
        <v>46269</v>
      </c>
      <c r="D110" s="106" t="s">
        <v>881</v>
      </c>
      <c r="E110" s="106" t="s">
        <v>882</v>
      </c>
      <c r="F110" s="106" t="s">
        <v>866</v>
      </c>
      <c r="G110" s="106" t="s">
        <v>883</v>
      </c>
      <c r="H110" s="106" t="s">
        <v>639</v>
      </c>
      <c r="I110" s="106"/>
      <c r="J110" s="106"/>
      <c r="K110" s="106">
        <v>1</v>
      </c>
      <c r="L110" s="106">
        <v>0</v>
      </c>
      <c r="M110" s="106">
        <v>0</v>
      </c>
      <c r="N110" s="106"/>
      <c r="O110" s="106"/>
      <c r="P110" s="106">
        <v>0</v>
      </c>
      <c r="Q110" s="106" t="s">
        <v>884</v>
      </c>
      <c r="S110" s="108">
        <f>IF($A110="","",COUNTIF(BPOworkers!$B$6:$B$105,$A110))</f>
        <v>0</v>
      </c>
      <c r="T110" s="109">
        <f>IF($A110="","",$K110*Config!$C$9)</f>
        <v>8</v>
      </c>
      <c r="U110" s="109">
        <f>IF($A110="","",IF(COUNTIF(Config!$C$21:$C$23,$H110)&gt;0,IFERROR(VALUE(LEFT(TRIM($Q110),FIND(" ",TRIM($Q110)&amp;" ")-1)),0),0))</f>
        <v>0</v>
      </c>
      <c r="V110" s="109">
        <f t="shared" si="12"/>
        <v>8</v>
      </c>
      <c r="W110" s="108">
        <f>IF($A110="",0,IF(AND($C110&gt;=Config!$C$7,$C110&lt;=Config!$C$8),1,0))</f>
        <v>1</v>
      </c>
      <c r="X110" s="108">
        <f>IF($A110="",0,IF(COUNTIF(Config!$C$21:$C$23,$H110)&gt;0,1,0))</f>
        <v>0</v>
      </c>
      <c r="Y110" s="108">
        <f t="shared" si="13"/>
        <v>0</v>
      </c>
      <c r="Z110" s="108" t="str">
        <f t="shared" si="14"/>
        <v/>
      </c>
      <c r="AB110" s="108">
        <f t="shared" si="15"/>
        <v>0</v>
      </c>
      <c r="AC110" s="108">
        <f>IF($A110="",0,IF(AND($AB110=1,COUNTIF($A$2:$A110,$A110)=1),1,0))</f>
        <v>0</v>
      </c>
      <c r="AD110" s="108">
        <f t="shared" si="16"/>
        <v>0</v>
      </c>
      <c r="AE110" s="108" t="str">
        <f t="shared" si="17"/>
        <v/>
      </c>
      <c r="AF110" s="108">
        <f t="shared" si="18"/>
        <v>0</v>
      </c>
      <c r="AG110" s="108">
        <f t="shared" si="19"/>
        <v>0</v>
      </c>
      <c r="AH110" s="110" t="str">
        <f t="shared" si="20"/>
        <v>P. Tamez|20260904|Review|1.000|Reviewed the AOI in accordance with TLS Best Practices and review standards.</v>
      </c>
      <c r="AI110" s="108">
        <f t="shared" si="21"/>
        <v>0</v>
      </c>
      <c r="AJ110" s="108">
        <f t="shared" si="22"/>
        <v>0</v>
      </c>
      <c r="AK110" s="108">
        <f>IF($A110="",0,IF(AND($S110=1,$W110=1,$X110=1,$U110&gt;Config!$C$9),1,0))</f>
        <v>0</v>
      </c>
      <c r="AL110" s="108">
        <f t="shared" si="23"/>
        <v>0</v>
      </c>
    </row>
    <row r="111" spans="1:38" x14ac:dyDescent="0.25">
      <c r="A111" s="106" t="s">
        <v>620</v>
      </c>
      <c r="B111" s="106" t="s">
        <v>618</v>
      </c>
      <c r="C111" s="107">
        <v>46269</v>
      </c>
      <c r="D111" s="106" t="s">
        <v>885</v>
      </c>
      <c r="E111" s="106" t="s">
        <v>773</v>
      </c>
      <c r="F111" s="106" t="s">
        <v>886</v>
      </c>
      <c r="G111" s="106" t="s">
        <v>887</v>
      </c>
      <c r="H111" s="106" t="s">
        <v>639</v>
      </c>
      <c r="I111" s="106"/>
      <c r="J111" s="106"/>
      <c r="K111" s="106">
        <v>0.75</v>
      </c>
      <c r="L111" s="106">
        <v>0</v>
      </c>
      <c r="M111" s="106">
        <v>0</v>
      </c>
      <c r="N111" s="106"/>
      <c r="O111" s="106"/>
      <c r="P111" s="106">
        <v>0</v>
      </c>
      <c r="Q111" s="106" t="s">
        <v>888</v>
      </c>
      <c r="S111" s="108">
        <f>IF($A111="","",COUNTIF(BPOworkers!$B$6:$B$105,$A111))</f>
        <v>0</v>
      </c>
      <c r="T111" s="109">
        <f>IF($A111="","",$K111*Config!$C$9)</f>
        <v>6</v>
      </c>
      <c r="U111" s="109">
        <f>IF($A111="","",IF(COUNTIF(Config!$C$21:$C$23,$H111)&gt;0,IFERROR(VALUE(LEFT(TRIM($Q111),FIND(" ",TRIM($Q111)&amp;" ")-1)),0),0))</f>
        <v>0</v>
      </c>
      <c r="V111" s="109">
        <f t="shared" si="12"/>
        <v>6</v>
      </c>
      <c r="W111" s="108">
        <f>IF($A111="",0,IF(AND($C111&gt;=Config!$C$7,$C111&lt;=Config!$C$8),1,0))</f>
        <v>1</v>
      </c>
      <c r="X111" s="108">
        <f>IF($A111="",0,IF(COUNTIF(Config!$C$21:$C$23,$H111)&gt;0,1,0))</f>
        <v>0</v>
      </c>
      <c r="Y111" s="108">
        <f t="shared" si="13"/>
        <v>0</v>
      </c>
      <c r="Z111" s="108" t="str">
        <f t="shared" si="14"/>
        <v/>
      </c>
      <c r="AB111" s="108">
        <f t="shared" si="15"/>
        <v>0</v>
      </c>
      <c r="AC111" s="108">
        <f>IF($A111="",0,IF(AND($AB111=1,COUNTIF($A$2:$A111,$A111)=1),1,0))</f>
        <v>0</v>
      </c>
      <c r="AD111" s="108">
        <f t="shared" si="16"/>
        <v>0</v>
      </c>
      <c r="AE111" s="108" t="str">
        <f t="shared" si="17"/>
        <v/>
      </c>
      <c r="AF111" s="108">
        <f t="shared" si="18"/>
        <v>0</v>
      </c>
      <c r="AG111" s="108">
        <f t="shared" si="19"/>
        <v>0</v>
      </c>
      <c r="AH111" s="110" t="str">
        <f t="shared" si="20"/>
        <v>I. Rice|20260904|Review|0.750|Continue review of AOI and notecards and make adjustments to cards and party names where needed. Update library and comm</v>
      </c>
      <c r="AI111" s="108">
        <f t="shared" si="21"/>
        <v>0</v>
      </c>
      <c r="AJ111" s="108">
        <f t="shared" si="22"/>
        <v>0</v>
      </c>
      <c r="AK111" s="108">
        <f>IF($A111="",0,IF(AND($S111=1,$W111=1,$X111=1,$U111&gt;Config!$C$9),1,0))</f>
        <v>0</v>
      </c>
      <c r="AL111" s="108">
        <f t="shared" si="23"/>
        <v>0</v>
      </c>
    </row>
    <row r="112" spans="1:38" x14ac:dyDescent="0.25">
      <c r="A112" s="106" t="s">
        <v>620</v>
      </c>
      <c r="B112" s="106" t="s">
        <v>618</v>
      </c>
      <c r="C112" s="107">
        <v>46269</v>
      </c>
      <c r="D112" s="106" t="s">
        <v>529</v>
      </c>
      <c r="E112" s="106" t="s">
        <v>529</v>
      </c>
      <c r="F112" s="106" t="s">
        <v>615</v>
      </c>
      <c r="G112" s="106"/>
      <c r="H112" s="106" t="s">
        <v>529</v>
      </c>
      <c r="I112" s="106"/>
      <c r="J112" s="106"/>
      <c r="K112" s="106">
        <v>0</v>
      </c>
      <c r="L112" s="106">
        <v>0</v>
      </c>
      <c r="M112" s="106">
        <v>0</v>
      </c>
      <c r="N112" s="106"/>
      <c r="O112" s="106"/>
      <c r="P112" s="106">
        <v>0</v>
      </c>
      <c r="Q112" s="106" t="s">
        <v>889</v>
      </c>
      <c r="S112" s="108">
        <f>IF($A112="","",COUNTIF(BPOworkers!$B$6:$B$105,$A112))</f>
        <v>0</v>
      </c>
      <c r="T112" s="109">
        <f>IF($A112="","",$K112*Config!$C$9)</f>
        <v>0</v>
      </c>
      <c r="U112" s="109">
        <f>IF($A112="","",IF(COUNTIF(Config!$C$21:$C$23,$H112)&gt;0,IFERROR(VALUE(LEFT(TRIM($Q112),FIND(" ",TRIM($Q112)&amp;" ")-1)),0),0))</f>
        <v>2</v>
      </c>
      <c r="V112" s="109">
        <f t="shared" si="12"/>
        <v>2</v>
      </c>
      <c r="W112" s="108">
        <f>IF($A112="",0,IF(AND($C112&gt;=Config!$C$7,$C112&lt;=Config!$C$8),1,0))</f>
        <v>1</v>
      </c>
      <c r="X112" s="108">
        <f>IF($A112="",0,IF(COUNTIF(Config!$C$21:$C$23,$H112)&gt;0,1,0))</f>
        <v>1</v>
      </c>
      <c r="Y112" s="108">
        <f t="shared" si="13"/>
        <v>0</v>
      </c>
      <c r="Z112" s="108" t="str">
        <f t="shared" si="14"/>
        <v/>
      </c>
      <c r="AB112" s="108">
        <f t="shared" si="15"/>
        <v>0</v>
      </c>
      <c r="AC112" s="108">
        <f>IF($A112="",0,IF(AND($AB112=1,COUNTIF($A$2:$A112,$A112)=1),1,0))</f>
        <v>0</v>
      </c>
      <c r="AD112" s="108">
        <f t="shared" si="16"/>
        <v>0</v>
      </c>
      <c r="AE112" s="108" t="str">
        <f t="shared" si="17"/>
        <v/>
      </c>
      <c r="AF112" s="108">
        <f t="shared" si="18"/>
        <v>0</v>
      </c>
      <c r="AG112" s="108">
        <f t="shared" si="19"/>
        <v>0</v>
      </c>
      <c r="AH112" s="110" t="str">
        <f t="shared" si="20"/>
        <v>I. Rice|20260904|Time Off|0.000|2 hours unbilled.</v>
      </c>
      <c r="AI112" s="108">
        <f t="shared" si="21"/>
        <v>0</v>
      </c>
      <c r="AJ112" s="108">
        <f t="shared" si="22"/>
        <v>0</v>
      </c>
      <c r="AK112" s="108">
        <f>IF($A112="",0,IF(AND($S112=1,$W112=1,$X112=1,$U112&gt;Config!$C$9),1,0))</f>
        <v>0</v>
      </c>
      <c r="AL112" s="108">
        <f t="shared" si="23"/>
        <v>0</v>
      </c>
    </row>
    <row r="113" spans="1:38" x14ac:dyDescent="0.25">
      <c r="A113" s="106" t="s">
        <v>622</v>
      </c>
      <c r="B113" s="106" t="s">
        <v>618</v>
      </c>
      <c r="C113" s="107">
        <v>46269</v>
      </c>
      <c r="D113" s="106" t="s">
        <v>712</v>
      </c>
      <c r="E113" s="106" t="s">
        <v>713</v>
      </c>
      <c r="F113" s="106" t="s">
        <v>866</v>
      </c>
      <c r="G113" s="106" t="s">
        <v>873</v>
      </c>
      <c r="H113" s="106" t="s">
        <v>656</v>
      </c>
      <c r="I113" s="106"/>
      <c r="J113" s="106"/>
      <c r="K113" s="106">
        <v>0.125</v>
      </c>
      <c r="L113" s="106">
        <v>0</v>
      </c>
      <c r="M113" s="106">
        <v>0</v>
      </c>
      <c r="N113" s="106"/>
      <c r="O113" s="106"/>
      <c r="P113" s="106">
        <v>0</v>
      </c>
      <c r="Q113" s="106" t="s">
        <v>890</v>
      </c>
      <c r="S113" s="108">
        <f>IF($A113="","",COUNTIF(BPOworkers!$B$6:$B$105,$A113))</f>
        <v>0</v>
      </c>
      <c r="T113" s="109">
        <f>IF($A113="","",$K113*Config!$C$9)</f>
        <v>1</v>
      </c>
      <c r="U113" s="109">
        <f>IF($A113="","",IF(COUNTIF(Config!$C$21:$C$23,$H113)&gt;0,IFERROR(VALUE(LEFT(TRIM($Q113),FIND(" ",TRIM($Q113)&amp;" ")-1)),0),0))</f>
        <v>0</v>
      </c>
      <c r="V113" s="109">
        <f t="shared" si="12"/>
        <v>1</v>
      </c>
      <c r="W113" s="108">
        <f>IF($A113="",0,IF(AND($C113&gt;=Config!$C$7,$C113&lt;=Config!$C$8),1,0))</f>
        <v>1</v>
      </c>
      <c r="X113" s="108">
        <f>IF($A113="",0,IF(COUNTIF(Config!$C$21:$C$23,$H113)&gt;0,1,0))</f>
        <v>0</v>
      </c>
      <c r="Y113" s="108">
        <f t="shared" si="13"/>
        <v>0</v>
      </c>
      <c r="Z113" s="108" t="str">
        <f t="shared" si="14"/>
        <v/>
      </c>
      <c r="AB113" s="108">
        <f t="shared" si="15"/>
        <v>0</v>
      </c>
      <c r="AC113" s="108">
        <f>IF($A113="",0,IF(AND($AB113=1,COUNTIF($A$2:$A113,$A113)=1),1,0))</f>
        <v>0</v>
      </c>
      <c r="AD113" s="108">
        <f t="shared" si="16"/>
        <v>0</v>
      </c>
      <c r="AE113" s="108" t="str">
        <f t="shared" si="17"/>
        <v/>
      </c>
      <c r="AF113" s="108">
        <f t="shared" si="18"/>
        <v>0</v>
      </c>
      <c r="AG113" s="108">
        <f t="shared" si="19"/>
        <v>0</v>
      </c>
      <c r="AH113" s="110" t="str">
        <f t="shared" si="20"/>
        <v>K. Milcarzyk|20260904|Project Management|0.125|Attending daily meeting and staffing changes.</v>
      </c>
      <c r="AI113" s="108">
        <f t="shared" si="21"/>
        <v>0</v>
      </c>
      <c r="AJ113" s="108">
        <f t="shared" si="22"/>
        <v>0</v>
      </c>
      <c r="AK113" s="108">
        <f>IF($A113="",0,IF(AND($S113=1,$W113=1,$X113=1,$U113&gt;Config!$C$9),1,0))</f>
        <v>0</v>
      </c>
      <c r="AL113" s="108">
        <f t="shared" si="23"/>
        <v>0</v>
      </c>
    </row>
    <row r="114" spans="1:38" x14ac:dyDescent="0.25">
      <c r="A114" s="106" t="s">
        <v>622</v>
      </c>
      <c r="B114" s="106" t="s">
        <v>618</v>
      </c>
      <c r="C114" s="107">
        <v>46269</v>
      </c>
      <c r="D114" s="106" t="s">
        <v>694</v>
      </c>
      <c r="E114" s="106" t="s">
        <v>778</v>
      </c>
      <c r="F114" s="106" t="s">
        <v>779</v>
      </c>
      <c r="G114" s="106" t="s">
        <v>891</v>
      </c>
      <c r="H114" s="106" t="s">
        <v>656</v>
      </c>
      <c r="I114" s="106"/>
      <c r="J114" s="106"/>
      <c r="K114" s="106">
        <v>0.125</v>
      </c>
      <c r="L114" s="106">
        <v>0</v>
      </c>
      <c r="M114" s="106">
        <v>0</v>
      </c>
      <c r="N114" s="106"/>
      <c r="O114" s="106"/>
      <c r="P114" s="106">
        <v>0</v>
      </c>
      <c r="Q114" s="106" t="s">
        <v>892</v>
      </c>
      <c r="S114" s="108">
        <f>IF($A114="","",COUNTIF(BPOworkers!$B$6:$B$105,$A114))</f>
        <v>0</v>
      </c>
      <c r="T114" s="109">
        <f>IF($A114="","",$K114*Config!$C$9)</f>
        <v>1</v>
      </c>
      <c r="U114" s="109">
        <f>IF($A114="","",IF(COUNTIF(Config!$C$21:$C$23,$H114)&gt;0,IFERROR(VALUE(LEFT(TRIM($Q114),FIND(" ",TRIM($Q114)&amp;" ")-1)),0),0))</f>
        <v>0</v>
      </c>
      <c r="V114" s="109">
        <f t="shared" si="12"/>
        <v>1</v>
      </c>
      <c r="W114" s="108">
        <f>IF($A114="",0,IF(AND($C114&gt;=Config!$C$7,$C114&lt;=Config!$C$8),1,0))</f>
        <v>1</v>
      </c>
      <c r="X114" s="108">
        <f>IF($A114="",0,IF(COUNTIF(Config!$C$21:$C$23,$H114)&gt;0,1,0))</f>
        <v>0</v>
      </c>
      <c r="Y114" s="108">
        <f t="shared" si="13"/>
        <v>0</v>
      </c>
      <c r="Z114" s="108" t="str">
        <f t="shared" si="14"/>
        <v/>
      </c>
      <c r="AB114" s="108">
        <f t="shared" si="15"/>
        <v>0</v>
      </c>
      <c r="AC114" s="108">
        <f>IF($A114="",0,IF(AND($AB114=1,COUNTIF($A$2:$A114,$A114)=1),1,0))</f>
        <v>0</v>
      </c>
      <c r="AD114" s="108">
        <f t="shared" si="16"/>
        <v>0</v>
      </c>
      <c r="AE114" s="108" t="str">
        <f t="shared" si="17"/>
        <v/>
      </c>
      <c r="AF114" s="108">
        <f t="shared" si="18"/>
        <v>0</v>
      </c>
      <c r="AG114" s="108">
        <f t="shared" si="19"/>
        <v>0</v>
      </c>
      <c r="AH114" s="110" t="str">
        <f t="shared" si="20"/>
        <v>K. Milcarzyk|20260904|Project Management|0.125|Answering landmen questions and emails with Spencer.</v>
      </c>
      <c r="AI114" s="108">
        <f t="shared" si="21"/>
        <v>0</v>
      </c>
      <c r="AJ114" s="108">
        <f t="shared" si="22"/>
        <v>0</v>
      </c>
      <c r="AK114" s="108">
        <f>IF($A114="",0,IF(AND($S114=1,$W114=1,$X114=1,$U114&gt;Config!$C$9),1,0))</f>
        <v>0</v>
      </c>
      <c r="AL114" s="108">
        <f t="shared" si="23"/>
        <v>0</v>
      </c>
    </row>
    <row r="115" spans="1:38" x14ac:dyDescent="0.25">
      <c r="A115" s="106" t="s">
        <v>622</v>
      </c>
      <c r="B115" s="106" t="s">
        <v>618</v>
      </c>
      <c r="C115" s="107">
        <v>46269</v>
      </c>
      <c r="D115" s="106" t="s">
        <v>680</v>
      </c>
      <c r="E115" s="106" t="s">
        <v>681</v>
      </c>
      <c r="F115" s="106" t="s">
        <v>893</v>
      </c>
      <c r="G115" s="106" t="s">
        <v>894</v>
      </c>
      <c r="H115" s="106" t="s">
        <v>656</v>
      </c>
      <c r="I115" s="106"/>
      <c r="J115" s="106"/>
      <c r="K115" s="106">
        <v>0.125</v>
      </c>
      <c r="L115" s="106">
        <v>0</v>
      </c>
      <c r="M115" s="106">
        <v>0</v>
      </c>
      <c r="N115" s="106"/>
      <c r="O115" s="106"/>
      <c r="P115" s="106">
        <v>0</v>
      </c>
      <c r="Q115" s="106" t="s">
        <v>895</v>
      </c>
      <c r="S115" s="108">
        <f>IF($A115="","",COUNTIF(BPOworkers!$B$6:$B$105,$A115))</f>
        <v>0</v>
      </c>
      <c r="T115" s="109">
        <f>IF($A115="","",$K115*Config!$C$9)</f>
        <v>1</v>
      </c>
      <c r="U115" s="109">
        <f>IF($A115="","",IF(COUNTIF(Config!$C$21:$C$23,$H115)&gt;0,IFERROR(VALUE(LEFT(TRIM($Q115),FIND(" ",TRIM($Q115)&amp;" ")-1)),0),0))</f>
        <v>0</v>
      </c>
      <c r="V115" s="109">
        <f t="shared" si="12"/>
        <v>1</v>
      </c>
      <c r="W115" s="108">
        <f>IF($A115="",0,IF(AND($C115&gt;=Config!$C$7,$C115&lt;=Config!$C$8),1,0))</f>
        <v>1</v>
      </c>
      <c r="X115" s="108">
        <f>IF($A115="",0,IF(COUNTIF(Config!$C$21:$C$23,$H115)&gt;0,1,0))</f>
        <v>0</v>
      </c>
      <c r="Y115" s="108">
        <f t="shared" si="13"/>
        <v>0</v>
      </c>
      <c r="Z115" s="108" t="str">
        <f t="shared" si="14"/>
        <v/>
      </c>
      <c r="AB115" s="108">
        <f t="shared" si="15"/>
        <v>0</v>
      </c>
      <c r="AC115" s="108">
        <f>IF($A115="",0,IF(AND($AB115=1,COUNTIF($A$2:$A115,$A115)=1),1,0))</f>
        <v>0</v>
      </c>
      <c r="AD115" s="108">
        <f t="shared" si="16"/>
        <v>0</v>
      </c>
      <c r="AE115" s="108" t="str">
        <f t="shared" si="17"/>
        <v/>
      </c>
      <c r="AF115" s="108">
        <f t="shared" si="18"/>
        <v>0</v>
      </c>
      <c r="AG115" s="108">
        <f t="shared" si="19"/>
        <v>0</v>
      </c>
      <c r="AH115" s="110" t="str">
        <f t="shared" si="20"/>
        <v>K. Milcarzyk|20260904|Project Management|0.125|Answering questions and updating project log.</v>
      </c>
      <c r="AI115" s="108">
        <f t="shared" si="21"/>
        <v>0</v>
      </c>
      <c r="AJ115" s="108">
        <f t="shared" si="22"/>
        <v>0</v>
      </c>
      <c r="AK115" s="108">
        <f>IF($A115="",0,IF(AND($S115=1,$W115=1,$X115=1,$U115&gt;Config!$C$9),1,0))</f>
        <v>0</v>
      </c>
      <c r="AL115" s="108">
        <f t="shared" si="23"/>
        <v>0</v>
      </c>
    </row>
    <row r="116" spans="1:38" x14ac:dyDescent="0.25">
      <c r="A116" s="106" t="s">
        <v>622</v>
      </c>
      <c r="B116" s="106" t="s">
        <v>618</v>
      </c>
      <c r="C116" s="107">
        <v>46269</v>
      </c>
      <c r="D116" s="106" t="s">
        <v>643</v>
      </c>
      <c r="E116" s="106" t="s">
        <v>644</v>
      </c>
      <c r="F116" s="106" t="s">
        <v>645</v>
      </c>
      <c r="G116" s="106"/>
      <c r="H116" s="106" t="s">
        <v>656</v>
      </c>
      <c r="I116" s="106"/>
      <c r="J116" s="106"/>
      <c r="K116" s="106">
        <v>0.125</v>
      </c>
      <c r="L116" s="106">
        <v>0</v>
      </c>
      <c r="M116" s="106">
        <v>0</v>
      </c>
      <c r="N116" s="106"/>
      <c r="O116" s="106"/>
      <c r="P116" s="106">
        <v>0</v>
      </c>
      <c r="Q116" s="106" t="s">
        <v>896</v>
      </c>
      <c r="S116" s="108">
        <f>IF($A116="","",COUNTIF(BPOworkers!$B$6:$B$105,$A116))</f>
        <v>0</v>
      </c>
      <c r="T116" s="109">
        <f>IF($A116="","",$K116*Config!$C$9)</f>
        <v>1</v>
      </c>
      <c r="U116" s="109">
        <f>IF($A116="","",IF(COUNTIF(Config!$C$21:$C$23,$H116)&gt;0,IFERROR(VALUE(LEFT(TRIM($Q116),FIND(" ",TRIM($Q116)&amp;" ")-1)),0),0))</f>
        <v>0</v>
      </c>
      <c r="V116" s="109">
        <f t="shared" si="12"/>
        <v>1</v>
      </c>
      <c r="W116" s="108">
        <f>IF($A116="",0,IF(AND($C116&gt;=Config!$C$7,$C116&lt;=Config!$C$8),1,0))</f>
        <v>1</v>
      </c>
      <c r="X116" s="108">
        <f>IF($A116="",0,IF(COUNTIF(Config!$C$21:$C$23,$H116)&gt;0,1,0))</f>
        <v>0</v>
      </c>
      <c r="Y116" s="108">
        <f t="shared" si="13"/>
        <v>0</v>
      </c>
      <c r="Z116" s="108" t="str">
        <f t="shared" si="14"/>
        <v/>
      </c>
      <c r="AB116" s="108">
        <f t="shared" si="15"/>
        <v>0</v>
      </c>
      <c r="AC116" s="108">
        <f>IF($A116="",0,IF(AND($AB116=1,COUNTIF($A$2:$A116,$A116)=1),1,0))</f>
        <v>0</v>
      </c>
      <c r="AD116" s="108">
        <f t="shared" si="16"/>
        <v>0</v>
      </c>
      <c r="AE116" s="108" t="str">
        <f t="shared" si="17"/>
        <v/>
      </c>
      <c r="AF116" s="108">
        <f t="shared" si="18"/>
        <v>0</v>
      </c>
      <c r="AG116" s="108">
        <f t="shared" si="19"/>
        <v>0</v>
      </c>
      <c r="AH116" s="110" t="str">
        <f t="shared" si="20"/>
        <v>K. Milcarzyk|20260904|Project Management|0.125|Meeting with landmen individually to discuss overall project status.</v>
      </c>
      <c r="AI116" s="108">
        <f t="shared" si="21"/>
        <v>0</v>
      </c>
      <c r="AJ116" s="108">
        <f t="shared" si="22"/>
        <v>0</v>
      </c>
      <c r="AK116" s="108">
        <f>IF($A116="",0,IF(AND($S116=1,$W116=1,$X116=1,$U116&gt;Config!$C$9),1,0))</f>
        <v>0</v>
      </c>
      <c r="AL116" s="108">
        <f t="shared" si="23"/>
        <v>0</v>
      </c>
    </row>
    <row r="117" spans="1:38" x14ac:dyDescent="0.25">
      <c r="A117" s="106" t="s">
        <v>622</v>
      </c>
      <c r="B117" s="106" t="s">
        <v>618</v>
      </c>
      <c r="C117" s="107">
        <v>46269</v>
      </c>
      <c r="D117" s="106" t="s">
        <v>897</v>
      </c>
      <c r="E117" s="106" t="s">
        <v>898</v>
      </c>
      <c r="F117" s="106" t="s">
        <v>899</v>
      </c>
      <c r="G117" s="106" t="s">
        <v>900</v>
      </c>
      <c r="H117" s="106" t="s">
        <v>656</v>
      </c>
      <c r="I117" s="106"/>
      <c r="J117" s="106"/>
      <c r="K117" s="106">
        <v>0.25</v>
      </c>
      <c r="L117" s="106">
        <v>0</v>
      </c>
      <c r="M117" s="106">
        <v>0</v>
      </c>
      <c r="N117" s="106"/>
      <c r="O117" s="106"/>
      <c r="P117" s="106">
        <v>0</v>
      </c>
      <c r="Q117" s="106" t="s">
        <v>901</v>
      </c>
      <c r="S117" s="108">
        <f>IF($A117="","",COUNTIF(BPOworkers!$B$6:$B$105,$A117))</f>
        <v>0</v>
      </c>
      <c r="T117" s="109">
        <f>IF($A117="","",$K117*Config!$C$9)</f>
        <v>2</v>
      </c>
      <c r="U117" s="109">
        <f>IF($A117="","",IF(COUNTIF(Config!$C$21:$C$23,$H117)&gt;0,IFERROR(VALUE(LEFT(TRIM($Q117),FIND(" ",TRIM($Q117)&amp;" ")-1)),0),0))</f>
        <v>0</v>
      </c>
      <c r="V117" s="109">
        <f t="shared" si="12"/>
        <v>2</v>
      </c>
      <c r="W117" s="108">
        <f>IF($A117="",0,IF(AND($C117&gt;=Config!$C$7,$C117&lt;=Config!$C$8),1,0))</f>
        <v>1</v>
      </c>
      <c r="X117" s="108">
        <f>IF($A117="",0,IF(COUNTIF(Config!$C$21:$C$23,$H117)&gt;0,1,0))</f>
        <v>0</v>
      </c>
      <c r="Y117" s="108">
        <f t="shared" si="13"/>
        <v>0</v>
      </c>
      <c r="Z117" s="108" t="str">
        <f t="shared" si="14"/>
        <v/>
      </c>
      <c r="AB117" s="108">
        <f t="shared" si="15"/>
        <v>0</v>
      </c>
      <c r="AC117" s="108">
        <f>IF($A117="",0,IF(AND($AB117=1,COUNTIF($A$2:$A117,$A117)=1),1,0))</f>
        <v>0</v>
      </c>
      <c r="AD117" s="108">
        <f t="shared" si="16"/>
        <v>0</v>
      </c>
      <c r="AE117" s="108" t="str">
        <f t="shared" si="17"/>
        <v/>
      </c>
      <c r="AF117" s="108">
        <f t="shared" si="18"/>
        <v>0</v>
      </c>
      <c r="AG117" s="108">
        <f t="shared" si="19"/>
        <v>0</v>
      </c>
      <c r="AH117" s="110" t="str">
        <f t="shared" si="20"/>
        <v>K. Milcarzyk|20260904|Project Management|0.250|Meeting with team to discuss staffing and setting up new landmen for project.</v>
      </c>
      <c r="AI117" s="108">
        <f t="shared" si="21"/>
        <v>0</v>
      </c>
      <c r="AJ117" s="108">
        <f t="shared" si="22"/>
        <v>0</v>
      </c>
      <c r="AK117" s="108">
        <f>IF($A117="",0,IF(AND($S117=1,$W117=1,$X117=1,$U117&gt;Config!$C$9),1,0))</f>
        <v>0</v>
      </c>
      <c r="AL117" s="108">
        <f t="shared" si="23"/>
        <v>0</v>
      </c>
    </row>
    <row r="118" spans="1:38" x14ac:dyDescent="0.25">
      <c r="A118" s="106" t="s">
        <v>622</v>
      </c>
      <c r="B118" s="106" t="s">
        <v>618</v>
      </c>
      <c r="C118" s="107">
        <v>46269</v>
      </c>
      <c r="D118" s="106" t="s">
        <v>902</v>
      </c>
      <c r="E118" s="106" t="s">
        <v>903</v>
      </c>
      <c r="F118" s="106" t="s">
        <v>904</v>
      </c>
      <c r="G118" s="106"/>
      <c r="H118" s="106" t="s">
        <v>656</v>
      </c>
      <c r="I118" s="106"/>
      <c r="J118" s="106"/>
      <c r="K118" s="106">
        <v>0.125</v>
      </c>
      <c r="L118" s="106">
        <v>0</v>
      </c>
      <c r="M118" s="106">
        <v>0</v>
      </c>
      <c r="N118" s="106"/>
      <c r="O118" s="106"/>
      <c r="P118" s="106">
        <v>0</v>
      </c>
      <c r="Q118" s="106" t="s">
        <v>905</v>
      </c>
      <c r="S118" s="108">
        <f>IF($A118="","",COUNTIF(BPOworkers!$B$6:$B$105,$A118))</f>
        <v>0</v>
      </c>
      <c r="T118" s="109">
        <f>IF($A118="","",$K118*Config!$C$9)</f>
        <v>1</v>
      </c>
      <c r="U118" s="109">
        <f>IF($A118="","",IF(COUNTIF(Config!$C$21:$C$23,$H118)&gt;0,IFERROR(VALUE(LEFT(TRIM($Q118),FIND(" ",TRIM($Q118)&amp;" ")-1)),0),0))</f>
        <v>0</v>
      </c>
      <c r="V118" s="109">
        <f t="shared" si="12"/>
        <v>1</v>
      </c>
      <c r="W118" s="108">
        <f>IF($A118="",0,IF(AND($C118&gt;=Config!$C$7,$C118&lt;=Config!$C$8),1,0))</f>
        <v>1</v>
      </c>
      <c r="X118" s="108">
        <f>IF($A118="",0,IF(COUNTIF(Config!$C$21:$C$23,$H118)&gt;0,1,0))</f>
        <v>0</v>
      </c>
      <c r="Y118" s="108">
        <f t="shared" si="13"/>
        <v>0</v>
      </c>
      <c r="Z118" s="108" t="str">
        <f t="shared" si="14"/>
        <v/>
      </c>
      <c r="AB118" s="108">
        <f t="shared" si="15"/>
        <v>0</v>
      </c>
      <c r="AC118" s="108">
        <f>IF($A118="",0,IF(AND($AB118=1,COUNTIF($A$2:$A118,$A118)=1),1,0))</f>
        <v>0</v>
      </c>
      <c r="AD118" s="108">
        <f t="shared" si="16"/>
        <v>0</v>
      </c>
      <c r="AE118" s="108" t="str">
        <f t="shared" si="17"/>
        <v/>
      </c>
      <c r="AF118" s="108">
        <f t="shared" si="18"/>
        <v>0</v>
      </c>
      <c r="AG118" s="108">
        <f t="shared" si="19"/>
        <v>0</v>
      </c>
      <c r="AH118" s="110" t="str">
        <f t="shared" si="20"/>
        <v>K. Milcarzyk|20260904|Project Management|0.125|Phone call with Justin to discuss project and staffing updates to finalize project.</v>
      </c>
      <c r="AI118" s="108">
        <f t="shared" si="21"/>
        <v>0</v>
      </c>
      <c r="AJ118" s="108">
        <f t="shared" si="22"/>
        <v>0</v>
      </c>
      <c r="AK118" s="108">
        <f>IF($A118="",0,IF(AND($S118=1,$W118=1,$X118=1,$U118&gt;Config!$C$9),1,0))</f>
        <v>0</v>
      </c>
      <c r="AL118" s="108">
        <f t="shared" si="23"/>
        <v>0</v>
      </c>
    </row>
    <row r="119" spans="1:38" x14ac:dyDescent="0.25">
      <c r="A119" s="106" t="s">
        <v>622</v>
      </c>
      <c r="B119" s="106" t="s">
        <v>618</v>
      </c>
      <c r="C119" s="107">
        <v>46269</v>
      </c>
      <c r="D119" s="106" t="s">
        <v>881</v>
      </c>
      <c r="E119" s="106" t="s">
        <v>906</v>
      </c>
      <c r="F119" s="106"/>
      <c r="G119" s="106"/>
      <c r="H119" s="106" t="s">
        <v>656</v>
      </c>
      <c r="I119" s="106"/>
      <c r="J119" s="106"/>
      <c r="K119" s="106">
        <v>0.125</v>
      </c>
      <c r="L119" s="106">
        <v>0</v>
      </c>
      <c r="M119" s="106">
        <v>0</v>
      </c>
      <c r="N119" s="106"/>
      <c r="O119" s="106"/>
      <c r="P119" s="106">
        <v>0</v>
      </c>
      <c r="Q119" s="106" t="s">
        <v>907</v>
      </c>
      <c r="S119" s="108">
        <f>IF($A119="","",COUNTIF(BPOworkers!$B$6:$B$105,$A119))</f>
        <v>0</v>
      </c>
      <c r="T119" s="109">
        <f>IF($A119="","",$K119*Config!$C$9)</f>
        <v>1</v>
      </c>
      <c r="U119" s="109">
        <f>IF($A119="","",IF(COUNTIF(Config!$C$21:$C$23,$H119)&gt;0,IFERROR(VALUE(LEFT(TRIM($Q119),FIND(" ",TRIM($Q119)&amp;" ")-1)),0),0))</f>
        <v>0</v>
      </c>
      <c r="V119" s="109">
        <f t="shared" si="12"/>
        <v>1</v>
      </c>
      <c r="W119" s="108">
        <f>IF($A119="",0,IF(AND($C119&gt;=Config!$C$7,$C119&lt;=Config!$C$8),1,0))</f>
        <v>1</v>
      </c>
      <c r="X119" s="108">
        <f>IF($A119="",0,IF(COUNTIF(Config!$C$21:$C$23,$H119)&gt;0,1,0))</f>
        <v>0</v>
      </c>
      <c r="Y119" s="108">
        <f t="shared" si="13"/>
        <v>0</v>
      </c>
      <c r="Z119" s="108" t="str">
        <f t="shared" si="14"/>
        <v/>
      </c>
      <c r="AB119" s="108">
        <f t="shared" si="15"/>
        <v>0</v>
      </c>
      <c r="AC119" s="108">
        <f>IF($A119="",0,IF(AND($AB119=1,COUNTIF($A$2:$A119,$A119)=1),1,0))</f>
        <v>0</v>
      </c>
      <c r="AD119" s="108">
        <f t="shared" si="16"/>
        <v>0</v>
      </c>
      <c r="AE119" s="108" t="str">
        <f t="shared" si="17"/>
        <v/>
      </c>
      <c r="AF119" s="108">
        <f t="shared" si="18"/>
        <v>0</v>
      </c>
      <c r="AG119" s="108">
        <f t="shared" si="19"/>
        <v>0</v>
      </c>
      <c r="AH119" s="110" t="str">
        <f t="shared" si="20"/>
        <v>K. Milcarzyk|20260904|Project Management|0.125|Review of weekly status reports and updates from Peter.</v>
      </c>
      <c r="AI119" s="108">
        <f t="shared" si="21"/>
        <v>0</v>
      </c>
      <c r="AJ119" s="108">
        <f t="shared" si="22"/>
        <v>0</v>
      </c>
      <c r="AK119" s="108">
        <f>IF($A119="",0,IF(AND($S119=1,$W119=1,$X119=1,$U119&gt;Config!$C$9),1,0))</f>
        <v>0</v>
      </c>
      <c r="AL119" s="108">
        <f t="shared" si="23"/>
        <v>0</v>
      </c>
    </row>
    <row r="120" spans="1:38" x14ac:dyDescent="0.25">
      <c r="A120" s="106" t="s">
        <v>622</v>
      </c>
      <c r="B120" s="106" t="s">
        <v>618</v>
      </c>
      <c r="C120" s="107">
        <v>46269</v>
      </c>
      <c r="D120" s="106" t="s">
        <v>623</v>
      </c>
      <c r="E120" s="106" t="s">
        <v>624</v>
      </c>
      <c r="F120" s="106" t="s">
        <v>615</v>
      </c>
      <c r="G120" s="106" t="s">
        <v>625</v>
      </c>
      <c r="H120" s="106" t="s">
        <v>656</v>
      </c>
      <c r="I120" s="106"/>
      <c r="J120" s="106"/>
      <c r="K120" s="106">
        <v>0.25</v>
      </c>
      <c r="L120" s="106">
        <v>0</v>
      </c>
      <c r="M120" s="106">
        <v>0</v>
      </c>
      <c r="N120" s="106"/>
      <c r="O120" s="106"/>
      <c r="P120" s="106">
        <v>0</v>
      </c>
      <c r="Q120" s="106" t="s">
        <v>908</v>
      </c>
      <c r="S120" s="108">
        <f>IF($A120="","",COUNTIF(BPOworkers!$B$6:$B$105,$A120))</f>
        <v>0</v>
      </c>
      <c r="T120" s="109">
        <f>IF($A120="","",$K120*Config!$C$9)</f>
        <v>2</v>
      </c>
      <c r="U120" s="109">
        <f>IF($A120="","",IF(COUNTIF(Config!$C$21:$C$23,$H120)&gt;0,IFERROR(VALUE(LEFT(TRIM($Q120),FIND(" ",TRIM($Q120)&amp;" ")-1)),0),0))</f>
        <v>0</v>
      </c>
      <c r="V120" s="109">
        <f t="shared" si="12"/>
        <v>2</v>
      </c>
      <c r="W120" s="108">
        <f>IF($A120="",0,IF(AND($C120&gt;=Config!$C$7,$C120&lt;=Config!$C$8),1,0))</f>
        <v>1</v>
      </c>
      <c r="X120" s="108">
        <f>IF($A120="",0,IF(COUNTIF(Config!$C$21:$C$23,$H120)&gt;0,1,0))</f>
        <v>0</v>
      </c>
      <c r="Y120" s="108">
        <f t="shared" si="13"/>
        <v>0</v>
      </c>
      <c r="Z120" s="108" t="str">
        <f t="shared" si="14"/>
        <v/>
      </c>
      <c r="AB120" s="108">
        <f t="shared" si="15"/>
        <v>0</v>
      </c>
      <c r="AC120" s="108">
        <f>IF($A120="",0,IF(AND($AB120=1,COUNTIF($A$2:$A120,$A120)=1),1,0))</f>
        <v>0</v>
      </c>
      <c r="AD120" s="108">
        <f t="shared" si="16"/>
        <v>0</v>
      </c>
      <c r="AE120" s="108" t="str">
        <f t="shared" si="17"/>
        <v/>
      </c>
      <c r="AF120" s="108">
        <f t="shared" si="18"/>
        <v>0</v>
      </c>
      <c r="AG120" s="108">
        <f t="shared" si="19"/>
        <v>0</v>
      </c>
      <c r="AH120" s="110" t="str">
        <f t="shared" si="20"/>
        <v>K. Milcarzyk|20260904|Project Management|0.250|TLS dashboard call with Kristen and Anders. Updating excel active status project sheet.</v>
      </c>
      <c r="AI120" s="108">
        <f t="shared" si="21"/>
        <v>0</v>
      </c>
      <c r="AJ120" s="108">
        <f t="shared" si="22"/>
        <v>0</v>
      </c>
      <c r="AK120" s="108">
        <f>IF($A120="",0,IF(AND($S120=1,$W120=1,$X120=1,$U120&gt;Config!$C$9),1,0))</f>
        <v>0</v>
      </c>
      <c r="AL120" s="108">
        <f t="shared" si="23"/>
        <v>0</v>
      </c>
    </row>
    <row r="121" spans="1:38" x14ac:dyDescent="0.25">
      <c r="A121" s="106" t="s">
        <v>627</v>
      </c>
      <c r="B121" s="106" t="s">
        <v>618</v>
      </c>
      <c r="C121" s="107">
        <v>46269</v>
      </c>
      <c r="D121" s="106" t="s">
        <v>628</v>
      </c>
      <c r="E121" s="106" t="s">
        <v>629</v>
      </c>
      <c r="F121" s="106" t="s">
        <v>630</v>
      </c>
      <c r="G121" s="106"/>
      <c r="H121" s="106" t="s">
        <v>639</v>
      </c>
      <c r="I121" s="106"/>
      <c r="J121" s="106"/>
      <c r="K121" s="106">
        <v>0.5</v>
      </c>
      <c r="L121" s="106">
        <v>0</v>
      </c>
      <c r="M121" s="106">
        <v>0</v>
      </c>
      <c r="N121" s="106"/>
      <c r="O121" s="106"/>
      <c r="P121" s="106">
        <v>0</v>
      </c>
      <c r="Q121" s="106" t="s">
        <v>909</v>
      </c>
      <c r="S121" s="108">
        <f>IF($A121="","",COUNTIF(BPOworkers!$B$6:$B$105,$A121))</f>
        <v>0</v>
      </c>
      <c r="T121" s="109">
        <f>IF($A121="","",$K121*Config!$C$9)</f>
        <v>4</v>
      </c>
      <c r="U121" s="109">
        <f>IF($A121="","",IF(COUNTIF(Config!$C$21:$C$23,$H121)&gt;0,IFERROR(VALUE(LEFT(TRIM($Q121),FIND(" ",TRIM($Q121)&amp;" ")-1)),0),0))</f>
        <v>0</v>
      </c>
      <c r="V121" s="109">
        <f t="shared" si="12"/>
        <v>4</v>
      </c>
      <c r="W121" s="108">
        <f>IF($A121="",0,IF(AND($C121&gt;=Config!$C$7,$C121&lt;=Config!$C$8),1,0))</f>
        <v>1</v>
      </c>
      <c r="X121" s="108">
        <f>IF($A121="",0,IF(COUNTIF(Config!$C$21:$C$23,$H121)&gt;0,1,0))</f>
        <v>0</v>
      </c>
      <c r="Y121" s="108">
        <f t="shared" si="13"/>
        <v>0</v>
      </c>
      <c r="Z121" s="108" t="str">
        <f t="shared" si="14"/>
        <v/>
      </c>
      <c r="AB121" s="108">
        <f t="shared" si="15"/>
        <v>0</v>
      </c>
      <c r="AC121" s="108">
        <f>IF($A121="",0,IF(AND($AB121=1,COUNTIF($A$2:$A121,$A121)=1),1,0))</f>
        <v>0</v>
      </c>
      <c r="AD121" s="108">
        <f t="shared" si="16"/>
        <v>0</v>
      </c>
      <c r="AE121" s="108" t="str">
        <f t="shared" si="17"/>
        <v/>
      </c>
      <c r="AF121" s="108">
        <f t="shared" si="18"/>
        <v>0</v>
      </c>
      <c r="AG121" s="108">
        <f t="shared" si="19"/>
        <v>0</v>
      </c>
      <c r="AH121" s="110" t="str">
        <f t="shared" si="20"/>
        <v>G. Bond|20260904|Review|0.500|Helped with questions amongst all AOIs.</v>
      </c>
      <c r="AI121" s="108">
        <f t="shared" si="21"/>
        <v>0</v>
      </c>
      <c r="AJ121" s="108">
        <f t="shared" si="22"/>
        <v>0</v>
      </c>
      <c r="AK121" s="108">
        <f>IF($A121="",0,IF(AND($S121=1,$W121=1,$X121=1,$U121&gt;Config!$C$9),1,0))</f>
        <v>0</v>
      </c>
      <c r="AL121" s="108">
        <f t="shared" si="23"/>
        <v>0</v>
      </c>
    </row>
    <row r="122" spans="1:38" x14ac:dyDescent="0.25">
      <c r="A122" s="106" t="s">
        <v>627</v>
      </c>
      <c r="B122" s="106" t="s">
        <v>618</v>
      </c>
      <c r="C122" s="107">
        <v>46269</v>
      </c>
      <c r="D122" s="106" t="s">
        <v>628</v>
      </c>
      <c r="E122" s="106" t="s">
        <v>705</v>
      </c>
      <c r="F122" s="106" t="s">
        <v>630</v>
      </c>
      <c r="G122" s="106" t="s">
        <v>910</v>
      </c>
      <c r="H122" s="106" t="s">
        <v>639</v>
      </c>
      <c r="I122" s="106"/>
      <c r="J122" s="106"/>
      <c r="K122" s="106">
        <v>0.5</v>
      </c>
      <c r="L122" s="106">
        <v>0</v>
      </c>
      <c r="M122" s="106">
        <v>0</v>
      </c>
      <c r="N122" s="106"/>
      <c r="O122" s="106"/>
      <c r="P122" s="106">
        <v>0</v>
      </c>
      <c r="Q122" s="106" t="s">
        <v>911</v>
      </c>
      <c r="S122" s="108">
        <f>IF($A122="","",COUNTIF(BPOworkers!$B$6:$B$105,$A122))</f>
        <v>0</v>
      </c>
      <c r="T122" s="109">
        <f>IF($A122="","",$K122*Config!$C$9)</f>
        <v>4</v>
      </c>
      <c r="U122" s="109">
        <f>IF($A122="","",IF(COUNTIF(Config!$C$21:$C$23,$H122)&gt;0,IFERROR(VALUE(LEFT(TRIM($Q122),FIND(" ",TRIM($Q122)&amp;" ")-1)),0),0))</f>
        <v>0</v>
      </c>
      <c r="V122" s="109">
        <f t="shared" si="12"/>
        <v>4</v>
      </c>
      <c r="W122" s="108">
        <f>IF($A122="",0,IF(AND($C122&gt;=Config!$C$7,$C122&lt;=Config!$C$8),1,0))</f>
        <v>1</v>
      </c>
      <c r="X122" s="108">
        <f>IF($A122="",0,IF(COUNTIF(Config!$C$21:$C$23,$H122)&gt;0,1,0))</f>
        <v>0</v>
      </c>
      <c r="Y122" s="108">
        <f t="shared" si="13"/>
        <v>0</v>
      </c>
      <c r="Z122" s="108" t="str">
        <f t="shared" si="14"/>
        <v/>
      </c>
      <c r="AB122" s="108">
        <f t="shared" si="15"/>
        <v>0</v>
      </c>
      <c r="AC122" s="108">
        <f>IF($A122="",0,IF(AND($AB122=1,COUNTIF($A$2:$A122,$A122)=1),1,0))</f>
        <v>0</v>
      </c>
      <c r="AD122" s="108">
        <f t="shared" si="16"/>
        <v>0</v>
      </c>
      <c r="AE122" s="108" t="str">
        <f t="shared" si="17"/>
        <v/>
      </c>
      <c r="AF122" s="108">
        <f t="shared" si="18"/>
        <v>0</v>
      </c>
      <c r="AG122" s="108">
        <f t="shared" si="19"/>
        <v>0</v>
      </c>
      <c r="AH122" s="110" t="str">
        <f t="shared" si="20"/>
        <v>G. Bond|20260904|Review|0.500|Helped with specific AOI of Sec 28 Blk 34, T4S, Glasscock County, Texas</v>
      </c>
      <c r="AI122" s="108">
        <f t="shared" si="21"/>
        <v>0</v>
      </c>
      <c r="AJ122" s="108">
        <f t="shared" si="22"/>
        <v>0</v>
      </c>
      <c r="AK122" s="108">
        <f>IF($A122="",0,IF(AND($S122=1,$W122=1,$X122=1,$U122&gt;Config!$C$9),1,0))</f>
        <v>0</v>
      </c>
      <c r="AL122" s="108">
        <f t="shared" si="23"/>
        <v>0</v>
      </c>
    </row>
    <row r="123" spans="1:38" x14ac:dyDescent="0.25">
      <c r="A123" s="106" t="s">
        <v>912</v>
      </c>
      <c r="B123" s="106" t="s">
        <v>618</v>
      </c>
      <c r="C123" s="107">
        <v>46269</v>
      </c>
      <c r="D123" s="106" t="s">
        <v>712</v>
      </c>
      <c r="E123" s="106" t="s">
        <v>713</v>
      </c>
      <c r="F123" s="106" t="s">
        <v>714</v>
      </c>
      <c r="G123" s="106" t="s">
        <v>913</v>
      </c>
      <c r="H123" s="106" t="s">
        <v>639</v>
      </c>
      <c r="I123" s="106"/>
      <c r="J123" s="106"/>
      <c r="K123" s="106">
        <v>0.75</v>
      </c>
      <c r="L123" s="106">
        <v>0</v>
      </c>
      <c r="M123" s="106">
        <v>0</v>
      </c>
      <c r="N123" s="106"/>
      <c r="O123" s="106"/>
      <c r="P123" s="106">
        <v>0</v>
      </c>
      <c r="Q123" s="106" t="s">
        <v>914</v>
      </c>
      <c r="S123" s="108">
        <f>IF($A123="","",COUNTIF(BPOworkers!$B$6:$B$105,$A123))</f>
        <v>0</v>
      </c>
      <c r="T123" s="109">
        <f>IF($A123="","",$K123*Config!$C$9)</f>
        <v>6</v>
      </c>
      <c r="U123" s="109">
        <f>IF($A123="","",IF(COUNTIF(Config!$C$21:$C$23,$H123)&gt;0,IFERROR(VALUE(LEFT(TRIM($Q123),FIND(" ",TRIM($Q123)&amp;" ")-1)),0),0))</f>
        <v>0</v>
      </c>
      <c r="V123" s="109">
        <f t="shared" si="12"/>
        <v>6</v>
      </c>
      <c r="W123" s="108">
        <f>IF($A123="",0,IF(AND($C123&gt;=Config!$C$7,$C123&lt;=Config!$C$8),1,0))</f>
        <v>1</v>
      </c>
      <c r="X123" s="108">
        <f>IF($A123="",0,IF(COUNTIF(Config!$C$21:$C$23,$H123)&gt;0,1,0))</f>
        <v>0</v>
      </c>
      <c r="Y123" s="108">
        <f t="shared" si="13"/>
        <v>0</v>
      </c>
      <c r="Z123" s="108" t="str">
        <f t="shared" si="14"/>
        <v/>
      </c>
      <c r="AB123" s="108">
        <f t="shared" si="15"/>
        <v>0</v>
      </c>
      <c r="AC123" s="108">
        <f>IF($A123="",0,IF(AND($AB123=1,COUNTIF($A$2:$A123,$A123)=1),1,0))</f>
        <v>0</v>
      </c>
      <c r="AD123" s="108">
        <f t="shared" si="16"/>
        <v>0</v>
      </c>
      <c r="AE123" s="108" t="str">
        <f t="shared" si="17"/>
        <v/>
      </c>
      <c r="AF123" s="108">
        <f t="shared" si="18"/>
        <v>0</v>
      </c>
      <c r="AG123" s="108">
        <f t="shared" si="19"/>
        <v>0</v>
      </c>
      <c r="AH123" s="110" t="str">
        <f t="shared" si="20"/>
        <v>R. Willis|20260904|Review|0.750|Reviewed AOI notecards and kept track of any changes that were made to the notecards, reviewed LMS.</v>
      </c>
      <c r="AI123" s="108">
        <f t="shared" si="21"/>
        <v>0</v>
      </c>
      <c r="AJ123" s="108">
        <f t="shared" si="22"/>
        <v>0</v>
      </c>
      <c r="AK123" s="108">
        <f>IF($A123="",0,IF(AND($S123=1,$W123=1,$X123=1,$U123&gt;Config!$C$9),1,0))</f>
        <v>0</v>
      </c>
      <c r="AL123" s="108">
        <f t="shared" si="23"/>
        <v>0</v>
      </c>
    </row>
    <row r="124" spans="1:38" x14ac:dyDescent="0.25">
      <c r="A124" s="106" t="s">
        <v>912</v>
      </c>
      <c r="B124" s="106" t="s">
        <v>618</v>
      </c>
      <c r="C124" s="107">
        <v>46269</v>
      </c>
      <c r="D124" s="106" t="s">
        <v>529</v>
      </c>
      <c r="E124" s="106" t="s">
        <v>529</v>
      </c>
      <c r="F124" s="106" t="s">
        <v>615</v>
      </c>
      <c r="G124" s="106"/>
      <c r="H124" s="106" t="s">
        <v>529</v>
      </c>
      <c r="I124" s="106"/>
      <c r="J124" s="106"/>
      <c r="K124" s="106">
        <v>0</v>
      </c>
      <c r="L124" s="106">
        <v>0</v>
      </c>
      <c r="M124" s="106">
        <v>0</v>
      </c>
      <c r="N124" s="106"/>
      <c r="O124" s="106"/>
      <c r="P124" s="106">
        <v>0</v>
      </c>
      <c r="Q124" s="106" t="s">
        <v>915</v>
      </c>
      <c r="S124" s="108">
        <f>IF($A124="","",COUNTIF(BPOworkers!$B$6:$B$105,$A124))</f>
        <v>0</v>
      </c>
      <c r="T124" s="109">
        <f>IF($A124="","",$K124*Config!$C$9)</f>
        <v>0</v>
      </c>
      <c r="U124" s="109">
        <f>IF($A124="","",IF(COUNTIF(Config!$C$21:$C$23,$H124)&gt;0,IFERROR(VALUE(LEFT(TRIM($Q124),FIND(" ",TRIM($Q124)&amp;" ")-1)),0),0))</f>
        <v>2</v>
      </c>
      <c r="V124" s="109">
        <f t="shared" si="12"/>
        <v>2</v>
      </c>
      <c r="W124" s="108">
        <f>IF($A124="",0,IF(AND($C124&gt;=Config!$C$7,$C124&lt;=Config!$C$8),1,0))</f>
        <v>1</v>
      </c>
      <c r="X124" s="108">
        <f>IF($A124="",0,IF(COUNTIF(Config!$C$21:$C$23,$H124)&gt;0,1,0))</f>
        <v>1</v>
      </c>
      <c r="Y124" s="108">
        <f t="shared" si="13"/>
        <v>0</v>
      </c>
      <c r="Z124" s="108" t="str">
        <f t="shared" si="14"/>
        <v/>
      </c>
      <c r="AB124" s="108">
        <f t="shared" si="15"/>
        <v>0</v>
      </c>
      <c r="AC124" s="108">
        <f>IF($A124="",0,IF(AND($AB124=1,COUNTIF($A$2:$A124,$A124)=1),1,0))</f>
        <v>0</v>
      </c>
      <c r="AD124" s="108">
        <f t="shared" si="16"/>
        <v>0</v>
      </c>
      <c r="AE124" s="108" t="str">
        <f t="shared" si="17"/>
        <v/>
      </c>
      <c r="AF124" s="108">
        <f t="shared" si="18"/>
        <v>0</v>
      </c>
      <c r="AG124" s="108">
        <f t="shared" si="19"/>
        <v>0</v>
      </c>
      <c r="AH124" s="110" t="str">
        <f t="shared" si="20"/>
        <v>R. Willis|20260904|Time Off|0.000|2 hours unpaid.</v>
      </c>
      <c r="AI124" s="108">
        <f t="shared" si="21"/>
        <v>0</v>
      </c>
      <c r="AJ124" s="108">
        <f t="shared" si="22"/>
        <v>0</v>
      </c>
      <c r="AK124" s="108">
        <f>IF($A124="",0,IF(AND($S124=1,$W124=1,$X124=1,$U124&gt;Config!$C$9),1,0))</f>
        <v>0</v>
      </c>
      <c r="AL124" s="108">
        <f t="shared" si="23"/>
        <v>0</v>
      </c>
    </row>
    <row r="125" spans="1:38" x14ac:dyDescent="0.25">
      <c r="A125" s="106" t="s">
        <v>634</v>
      </c>
      <c r="B125" s="106" t="s">
        <v>618</v>
      </c>
      <c r="C125" s="107">
        <v>46269</v>
      </c>
      <c r="D125" s="106" t="s">
        <v>635</v>
      </c>
      <c r="E125" s="106" t="s">
        <v>636</v>
      </c>
      <c r="F125" s="106" t="s">
        <v>637</v>
      </c>
      <c r="G125" s="106" t="s">
        <v>638</v>
      </c>
      <c r="H125" s="106" t="s">
        <v>639</v>
      </c>
      <c r="I125" s="106"/>
      <c r="J125" s="106"/>
      <c r="K125" s="106">
        <v>1</v>
      </c>
      <c r="L125" s="106">
        <v>0</v>
      </c>
      <c r="M125" s="106">
        <v>0</v>
      </c>
      <c r="N125" s="106"/>
      <c r="O125" s="106"/>
      <c r="P125" s="106">
        <v>0</v>
      </c>
      <c r="Q125" s="106" t="s">
        <v>861</v>
      </c>
      <c r="S125" s="108">
        <f>IF($A125="","",COUNTIF(BPOworkers!$B$6:$B$105,$A125))</f>
        <v>0</v>
      </c>
      <c r="T125" s="109">
        <f>IF($A125="","",$K125*Config!$C$9)</f>
        <v>8</v>
      </c>
      <c r="U125" s="109">
        <f>IF($A125="","",IF(COUNTIF(Config!$C$21:$C$23,$H125)&gt;0,IFERROR(VALUE(LEFT(TRIM($Q125),FIND(" ",TRIM($Q125)&amp;" ")-1)),0),0))</f>
        <v>0</v>
      </c>
      <c r="V125" s="109">
        <f t="shared" si="12"/>
        <v>8</v>
      </c>
      <c r="W125" s="108">
        <f>IF($A125="",0,IF(AND($C125&gt;=Config!$C$7,$C125&lt;=Config!$C$8),1,0))</f>
        <v>1</v>
      </c>
      <c r="X125" s="108">
        <f>IF($A125="",0,IF(COUNTIF(Config!$C$21:$C$23,$H125)&gt;0,1,0))</f>
        <v>0</v>
      </c>
      <c r="Y125" s="108">
        <f t="shared" si="13"/>
        <v>0</v>
      </c>
      <c r="Z125" s="108" t="str">
        <f t="shared" si="14"/>
        <v/>
      </c>
      <c r="AB125" s="108">
        <f t="shared" si="15"/>
        <v>0</v>
      </c>
      <c r="AC125" s="108">
        <f>IF($A125="",0,IF(AND($AB125=1,COUNTIF($A$2:$A125,$A125)=1),1,0))</f>
        <v>0</v>
      </c>
      <c r="AD125" s="108">
        <f t="shared" si="16"/>
        <v>0</v>
      </c>
      <c r="AE125" s="108" t="str">
        <f t="shared" si="17"/>
        <v/>
      </c>
      <c r="AF125" s="108">
        <f t="shared" si="18"/>
        <v>0</v>
      </c>
      <c r="AG125" s="108">
        <f t="shared" si="19"/>
        <v>0</v>
      </c>
      <c r="AH125" s="110" t="str">
        <f t="shared" si="20"/>
        <v xml:space="preserve">L. Bailiff|20260904|Review|1.000|Reviewed AOI for Section 28, Township 19 South, Range 34 East in Lea County, NM associated with Federal Lease NM057285. </v>
      </c>
      <c r="AI125" s="108">
        <f t="shared" si="21"/>
        <v>0</v>
      </c>
      <c r="AJ125" s="108">
        <f t="shared" si="22"/>
        <v>0</v>
      </c>
      <c r="AK125" s="108">
        <f>IF($A125="",0,IF(AND($S125=1,$W125=1,$X125=1,$U125&gt;Config!$C$9),1,0))</f>
        <v>0</v>
      </c>
      <c r="AL125" s="108">
        <f t="shared" si="23"/>
        <v>0</v>
      </c>
    </row>
    <row r="126" spans="1:38" x14ac:dyDescent="0.25">
      <c r="A126" s="106" t="s">
        <v>641</v>
      </c>
      <c r="B126" s="106" t="s">
        <v>618</v>
      </c>
      <c r="C126" s="107">
        <v>46269</v>
      </c>
      <c r="D126" s="106" t="s">
        <v>529</v>
      </c>
      <c r="E126" s="106" t="s">
        <v>529</v>
      </c>
      <c r="F126" s="106" t="s">
        <v>615</v>
      </c>
      <c r="G126" s="106"/>
      <c r="H126" s="106" t="s">
        <v>529</v>
      </c>
      <c r="I126" s="106"/>
      <c r="J126" s="106"/>
      <c r="K126" s="106">
        <v>0</v>
      </c>
      <c r="L126" s="106">
        <v>0</v>
      </c>
      <c r="M126" s="106">
        <v>0</v>
      </c>
      <c r="N126" s="106"/>
      <c r="O126" s="106"/>
      <c r="P126" s="106">
        <v>0</v>
      </c>
      <c r="Q126" s="106" t="s">
        <v>916</v>
      </c>
      <c r="S126" s="108">
        <f>IF($A126="","",COUNTIF(BPOworkers!$B$6:$B$105,$A126))</f>
        <v>0</v>
      </c>
      <c r="T126" s="109">
        <f>IF($A126="","",$K126*Config!$C$9)</f>
        <v>0</v>
      </c>
      <c r="U126" s="109">
        <f>IF($A126="","",IF(COUNTIF(Config!$C$21:$C$23,$H126)&gt;0,IFERROR(VALUE(LEFT(TRIM($Q126),FIND(" ",TRIM($Q126)&amp;" ")-1)),0),0))</f>
        <v>0</v>
      </c>
      <c r="V126" s="109">
        <f t="shared" si="12"/>
        <v>0</v>
      </c>
      <c r="W126" s="108">
        <f>IF($A126="",0,IF(AND($C126&gt;=Config!$C$7,$C126&lt;=Config!$C$8),1,0))</f>
        <v>1</v>
      </c>
      <c r="X126" s="108">
        <f>IF($A126="",0,IF(COUNTIF(Config!$C$21:$C$23,$H126)&gt;0,1,0))</f>
        <v>1</v>
      </c>
      <c r="Y126" s="108">
        <f t="shared" si="13"/>
        <v>0</v>
      </c>
      <c r="Z126" s="108" t="str">
        <f t="shared" si="14"/>
        <v/>
      </c>
      <c r="AB126" s="108">
        <f t="shared" si="15"/>
        <v>0</v>
      </c>
      <c r="AC126" s="108">
        <f>IF($A126="",0,IF(AND($AB126=1,COUNTIF($A$2:$A126,$A126)=1),1,0))</f>
        <v>0</v>
      </c>
      <c r="AD126" s="108">
        <f t="shared" si="16"/>
        <v>0</v>
      </c>
      <c r="AE126" s="108" t="str">
        <f t="shared" si="17"/>
        <v/>
      </c>
      <c r="AF126" s="108">
        <f t="shared" si="18"/>
        <v>0</v>
      </c>
      <c r="AG126" s="108">
        <f t="shared" si="19"/>
        <v>0</v>
      </c>
      <c r="AH126" s="110" t="str">
        <f t="shared" si="20"/>
        <v>M. Young|20260904|Time Off|0.000|Not Billed - 8 hours</v>
      </c>
      <c r="AI126" s="108">
        <f t="shared" si="21"/>
        <v>0</v>
      </c>
      <c r="AJ126" s="108">
        <f t="shared" si="22"/>
        <v>0</v>
      </c>
      <c r="AK126" s="108">
        <f>IF($A126="",0,IF(AND($S126=1,$W126=1,$X126=1,$U126&gt;Config!$C$9),1,0))</f>
        <v>0</v>
      </c>
      <c r="AL126" s="108">
        <f t="shared" si="23"/>
        <v>0</v>
      </c>
    </row>
    <row r="127" spans="1:38" x14ac:dyDescent="0.25">
      <c r="A127" s="106" t="s">
        <v>648</v>
      </c>
      <c r="B127" s="106" t="s">
        <v>618</v>
      </c>
      <c r="C127" s="107">
        <v>46269</v>
      </c>
      <c r="D127" s="106" t="s">
        <v>529</v>
      </c>
      <c r="E127" s="106" t="s">
        <v>529</v>
      </c>
      <c r="F127" s="106" t="s">
        <v>615</v>
      </c>
      <c r="G127" s="106"/>
      <c r="H127" s="106" t="s">
        <v>529</v>
      </c>
      <c r="I127" s="106"/>
      <c r="J127" s="106"/>
      <c r="K127" s="106">
        <v>0</v>
      </c>
      <c r="L127" s="106">
        <v>0</v>
      </c>
      <c r="M127" s="106">
        <v>0</v>
      </c>
      <c r="N127" s="106"/>
      <c r="O127" s="106"/>
      <c r="P127" s="106">
        <v>0</v>
      </c>
      <c r="Q127" s="106" t="s">
        <v>649</v>
      </c>
      <c r="S127" s="108">
        <f>IF($A127="","",COUNTIF(BPOworkers!$B$6:$B$105,$A127))</f>
        <v>0</v>
      </c>
      <c r="T127" s="109">
        <f>IF($A127="","",$K127*Config!$C$9)</f>
        <v>0</v>
      </c>
      <c r="U127" s="109">
        <f>IF($A127="","",IF(COUNTIF(Config!$C$21:$C$23,$H127)&gt;0,IFERROR(VALUE(LEFT(TRIM($Q127),FIND(" ",TRIM($Q127)&amp;" ")-1)),0),0))</f>
        <v>8</v>
      </c>
      <c r="V127" s="109">
        <f t="shared" si="12"/>
        <v>8</v>
      </c>
      <c r="W127" s="108">
        <f>IF($A127="",0,IF(AND($C127&gt;=Config!$C$7,$C127&lt;=Config!$C$8),1,0))</f>
        <v>1</v>
      </c>
      <c r="X127" s="108">
        <f>IF($A127="",0,IF(COUNTIF(Config!$C$21:$C$23,$H127)&gt;0,1,0))</f>
        <v>1</v>
      </c>
      <c r="Y127" s="108">
        <f t="shared" si="13"/>
        <v>0</v>
      </c>
      <c r="Z127" s="108" t="str">
        <f t="shared" si="14"/>
        <v/>
      </c>
      <c r="AB127" s="108">
        <f t="shared" si="15"/>
        <v>0</v>
      </c>
      <c r="AC127" s="108">
        <f>IF($A127="",0,IF(AND($AB127=1,COUNTIF($A$2:$A127,$A127)=1),1,0))</f>
        <v>0</v>
      </c>
      <c r="AD127" s="108">
        <f t="shared" si="16"/>
        <v>0</v>
      </c>
      <c r="AE127" s="108" t="str">
        <f t="shared" si="17"/>
        <v/>
      </c>
      <c r="AF127" s="108">
        <f t="shared" si="18"/>
        <v>0</v>
      </c>
      <c r="AG127" s="108">
        <f t="shared" si="19"/>
        <v>0</v>
      </c>
      <c r="AH127" s="110" t="str">
        <f t="shared" si="20"/>
        <v>M. Witheridge|20260904|Time Off|0.000|8 hours unpaid</v>
      </c>
      <c r="AI127" s="108">
        <f t="shared" si="21"/>
        <v>0</v>
      </c>
      <c r="AJ127" s="108">
        <f t="shared" si="22"/>
        <v>0</v>
      </c>
      <c r="AK127" s="108">
        <f>IF($A127="",0,IF(AND($S127=1,$W127=1,$X127=1,$U127&gt;Config!$C$9),1,0))</f>
        <v>0</v>
      </c>
      <c r="AL127" s="108">
        <f t="shared" si="23"/>
        <v>0</v>
      </c>
    </row>
    <row r="128" spans="1:38" x14ac:dyDescent="0.25">
      <c r="A128" s="106" t="s">
        <v>650</v>
      </c>
      <c r="B128" s="106" t="s">
        <v>618</v>
      </c>
      <c r="C128" s="107">
        <v>46269</v>
      </c>
      <c r="D128" s="106" t="s">
        <v>694</v>
      </c>
      <c r="E128" s="106" t="s">
        <v>695</v>
      </c>
      <c r="F128" s="106" t="s">
        <v>766</v>
      </c>
      <c r="G128" s="106" t="s">
        <v>917</v>
      </c>
      <c r="H128" s="106" t="s">
        <v>639</v>
      </c>
      <c r="I128" s="106"/>
      <c r="J128" s="106"/>
      <c r="K128" s="106">
        <v>0.25</v>
      </c>
      <c r="L128" s="106">
        <v>0</v>
      </c>
      <c r="M128" s="106">
        <v>0</v>
      </c>
      <c r="N128" s="106"/>
      <c r="O128" s="106"/>
      <c r="P128" s="106">
        <v>0</v>
      </c>
      <c r="Q128" s="106" t="s">
        <v>918</v>
      </c>
      <c r="S128" s="108">
        <f>IF($A128="","",COUNTIF(BPOworkers!$B$6:$B$105,$A128))</f>
        <v>0</v>
      </c>
      <c r="T128" s="109">
        <f>IF($A128="","",$K128*Config!$C$9)</f>
        <v>2</v>
      </c>
      <c r="U128" s="109">
        <f>IF($A128="","",IF(COUNTIF(Config!$C$21:$C$23,$H128)&gt;0,IFERROR(VALUE(LEFT(TRIM($Q128),FIND(" ",TRIM($Q128)&amp;" ")-1)),0),0))</f>
        <v>0</v>
      </c>
      <c r="V128" s="109">
        <f t="shared" si="12"/>
        <v>2</v>
      </c>
      <c r="W128" s="108">
        <f>IF($A128="",0,IF(AND($C128&gt;=Config!$C$7,$C128&lt;=Config!$C$8),1,0))</f>
        <v>1</v>
      </c>
      <c r="X128" s="108">
        <f>IF($A128="",0,IF(COUNTIF(Config!$C$21:$C$23,$H128)&gt;0,1,0))</f>
        <v>0</v>
      </c>
      <c r="Y128" s="108">
        <f t="shared" si="13"/>
        <v>0</v>
      </c>
      <c r="Z128" s="108" t="str">
        <f t="shared" si="14"/>
        <v/>
      </c>
      <c r="AB128" s="108">
        <f t="shared" si="15"/>
        <v>0</v>
      </c>
      <c r="AC128" s="108">
        <f>IF($A128="",0,IF(AND($AB128=1,COUNTIF($A$2:$A128,$A128)=1),1,0))</f>
        <v>0</v>
      </c>
      <c r="AD128" s="108">
        <f t="shared" si="16"/>
        <v>0</v>
      </c>
      <c r="AE128" s="108" t="str">
        <f t="shared" si="17"/>
        <v/>
      </c>
      <c r="AF128" s="108">
        <f t="shared" si="18"/>
        <v>0</v>
      </c>
      <c r="AG128" s="108">
        <f t="shared" si="19"/>
        <v>0</v>
      </c>
      <c r="AH128" s="110" t="str">
        <f t="shared" si="20"/>
        <v>P. Elliott|20260904|Review|0.250|Finalized review of subject AOI. Prepared email with all revisions and additions to landman.</v>
      </c>
      <c r="AI128" s="108">
        <f t="shared" si="21"/>
        <v>0</v>
      </c>
      <c r="AJ128" s="108">
        <f t="shared" si="22"/>
        <v>0</v>
      </c>
      <c r="AK128" s="108">
        <f>IF($A128="",0,IF(AND($S128=1,$W128=1,$X128=1,$U128&gt;Config!$C$9),1,0))</f>
        <v>0</v>
      </c>
      <c r="AL128" s="108">
        <f t="shared" si="23"/>
        <v>0</v>
      </c>
    </row>
    <row r="129" spans="1:38" x14ac:dyDescent="0.25">
      <c r="A129" s="106" t="s">
        <v>650</v>
      </c>
      <c r="B129" s="106" t="s">
        <v>618</v>
      </c>
      <c r="C129" s="107">
        <v>46269</v>
      </c>
      <c r="D129" s="106" t="s">
        <v>694</v>
      </c>
      <c r="E129" s="106" t="s">
        <v>919</v>
      </c>
      <c r="F129" s="106" t="s">
        <v>766</v>
      </c>
      <c r="G129" s="106" t="s">
        <v>920</v>
      </c>
      <c r="H129" s="106" t="s">
        <v>639</v>
      </c>
      <c r="I129" s="106"/>
      <c r="J129" s="106"/>
      <c r="K129" s="106">
        <v>0.75</v>
      </c>
      <c r="L129" s="106">
        <v>0</v>
      </c>
      <c r="M129" s="106">
        <v>0</v>
      </c>
      <c r="N129" s="106"/>
      <c r="O129" s="106"/>
      <c r="P129" s="106">
        <v>0</v>
      </c>
      <c r="Q129" s="106" t="s">
        <v>921</v>
      </c>
      <c r="S129" s="108">
        <f>IF($A129="","",COUNTIF(BPOworkers!$B$6:$B$105,$A129))</f>
        <v>0</v>
      </c>
      <c r="T129" s="109">
        <f>IF($A129="","",$K129*Config!$C$9)</f>
        <v>6</v>
      </c>
      <c r="U129" s="109">
        <f>IF($A129="","",IF(COUNTIF(Config!$C$21:$C$23,$H129)&gt;0,IFERROR(VALUE(LEFT(TRIM($Q129),FIND(" ",TRIM($Q129)&amp;" ")-1)),0),0))</f>
        <v>0</v>
      </c>
      <c r="V129" s="109">
        <f t="shared" si="12"/>
        <v>6</v>
      </c>
      <c r="W129" s="108">
        <f>IF($A129="",0,IF(AND($C129&gt;=Config!$C$7,$C129&lt;=Config!$C$8),1,0))</f>
        <v>1</v>
      </c>
      <c r="X129" s="108">
        <f>IF($A129="",0,IF(COUNTIF(Config!$C$21:$C$23,$H129)&gt;0,1,0))</f>
        <v>0</v>
      </c>
      <c r="Y129" s="108">
        <f t="shared" si="13"/>
        <v>0</v>
      </c>
      <c r="Z129" s="108" t="str">
        <f t="shared" si="14"/>
        <v/>
      </c>
      <c r="AB129" s="108">
        <f t="shared" si="15"/>
        <v>0</v>
      </c>
      <c r="AC129" s="108">
        <f>IF($A129="",0,IF(AND($AB129=1,COUNTIF($A$2:$A129,$A129)=1),1,0))</f>
        <v>0</v>
      </c>
      <c r="AD129" s="108">
        <f t="shared" si="16"/>
        <v>0</v>
      </c>
      <c r="AE129" s="108" t="str">
        <f t="shared" si="17"/>
        <v/>
      </c>
      <c r="AF129" s="108">
        <f t="shared" si="18"/>
        <v>0</v>
      </c>
      <c r="AG129" s="108">
        <f t="shared" si="19"/>
        <v>0</v>
      </c>
      <c r="AH129" s="110" t="str">
        <f t="shared" si="20"/>
        <v>P. Elliott|20260904|Review|0.750|Reviewed subject AOI.</v>
      </c>
      <c r="AI129" s="108">
        <f t="shared" si="21"/>
        <v>0</v>
      </c>
      <c r="AJ129" s="108">
        <f t="shared" si="22"/>
        <v>0</v>
      </c>
      <c r="AK129" s="108">
        <f>IF($A129="",0,IF(AND($S129=1,$W129=1,$X129=1,$U129&gt;Config!$C$9),1,0))</f>
        <v>0</v>
      </c>
      <c r="AL129" s="108">
        <f t="shared" si="23"/>
        <v>0</v>
      </c>
    </row>
    <row r="130" spans="1:38" x14ac:dyDescent="0.25">
      <c r="A130" s="106" t="s">
        <v>922</v>
      </c>
      <c r="B130" s="106" t="s">
        <v>618</v>
      </c>
      <c r="C130" s="107">
        <v>46269</v>
      </c>
      <c r="D130" s="106" t="s">
        <v>529</v>
      </c>
      <c r="E130" s="106" t="s">
        <v>529</v>
      </c>
      <c r="F130" s="106" t="s">
        <v>615</v>
      </c>
      <c r="G130" s="106"/>
      <c r="H130" s="106" t="s">
        <v>529</v>
      </c>
      <c r="I130" s="106"/>
      <c r="J130" s="106"/>
      <c r="K130" s="106">
        <v>0</v>
      </c>
      <c r="L130" s="106">
        <v>0</v>
      </c>
      <c r="M130" s="106">
        <v>0</v>
      </c>
      <c r="N130" s="106"/>
      <c r="O130" s="106"/>
      <c r="P130" s="106">
        <v>0</v>
      </c>
      <c r="Q130" s="106" t="s">
        <v>923</v>
      </c>
      <c r="S130" s="108">
        <f>IF($A130="","",COUNTIF(BPOworkers!$B$6:$B$105,$A130))</f>
        <v>0</v>
      </c>
      <c r="T130" s="109">
        <f>IF($A130="","",$K130*Config!$C$9)</f>
        <v>0</v>
      </c>
      <c r="U130" s="109">
        <f>IF($A130="","",IF(COUNTIF(Config!$C$21:$C$23,$H130)&gt;0,IFERROR(VALUE(LEFT(TRIM($Q130),FIND(" ",TRIM($Q130)&amp;" ")-1)),0),0))</f>
        <v>0</v>
      </c>
      <c r="V130" s="109">
        <f t="shared" ref="V130:V193" si="24">IF($A130="","",$T130+$U130)</f>
        <v>0</v>
      </c>
      <c r="W130" s="108">
        <f>IF($A130="",0,IF(AND($C130&gt;=Config!$C$7,$C130&lt;=Config!$C$8),1,0))</f>
        <v>1</v>
      </c>
      <c r="X130" s="108">
        <f>IF($A130="",0,IF(COUNTIF(Config!$C$21:$C$23,$H130)&gt;0,1,0))</f>
        <v>1</v>
      </c>
      <c r="Y130" s="108">
        <f t="shared" ref="Y130:Y193" si="25">IF($A130="",MAX(0,Y129),MAX(0,Y129)+IF(AND($W130=1,$X130=1,$S130=1),1,0))</f>
        <v>0</v>
      </c>
      <c r="Z130" s="108" t="str">
        <f t="shared" ref="Z130:Z193" si="26">IF($A130="","",IF(AND($W130=1,$X130=1,$S130=1),$Y130,""))</f>
        <v/>
      </c>
      <c r="AB130" s="108">
        <f t="shared" ref="AB130:AB193" si="27">IF($A130="",0,IF(AND($S130=0,ISERROR(FIND(".",$A130))),1,0))</f>
        <v>0</v>
      </c>
      <c r="AC130" s="108">
        <f>IF($A130="",0,IF(AND($AB130=1,COUNTIF($A$2:$A130,$A130)=1),1,0))</f>
        <v>0</v>
      </c>
      <c r="AD130" s="108">
        <f t="shared" ref="AD130:AD193" si="28">IF($A130="",MAX(0,AD129),MAX(0,AD129)+$AC130)</f>
        <v>0</v>
      </c>
      <c r="AE130" s="108" t="str">
        <f t="shared" ref="AE130:AE193" si="29">IF($AC130=1,$AD130,"")</f>
        <v/>
      </c>
      <c r="AF130" s="108">
        <f t="shared" ref="AF130:AF193" si="30">IF($A130="",0,IFERROR(IF(AND($S130=1,WEEKDAY($C130,2)&gt;5),1,0),0))</f>
        <v>0</v>
      </c>
      <c r="AG130" s="108">
        <f t="shared" ref="AG130:AG193" si="31">IF($A130="",0,IF(AND($S130=1,$W130=0),1,0))</f>
        <v>0</v>
      </c>
      <c r="AH130" s="110" t="str">
        <f t="shared" ref="AH130:AH193" si="32">IF($A130="","",$A130&amp;"|"&amp;TEXT($C130,"yyyymmdd")&amp;"|"&amp;$H130&amp;"|"&amp;TEXT($K130,"0.000")&amp;"|"&amp;SUBSTITUTE(SUBSTITUTE(SUBSTITUTE(LEFT($Q130,120),"~",""),"*",""),"?",""))</f>
        <v>S. Laine|20260904|Time Off|0.000|time off 8.00</v>
      </c>
      <c r="AI130" s="108">
        <f t="shared" ref="AI130:AI193" si="33">IF($A130="",0,IF(AND($S130=1,$W130=1,COUNTIF($AH$2:$AH$1500,$AH130)&gt;1),1,0))</f>
        <v>0</v>
      </c>
      <c r="AJ130" s="108">
        <f t="shared" ref="AJ130:AJ193" si="34">IF($A130="",0,IF(AND($S130=1,$W130=1,ABS($K130*8-ROUND($K130*8,0))&gt;0.0001),1,0))</f>
        <v>0</v>
      </c>
      <c r="AK130" s="108">
        <f>IF($A130="",0,IF(AND($S130=1,$W130=1,$X130=1,$U130&gt;Config!$C$9),1,0))</f>
        <v>0</v>
      </c>
      <c r="AL130" s="108">
        <f t="shared" ref="AL130:AL193" si="35">IF($A130="",0,IF(AND($S130=1,$W130=1,$X130=1,$U130=0),1,0))</f>
        <v>0</v>
      </c>
    </row>
    <row r="131" spans="1:38" x14ac:dyDescent="0.25">
      <c r="A131" s="106" t="s">
        <v>924</v>
      </c>
      <c r="B131" s="106" t="s">
        <v>618</v>
      </c>
      <c r="C131" s="107">
        <v>46269</v>
      </c>
      <c r="D131" s="106" t="s">
        <v>529</v>
      </c>
      <c r="E131" s="106" t="s">
        <v>529</v>
      </c>
      <c r="F131" s="106" t="s">
        <v>615</v>
      </c>
      <c r="G131" s="106"/>
      <c r="H131" s="106" t="s">
        <v>529</v>
      </c>
      <c r="I131" s="106"/>
      <c r="J131" s="106"/>
      <c r="K131" s="106">
        <v>0</v>
      </c>
      <c r="L131" s="106">
        <v>0</v>
      </c>
      <c r="M131" s="106">
        <v>0</v>
      </c>
      <c r="N131" s="106"/>
      <c r="O131" s="106"/>
      <c r="P131" s="106">
        <v>0</v>
      </c>
      <c r="Q131" s="106" t="s">
        <v>661</v>
      </c>
      <c r="S131" s="108">
        <f>IF($A131="","",COUNTIF(BPOworkers!$B$6:$B$105,$A131))</f>
        <v>0</v>
      </c>
      <c r="T131" s="109">
        <f>IF($A131="","",$K131*Config!$C$9)</f>
        <v>0</v>
      </c>
      <c r="U131" s="109">
        <f>IF($A131="","",IF(COUNTIF(Config!$C$21:$C$23,$H131)&gt;0,IFERROR(VALUE(LEFT(TRIM($Q131),FIND(" ",TRIM($Q131)&amp;" ")-1)),0),0))</f>
        <v>8</v>
      </c>
      <c r="V131" s="109">
        <f t="shared" si="24"/>
        <v>8</v>
      </c>
      <c r="W131" s="108">
        <f>IF($A131="",0,IF(AND($C131&gt;=Config!$C$7,$C131&lt;=Config!$C$8),1,0))</f>
        <v>1</v>
      </c>
      <c r="X131" s="108">
        <f>IF($A131="",0,IF(COUNTIF(Config!$C$21:$C$23,$H131)&gt;0,1,0))</f>
        <v>1</v>
      </c>
      <c r="Y131" s="108">
        <f t="shared" si="25"/>
        <v>0</v>
      </c>
      <c r="Z131" s="108" t="str">
        <f t="shared" si="26"/>
        <v/>
      </c>
      <c r="AB131" s="108">
        <f t="shared" si="27"/>
        <v>0</v>
      </c>
      <c r="AC131" s="108">
        <f>IF($A131="",0,IF(AND($AB131=1,COUNTIF($A$2:$A131,$A131)=1),1,0))</f>
        <v>0</v>
      </c>
      <c r="AD131" s="108">
        <f t="shared" si="28"/>
        <v>0</v>
      </c>
      <c r="AE131" s="108" t="str">
        <f t="shared" si="29"/>
        <v/>
      </c>
      <c r="AF131" s="108">
        <f t="shared" si="30"/>
        <v>0</v>
      </c>
      <c r="AG131" s="108">
        <f t="shared" si="31"/>
        <v>0</v>
      </c>
      <c r="AH131" s="110" t="str">
        <f t="shared" si="32"/>
        <v>B. Shlemon|20260904|Time Off|0.000|8 hours not billed</v>
      </c>
      <c r="AI131" s="108">
        <f t="shared" si="33"/>
        <v>0</v>
      </c>
      <c r="AJ131" s="108">
        <f t="shared" si="34"/>
        <v>0</v>
      </c>
      <c r="AK131" s="108">
        <f>IF($A131="",0,IF(AND($S131=1,$W131=1,$X131=1,$U131&gt;Config!$C$9),1,0))</f>
        <v>0</v>
      </c>
      <c r="AL131" s="108">
        <f t="shared" si="35"/>
        <v>0</v>
      </c>
    </row>
    <row r="132" spans="1:38" x14ac:dyDescent="0.25">
      <c r="A132" s="106" t="s">
        <v>652</v>
      </c>
      <c r="B132" s="106" t="s">
        <v>618</v>
      </c>
      <c r="C132" s="107">
        <v>46269</v>
      </c>
      <c r="D132" s="106" t="s">
        <v>635</v>
      </c>
      <c r="E132" s="106" t="s">
        <v>636</v>
      </c>
      <c r="F132" s="106" t="s">
        <v>637</v>
      </c>
      <c r="G132" s="106" t="s">
        <v>925</v>
      </c>
      <c r="H132" s="106" t="s">
        <v>656</v>
      </c>
      <c r="I132" s="106"/>
      <c r="J132" s="106"/>
      <c r="K132" s="106">
        <v>0.5</v>
      </c>
      <c r="L132" s="106">
        <v>0</v>
      </c>
      <c r="M132" s="106">
        <v>0</v>
      </c>
      <c r="N132" s="106"/>
      <c r="O132" s="106"/>
      <c r="P132" s="106">
        <v>0</v>
      </c>
      <c r="Q132" s="106" t="s">
        <v>926</v>
      </c>
      <c r="S132" s="108">
        <f>IF($A132="","",COUNTIF(BPOworkers!$B$6:$B$105,$A132))</f>
        <v>0</v>
      </c>
      <c r="T132" s="109">
        <f>IF($A132="","",$K132*Config!$C$9)</f>
        <v>4</v>
      </c>
      <c r="U132" s="109">
        <f>IF($A132="","",IF(COUNTIF(Config!$C$21:$C$23,$H132)&gt;0,IFERROR(VALUE(LEFT(TRIM($Q132),FIND(" ",TRIM($Q132)&amp;" ")-1)),0),0))</f>
        <v>0</v>
      </c>
      <c r="V132" s="109">
        <f t="shared" si="24"/>
        <v>4</v>
      </c>
      <c r="W132" s="108">
        <f>IF($A132="",0,IF(AND($C132&gt;=Config!$C$7,$C132&lt;=Config!$C$8),1,0))</f>
        <v>1</v>
      </c>
      <c r="X132" s="108">
        <f>IF($A132="",0,IF(COUNTIF(Config!$C$21:$C$23,$H132)&gt;0,1,0))</f>
        <v>0</v>
      </c>
      <c r="Y132" s="108">
        <f t="shared" si="25"/>
        <v>0</v>
      </c>
      <c r="Z132" s="108" t="str">
        <f t="shared" si="26"/>
        <v/>
      </c>
      <c r="AB132" s="108">
        <f t="shared" si="27"/>
        <v>0</v>
      </c>
      <c r="AC132" s="108">
        <f>IF($A132="",0,IF(AND($AB132=1,COUNTIF($A$2:$A132,$A132)=1),1,0))</f>
        <v>0</v>
      </c>
      <c r="AD132" s="108">
        <f t="shared" si="28"/>
        <v>0</v>
      </c>
      <c r="AE132" s="108" t="str">
        <f t="shared" si="29"/>
        <v/>
      </c>
      <c r="AF132" s="108">
        <f t="shared" si="30"/>
        <v>0</v>
      </c>
      <c r="AG132" s="108">
        <f t="shared" si="31"/>
        <v>0</v>
      </c>
      <c r="AH132" s="110" t="str">
        <f t="shared" si="32"/>
        <v>J. Greenlee|20260904|Project Management|0.500|Correspondence with reviewers and management. Prep of client deliverables and addresses lookup and representation look u</v>
      </c>
      <c r="AI132" s="108">
        <f t="shared" si="33"/>
        <v>0</v>
      </c>
      <c r="AJ132" s="108">
        <f t="shared" si="34"/>
        <v>0</v>
      </c>
      <c r="AK132" s="108">
        <f>IF($A132="",0,IF(AND($S132=1,$W132=1,$X132=1,$U132&gt;Config!$C$9),1,0))</f>
        <v>0</v>
      </c>
      <c r="AL132" s="108">
        <f t="shared" si="35"/>
        <v>0</v>
      </c>
    </row>
    <row r="133" spans="1:38" x14ac:dyDescent="0.25">
      <c r="A133" s="106" t="s">
        <v>652</v>
      </c>
      <c r="B133" s="106" t="s">
        <v>618</v>
      </c>
      <c r="C133" s="107">
        <v>46269</v>
      </c>
      <c r="D133" s="106" t="s">
        <v>529</v>
      </c>
      <c r="E133" s="106" t="s">
        <v>529</v>
      </c>
      <c r="F133" s="106" t="s">
        <v>615</v>
      </c>
      <c r="G133" s="106"/>
      <c r="H133" s="106" t="s">
        <v>529</v>
      </c>
      <c r="I133" s="106"/>
      <c r="J133" s="106"/>
      <c r="K133" s="106">
        <v>0</v>
      </c>
      <c r="L133" s="106">
        <v>0</v>
      </c>
      <c r="M133" s="106">
        <v>0</v>
      </c>
      <c r="N133" s="106"/>
      <c r="O133" s="106"/>
      <c r="P133" s="106">
        <v>0</v>
      </c>
      <c r="Q133" s="106" t="s">
        <v>927</v>
      </c>
      <c r="S133" s="108">
        <f>IF($A133="","",COUNTIF(BPOworkers!$B$6:$B$105,$A133))</f>
        <v>0</v>
      </c>
      <c r="T133" s="109">
        <f>IF($A133="","",$K133*Config!$C$9)</f>
        <v>0</v>
      </c>
      <c r="U133" s="109">
        <f>IF($A133="","",IF(COUNTIF(Config!$C$21:$C$23,$H133)&gt;0,IFERROR(VALUE(LEFT(TRIM($Q133),FIND(" ",TRIM($Q133)&amp;" ")-1)),0),0))</f>
        <v>4</v>
      </c>
      <c r="V133" s="109">
        <f t="shared" si="24"/>
        <v>4</v>
      </c>
      <c r="W133" s="108">
        <f>IF($A133="",0,IF(AND($C133&gt;=Config!$C$7,$C133&lt;=Config!$C$8),1,0))</f>
        <v>1</v>
      </c>
      <c r="X133" s="108">
        <f>IF($A133="",0,IF(COUNTIF(Config!$C$21:$C$23,$H133)&gt;0,1,0))</f>
        <v>1</v>
      </c>
      <c r="Y133" s="108">
        <f t="shared" si="25"/>
        <v>0</v>
      </c>
      <c r="Z133" s="108" t="str">
        <f t="shared" si="26"/>
        <v/>
      </c>
      <c r="AB133" s="108">
        <f t="shared" si="27"/>
        <v>0</v>
      </c>
      <c r="AC133" s="108">
        <f>IF($A133="",0,IF(AND($AB133=1,COUNTIF($A$2:$A133,$A133)=1),1,0))</f>
        <v>0</v>
      </c>
      <c r="AD133" s="108">
        <f t="shared" si="28"/>
        <v>0</v>
      </c>
      <c r="AE133" s="108" t="str">
        <f t="shared" si="29"/>
        <v/>
      </c>
      <c r="AF133" s="108">
        <f t="shared" si="30"/>
        <v>0</v>
      </c>
      <c r="AG133" s="108">
        <f t="shared" si="31"/>
        <v>0</v>
      </c>
      <c r="AH133" s="110" t="str">
        <f t="shared" si="32"/>
        <v>J. Greenlee|20260904|Time Off|0.000|4 hours unpaid</v>
      </c>
      <c r="AI133" s="108">
        <f t="shared" si="33"/>
        <v>0</v>
      </c>
      <c r="AJ133" s="108">
        <f t="shared" si="34"/>
        <v>0</v>
      </c>
      <c r="AK133" s="108">
        <f>IF($A133="",0,IF(AND($S133=1,$W133=1,$X133=1,$U133&gt;Config!$C$9),1,0))</f>
        <v>0</v>
      </c>
      <c r="AL133" s="108">
        <f t="shared" si="35"/>
        <v>0</v>
      </c>
    </row>
    <row r="134" spans="1:38" x14ac:dyDescent="0.25">
      <c r="A134" s="106" t="s">
        <v>653</v>
      </c>
      <c r="B134" s="106" t="s">
        <v>614</v>
      </c>
      <c r="C134" s="107">
        <v>46269</v>
      </c>
      <c r="D134" s="106" t="s">
        <v>623</v>
      </c>
      <c r="E134" s="106" t="s">
        <v>624</v>
      </c>
      <c r="F134" s="106" t="s">
        <v>615</v>
      </c>
      <c r="G134" s="106" t="s">
        <v>625</v>
      </c>
      <c r="H134" s="106" t="s">
        <v>830</v>
      </c>
      <c r="I134" s="106" t="s">
        <v>657</v>
      </c>
      <c r="J134" s="106"/>
      <c r="K134" s="106">
        <v>0.25</v>
      </c>
      <c r="L134" s="106">
        <v>0</v>
      </c>
      <c r="M134" s="106">
        <v>0</v>
      </c>
      <c r="N134" s="106"/>
      <c r="O134" s="106"/>
      <c r="P134" s="106">
        <v>0</v>
      </c>
      <c r="Q134" s="106" t="s">
        <v>928</v>
      </c>
      <c r="S134" s="108">
        <f>IF($A134="","",COUNTIF(BPOworkers!$B$6:$B$105,$A134))</f>
        <v>0</v>
      </c>
      <c r="T134" s="109">
        <f>IF($A134="","",$K134*Config!$C$9)</f>
        <v>2</v>
      </c>
      <c r="U134" s="109">
        <f>IF($A134="","",IF(COUNTIF(Config!$C$21:$C$23,$H134)&gt;0,IFERROR(VALUE(LEFT(TRIM($Q134),FIND(" ",TRIM($Q134)&amp;" ")-1)),0),0))</f>
        <v>0</v>
      </c>
      <c r="V134" s="109">
        <f t="shared" si="24"/>
        <v>2</v>
      </c>
      <c r="W134" s="108">
        <f>IF($A134="",0,IF(AND($C134&gt;=Config!$C$7,$C134&lt;=Config!$C$8),1,0))</f>
        <v>1</v>
      </c>
      <c r="X134" s="108">
        <f>IF($A134="",0,IF(COUNTIF(Config!$C$21:$C$23,$H134)&gt;0,1,0))</f>
        <v>0</v>
      </c>
      <c r="Y134" s="108">
        <f t="shared" si="25"/>
        <v>0</v>
      </c>
      <c r="Z134" s="108" t="str">
        <f t="shared" si="26"/>
        <v/>
      </c>
      <c r="AB134" s="108">
        <f t="shared" si="27"/>
        <v>0</v>
      </c>
      <c r="AC134" s="108">
        <f>IF($A134="",0,IF(AND($AB134=1,COUNTIF($A$2:$A134,$A134)=1),1,0))</f>
        <v>0</v>
      </c>
      <c r="AD134" s="108">
        <f t="shared" si="28"/>
        <v>0</v>
      </c>
      <c r="AE134" s="108" t="str">
        <f t="shared" si="29"/>
        <v/>
      </c>
      <c r="AF134" s="108">
        <f t="shared" si="30"/>
        <v>0</v>
      </c>
      <c r="AG134" s="108">
        <f t="shared" si="31"/>
        <v>0</v>
      </c>
      <c r="AH134" s="110" t="str">
        <f t="shared" si="32"/>
        <v>J. Howell|20260904|Training - TLS|0.250|Sponsored</v>
      </c>
      <c r="AI134" s="108">
        <f t="shared" si="33"/>
        <v>0</v>
      </c>
      <c r="AJ134" s="108">
        <f t="shared" si="34"/>
        <v>0</v>
      </c>
      <c r="AK134" s="108">
        <f>IF($A134="",0,IF(AND($S134=1,$W134=1,$X134=1,$U134&gt;Config!$C$9),1,0))</f>
        <v>0</v>
      </c>
      <c r="AL134" s="108">
        <f t="shared" si="35"/>
        <v>0</v>
      </c>
    </row>
    <row r="135" spans="1:38" x14ac:dyDescent="0.25">
      <c r="A135" s="106" t="s">
        <v>653</v>
      </c>
      <c r="B135" s="106" t="s">
        <v>614</v>
      </c>
      <c r="C135" s="107">
        <v>46269</v>
      </c>
      <c r="D135" s="106" t="s">
        <v>623</v>
      </c>
      <c r="E135" s="106" t="s">
        <v>624</v>
      </c>
      <c r="F135" s="106" t="s">
        <v>615</v>
      </c>
      <c r="G135" s="106" t="s">
        <v>625</v>
      </c>
      <c r="H135" s="106" t="s">
        <v>929</v>
      </c>
      <c r="I135" s="106" t="s">
        <v>657</v>
      </c>
      <c r="J135" s="106"/>
      <c r="K135" s="106">
        <v>0.375</v>
      </c>
      <c r="L135" s="106">
        <v>0</v>
      </c>
      <c r="M135" s="106">
        <v>0</v>
      </c>
      <c r="N135" s="106"/>
      <c r="O135" s="106"/>
      <c r="P135" s="106">
        <v>0</v>
      </c>
      <c r="Q135" s="106" t="s">
        <v>930</v>
      </c>
      <c r="S135" s="108">
        <f>IF($A135="","",COUNTIF(BPOworkers!$B$6:$B$105,$A135))</f>
        <v>0</v>
      </c>
      <c r="T135" s="109">
        <f>IF($A135="","",$K135*Config!$C$9)</f>
        <v>3</v>
      </c>
      <c r="U135" s="109">
        <f>IF($A135="","",IF(COUNTIF(Config!$C$21:$C$23,$H135)&gt;0,IFERROR(VALUE(LEFT(TRIM($Q135),FIND(" ",TRIM($Q135)&amp;" ")-1)),0),0))</f>
        <v>0</v>
      </c>
      <c r="V135" s="109">
        <f t="shared" si="24"/>
        <v>3</v>
      </c>
      <c r="W135" s="108">
        <f>IF($A135="",0,IF(AND($C135&gt;=Config!$C$7,$C135&lt;=Config!$C$8),1,0))</f>
        <v>1</v>
      </c>
      <c r="X135" s="108">
        <f>IF($A135="",0,IF(COUNTIF(Config!$C$21:$C$23,$H135)&gt;0,1,0))</f>
        <v>0</v>
      </c>
      <c r="Y135" s="108">
        <f t="shared" si="25"/>
        <v>0</v>
      </c>
      <c r="Z135" s="108" t="str">
        <f t="shared" si="26"/>
        <v/>
      </c>
      <c r="AB135" s="108">
        <f t="shared" si="27"/>
        <v>0</v>
      </c>
      <c r="AC135" s="108">
        <f>IF($A135="",0,IF(AND($AB135=1,COUNTIF($A$2:$A135,$A135)=1),1,0))</f>
        <v>0</v>
      </c>
      <c r="AD135" s="108">
        <f t="shared" si="28"/>
        <v>0</v>
      </c>
      <c r="AE135" s="108" t="str">
        <f t="shared" si="29"/>
        <v/>
      </c>
      <c r="AF135" s="108">
        <f t="shared" si="30"/>
        <v>0</v>
      </c>
      <c r="AG135" s="108">
        <f t="shared" si="31"/>
        <v>0</v>
      </c>
      <c r="AH135" s="110" t="str">
        <f t="shared" si="32"/>
        <v>J. Howell|20260904|Business Development|0.375|Support Request - Zendesk</v>
      </c>
      <c r="AI135" s="108">
        <f t="shared" si="33"/>
        <v>0</v>
      </c>
      <c r="AJ135" s="108">
        <f t="shared" si="34"/>
        <v>0</v>
      </c>
      <c r="AK135" s="108">
        <f>IF($A135="",0,IF(AND($S135=1,$W135=1,$X135=1,$U135&gt;Config!$C$9),1,0))</f>
        <v>0</v>
      </c>
      <c r="AL135" s="108">
        <f t="shared" si="35"/>
        <v>0</v>
      </c>
    </row>
    <row r="136" spans="1:38" x14ac:dyDescent="0.25">
      <c r="A136" s="106" t="s">
        <v>653</v>
      </c>
      <c r="B136" s="106" t="s">
        <v>614</v>
      </c>
      <c r="C136" s="107">
        <v>46269</v>
      </c>
      <c r="D136" s="106" t="s">
        <v>623</v>
      </c>
      <c r="E136" s="106" t="s">
        <v>624</v>
      </c>
      <c r="F136" s="106" t="s">
        <v>615</v>
      </c>
      <c r="G136" s="106" t="s">
        <v>625</v>
      </c>
      <c r="H136" s="106" t="s">
        <v>931</v>
      </c>
      <c r="I136" s="106" t="s">
        <v>657</v>
      </c>
      <c r="J136" s="106"/>
      <c r="K136" s="106">
        <v>0.25</v>
      </c>
      <c r="L136" s="106">
        <v>0</v>
      </c>
      <c r="M136" s="106">
        <v>0</v>
      </c>
      <c r="N136" s="106"/>
      <c r="O136" s="106"/>
      <c r="P136" s="106">
        <v>0</v>
      </c>
      <c r="Q136" s="106"/>
      <c r="S136" s="108">
        <f>IF($A136="","",COUNTIF(BPOworkers!$B$6:$B$105,$A136))</f>
        <v>0</v>
      </c>
      <c r="T136" s="109">
        <f>IF($A136="","",$K136*Config!$C$9)</f>
        <v>2</v>
      </c>
      <c r="U136" s="109">
        <f>IF($A136="","",IF(COUNTIF(Config!$C$21:$C$23,$H136)&gt;0,IFERROR(VALUE(LEFT(TRIM($Q136),FIND(" ",TRIM($Q136)&amp;" ")-1)),0),0))</f>
        <v>0</v>
      </c>
      <c r="V136" s="109">
        <f t="shared" si="24"/>
        <v>2</v>
      </c>
      <c r="W136" s="108">
        <f>IF($A136="",0,IF(AND($C136&gt;=Config!$C$7,$C136&lt;=Config!$C$8),1,0))</f>
        <v>1</v>
      </c>
      <c r="X136" s="108">
        <f>IF($A136="",0,IF(COUNTIF(Config!$C$21:$C$23,$H136)&gt;0,1,0))</f>
        <v>0</v>
      </c>
      <c r="Y136" s="108">
        <f t="shared" si="25"/>
        <v>0</v>
      </c>
      <c r="Z136" s="108" t="str">
        <f t="shared" si="26"/>
        <v/>
      </c>
      <c r="AB136" s="108">
        <f t="shared" si="27"/>
        <v>0</v>
      </c>
      <c r="AC136" s="108">
        <f>IF($A136="",0,IF(AND($AB136=1,COUNTIF($A$2:$A136,$A136)=1),1,0))</f>
        <v>0</v>
      </c>
      <c r="AD136" s="108">
        <f t="shared" si="28"/>
        <v>0</v>
      </c>
      <c r="AE136" s="108" t="str">
        <f t="shared" si="29"/>
        <v/>
      </c>
      <c r="AF136" s="108">
        <f t="shared" si="30"/>
        <v>0</v>
      </c>
      <c r="AG136" s="108">
        <f t="shared" si="31"/>
        <v>0</v>
      </c>
      <c r="AH136" s="110" t="str">
        <f t="shared" si="32"/>
        <v>J. Howell|20260904|Support|0.250|</v>
      </c>
      <c r="AI136" s="108">
        <f t="shared" si="33"/>
        <v>0</v>
      </c>
      <c r="AJ136" s="108">
        <f t="shared" si="34"/>
        <v>0</v>
      </c>
      <c r="AK136" s="108">
        <f>IF($A136="",0,IF(AND($S136=1,$W136=1,$X136=1,$U136&gt;Config!$C$9),1,0))</f>
        <v>0</v>
      </c>
      <c r="AL136" s="108">
        <f t="shared" si="35"/>
        <v>0</v>
      </c>
    </row>
    <row r="137" spans="1:38" x14ac:dyDescent="0.25">
      <c r="A137" s="106" t="s">
        <v>653</v>
      </c>
      <c r="B137" s="106" t="s">
        <v>614</v>
      </c>
      <c r="C137" s="107">
        <v>46269</v>
      </c>
      <c r="D137" s="106" t="s">
        <v>623</v>
      </c>
      <c r="E137" s="106" t="s">
        <v>624</v>
      </c>
      <c r="F137" s="106" t="s">
        <v>615</v>
      </c>
      <c r="G137" s="106" t="s">
        <v>625</v>
      </c>
      <c r="H137" s="106" t="s">
        <v>929</v>
      </c>
      <c r="I137" s="106" t="s">
        <v>657</v>
      </c>
      <c r="J137" s="106"/>
      <c r="K137" s="106">
        <v>0.125</v>
      </c>
      <c r="L137" s="106">
        <v>0</v>
      </c>
      <c r="M137" s="106">
        <v>0</v>
      </c>
      <c r="N137" s="106"/>
      <c r="O137" s="106"/>
      <c r="P137" s="106">
        <v>0</v>
      </c>
      <c r="Q137" s="106" t="s">
        <v>932</v>
      </c>
      <c r="S137" s="108">
        <f>IF($A137="","",COUNTIF(BPOworkers!$B$6:$B$105,$A137))</f>
        <v>0</v>
      </c>
      <c r="T137" s="109">
        <f>IF($A137="","",$K137*Config!$C$9)</f>
        <v>1</v>
      </c>
      <c r="U137" s="109">
        <f>IF($A137="","",IF(COUNTIF(Config!$C$21:$C$23,$H137)&gt;0,IFERROR(VALUE(LEFT(TRIM($Q137),FIND(" ",TRIM($Q137)&amp;" ")-1)),0),0))</f>
        <v>0</v>
      </c>
      <c r="V137" s="109">
        <f t="shared" si="24"/>
        <v>1</v>
      </c>
      <c r="W137" s="108">
        <f>IF($A137="",0,IF(AND($C137&gt;=Config!$C$7,$C137&lt;=Config!$C$8),1,0))</f>
        <v>1</v>
      </c>
      <c r="X137" s="108">
        <f>IF($A137="",0,IF(COUNTIF(Config!$C$21:$C$23,$H137)&gt;0,1,0))</f>
        <v>0</v>
      </c>
      <c r="Y137" s="108">
        <f t="shared" si="25"/>
        <v>0</v>
      </c>
      <c r="Z137" s="108" t="str">
        <f t="shared" si="26"/>
        <v/>
      </c>
      <c r="AB137" s="108">
        <f t="shared" si="27"/>
        <v>0</v>
      </c>
      <c r="AC137" s="108">
        <f>IF($A137="",0,IF(AND($AB137=1,COUNTIF($A$2:$A137,$A137)=1),1,0))</f>
        <v>0</v>
      </c>
      <c r="AD137" s="108">
        <f t="shared" si="28"/>
        <v>0</v>
      </c>
      <c r="AE137" s="108" t="str">
        <f t="shared" si="29"/>
        <v/>
      </c>
      <c r="AF137" s="108">
        <f t="shared" si="30"/>
        <v>0</v>
      </c>
      <c r="AG137" s="108">
        <f t="shared" si="31"/>
        <v>0</v>
      </c>
      <c r="AH137" s="110" t="str">
        <f t="shared" si="32"/>
        <v>J. Howell|20260904|Business Development|0.125|Transferring Education Responsibilities - Lara &gt; ELT Lessons Receipt &amp; Review</v>
      </c>
      <c r="AI137" s="108">
        <f t="shared" si="33"/>
        <v>0</v>
      </c>
      <c r="AJ137" s="108">
        <f t="shared" si="34"/>
        <v>0</v>
      </c>
      <c r="AK137" s="108">
        <f>IF($A137="",0,IF(AND($S137=1,$W137=1,$X137=1,$U137&gt;Config!$C$9),1,0))</f>
        <v>0</v>
      </c>
      <c r="AL137" s="108">
        <f t="shared" si="35"/>
        <v>0</v>
      </c>
    </row>
    <row r="138" spans="1:38" x14ac:dyDescent="0.25">
      <c r="A138" s="106" t="s">
        <v>655</v>
      </c>
      <c r="B138" s="106" t="s">
        <v>618</v>
      </c>
      <c r="C138" s="107">
        <v>46269</v>
      </c>
      <c r="D138" s="106" t="s">
        <v>720</v>
      </c>
      <c r="E138" s="106" t="s">
        <v>721</v>
      </c>
      <c r="F138" s="106" t="s">
        <v>722</v>
      </c>
      <c r="G138" s="106" t="s">
        <v>933</v>
      </c>
      <c r="H138" s="106" t="s">
        <v>656</v>
      </c>
      <c r="I138" s="106"/>
      <c r="J138" s="106"/>
      <c r="K138" s="106">
        <v>0.125</v>
      </c>
      <c r="L138" s="106">
        <v>0</v>
      </c>
      <c r="M138" s="106">
        <v>0</v>
      </c>
      <c r="N138" s="106"/>
      <c r="O138" s="106"/>
      <c r="P138" s="106">
        <v>0</v>
      </c>
      <c r="Q138" s="106" t="s">
        <v>934</v>
      </c>
      <c r="S138" s="108">
        <f>IF($A138="","",COUNTIF(BPOworkers!$B$6:$B$105,$A138))</f>
        <v>0</v>
      </c>
      <c r="T138" s="109">
        <f>IF($A138="","",$K138*Config!$C$9)</f>
        <v>1</v>
      </c>
      <c r="U138" s="109">
        <f>IF($A138="","",IF(COUNTIF(Config!$C$21:$C$23,$H138)&gt;0,IFERROR(VALUE(LEFT(TRIM($Q138),FIND(" ",TRIM($Q138)&amp;" ")-1)),0),0))</f>
        <v>0</v>
      </c>
      <c r="V138" s="109">
        <f t="shared" si="24"/>
        <v>1</v>
      </c>
      <c r="W138" s="108">
        <f>IF($A138="",0,IF(AND($C138&gt;=Config!$C$7,$C138&lt;=Config!$C$8),1,0))</f>
        <v>1</v>
      </c>
      <c r="X138" s="108">
        <f>IF($A138="",0,IF(COUNTIF(Config!$C$21:$C$23,$H138)&gt;0,1,0))</f>
        <v>0</v>
      </c>
      <c r="Y138" s="108">
        <f t="shared" si="25"/>
        <v>0</v>
      </c>
      <c r="Z138" s="108" t="str">
        <f t="shared" si="26"/>
        <v/>
      </c>
      <c r="AB138" s="108">
        <f t="shared" si="27"/>
        <v>0</v>
      </c>
      <c r="AC138" s="108">
        <f>IF($A138="",0,IF(AND($AB138=1,COUNTIF($A$2:$A138,$A138)=1),1,0))</f>
        <v>0</v>
      </c>
      <c r="AD138" s="108">
        <f t="shared" si="28"/>
        <v>0</v>
      </c>
      <c r="AE138" s="108" t="str">
        <f t="shared" si="29"/>
        <v/>
      </c>
      <c r="AF138" s="108">
        <f t="shared" si="30"/>
        <v>0</v>
      </c>
      <c r="AG138" s="108">
        <f t="shared" si="31"/>
        <v>0</v>
      </c>
      <c r="AH138" s="110" t="str">
        <f t="shared" si="32"/>
        <v>A. Beato|20260904|Project Management|0.125|Led the daily Energy Miami project team meeting to review the status of outstanding AOI assignments and obtain updated c</v>
      </c>
      <c r="AI138" s="108">
        <f t="shared" si="33"/>
        <v>0</v>
      </c>
      <c r="AJ138" s="108">
        <f t="shared" si="34"/>
        <v>0</v>
      </c>
      <c r="AK138" s="108">
        <f>IF($A138="",0,IF(AND($S138=1,$W138=1,$X138=1,$U138&gt;Config!$C$9),1,0))</f>
        <v>0</v>
      </c>
      <c r="AL138" s="108">
        <f t="shared" si="35"/>
        <v>0</v>
      </c>
    </row>
    <row r="139" spans="1:38" x14ac:dyDescent="0.25">
      <c r="A139" s="106" t="s">
        <v>655</v>
      </c>
      <c r="B139" s="106" t="s">
        <v>618</v>
      </c>
      <c r="C139" s="107">
        <v>46269</v>
      </c>
      <c r="D139" s="106" t="s">
        <v>720</v>
      </c>
      <c r="E139" s="106" t="s">
        <v>721</v>
      </c>
      <c r="F139" s="106" t="s">
        <v>722</v>
      </c>
      <c r="G139" s="106" t="s">
        <v>933</v>
      </c>
      <c r="H139" s="106" t="s">
        <v>656</v>
      </c>
      <c r="I139" s="106"/>
      <c r="J139" s="106"/>
      <c r="K139" s="106">
        <v>0.125</v>
      </c>
      <c r="L139" s="106">
        <v>0</v>
      </c>
      <c r="M139" s="106">
        <v>0</v>
      </c>
      <c r="N139" s="106"/>
      <c r="O139" s="106"/>
      <c r="P139" s="106">
        <v>0</v>
      </c>
      <c r="Q139" s="106" t="s">
        <v>935</v>
      </c>
      <c r="S139" s="108">
        <f>IF($A139="","",COUNTIF(BPOworkers!$B$6:$B$105,$A139))</f>
        <v>0</v>
      </c>
      <c r="T139" s="109">
        <f>IF($A139="","",$K139*Config!$C$9)</f>
        <v>1</v>
      </c>
      <c r="U139" s="109">
        <f>IF($A139="","",IF(COUNTIF(Config!$C$21:$C$23,$H139)&gt;0,IFERROR(VALUE(LEFT(TRIM($Q139),FIND(" ",TRIM($Q139)&amp;" ")-1)),0),0))</f>
        <v>0</v>
      </c>
      <c r="V139" s="109">
        <f t="shared" si="24"/>
        <v>1</v>
      </c>
      <c r="W139" s="108">
        <f>IF($A139="",0,IF(AND($C139&gt;=Config!$C$7,$C139&lt;=Config!$C$8),1,0))</f>
        <v>1</v>
      </c>
      <c r="X139" s="108">
        <f>IF($A139="",0,IF(COUNTIF(Config!$C$21:$C$23,$H139)&gt;0,1,0))</f>
        <v>0</v>
      </c>
      <c r="Y139" s="108">
        <f t="shared" si="25"/>
        <v>0</v>
      </c>
      <c r="Z139" s="108" t="str">
        <f t="shared" si="26"/>
        <v/>
      </c>
      <c r="AB139" s="108">
        <f t="shared" si="27"/>
        <v>0</v>
      </c>
      <c r="AC139" s="108">
        <f>IF($A139="",0,IF(AND($AB139=1,COUNTIF($A$2:$A139,$A139)=1),1,0))</f>
        <v>0</v>
      </c>
      <c r="AD139" s="108">
        <f t="shared" si="28"/>
        <v>0</v>
      </c>
      <c r="AE139" s="108" t="str">
        <f t="shared" si="29"/>
        <v/>
      </c>
      <c r="AF139" s="108">
        <f t="shared" si="30"/>
        <v>0</v>
      </c>
      <c r="AG139" s="108">
        <f t="shared" si="31"/>
        <v>0</v>
      </c>
      <c r="AH139" s="110" t="str">
        <f t="shared" si="32"/>
        <v>A. Beato|20260904|Project Management|0.125|Reviewed the client’s requirements and outstanding information needed to complete a thorough and supportable chain of ti</v>
      </c>
      <c r="AI139" s="108">
        <f t="shared" si="33"/>
        <v>0</v>
      </c>
      <c r="AJ139" s="108">
        <f t="shared" si="34"/>
        <v>0</v>
      </c>
      <c r="AK139" s="108">
        <f>IF($A139="",0,IF(AND($S139=1,$W139=1,$X139=1,$U139&gt;Config!$C$9),1,0))</f>
        <v>0</v>
      </c>
      <c r="AL139" s="108">
        <f t="shared" si="35"/>
        <v>0</v>
      </c>
    </row>
    <row r="140" spans="1:38" x14ac:dyDescent="0.25">
      <c r="A140" s="106" t="s">
        <v>655</v>
      </c>
      <c r="B140" s="106" t="s">
        <v>618</v>
      </c>
      <c r="C140" s="107">
        <v>46269</v>
      </c>
      <c r="D140" s="106" t="s">
        <v>720</v>
      </c>
      <c r="E140" s="106" t="s">
        <v>721</v>
      </c>
      <c r="F140" s="106" t="s">
        <v>722</v>
      </c>
      <c r="G140" s="106" t="s">
        <v>933</v>
      </c>
      <c r="H140" s="106" t="s">
        <v>656</v>
      </c>
      <c r="I140" s="106"/>
      <c r="J140" s="106"/>
      <c r="K140" s="106">
        <v>0.5</v>
      </c>
      <c r="L140" s="106">
        <v>0</v>
      </c>
      <c r="M140" s="106">
        <v>0</v>
      </c>
      <c r="N140" s="106"/>
      <c r="O140" s="106"/>
      <c r="P140" s="106">
        <v>0</v>
      </c>
      <c r="Q140" s="106" t="s">
        <v>936</v>
      </c>
      <c r="S140" s="108">
        <f>IF($A140="","",COUNTIF(BPOworkers!$B$6:$B$105,$A140))</f>
        <v>0</v>
      </c>
      <c r="T140" s="109">
        <f>IF($A140="","",$K140*Config!$C$9)</f>
        <v>4</v>
      </c>
      <c r="U140" s="109">
        <f>IF($A140="","",IF(COUNTIF(Config!$C$21:$C$23,$H140)&gt;0,IFERROR(VALUE(LEFT(TRIM($Q140),FIND(" ",TRIM($Q140)&amp;" ")-1)),0),0))</f>
        <v>0</v>
      </c>
      <c r="V140" s="109">
        <f t="shared" si="24"/>
        <v>4</v>
      </c>
      <c r="W140" s="108">
        <f>IF($A140="",0,IF(AND($C140&gt;=Config!$C$7,$C140&lt;=Config!$C$8),1,0))</f>
        <v>1</v>
      </c>
      <c r="X140" s="108">
        <f>IF($A140="",0,IF(COUNTIF(Config!$C$21:$C$23,$H140)&gt;0,1,0))</f>
        <v>0</v>
      </c>
      <c r="Y140" s="108">
        <f t="shared" si="25"/>
        <v>0</v>
      </c>
      <c r="Z140" s="108" t="str">
        <f t="shared" si="26"/>
        <v/>
      </c>
      <c r="AB140" s="108">
        <f t="shared" si="27"/>
        <v>0</v>
      </c>
      <c r="AC140" s="108">
        <f>IF($A140="",0,IF(AND($AB140=1,COUNTIF($A$2:$A140,$A140)=1),1,0))</f>
        <v>0</v>
      </c>
      <c r="AD140" s="108">
        <f t="shared" si="28"/>
        <v>0</v>
      </c>
      <c r="AE140" s="108" t="str">
        <f t="shared" si="29"/>
        <v/>
      </c>
      <c r="AF140" s="108">
        <f t="shared" si="30"/>
        <v>0</v>
      </c>
      <c r="AG140" s="108">
        <f t="shared" si="31"/>
        <v>0</v>
      </c>
      <c r="AH140" s="110" t="str">
        <f t="shared" si="32"/>
        <v>A. Beato|20260904|Project Management|0.500|Met individually with Nicholas, Bobby, Maria, and Juan as they completed their AOI assignments to review their work, ans</v>
      </c>
      <c r="AI140" s="108">
        <f t="shared" si="33"/>
        <v>0</v>
      </c>
      <c r="AJ140" s="108">
        <f t="shared" si="34"/>
        <v>0</v>
      </c>
      <c r="AK140" s="108">
        <f>IF($A140="",0,IF(AND($S140=1,$W140=1,$X140=1,$U140&gt;Config!$C$9),1,0))</f>
        <v>0</v>
      </c>
      <c r="AL140" s="108">
        <f t="shared" si="35"/>
        <v>0</v>
      </c>
    </row>
    <row r="141" spans="1:38" x14ac:dyDescent="0.25">
      <c r="A141" s="106" t="s">
        <v>655</v>
      </c>
      <c r="B141" s="106" t="s">
        <v>618</v>
      </c>
      <c r="C141" s="107">
        <v>46269</v>
      </c>
      <c r="D141" s="106" t="s">
        <v>623</v>
      </c>
      <c r="E141" s="106" t="s">
        <v>624</v>
      </c>
      <c r="F141" s="106" t="s">
        <v>615</v>
      </c>
      <c r="G141" s="106" t="s">
        <v>625</v>
      </c>
      <c r="H141" s="106" t="s">
        <v>656</v>
      </c>
      <c r="I141" s="106" t="s">
        <v>657</v>
      </c>
      <c r="J141" s="106" t="s">
        <v>937</v>
      </c>
      <c r="K141" s="106">
        <v>0.75</v>
      </c>
      <c r="L141" s="106">
        <v>0</v>
      </c>
      <c r="M141" s="106">
        <v>0</v>
      </c>
      <c r="N141" s="106"/>
      <c r="O141" s="106"/>
      <c r="P141" s="106">
        <v>0</v>
      </c>
      <c r="Q141" s="106" t="s">
        <v>938</v>
      </c>
      <c r="S141" s="108">
        <f>IF($A141="","",COUNTIF(BPOworkers!$B$6:$B$105,$A141))</f>
        <v>0</v>
      </c>
      <c r="T141" s="109">
        <f>IF($A141="","",$K141*Config!$C$9)</f>
        <v>6</v>
      </c>
      <c r="U141" s="109">
        <f>IF($A141="","",IF(COUNTIF(Config!$C$21:$C$23,$H141)&gt;0,IFERROR(VALUE(LEFT(TRIM($Q141),FIND(" ",TRIM($Q141)&amp;" ")-1)),0),0))</f>
        <v>0</v>
      </c>
      <c r="V141" s="109">
        <f t="shared" si="24"/>
        <v>6</v>
      </c>
      <c r="W141" s="108">
        <f>IF($A141="",0,IF(AND($C141&gt;=Config!$C$7,$C141&lt;=Config!$C$8),1,0))</f>
        <v>1</v>
      </c>
      <c r="X141" s="108">
        <f>IF($A141="",0,IF(COUNTIF(Config!$C$21:$C$23,$H141)&gt;0,1,0))</f>
        <v>0</v>
      </c>
      <c r="Y141" s="108">
        <f t="shared" si="25"/>
        <v>0</v>
      </c>
      <c r="Z141" s="108" t="str">
        <f t="shared" si="26"/>
        <v/>
      </c>
      <c r="AB141" s="108">
        <f t="shared" si="27"/>
        <v>0</v>
      </c>
      <c r="AC141" s="108">
        <f>IF($A141="",0,IF(AND($AB141=1,COUNTIF($A$2:$A141,$A141)=1),1,0))</f>
        <v>0</v>
      </c>
      <c r="AD141" s="108">
        <f t="shared" si="28"/>
        <v>0</v>
      </c>
      <c r="AE141" s="108" t="str">
        <f t="shared" si="29"/>
        <v/>
      </c>
      <c r="AF141" s="108">
        <f t="shared" si="30"/>
        <v>0</v>
      </c>
      <c r="AG141" s="108">
        <f t="shared" si="31"/>
        <v>0</v>
      </c>
      <c r="AH141" s="110" t="str">
        <f t="shared" si="32"/>
        <v>A. Beato|20260904|Project Management|0.750|Continued development of Tracts Command Center by completing and refining remaining security-related code revisions iden</v>
      </c>
      <c r="AI141" s="108">
        <f t="shared" si="33"/>
        <v>0</v>
      </c>
      <c r="AJ141" s="108">
        <f t="shared" si="34"/>
        <v>0</v>
      </c>
      <c r="AK141" s="108">
        <f>IF($A141="",0,IF(AND($S141=1,$W141=1,$X141=1,$U141&gt;Config!$C$9),1,0))</f>
        <v>0</v>
      </c>
      <c r="AL141" s="108">
        <f t="shared" si="35"/>
        <v>0</v>
      </c>
    </row>
    <row r="142" spans="1:38" x14ac:dyDescent="0.25">
      <c r="A142" s="106" t="s">
        <v>660</v>
      </c>
      <c r="B142" s="106" t="s">
        <v>618</v>
      </c>
      <c r="C142" s="107">
        <v>46269</v>
      </c>
      <c r="D142" s="106" t="s">
        <v>712</v>
      </c>
      <c r="E142" s="106" t="s">
        <v>713</v>
      </c>
      <c r="F142" s="106" t="s">
        <v>866</v>
      </c>
      <c r="G142" s="106" t="s">
        <v>939</v>
      </c>
      <c r="H142" s="106" t="s">
        <v>639</v>
      </c>
      <c r="I142" s="106"/>
      <c r="J142" s="106"/>
      <c r="K142" s="106">
        <v>0.25</v>
      </c>
      <c r="L142" s="106">
        <v>0</v>
      </c>
      <c r="M142" s="106">
        <v>0</v>
      </c>
      <c r="N142" s="106"/>
      <c r="O142" s="106"/>
      <c r="P142" s="106">
        <v>0</v>
      </c>
      <c r="Q142" s="106" t="s">
        <v>940</v>
      </c>
      <c r="S142" s="108">
        <f>IF($A142="","",COUNTIF(BPOworkers!$B$6:$B$105,$A142))</f>
        <v>0</v>
      </c>
      <c r="T142" s="109">
        <f>IF($A142="","",$K142*Config!$C$9)</f>
        <v>2</v>
      </c>
      <c r="U142" s="109">
        <f>IF($A142="","",IF(COUNTIF(Config!$C$21:$C$23,$H142)&gt;0,IFERROR(VALUE(LEFT(TRIM($Q142),FIND(" ",TRIM($Q142)&amp;" ")-1)),0),0))</f>
        <v>0</v>
      </c>
      <c r="V142" s="109">
        <f t="shared" si="24"/>
        <v>2</v>
      </c>
      <c r="W142" s="108">
        <f>IF($A142="",0,IF(AND($C142&gt;=Config!$C$7,$C142&lt;=Config!$C$8),1,0))</f>
        <v>1</v>
      </c>
      <c r="X142" s="108">
        <f>IF($A142="",0,IF(COUNTIF(Config!$C$21:$C$23,$H142)&gt;0,1,0))</f>
        <v>0</v>
      </c>
      <c r="Y142" s="108">
        <f t="shared" si="25"/>
        <v>0</v>
      </c>
      <c r="Z142" s="108" t="str">
        <f t="shared" si="26"/>
        <v/>
      </c>
      <c r="AB142" s="108">
        <f t="shared" si="27"/>
        <v>0</v>
      </c>
      <c r="AC142" s="108">
        <f>IF($A142="",0,IF(AND($AB142=1,COUNTIF($A$2:$A142,$A142)=1),1,0))</f>
        <v>0</v>
      </c>
      <c r="AD142" s="108">
        <f t="shared" si="28"/>
        <v>0</v>
      </c>
      <c r="AE142" s="108" t="str">
        <f t="shared" si="29"/>
        <v/>
      </c>
      <c r="AF142" s="108">
        <f t="shared" si="30"/>
        <v>0</v>
      </c>
      <c r="AG142" s="108">
        <f t="shared" si="31"/>
        <v>0</v>
      </c>
      <c r="AH142" s="110" t="str">
        <f t="shared" si="32"/>
        <v>L. Yasir|20260904|Review|0.250|Reviewed this AOI.</v>
      </c>
      <c r="AI142" s="108">
        <f t="shared" si="33"/>
        <v>0</v>
      </c>
      <c r="AJ142" s="108">
        <f t="shared" si="34"/>
        <v>0</v>
      </c>
      <c r="AK142" s="108">
        <f>IF($A142="",0,IF(AND($S142=1,$W142=1,$X142=1,$U142&gt;Config!$C$9),1,0))</f>
        <v>0</v>
      </c>
      <c r="AL142" s="108">
        <f t="shared" si="35"/>
        <v>0</v>
      </c>
    </row>
    <row r="143" spans="1:38" x14ac:dyDescent="0.25">
      <c r="A143" s="106" t="s">
        <v>660</v>
      </c>
      <c r="B143" s="106" t="s">
        <v>618</v>
      </c>
      <c r="C143" s="107">
        <v>46269</v>
      </c>
      <c r="D143" s="106" t="s">
        <v>529</v>
      </c>
      <c r="E143" s="106" t="s">
        <v>529</v>
      </c>
      <c r="F143" s="106" t="s">
        <v>615</v>
      </c>
      <c r="G143" s="106"/>
      <c r="H143" s="106" t="s">
        <v>529</v>
      </c>
      <c r="I143" s="106"/>
      <c r="J143" s="106"/>
      <c r="K143" s="106">
        <v>0</v>
      </c>
      <c r="L143" s="106">
        <v>0</v>
      </c>
      <c r="M143" s="106">
        <v>0</v>
      </c>
      <c r="N143" s="106"/>
      <c r="O143" s="106"/>
      <c r="P143" s="106">
        <v>0</v>
      </c>
      <c r="Q143" s="106" t="s">
        <v>941</v>
      </c>
      <c r="S143" s="108">
        <f>IF($A143="","",COUNTIF(BPOworkers!$B$6:$B$105,$A143))</f>
        <v>0</v>
      </c>
      <c r="T143" s="109">
        <f>IF($A143="","",$K143*Config!$C$9)</f>
        <v>0</v>
      </c>
      <c r="U143" s="109">
        <f>IF($A143="","",IF(COUNTIF(Config!$C$21:$C$23,$H143)&gt;0,IFERROR(VALUE(LEFT(TRIM($Q143),FIND(" ",TRIM($Q143)&amp;" ")-1)),0),0))</f>
        <v>6</v>
      </c>
      <c r="V143" s="109">
        <f t="shared" si="24"/>
        <v>6</v>
      </c>
      <c r="W143" s="108">
        <f>IF($A143="",0,IF(AND($C143&gt;=Config!$C$7,$C143&lt;=Config!$C$8),1,0))</f>
        <v>1</v>
      </c>
      <c r="X143" s="108">
        <f>IF($A143="",0,IF(COUNTIF(Config!$C$21:$C$23,$H143)&gt;0,1,0))</f>
        <v>1</v>
      </c>
      <c r="Y143" s="108">
        <f t="shared" si="25"/>
        <v>0</v>
      </c>
      <c r="Z143" s="108" t="str">
        <f t="shared" si="26"/>
        <v/>
      </c>
      <c r="AB143" s="108">
        <f t="shared" si="27"/>
        <v>0</v>
      </c>
      <c r="AC143" s="108">
        <f>IF($A143="",0,IF(AND($AB143=1,COUNTIF($A$2:$A143,$A143)=1),1,0))</f>
        <v>0</v>
      </c>
      <c r="AD143" s="108">
        <f t="shared" si="28"/>
        <v>0</v>
      </c>
      <c r="AE143" s="108" t="str">
        <f t="shared" si="29"/>
        <v/>
      </c>
      <c r="AF143" s="108">
        <f t="shared" si="30"/>
        <v>0</v>
      </c>
      <c r="AG143" s="108">
        <f t="shared" si="31"/>
        <v>0</v>
      </c>
      <c r="AH143" s="110" t="str">
        <f t="shared" si="32"/>
        <v>L. Yasir|20260904|Time Off|0.000|6 hours not billed</v>
      </c>
      <c r="AI143" s="108">
        <f t="shared" si="33"/>
        <v>0</v>
      </c>
      <c r="AJ143" s="108">
        <f t="shared" si="34"/>
        <v>0</v>
      </c>
      <c r="AK143" s="108">
        <f>IF($A143="",0,IF(AND($S143=1,$W143=1,$X143=1,$U143&gt;Config!$C$9),1,0))</f>
        <v>0</v>
      </c>
      <c r="AL143" s="108">
        <f t="shared" si="35"/>
        <v>0</v>
      </c>
    </row>
    <row r="144" spans="1:38" x14ac:dyDescent="0.25">
      <c r="A144" s="106" t="s">
        <v>662</v>
      </c>
      <c r="B144" s="106" t="s">
        <v>618</v>
      </c>
      <c r="C144" s="107">
        <v>46269</v>
      </c>
      <c r="D144" s="106" t="s">
        <v>529</v>
      </c>
      <c r="E144" s="106" t="s">
        <v>529</v>
      </c>
      <c r="F144" s="106" t="s">
        <v>615</v>
      </c>
      <c r="G144" s="106"/>
      <c r="H144" s="106" t="s">
        <v>529</v>
      </c>
      <c r="I144" s="106"/>
      <c r="J144" s="106"/>
      <c r="K144" s="106">
        <v>0</v>
      </c>
      <c r="L144" s="106">
        <v>0</v>
      </c>
      <c r="M144" s="106">
        <v>0</v>
      </c>
      <c r="N144" s="106"/>
      <c r="O144" s="106"/>
      <c r="P144" s="106">
        <v>0</v>
      </c>
      <c r="Q144" s="106" t="s">
        <v>661</v>
      </c>
      <c r="S144" s="108">
        <f>IF($A144="","",COUNTIF(BPOworkers!$B$6:$B$105,$A144))</f>
        <v>0</v>
      </c>
      <c r="T144" s="109">
        <f>IF($A144="","",$K144*Config!$C$9)</f>
        <v>0</v>
      </c>
      <c r="U144" s="109">
        <f>IF($A144="","",IF(COUNTIF(Config!$C$21:$C$23,$H144)&gt;0,IFERROR(VALUE(LEFT(TRIM($Q144),FIND(" ",TRIM($Q144)&amp;" ")-1)),0),0))</f>
        <v>8</v>
      </c>
      <c r="V144" s="109">
        <f t="shared" si="24"/>
        <v>8</v>
      </c>
      <c r="W144" s="108">
        <f>IF($A144="",0,IF(AND($C144&gt;=Config!$C$7,$C144&lt;=Config!$C$8),1,0))</f>
        <v>1</v>
      </c>
      <c r="X144" s="108">
        <f>IF($A144="",0,IF(COUNTIF(Config!$C$21:$C$23,$H144)&gt;0,1,0))</f>
        <v>1</v>
      </c>
      <c r="Y144" s="108">
        <f t="shared" si="25"/>
        <v>0</v>
      </c>
      <c r="Z144" s="108" t="str">
        <f t="shared" si="26"/>
        <v/>
      </c>
      <c r="AB144" s="108">
        <f t="shared" si="27"/>
        <v>0</v>
      </c>
      <c r="AC144" s="108">
        <f>IF($A144="",0,IF(AND($AB144=1,COUNTIF($A$2:$A144,$A144)=1),1,0))</f>
        <v>0</v>
      </c>
      <c r="AD144" s="108">
        <f t="shared" si="28"/>
        <v>0</v>
      </c>
      <c r="AE144" s="108" t="str">
        <f t="shared" si="29"/>
        <v/>
      </c>
      <c r="AF144" s="108">
        <f t="shared" si="30"/>
        <v>0</v>
      </c>
      <c r="AG144" s="108">
        <f t="shared" si="31"/>
        <v>0</v>
      </c>
      <c r="AH144" s="110" t="str">
        <f t="shared" si="32"/>
        <v>M. Svatek|20260904|Time Off|0.000|8 hours not billed</v>
      </c>
      <c r="AI144" s="108">
        <f t="shared" si="33"/>
        <v>0</v>
      </c>
      <c r="AJ144" s="108">
        <f t="shared" si="34"/>
        <v>0</v>
      </c>
      <c r="AK144" s="108">
        <f>IF($A144="",0,IF(AND($S144=1,$W144=1,$X144=1,$U144&gt;Config!$C$9),1,0))</f>
        <v>0</v>
      </c>
      <c r="AL144" s="108">
        <f t="shared" si="35"/>
        <v>0</v>
      </c>
    </row>
    <row r="145" spans="1:38" x14ac:dyDescent="0.25">
      <c r="A145" s="106" t="s">
        <v>942</v>
      </c>
      <c r="B145" s="106" t="s">
        <v>618</v>
      </c>
      <c r="C145" s="107">
        <v>46269</v>
      </c>
      <c r="D145" s="106" t="s">
        <v>635</v>
      </c>
      <c r="E145" s="106" t="s">
        <v>636</v>
      </c>
      <c r="F145" s="106" t="s">
        <v>943</v>
      </c>
      <c r="G145" s="106"/>
      <c r="H145" s="106" t="s">
        <v>639</v>
      </c>
      <c r="I145" s="106"/>
      <c r="J145" s="106" t="s">
        <v>807</v>
      </c>
      <c r="K145" s="106">
        <v>1</v>
      </c>
      <c r="L145" s="106">
        <v>0</v>
      </c>
      <c r="M145" s="106">
        <v>0</v>
      </c>
      <c r="N145" s="106"/>
      <c r="O145" s="106"/>
      <c r="P145" s="106">
        <v>0</v>
      </c>
      <c r="Q145" s="106" t="s">
        <v>639</v>
      </c>
      <c r="S145" s="108">
        <f>IF($A145="","",COUNTIF(BPOworkers!$B$6:$B$105,$A145))</f>
        <v>0</v>
      </c>
      <c r="T145" s="109">
        <f>IF($A145="","",$K145*Config!$C$9)</f>
        <v>8</v>
      </c>
      <c r="U145" s="109">
        <f>IF($A145="","",IF(COUNTIF(Config!$C$21:$C$23,$H145)&gt;0,IFERROR(VALUE(LEFT(TRIM($Q145),FIND(" ",TRIM($Q145)&amp;" ")-1)),0),0))</f>
        <v>0</v>
      </c>
      <c r="V145" s="109">
        <f t="shared" si="24"/>
        <v>8</v>
      </c>
      <c r="W145" s="108">
        <f>IF($A145="",0,IF(AND($C145&gt;=Config!$C$7,$C145&lt;=Config!$C$8),1,0))</f>
        <v>1</v>
      </c>
      <c r="X145" s="108">
        <f>IF($A145="",0,IF(COUNTIF(Config!$C$21:$C$23,$H145)&gt;0,1,0))</f>
        <v>0</v>
      </c>
      <c r="Y145" s="108">
        <f t="shared" si="25"/>
        <v>0</v>
      </c>
      <c r="Z145" s="108" t="str">
        <f t="shared" si="26"/>
        <v/>
      </c>
      <c r="AB145" s="108">
        <f t="shared" si="27"/>
        <v>0</v>
      </c>
      <c r="AC145" s="108">
        <f>IF($A145="",0,IF(AND($AB145=1,COUNTIF($A$2:$A145,$A145)=1),1,0))</f>
        <v>0</v>
      </c>
      <c r="AD145" s="108">
        <f t="shared" si="28"/>
        <v>0</v>
      </c>
      <c r="AE145" s="108" t="str">
        <f t="shared" si="29"/>
        <v/>
      </c>
      <c r="AF145" s="108">
        <f t="shared" si="30"/>
        <v>0</v>
      </c>
      <c r="AG145" s="108">
        <f t="shared" si="31"/>
        <v>0</v>
      </c>
      <c r="AH145" s="110" t="str">
        <f t="shared" si="32"/>
        <v>J. Warlick|20260904|Review|1.000|Review</v>
      </c>
      <c r="AI145" s="108">
        <f t="shared" si="33"/>
        <v>0</v>
      </c>
      <c r="AJ145" s="108">
        <f t="shared" si="34"/>
        <v>0</v>
      </c>
      <c r="AK145" s="108">
        <f>IF($A145="",0,IF(AND($S145=1,$W145=1,$X145=1,$U145&gt;Config!$C$9),1,0))</f>
        <v>0</v>
      </c>
      <c r="AL145" s="108">
        <f t="shared" si="35"/>
        <v>0</v>
      </c>
    </row>
    <row r="146" spans="1:38" x14ac:dyDescent="0.25">
      <c r="A146" s="106" t="s">
        <v>663</v>
      </c>
      <c r="B146" s="106" t="s">
        <v>618</v>
      </c>
      <c r="C146" s="107">
        <v>46269</v>
      </c>
      <c r="D146" s="106" t="s">
        <v>628</v>
      </c>
      <c r="E146" s="106" t="s">
        <v>701</v>
      </c>
      <c r="F146" s="106" t="s">
        <v>630</v>
      </c>
      <c r="G146" s="106" t="s">
        <v>944</v>
      </c>
      <c r="H146" s="106" t="s">
        <v>707</v>
      </c>
      <c r="I146" s="106"/>
      <c r="J146" s="106"/>
      <c r="K146" s="106">
        <v>1</v>
      </c>
      <c r="L146" s="106">
        <v>0</v>
      </c>
      <c r="M146" s="106">
        <v>0</v>
      </c>
      <c r="N146" s="106"/>
      <c r="O146" s="106"/>
      <c r="P146" s="106">
        <v>0</v>
      </c>
      <c r="Q146" s="106" t="s">
        <v>945</v>
      </c>
      <c r="S146" s="108">
        <f>IF($A146="","",COUNTIF(BPOworkers!$B$6:$B$105,$A146))</f>
        <v>0</v>
      </c>
      <c r="T146" s="109">
        <f>IF($A146="","",$K146*Config!$C$9)</f>
        <v>8</v>
      </c>
      <c r="U146" s="109">
        <f>IF($A146="","",IF(COUNTIF(Config!$C$21:$C$23,$H146)&gt;0,IFERROR(VALUE(LEFT(TRIM($Q146),FIND(" ",TRIM($Q146)&amp;" ")-1)),0),0))</f>
        <v>0</v>
      </c>
      <c r="V146" s="109">
        <f t="shared" si="24"/>
        <v>8</v>
      </c>
      <c r="W146" s="108">
        <f>IF($A146="",0,IF(AND($C146&gt;=Config!$C$7,$C146&lt;=Config!$C$8),1,0))</f>
        <v>1</v>
      </c>
      <c r="X146" s="108">
        <f>IF($A146="",0,IF(COUNTIF(Config!$C$21:$C$23,$H146)&gt;0,1,0))</f>
        <v>0</v>
      </c>
      <c r="Y146" s="108">
        <f t="shared" si="25"/>
        <v>0</v>
      </c>
      <c r="Z146" s="108" t="str">
        <f t="shared" si="26"/>
        <v/>
      </c>
      <c r="AB146" s="108">
        <f t="shared" si="27"/>
        <v>0</v>
      </c>
      <c r="AC146" s="108">
        <f>IF($A146="",0,IF(AND($AB146=1,COUNTIF($A$2:$A146,$A146)=1),1,0))</f>
        <v>0</v>
      </c>
      <c r="AD146" s="108">
        <f t="shared" si="28"/>
        <v>0</v>
      </c>
      <c r="AE146" s="108" t="str">
        <f t="shared" si="29"/>
        <v/>
      </c>
      <c r="AF146" s="108">
        <f t="shared" si="30"/>
        <v>0</v>
      </c>
      <c r="AG146" s="108">
        <f t="shared" si="31"/>
        <v>0</v>
      </c>
      <c r="AH146" s="110" t="str">
        <f t="shared" si="32"/>
        <v>J. Jinkins|20260904|Title Opinion data entry|1.000|Working on Title Opinion/AOI and indexing for Sec. 35, Blk 35, T4S.</v>
      </c>
      <c r="AI146" s="108">
        <f t="shared" si="33"/>
        <v>0</v>
      </c>
      <c r="AJ146" s="108">
        <f t="shared" si="34"/>
        <v>0</v>
      </c>
      <c r="AK146" s="108">
        <f>IF($A146="",0,IF(AND($S146=1,$W146=1,$X146=1,$U146&gt;Config!$C$9),1,0))</f>
        <v>0</v>
      </c>
      <c r="AL146" s="108">
        <f t="shared" si="35"/>
        <v>0</v>
      </c>
    </row>
    <row r="147" spans="1:38" x14ac:dyDescent="0.25">
      <c r="A147" s="106" t="s">
        <v>946</v>
      </c>
      <c r="B147" s="106" t="s">
        <v>618</v>
      </c>
      <c r="C147" s="107">
        <v>46269</v>
      </c>
      <c r="D147" s="106" t="s">
        <v>680</v>
      </c>
      <c r="E147" s="106" t="s">
        <v>681</v>
      </c>
      <c r="F147" s="106" t="s">
        <v>893</v>
      </c>
      <c r="G147" s="106" t="s">
        <v>894</v>
      </c>
      <c r="H147" s="106" t="s">
        <v>656</v>
      </c>
      <c r="I147" s="106"/>
      <c r="J147" s="106"/>
      <c r="K147" s="106">
        <v>0.75</v>
      </c>
      <c r="L147" s="106">
        <v>0</v>
      </c>
      <c r="M147" s="106">
        <v>0</v>
      </c>
      <c r="N147" s="106"/>
      <c r="O147" s="106"/>
      <c r="P147" s="106">
        <v>0</v>
      </c>
      <c r="Q147" s="106" t="s">
        <v>947</v>
      </c>
      <c r="S147" s="108">
        <f>IF($A147="","",COUNTIF(BPOworkers!$B$6:$B$105,$A147))</f>
        <v>0</v>
      </c>
      <c r="T147" s="109">
        <f>IF($A147="","",$K147*Config!$C$9)</f>
        <v>6</v>
      </c>
      <c r="U147" s="109">
        <f>IF($A147="","",IF(COUNTIF(Config!$C$21:$C$23,$H147)&gt;0,IFERROR(VALUE(LEFT(TRIM($Q147),FIND(" ",TRIM($Q147)&amp;" ")-1)),0),0))</f>
        <v>0</v>
      </c>
      <c r="V147" s="109">
        <f t="shared" si="24"/>
        <v>6</v>
      </c>
      <c r="W147" s="108">
        <f>IF($A147="",0,IF(AND($C147&gt;=Config!$C$7,$C147&lt;=Config!$C$8),1,0))</f>
        <v>1</v>
      </c>
      <c r="X147" s="108">
        <f>IF($A147="",0,IF(COUNTIF(Config!$C$21:$C$23,$H147)&gt;0,1,0))</f>
        <v>0</v>
      </c>
      <c r="Y147" s="108">
        <f t="shared" si="25"/>
        <v>0</v>
      </c>
      <c r="Z147" s="108" t="str">
        <f t="shared" si="26"/>
        <v/>
      </c>
      <c r="AB147" s="108">
        <f t="shared" si="27"/>
        <v>0</v>
      </c>
      <c r="AC147" s="108">
        <f>IF($A147="",0,IF(AND($AB147=1,COUNTIF($A$2:$A147,$A147)=1),1,0))</f>
        <v>0</v>
      </c>
      <c r="AD147" s="108">
        <f t="shared" si="28"/>
        <v>0</v>
      </c>
      <c r="AE147" s="108" t="str">
        <f t="shared" si="29"/>
        <v/>
      </c>
      <c r="AF147" s="108">
        <f t="shared" si="30"/>
        <v>0</v>
      </c>
      <c r="AG147" s="108">
        <f t="shared" si="31"/>
        <v>0</v>
      </c>
      <c r="AH147" s="110" t="str">
        <f t="shared" si="32"/>
        <v>L. Carollo|20260904|Project Management|0.750|Assisting team with questions and assignments.</v>
      </c>
      <c r="AI147" s="108">
        <f t="shared" si="33"/>
        <v>0</v>
      </c>
      <c r="AJ147" s="108">
        <f t="shared" si="34"/>
        <v>0</v>
      </c>
      <c r="AK147" s="108">
        <f>IF($A147="",0,IF(AND($S147=1,$W147=1,$X147=1,$U147&gt;Config!$C$9),1,0))</f>
        <v>0</v>
      </c>
      <c r="AL147" s="108">
        <f t="shared" si="35"/>
        <v>0</v>
      </c>
    </row>
    <row r="148" spans="1:38" x14ac:dyDescent="0.25">
      <c r="A148" s="106" t="s">
        <v>946</v>
      </c>
      <c r="B148" s="106" t="s">
        <v>618</v>
      </c>
      <c r="C148" s="107">
        <v>46269</v>
      </c>
      <c r="D148" s="106" t="s">
        <v>623</v>
      </c>
      <c r="E148" s="106" t="s">
        <v>128</v>
      </c>
      <c r="F148" s="106" t="s">
        <v>615</v>
      </c>
      <c r="G148" s="106"/>
      <c r="H148" s="106" t="s">
        <v>819</v>
      </c>
      <c r="I148" s="106"/>
      <c r="J148" s="106"/>
      <c r="K148" s="106">
        <v>0.25</v>
      </c>
      <c r="L148" s="106">
        <v>0</v>
      </c>
      <c r="M148" s="106">
        <v>0</v>
      </c>
      <c r="N148" s="106"/>
      <c r="O148" s="106"/>
      <c r="P148" s="106">
        <v>0</v>
      </c>
      <c r="Q148" s="106" t="s">
        <v>948</v>
      </c>
      <c r="S148" s="108">
        <f>IF($A148="","",COUNTIF(BPOworkers!$B$6:$B$105,$A148))</f>
        <v>0</v>
      </c>
      <c r="T148" s="109">
        <f>IF($A148="","",$K148*Config!$C$9)</f>
        <v>2</v>
      </c>
      <c r="U148" s="109">
        <f>IF($A148="","",IF(COUNTIF(Config!$C$21:$C$23,$H148)&gt;0,IFERROR(VALUE(LEFT(TRIM($Q148),FIND(" ",TRIM($Q148)&amp;" ")-1)),0),0))</f>
        <v>0</v>
      </c>
      <c r="V148" s="109">
        <f t="shared" si="24"/>
        <v>2</v>
      </c>
      <c r="W148" s="108">
        <f>IF($A148="",0,IF(AND($C148&gt;=Config!$C$7,$C148&lt;=Config!$C$8),1,0))</f>
        <v>1</v>
      </c>
      <c r="X148" s="108">
        <f>IF($A148="",0,IF(COUNTIF(Config!$C$21:$C$23,$H148)&gt;0,1,0))</f>
        <v>0</v>
      </c>
      <c r="Y148" s="108">
        <f t="shared" si="25"/>
        <v>0</v>
      </c>
      <c r="Z148" s="108" t="str">
        <f t="shared" si="26"/>
        <v/>
      </c>
      <c r="AB148" s="108">
        <f t="shared" si="27"/>
        <v>0</v>
      </c>
      <c r="AC148" s="108">
        <f>IF($A148="",0,IF(AND($AB148=1,COUNTIF($A$2:$A148,$A148)=1),1,0))</f>
        <v>0</v>
      </c>
      <c r="AD148" s="108">
        <f t="shared" si="28"/>
        <v>0</v>
      </c>
      <c r="AE148" s="108" t="str">
        <f t="shared" si="29"/>
        <v/>
      </c>
      <c r="AF148" s="108">
        <f t="shared" si="30"/>
        <v>0</v>
      </c>
      <c r="AG148" s="108">
        <f t="shared" si="31"/>
        <v>0</v>
      </c>
      <c r="AH148" s="110" t="str">
        <f t="shared" si="32"/>
        <v>L. Carollo|20260904|Training - BPO|0.250|Worked on training materials, assisted training team</v>
      </c>
      <c r="AI148" s="108">
        <f t="shared" si="33"/>
        <v>0</v>
      </c>
      <c r="AJ148" s="108">
        <f t="shared" si="34"/>
        <v>0</v>
      </c>
      <c r="AK148" s="108">
        <f>IF($A148="",0,IF(AND($S148=1,$W148=1,$X148=1,$U148&gt;Config!$C$9),1,0))</f>
        <v>0</v>
      </c>
      <c r="AL148" s="108">
        <f t="shared" si="35"/>
        <v>0</v>
      </c>
    </row>
    <row r="149" spans="1:38" x14ac:dyDescent="0.25">
      <c r="A149" s="106" t="s">
        <v>665</v>
      </c>
      <c r="B149" s="106" t="s">
        <v>618</v>
      </c>
      <c r="C149" s="107">
        <v>46269</v>
      </c>
      <c r="D149" s="106" t="s">
        <v>635</v>
      </c>
      <c r="E149" s="106" t="s">
        <v>636</v>
      </c>
      <c r="F149" s="106" t="s">
        <v>637</v>
      </c>
      <c r="G149" s="106"/>
      <c r="H149" s="106" t="s">
        <v>639</v>
      </c>
      <c r="I149" s="106"/>
      <c r="J149" s="106"/>
      <c r="K149" s="106">
        <v>1</v>
      </c>
      <c r="L149" s="106">
        <v>0</v>
      </c>
      <c r="M149" s="106">
        <v>0</v>
      </c>
      <c r="N149" s="106"/>
      <c r="O149" s="106"/>
      <c r="P149" s="106">
        <v>0</v>
      </c>
      <c r="Q149" s="106" t="s">
        <v>949</v>
      </c>
      <c r="S149" s="108">
        <f>IF($A149="","",COUNTIF(BPOworkers!$B$6:$B$105,$A149))</f>
        <v>0</v>
      </c>
      <c r="T149" s="109">
        <f>IF($A149="","",$K149*Config!$C$9)</f>
        <v>8</v>
      </c>
      <c r="U149" s="109">
        <f>IF($A149="","",IF(COUNTIF(Config!$C$21:$C$23,$H149)&gt;0,IFERROR(VALUE(LEFT(TRIM($Q149),FIND(" ",TRIM($Q149)&amp;" ")-1)),0),0))</f>
        <v>0</v>
      </c>
      <c r="V149" s="109">
        <f t="shared" si="24"/>
        <v>8</v>
      </c>
      <c r="W149" s="108">
        <f>IF($A149="",0,IF(AND($C149&gt;=Config!$C$7,$C149&lt;=Config!$C$8),1,0))</f>
        <v>1</v>
      </c>
      <c r="X149" s="108">
        <f>IF($A149="",0,IF(COUNTIF(Config!$C$21:$C$23,$H149)&gt;0,1,0))</f>
        <v>0</v>
      </c>
      <c r="Y149" s="108">
        <f t="shared" si="25"/>
        <v>0</v>
      </c>
      <c r="Z149" s="108" t="str">
        <f t="shared" si="26"/>
        <v/>
      </c>
      <c r="AB149" s="108">
        <f t="shared" si="27"/>
        <v>0</v>
      </c>
      <c r="AC149" s="108">
        <f>IF($A149="",0,IF(AND($AB149=1,COUNTIF($A$2:$A149,$A149)=1),1,0))</f>
        <v>0</v>
      </c>
      <c r="AD149" s="108">
        <f t="shared" si="28"/>
        <v>0</v>
      </c>
      <c r="AE149" s="108" t="str">
        <f t="shared" si="29"/>
        <v/>
      </c>
      <c r="AF149" s="108">
        <f t="shared" si="30"/>
        <v>0</v>
      </c>
      <c r="AG149" s="108">
        <f t="shared" si="31"/>
        <v>0</v>
      </c>
      <c r="AH149" s="110" t="str">
        <f t="shared" si="32"/>
        <v>M. Tamez|20260904|Review|1.000|Began quality control work over all completed AOIs per Project Manager Instructions.</v>
      </c>
      <c r="AI149" s="108">
        <f t="shared" si="33"/>
        <v>0</v>
      </c>
      <c r="AJ149" s="108">
        <f t="shared" si="34"/>
        <v>0</v>
      </c>
      <c r="AK149" s="108">
        <f>IF($A149="",0,IF(AND($S149=1,$W149=1,$X149=1,$U149&gt;Config!$C$9),1,0))</f>
        <v>0</v>
      </c>
      <c r="AL149" s="108">
        <f t="shared" si="35"/>
        <v>0</v>
      </c>
    </row>
    <row r="150" spans="1:38" x14ac:dyDescent="0.25">
      <c r="A150" s="106" t="s">
        <v>668</v>
      </c>
      <c r="B150" s="106" t="s">
        <v>614</v>
      </c>
      <c r="C150" s="107">
        <v>46269</v>
      </c>
      <c r="D150" s="106" t="s">
        <v>669</v>
      </c>
      <c r="E150" s="106" t="s">
        <v>669</v>
      </c>
      <c r="F150" s="106" t="s">
        <v>670</v>
      </c>
      <c r="G150" s="106"/>
      <c r="H150" s="106" t="s">
        <v>656</v>
      </c>
      <c r="I150" s="106"/>
      <c r="J150" s="106" t="s">
        <v>950</v>
      </c>
      <c r="K150" s="106">
        <v>1</v>
      </c>
      <c r="L150" s="106">
        <v>0</v>
      </c>
      <c r="M150" s="106">
        <v>0</v>
      </c>
      <c r="N150" s="106"/>
      <c r="O150" s="106"/>
      <c r="P150" s="106">
        <v>0</v>
      </c>
      <c r="Q150" s="106" t="s">
        <v>951</v>
      </c>
      <c r="S150" s="108">
        <f>IF($A150="","",COUNTIF(BPOworkers!$B$6:$B$105,$A150))</f>
        <v>0</v>
      </c>
      <c r="T150" s="109">
        <f>IF($A150="","",$K150*Config!$C$9)</f>
        <v>8</v>
      </c>
      <c r="U150" s="109">
        <f>IF($A150="","",IF(COUNTIF(Config!$C$21:$C$23,$H150)&gt;0,IFERROR(VALUE(LEFT(TRIM($Q150),FIND(" ",TRIM($Q150)&amp;" ")-1)),0),0))</f>
        <v>0</v>
      </c>
      <c r="V150" s="109">
        <f t="shared" si="24"/>
        <v>8</v>
      </c>
      <c r="W150" s="108">
        <f>IF($A150="",0,IF(AND($C150&gt;=Config!$C$7,$C150&lt;=Config!$C$8),1,0))</f>
        <v>1</v>
      </c>
      <c r="X150" s="108">
        <f>IF($A150="",0,IF(COUNTIF(Config!$C$21:$C$23,$H150)&gt;0,1,0))</f>
        <v>0</v>
      </c>
      <c r="Y150" s="108">
        <f t="shared" si="25"/>
        <v>0</v>
      </c>
      <c r="Z150" s="108" t="str">
        <f t="shared" si="26"/>
        <v/>
      </c>
      <c r="AB150" s="108">
        <f t="shared" si="27"/>
        <v>0</v>
      </c>
      <c r="AC150" s="108">
        <f>IF($A150="",0,IF(AND($AB150=1,COUNTIF($A$2:$A150,$A150)=1),1,0))</f>
        <v>0</v>
      </c>
      <c r="AD150" s="108">
        <f t="shared" si="28"/>
        <v>0</v>
      </c>
      <c r="AE150" s="108" t="str">
        <f t="shared" si="29"/>
        <v/>
      </c>
      <c r="AF150" s="108">
        <f t="shared" si="30"/>
        <v>0</v>
      </c>
      <c r="AG150" s="108">
        <f t="shared" si="31"/>
        <v>0</v>
      </c>
      <c r="AH150" s="110" t="str">
        <f t="shared" si="32"/>
        <v>M. Bearrow|20260904|Project Management|1.000|Title notes analysis and management.</v>
      </c>
      <c r="AI150" s="108">
        <f t="shared" si="33"/>
        <v>0</v>
      </c>
      <c r="AJ150" s="108">
        <f t="shared" si="34"/>
        <v>0</v>
      </c>
      <c r="AK150" s="108">
        <f>IF($A150="",0,IF(AND($S150=1,$W150=1,$X150=1,$U150&gt;Config!$C$9),1,0))</f>
        <v>0</v>
      </c>
      <c r="AL150" s="108">
        <f t="shared" si="35"/>
        <v>0</v>
      </c>
    </row>
    <row r="151" spans="1:38" x14ac:dyDescent="0.25">
      <c r="A151" s="106" t="s">
        <v>679</v>
      </c>
      <c r="B151" s="106" t="s">
        <v>618</v>
      </c>
      <c r="C151" s="107">
        <v>46269</v>
      </c>
      <c r="D151" s="106" t="s">
        <v>680</v>
      </c>
      <c r="E151" s="106" t="s">
        <v>681</v>
      </c>
      <c r="F151" s="106" t="s">
        <v>682</v>
      </c>
      <c r="G151" s="106" t="s">
        <v>683</v>
      </c>
      <c r="H151" s="106" t="s">
        <v>631</v>
      </c>
      <c r="I151" s="106"/>
      <c r="J151" s="106" t="s">
        <v>684</v>
      </c>
      <c r="K151" s="106">
        <v>1</v>
      </c>
      <c r="L151" s="106">
        <v>0</v>
      </c>
      <c r="M151" s="106">
        <v>0</v>
      </c>
      <c r="N151" s="106"/>
      <c r="O151" s="106"/>
      <c r="P151" s="106">
        <v>0</v>
      </c>
      <c r="Q151" s="106" t="s">
        <v>952</v>
      </c>
      <c r="S151" s="108">
        <f>IF($A151="","",COUNTIF(BPOworkers!$B$6:$B$105,$A151))</f>
        <v>0</v>
      </c>
      <c r="T151" s="109">
        <f>IF($A151="","",$K151*Config!$C$9)</f>
        <v>8</v>
      </c>
      <c r="U151" s="109">
        <f>IF($A151="","",IF(COUNTIF(Config!$C$21:$C$23,$H151)&gt;0,IFERROR(VALUE(LEFT(TRIM($Q151),FIND(" ",TRIM($Q151)&amp;" ")-1)),0),0))</f>
        <v>0</v>
      </c>
      <c r="V151" s="109">
        <f t="shared" si="24"/>
        <v>8</v>
      </c>
      <c r="W151" s="108">
        <f>IF($A151="",0,IF(AND($C151&gt;=Config!$C$7,$C151&lt;=Config!$C$8),1,0))</f>
        <v>1</v>
      </c>
      <c r="X151" s="108">
        <f>IF($A151="",0,IF(COUNTIF(Config!$C$21:$C$23,$H151)&gt;0,1,0))</f>
        <v>0</v>
      </c>
      <c r="Y151" s="108">
        <f t="shared" si="25"/>
        <v>0</v>
      </c>
      <c r="Z151" s="108" t="str">
        <f t="shared" si="26"/>
        <v/>
      </c>
      <c r="AB151" s="108">
        <f t="shared" si="27"/>
        <v>0</v>
      </c>
      <c r="AC151" s="108">
        <f>IF($A151="",0,IF(AND($AB151=1,COUNTIF($A$2:$A151,$A151)=1),1,0))</f>
        <v>0</v>
      </c>
      <c r="AD151" s="108">
        <f t="shared" si="28"/>
        <v>0</v>
      </c>
      <c r="AE151" s="108" t="str">
        <f t="shared" si="29"/>
        <v/>
      </c>
      <c r="AF151" s="108">
        <f t="shared" si="30"/>
        <v>0</v>
      </c>
      <c r="AG151" s="108">
        <f t="shared" si="31"/>
        <v>0</v>
      </c>
      <c r="AH151" s="110" t="str">
        <f t="shared" si="32"/>
        <v>M. Soter|20260904|Title|1.000|Indexed for Parcel 01-0000041.000 S 19 NE 1/4 T 15 R 5.</v>
      </c>
      <c r="AI151" s="108">
        <f t="shared" si="33"/>
        <v>0</v>
      </c>
      <c r="AJ151" s="108">
        <f t="shared" si="34"/>
        <v>0</v>
      </c>
      <c r="AK151" s="108">
        <f>IF($A151="",0,IF(AND($S151=1,$W151=1,$X151=1,$U151&gt;Config!$C$9),1,0))</f>
        <v>0</v>
      </c>
      <c r="AL151" s="108">
        <f t="shared" si="35"/>
        <v>0</v>
      </c>
    </row>
    <row r="152" spans="1:38" x14ac:dyDescent="0.25">
      <c r="A152" s="106" t="s">
        <v>953</v>
      </c>
      <c r="B152" s="106" t="s">
        <v>618</v>
      </c>
      <c r="C152" s="107">
        <v>46269</v>
      </c>
      <c r="D152" s="106" t="s">
        <v>954</v>
      </c>
      <c r="E152" s="106" t="s">
        <v>955</v>
      </c>
      <c r="F152" s="106" t="s">
        <v>893</v>
      </c>
      <c r="G152" s="106" t="s">
        <v>894</v>
      </c>
      <c r="H152" s="106" t="s">
        <v>656</v>
      </c>
      <c r="I152" s="106"/>
      <c r="J152" s="106"/>
      <c r="K152" s="106">
        <v>1</v>
      </c>
      <c r="L152" s="106">
        <v>0</v>
      </c>
      <c r="M152" s="106">
        <v>0</v>
      </c>
      <c r="N152" s="106"/>
      <c r="O152" s="106"/>
      <c r="P152" s="106">
        <v>0</v>
      </c>
      <c r="Q152" s="106" t="s">
        <v>956</v>
      </c>
      <c r="S152" s="108">
        <f>IF($A152="","",COUNTIF(BPOworkers!$B$6:$B$105,$A152))</f>
        <v>0</v>
      </c>
      <c r="T152" s="109">
        <f>IF($A152="","",$K152*Config!$C$9)</f>
        <v>8</v>
      </c>
      <c r="U152" s="109">
        <f>IF($A152="","",IF(COUNTIF(Config!$C$21:$C$23,$H152)&gt;0,IFERROR(VALUE(LEFT(TRIM($Q152),FIND(" ",TRIM($Q152)&amp;" ")-1)),0),0))</f>
        <v>0</v>
      </c>
      <c r="V152" s="109">
        <f t="shared" si="24"/>
        <v>8</v>
      </c>
      <c r="W152" s="108">
        <f>IF($A152="",0,IF(AND($C152&gt;=Config!$C$7,$C152&lt;=Config!$C$8),1,0))</f>
        <v>1</v>
      </c>
      <c r="X152" s="108">
        <f>IF($A152="",0,IF(COUNTIF(Config!$C$21:$C$23,$H152)&gt;0,1,0))</f>
        <v>0</v>
      </c>
      <c r="Y152" s="108">
        <f t="shared" si="25"/>
        <v>0</v>
      </c>
      <c r="Z152" s="108" t="str">
        <f t="shared" si="26"/>
        <v/>
      </c>
      <c r="AB152" s="108">
        <f t="shared" si="27"/>
        <v>0</v>
      </c>
      <c r="AC152" s="108">
        <f>IF($A152="",0,IF(AND($AB152=1,COUNTIF($A$2:$A152,$A152)=1),1,0))</f>
        <v>0</v>
      </c>
      <c r="AD152" s="108">
        <f t="shared" si="28"/>
        <v>0</v>
      </c>
      <c r="AE152" s="108" t="str">
        <f t="shared" si="29"/>
        <v/>
      </c>
      <c r="AF152" s="108">
        <f t="shared" si="30"/>
        <v>0</v>
      </c>
      <c r="AG152" s="108">
        <f t="shared" si="31"/>
        <v>0</v>
      </c>
      <c r="AH152" s="110" t="str">
        <f t="shared" si="32"/>
        <v>B. Gmutza|20260904|Project Management|1.000|Spreadsheet Review Linking Parcels</v>
      </c>
      <c r="AI152" s="108">
        <f t="shared" si="33"/>
        <v>0</v>
      </c>
      <c r="AJ152" s="108">
        <f t="shared" si="34"/>
        <v>0</v>
      </c>
      <c r="AK152" s="108">
        <f>IF($A152="",0,IF(AND($S152=1,$W152=1,$X152=1,$U152&gt;Config!$C$9),1,0))</f>
        <v>0</v>
      </c>
      <c r="AL152" s="108">
        <f t="shared" si="35"/>
        <v>0</v>
      </c>
    </row>
    <row r="153" spans="1:38" x14ac:dyDescent="0.25">
      <c r="A153" s="106" t="s">
        <v>689</v>
      </c>
      <c r="B153" s="106" t="s">
        <v>618</v>
      </c>
      <c r="C153" s="107">
        <v>46269</v>
      </c>
      <c r="D153" s="106" t="s">
        <v>529</v>
      </c>
      <c r="E153" s="106" t="s">
        <v>529</v>
      </c>
      <c r="F153" s="106" t="s">
        <v>615</v>
      </c>
      <c r="G153" s="106"/>
      <c r="H153" s="106" t="s">
        <v>529</v>
      </c>
      <c r="I153" s="106"/>
      <c r="J153" s="106"/>
      <c r="K153" s="106">
        <v>0</v>
      </c>
      <c r="L153" s="106">
        <v>0</v>
      </c>
      <c r="M153" s="106">
        <v>0</v>
      </c>
      <c r="N153" s="106"/>
      <c r="O153" s="106"/>
      <c r="P153" s="106">
        <v>0</v>
      </c>
      <c r="Q153" s="106" t="s">
        <v>957</v>
      </c>
      <c r="S153" s="108">
        <f>IF($A153="","",COUNTIF(BPOworkers!$B$6:$B$105,$A153))</f>
        <v>0</v>
      </c>
      <c r="T153" s="109">
        <f>IF($A153="","",$K153*Config!$C$9)</f>
        <v>0</v>
      </c>
      <c r="U153" s="109">
        <f>IF($A153="","",IF(COUNTIF(Config!$C$21:$C$23,$H153)&gt;0,IFERROR(VALUE(LEFT(TRIM($Q153),FIND(" ",TRIM($Q153)&amp;" ")-1)),0),0))</f>
        <v>8</v>
      </c>
      <c r="V153" s="109">
        <f t="shared" si="24"/>
        <v>8</v>
      </c>
      <c r="W153" s="108">
        <f>IF($A153="",0,IF(AND($C153&gt;=Config!$C$7,$C153&lt;=Config!$C$8),1,0))</f>
        <v>1</v>
      </c>
      <c r="X153" s="108">
        <f>IF($A153="",0,IF(COUNTIF(Config!$C$21:$C$23,$H153)&gt;0,1,0))</f>
        <v>1</v>
      </c>
      <c r="Y153" s="108">
        <f t="shared" si="25"/>
        <v>0</v>
      </c>
      <c r="Z153" s="108" t="str">
        <f t="shared" si="26"/>
        <v/>
      </c>
      <c r="AB153" s="108">
        <f t="shared" si="27"/>
        <v>0</v>
      </c>
      <c r="AC153" s="108">
        <f>IF($A153="",0,IF(AND($AB153=1,COUNTIF($A$2:$A153,$A153)=1),1,0))</f>
        <v>0</v>
      </c>
      <c r="AD153" s="108">
        <f t="shared" si="28"/>
        <v>0</v>
      </c>
      <c r="AE153" s="108" t="str">
        <f t="shared" si="29"/>
        <v/>
      </c>
      <c r="AF153" s="108">
        <f t="shared" si="30"/>
        <v>0</v>
      </c>
      <c r="AG153" s="108">
        <f t="shared" si="31"/>
        <v>0</v>
      </c>
      <c r="AH153" s="110" t="str">
        <f t="shared" si="32"/>
        <v>M. Avery|20260904|Time Off|0.000|8 hours time off...waiting on next assignment.</v>
      </c>
      <c r="AI153" s="108">
        <f t="shared" si="33"/>
        <v>0</v>
      </c>
      <c r="AJ153" s="108">
        <f t="shared" si="34"/>
        <v>0</v>
      </c>
      <c r="AK153" s="108">
        <f>IF($A153="",0,IF(AND($S153=1,$W153=1,$X153=1,$U153&gt;Config!$C$9),1,0))</f>
        <v>0</v>
      </c>
      <c r="AL153" s="108">
        <f t="shared" si="35"/>
        <v>0</v>
      </c>
    </row>
    <row r="154" spans="1:38" ht="228.75" x14ac:dyDescent="0.25">
      <c r="A154" s="106" t="s">
        <v>478</v>
      </c>
      <c r="B154" s="106" t="s">
        <v>614</v>
      </c>
      <c r="C154" s="107">
        <v>46269</v>
      </c>
      <c r="D154" s="106" t="s">
        <v>623</v>
      </c>
      <c r="E154" s="106" t="s">
        <v>624</v>
      </c>
      <c r="F154" s="106" t="s">
        <v>615</v>
      </c>
      <c r="G154" s="106" t="s">
        <v>625</v>
      </c>
      <c r="H154" s="106" t="s">
        <v>691</v>
      </c>
      <c r="I154" s="106"/>
      <c r="J154" s="106" t="s">
        <v>692</v>
      </c>
      <c r="K154" s="106">
        <v>0.75</v>
      </c>
      <c r="L154" s="106">
        <v>0</v>
      </c>
      <c r="M154" s="106">
        <v>0</v>
      </c>
      <c r="N154" s="106"/>
      <c r="O154" s="106"/>
      <c r="P154" s="106">
        <v>0</v>
      </c>
      <c r="Q154" s="111" t="s">
        <v>958</v>
      </c>
      <c r="S154" s="108">
        <f>IF($A154="","",COUNTIF(BPOworkers!$B$6:$B$105,$A154))</f>
        <v>1</v>
      </c>
      <c r="T154" s="109">
        <f>IF($A154="","",$K154*Config!$C$9)</f>
        <v>6</v>
      </c>
      <c r="U154" s="109">
        <f>IF($A154="","",IF(COUNTIF(Config!$C$21:$C$23,$H154)&gt;0,IFERROR(VALUE(LEFT(TRIM($Q154),FIND(" ",TRIM($Q154)&amp;" ")-1)),0),0))</f>
        <v>0</v>
      </c>
      <c r="V154" s="109">
        <f t="shared" si="24"/>
        <v>6</v>
      </c>
      <c r="W154" s="108">
        <f>IF($A154="",0,IF(AND($C154&gt;=Config!$C$7,$C154&lt;=Config!$C$8),1,0))</f>
        <v>1</v>
      </c>
      <c r="X154" s="108">
        <f>IF($A154="",0,IF(COUNTIF(Config!$C$21:$C$23,$H154)&gt;0,1,0))</f>
        <v>0</v>
      </c>
      <c r="Y154" s="108">
        <f t="shared" si="25"/>
        <v>0</v>
      </c>
      <c r="Z154" s="108" t="str">
        <f t="shared" si="26"/>
        <v/>
      </c>
      <c r="AB154" s="108">
        <f t="shared" si="27"/>
        <v>0</v>
      </c>
      <c r="AC154" s="108">
        <f>IF($A154="",0,IF(AND($AB154=1,COUNTIF($A$2:$A154,$A154)=1),1,0))</f>
        <v>0</v>
      </c>
      <c r="AD154" s="108">
        <f t="shared" si="28"/>
        <v>0</v>
      </c>
      <c r="AE154" s="108" t="str">
        <f t="shared" si="29"/>
        <v/>
      </c>
      <c r="AF154" s="108">
        <f t="shared" si="30"/>
        <v>0</v>
      </c>
      <c r="AG154" s="108">
        <f t="shared" si="31"/>
        <v>0</v>
      </c>
      <c r="AH154" s="112" t="str">
        <f t="shared" si="32"/>
        <v>L Silva|20260904|BPO Project Management|0.750|Absences report.
 Team leads meeting.
 Helping out Juan Sebastián Bermudez with WV pilot.
 New hires onboardin</v>
      </c>
      <c r="AI154" s="108">
        <f t="shared" si="33"/>
        <v>0</v>
      </c>
      <c r="AJ154" s="108">
        <f t="shared" si="34"/>
        <v>0</v>
      </c>
      <c r="AK154" s="108">
        <f>IF($A154="",0,IF(AND($S154=1,$W154=1,$X154=1,$U154&gt;Config!$C$9),1,0))</f>
        <v>0</v>
      </c>
      <c r="AL154" s="108">
        <f t="shared" si="35"/>
        <v>0</v>
      </c>
    </row>
    <row r="155" spans="1:38" ht="144.75" x14ac:dyDescent="0.25">
      <c r="A155" s="106" t="s">
        <v>478</v>
      </c>
      <c r="B155" s="106" t="s">
        <v>618</v>
      </c>
      <c r="C155" s="107">
        <v>46269</v>
      </c>
      <c r="D155" s="106" t="s">
        <v>712</v>
      </c>
      <c r="E155" s="106" t="s">
        <v>713</v>
      </c>
      <c r="F155" s="106" t="s">
        <v>714</v>
      </c>
      <c r="G155" s="106" t="s">
        <v>959</v>
      </c>
      <c r="H155" s="106" t="s">
        <v>631</v>
      </c>
      <c r="I155" s="106"/>
      <c r="J155" s="106" t="s">
        <v>960</v>
      </c>
      <c r="K155" s="106">
        <v>0.25</v>
      </c>
      <c r="L155" s="106">
        <v>0</v>
      </c>
      <c r="M155" s="106">
        <v>0</v>
      </c>
      <c r="N155" s="106"/>
      <c r="O155" s="106"/>
      <c r="P155" s="106">
        <v>0</v>
      </c>
      <c r="Q155" s="111" t="s">
        <v>961</v>
      </c>
      <c r="S155" s="108">
        <f>IF($A155="","",COUNTIF(BPOworkers!$B$6:$B$105,$A155))</f>
        <v>1</v>
      </c>
      <c r="T155" s="109">
        <f>IF($A155="","",$K155*Config!$C$9)</f>
        <v>2</v>
      </c>
      <c r="U155" s="109">
        <f>IF($A155="","",IF(COUNTIF(Config!$C$21:$C$23,$H155)&gt;0,IFERROR(VALUE(LEFT(TRIM($Q155),FIND(" ",TRIM($Q155)&amp;" ")-1)),0),0))</f>
        <v>0</v>
      </c>
      <c r="V155" s="109">
        <f t="shared" si="24"/>
        <v>2</v>
      </c>
      <c r="W155" s="108">
        <f>IF($A155="",0,IF(AND($C155&gt;=Config!$C$7,$C155&lt;=Config!$C$8),1,0))</f>
        <v>1</v>
      </c>
      <c r="X155" s="108">
        <f>IF($A155="",0,IF(COUNTIF(Config!$C$21:$C$23,$H155)&gt;0,1,0))</f>
        <v>0</v>
      </c>
      <c r="Y155" s="108">
        <f t="shared" si="25"/>
        <v>0</v>
      </c>
      <c r="Z155" s="108" t="str">
        <f t="shared" si="26"/>
        <v/>
      </c>
      <c r="AB155" s="108">
        <f t="shared" si="27"/>
        <v>0</v>
      </c>
      <c r="AC155" s="108">
        <f>IF($A155="",0,IF(AND($AB155=1,COUNTIF($A$2:$A155,$A155)=1),1,0))</f>
        <v>0</v>
      </c>
      <c r="AD155" s="108">
        <f t="shared" si="28"/>
        <v>0</v>
      </c>
      <c r="AE155" s="108" t="str">
        <f t="shared" si="29"/>
        <v/>
      </c>
      <c r="AF155" s="108">
        <f t="shared" si="30"/>
        <v>0</v>
      </c>
      <c r="AG155" s="108">
        <f t="shared" si="31"/>
        <v>0</v>
      </c>
      <c r="AH155" s="112" t="str">
        <f t="shared" si="32"/>
        <v>L Silva|20260904|Title|0.250|Reviewing and indexing "Survey 4-Blk37-T2S, A- 996, Veazey,-A-P, Svy·
 Attended meeting</v>
      </c>
      <c r="AI155" s="108">
        <f t="shared" si="33"/>
        <v>0</v>
      </c>
      <c r="AJ155" s="108">
        <f t="shared" si="34"/>
        <v>0</v>
      </c>
      <c r="AK155" s="108">
        <f>IF($A155="",0,IF(AND($S155=1,$W155=1,$X155=1,$U155&gt;Config!$C$9),1,0))</f>
        <v>0</v>
      </c>
      <c r="AL155" s="108">
        <f t="shared" si="35"/>
        <v>0</v>
      </c>
    </row>
    <row r="156" spans="1:38" x14ac:dyDescent="0.25">
      <c r="A156" s="106" t="s">
        <v>127</v>
      </c>
      <c r="B156" s="106" t="s">
        <v>618</v>
      </c>
      <c r="C156" s="107">
        <v>46269</v>
      </c>
      <c r="D156" s="106" t="s">
        <v>694</v>
      </c>
      <c r="E156" s="106" t="s">
        <v>695</v>
      </c>
      <c r="F156" s="106" t="s">
        <v>696</v>
      </c>
      <c r="G156" s="106" t="s">
        <v>697</v>
      </c>
      <c r="H156" s="106" t="s">
        <v>639</v>
      </c>
      <c r="I156" s="106"/>
      <c r="J156" s="106"/>
      <c r="K156" s="106">
        <v>0.625</v>
      </c>
      <c r="L156" s="106">
        <v>0</v>
      </c>
      <c r="M156" s="106">
        <v>0</v>
      </c>
      <c r="N156" s="106"/>
      <c r="O156" s="106"/>
      <c r="P156" s="106">
        <v>0</v>
      </c>
      <c r="Q156" s="106" t="s">
        <v>698</v>
      </c>
      <c r="S156" s="108">
        <f>IF($A156="","",COUNTIF(BPOworkers!$B$6:$B$105,$A156))</f>
        <v>1</v>
      </c>
      <c r="T156" s="109">
        <f>IF($A156="","",$K156*Config!$C$9)</f>
        <v>5</v>
      </c>
      <c r="U156" s="109">
        <f>IF($A156="","",IF(COUNTIF(Config!$C$21:$C$23,$H156)&gt;0,IFERROR(VALUE(LEFT(TRIM($Q156),FIND(" ",TRIM($Q156)&amp;" ")-1)),0),0))</f>
        <v>0</v>
      </c>
      <c r="V156" s="109">
        <f t="shared" si="24"/>
        <v>5</v>
      </c>
      <c r="W156" s="108">
        <f>IF($A156="",0,IF(AND($C156&gt;=Config!$C$7,$C156&lt;=Config!$C$8),1,0))</f>
        <v>1</v>
      </c>
      <c r="X156" s="108">
        <f>IF($A156="",0,IF(COUNTIF(Config!$C$21:$C$23,$H156)&gt;0,1,0))</f>
        <v>0</v>
      </c>
      <c r="Y156" s="108">
        <f t="shared" si="25"/>
        <v>0</v>
      </c>
      <c r="Z156" s="108" t="str">
        <f t="shared" si="26"/>
        <v/>
      </c>
      <c r="AB156" s="108">
        <f t="shared" si="27"/>
        <v>0</v>
      </c>
      <c r="AC156" s="108">
        <f>IF($A156="",0,IF(AND($AB156=1,COUNTIF($A$2:$A156,$A156)=1),1,0))</f>
        <v>0</v>
      </c>
      <c r="AD156" s="108">
        <f t="shared" si="28"/>
        <v>0</v>
      </c>
      <c r="AE156" s="108" t="str">
        <f t="shared" si="29"/>
        <v/>
      </c>
      <c r="AF156" s="108">
        <f t="shared" si="30"/>
        <v>0</v>
      </c>
      <c r="AG156" s="108">
        <f t="shared" si="31"/>
        <v>0</v>
      </c>
      <c r="AH156" s="110" t="str">
        <f t="shared" si="32"/>
        <v>S Romero|20260904|Review|0.625|Reviewed subject assignment</v>
      </c>
      <c r="AI156" s="108">
        <f t="shared" si="33"/>
        <v>0</v>
      </c>
      <c r="AJ156" s="108">
        <f t="shared" si="34"/>
        <v>0</v>
      </c>
      <c r="AK156" s="108">
        <f>IF($A156="",0,IF(AND($S156=1,$W156=1,$X156=1,$U156&gt;Config!$C$9),1,0))</f>
        <v>0</v>
      </c>
      <c r="AL156" s="108">
        <f t="shared" si="35"/>
        <v>0</v>
      </c>
    </row>
    <row r="157" spans="1:38" x14ac:dyDescent="0.25">
      <c r="A157" s="106" t="s">
        <v>127</v>
      </c>
      <c r="B157" s="106" t="s">
        <v>618</v>
      </c>
      <c r="C157" s="107">
        <v>46269</v>
      </c>
      <c r="D157" s="106" t="s">
        <v>623</v>
      </c>
      <c r="E157" s="106" t="s">
        <v>624</v>
      </c>
      <c r="F157" s="106" t="s">
        <v>615</v>
      </c>
      <c r="G157" s="106" t="s">
        <v>625</v>
      </c>
      <c r="H157" s="106" t="s">
        <v>691</v>
      </c>
      <c r="I157" s="106"/>
      <c r="J157" s="106" t="s">
        <v>691</v>
      </c>
      <c r="K157" s="106">
        <v>0.375</v>
      </c>
      <c r="L157" s="106">
        <v>0</v>
      </c>
      <c r="M157" s="106">
        <v>0</v>
      </c>
      <c r="N157" s="106"/>
      <c r="O157" s="106"/>
      <c r="P157" s="106">
        <v>0</v>
      </c>
      <c r="Q157" s="106" t="s">
        <v>962</v>
      </c>
      <c r="S157" s="108">
        <f>IF($A157="","",COUNTIF(BPOworkers!$B$6:$B$105,$A157))</f>
        <v>1</v>
      </c>
      <c r="T157" s="109">
        <f>IF($A157="","",$K157*Config!$C$9)</f>
        <v>3</v>
      </c>
      <c r="U157" s="109">
        <f>IF($A157="","",IF(COUNTIF(Config!$C$21:$C$23,$H157)&gt;0,IFERROR(VALUE(LEFT(TRIM($Q157),FIND(" ",TRIM($Q157)&amp;" ")-1)),0),0))</f>
        <v>0</v>
      </c>
      <c r="V157" s="109">
        <f t="shared" si="24"/>
        <v>3</v>
      </c>
      <c r="W157" s="108">
        <f>IF($A157="",0,IF(AND($C157&gt;=Config!$C$7,$C157&lt;=Config!$C$8),1,0))</f>
        <v>1</v>
      </c>
      <c r="X157" s="108">
        <f>IF($A157="",0,IF(COUNTIF(Config!$C$21:$C$23,$H157)&gt;0,1,0))</f>
        <v>0</v>
      </c>
      <c r="Y157" s="108">
        <f t="shared" si="25"/>
        <v>0</v>
      </c>
      <c r="Z157" s="108" t="str">
        <f t="shared" si="26"/>
        <v/>
      </c>
      <c r="AB157" s="108">
        <f t="shared" si="27"/>
        <v>0</v>
      </c>
      <c r="AC157" s="108">
        <f>IF($A157="",0,IF(AND($AB157=1,COUNTIF($A$2:$A157,$A157)=1),1,0))</f>
        <v>0</v>
      </c>
      <c r="AD157" s="108">
        <f t="shared" si="28"/>
        <v>0</v>
      </c>
      <c r="AE157" s="108" t="str">
        <f t="shared" si="29"/>
        <v/>
      </c>
      <c r="AF157" s="108">
        <f t="shared" si="30"/>
        <v>0</v>
      </c>
      <c r="AG157" s="108">
        <f t="shared" si="31"/>
        <v>0</v>
      </c>
      <c r="AH157" s="110" t="str">
        <f t="shared" si="32"/>
        <v>S Romero|20260904|BPO Project Management|0.375|The usual Team Leads meetings were attended, as well as the regular Team meeting. Additionally, questions from the new B</v>
      </c>
      <c r="AI157" s="108">
        <f t="shared" si="33"/>
        <v>0</v>
      </c>
      <c r="AJ157" s="108">
        <f t="shared" si="34"/>
        <v>0</v>
      </c>
      <c r="AK157" s="108">
        <f>IF($A157="",0,IF(AND($S157=1,$W157=1,$X157=1,$U157&gt;Config!$C$9),1,0))</f>
        <v>0</v>
      </c>
      <c r="AL157" s="108">
        <f t="shared" si="35"/>
        <v>0</v>
      </c>
    </row>
    <row r="158" spans="1:38" ht="192.75" x14ac:dyDescent="0.25">
      <c r="A158" s="106" t="s">
        <v>123</v>
      </c>
      <c r="B158" s="106" t="s">
        <v>618</v>
      </c>
      <c r="C158" s="107">
        <v>46269</v>
      </c>
      <c r="D158" s="106" t="s">
        <v>623</v>
      </c>
      <c r="E158" s="106" t="s">
        <v>624</v>
      </c>
      <c r="F158" s="106" t="s">
        <v>615</v>
      </c>
      <c r="G158" s="106" t="s">
        <v>625</v>
      </c>
      <c r="H158" s="106" t="s">
        <v>691</v>
      </c>
      <c r="I158" s="106"/>
      <c r="J158" s="106" t="s">
        <v>691</v>
      </c>
      <c r="K158" s="106">
        <v>0.25</v>
      </c>
      <c r="L158" s="106">
        <v>0</v>
      </c>
      <c r="M158" s="106">
        <v>0</v>
      </c>
      <c r="N158" s="106"/>
      <c r="O158" s="106"/>
      <c r="P158" s="106">
        <v>0</v>
      </c>
      <c r="Q158" s="111" t="s">
        <v>963</v>
      </c>
      <c r="S158" s="108">
        <f>IF($A158="","",COUNTIF(BPOworkers!$B$6:$B$105,$A158))</f>
        <v>1</v>
      </c>
      <c r="T158" s="109">
        <f>IF($A158="","",$K158*Config!$C$9)</f>
        <v>2</v>
      </c>
      <c r="U158" s="109">
        <f>IF($A158="","",IF(COUNTIF(Config!$C$21:$C$23,$H158)&gt;0,IFERROR(VALUE(LEFT(TRIM($Q158),FIND(" ",TRIM($Q158)&amp;" ")-1)),0),0))</f>
        <v>0</v>
      </c>
      <c r="V158" s="109">
        <f t="shared" si="24"/>
        <v>2</v>
      </c>
      <c r="W158" s="108">
        <f>IF($A158="",0,IF(AND($C158&gt;=Config!$C$7,$C158&lt;=Config!$C$8),1,0))</f>
        <v>1</v>
      </c>
      <c r="X158" s="108">
        <f>IF($A158="",0,IF(COUNTIF(Config!$C$21:$C$23,$H158)&gt;0,1,0))</f>
        <v>0</v>
      </c>
      <c r="Y158" s="108">
        <f t="shared" si="25"/>
        <v>0</v>
      </c>
      <c r="Z158" s="108" t="str">
        <f t="shared" si="26"/>
        <v/>
      </c>
      <c r="AB158" s="108">
        <f t="shared" si="27"/>
        <v>0</v>
      </c>
      <c r="AC158" s="108">
        <f>IF($A158="",0,IF(AND($AB158=1,COUNTIF($A$2:$A158,$A158)=1),1,0))</f>
        <v>0</v>
      </c>
      <c r="AD158" s="108">
        <f t="shared" si="28"/>
        <v>0</v>
      </c>
      <c r="AE158" s="108" t="str">
        <f t="shared" si="29"/>
        <v/>
      </c>
      <c r="AF158" s="108">
        <f t="shared" si="30"/>
        <v>0</v>
      </c>
      <c r="AG158" s="108">
        <f t="shared" si="31"/>
        <v>0</v>
      </c>
      <c r="AH158" s="112" t="str">
        <f t="shared" si="32"/>
        <v>H Daza|20260904|BPO Project Management|0.250|TL &amp; TLS team
 Oil and Gas lease presentation and workshop, took an hour and a half. Multiple Q&amp;A's</v>
      </c>
      <c r="AI158" s="108">
        <f t="shared" si="33"/>
        <v>0</v>
      </c>
      <c r="AJ158" s="108">
        <f t="shared" si="34"/>
        <v>0</v>
      </c>
      <c r="AK158" s="108">
        <f>IF($A158="",0,IF(AND($S158=1,$W158=1,$X158=1,$U158&gt;Config!$C$9),1,0))</f>
        <v>0</v>
      </c>
      <c r="AL158" s="108">
        <f t="shared" si="35"/>
        <v>0</v>
      </c>
    </row>
    <row r="159" spans="1:38" x14ac:dyDescent="0.25">
      <c r="A159" s="106" t="s">
        <v>123</v>
      </c>
      <c r="B159" s="106" t="s">
        <v>618</v>
      </c>
      <c r="C159" s="107">
        <v>46269</v>
      </c>
      <c r="D159" s="106" t="s">
        <v>628</v>
      </c>
      <c r="E159" s="106" t="s">
        <v>701</v>
      </c>
      <c r="F159" s="106" t="s">
        <v>630</v>
      </c>
      <c r="G159" s="106"/>
      <c r="H159" s="106" t="s">
        <v>702</v>
      </c>
      <c r="I159" s="106"/>
      <c r="J159" s="106"/>
      <c r="K159" s="106">
        <v>0.75</v>
      </c>
      <c r="L159" s="106">
        <v>0</v>
      </c>
      <c r="M159" s="106">
        <v>0</v>
      </c>
      <c r="N159" s="106"/>
      <c r="O159" s="106"/>
      <c r="P159" s="106">
        <v>0</v>
      </c>
      <c r="Q159" s="106" t="s">
        <v>964</v>
      </c>
      <c r="S159" s="108">
        <f>IF($A159="","",COUNTIF(BPOworkers!$B$6:$B$105,$A159))</f>
        <v>1</v>
      </c>
      <c r="T159" s="109">
        <f>IF($A159="","",$K159*Config!$C$9)</f>
        <v>6</v>
      </c>
      <c r="U159" s="109">
        <f>IF($A159="","",IF(COUNTIF(Config!$C$21:$C$23,$H159)&gt;0,IFERROR(VALUE(LEFT(TRIM($Q159),FIND(" ",TRIM($Q159)&amp;" ")-1)),0),0))</f>
        <v>0</v>
      </c>
      <c r="V159" s="109">
        <f t="shared" si="24"/>
        <v>6</v>
      </c>
      <c r="W159" s="108">
        <f>IF($A159="",0,IF(AND($C159&gt;=Config!$C$7,$C159&lt;=Config!$C$8),1,0))</f>
        <v>1</v>
      </c>
      <c r="X159" s="108">
        <f>IF($A159="",0,IF(COUNTIF(Config!$C$21:$C$23,$H159)&gt;0,1,0))</f>
        <v>0</v>
      </c>
      <c r="Y159" s="108">
        <f t="shared" si="25"/>
        <v>0</v>
      </c>
      <c r="Z159" s="108" t="str">
        <f t="shared" si="26"/>
        <v/>
      </c>
      <c r="AB159" s="108">
        <f t="shared" si="27"/>
        <v>0</v>
      </c>
      <c r="AC159" s="108">
        <f>IF($A159="",0,IF(AND($AB159=1,COUNTIF($A$2:$A159,$A159)=1),1,0))</f>
        <v>0</v>
      </c>
      <c r="AD159" s="108">
        <f t="shared" si="28"/>
        <v>0</v>
      </c>
      <c r="AE159" s="108" t="str">
        <f t="shared" si="29"/>
        <v/>
      </c>
      <c r="AF159" s="108">
        <f t="shared" si="30"/>
        <v>0</v>
      </c>
      <c r="AG159" s="108">
        <f t="shared" si="31"/>
        <v>0</v>
      </c>
      <c r="AH159" s="110" t="str">
        <f t="shared" si="32"/>
        <v>H Daza|20260904|Data Processing|0.750|Mapping all the mentioned leases from the TO, distributing the starting interest among the original lessors. Make LMS up</v>
      </c>
      <c r="AI159" s="108">
        <f t="shared" si="33"/>
        <v>0</v>
      </c>
      <c r="AJ159" s="108">
        <f t="shared" si="34"/>
        <v>0</v>
      </c>
      <c r="AK159" s="108">
        <f>IF($A159="",0,IF(AND($S159=1,$W159=1,$X159=1,$U159&gt;Config!$C$9),1,0))</f>
        <v>0</v>
      </c>
      <c r="AL159" s="108">
        <f t="shared" si="35"/>
        <v>0</v>
      </c>
    </row>
    <row r="160" spans="1:38" ht="108.75" x14ac:dyDescent="0.25">
      <c r="A160" s="106" t="s">
        <v>126</v>
      </c>
      <c r="B160" s="106" t="s">
        <v>618</v>
      </c>
      <c r="C160" s="107">
        <v>46269</v>
      </c>
      <c r="D160" s="106" t="s">
        <v>623</v>
      </c>
      <c r="E160" s="106" t="s">
        <v>624</v>
      </c>
      <c r="F160" s="106" t="s">
        <v>615</v>
      </c>
      <c r="G160" s="106" t="s">
        <v>625</v>
      </c>
      <c r="H160" s="106" t="s">
        <v>691</v>
      </c>
      <c r="I160" s="106"/>
      <c r="J160" s="106" t="s">
        <v>691</v>
      </c>
      <c r="K160" s="106">
        <v>0.125</v>
      </c>
      <c r="L160" s="106">
        <v>0</v>
      </c>
      <c r="M160" s="106">
        <v>0</v>
      </c>
      <c r="N160" s="106"/>
      <c r="O160" s="106"/>
      <c r="P160" s="106">
        <v>0</v>
      </c>
      <c r="Q160" s="111" t="s">
        <v>965</v>
      </c>
      <c r="S160" s="108">
        <f>IF($A160="","",COUNTIF(BPOworkers!$B$6:$B$105,$A160))</f>
        <v>1</v>
      </c>
      <c r="T160" s="109">
        <f>IF($A160="","",$K160*Config!$C$9)</f>
        <v>1</v>
      </c>
      <c r="U160" s="109">
        <f>IF($A160="","",IF(COUNTIF(Config!$C$21:$C$23,$H160)&gt;0,IFERROR(VALUE(LEFT(TRIM($Q160),FIND(" ",TRIM($Q160)&amp;" ")-1)),0),0))</f>
        <v>0</v>
      </c>
      <c r="V160" s="109">
        <f t="shared" si="24"/>
        <v>1</v>
      </c>
      <c r="W160" s="108">
        <f>IF($A160="",0,IF(AND($C160&gt;=Config!$C$7,$C160&lt;=Config!$C$8),1,0))</f>
        <v>1</v>
      </c>
      <c r="X160" s="108">
        <f>IF($A160="",0,IF(COUNTIF(Config!$C$21:$C$23,$H160)&gt;0,1,0))</f>
        <v>0</v>
      </c>
      <c r="Y160" s="108">
        <f t="shared" si="25"/>
        <v>0</v>
      </c>
      <c r="Z160" s="108" t="str">
        <f t="shared" si="26"/>
        <v/>
      </c>
      <c r="AB160" s="108">
        <f t="shared" si="27"/>
        <v>0</v>
      </c>
      <c r="AC160" s="108">
        <f>IF($A160="",0,IF(AND($AB160=1,COUNTIF($A$2:$A160,$A160)=1),1,0))</f>
        <v>0</v>
      </c>
      <c r="AD160" s="108">
        <f t="shared" si="28"/>
        <v>0</v>
      </c>
      <c r="AE160" s="108" t="str">
        <f t="shared" si="29"/>
        <v/>
      </c>
      <c r="AF160" s="108">
        <f t="shared" si="30"/>
        <v>0</v>
      </c>
      <c r="AG160" s="108">
        <f t="shared" si="31"/>
        <v>0</v>
      </c>
      <c r="AH160" s="112" t="str">
        <f t="shared" si="32"/>
        <v>R Sanchez|20260904|BPO Project Management|0.125|TL meeting
 Q&amp;A new trainees</v>
      </c>
      <c r="AI160" s="108">
        <f t="shared" si="33"/>
        <v>0</v>
      </c>
      <c r="AJ160" s="108">
        <f t="shared" si="34"/>
        <v>0</v>
      </c>
      <c r="AK160" s="108">
        <f>IF($A160="",0,IF(AND($S160=1,$W160=1,$X160=1,$U160&gt;Config!$C$9),1,0))</f>
        <v>0</v>
      </c>
      <c r="AL160" s="108">
        <f t="shared" si="35"/>
        <v>0</v>
      </c>
    </row>
    <row r="161" spans="1:38" x14ac:dyDescent="0.25">
      <c r="A161" s="106" t="s">
        <v>126</v>
      </c>
      <c r="B161" s="106" t="s">
        <v>618</v>
      </c>
      <c r="C161" s="107">
        <v>46269</v>
      </c>
      <c r="D161" s="106" t="s">
        <v>628</v>
      </c>
      <c r="E161" s="106" t="s">
        <v>705</v>
      </c>
      <c r="F161" s="106" t="s">
        <v>630</v>
      </c>
      <c r="G161" s="106" t="s">
        <v>706</v>
      </c>
      <c r="H161" s="106" t="s">
        <v>707</v>
      </c>
      <c r="I161" s="106"/>
      <c r="J161" s="106"/>
      <c r="K161" s="106">
        <v>0.875</v>
      </c>
      <c r="L161" s="106">
        <v>0</v>
      </c>
      <c r="M161" s="106">
        <v>0</v>
      </c>
      <c r="N161" s="106"/>
      <c r="O161" s="106"/>
      <c r="P161" s="106">
        <v>0</v>
      </c>
      <c r="Q161" s="106" t="s">
        <v>966</v>
      </c>
      <c r="S161" s="108">
        <f>IF($A161="","",COUNTIF(BPOworkers!$B$6:$B$105,$A161))</f>
        <v>1</v>
      </c>
      <c r="T161" s="109">
        <f>IF($A161="","",$K161*Config!$C$9)</f>
        <v>7</v>
      </c>
      <c r="U161" s="109">
        <f>IF($A161="","",IF(COUNTIF(Config!$C$21:$C$23,$H161)&gt;0,IFERROR(VALUE(LEFT(TRIM($Q161),FIND(" ",TRIM($Q161)&amp;" ")-1)),0),0))</f>
        <v>0</v>
      </c>
      <c r="V161" s="109">
        <f t="shared" si="24"/>
        <v>7</v>
      </c>
      <c r="W161" s="108">
        <f>IF($A161="",0,IF(AND($C161&gt;=Config!$C$7,$C161&lt;=Config!$C$8),1,0))</f>
        <v>1</v>
      </c>
      <c r="X161" s="108">
        <f>IF($A161="",0,IF(COUNTIF(Config!$C$21:$C$23,$H161)&gt;0,1,0))</f>
        <v>0</v>
      </c>
      <c r="Y161" s="108">
        <f t="shared" si="25"/>
        <v>0</v>
      </c>
      <c r="Z161" s="108" t="str">
        <f t="shared" si="26"/>
        <v/>
      </c>
      <c r="AB161" s="108">
        <f t="shared" si="27"/>
        <v>0</v>
      </c>
      <c r="AC161" s="108">
        <f>IF($A161="",0,IF(AND($AB161=1,COUNTIF($A$2:$A161,$A161)=1),1,0))</f>
        <v>0</v>
      </c>
      <c r="AD161" s="108">
        <f t="shared" si="28"/>
        <v>0</v>
      </c>
      <c r="AE161" s="108" t="str">
        <f t="shared" si="29"/>
        <v/>
      </c>
      <c r="AF161" s="108">
        <f t="shared" si="30"/>
        <v>0</v>
      </c>
      <c r="AG161" s="108">
        <f t="shared" si="31"/>
        <v>0</v>
      </c>
      <c r="AH161" s="110" t="str">
        <f t="shared" si="32"/>
        <v>R Sanchez|20260904|Title Opinion data entry|0.875|Mapping all the mentioned leases from the TO, distributing the starting interest among the original lessors.</v>
      </c>
      <c r="AI161" s="108">
        <f t="shared" si="33"/>
        <v>0</v>
      </c>
      <c r="AJ161" s="108">
        <f t="shared" si="34"/>
        <v>0</v>
      </c>
      <c r="AK161" s="108">
        <f>IF($A161="",0,IF(AND($S161=1,$W161=1,$X161=1,$U161&gt;Config!$C$9),1,0))</f>
        <v>0</v>
      </c>
      <c r="AL161" s="108">
        <f t="shared" si="35"/>
        <v>0</v>
      </c>
    </row>
    <row r="162" spans="1:38" x14ac:dyDescent="0.25">
      <c r="A162" s="106" t="s">
        <v>122</v>
      </c>
      <c r="B162" s="106" t="s">
        <v>618</v>
      </c>
      <c r="C162" s="107">
        <v>46269</v>
      </c>
      <c r="D162" s="106" t="s">
        <v>694</v>
      </c>
      <c r="E162" s="106" t="s">
        <v>709</v>
      </c>
      <c r="F162" s="106" t="s">
        <v>615</v>
      </c>
      <c r="G162" s="106"/>
      <c r="H162" s="106" t="s">
        <v>709</v>
      </c>
      <c r="I162" s="106"/>
      <c r="J162" s="106" t="s">
        <v>710</v>
      </c>
      <c r="K162" s="106">
        <v>1</v>
      </c>
      <c r="L162" s="106">
        <v>0</v>
      </c>
      <c r="M162" s="106">
        <v>0</v>
      </c>
      <c r="N162" s="106"/>
      <c r="O162" s="106"/>
      <c r="P162" s="106">
        <v>0</v>
      </c>
      <c r="Q162" s="106" t="s">
        <v>711</v>
      </c>
      <c r="S162" s="108">
        <f>IF($A162="","",COUNTIF(BPOworkers!$B$6:$B$105,$A162))</f>
        <v>1</v>
      </c>
      <c r="T162" s="109">
        <f>IF($A162="","",$K162*Config!$C$9)</f>
        <v>8</v>
      </c>
      <c r="U162" s="109">
        <f>IF($A162="","",IF(COUNTIF(Config!$C$21:$C$23,$H162)&gt;0,IFERROR(VALUE(LEFT(TRIM($Q162),FIND(" ",TRIM($Q162)&amp;" ")-1)),0),0))</f>
        <v>0</v>
      </c>
      <c r="V162" s="109">
        <f t="shared" si="24"/>
        <v>8</v>
      </c>
      <c r="W162" s="108">
        <f>IF($A162="",0,IF(AND($C162&gt;=Config!$C$7,$C162&lt;=Config!$C$8),1,0))</f>
        <v>1</v>
      </c>
      <c r="X162" s="108">
        <f>IF($A162="",0,IF(COUNTIF(Config!$C$21:$C$23,$H162)&gt;0,1,0))</f>
        <v>0</v>
      </c>
      <c r="Y162" s="108">
        <f t="shared" si="25"/>
        <v>0</v>
      </c>
      <c r="Z162" s="108" t="str">
        <f t="shared" si="26"/>
        <v/>
      </c>
      <c r="AB162" s="108">
        <f t="shared" si="27"/>
        <v>0</v>
      </c>
      <c r="AC162" s="108">
        <f>IF($A162="",0,IF(AND($AB162=1,COUNTIF($A$2:$A162,$A162)=1),1,0))</f>
        <v>0</v>
      </c>
      <c r="AD162" s="108">
        <f t="shared" si="28"/>
        <v>0</v>
      </c>
      <c r="AE162" s="108" t="str">
        <f t="shared" si="29"/>
        <v/>
      </c>
      <c r="AF162" s="108">
        <f t="shared" si="30"/>
        <v>0</v>
      </c>
      <c r="AG162" s="108">
        <f t="shared" si="31"/>
        <v>0</v>
      </c>
      <c r="AH162" s="110" t="str">
        <f t="shared" si="32"/>
        <v>A Lorenzo|20260904|Land Admin|1.000|Data reconciliation</v>
      </c>
      <c r="AI162" s="108">
        <f t="shared" si="33"/>
        <v>0</v>
      </c>
      <c r="AJ162" s="108">
        <f t="shared" si="34"/>
        <v>0</v>
      </c>
      <c r="AK162" s="108">
        <f>IF($A162="",0,IF(AND($S162=1,$W162=1,$X162=1,$U162&gt;Config!$C$9),1,0))</f>
        <v>0</v>
      </c>
      <c r="AL162" s="108">
        <f t="shared" si="35"/>
        <v>0</v>
      </c>
    </row>
    <row r="163" spans="1:38" ht="192.75" x14ac:dyDescent="0.25">
      <c r="A163" s="106" t="s">
        <v>120</v>
      </c>
      <c r="B163" s="106" t="s">
        <v>618</v>
      </c>
      <c r="C163" s="107">
        <v>46269</v>
      </c>
      <c r="D163" s="106" t="s">
        <v>623</v>
      </c>
      <c r="E163" s="106" t="s">
        <v>624</v>
      </c>
      <c r="F163" s="106" t="s">
        <v>615</v>
      </c>
      <c r="G163" s="106" t="s">
        <v>625</v>
      </c>
      <c r="H163" s="106" t="s">
        <v>691</v>
      </c>
      <c r="I163" s="106"/>
      <c r="J163" s="106" t="s">
        <v>691</v>
      </c>
      <c r="K163" s="106">
        <v>0.125</v>
      </c>
      <c r="L163" s="106">
        <v>0</v>
      </c>
      <c r="M163" s="106">
        <v>0</v>
      </c>
      <c r="N163" s="106"/>
      <c r="O163" s="106"/>
      <c r="P163" s="106">
        <v>0</v>
      </c>
      <c r="Q163" s="111" t="s">
        <v>967</v>
      </c>
      <c r="S163" s="108">
        <f>IF($A163="","",COUNTIF(BPOworkers!$B$6:$B$105,$A163))</f>
        <v>1</v>
      </c>
      <c r="T163" s="109">
        <f>IF($A163="","",$K163*Config!$C$9)</f>
        <v>1</v>
      </c>
      <c r="U163" s="109">
        <f>IF($A163="","",IF(COUNTIF(Config!$C$21:$C$23,$H163)&gt;0,IFERROR(VALUE(LEFT(TRIM($Q163),FIND(" ",TRIM($Q163)&amp;" ")-1)),0),0))</f>
        <v>0</v>
      </c>
      <c r="V163" s="109">
        <f t="shared" si="24"/>
        <v>1</v>
      </c>
      <c r="W163" s="108">
        <f>IF($A163="",0,IF(AND($C163&gt;=Config!$C$7,$C163&lt;=Config!$C$8),1,0))</f>
        <v>1</v>
      </c>
      <c r="X163" s="108">
        <f>IF($A163="",0,IF(COUNTIF(Config!$C$21:$C$23,$H163)&gt;0,1,0))</f>
        <v>0</v>
      </c>
      <c r="Y163" s="108">
        <f t="shared" si="25"/>
        <v>0</v>
      </c>
      <c r="Z163" s="108" t="str">
        <f t="shared" si="26"/>
        <v/>
      </c>
      <c r="AB163" s="108">
        <f t="shared" si="27"/>
        <v>0</v>
      </c>
      <c r="AC163" s="108">
        <f>IF($A163="",0,IF(AND($AB163=1,COUNTIF($A$2:$A163,$A163)=1),1,0))</f>
        <v>0</v>
      </c>
      <c r="AD163" s="108">
        <f t="shared" si="28"/>
        <v>0</v>
      </c>
      <c r="AE163" s="108" t="str">
        <f t="shared" si="29"/>
        <v/>
      </c>
      <c r="AF163" s="108">
        <f t="shared" si="30"/>
        <v>0</v>
      </c>
      <c r="AG163" s="108">
        <f t="shared" si="31"/>
        <v>0</v>
      </c>
      <c r="AH163" s="112" t="str">
        <f t="shared" si="32"/>
        <v>A Camargo|20260904|BPO Project Management|0.125|- Team Leads Meetings
 - My Team's meeting
 - Meeting with my mentee
 - Review of my team's BTABs</v>
      </c>
      <c r="AI163" s="108">
        <f t="shared" si="33"/>
        <v>0</v>
      </c>
      <c r="AJ163" s="108">
        <f t="shared" si="34"/>
        <v>0</v>
      </c>
      <c r="AK163" s="108">
        <f>IF($A163="",0,IF(AND($S163=1,$W163=1,$X163=1,$U163&gt;Config!$C$9),1,0))</f>
        <v>0</v>
      </c>
      <c r="AL163" s="108">
        <f t="shared" si="35"/>
        <v>0</v>
      </c>
    </row>
    <row r="164" spans="1:38" x14ac:dyDescent="0.25">
      <c r="A164" s="106" t="s">
        <v>120</v>
      </c>
      <c r="B164" s="106" t="s">
        <v>618</v>
      </c>
      <c r="C164" s="107">
        <v>46269</v>
      </c>
      <c r="D164" s="106" t="s">
        <v>712</v>
      </c>
      <c r="E164" s="106" t="s">
        <v>713</v>
      </c>
      <c r="F164" s="106" t="s">
        <v>714</v>
      </c>
      <c r="G164" s="106" t="s">
        <v>715</v>
      </c>
      <c r="H164" s="106" t="s">
        <v>639</v>
      </c>
      <c r="I164" s="106"/>
      <c r="J164" s="106" t="s">
        <v>716</v>
      </c>
      <c r="K164" s="106">
        <v>0.875</v>
      </c>
      <c r="L164" s="106">
        <v>0</v>
      </c>
      <c r="M164" s="106">
        <v>0</v>
      </c>
      <c r="N164" s="106"/>
      <c r="O164" s="106"/>
      <c r="P164" s="106">
        <v>0</v>
      </c>
      <c r="Q164" s="106" t="s">
        <v>968</v>
      </c>
      <c r="S164" s="108">
        <f>IF($A164="","",COUNTIF(BPOworkers!$B$6:$B$105,$A164))</f>
        <v>1</v>
      </c>
      <c r="T164" s="109">
        <f>IF($A164="","",$K164*Config!$C$9)</f>
        <v>7</v>
      </c>
      <c r="U164" s="109">
        <f>IF($A164="","",IF(COUNTIF(Config!$C$21:$C$23,$H164)&gt;0,IFERROR(VALUE(LEFT(TRIM($Q164),FIND(" ",TRIM($Q164)&amp;" ")-1)),0),0))</f>
        <v>0</v>
      </c>
      <c r="V164" s="109">
        <f t="shared" si="24"/>
        <v>7</v>
      </c>
      <c r="W164" s="108">
        <f>IF($A164="",0,IF(AND($C164&gt;=Config!$C$7,$C164&lt;=Config!$C$8),1,0))</f>
        <v>1</v>
      </c>
      <c r="X164" s="108">
        <f>IF($A164="",0,IF(COUNTIF(Config!$C$21:$C$23,$H164)&gt;0,1,0))</f>
        <v>0</v>
      </c>
      <c r="Y164" s="108">
        <f t="shared" si="25"/>
        <v>0</v>
      </c>
      <c r="Z164" s="108" t="str">
        <f t="shared" si="26"/>
        <v/>
      </c>
      <c r="AB164" s="108">
        <f t="shared" si="27"/>
        <v>0</v>
      </c>
      <c r="AC164" s="108">
        <f>IF($A164="",0,IF(AND($AB164=1,COUNTIF($A$2:$A164,$A164)=1),1,0))</f>
        <v>0</v>
      </c>
      <c r="AD164" s="108">
        <f t="shared" si="28"/>
        <v>0</v>
      </c>
      <c r="AE164" s="108" t="str">
        <f t="shared" si="29"/>
        <v/>
      </c>
      <c r="AF164" s="108">
        <f t="shared" si="30"/>
        <v>0</v>
      </c>
      <c r="AG164" s="108">
        <f t="shared" si="31"/>
        <v>0</v>
      </c>
      <c r="AH164" s="110" t="str">
        <f t="shared" si="32"/>
        <v>A Camargo|20260904|Review|0.875|Worked on the review of the AOI (corrected some notecards and aliases, as well as the re-indexing of some parties)</v>
      </c>
      <c r="AI164" s="108">
        <f t="shared" si="33"/>
        <v>0</v>
      </c>
      <c r="AJ164" s="108">
        <f t="shared" si="34"/>
        <v>0</v>
      </c>
      <c r="AK164" s="108">
        <f>IF($A164="",0,IF(AND($S164=1,$W164=1,$X164=1,$U164&gt;Config!$C$9),1,0))</f>
        <v>0</v>
      </c>
      <c r="AL164" s="108">
        <f t="shared" si="35"/>
        <v>0</v>
      </c>
    </row>
    <row r="165" spans="1:38" x14ac:dyDescent="0.25">
      <c r="A165" s="106" t="s">
        <v>718</v>
      </c>
      <c r="B165" s="106" t="s">
        <v>618</v>
      </c>
      <c r="C165" s="107">
        <v>46269</v>
      </c>
      <c r="D165" s="106" t="s">
        <v>628</v>
      </c>
      <c r="E165" s="106" t="s">
        <v>705</v>
      </c>
      <c r="F165" s="106" t="s">
        <v>630</v>
      </c>
      <c r="G165" s="106" t="s">
        <v>910</v>
      </c>
      <c r="H165" s="106" t="s">
        <v>631</v>
      </c>
      <c r="I165" s="106"/>
      <c r="J165" s="106"/>
      <c r="K165" s="106">
        <v>1</v>
      </c>
      <c r="L165" s="106">
        <v>0</v>
      </c>
      <c r="M165" s="106">
        <v>0</v>
      </c>
      <c r="N165" s="106"/>
      <c r="O165" s="106"/>
      <c r="P165" s="106">
        <v>0</v>
      </c>
      <c r="Q165" s="106" t="s">
        <v>969</v>
      </c>
      <c r="S165" s="108">
        <f>IF($A165="","",COUNTIF(BPOworkers!$B$6:$B$105,$A165))</f>
        <v>0</v>
      </c>
      <c r="T165" s="109">
        <f>IF($A165="","",$K165*Config!$C$9)</f>
        <v>8</v>
      </c>
      <c r="U165" s="109">
        <f>IF($A165="","",IF(COUNTIF(Config!$C$21:$C$23,$H165)&gt;0,IFERROR(VALUE(LEFT(TRIM($Q165),FIND(" ",TRIM($Q165)&amp;" ")-1)),0),0))</f>
        <v>0</v>
      </c>
      <c r="V165" s="109">
        <f t="shared" si="24"/>
        <v>8</v>
      </c>
      <c r="W165" s="108">
        <f>IF($A165="",0,IF(AND($C165&gt;=Config!$C$7,$C165&lt;=Config!$C$8),1,0))</f>
        <v>1</v>
      </c>
      <c r="X165" s="108">
        <f>IF($A165="",0,IF(COUNTIF(Config!$C$21:$C$23,$H165)&gt;0,1,0))</f>
        <v>0</v>
      </c>
      <c r="Y165" s="108">
        <f t="shared" si="25"/>
        <v>0</v>
      </c>
      <c r="Z165" s="108" t="str">
        <f t="shared" si="26"/>
        <v/>
      </c>
      <c r="AB165" s="108">
        <f t="shared" si="27"/>
        <v>0</v>
      </c>
      <c r="AC165" s="108">
        <f>IF($A165="",0,IF(AND($AB165=1,COUNTIF($A$2:$A165,$A165)=1),1,0))</f>
        <v>0</v>
      </c>
      <c r="AD165" s="108">
        <f t="shared" si="28"/>
        <v>0</v>
      </c>
      <c r="AE165" s="108" t="str">
        <f t="shared" si="29"/>
        <v/>
      </c>
      <c r="AF165" s="108">
        <f t="shared" si="30"/>
        <v>0</v>
      </c>
      <c r="AG165" s="108">
        <f t="shared" si="31"/>
        <v>0</v>
      </c>
      <c r="AH165" s="110" t="str">
        <f t="shared" si="32"/>
        <v>B. Lukes|20260904|Title|1.000|Uploading and organizing DTO data into AOI.</v>
      </c>
      <c r="AI165" s="108">
        <f t="shared" si="33"/>
        <v>0</v>
      </c>
      <c r="AJ165" s="108">
        <f t="shared" si="34"/>
        <v>0</v>
      </c>
      <c r="AK165" s="108">
        <f>IF($A165="",0,IF(AND($S165=1,$W165=1,$X165=1,$U165&gt;Config!$C$9),1,0))</f>
        <v>0</v>
      </c>
      <c r="AL165" s="108">
        <f t="shared" si="35"/>
        <v>0</v>
      </c>
    </row>
    <row r="166" spans="1:38" ht="168.75" x14ac:dyDescent="0.25">
      <c r="A166" s="106" t="s">
        <v>125</v>
      </c>
      <c r="B166" s="106" t="s">
        <v>618</v>
      </c>
      <c r="C166" s="107">
        <v>46269</v>
      </c>
      <c r="D166" s="106" t="s">
        <v>720</v>
      </c>
      <c r="E166" s="106" t="s">
        <v>721</v>
      </c>
      <c r="F166" s="106" t="s">
        <v>722</v>
      </c>
      <c r="G166" s="106" t="s">
        <v>970</v>
      </c>
      <c r="H166" s="106" t="s">
        <v>631</v>
      </c>
      <c r="I166" s="106"/>
      <c r="J166" s="106"/>
      <c r="K166" s="106">
        <v>0.875</v>
      </c>
      <c r="L166" s="106">
        <v>0</v>
      </c>
      <c r="M166" s="106">
        <v>0</v>
      </c>
      <c r="N166" s="106"/>
      <c r="O166" s="106"/>
      <c r="P166" s="106">
        <v>0</v>
      </c>
      <c r="Q166" s="111" t="s">
        <v>971</v>
      </c>
      <c r="S166" s="108">
        <f>IF($A166="","",COUNTIF(BPOworkers!$B$6:$B$105,$A166))</f>
        <v>1</v>
      </c>
      <c r="T166" s="109">
        <f>IF($A166="","",$K166*Config!$C$9)</f>
        <v>7</v>
      </c>
      <c r="U166" s="109">
        <f>IF($A166="","",IF(COUNTIF(Config!$C$21:$C$23,$H166)&gt;0,IFERROR(VALUE(LEFT(TRIM($Q166),FIND(" ",TRIM($Q166)&amp;" ")-1)),0),0))</f>
        <v>0</v>
      </c>
      <c r="V166" s="109">
        <f t="shared" si="24"/>
        <v>7</v>
      </c>
      <c r="W166" s="108">
        <f>IF($A166="",0,IF(AND($C166&gt;=Config!$C$7,$C166&lt;=Config!$C$8),1,0))</f>
        <v>1</v>
      </c>
      <c r="X166" s="108">
        <f>IF($A166="",0,IF(COUNTIF(Config!$C$21:$C$23,$H166)&gt;0,1,0))</f>
        <v>0</v>
      </c>
      <c r="Y166" s="108">
        <f t="shared" si="25"/>
        <v>0</v>
      </c>
      <c r="Z166" s="108" t="str">
        <f t="shared" si="26"/>
        <v/>
      </c>
      <c r="AB166" s="108">
        <f t="shared" si="27"/>
        <v>0</v>
      </c>
      <c r="AC166" s="108">
        <f>IF($A166="",0,IF(AND($AB166=1,COUNTIF($A$2:$A166,$A166)=1),1,0))</f>
        <v>0</v>
      </c>
      <c r="AD166" s="108">
        <f t="shared" si="28"/>
        <v>0</v>
      </c>
      <c r="AE166" s="108" t="str">
        <f t="shared" si="29"/>
        <v/>
      </c>
      <c r="AF166" s="108">
        <f t="shared" si="30"/>
        <v>0</v>
      </c>
      <c r="AG166" s="108">
        <f t="shared" si="31"/>
        <v>0</v>
      </c>
      <c r="AH166" s="112" t="str">
        <f t="shared" si="32"/>
        <v xml:space="preserve">M Leon|20260904|Title|0.875|-Created AOI
 -Created indexing spreadsheet
 -Added source deed
 -Indexed to the present from the source deed
 -Started </v>
      </c>
      <c r="AI166" s="108">
        <f t="shared" si="33"/>
        <v>0</v>
      </c>
      <c r="AJ166" s="108">
        <f t="shared" si="34"/>
        <v>0</v>
      </c>
      <c r="AK166" s="108">
        <f>IF($A166="",0,IF(AND($S166=1,$W166=1,$X166=1,$U166&gt;Config!$C$9),1,0))</f>
        <v>0</v>
      </c>
      <c r="AL166" s="108">
        <f t="shared" si="35"/>
        <v>0</v>
      </c>
    </row>
    <row r="167" spans="1:38" ht="144.75" x14ac:dyDescent="0.25">
      <c r="A167" s="106" t="s">
        <v>125</v>
      </c>
      <c r="B167" s="106" t="s">
        <v>618</v>
      </c>
      <c r="C167" s="107">
        <v>46269</v>
      </c>
      <c r="D167" s="106" t="s">
        <v>623</v>
      </c>
      <c r="E167" s="106" t="s">
        <v>624</v>
      </c>
      <c r="F167" s="106" t="s">
        <v>615</v>
      </c>
      <c r="G167" s="106"/>
      <c r="H167" s="106" t="s">
        <v>691</v>
      </c>
      <c r="I167" s="106"/>
      <c r="J167" s="106" t="s">
        <v>691</v>
      </c>
      <c r="K167" s="106">
        <v>0.125</v>
      </c>
      <c r="L167" s="106">
        <v>0</v>
      </c>
      <c r="M167" s="106">
        <v>0</v>
      </c>
      <c r="N167" s="106"/>
      <c r="O167" s="106"/>
      <c r="P167" s="106">
        <v>0</v>
      </c>
      <c r="Q167" s="111" t="s">
        <v>972</v>
      </c>
      <c r="S167" s="108">
        <f>IF($A167="","",COUNTIF(BPOworkers!$B$6:$B$105,$A167))</f>
        <v>1</v>
      </c>
      <c r="T167" s="109">
        <f>IF($A167="","",$K167*Config!$C$9)</f>
        <v>1</v>
      </c>
      <c r="U167" s="109">
        <f>IF($A167="","",IF(COUNTIF(Config!$C$21:$C$23,$H167)&gt;0,IFERROR(VALUE(LEFT(TRIM($Q167),FIND(" ",TRIM($Q167)&amp;" ")-1)),0),0))</f>
        <v>0</v>
      </c>
      <c r="V167" s="109">
        <f t="shared" si="24"/>
        <v>1</v>
      </c>
      <c r="W167" s="108">
        <f>IF($A167="",0,IF(AND($C167&gt;=Config!$C$7,$C167&lt;=Config!$C$8),1,0))</f>
        <v>1</v>
      </c>
      <c r="X167" s="108">
        <f>IF($A167="",0,IF(COUNTIF(Config!$C$21:$C$23,$H167)&gt;0,1,0))</f>
        <v>0</v>
      </c>
      <c r="Y167" s="108">
        <f t="shared" si="25"/>
        <v>0</v>
      </c>
      <c r="Z167" s="108" t="str">
        <f t="shared" si="26"/>
        <v/>
      </c>
      <c r="AB167" s="108">
        <f t="shared" si="27"/>
        <v>0</v>
      </c>
      <c r="AC167" s="108">
        <f>IF($A167="",0,IF(AND($AB167=1,COUNTIF($A$2:$A167,$A167)=1),1,0))</f>
        <v>0</v>
      </c>
      <c r="AD167" s="108">
        <f t="shared" si="28"/>
        <v>0</v>
      </c>
      <c r="AE167" s="108" t="str">
        <f t="shared" si="29"/>
        <v/>
      </c>
      <c r="AF167" s="108">
        <f t="shared" si="30"/>
        <v>0</v>
      </c>
      <c r="AG167" s="108">
        <f t="shared" si="31"/>
        <v>0</v>
      </c>
      <c r="AH167" s="112" t="str">
        <f t="shared" si="32"/>
        <v>M Leon|20260904|BPO Project Management|0.125| Answer questions
  Check btabs
 Weekly meeting with my team</v>
      </c>
      <c r="AI167" s="108">
        <f t="shared" si="33"/>
        <v>0</v>
      </c>
      <c r="AJ167" s="108">
        <f t="shared" si="34"/>
        <v>0</v>
      </c>
      <c r="AK167" s="108">
        <f>IF($A167="",0,IF(AND($S167=1,$W167=1,$X167=1,$U167&gt;Config!$C$9),1,0))</f>
        <v>0</v>
      </c>
      <c r="AL167" s="108">
        <f t="shared" si="35"/>
        <v>0</v>
      </c>
    </row>
    <row r="168" spans="1:38" x14ac:dyDescent="0.25">
      <c r="A168" s="106" t="s">
        <v>468</v>
      </c>
      <c r="B168" s="106" t="s">
        <v>618</v>
      </c>
      <c r="C168" s="107">
        <v>46269</v>
      </c>
      <c r="D168" s="106" t="s">
        <v>529</v>
      </c>
      <c r="E168" s="106" t="s">
        <v>529</v>
      </c>
      <c r="F168" s="106" t="s">
        <v>615</v>
      </c>
      <c r="G168" s="106"/>
      <c r="H168" s="106" t="s">
        <v>529</v>
      </c>
      <c r="I168" s="106"/>
      <c r="J168" s="106" t="s">
        <v>727</v>
      </c>
      <c r="K168" s="106">
        <v>0</v>
      </c>
      <c r="L168" s="106">
        <v>0</v>
      </c>
      <c r="M168" s="106">
        <v>0</v>
      </c>
      <c r="N168" s="106"/>
      <c r="O168" s="106"/>
      <c r="P168" s="106">
        <v>0</v>
      </c>
      <c r="Q168" s="106" t="s">
        <v>728</v>
      </c>
      <c r="S168" s="108">
        <f>IF($A168="","",COUNTIF(BPOworkers!$B$6:$B$105,$A168))</f>
        <v>1</v>
      </c>
      <c r="T168" s="109">
        <f>IF($A168="","",$K168*Config!$C$9)</f>
        <v>0</v>
      </c>
      <c r="U168" s="109">
        <f>IF($A168="","",IF(COUNTIF(Config!$C$21:$C$23,$H168)&gt;0,IFERROR(VALUE(LEFT(TRIM($Q168),FIND(" ",TRIM($Q168)&amp;" ")-1)),0),0))</f>
        <v>8</v>
      </c>
      <c r="V168" s="109">
        <f t="shared" si="24"/>
        <v>8</v>
      </c>
      <c r="W168" s="108">
        <f>IF($A168="",0,IF(AND($C168&gt;=Config!$C$7,$C168&lt;=Config!$C$8),1,0))</f>
        <v>1</v>
      </c>
      <c r="X168" s="108">
        <f>IF($A168="",0,IF(COUNTIF(Config!$C$21:$C$23,$H168)&gt;0,1,0))</f>
        <v>1</v>
      </c>
      <c r="Y168" s="108">
        <f t="shared" si="25"/>
        <v>1</v>
      </c>
      <c r="Z168" s="108">
        <f t="shared" si="26"/>
        <v>1</v>
      </c>
      <c r="AB168" s="108">
        <f t="shared" si="27"/>
        <v>0</v>
      </c>
      <c r="AC168" s="108">
        <f>IF($A168="",0,IF(AND($AB168=1,COUNTIF($A$2:$A168,$A168)=1),1,0))</f>
        <v>0</v>
      </c>
      <c r="AD168" s="108">
        <f t="shared" si="28"/>
        <v>0</v>
      </c>
      <c r="AE168" s="108" t="str">
        <f t="shared" si="29"/>
        <v/>
      </c>
      <c r="AF168" s="108">
        <f t="shared" si="30"/>
        <v>0</v>
      </c>
      <c r="AG168" s="108">
        <f t="shared" si="31"/>
        <v>0</v>
      </c>
      <c r="AH168" s="110" t="str">
        <f t="shared" si="32"/>
        <v>J Castillo|20260904|Time Off|0.000|8 hours not worked medical leave. 8 Hours not billed</v>
      </c>
      <c r="AI168" s="108">
        <f t="shared" si="33"/>
        <v>0</v>
      </c>
      <c r="AJ168" s="108">
        <f t="shared" si="34"/>
        <v>0</v>
      </c>
      <c r="AK168" s="108">
        <f>IF($A168="",0,IF(AND($S168=1,$W168=1,$X168=1,$U168&gt;Config!$C$9),1,0))</f>
        <v>0</v>
      </c>
      <c r="AL168" s="108">
        <f t="shared" si="35"/>
        <v>0</v>
      </c>
    </row>
    <row r="169" spans="1:38" x14ac:dyDescent="0.25">
      <c r="A169" s="106" t="s">
        <v>729</v>
      </c>
      <c r="B169" s="106" t="s">
        <v>618</v>
      </c>
      <c r="C169" s="107">
        <v>46269</v>
      </c>
      <c r="D169" s="106" t="s">
        <v>712</v>
      </c>
      <c r="E169" s="106" t="s">
        <v>713</v>
      </c>
      <c r="F169" s="106" t="s">
        <v>866</v>
      </c>
      <c r="G169" s="106" t="s">
        <v>873</v>
      </c>
      <c r="H169" s="106" t="s">
        <v>656</v>
      </c>
      <c r="I169" s="106"/>
      <c r="J169" s="106"/>
      <c r="K169" s="106">
        <v>0.75</v>
      </c>
      <c r="L169" s="106">
        <v>0</v>
      </c>
      <c r="M169" s="106">
        <v>0</v>
      </c>
      <c r="N169" s="106"/>
      <c r="O169" s="106"/>
      <c r="P169" s="106">
        <v>0</v>
      </c>
      <c r="Q169" s="106" t="s">
        <v>973</v>
      </c>
      <c r="S169" s="108">
        <f>IF($A169="","",COUNTIF(BPOworkers!$B$6:$B$105,$A169))</f>
        <v>0</v>
      </c>
      <c r="T169" s="109">
        <f>IF($A169="","",$K169*Config!$C$9)</f>
        <v>6</v>
      </c>
      <c r="U169" s="109">
        <f>IF($A169="","",IF(COUNTIF(Config!$C$21:$C$23,$H169)&gt;0,IFERROR(VALUE(LEFT(TRIM($Q169),FIND(" ",TRIM($Q169)&amp;" ")-1)),0),0))</f>
        <v>0</v>
      </c>
      <c r="V169" s="109">
        <f t="shared" si="24"/>
        <v>6</v>
      </c>
      <c r="W169" s="108">
        <f>IF($A169="",0,IF(AND($C169&gt;=Config!$C$7,$C169&lt;=Config!$C$8),1,0))</f>
        <v>1</v>
      </c>
      <c r="X169" s="108">
        <f>IF($A169="",0,IF(COUNTIF(Config!$C$21:$C$23,$H169)&gt;0,1,0))</f>
        <v>0</v>
      </c>
      <c r="Y169" s="108">
        <f t="shared" si="25"/>
        <v>1</v>
      </c>
      <c r="Z169" s="108" t="str">
        <f t="shared" si="26"/>
        <v/>
      </c>
      <c r="AB169" s="108">
        <f t="shared" si="27"/>
        <v>0</v>
      </c>
      <c r="AC169" s="108">
        <f>IF($A169="",0,IF(AND($AB169=1,COUNTIF($A$2:$A169,$A169)=1),1,0))</f>
        <v>0</v>
      </c>
      <c r="AD169" s="108">
        <f t="shared" si="28"/>
        <v>0</v>
      </c>
      <c r="AE169" s="108" t="str">
        <f t="shared" si="29"/>
        <v/>
      </c>
      <c r="AF169" s="108">
        <f t="shared" si="30"/>
        <v>0</v>
      </c>
      <c r="AG169" s="108">
        <f t="shared" si="31"/>
        <v>0</v>
      </c>
      <c r="AH169" s="110" t="str">
        <f t="shared" si="32"/>
        <v>Z. Greenlee|20260904|Project Management|0.750|Led team meeting with reviewers and landmen as they complete their AOI's. Answered questions from landmen regarding docu</v>
      </c>
      <c r="AI169" s="108">
        <f t="shared" si="33"/>
        <v>0</v>
      </c>
      <c r="AJ169" s="108">
        <f t="shared" si="34"/>
        <v>0</v>
      </c>
      <c r="AK169" s="108">
        <f>IF($A169="",0,IF(AND($S169=1,$W169=1,$X169=1,$U169&gt;Config!$C$9),1,0))</f>
        <v>0</v>
      </c>
      <c r="AL169" s="108">
        <f t="shared" si="35"/>
        <v>0</v>
      </c>
    </row>
    <row r="170" spans="1:38" x14ac:dyDescent="0.25">
      <c r="A170" s="106" t="s">
        <v>729</v>
      </c>
      <c r="B170" s="106" t="s">
        <v>618</v>
      </c>
      <c r="C170" s="107">
        <v>46269</v>
      </c>
      <c r="D170" s="106" t="s">
        <v>712</v>
      </c>
      <c r="E170" s="106" t="s">
        <v>713</v>
      </c>
      <c r="F170" s="106" t="s">
        <v>714</v>
      </c>
      <c r="G170" s="106" t="s">
        <v>730</v>
      </c>
      <c r="H170" s="106" t="s">
        <v>639</v>
      </c>
      <c r="I170" s="106"/>
      <c r="J170" s="106"/>
      <c r="K170" s="106">
        <v>0.25</v>
      </c>
      <c r="L170" s="106">
        <v>0</v>
      </c>
      <c r="M170" s="106">
        <v>0</v>
      </c>
      <c r="N170" s="106"/>
      <c r="O170" s="106"/>
      <c r="P170" s="106">
        <v>0</v>
      </c>
      <c r="Q170" s="106" t="s">
        <v>974</v>
      </c>
      <c r="S170" s="108">
        <f>IF($A170="","",COUNTIF(BPOworkers!$B$6:$B$105,$A170))</f>
        <v>0</v>
      </c>
      <c r="T170" s="109">
        <f>IF($A170="","",$K170*Config!$C$9)</f>
        <v>2</v>
      </c>
      <c r="U170" s="109">
        <f>IF($A170="","",IF(COUNTIF(Config!$C$21:$C$23,$H170)&gt;0,IFERROR(VALUE(LEFT(TRIM($Q170),FIND(" ",TRIM($Q170)&amp;" ")-1)),0),0))</f>
        <v>0</v>
      </c>
      <c r="V170" s="109">
        <f t="shared" si="24"/>
        <v>2</v>
      </c>
      <c r="W170" s="108">
        <f>IF($A170="",0,IF(AND($C170&gt;=Config!$C$7,$C170&lt;=Config!$C$8),1,0))</f>
        <v>1</v>
      </c>
      <c r="X170" s="108">
        <f>IF($A170="",0,IF(COUNTIF(Config!$C$21:$C$23,$H170)&gt;0,1,0))</f>
        <v>0</v>
      </c>
      <c r="Y170" s="108">
        <f t="shared" si="25"/>
        <v>1</v>
      </c>
      <c r="Z170" s="108" t="str">
        <f t="shared" si="26"/>
        <v/>
      </c>
      <c r="AB170" s="108">
        <f t="shared" si="27"/>
        <v>0</v>
      </c>
      <c r="AC170" s="108">
        <f>IF($A170="",0,IF(AND($AB170=1,COUNTIF($A$2:$A170,$A170)=1),1,0))</f>
        <v>0</v>
      </c>
      <c r="AD170" s="108">
        <f t="shared" si="28"/>
        <v>0</v>
      </c>
      <c r="AE170" s="108" t="str">
        <f t="shared" si="29"/>
        <v/>
      </c>
      <c r="AF170" s="108">
        <f t="shared" si="30"/>
        <v>0</v>
      </c>
      <c r="AG170" s="108">
        <f t="shared" si="31"/>
        <v>0</v>
      </c>
      <c r="AH170" s="110" t="str">
        <f t="shared" si="32"/>
        <v>Z. Greenlee|20260904|Review|0.250|Review of 52-Blk37-T2S W 160ac</v>
      </c>
      <c r="AI170" s="108">
        <f t="shared" si="33"/>
        <v>0</v>
      </c>
      <c r="AJ170" s="108">
        <f t="shared" si="34"/>
        <v>0</v>
      </c>
      <c r="AK170" s="108">
        <f>IF($A170="",0,IF(AND($S170=1,$W170=1,$X170=1,$U170&gt;Config!$C$9),1,0))</f>
        <v>0</v>
      </c>
      <c r="AL170" s="108">
        <f t="shared" si="35"/>
        <v>0</v>
      </c>
    </row>
    <row r="171" spans="1:38" x14ac:dyDescent="0.25">
      <c r="A171" s="106" t="s">
        <v>733</v>
      </c>
      <c r="B171" s="106" t="s">
        <v>618</v>
      </c>
      <c r="C171" s="107">
        <v>46269</v>
      </c>
      <c r="D171" s="106" t="s">
        <v>712</v>
      </c>
      <c r="E171" s="106" t="s">
        <v>713</v>
      </c>
      <c r="F171" s="106" t="s">
        <v>866</v>
      </c>
      <c r="G171" s="106" t="s">
        <v>939</v>
      </c>
      <c r="H171" s="106" t="s">
        <v>631</v>
      </c>
      <c r="I171" s="106"/>
      <c r="J171" s="106" t="s">
        <v>975</v>
      </c>
      <c r="K171" s="106">
        <v>0.5</v>
      </c>
      <c r="L171" s="106">
        <v>0</v>
      </c>
      <c r="M171" s="106">
        <v>0</v>
      </c>
      <c r="N171" s="106"/>
      <c r="O171" s="106"/>
      <c r="P171" s="106">
        <v>0</v>
      </c>
      <c r="Q171" s="106" t="s">
        <v>976</v>
      </c>
      <c r="S171" s="108">
        <f>IF($A171="","",COUNTIF(BPOworkers!$B$6:$B$105,$A171))</f>
        <v>0</v>
      </c>
      <c r="T171" s="109">
        <f>IF($A171="","",$K171*Config!$C$9)</f>
        <v>4</v>
      </c>
      <c r="U171" s="109">
        <f>IF($A171="","",IF(COUNTIF(Config!$C$21:$C$23,$H171)&gt;0,IFERROR(VALUE(LEFT(TRIM($Q171),FIND(" ",TRIM($Q171)&amp;" ")-1)),0),0))</f>
        <v>0</v>
      </c>
      <c r="V171" s="109">
        <f t="shared" si="24"/>
        <v>4</v>
      </c>
      <c r="W171" s="108">
        <f>IF($A171="",0,IF(AND($C171&gt;=Config!$C$7,$C171&lt;=Config!$C$8),1,0))</f>
        <v>1</v>
      </c>
      <c r="X171" s="108">
        <f>IF($A171="",0,IF(COUNTIF(Config!$C$21:$C$23,$H171)&gt;0,1,0))</f>
        <v>0</v>
      </c>
      <c r="Y171" s="108">
        <f t="shared" si="25"/>
        <v>1</v>
      </c>
      <c r="Z171" s="108" t="str">
        <f t="shared" si="26"/>
        <v/>
      </c>
      <c r="AB171" s="108">
        <f t="shared" si="27"/>
        <v>0</v>
      </c>
      <c r="AC171" s="108">
        <f>IF($A171="",0,IF(AND($AB171=1,COUNTIF($A$2:$A171,$A171)=1),1,0))</f>
        <v>0</v>
      </c>
      <c r="AD171" s="108">
        <f t="shared" si="28"/>
        <v>0</v>
      </c>
      <c r="AE171" s="108" t="str">
        <f t="shared" si="29"/>
        <v/>
      </c>
      <c r="AF171" s="108">
        <f t="shared" si="30"/>
        <v>0</v>
      </c>
      <c r="AG171" s="108">
        <f t="shared" si="31"/>
        <v>0</v>
      </c>
      <c r="AH171" s="110" t="str">
        <f t="shared" si="32"/>
        <v>R. Norris|20260904|Title|0.500|Worked through fixing the documents that were greying out the chain, I got close to finishing and was struggling why som</v>
      </c>
      <c r="AI171" s="108">
        <f t="shared" si="33"/>
        <v>0</v>
      </c>
      <c r="AJ171" s="108">
        <f t="shared" si="34"/>
        <v>0</v>
      </c>
      <c r="AK171" s="108">
        <f>IF($A171="",0,IF(AND($S171=1,$W171=1,$X171=1,$U171&gt;Config!$C$9),1,0))</f>
        <v>0</v>
      </c>
      <c r="AL171" s="108">
        <f t="shared" si="35"/>
        <v>0</v>
      </c>
    </row>
    <row r="172" spans="1:38" x14ac:dyDescent="0.25">
      <c r="A172" s="106" t="s">
        <v>733</v>
      </c>
      <c r="B172" s="106" t="s">
        <v>618</v>
      </c>
      <c r="C172" s="107">
        <v>46269</v>
      </c>
      <c r="D172" s="106" t="s">
        <v>529</v>
      </c>
      <c r="E172" s="106" t="s">
        <v>529</v>
      </c>
      <c r="F172" s="106" t="s">
        <v>615</v>
      </c>
      <c r="G172" s="106"/>
      <c r="H172" s="106" t="s">
        <v>529</v>
      </c>
      <c r="I172" s="106"/>
      <c r="J172" s="106" t="s">
        <v>529</v>
      </c>
      <c r="K172" s="106">
        <v>0</v>
      </c>
      <c r="L172" s="106">
        <v>0</v>
      </c>
      <c r="M172" s="106">
        <v>0</v>
      </c>
      <c r="N172" s="106"/>
      <c r="O172" s="106"/>
      <c r="P172" s="106">
        <v>0</v>
      </c>
      <c r="Q172" s="106" t="s">
        <v>977</v>
      </c>
      <c r="S172" s="108">
        <f>IF($A172="","",COUNTIF(BPOworkers!$B$6:$B$105,$A172))</f>
        <v>0</v>
      </c>
      <c r="T172" s="109">
        <f>IF($A172="","",$K172*Config!$C$9)</f>
        <v>0</v>
      </c>
      <c r="U172" s="109">
        <f>IF($A172="","",IF(COUNTIF(Config!$C$21:$C$23,$H172)&gt;0,IFERROR(VALUE(LEFT(TRIM($Q172),FIND(" ",TRIM($Q172)&amp;" ")-1)),0),0))</f>
        <v>4</v>
      </c>
      <c r="V172" s="109">
        <f t="shared" si="24"/>
        <v>4</v>
      </c>
      <c r="W172" s="108">
        <f>IF($A172="",0,IF(AND($C172&gt;=Config!$C$7,$C172&lt;=Config!$C$8),1,0))</f>
        <v>1</v>
      </c>
      <c r="X172" s="108">
        <f>IF($A172="",0,IF(COUNTIF(Config!$C$21:$C$23,$H172)&gt;0,1,0))</f>
        <v>1</v>
      </c>
      <c r="Y172" s="108">
        <f t="shared" si="25"/>
        <v>1</v>
      </c>
      <c r="Z172" s="108" t="str">
        <f t="shared" si="26"/>
        <v/>
      </c>
      <c r="AB172" s="108">
        <f t="shared" si="27"/>
        <v>0</v>
      </c>
      <c r="AC172" s="108">
        <f>IF($A172="",0,IF(AND($AB172=1,COUNTIF($A$2:$A172,$A172)=1),1,0))</f>
        <v>0</v>
      </c>
      <c r="AD172" s="108">
        <f t="shared" si="28"/>
        <v>0</v>
      </c>
      <c r="AE172" s="108" t="str">
        <f t="shared" si="29"/>
        <v/>
      </c>
      <c r="AF172" s="108">
        <f t="shared" si="30"/>
        <v>0</v>
      </c>
      <c r="AG172" s="108">
        <f t="shared" si="31"/>
        <v>0</v>
      </c>
      <c r="AH172" s="110" t="str">
        <f t="shared" si="32"/>
        <v>R. Norris|20260904|Time Off|0.000|4 hours not billed</v>
      </c>
      <c r="AI172" s="108">
        <f t="shared" si="33"/>
        <v>0</v>
      </c>
      <c r="AJ172" s="108">
        <f t="shared" si="34"/>
        <v>0</v>
      </c>
      <c r="AK172" s="108">
        <f>IF($A172="",0,IF(AND($S172=1,$W172=1,$X172=1,$U172&gt;Config!$C$9),1,0))</f>
        <v>0</v>
      </c>
      <c r="AL172" s="108">
        <f t="shared" si="35"/>
        <v>0</v>
      </c>
    </row>
    <row r="173" spans="1:38" x14ac:dyDescent="0.25">
      <c r="A173" s="106" t="s">
        <v>735</v>
      </c>
      <c r="B173" s="106" t="s">
        <v>618</v>
      </c>
      <c r="C173" s="107">
        <v>46269</v>
      </c>
      <c r="D173" s="106" t="s">
        <v>680</v>
      </c>
      <c r="E173" s="106" t="s">
        <v>681</v>
      </c>
      <c r="F173" s="106" t="s">
        <v>682</v>
      </c>
      <c r="G173" s="106" t="s">
        <v>978</v>
      </c>
      <c r="H173" s="106" t="s">
        <v>631</v>
      </c>
      <c r="I173" s="106"/>
      <c r="J173" s="106" t="s">
        <v>979</v>
      </c>
      <c r="K173" s="106">
        <v>1</v>
      </c>
      <c r="L173" s="106">
        <v>0</v>
      </c>
      <c r="M173" s="106">
        <v>0</v>
      </c>
      <c r="N173" s="106"/>
      <c r="O173" s="106"/>
      <c r="P173" s="106">
        <v>0</v>
      </c>
      <c r="Q173" s="106" t="s">
        <v>980</v>
      </c>
      <c r="S173" s="108">
        <f>IF($A173="","",COUNTIF(BPOworkers!$B$6:$B$105,$A173))</f>
        <v>0</v>
      </c>
      <c r="T173" s="109">
        <f>IF($A173="","",$K173*Config!$C$9)</f>
        <v>8</v>
      </c>
      <c r="U173" s="109">
        <f>IF($A173="","",IF(COUNTIF(Config!$C$21:$C$23,$H173)&gt;0,IFERROR(VALUE(LEFT(TRIM($Q173),FIND(" ",TRIM($Q173)&amp;" ")-1)),0),0))</f>
        <v>0</v>
      </c>
      <c r="V173" s="109">
        <f t="shared" si="24"/>
        <v>8</v>
      </c>
      <c r="W173" s="108">
        <f>IF($A173="",0,IF(AND($C173&gt;=Config!$C$7,$C173&lt;=Config!$C$8),1,0))</f>
        <v>1</v>
      </c>
      <c r="X173" s="108">
        <f>IF($A173="",0,IF(COUNTIF(Config!$C$21:$C$23,$H173)&gt;0,1,0))</f>
        <v>0</v>
      </c>
      <c r="Y173" s="108">
        <f t="shared" si="25"/>
        <v>1</v>
      </c>
      <c r="Z173" s="108" t="str">
        <f t="shared" si="26"/>
        <v/>
      </c>
      <c r="AB173" s="108">
        <f t="shared" si="27"/>
        <v>0</v>
      </c>
      <c r="AC173" s="108">
        <f>IF($A173="",0,IF(AND($AB173=1,COUNTIF($A$2:$A173,$A173)=1),1,0))</f>
        <v>0</v>
      </c>
      <c r="AD173" s="108">
        <f t="shared" si="28"/>
        <v>0</v>
      </c>
      <c r="AE173" s="108" t="str">
        <f t="shared" si="29"/>
        <v/>
      </c>
      <c r="AF173" s="108">
        <f t="shared" si="30"/>
        <v>0</v>
      </c>
      <c r="AG173" s="108">
        <f t="shared" si="31"/>
        <v>0</v>
      </c>
      <c r="AH173" s="110" t="str">
        <f t="shared" si="32"/>
        <v>R. Liska|20260904|Title|1.000|5 Names Indexed, 8 Documents Added, Production Data Confirmed, Landman Statement.</v>
      </c>
      <c r="AI173" s="108">
        <f t="shared" si="33"/>
        <v>0</v>
      </c>
      <c r="AJ173" s="108">
        <f t="shared" si="34"/>
        <v>0</v>
      </c>
      <c r="AK173" s="108">
        <f>IF($A173="",0,IF(AND($S173=1,$W173=1,$X173=1,$U173&gt;Config!$C$9),1,0))</f>
        <v>0</v>
      </c>
      <c r="AL173" s="108">
        <f t="shared" si="35"/>
        <v>0</v>
      </c>
    </row>
    <row r="174" spans="1:38" ht="180.75" x14ac:dyDescent="0.25">
      <c r="A174" s="106" t="s">
        <v>473</v>
      </c>
      <c r="B174" s="106" t="s">
        <v>618</v>
      </c>
      <c r="C174" s="107">
        <v>46269</v>
      </c>
      <c r="D174" s="106" t="s">
        <v>680</v>
      </c>
      <c r="E174" s="106" t="s">
        <v>681</v>
      </c>
      <c r="F174" s="106" t="s">
        <v>686</v>
      </c>
      <c r="G174" s="106" t="s">
        <v>739</v>
      </c>
      <c r="H174" s="106" t="s">
        <v>631</v>
      </c>
      <c r="I174" s="106"/>
      <c r="J174" s="106" t="s">
        <v>740</v>
      </c>
      <c r="K174" s="106">
        <v>1</v>
      </c>
      <c r="L174" s="106">
        <v>0</v>
      </c>
      <c r="M174" s="106">
        <v>0</v>
      </c>
      <c r="N174" s="106"/>
      <c r="O174" s="106"/>
      <c r="P174" s="106">
        <v>0</v>
      </c>
      <c r="Q174" s="111" t="s">
        <v>981</v>
      </c>
      <c r="S174" s="108">
        <f>IF($A174="","",COUNTIF(BPOworkers!$B$6:$B$105,$A174))</f>
        <v>1</v>
      </c>
      <c r="T174" s="109">
        <f>IF($A174="","",$K174*Config!$C$9)</f>
        <v>8</v>
      </c>
      <c r="U174" s="109">
        <f>IF($A174="","",IF(COUNTIF(Config!$C$21:$C$23,$H174)&gt;0,IFERROR(VALUE(LEFT(TRIM($Q174),FIND(" ",TRIM($Q174)&amp;" ")-1)),0),0))</f>
        <v>0</v>
      </c>
      <c r="V174" s="109">
        <f t="shared" si="24"/>
        <v>8</v>
      </c>
      <c r="W174" s="108">
        <f>IF($A174="",0,IF(AND($C174&gt;=Config!$C$7,$C174&lt;=Config!$C$8),1,0))</f>
        <v>1</v>
      </c>
      <c r="X174" s="108">
        <f>IF($A174="",0,IF(COUNTIF(Config!$C$21:$C$23,$H174)&gt;0,1,0))</f>
        <v>0</v>
      </c>
      <c r="Y174" s="108">
        <f t="shared" si="25"/>
        <v>1</v>
      </c>
      <c r="Z174" s="108" t="str">
        <f t="shared" si="26"/>
        <v/>
      </c>
      <c r="AB174" s="108">
        <f t="shared" si="27"/>
        <v>0</v>
      </c>
      <c r="AC174" s="108">
        <f>IF($A174="",0,IF(AND($AB174=1,COUNTIF($A$2:$A174,$A174)=1),1,0))</f>
        <v>0</v>
      </c>
      <c r="AD174" s="108">
        <f t="shared" si="28"/>
        <v>0</v>
      </c>
      <c r="AE174" s="108" t="str">
        <f t="shared" si="29"/>
        <v/>
      </c>
      <c r="AF174" s="108">
        <f t="shared" si="30"/>
        <v>0</v>
      </c>
      <c r="AG174" s="108">
        <f t="shared" si="31"/>
        <v>0</v>
      </c>
      <c r="AH174" s="112" t="str">
        <f t="shared" si="32"/>
        <v>J Rincon|20260904|Title|1.000|Indexed 7 parties
 indexed 398 documents 
 Added 9 notecards
 SIV Title: 17-0000058.000 et al, CARROLL (OH), SMELTZ</v>
      </c>
      <c r="AI174" s="108">
        <f t="shared" si="33"/>
        <v>0</v>
      </c>
      <c r="AJ174" s="108">
        <f t="shared" si="34"/>
        <v>0</v>
      </c>
      <c r="AK174" s="108">
        <f>IF($A174="",0,IF(AND($S174=1,$W174=1,$X174=1,$U174&gt;Config!$C$9),1,0))</f>
        <v>0</v>
      </c>
      <c r="AL174" s="108">
        <f t="shared" si="35"/>
        <v>0</v>
      </c>
    </row>
    <row r="175" spans="1:38" ht="180.75" x14ac:dyDescent="0.25">
      <c r="A175" s="106" t="s">
        <v>474</v>
      </c>
      <c r="B175" s="106" t="s">
        <v>618</v>
      </c>
      <c r="C175" s="107">
        <v>46269</v>
      </c>
      <c r="D175" s="106" t="s">
        <v>720</v>
      </c>
      <c r="E175" s="106" t="s">
        <v>721</v>
      </c>
      <c r="F175" s="106" t="s">
        <v>722</v>
      </c>
      <c r="G175" s="106" t="s">
        <v>982</v>
      </c>
      <c r="H175" s="106" t="s">
        <v>631</v>
      </c>
      <c r="I175" s="106"/>
      <c r="J175" s="106" t="s">
        <v>983</v>
      </c>
      <c r="K175" s="106">
        <v>1</v>
      </c>
      <c r="L175" s="106">
        <v>0</v>
      </c>
      <c r="M175" s="106">
        <v>0</v>
      </c>
      <c r="N175" s="106"/>
      <c r="O175" s="106"/>
      <c r="P175" s="106">
        <v>0</v>
      </c>
      <c r="Q175" s="111" t="s">
        <v>984</v>
      </c>
      <c r="S175" s="108">
        <f>IF($A175="","",COUNTIF(BPOworkers!$B$6:$B$105,$A175))</f>
        <v>1</v>
      </c>
      <c r="T175" s="109">
        <f>IF($A175="","",$K175*Config!$C$9)</f>
        <v>8</v>
      </c>
      <c r="U175" s="109">
        <f>IF($A175="","",IF(COUNTIF(Config!$C$21:$C$23,$H175)&gt;0,IFERROR(VALUE(LEFT(TRIM($Q175),FIND(" ",TRIM($Q175)&amp;" ")-1)),0),0))</f>
        <v>0</v>
      </c>
      <c r="V175" s="109">
        <f t="shared" si="24"/>
        <v>8</v>
      </c>
      <c r="W175" s="108">
        <f>IF($A175="",0,IF(AND($C175&gt;=Config!$C$7,$C175&lt;=Config!$C$8),1,0))</f>
        <v>1</v>
      </c>
      <c r="X175" s="108">
        <f>IF($A175="",0,IF(COUNTIF(Config!$C$21:$C$23,$H175)&gt;0,1,0))</f>
        <v>0</v>
      </c>
      <c r="Y175" s="108">
        <f t="shared" si="25"/>
        <v>1</v>
      </c>
      <c r="Z175" s="108" t="str">
        <f t="shared" si="26"/>
        <v/>
      </c>
      <c r="AB175" s="108">
        <f t="shared" si="27"/>
        <v>0</v>
      </c>
      <c r="AC175" s="108">
        <f>IF($A175="",0,IF(AND($AB175=1,COUNTIF($A$2:$A175,$A175)=1),1,0))</f>
        <v>0</v>
      </c>
      <c r="AD175" s="108">
        <f t="shared" si="28"/>
        <v>0</v>
      </c>
      <c r="AE175" s="108" t="str">
        <f t="shared" si="29"/>
        <v/>
      </c>
      <c r="AF175" s="108">
        <f t="shared" si="30"/>
        <v>0</v>
      </c>
      <c r="AG175" s="108">
        <f t="shared" si="31"/>
        <v>0</v>
      </c>
      <c r="AH175" s="112" t="str">
        <f t="shared" si="32"/>
        <v>J Valbuena|20260904|Title|1.000|- Created AOI
 - Created indexing spreadsheet
 - Added source deed
 - Indexed to the present from source deed
 - Started</v>
      </c>
      <c r="AI175" s="108">
        <f t="shared" si="33"/>
        <v>0</v>
      </c>
      <c r="AJ175" s="108">
        <f t="shared" si="34"/>
        <v>0</v>
      </c>
      <c r="AK175" s="108">
        <f>IF($A175="",0,IF(AND($S175=1,$W175=1,$X175=1,$U175&gt;Config!$C$9),1,0))</f>
        <v>0</v>
      </c>
      <c r="AL175" s="108">
        <f t="shared" si="35"/>
        <v>0</v>
      </c>
    </row>
    <row r="176" spans="1:38" x14ac:dyDescent="0.25">
      <c r="A176" s="106" t="s">
        <v>742</v>
      </c>
      <c r="B176" s="106" t="s">
        <v>618</v>
      </c>
      <c r="C176" s="107">
        <v>46269</v>
      </c>
      <c r="D176" s="106" t="s">
        <v>635</v>
      </c>
      <c r="E176" s="106" t="s">
        <v>636</v>
      </c>
      <c r="F176" s="106" t="s">
        <v>637</v>
      </c>
      <c r="G176" s="106" t="s">
        <v>985</v>
      </c>
      <c r="H176" s="106" t="s">
        <v>631</v>
      </c>
      <c r="I176" s="106"/>
      <c r="J176" s="106" t="s">
        <v>986</v>
      </c>
      <c r="K176" s="106">
        <v>1</v>
      </c>
      <c r="L176" s="106">
        <v>0</v>
      </c>
      <c r="M176" s="106">
        <v>0</v>
      </c>
      <c r="N176" s="106"/>
      <c r="O176" s="106"/>
      <c r="P176" s="106">
        <v>0</v>
      </c>
      <c r="Q176" s="106" t="s">
        <v>987</v>
      </c>
      <c r="S176" s="108">
        <f>IF($A176="","",COUNTIF(BPOworkers!$B$6:$B$105,$A176))</f>
        <v>0</v>
      </c>
      <c r="T176" s="109">
        <f>IF($A176="","",$K176*Config!$C$9)</f>
        <v>8</v>
      </c>
      <c r="U176" s="109">
        <f>IF($A176="","",IF(COUNTIF(Config!$C$21:$C$23,$H176)&gt;0,IFERROR(VALUE(LEFT(TRIM($Q176),FIND(" ",TRIM($Q176)&amp;" ")-1)),0),0))</f>
        <v>0</v>
      </c>
      <c r="V176" s="109">
        <f t="shared" si="24"/>
        <v>8</v>
      </c>
      <c r="W176" s="108">
        <f>IF($A176="",0,IF(AND($C176&gt;=Config!$C$7,$C176&lt;=Config!$C$8),1,0))</f>
        <v>1</v>
      </c>
      <c r="X176" s="108">
        <f>IF($A176="",0,IF(COUNTIF(Config!$C$21:$C$23,$H176)&gt;0,1,0))</f>
        <v>0</v>
      </c>
      <c r="Y176" s="108">
        <f t="shared" si="25"/>
        <v>1</v>
      </c>
      <c r="Z176" s="108" t="str">
        <f t="shared" si="26"/>
        <v/>
      </c>
      <c r="AB176" s="108">
        <f t="shared" si="27"/>
        <v>0</v>
      </c>
      <c r="AC176" s="108">
        <f>IF($A176="",0,IF(AND($AB176=1,COUNTIF($A$2:$A176,$A176)=1),1,0))</f>
        <v>0</v>
      </c>
      <c r="AD176" s="108">
        <f t="shared" si="28"/>
        <v>0</v>
      </c>
      <c r="AE176" s="108" t="str">
        <f t="shared" si="29"/>
        <v/>
      </c>
      <c r="AF176" s="108">
        <f t="shared" si="30"/>
        <v>0</v>
      </c>
      <c r="AG176" s="108">
        <f t="shared" si="31"/>
        <v>0</v>
      </c>
      <c r="AH176" s="110" t="str">
        <f t="shared" si="32"/>
        <v>J. Edwards|20260904|Title|1.000|Completed review of the leasehold research and reconciliation for the Federal BLM Leasehold specifically focusing on ORR</v>
      </c>
      <c r="AI176" s="108">
        <f t="shared" si="33"/>
        <v>0</v>
      </c>
      <c r="AJ176" s="108">
        <f t="shared" si="34"/>
        <v>0</v>
      </c>
      <c r="AK176" s="108">
        <f>IF($A176="",0,IF(AND($S176=1,$W176=1,$X176=1,$U176&gt;Config!$C$9),1,0))</f>
        <v>0</v>
      </c>
      <c r="AL176" s="108">
        <f t="shared" si="35"/>
        <v>0</v>
      </c>
    </row>
    <row r="177" spans="1:38" ht="156.75" x14ac:dyDescent="0.25">
      <c r="A177" s="106" t="s">
        <v>457</v>
      </c>
      <c r="B177" s="106" t="s">
        <v>618</v>
      </c>
      <c r="C177" s="107">
        <v>46269</v>
      </c>
      <c r="D177" s="106" t="s">
        <v>680</v>
      </c>
      <c r="E177" s="106" t="s">
        <v>681</v>
      </c>
      <c r="F177" s="106" t="s">
        <v>745</v>
      </c>
      <c r="G177" s="106" t="s">
        <v>746</v>
      </c>
      <c r="H177" s="106" t="s">
        <v>631</v>
      </c>
      <c r="I177" s="106"/>
      <c r="J177" s="106" t="s">
        <v>747</v>
      </c>
      <c r="K177" s="106">
        <v>0.75</v>
      </c>
      <c r="L177" s="106">
        <v>0</v>
      </c>
      <c r="M177" s="106">
        <v>0</v>
      </c>
      <c r="N177" s="106"/>
      <c r="O177" s="106"/>
      <c r="P177" s="106">
        <v>0</v>
      </c>
      <c r="Q177" s="111" t="s">
        <v>988</v>
      </c>
      <c r="S177" s="108">
        <f>IF($A177="","",COUNTIF(BPOworkers!$B$6:$B$105,$A177))</f>
        <v>1</v>
      </c>
      <c r="T177" s="109">
        <f>IF($A177="","",$K177*Config!$C$9)</f>
        <v>6</v>
      </c>
      <c r="U177" s="109">
        <f>IF($A177="","",IF(COUNTIF(Config!$C$21:$C$23,$H177)&gt;0,IFERROR(VALUE(LEFT(TRIM($Q177),FIND(" ",TRIM($Q177)&amp;" ")-1)),0),0))</f>
        <v>0</v>
      </c>
      <c r="V177" s="109">
        <f t="shared" si="24"/>
        <v>6</v>
      </c>
      <c r="W177" s="108">
        <f>IF($A177="",0,IF(AND($C177&gt;=Config!$C$7,$C177&lt;=Config!$C$8),1,0))</f>
        <v>1</v>
      </c>
      <c r="X177" s="108">
        <f>IF($A177="",0,IF(COUNTIF(Config!$C$21:$C$23,$H177)&gt;0,1,0))</f>
        <v>0</v>
      </c>
      <c r="Y177" s="108">
        <f t="shared" si="25"/>
        <v>1</v>
      </c>
      <c r="Z177" s="108" t="str">
        <f t="shared" si="26"/>
        <v/>
      </c>
      <c r="AB177" s="108">
        <f t="shared" si="27"/>
        <v>0</v>
      </c>
      <c r="AC177" s="108">
        <f>IF($A177="",0,IF(AND($AB177=1,COUNTIF($A$2:$A177,$A177)=1),1,0))</f>
        <v>0</v>
      </c>
      <c r="AD177" s="108">
        <f t="shared" si="28"/>
        <v>0</v>
      </c>
      <c r="AE177" s="108" t="str">
        <f t="shared" si="29"/>
        <v/>
      </c>
      <c r="AF177" s="108">
        <f t="shared" si="30"/>
        <v>0</v>
      </c>
      <c r="AG177" s="108">
        <f t="shared" si="31"/>
        <v>0</v>
      </c>
      <c r="AH177" s="112" t="str">
        <f t="shared" si="32"/>
        <v>A Lopez|20260904|Title|0.750|Identified source deed, indexed parties and started the SIV. 
 6 notecards entered
 10 parties indexed</v>
      </c>
      <c r="AI177" s="108">
        <f t="shared" si="33"/>
        <v>0</v>
      </c>
      <c r="AJ177" s="108">
        <f t="shared" si="34"/>
        <v>0</v>
      </c>
      <c r="AK177" s="108">
        <f>IF($A177="",0,IF(AND($S177=1,$W177=1,$X177=1,$U177&gt;Config!$C$9),1,0))</f>
        <v>0</v>
      </c>
      <c r="AL177" s="108">
        <f t="shared" si="35"/>
        <v>0</v>
      </c>
    </row>
    <row r="178" spans="1:38" x14ac:dyDescent="0.25">
      <c r="A178" s="106" t="s">
        <v>457</v>
      </c>
      <c r="B178" s="106" t="s">
        <v>618</v>
      </c>
      <c r="C178" s="107">
        <v>46269</v>
      </c>
      <c r="D178" s="106" t="s">
        <v>529</v>
      </c>
      <c r="E178" s="106" t="s">
        <v>529</v>
      </c>
      <c r="F178" s="106" t="s">
        <v>615</v>
      </c>
      <c r="G178" s="106"/>
      <c r="H178" s="106" t="s">
        <v>529</v>
      </c>
      <c r="I178" s="106"/>
      <c r="J178" s="106" t="s">
        <v>749</v>
      </c>
      <c r="K178" s="106">
        <v>0</v>
      </c>
      <c r="L178" s="106">
        <v>0</v>
      </c>
      <c r="M178" s="106">
        <v>0</v>
      </c>
      <c r="N178" s="106"/>
      <c r="O178" s="106"/>
      <c r="P178" s="106">
        <v>0</v>
      </c>
      <c r="Q178" s="106" t="s">
        <v>989</v>
      </c>
      <c r="S178" s="108">
        <f>IF($A178="","",COUNTIF(BPOworkers!$B$6:$B$105,$A178))</f>
        <v>1</v>
      </c>
      <c r="T178" s="109">
        <f>IF($A178="","",$K178*Config!$C$9)</f>
        <v>0</v>
      </c>
      <c r="U178" s="109">
        <f>IF($A178="","",IF(COUNTIF(Config!$C$21:$C$23,$H178)&gt;0,IFERROR(VALUE(LEFT(TRIM($Q178),FIND(" ",TRIM($Q178)&amp;" ")-1)),0),0))</f>
        <v>2</v>
      </c>
      <c r="V178" s="109">
        <f t="shared" si="24"/>
        <v>2</v>
      </c>
      <c r="W178" s="108">
        <f>IF($A178="",0,IF(AND($C178&gt;=Config!$C$7,$C178&lt;=Config!$C$8),1,0))</f>
        <v>1</v>
      </c>
      <c r="X178" s="108">
        <f>IF($A178="",0,IF(COUNTIF(Config!$C$21:$C$23,$H178)&gt;0,1,0))</f>
        <v>1</v>
      </c>
      <c r="Y178" s="108">
        <f t="shared" si="25"/>
        <v>2</v>
      </c>
      <c r="Z178" s="108">
        <f t="shared" si="26"/>
        <v>2</v>
      </c>
      <c r="AB178" s="108">
        <f t="shared" si="27"/>
        <v>0</v>
      </c>
      <c r="AC178" s="108">
        <f>IF($A178="",0,IF(AND($AB178=1,COUNTIF($A$2:$A178,$A178)=1),1,0))</f>
        <v>0</v>
      </c>
      <c r="AD178" s="108">
        <f t="shared" si="28"/>
        <v>0</v>
      </c>
      <c r="AE178" s="108" t="str">
        <f t="shared" si="29"/>
        <v/>
      </c>
      <c r="AF178" s="108">
        <f t="shared" si="30"/>
        <v>0</v>
      </c>
      <c r="AG178" s="108">
        <f t="shared" si="31"/>
        <v>0</v>
      </c>
      <c r="AH178" s="110" t="str">
        <f t="shared" si="32"/>
        <v>A Lopez|20260904|Time Off|0.000|2 hours</v>
      </c>
      <c r="AI178" s="108">
        <f t="shared" si="33"/>
        <v>0</v>
      </c>
      <c r="AJ178" s="108">
        <f t="shared" si="34"/>
        <v>0</v>
      </c>
      <c r="AK178" s="108">
        <f>IF($A178="",0,IF(AND($S178=1,$W178=1,$X178=1,$U178&gt;Config!$C$9),1,0))</f>
        <v>0</v>
      </c>
      <c r="AL178" s="108">
        <f t="shared" si="35"/>
        <v>0</v>
      </c>
    </row>
    <row r="179" spans="1:38" ht="132.75" x14ac:dyDescent="0.25">
      <c r="A179" s="106" t="s">
        <v>482</v>
      </c>
      <c r="B179" s="106" t="s">
        <v>618</v>
      </c>
      <c r="C179" s="107">
        <v>46269</v>
      </c>
      <c r="D179" s="106" t="s">
        <v>680</v>
      </c>
      <c r="E179" s="106" t="s">
        <v>681</v>
      </c>
      <c r="F179" s="106" t="s">
        <v>686</v>
      </c>
      <c r="G179" s="106" t="s">
        <v>751</v>
      </c>
      <c r="H179" s="106" t="s">
        <v>631</v>
      </c>
      <c r="I179" s="106"/>
      <c r="J179" s="106" t="s">
        <v>752</v>
      </c>
      <c r="K179" s="106">
        <v>0.875</v>
      </c>
      <c r="L179" s="106">
        <v>0</v>
      </c>
      <c r="M179" s="106">
        <v>0</v>
      </c>
      <c r="N179" s="106"/>
      <c r="O179" s="106"/>
      <c r="P179" s="106">
        <v>0</v>
      </c>
      <c r="Q179" s="111" t="s">
        <v>990</v>
      </c>
      <c r="S179" s="108">
        <f>IF($A179="","",COUNTIF(BPOworkers!$B$6:$B$105,$A179))</f>
        <v>1</v>
      </c>
      <c r="T179" s="109">
        <f>IF($A179="","",$K179*Config!$C$9)</f>
        <v>7</v>
      </c>
      <c r="U179" s="109">
        <f>IF($A179="","",IF(COUNTIF(Config!$C$21:$C$23,$H179)&gt;0,IFERROR(VALUE(LEFT(TRIM($Q179),FIND(" ",TRIM($Q179)&amp;" ")-1)),0),0))</f>
        <v>0</v>
      </c>
      <c r="V179" s="109">
        <f t="shared" si="24"/>
        <v>7</v>
      </c>
      <c r="W179" s="108">
        <f>IF($A179="",0,IF(AND($C179&gt;=Config!$C$7,$C179&lt;=Config!$C$8),1,0))</f>
        <v>1</v>
      </c>
      <c r="X179" s="108">
        <f>IF($A179="",0,IF(COUNTIF(Config!$C$21:$C$23,$H179)&gt;0,1,0))</f>
        <v>0</v>
      </c>
      <c r="Y179" s="108">
        <f t="shared" si="25"/>
        <v>2</v>
      </c>
      <c r="Z179" s="108" t="str">
        <f t="shared" si="26"/>
        <v/>
      </c>
      <c r="AB179" s="108">
        <f t="shared" si="27"/>
        <v>0</v>
      </c>
      <c r="AC179" s="108">
        <f>IF($A179="",0,IF(AND($AB179=1,COUNTIF($A$2:$A179,$A179)=1),1,0))</f>
        <v>0</v>
      </c>
      <c r="AD179" s="108">
        <f t="shared" si="28"/>
        <v>0</v>
      </c>
      <c r="AE179" s="108" t="str">
        <f t="shared" si="29"/>
        <v/>
      </c>
      <c r="AF179" s="108">
        <f t="shared" si="30"/>
        <v>0</v>
      </c>
      <c r="AG179" s="108">
        <f t="shared" si="31"/>
        <v>0</v>
      </c>
      <c r="AH179" s="112" t="str">
        <f t="shared" si="32"/>
        <v>M Grazziani|20260904|Title|0.875|6 party names indexed.
 6 notecards created.
 302 Documents indexed.</v>
      </c>
      <c r="AI179" s="108">
        <f t="shared" si="33"/>
        <v>0</v>
      </c>
      <c r="AJ179" s="108">
        <f t="shared" si="34"/>
        <v>0</v>
      </c>
      <c r="AK179" s="108">
        <f>IF($A179="",0,IF(AND($S179=1,$W179=1,$X179=1,$U179&gt;Config!$C$9),1,0))</f>
        <v>0</v>
      </c>
      <c r="AL179" s="108">
        <f t="shared" si="35"/>
        <v>0</v>
      </c>
    </row>
    <row r="180" spans="1:38" x14ac:dyDescent="0.25">
      <c r="A180" s="106" t="s">
        <v>482</v>
      </c>
      <c r="B180" s="106" t="s">
        <v>618</v>
      </c>
      <c r="C180" s="107">
        <v>46269</v>
      </c>
      <c r="D180" s="106" t="s">
        <v>623</v>
      </c>
      <c r="E180" s="106" t="s">
        <v>624</v>
      </c>
      <c r="F180" s="106" t="s">
        <v>615</v>
      </c>
      <c r="G180" s="106" t="s">
        <v>625</v>
      </c>
      <c r="H180" s="106" t="s">
        <v>819</v>
      </c>
      <c r="I180" s="106"/>
      <c r="J180" s="106" t="s">
        <v>991</v>
      </c>
      <c r="K180" s="106">
        <v>0.125</v>
      </c>
      <c r="L180" s="106">
        <v>0</v>
      </c>
      <c r="M180" s="106">
        <v>0</v>
      </c>
      <c r="N180" s="106"/>
      <c r="O180" s="106"/>
      <c r="P180" s="106">
        <v>0</v>
      </c>
      <c r="Q180" s="106"/>
      <c r="S180" s="108">
        <f>IF($A180="","",COUNTIF(BPOworkers!$B$6:$B$105,$A180))</f>
        <v>1</v>
      </c>
      <c r="T180" s="109">
        <f>IF($A180="","",$K180*Config!$C$9)</f>
        <v>1</v>
      </c>
      <c r="U180" s="109">
        <f>IF($A180="","",IF(COUNTIF(Config!$C$21:$C$23,$H180)&gt;0,IFERROR(VALUE(LEFT(TRIM($Q180),FIND(" ",TRIM($Q180)&amp;" ")-1)),0),0))</f>
        <v>0</v>
      </c>
      <c r="V180" s="109">
        <f t="shared" si="24"/>
        <v>1</v>
      </c>
      <c r="W180" s="108">
        <f>IF($A180="",0,IF(AND($C180&gt;=Config!$C$7,$C180&lt;=Config!$C$8),1,0))</f>
        <v>1</v>
      </c>
      <c r="X180" s="108">
        <f>IF($A180="",0,IF(COUNTIF(Config!$C$21:$C$23,$H180)&gt;0,1,0))</f>
        <v>0</v>
      </c>
      <c r="Y180" s="108">
        <f t="shared" si="25"/>
        <v>2</v>
      </c>
      <c r="Z180" s="108" t="str">
        <f t="shared" si="26"/>
        <v/>
      </c>
      <c r="AB180" s="108">
        <f t="shared" si="27"/>
        <v>0</v>
      </c>
      <c r="AC180" s="108">
        <f>IF($A180="",0,IF(AND($AB180=1,COUNTIF($A$2:$A180,$A180)=1),1,0))</f>
        <v>0</v>
      </c>
      <c r="AD180" s="108">
        <f t="shared" si="28"/>
        <v>0</v>
      </c>
      <c r="AE180" s="108" t="str">
        <f t="shared" si="29"/>
        <v/>
      </c>
      <c r="AF180" s="108">
        <f t="shared" si="30"/>
        <v>0</v>
      </c>
      <c r="AG180" s="108">
        <f t="shared" si="31"/>
        <v>0</v>
      </c>
      <c r="AH180" s="110" t="str">
        <f t="shared" si="32"/>
        <v>M Grazziani|20260904|Training - BPO|0.125|</v>
      </c>
      <c r="AI180" s="108">
        <f t="shared" si="33"/>
        <v>0</v>
      </c>
      <c r="AJ180" s="108">
        <f t="shared" si="34"/>
        <v>0</v>
      </c>
      <c r="AK180" s="108">
        <f>IF($A180="",0,IF(AND($S180=1,$W180=1,$X180=1,$U180&gt;Config!$C$9),1,0))</f>
        <v>0</v>
      </c>
      <c r="AL180" s="108">
        <f t="shared" si="35"/>
        <v>0</v>
      </c>
    </row>
    <row r="181" spans="1:38" x14ac:dyDescent="0.25">
      <c r="A181" s="106" t="s">
        <v>464</v>
      </c>
      <c r="B181" s="106" t="s">
        <v>618</v>
      </c>
      <c r="C181" s="107">
        <v>46269</v>
      </c>
      <c r="D181" s="106" t="s">
        <v>694</v>
      </c>
      <c r="E181" s="106" t="s">
        <v>709</v>
      </c>
      <c r="F181" s="106" t="s">
        <v>615</v>
      </c>
      <c r="G181" s="106"/>
      <c r="H181" s="106" t="s">
        <v>709</v>
      </c>
      <c r="I181" s="106"/>
      <c r="J181" s="106" t="s">
        <v>992</v>
      </c>
      <c r="K181" s="106">
        <v>1</v>
      </c>
      <c r="L181" s="106">
        <v>0</v>
      </c>
      <c r="M181" s="106">
        <v>0</v>
      </c>
      <c r="N181" s="106"/>
      <c r="O181" s="106"/>
      <c r="P181" s="106">
        <v>0</v>
      </c>
      <c r="Q181" s="106" t="s">
        <v>755</v>
      </c>
      <c r="S181" s="108">
        <f>IF($A181="","",COUNTIF(BPOworkers!$B$6:$B$105,$A181))</f>
        <v>1</v>
      </c>
      <c r="T181" s="109">
        <f>IF($A181="","",$K181*Config!$C$9)</f>
        <v>8</v>
      </c>
      <c r="U181" s="109">
        <f>IF($A181="","",IF(COUNTIF(Config!$C$21:$C$23,$H181)&gt;0,IFERROR(VALUE(LEFT(TRIM($Q181),FIND(" ",TRIM($Q181)&amp;" ")-1)),0),0))</f>
        <v>0</v>
      </c>
      <c r="V181" s="109">
        <f t="shared" si="24"/>
        <v>8</v>
      </c>
      <c r="W181" s="108">
        <f>IF($A181="",0,IF(AND($C181&gt;=Config!$C$7,$C181&lt;=Config!$C$8),1,0))</f>
        <v>1</v>
      </c>
      <c r="X181" s="108">
        <f>IF($A181="",0,IF(COUNTIF(Config!$C$21:$C$23,$H181)&gt;0,1,0))</f>
        <v>0</v>
      </c>
      <c r="Y181" s="108">
        <f t="shared" si="25"/>
        <v>2</v>
      </c>
      <c r="Z181" s="108" t="str">
        <f t="shared" si="26"/>
        <v/>
      </c>
      <c r="AB181" s="108">
        <f t="shared" si="27"/>
        <v>0</v>
      </c>
      <c r="AC181" s="108">
        <f>IF($A181="",0,IF(AND($AB181=1,COUNTIF($A$2:$A181,$A181)=1),1,0))</f>
        <v>0</v>
      </c>
      <c r="AD181" s="108">
        <f t="shared" si="28"/>
        <v>0</v>
      </c>
      <c r="AE181" s="108" t="str">
        <f t="shared" si="29"/>
        <v/>
      </c>
      <c r="AF181" s="108">
        <f t="shared" si="30"/>
        <v>0</v>
      </c>
      <c r="AG181" s="108">
        <f t="shared" si="31"/>
        <v>0</v>
      </c>
      <c r="AH181" s="110" t="str">
        <f t="shared" si="32"/>
        <v>I De La Parra|20260904|Land Admin|1.000|- AIP Well List Tracker</v>
      </c>
      <c r="AI181" s="108">
        <f t="shared" si="33"/>
        <v>0</v>
      </c>
      <c r="AJ181" s="108">
        <f t="shared" si="34"/>
        <v>0</v>
      </c>
      <c r="AK181" s="108">
        <f>IF($A181="",0,IF(AND($S181=1,$W181=1,$X181=1,$U181&gt;Config!$C$9),1,0))</f>
        <v>0</v>
      </c>
      <c r="AL181" s="108">
        <f t="shared" si="35"/>
        <v>0</v>
      </c>
    </row>
    <row r="182" spans="1:38" x14ac:dyDescent="0.25">
      <c r="A182" s="106" t="s">
        <v>460</v>
      </c>
      <c r="B182" s="106" t="s">
        <v>618</v>
      </c>
      <c r="C182" s="107">
        <v>46269</v>
      </c>
      <c r="D182" s="106" t="s">
        <v>529</v>
      </c>
      <c r="E182" s="106" t="s">
        <v>529</v>
      </c>
      <c r="F182" s="106" t="s">
        <v>615</v>
      </c>
      <c r="G182" s="106"/>
      <c r="H182" s="106" t="s">
        <v>531</v>
      </c>
      <c r="I182" s="106"/>
      <c r="J182" s="106" t="s">
        <v>756</v>
      </c>
      <c r="K182" s="106">
        <v>0</v>
      </c>
      <c r="L182" s="106">
        <v>0</v>
      </c>
      <c r="M182" s="106">
        <v>0</v>
      </c>
      <c r="N182" s="106"/>
      <c r="O182" s="106"/>
      <c r="P182" s="106">
        <v>0</v>
      </c>
      <c r="Q182" s="106" t="s">
        <v>757</v>
      </c>
      <c r="S182" s="108">
        <f>IF($A182="","",COUNTIF(BPOworkers!$B$6:$B$105,$A182))</f>
        <v>1</v>
      </c>
      <c r="T182" s="109">
        <f>IF($A182="","",$K182*Config!$C$9)</f>
        <v>0</v>
      </c>
      <c r="U182" s="109">
        <f>IF($A182="","",IF(COUNTIF(Config!$C$21:$C$23,$H182)&gt;0,IFERROR(VALUE(LEFT(TRIM($Q182),FIND(" ",TRIM($Q182)&amp;" ")-1)),0),0))</f>
        <v>8</v>
      </c>
      <c r="V182" s="109">
        <f t="shared" si="24"/>
        <v>8</v>
      </c>
      <c r="W182" s="108">
        <f>IF($A182="",0,IF(AND($C182&gt;=Config!$C$7,$C182&lt;=Config!$C$8),1,0))</f>
        <v>1</v>
      </c>
      <c r="X182" s="108">
        <f>IF($A182="",0,IF(COUNTIF(Config!$C$21:$C$23,$H182)&gt;0,1,0))</f>
        <v>1</v>
      </c>
      <c r="Y182" s="108">
        <f t="shared" si="25"/>
        <v>3</v>
      </c>
      <c r="Z182" s="108">
        <f t="shared" si="26"/>
        <v>3</v>
      </c>
      <c r="AB182" s="108">
        <f t="shared" si="27"/>
        <v>0</v>
      </c>
      <c r="AC182" s="108">
        <f>IF($A182="",0,IF(AND($AB182=1,COUNTIF($A$2:$A182,$A182)=1),1,0))</f>
        <v>0</v>
      </c>
      <c r="AD182" s="108">
        <f t="shared" si="28"/>
        <v>0</v>
      </c>
      <c r="AE182" s="108" t="str">
        <f t="shared" si="29"/>
        <v/>
      </c>
      <c r="AF182" s="108">
        <f t="shared" si="30"/>
        <v>0</v>
      </c>
      <c r="AG182" s="108">
        <f t="shared" si="31"/>
        <v>0</v>
      </c>
      <c r="AH182" s="110" t="str">
        <f t="shared" si="32"/>
        <v>C Mesa|20260904|BPO Vacation|0.000|8 hours of paid vacations</v>
      </c>
      <c r="AI182" s="108">
        <f t="shared" si="33"/>
        <v>0</v>
      </c>
      <c r="AJ182" s="108">
        <f t="shared" si="34"/>
        <v>0</v>
      </c>
      <c r="AK182" s="108">
        <f>IF($A182="",0,IF(AND($S182=1,$W182=1,$X182=1,$U182&gt;Config!$C$9),1,0))</f>
        <v>0</v>
      </c>
      <c r="AL182" s="108">
        <f t="shared" si="35"/>
        <v>0</v>
      </c>
    </row>
    <row r="183" spans="1:38" x14ac:dyDescent="0.25">
      <c r="A183" s="106" t="s">
        <v>470</v>
      </c>
      <c r="B183" s="106" t="s">
        <v>618</v>
      </c>
      <c r="C183" s="107">
        <v>46269</v>
      </c>
      <c r="D183" s="106" t="s">
        <v>669</v>
      </c>
      <c r="E183" s="106" t="s">
        <v>669</v>
      </c>
      <c r="F183" s="106" t="s">
        <v>670</v>
      </c>
      <c r="G183" s="106"/>
      <c r="H183" s="106" t="s">
        <v>671</v>
      </c>
      <c r="I183" s="106"/>
      <c r="J183" s="106"/>
      <c r="K183" s="106">
        <v>1</v>
      </c>
      <c r="L183" s="106">
        <v>0</v>
      </c>
      <c r="M183" s="106">
        <v>0</v>
      </c>
      <c r="N183" s="106"/>
      <c r="O183" s="106"/>
      <c r="P183" s="106">
        <v>0</v>
      </c>
      <c r="Q183" s="106">
        <v>30</v>
      </c>
      <c r="S183" s="108">
        <f>IF($A183="","",COUNTIF(BPOworkers!$B$6:$B$105,$A183))</f>
        <v>1</v>
      </c>
      <c r="T183" s="109">
        <f>IF($A183="","",$K183*Config!$C$9)</f>
        <v>8</v>
      </c>
      <c r="U183" s="109">
        <f>IF($A183="","",IF(COUNTIF(Config!$C$21:$C$23,$H183)&gt;0,IFERROR(VALUE(LEFT(TRIM($Q183),FIND(" ",TRIM($Q183)&amp;" ")-1)),0),0))</f>
        <v>0</v>
      </c>
      <c r="V183" s="109">
        <f t="shared" si="24"/>
        <v>8</v>
      </c>
      <c r="W183" s="108">
        <f>IF($A183="",0,IF(AND($C183&gt;=Config!$C$7,$C183&lt;=Config!$C$8),1,0))</f>
        <v>1</v>
      </c>
      <c r="X183" s="108">
        <f>IF($A183="",0,IF(COUNTIF(Config!$C$21:$C$23,$H183)&gt;0,1,0))</f>
        <v>0</v>
      </c>
      <c r="Y183" s="108">
        <f t="shared" si="25"/>
        <v>3</v>
      </c>
      <c r="Z183" s="108" t="str">
        <f t="shared" si="26"/>
        <v/>
      </c>
      <c r="AB183" s="108">
        <f t="shared" si="27"/>
        <v>0</v>
      </c>
      <c r="AC183" s="108">
        <f>IF($A183="",0,IF(AND($AB183=1,COUNTIF($A$2:$A183,$A183)=1),1,0))</f>
        <v>0</v>
      </c>
      <c r="AD183" s="108">
        <f t="shared" si="28"/>
        <v>0</v>
      </c>
      <c r="AE183" s="108" t="str">
        <f t="shared" si="29"/>
        <v/>
      </c>
      <c r="AF183" s="108">
        <f t="shared" si="30"/>
        <v>0</v>
      </c>
      <c r="AG183" s="108">
        <f t="shared" si="31"/>
        <v>0</v>
      </c>
      <c r="AH183" s="110" t="str">
        <f t="shared" si="32"/>
        <v>J Gonzalez|20260904|TitleNotes - Library|1.000|30</v>
      </c>
      <c r="AI183" s="108">
        <f t="shared" si="33"/>
        <v>0</v>
      </c>
      <c r="AJ183" s="108">
        <f t="shared" si="34"/>
        <v>0</v>
      </c>
      <c r="AK183" s="108">
        <f>IF($A183="",0,IF(AND($S183=1,$W183=1,$X183=1,$U183&gt;Config!$C$9),1,0))</f>
        <v>0</v>
      </c>
      <c r="AL183" s="108">
        <f t="shared" si="35"/>
        <v>0</v>
      </c>
    </row>
    <row r="184" spans="1:38" x14ac:dyDescent="0.25">
      <c r="A184" s="106" t="s">
        <v>759</v>
      </c>
      <c r="B184" s="106" t="s">
        <v>618</v>
      </c>
      <c r="C184" s="107">
        <v>46269</v>
      </c>
      <c r="D184" s="106" t="s">
        <v>712</v>
      </c>
      <c r="E184" s="106" t="s">
        <v>713</v>
      </c>
      <c r="F184" s="106" t="s">
        <v>714</v>
      </c>
      <c r="G184" s="106" t="s">
        <v>715</v>
      </c>
      <c r="H184" s="106" t="s">
        <v>631</v>
      </c>
      <c r="I184" s="106"/>
      <c r="J184" s="106"/>
      <c r="K184" s="106">
        <v>0.5</v>
      </c>
      <c r="L184" s="106">
        <v>0</v>
      </c>
      <c r="M184" s="106">
        <v>0</v>
      </c>
      <c r="N184" s="106"/>
      <c r="O184" s="106"/>
      <c r="P184" s="106">
        <v>0</v>
      </c>
      <c r="Q184" s="106" t="s">
        <v>993</v>
      </c>
      <c r="S184" s="108">
        <f>IF($A184="","",COUNTIF(BPOworkers!$B$6:$B$105,$A184))</f>
        <v>0</v>
      </c>
      <c r="T184" s="109">
        <f>IF($A184="","",$K184*Config!$C$9)</f>
        <v>4</v>
      </c>
      <c r="U184" s="109">
        <f>IF($A184="","",IF(COUNTIF(Config!$C$21:$C$23,$H184)&gt;0,IFERROR(VALUE(LEFT(TRIM($Q184),FIND(" ",TRIM($Q184)&amp;" ")-1)),0),0))</f>
        <v>0</v>
      </c>
      <c r="V184" s="109">
        <f t="shared" si="24"/>
        <v>4</v>
      </c>
      <c r="W184" s="108">
        <f>IF($A184="",0,IF(AND($C184&gt;=Config!$C$7,$C184&lt;=Config!$C$8),1,0))</f>
        <v>1</v>
      </c>
      <c r="X184" s="108">
        <f>IF($A184="",0,IF(COUNTIF(Config!$C$21:$C$23,$H184)&gt;0,1,0))</f>
        <v>0</v>
      </c>
      <c r="Y184" s="108">
        <f t="shared" si="25"/>
        <v>3</v>
      </c>
      <c r="Z184" s="108" t="str">
        <f t="shared" si="26"/>
        <v/>
      </c>
      <c r="AB184" s="108">
        <f t="shared" si="27"/>
        <v>0</v>
      </c>
      <c r="AC184" s="108">
        <f>IF($A184="",0,IF(AND($AB184=1,COUNTIF($A$2:$A184,$A184)=1),1,0))</f>
        <v>0</v>
      </c>
      <c r="AD184" s="108">
        <f t="shared" si="28"/>
        <v>0</v>
      </c>
      <c r="AE184" s="108" t="str">
        <f t="shared" si="29"/>
        <v/>
      </c>
      <c r="AF184" s="108">
        <f t="shared" si="30"/>
        <v>0</v>
      </c>
      <c r="AG184" s="108">
        <f t="shared" si="31"/>
        <v>0</v>
      </c>
      <c r="AH184" s="110" t="str">
        <f t="shared" si="32"/>
        <v>T. Aguillard|20260904|Title|0.500|4 hours not worked - Review</v>
      </c>
      <c r="AI184" s="108">
        <f t="shared" si="33"/>
        <v>0</v>
      </c>
      <c r="AJ184" s="108">
        <f t="shared" si="34"/>
        <v>0</v>
      </c>
      <c r="AK184" s="108">
        <f>IF($A184="",0,IF(AND($S184=1,$W184=1,$X184=1,$U184&gt;Config!$C$9),1,0))</f>
        <v>0</v>
      </c>
      <c r="AL184" s="108">
        <f t="shared" si="35"/>
        <v>0</v>
      </c>
    </row>
    <row r="185" spans="1:38" x14ac:dyDescent="0.25">
      <c r="A185" s="106" t="s">
        <v>759</v>
      </c>
      <c r="B185" s="106" t="s">
        <v>618</v>
      </c>
      <c r="C185" s="107">
        <v>46269</v>
      </c>
      <c r="D185" s="106" t="s">
        <v>529</v>
      </c>
      <c r="E185" s="106" t="s">
        <v>529</v>
      </c>
      <c r="F185" s="106" t="s">
        <v>615</v>
      </c>
      <c r="G185" s="106"/>
      <c r="H185" s="106" t="s">
        <v>529</v>
      </c>
      <c r="I185" s="106"/>
      <c r="J185" s="106"/>
      <c r="K185" s="106">
        <v>0</v>
      </c>
      <c r="L185" s="106">
        <v>0</v>
      </c>
      <c r="M185" s="106">
        <v>0</v>
      </c>
      <c r="N185" s="106"/>
      <c r="O185" s="106"/>
      <c r="P185" s="106">
        <v>0</v>
      </c>
      <c r="Q185" s="106" t="s">
        <v>760</v>
      </c>
      <c r="S185" s="108">
        <f>IF($A185="","",COUNTIF(BPOworkers!$B$6:$B$105,$A185))</f>
        <v>0</v>
      </c>
      <c r="T185" s="109">
        <f>IF($A185="","",$K185*Config!$C$9)</f>
        <v>0</v>
      </c>
      <c r="U185" s="109">
        <f>IF($A185="","",IF(COUNTIF(Config!$C$21:$C$23,$H185)&gt;0,IFERROR(VALUE(LEFT(TRIM($Q185),FIND(" ",TRIM($Q185)&amp;" ")-1)),0),0))</f>
        <v>4</v>
      </c>
      <c r="V185" s="109">
        <f t="shared" si="24"/>
        <v>4</v>
      </c>
      <c r="W185" s="108">
        <f>IF($A185="",0,IF(AND($C185&gt;=Config!$C$7,$C185&lt;=Config!$C$8),1,0))</f>
        <v>1</v>
      </c>
      <c r="X185" s="108">
        <f>IF($A185="",0,IF(COUNTIF(Config!$C$21:$C$23,$H185)&gt;0,1,0))</f>
        <v>1</v>
      </c>
      <c r="Y185" s="108">
        <f t="shared" si="25"/>
        <v>3</v>
      </c>
      <c r="Z185" s="108" t="str">
        <f t="shared" si="26"/>
        <v/>
      </c>
      <c r="AB185" s="108">
        <f t="shared" si="27"/>
        <v>0</v>
      </c>
      <c r="AC185" s="108">
        <f>IF($A185="",0,IF(AND($AB185=1,COUNTIF($A$2:$A185,$A185)=1),1,0))</f>
        <v>0</v>
      </c>
      <c r="AD185" s="108">
        <f t="shared" si="28"/>
        <v>0</v>
      </c>
      <c r="AE185" s="108" t="str">
        <f t="shared" si="29"/>
        <v/>
      </c>
      <c r="AF185" s="108">
        <f t="shared" si="30"/>
        <v>0</v>
      </c>
      <c r="AG185" s="108">
        <f t="shared" si="31"/>
        <v>0</v>
      </c>
      <c r="AH185" s="110" t="str">
        <f t="shared" si="32"/>
        <v>T. Aguillard|20260904|Time Off|0.000|4 hours not worked</v>
      </c>
      <c r="AI185" s="108">
        <f t="shared" si="33"/>
        <v>0</v>
      </c>
      <c r="AJ185" s="108">
        <f t="shared" si="34"/>
        <v>0</v>
      </c>
      <c r="AK185" s="108">
        <f>IF($A185="",0,IF(AND($S185=1,$W185=1,$X185=1,$U185&gt;Config!$C$9),1,0))</f>
        <v>0</v>
      </c>
      <c r="AL185" s="108">
        <f t="shared" si="35"/>
        <v>0</v>
      </c>
    </row>
    <row r="186" spans="1:38" x14ac:dyDescent="0.25">
      <c r="A186" s="106" t="s">
        <v>761</v>
      </c>
      <c r="B186" s="106" t="s">
        <v>618</v>
      </c>
      <c r="C186" s="107">
        <v>46269</v>
      </c>
      <c r="D186" s="106" t="s">
        <v>529</v>
      </c>
      <c r="E186" s="106" t="s">
        <v>529</v>
      </c>
      <c r="F186" s="106" t="s">
        <v>615</v>
      </c>
      <c r="G186" s="106"/>
      <c r="H186" s="106" t="s">
        <v>529</v>
      </c>
      <c r="I186" s="106"/>
      <c r="J186" s="106"/>
      <c r="K186" s="106">
        <v>0</v>
      </c>
      <c r="L186" s="106">
        <v>0</v>
      </c>
      <c r="M186" s="106">
        <v>0</v>
      </c>
      <c r="N186" s="106"/>
      <c r="O186" s="106"/>
      <c r="P186" s="106">
        <v>0</v>
      </c>
      <c r="Q186" s="106" t="s">
        <v>661</v>
      </c>
      <c r="S186" s="108">
        <f>IF($A186="","",COUNTIF(BPOworkers!$B$6:$B$105,$A186))</f>
        <v>0</v>
      </c>
      <c r="T186" s="109">
        <f>IF($A186="","",$K186*Config!$C$9)</f>
        <v>0</v>
      </c>
      <c r="U186" s="109">
        <f>IF($A186="","",IF(COUNTIF(Config!$C$21:$C$23,$H186)&gt;0,IFERROR(VALUE(LEFT(TRIM($Q186),FIND(" ",TRIM($Q186)&amp;" ")-1)),0),0))</f>
        <v>8</v>
      </c>
      <c r="V186" s="109">
        <f t="shared" si="24"/>
        <v>8</v>
      </c>
      <c r="W186" s="108">
        <f>IF($A186="",0,IF(AND($C186&gt;=Config!$C$7,$C186&lt;=Config!$C$8),1,0))</f>
        <v>1</v>
      </c>
      <c r="X186" s="108">
        <f>IF($A186="",0,IF(COUNTIF(Config!$C$21:$C$23,$H186)&gt;0,1,0))</f>
        <v>1</v>
      </c>
      <c r="Y186" s="108">
        <f t="shared" si="25"/>
        <v>3</v>
      </c>
      <c r="Z186" s="108" t="str">
        <f t="shared" si="26"/>
        <v/>
      </c>
      <c r="AB186" s="108">
        <f t="shared" si="27"/>
        <v>0</v>
      </c>
      <c r="AC186" s="108">
        <f>IF($A186="",0,IF(AND($AB186=1,COUNTIF($A$2:$A186,$A186)=1),1,0))</f>
        <v>0</v>
      </c>
      <c r="AD186" s="108">
        <f t="shared" si="28"/>
        <v>0</v>
      </c>
      <c r="AE186" s="108" t="str">
        <f t="shared" si="29"/>
        <v/>
      </c>
      <c r="AF186" s="108">
        <f t="shared" si="30"/>
        <v>0</v>
      </c>
      <c r="AG186" s="108">
        <f t="shared" si="31"/>
        <v>0</v>
      </c>
      <c r="AH186" s="110" t="str">
        <f t="shared" si="32"/>
        <v>J. Smallridge|20260904|Time Off|0.000|8 hours not billed</v>
      </c>
      <c r="AI186" s="108">
        <f t="shared" si="33"/>
        <v>0</v>
      </c>
      <c r="AJ186" s="108">
        <f t="shared" si="34"/>
        <v>0</v>
      </c>
      <c r="AK186" s="108">
        <f>IF($A186="",0,IF(AND($S186=1,$W186=1,$X186=1,$U186&gt;Config!$C$9),1,0))</f>
        <v>0</v>
      </c>
      <c r="AL186" s="108">
        <f t="shared" si="35"/>
        <v>0</v>
      </c>
    </row>
    <row r="187" spans="1:38" x14ac:dyDescent="0.25">
      <c r="A187" s="106" t="s">
        <v>994</v>
      </c>
      <c r="B187" s="106" t="s">
        <v>618</v>
      </c>
      <c r="C187" s="107">
        <v>46269</v>
      </c>
      <c r="D187" s="106" t="s">
        <v>529</v>
      </c>
      <c r="E187" s="106" t="s">
        <v>529</v>
      </c>
      <c r="F187" s="106" t="s">
        <v>615</v>
      </c>
      <c r="G187" s="106"/>
      <c r="H187" s="106" t="s">
        <v>529</v>
      </c>
      <c r="I187" s="106"/>
      <c r="J187" s="106"/>
      <c r="K187" s="106">
        <v>0</v>
      </c>
      <c r="L187" s="106">
        <v>0</v>
      </c>
      <c r="M187" s="106">
        <v>0</v>
      </c>
      <c r="N187" s="106"/>
      <c r="O187" s="106"/>
      <c r="P187" s="106">
        <v>0</v>
      </c>
      <c r="Q187" s="106" t="s">
        <v>995</v>
      </c>
      <c r="S187" s="108">
        <f>IF($A187="","",COUNTIF(BPOworkers!$B$6:$B$105,$A187))</f>
        <v>0</v>
      </c>
      <c r="T187" s="109">
        <f>IF($A187="","",$K187*Config!$C$9)</f>
        <v>0</v>
      </c>
      <c r="U187" s="109">
        <f>IF($A187="","",IF(COUNTIF(Config!$C$21:$C$23,$H187)&gt;0,IFERROR(VALUE(LEFT(TRIM($Q187),FIND(" ",TRIM($Q187)&amp;" ")-1)),0),0))</f>
        <v>0</v>
      </c>
      <c r="V187" s="109">
        <f t="shared" si="24"/>
        <v>0</v>
      </c>
      <c r="W187" s="108">
        <f>IF($A187="",0,IF(AND($C187&gt;=Config!$C$7,$C187&lt;=Config!$C$8),1,0))</f>
        <v>1</v>
      </c>
      <c r="X187" s="108">
        <f>IF($A187="",0,IF(COUNTIF(Config!$C$21:$C$23,$H187)&gt;0,1,0))</f>
        <v>1</v>
      </c>
      <c r="Y187" s="108">
        <f t="shared" si="25"/>
        <v>3</v>
      </c>
      <c r="Z187" s="108" t="str">
        <f t="shared" si="26"/>
        <v/>
      </c>
      <c r="AB187" s="108">
        <f t="shared" si="27"/>
        <v>0</v>
      </c>
      <c r="AC187" s="108">
        <f>IF($A187="",0,IF(AND($AB187=1,COUNTIF($A$2:$A187,$A187)=1),1,0))</f>
        <v>0</v>
      </c>
      <c r="AD187" s="108">
        <f t="shared" si="28"/>
        <v>0</v>
      </c>
      <c r="AE187" s="108" t="str">
        <f t="shared" si="29"/>
        <v/>
      </c>
      <c r="AF187" s="108">
        <f t="shared" si="30"/>
        <v>0</v>
      </c>
      <c r="AG187" s="108">
        <f t="shared" si="31"/>
        <v>0</v>
      </c>
      <c r="AH187" s="110" t="str">
        <f t="shared" si="32"/>
        <v>R. Hufnagel|20260904|Time Off|0.000|Didn't work 8 hours</v>
      </c>
      <c r="AI187" s="108">
        <f t="shared" si="33"/>
        <v>0</v>
      </c>
      <c r="AJ187" s="108">
        <f t="shared" si="34"/>
        <v>0</v>
      </c>
      <c r="AK187" s="108">
        <f>IF($A187="",0,IF(AND($S187=1,$W187=1,$X187=1,$U187&gt;Config!$C$9),1,0))</f>
        <v>0</v>
      </c>
      <c r="AL187" s="108">
        <f t="shared" si="35"/>
        <v>0</v>
      </c>
    </row>
    <row r="188" spans="1:38" x14ac:dyDescent="0.25">
      <c r="A188" s="106" t="s">
        <v>996</v>
      </c>
      <c r="B188" s="106" t="s">
        <v>618</v>
      </c>
      <c r="C188" s="107">
        <v>46269</v>
      </c>
      <c r="D188" s="106" t="s">
        <v>897</v>
      </c>
      <c r="E188" s="106" t="s">
        <v>898</v>
      </c>
      <c r="F188" s="106" t="s">
        <v>997</v>
      </c>
      <c r="G188" s="106" t="s">
        <v>933</v>
      </c>
      <c r="H188" s="106" t="s">
        <v>656</v>
      </c>
      <c r="I188" s="106"/>
      <c r="J188" s="106"/>
      <c r="K188" s="106">
        <v>0.375</v>
      </c>
      <c r="L188" s="106">
        <v>0</v>
      </c>
      <c r="M188" s="106">
        <v>0</v>
      </c>
      <c r="N188" s="106"/>
      <c r="O188" s="106"/>
      <c r="P188" s="106">
        <v>0</v>
      </c>
      <c r="Q188" s="106" t="s">
        <v>998</v>
      </c>
      <c r="S188" s="108">
        <f>IF($A188="","",COUNTIF(BPOworkers!$B$6:$B$105,$A188))</f>
        <v>0</v>
      </c>
      <c r="T188" s="109">
        <f>IF($A188="","",$K188*Config!$C$9)</f>
        <v>3</v>
      </c>
      <c r="U188" s="109">
        <f>IF($A188="","",IF(COUNTIF(Config!$C$21:$C$23,$H188)&gt;0,IFERROR(VALUE(LEFT(TRIM($Q188),FIND(" ",TRIM($Q188)&amp;" ")-1)),0),0))</f>
        <v>0</v>
      </c>
      <c r="V188" s="109">
        <f t="shared" si="24"/>
        <v>3</v>
      </c>
      <c r="W188" s="108">
        <f>IF($A188="",0,IF(AND($C188&gt;=Config!$C$7,$C188&lt;=Config!$C$8),1,0))</f>
        <v>1</v>
      </c>
      <c r="X188" s="108">
        <f>IF($A188="",0,IF(COUNTIF(Config!$C$21:$C$23,$H188)&gt;0,1,0))</f>
        <v>0</v>
      </c>
      <c r="Y188" s="108">
        <f t="shared" si="25"/>
        <v>3</v>
      </c>
      <c r="Z188" s="108" t="str">
        <f t="shared" si="26"/>
        <v/>
      </c>
      <c r="AB188" s="108">
        <f t="shared" si="27"/>
        <v>0</v>
      </c>
      <c r="AC188" s="108">
        <f>IF($A188="",0,IF(AND($AB188=1,COUNTIF($A$2:$A188,$A188)=1),1,0))</f>
        <v>0</v>
      </c>
      <c r="AD188" s="108">
        <f t="shared" si="28"/>
        <v>0</v>
      </c>
      <c r="AE188" s="108" t="str">
        <f t="shared" si="29"/>
        <v/>
      </c>
      <c r="AF188" s="108">
        <f t="shared" si="30"/>
        <v>0</v>
      </c>
      <c r="AG188" s="108">
        <f t="shared" si="31"/>
        <v>0</v>
      </c>
      <c r="AH188" s="110" t="str">
        <f t="shared" si="32"/>
        <v>D. Woodall|20260904|Project Management|0.375|Review project log deviations in dawson county, meet with management peak 10 team</v>
      </c>
      <c r="AI188" s="108">
        <f t="shared" si="33"/>
        <v>0</v>
      </c>
      <c r="AJ188" s="108">
        <f t="shared" si="34"/>
        <v>0</v>
      </c>
      <c r="AK188" s="108">
        <f>IF($A188="",0,IF(AND($S188=1,$W188=1,$X188=1,$U188&gt;Config!$C$9),1,0))</f>
        <v>0</v>
      </c>
      <c r="AL188" s="108">
        <f t="shared" si="35"/>
        <v>0</v>
      </c>
    </row>
    <row r="189" spans="1:38" x14ac:dyDescent="0.25">
      <c r="A189" s="106" t="s">
        <v>996</v>
      </c>
      <c r="B189" s="106" t="s">
        <v>618</v>
      </c>
      <c r="C189" s="107">
        <v>46269</v>
      </c>
      <c r="D189" s="106" t="s">
        <v>529</v>
      </c>
      <c r="E189" s="106" t="s">
        <v>529</v>
      </c>
      <c r="F189" s="106" t="s">
        <v>615</v>
      </c>
      <c r="G189" s="106"/>
      <c r="H189" s="106" t="s">
        <v>529</v>
      </c>
      <c r="I189" s="106"/>
      <c r="J189" s="106"/>
      <c r="K189" s="106">
        <v>0</v>
      </c>
      <c r="L189" s="106">
        <v>0</v>
      </c>
      <c r="M189" s="106">
        <v>0</v>
      </c>
      <c r="N189" s="106"/>
      <c r="O189" s="106"/>
      <c r="P189" s="106">
        <v>0</v>
      </c>
      <c r="Q189" s="106" t="s">
        <v>999</v>
      </c>
      <c r="S189" s="108">
        <f>IF($A189="","",COUNTIF(BPOworkers!$B$6:$B$105,$A189))</f>
        <v>0</v>
      </c>
      <c r="T189" s="109">
        <f>IF($A189="","",$K189*Config!$C$9)</f>
        <v>0</v>
      </c>
      <c r="U189" s="109">
        <f>IF($A189="","",IF(COUNTIF(Config!$C$21:$C$23,$H189)&gt;0,IFERROR(VALUE(LEFT(TRIM($Q189),FIND(" ",TRIM($Q189)&amp;" ")-1)),0),0))</f>
        <v>5</v>
      </c>
      <c r="V189" s="109">
        <f t="shared" si="24"/>
        <v>5</v>
      </c>
      <c r="W189" s="108">
        <f>IF($A189="",0,IF(AND($C189&gt;=Config!$C$7,$C189&lt;=Config!$C$8),1,0))</f>
        <v>1</v>
      </c>
      <c r="X189" s="108">
        <f>IF($A189="",0,IF(COUNTIF(Config!$C$21:$C$23,$H189)&gt;0,1,0))</f>
        <v>1</v>
      </c>
      <c r="Y189" s="108">
        <f t="shared" si="25"/>
        <v>3</v>
      </c>
      <c r="Z189" s="108" t="str">
        <f t="shared" si="26"/>
        <v/>
      </c>
      <c r="AB189" s="108">
        <f t="shared" si="27"/>
        <v>0</v>
      </c>
      <c r="AC189" s="108">
        <f>IF($A189="",0,IF(AND($AB189=1,COUNTIF($A$2:$A189,$A189)=1),1,0))</f>
        <v>0</v>
      </c>
      <c r="AD189" s="108">
        <f t="shared" si="28"/>
        <v>0</v>
      </c>
      <c r="AE189" s="108" t="str">
        <f t="shared" si="29"/>
        <v/>
      </c>
      <c r="AF189" s="108">
        <f t="shared" si="30"/>
        <v>0</v>
      </c>
      <c r="AG189" s="108">
        <f t="shared" si="31"/>
        <v>0</v>
      </c>
      <c r="AH189" s="110" t="str">
        <f t="shared" si="32"/>
        <v>D. Woodall|20260904|Time Off|0.000|5 hrs not billed</v>
      </c>
      <c r="AI189" s="108">
        <f t="shared" si="33"/>
        <v>0</v>
      </c>
      <c r="AJ189" s="108">
        <f t="shared" si="34"/>
        <v>0</v>
      </c>
      <c r="AK189" s="108">
        <f>IF($A189="",0,IF(AND($S189=1,$W189=1,$X189=1,$U189&gt;Config!$C$9),1,0))</f>
        <v>0</v>
      </c>
      <c r="AL189" s="108">
        <f t="shared" si="35"/>
        <v>0</v>
      </c>
    </row>
    <row r="190" spans="1:38" ht="204.75" x14ac:dyDescent="0.25">
      <c r="A190" s="106" t="s">
        <v>458</v>
      </c>
      <c r="B190" s="106" t="s">
        <v>618</v>
      </c>
      <c r="C190" s="107">
        <v>46269</v>
      </c>
      <c r="D190" s="106" t="s">
        <v>669</v>
      </c>
      <c r="E190" s="106" t="s">
        <v>669</v>
      </c>
      <c r="F190" s="106" t="s">
        <v>670</v>
      </c>
      <c r="G190" s="106"/>
      <c r="H190" s="106" t="s">
        <v>671</v>
      </c>
      <c r="I190" s="106"/>
      <c r="J190" s="106"/>
      <c r="K190" s="106">
        <v>1</v>
      </c>
      <c r="L190" s="106">
        <v>0</v>
      </c>
      <c r="M190" s="106">
        <v>0</v>
      </c>
      <c r="N190" s="106"/>
      <c r="O190" s="106"/>
      <c r="P190" s="106">
        <v>0</v>
      </c>
      <c r="Q190" s="111" t="s">
        <v>1000</v>
      </c>
      <c r="S190" s="108">
        <f>IF($A190="","",COUNTIF(BPOworkers!$B$6:$B$105,$A190))</f>
        <v>1</v>
      </c>
      <c r="T190" s="109">
        <f>IF($A190="","",$K190*Config!$C$9)</f>
        <v>8</v>
      </c>
      <c r="U190" s="109">
        <f>IF($A190="","",IF(COUNTIF(Config!$C$21:$C$23,$H190)&gt;0,IFERROR(VALUE(LEFT(TRIM($Q190),FIND(" ",TRIM($Q190)&amp;" ")-1)),0),0))</f>
        <v>0</v>
      </c>
      <c r="V190" s="109">
        <f t="shared" si="24"/>
        <v>8</v>
      </c>
      <c r="W190" s="108">
        <f>IF($A190="",0,IF(AND($C190&gt;=Config!$C$7,$C190&lt;=Config!$C$8),1,0))</f>
        <v>1</v>
      </c>
      <c r="X190" s="108">
        <f>IF($A190="",0,IF(COUNTIF(Config!$C$21:$C$23,$H190)&gt;0,1,0))</f>
        <v>0</v>
      </c>
      <c r="Y190" s="108">
        <f t="shared" si="25"/>
        <v>3</v>
      </c>
      <c r="Z190" s="108" t="str">
        <f t="shared" si="26"/>
        <v/>
      </c>
      <c r="AB190" s="108">
        <f t="shared" si="27"/>
        <v>0</v>
      </c>
      <c r="AC190" s="108">
        <f>IF($A190="",0,IF(AND($AB190=1,COUNTIF($A$2:$A190,$A190)=1),1,0))</f>
        <v>0</v>
      </c>
      <c r="AD190" s="108">
        <f t="shared" si="28"/>
        <v>0</v>
      </c>
      <c r="AE190" s="108" t="str">
        <f t="shared" si="29"/>
        <v/>
      </c>
      <c r="AF190" s="108">
        <f t="shared" si="30"/>
        <v>0</v>
      </c>
      <c r="AG190" s="108">
        <f t="shared" si="31"/>
        <v>0</v>
      </c>
      <c r="AH190" s="112" t="str">
        <f t="shared" si="32"/>
        <v>C Castellanos|20260904|TitleNotes - Library|1.000|75 Documents 
 156 Transactions
 Provided feedback from the team
 Performed some changes in the dashboard</v>
      </c>
      <c r="AI190" s="108">
        <f t="shared" si="33"/>
        <v>0</v>
      </c>
      <c r="AJ190" s="108">
        <f t="shared" si="34"/>
        <v>0</v>
      </c>
      <c r="AK190" s="108">
        <f>IF($A190="",0,IF(AND($S190=1,$W190=1,$X190=1,$U190&gt;Config!$C$9),1,0))</f>
        <v>0</v>
      </c>
      <c r="AL190" s="108">
        <f t="shared" si="35"/>
        <v>0</v>
      </c>
    </row>
    <row r="191" spans="1:38" ht="204.75" x14ac:dyDescent="0.25">
      <c r="A191" s="106" t="s">
        <v>461</v>
      </c>
      <c r="B191" s="106" t="s">
        <v>614</v>
      </c>
      <c r="C191" s="107">
        <v>46269</v>
      </c>
      <c r="D191" s="106" t="s">
        <v>623</v>
      </c>
      <c r="E191" s="106" t="s">
        <v>624</v>
      </c>
      <c r="F191" s="106" t="s">
        <v>615</v>
      </c>
      <c r="G191" s="106" t="s">
        <v>625</v>
      </c>
      <c r="H191" s="106" t="s">
        <v>691</v>
      </c>
      <c r="I191" s="106"/>
      <c r="J191" s="106" t="s">
        <v>691</v>
      </c>
      <c r="K191" s="106">
        <v>1</v>
      </c>
      <c r="L191" s="106">
        <v>0</v>
      </c>
      <c r="M191" s="106">
        <v>0</v>
      </c>
      <c r="N191" s="106"/>
      <c r="O191" s="106"/>
      <c r="P191" s="106">
        <v>0</v>
      </c>
      <c r="Q191" s="111" t="s">
        <v>764</v>
      </c>
      <c r="S191" s="108">
        <f>IF($A191="","",COUNTIF(BPOworkers!$B$6:$B$105,$A191))</f>
        <v>1</v>
      </c>
      <c r="T191" s="109">
        <f>IF($A191="","",$K191*Config!$C$9)</f>
        <v>8</v>
      </c>
      <c r="U191" s="109">
        <f>IF($A191="","",IF(COUNTIF(Config!$C$21:$C$23,$H191)&gt;0,IFERROR(VALUE(LEFT(TRIM($Q191),FIND(" ",TRIM($Q191)&amp;" ")-1)),0),0))</f>
        <v>0</v>
      </c>
      <c r="V191" s="109">
        <f t="shared" si="24"/>
        <v>8</v>
      </c>
      <c r="W191" s="108">
        <f>IF($A191="",0,IF(AND($C191&gt;=Config!$C$7,$C191&lt;=Config!$C$8),1,0))</f>
        <v>1</v>
      </c>
      <c r="X191" s="108">
        <f>IF($A191="",0,IF(COUNTIF(Config!$C$21:$C$23,$H191)&gt;0,1,0))</f>
        <v>0</v>
      </c>
      <c r="Y191" s="108">
        <f t="shared" si="25"/>
        <v>3</v>
      </c>
      <c r="Z191" s="108" t="str">
        <f t="shared" si="26"/>
        <v/>
      </c>
      <c r="AB191" s="108">
        <f t="shared" si="27"/>
        <v>0</v>
      </c>
      <c r="AC191" s="108">
        <f>IF($A191="",0,IF(AND($AB191=1,COUNTIF($A$2:$A191,$A191)=1),1,0))</f>
        <v>0</v>
      </c>
      <c r="AD191" s="108">
        <f t="shared" si="28"/>
        <v>0</v>
      </c>
      <c r="AE191" s="108" t="str">
        <f t="shared" si="29"/>
        <v/>
      </c>
      <c r="AF191" s="108">
        <f t="shared" si="30"/>
        <v>0</v>
      </c>
      <c r="AG191" s="108">
        <f t="shared" si="31"/>
        <v>0</v>
      </c>
      <c r="AH191" s="112" t="str">
        <f t="shared" si="32"/>
        <v xml:space="preserve">D Trujillo|20260904|BPO Project Management|1.000|BTABs Checkings Approval
 Adding legals in BTABs
 Extra Hours Spreadsheet
 Office mgmt
 Onboarding process fort the new </v>
      </c>
      <c r="AI191" s="108">
        <f t="shared" si="33"/>
        <v>0</v>
      </c>
      <c r="AJ191" s="108">
        <f t="shared" si="34"/>
        <v>0</v>
      </c>
      <c r="AK191" s="108">
        <f>IF($A191="",0,IF(AND($S191=1,$W191=1,$X191=1,$U191&gt;Config!$C$9),1,0))</f>
        <v>0</v>
      </c>
      <c r="AL191" s="108">
        <f t="shared" si="35"/>
        <v>0</v>
      </c>
    </row>
    <row r="192" spans="1:38" ht="72.75" x14ac:dyDescent="0.25">
      <c r="A192" s="106" t="s">
        <v>465</v>
      </c>
      <c r="B192" s="106" t="s">
        <v>618</v>
      </c>
      <c r="C192" s="107">
        <v>46269</v>
      </c>
      <c r="D192" s="106" t="s">
        <v>694</v>
      </c>
      <c r="E192" s="106" t="s">
        <v>765</v>
      </c>
      <c r="F192" s="106" t="s">
        <v>766</v>
      </c>
      <c r="G192" s="106" t="s">
        <v>767</v>
      </c>
      <c r="H192" s="106" t="s">
        <v>765</v>
      </c>
      <c r="I192" s="106"/>
      <c r="J192" s="106"/>
      <c r="K192" s="106">
        <v>1</v>
      </c>
      <c r="L192" s="106">
        <v>0</v>
      </c>
      <c r="M192" s="106">
        <v>0</v>
      </c>
      <c r="N192" s="106"/>
      <c r="O192" s="106"/>
      <c r="P192" s="106">
        <v>0</v>
      </c>
      <c r="Q192" s="111" t="s">
        <v>1001</v>
      </c>
      <c r="S192" s="108">
        <f>IF($A192="","",COUNTIF(BPOworkers!$B$6:$B$105,$A192))</f>
        <v>1</v>
      </c>
      <c r="T192" s="109">
        <f>IF($A192="","",$K192*Config!$C$9)</f>
        <v>8</v>
      </c>
      <c r="U192" s="109">
        <f>IF($A192="","",IF(COUNTIF(Config!$C$21:$C$23,$H192)&gt;0,IFERROR(VALUE(LEFT(TRIM($Q192),FIND(" ",TRIM($Q192)&amp;" ")-1)),0),0))</f>
        <v>0</v>
      </c>
      <c r="V192" s="109">
        <f t="shared" si="24"/>
        <v>8</v>
      </c>
      <c r="W192" s="108">
        <f>IF($A192="",0,IF(AND($C192&gt;=Config!$C$7,$C192&lt;=Config!$C$8),1,0))</f>
        <v>1</v>
      </c>
      <c r="X192" s="108">
        <f>IF($A192="",0,IF(COUNTIF(Config!$C$21:$C$23,$H192)&gt;0,1,0))</f>
        <v>0</v>
      </c>
      <c r="Y192" s="108">
        <f t="shared" si="25"/>
        <v>3</v>
      </c>
      <c r="Z192" s="108" t="str">
        <f t="shared" si="26"/>
        <v/>
      </c>
      <c r="AB192" s="108">
        <f t="shared" si="27"/>
        <v>0</v>
      </c>
      <c r="AC192" s="108">
        <f>IF($A192="",0,IF(AND($AB192=1,COUNTIF($A$2:$A192,$A192)=1),1,0))</f>
        <v>0</v>
      </c>
      <c r="AD192" s="108">
        <f t="shared" si="28"/>
        <v>0</v>
      </c>
      <c r="AE192" s="108" t="str">
        <f t="shared" si="29"/>
        <v/>
      </c>
      <c r="AF192" s="108">
        <f t="shared" si="30"/>
        <v>0</v>
      </c>
      <c r="AG192" s="108">
        <f t="shared" si="31"/>
        <v>0</v>
      </c>
      <c r="AH192" s="110" t="str">
        <f t="shared" si="32"/>
        <v>I Salamanca|20260904|Lease Bringdown|1.000|Start looking for the leases related to the section in the platform "Omnissa Horizon Client", look for them in the On Ba</v>
      </c>
      <c r="AI192" s="108">
        <f t="shared" si="33"/>
        <v>0</v>
      </c>
      <c r="AJ192" s="108">
        <f t="shared" si="34"/>
        <v>0</v>
      </c>
      <c r="AK192" s="108">
        <f>IF($A192="",0,IF(AND($S192=1,$W192=1,$X192=1,$U192&gt;Config!$C$9),1,0))</f>
        <v>0</v>
      </c>
      <c r="AL192" s="108">
        <f t="shared" si="35"/>
        <v>0</v>
      </c>
    </row>
    <row r="193" spans="1:38" ht="120.75" x14ac:dyDescent="0.25">
      <c r="A193" s="106" t="s">
        <v>466</v>
      </c>
      <c r="B193" s="106" t="s">
        <v>618</v>
      </c>
      <c r="C193" s="107">
        <v>46269</v>
      </c>
      <c r="D193" s="106" t="s">
        <v>623</v>
      </c>
      <c r="E193" s="106" t="s">
        <v>624</v>
      </c>
      <c r="F193" s="106" t="s">
        <v>615</v>
      </c>
      <c r="G193" s="106" t="s">
        <v>625</v>
      </c>
      <c r="H193" s="106" t="s">
        <v>671</v>
      </c>
      <c r="I193" s="106" t="s">
        <v>657</v>
      </c>
      <c r="J193" s="106" t="s">
        <v>669</v>
      </c>
      <c r="K193" s="106">
        <v>1</v>
      </c>
      <c r="L193" s="106">
        <v>0</v>
      </c>
      <c r="M193" s="106">
        <v>0</v>
      </c>
      <c r="N193" s="106"/>
      <c r="O193" s="106"/>
      <c r="P193" s="106">
        <v>0</v>
      </c>
      <c r="Q193" s="111" t="s">
        <v>1002</v>
      </c>
      <c r="S193" s="108">
        <f>IF($A193="","",COUNTIF(BPOworkers!$B$6:$B$105,$A193))</f>
        <v>1</v>
      </c>
      <c r="T193" s="109">
        <f>IF($A193="","",$K193*Config!$C$9)</f>
        <v>8</v>
      </c>
      <c r="U193" s="109">
        <f>IF($A193="","",IF(COUNTIF(Config!$C$21:$C$23,$H193)&gt;0,IFERROR(VALUE(LEFT(TRIM($Q193),FIND(" ",TRIM($Q193)&amp;" ")-1)),0),0))</f>
        <v>0</v>
      </c>
      <c r="V193" s="109">
        <f t="shared" si="24"/>
        <v>8</v>
      </c>
      <c r="W193" s="108">
        <f>IF($A193="",0,IF(AND($C193&gt;=Config!$C$7,$C193&lt;=Config!$C$8),1,0))</f>
        <v>1</v>
      </c>
      <c r="X193" s="108">
        <f>IF($A193="",0,IF(COUNTIF(Config!$C$21:$C$23,$H193)&gt;0,1,0))</f>
        <v>0</v>
      </c>
      <c r="Y193" s="108">
        <f t="shared" si="25"/>
        <v>3</v>
      </c>
      <c r="Z193" s="108" t="str">
        <f t="shared" si="26"/>
        <v/>
      </c>
      <c r="AB193" s="108">
        <f t="shared" si="27"/>
        <v>0</v>
      </c>
      <c r="AC193" s="108">
        <f>IF($A193="",0,IF(AND($AB193=1,COUNTIF($A$2:$A193,$A193)=1),1,0))</f>
        <v>0</v>
      </c>
      <c r="AD193" s="108">
        <f t="shared" si="28"/>
        <v>0</v>
      </c>
      <c r="AE193" s="108" t="str">
        <f t="shared" si="29"/>
        <v/>
      </c>
      <c r="AF193" s="108">
        <f t="shared" si="30"/>
        <v>0</v>
      </c>
      <c r="AG193" s="108">
        <f t="shared" si="31"/>
        <v>0</v>
      </c>
      <c r="AH193" s="112" t="str">
        <f t="shared" si="32"/>
        <v>J Abay|20260904|TitleNotes - Library|1.000|Title Notes 
 14 Documents 
 84 Transactions</v>
      </c>
      <c r="AI193" s="108">
        <f t="shared" si="33"/>
        <v>0</v>
      </c>
      <c r="AJ193" s="108">
        <f t="shared" si="34"/>
        <v>0</v>
      </c>
      <c r="AK193" s="108">
        <f>IF($A193="",0,IF(AND($S193=1,$W193=1,$X193=1,$U193&gt;Config!$C$9),1,0))</f>
        <v>0</v>
      </c>
      <c r="AL193" s="108">
        <f t="shared" si="35"/>
        <v>0</v>
      </c>
    </row>
    <row r="194" spans="1:38" x14ac:dyDescent="0.25">
      <c r="A194" s="106" t="s">
        <v>472</v>
      </c>
      <c r="B194" s="106" t="s">
        <v>618</v>
      </c>
      <c r="C194" s="107">
        <v>46269</v>
      </c>
      <c r="D194" s="106" t="s">
        <v>628</v>
      </c>
      <c r="E194" s="106" t="s">
        <v>701</v>
      </c>
      <c r="F194" s="106" t="s">
        <v>630</v>
      </c>
      <c r="G194" s="106" t="s">
        <v>770</v>
      </c>
      <c r="H194" s="106" t="s">
        <v>702</v>
      </c>
      <c r="I194" s="106"/>
      <c r="J194" s="106"/>
      <c r="K194" s="106">
        <v>1</v>
      </c>
      <c r="L194" s="106">
        <v>0</v>
      </c>
      <c r="M194" s="106">
        <v>0</v>
      </c>
      <c r="N194" s="106"/>
      <c r="O194" s="106"/>
      <c r="P194" s="106">
        <v>0</v>
      </c>
      <c r="Q194" s="106" t="s">
        <v>1003</v>
      </c>
      <c r="S194" s="108">
        <f>IF($A194="","",COUNTIF(BPOworkers!$B$6:$B$105,$A194))</f>
        <v>1</v>
      </c>
      <c r="T194" s="109">
        <f>IF($A194="","",$K194*Config!$C$9)</f>
        <v>8</v>
      </c>
      <c r="U194" s="109">
        <f>IF($A194="","",IF(COUNTIF(Config!$C$21:$C$23,$H194)&gt;0,IFERROR(VALUE(LEFT(TRIM($Q194),FIND(" ",TRIM($Q194)&amp;" ")-1)),0),0))</f>
        <v>0</v>
      </c>
      <c r="V194" s="109">
        <f t="shared" ref="V194:V257" si="36">IF($A194="","",$T194+$U194)</f>
        <v>8</v>
      </c>
      <c r="W194" s="108">
        <f>IF($A194="",0,IF(AND($C194&gt;=Config!$C$7,$C194&lt;=Config!$C$8),1,0))</f>
        <v>1</v>
      </c>
      <c r="X194" s="108">
        <f>IF($A194="",0,IF(COUNTIF(Config!$C$21:$C$23,$H194)&gt;0,1,0))</f>
        <v>0</v>
      </c>
      <c r="Y194" s="108">
        <f t="shared" ref="Y194:Y257" si="37">IF($A194="",MAX(0,Y193),MAX(0,Y193)+IF(AND($W194=1,$X194=1,$S194=1),1,0))</f>
        <v>3</v>
      </c>
      <c r="Z194" s="108" t="str">
        <f t="shared" ref="Z194:Z257" si="38">IF($A194="","",IF(AND($W194=1,$X194=1,$S194=1),$Y194,""))</f>
        <v/>
      </c>
      <c r="AB194" s="108">
        <f t="shared" ref="AB194:AB257" si="39">IF($A194="",0,IF(AND($S194=0,ISERROR(FIND(".",$A194))),1,0))</f>
        <v>0</v>
      </c>
      <c r="AC194" s="108">
        <f>IF($A194="",0,IF(AND($AB194=1,COUNTIF($A$2:$A194,$A194)=1),1,0))</f>
        <v>0</v>
      </c>
      <c r="AD194" s="108">
        <f t="shared" ref="AD194:AD257" si="40">IF($A194="",MAX(0,AD193),MAX(0,AD193)+$AC194)</f>
        <v>0</v>
      </c>
      <c r="AE194" s="108" t="str">
        <f t="shared" ref="AE194:AE257" si="41">IF($AC194=1,$AD194,"")</f>
        <v/>
      </c>
      <c r="AF194" s="108">
        <f t="shared" ref="AF194:AF257" si="42">IF($A194="",0,IFERROR(IF(AND($S194=1,WEEKDAY($C194,2)&gt;5),1,0),0))</f>
        <v>0</v>
      </c>
      <c r="AG194" s="108">
        <f t="shared" ref="AG194:AG257" si="43">IF($A194="",0,IF(AND($S194=1,$W194=0),1,0))</f>
        <v>0</v>
      </c>
      <c r="AH194" s="110" t="str">
        <f t="shared" ref="AH194:AH257" si="44">IF($A194="","",$A194&amp;"|"&amp;TEXT($C194,"yyyymmdd")&amp;"|"&amp;$H194&amp;"|"&amp;TEXT($K194,"0.000")&amp;"|"&amp;SUBSTITUTE(SUBSTITUTE(SUBSTITUTE(LEFT($Q194,120),"~",""),"*",""),"?",""))</f>
        <v>J Reyes|20260904|Data Processing|1.000|Title Opinion data entry - (Mineral Interest and NPRI)</v>
      </c>
      <c r="AI194" s="108">
        <f t="shared" ref="AI194:AI257" si="45">IF($A194="",0,IF(AND($S194=1,$W194=1,COUNTIF($AH$2:$AH$1500,$AH194)&gt;1),1,0))</f>
        <v>0</v>
      </c>
      <c r="AJ194" s="108">
        <f t="shared" ref="AJ194:AJ257" si="46">IF($A194="",0,IF(AND($S194=1,$W194=1,ABS($K194*8-ROUND($K194*8,0))&gt;0.0001),1,0))</f>
        <v>0</v>
      </c>
      <c r="AK194" s="108">
        <f>IF($A194="",0,IF(AND($S194=1,$W194=1,$X194=1,$U194&gt;Config!$C$9),1,0))</f>
        <v>0</v>
      </c>
      <c r="AL194" s="108">
        <f t="shared" ref="AL194:AL257" si="47">IF($A194="",0,IF(AND($S194=1,$W194=1,$X194=1,$U194=0),1,0))</f>
        <v>0</v>
      </c>
    </row>
    <row r="195" spans="1:38" x14ac:dyDescent="0.25">
      <c r="A195" s="106" t="s">
        <v>124</v>
      </c>
      <c r="B195" s="106" t="s">
        <v>618</v>
      </c>
      <c r="C195" s="107">
        <v>46269</v>
      </c>
      <c r="D195" s="106" t="s">
        <v>772</v>
      </c>
      <c r="E195" s="106" t="s">
        <v>773</v>
      </c>
      <c r="F195" s="106" t="s">
        <v>774</v>
      </c>
      <c r="G195" s="106" t="s">
        <v>775</v>
      </c>
      <c r="H195" s="106" t="s">
        <v>631</v>
      </c>
      <c r="I195" s="106"/>
      <c r="J195" s="106"/>
      <c r="K195" s="106">
        <v>1</v>
      </c>
      <c r="L195" s="106">
        <v>0</v>
      </c>
      <c r="M195" s="106">
        <v>0</v>
      </c>
      <c r="N195" s="106"/>
      <c r="O195" s="106"/>
      <c r="P195" s="106">
        <v>0</v>
      </c>
      <c r="Q195" s="106" t="s">
        <v>776</v>
      </c>
      <c r="S195" s="108">
        <f>IF($A195="","",COUNTIF(BPOworkers!$B$6:$B$105,$A195))</f>
        <v>1</v>
      </c>
      <c r="T195" s="109">
        <f>IF($A195="","",$K195*Config!$C$9)</f>
        <v>8</v>
      </c>
      <c r="U195" s="109">
        <f>IF($A195="","",IF(COUNTIF(Config!$C$21:$C$23,$H195)&gt;0,IFERROR(VALUE(LEFT(TRIM($Q195),FIND(" ",TRIM($Q195)&amp;" ")-1)),0),0))</f>
        <v>0</v>
      </c>
      <c r="V195" s="109">
        <f t="shared" si="36"/>
        <v>8</v>
      </c>
      <c r="W195" s="108">
        <f>IF($A195="",0,IF(AND($C195&gt;=Config!$C$7,$C195&lt;=Config!$C$8),1,0))</f>
        <v>1</v>
      </c>
      <c r="X195" s="108">
        <f>IF($A195="",0,IF(COUNTIF(Config!$C$21:$C$23,$H195)&gt;0,1,0))</f>
        <v>0</v>
      </c>
      <c r="Y195" s="108">
        <f t="shared" si="37"/>
        <v>3</v>
      </c>
      <c r="Z195" s="108" t="str">
        <f t="shared" si="38"/>
        <v/>
      </c>
      <c r="AB195" s="108">
        <f t="shared" si="39"/>
        <v>0</v>
      </c>
      <c r="AC195" s="108">
        <f>IF($A195="",0,IF(AND($AB195=1,COUNTIF($A$2:$A195,$A195)=1),1,0))</f>
        <v>0</v>
      </c>
      <c r="AD195" s="108">
        <f t="shared" si="40"/>
        <v>0</v>
      </c>
      <c r="AE195" s="108" t="str">
        <f t="shared" si="41"/>
        <v/>
      </c>
      <c r="AF195" s="108">
        <f t="shared" si="42"/>
        <v>0</v>
      </c>
      <c r="AG195" s="108">
        <f t="shared" si="43"/>
        <v>0</v>
      </c>
      <c r="AH195" s="110" t="str">
        <f t="shared" si="44"/>
        <v>J S Bermudez|20260904|Title|1.000|Runsheet created and uploaded, all the documents are uploaded to the AOI, started to verify interest</v>
      </c>
      <c r="AI195" s="108">
        <f t="shared" si="45"/>
        <v>0</v>
      </c>
      <c r="AJ195" s="108">
        <f t="shared" si="46"/>
        <v>0</v>
      </c>
      <c r="AK195" s="108">
        <f>IF($A195="",0,IF(AND($S195=1,$W195=1,$X195=1,$U195&gt;Config!$C$9),1,0))</f>
        <v>0</v>
      </c>
      <c r="AL195" s="108">
        <f t="shared" si="47"/>
        <v>0</v>
      </c>
    </row>
    <row r="196" spans="1:38" ht="120.75" x14ac:dyDescent="0.25">
      <c r="A196" s="106" t="s">
        <v>475</v>
      </c>
      <c r="B196" s="106" t="s">
        <v>618</v>
      </c>
      <c r="C196" s="107">
        <v>46269</v>
      </c>
      <c r="D196" s="106" t="s">
        <v>669</v>
      </c>
      <c r="E196" s="106" t="s">
        <v>669</v>
      </c>
      <c r="F196" s="106" t="s">
        <v>670</v>
      </c>
      <c r="G196" s="106"/>
      <c r="H196" s="106" t="s">
        <v>671</v>
      </c>
      <c r="I196" s="106"/>
      <c r="J196" s="106"/>
      <c r="K196" s="106">
        <v>1</v>
      </c>
      <c r="L196" s="106">
        <v>0</v>
      </c>
      <c r="M196" s="106">
        <v>0</v>
      </c>
      <c r="N196" s="106"/>
      <c r="O196" s="106"/>
      <c r="P196" s="106">
        <v>0</v>
      </c>
      <c r="Q196" s="111" t="s">
        <v>1004</v>
      </c>
      <c r="S196" s="108">
        <f>IF($A196="","",COUNTIF(BPOworkers!$B$6:$B$105,$A196))</f>
        <v>1</v>
      </c>
      <c r="T196" s="109">
        <f>IF($A196="","",$K196*Config!$C$9)</f>
        <v>8</v>
      </c>
      <c r="U196" s="109">
        <f>IF($A196="","",IF(COUNTIF(Config!$C$21:$C$23,$H196)&gt;0,IFERROR(VALUE(LEFT(TRIM($Q196),FIND(" ",TRIM($Q196)&amp;" ")-1)),0),0))</f>
        <v>0</v>
      </c>
      <c r="V196" s="109">
        <f t="shared" si="36"/>
        <v>8</v>
      </c>
      <c r="W196" s="108">
        <f>IF($A196="",0,IF(AND($C196&gt;=Config!$C$7,$C196&lt;=Config!$C$8),1,0))</f>
        <v>1</v>
      </c>
      <c r="X196" s="108">
        <f>IF($A196="",0,IF(COUNTIF(Config!$C$21:$C$23,$H196)&gt;0,1,0))</f>
        <v>0</v>
      </c>
      <c r="Y196" s="108">
        <f t="shared" si="37"/>
        <v>3</v>
      </c>
      <c r="Z196" s="108" t="str">
        <f t="shared" si="38"/>
        <v/>
      </c>
      <c r="AB196" s="108">
        <f t="shared" si="39"/>
        <v>0</v>
      </c>
      <c r="AC196" s="108">
        <f>IF($A196="",0,IF(AND($AB196=1,COUNTIF($A$2:$A196,$A196)=1),1,0))</f>
        <v>0</v>
      </c>
      <c r="AD196" s="108">
        <f t="shared" si="40"/>
        <v>0</v>
      </c>
      <c r="AE196" s="108" t="str">
        <f t="shared" si="41"/>
        <v/>
      </c>
      <c r="AF196" s="108">
        <f t="shared" si="42"/>
        <v>0</v>
      </c>
      <c r="AG196" s="108">
        <f t="shared" si="43"/>
        <v>0</v>
      </c>
      <c r="AH196" s="112" t="str">
        <f t="shared" si="44"/>
        <v>L Alfonso|20260904|TitleNotes - Library|1.000|23 Documents
 81 transacciones aprox</v>
      </c>
      <c r="AI196" s="108">
        <f t="shared" si="45"/>
        <v>0</v>
      </c>
      <c r="AJ196" s="108">
        <f t="shared" si="46"/>
        <v>0</v>
      </c>
      <c r="AK196" s="108">
        <f>IF($A196="",0,IF(AND($S196=1,$W196=1,$X196=1,$U196&gt;Config!$C$9),1,0))</f>
        <v>0</v>
      </c>
      <c r="AL196" s="108">
        <f t="shared" si="47"/>
        <v>0</v>
      </c>
    </row>
    <row r="197" spans="1:38" x14ac:dyDescent="0.25">
      <c r="A197" s="106" t="s">
        <v>477</v>
      </c>
      <c r="B197" s="106" t="s">
        <v>618</v>
      </c>
      <c r="C197" s="107">
        <v>46269</v>
      </c>
      <c r="D197" s="106" t="s">
        <v>694</v>
      </c>
      <c r="E197" s="106" t="s">
        <v>778</v>
      </c>
      <c r="F197" s="106" t="s">
        <v>779</v>
      </c>
      <c r="G197" s="106" t="s">
        <v>780</v>
      </c>
      <c r="H197" s="106" t="s">
        <v>781</v>
      </c>
      <c r="I197" s="106"/>
      <c r="J197" s="106"/>
      <c r="K197" s="106">
        <v>0.875</v>
      </c>
      <c r="L197" s="106">
        <v>0</v>
      </c>
      <c r="M197" s="106">
        <v>0</v>
      </c>
      <c r="N197" s="106"/>
      <c r="O197" s="106"/>
      <c r="P197" s="106">
        <v>0</v>
      </c>
      <c r="Q197" s="106" t="s">
        <v>1005</v>
      </c>
      <c r="S197" s="108">
        <f>IF($A197="","",COUNTIF(BPOworkers!$B$6:$B$105,$A197))</f>
        <v>1</v>
      </c>
      <c r="T197" s="109">
        <f>IF($A197="","",$K197*Config!$C$9)</f>
        <v>7</v>
      </c>
      <c r="U197" s="109">
        <f>IF($A197="","",IF(COUNTIF(Config!$C$21:$C$23,$H197)&gt;0,IFERROR(VALUE(LEFT(TRIM($Q197),FIND(" ",TRIM($Q197)&amp;" ")-1)),0),0))</f>
        <v>0</v>
      </c>
      <c r="V197" s="109">
        <f t="shared" si="36"/>
        <v>7</v>
      </c>
      <c r="W197" s="108">
        <f>IF($A197="",0,IF(AND($C197&gt;=Config!$C$7,$C197&lt;=Config!$C$8),1,0))</f>
        <v>1</v>
      </c>
      <c r="X197" s="108">
        <f>IF($A197="",0,IF(COUNTIF(Config!$C$21:$C$23,$H197)&gt;0,1,0))</f>
        <v>0</v>
      </c>
      <c r="Y197" s="108">
        <f t="shared" si="37"/>
        <v>3</v>
      </c>
      <c r="Z197" s="108" t="str">
        <f t="shared" si="38"/>
        <v/>
      </c>
      <c r="AB197" s="108">
        <f t="shared" si="39"/>
        <v>0</v>
      </c>
      <c r="AC197" s="108">
        <f>IF($A197="",0,IF(AND($AB197=1,COUNTIF($A$2:$A197,$A197)=1),1,0))</f>
        <v>0</v>
      </c>
      <c r="AD197" s="108">
        <f t="shared" si="40"/>
        <v>0</v>
      </c>
      <c r="AE197" s="108" t="str">
        <f t="shared" si="41"/>
        <v/>
      </c>
      <c r="AF197" s="108">
        <f t="shared" si="42"/>
        <v>0</v>
      </c>
      <c r="AG197" s="108">
        <f t="shared" si="43"/>
        <v>0</v>
      </c>
      <c r="AH197" s="110" t="str">
        <f t="shared" si="44"/>
        <v xml:space="preserve">L Escobar|20260904|Single Interest Verification|0.875|I indexed and double checked party names for missing information. I have also pulled documents from the vault and image </v>
      </c>
      <c r="AI197" s="108">
        <f t="shared" si="45"/>
        <v>0</v>
      </c>
      <c r="AJ197" s="108">
        <f t="shared" si="46"/>
        <v>0</v>
      </c>
      <c r="AK197" s="108">
        <f>IF($A197="",0,IF(AND($S197=1,$W197=1,$X197=1,$U197&gt;Config!$C$9),1,0))</f>
        <v>0</v>
      </c>
      <c r="AL197" s="108">
        <f t="shared" si="47"/>
        <v>0</v>
      </c>
    </row>
    <row r="198" spans="1:38" x14ac:dyDescent="0.25">
      <c r="A198" s="106" t="s">
        <v>477</v>
      </c>
      <c r="B198" s="106" t="s">
        <v>618</v>
      </c>
      <c r="C198" s="107">
        <v>46269</v>
      </c>
      <c r="D198" s="106" t="s">
        <v>623</v>
      </c>
      <c r="E198" s="106" t="s">
        <v>624</v>
      </c>
      <c r="F198" s="106" t="s">
        <v>615</v>
      </c>
      <c r="G198" s="106" t="s">
        <v>625</v>
      </c>
      <c r="H198" s="106" t="s">
        <v>819</v>
      </c>
      <c r="I198" s="106"/>
      <c r="J198" s="106" t="s">
        <v>1006</v>
      </c>
      <c r="K198" s="106">
        <v>0.125</v>
      </c>
      <c r="L198" s="106">
        <v>0</v>
      </c>
      <c r="M198" s="106">
        <v>0</v>
      </c>
      <c r="N198" s="106"/>
      <c r="O198" s="106"/>
      <c r="P198" s="106">
        <v>0</v>
      </c>
      <c r="Q198" s="106" t="s">
        <v>1007</v>
      </c>
      <c r="S198" s="108">
        <f>IF($A198="","",COUNTIF(BPOworkers!$B$6:$B$105,$A198))</f>
        <v>1</v>
      </c>
      <c r="T198" s="109">
        <f>IF($A198="","",$K198*Config!$C$9)</f>
        <v>1</v>
      </c>
      <c r="U198" s="109">
        <f>IF($A198="","",IF(COUNTIF(Config!$C$21:$C$23,$H198)&gt;0,IFERROR(VALUE(LEFT(TRIM($Q198),FIND(" ",TRIM($Q198)&amp;" ")-1)),0),0))</f>
        <v>0</v>
      </c>
      <c r="V198" s="109">
        <f t="shared" si="36"/>
        <v>1</v>
      </c>
      <c r="W198" s="108">
        <f>IF($A198="",0,IF(AND($C198&gt;=Config!$C$7,$C198&lt;=Config!$C$8),1,0))</f>
        <v>1</v>
      </c>
      <c r="X198" s="108">
        <f>IF($A198="",0,IF(COUNTIF(Config!$C$21:$C$23,$H198)&gt;0,1,0))</f>
        <v>0</v>
      </c>
      <c r="Y198" s="108">
        <f t="shared" si="37"/>
        <v>3</v>
      </c>
      <c r="Z198" s="108" t="str">
        <f t="shared" si="38"/>
        <v/>
      </c>
      <c r="AB198" s="108">
        <f t="shared" si="39"/>
        <v>0</v>
      </c>
      <c r="AC198" s="108">
        <f>IF($A198="",0,IF(AND($AB198=1,COUNTIF($A$2:$A198,$A198)=1),1,0))</f>
        <v>0</v>
      </c>
      <c r="AD198" s="108">
        <f t="shared" si="40"/>
        <v>0</v>
      </c>
      <c r="AE198" s="108" t="str">
        <f t="shared" si="41"/>
        <v/>
      </c>
      <c r="AF198" s="108">
        <f t="shared" si="42"/>
        <v>0</v>
      </c>
      <c r="AG198" s="108">
        <f t="shared" si="43"/>
        <v>0</v>
      </c>
      <c r="AH198" s="110" t="str">
        <f t="shared" si="44"/>
        <v>L Escobar|20260904|Training - BPO|0.125|Team Huddle ( Closing Week), Group meeting</v>
      </c>
      <c r="AI198" s="108">
        <f t="shared" si="45"/>
        <v>0</v>
      </c>
      <c r="AJ198" s="108">
        <f t="shared" si="46"/>
        <v>0</v>
      </c>
      <c r="AK198" s="108">
        <f>IF($A198="",0,IF(AND($S198=1,$W198=1,$X198=1,$U198&gt;Config!$C$9),1,0))</f>
        <v>0</v>
      </c>
      <c r="AL198" s="108">
        <f t="shared" si="47"/>
        <v>0</v>
      </c>
    </row>
    <row r="199" spans="1:38" ht="168.75" x14ac:dyDescent="0.25">
      <c r="A199" s="106" t="s">
        <v>483</v>
      </c>
      <c r="B199" s="106" t="s">
        <v>618</v>
      </c>
      <c r="C199" s="107">
        <v>46269</v>
      </c>
      <c r="D199" s="106" t="s">
        <v>720</v>
      </c>
      <c r="E199" s="106" t="s">
        <v>721</v>
      </c>
      <c r="F199" s="106" t="s">
        <v>722</v>
      </c>
      <c r="G199" s="106" t="s">
        <v>790</v>
      </c>
      <c r="H199" s="106" t="s">
        <v>631</v>
      </c>
      <c r="I199" s="106"/>
      <c r="J199" s="106" t="s">
        <v>791</v>
      </c>
      <c r="K199" s="106">
        <v>1</v>
      </c>
      <c r="L199" s="106">
        <v>0</v>
      </c>
      <c r="M199" s="106">
        <v>0</v>
      </c>
      <c r="N199" s="106"/>
      <c r="O199" s="106"/>
      <c r="P199" s="106">
        <v>0</v>
      </c>
      <c r="Q199" s="111" t="s">
        <v>1008</v>
      </c>
      <c r="S199" s="108">
        <f>IF($A199="","",COUNTIF(BPOworkers!$B$6:$B$105,$A199))</f>
        <v>1</v>
      </c>
      <c r="T199" s="109">
        <f>IF($A199="","",$K199*Config!$C$9)</f>
        <v>8</v>
      </c>
      <c r="U199" s="109">
        <f>IF($A199="","",IF(COUNTIF(Config!$C$21:$C$23,$H199)&gt;0,IFERROR(VALUE(LEFT(TRIM($Q199),FIND(" ",TRIM($Q199)&amp;" ")-1)),0),0))</f>
        <v>0</v>
      </c>
      <c r="V199" s="109">
        <f t="shared" si="36"/>
        <v>8</v>
      </c>
      <c r="W199" s="108">
        <f>IF($A199="",0,IF(AND($C199&gt;=Config!$C$7,$C199&lt;=Config!$C$8),1,0))</f>
        <v>1</v>
      </c>
      <c r="X199" s="108">
        <f>IF($A199="",0,IF(COUNTIF(Config!$C$21:$C$23,$H199)&gt;0,1,0))</f>
        <v>0</v>
      </c>
      <c r="Y199" s="108">
        <f t="shared" si="37"/>
        <v>3</v>
      </c>
      <c r="Z199" s="108" t="str">
        <f t="shared" si="38"/>
        <v/>
      </c>
      <c r="AB199" s="108">
        <f t="shared" si="39"/>
        <v>0</v>
      </c>
      <c r="AC199" s="108">
        <f>IF($A199="",0,IF(AND($AB199=1,COUNTIF($A$2:$A199,$A199)=1),1,0))</f>
        <v>0</v>
      </c>
      <c r="AD199" s="108">
        <f t="shared" si="40"/>
        <v>0</v>
      </c>
      <c r="AE199" s="108" t="str">
        <f t="shared" si="41"/>
        <v/>
      </c>
      <c r="AF199" s="108">
        <f t="shared" si="42"/>
        <v>0</v>
      </c>
      <c r="AG199" s="108">
        <f t="shared" si="43"/>
        <v>0</v>
      </c>
      <c r="AH199" s="112" t="str">
        <f t="shared" si="44"/>
        <v>M Lopez|20260904|Title|1.000|- Indexed to the present from source deed
 - Started indexing from the source deed back to the patent
 while adding rele</v>
      </c>
      <c r="AI199" s="108">
        <f t="shared" si="45"/>
        <v>0</v>
      </c>
      <c r="AJ199" s="108">
        <f t="shared" si="46"/>
        <v>0</v>
      </c>
      <c r="AK199" s="108">
        <f>IF($A199="",0,IF(AND($S199=1,$W199=1,$X199=1,$U199&gt;Config!$C$9),1,0))</f>
        <v>0</v>
      </c>
      <c r="AL199" s="108">
        <f t="shared" si="47"/>
        <v>0</v>
      </c>
    </row>
    <row r="200" spans="1:38" ht="108.75" x14ac:dyDescent="0.25">
      <c r="A200" s="106" t="s">
        <v>484</v>
      </c>
      <c r="B200" s="106" t="s">
        <v>618</v>
      </c>
      <c r="C200" s="107">
        <v>46269</v>
      </c>
      <c r="D200" s="106" t="s">
        <v>623</v>
      </c>
      <c r="E200" s="106" t="s">
        <v>624</v>
      </c>
      <c r="F200" s="106" t="s">
        <v>615</v>
      </c>
      <c r="G200" s="106" t="s">
        <v>625</v>
      </c>
      <c r="H200" s="106" t="s">
        <v>671</v>
      </c>
      <c r="I200" s="106" t="s">
        <v>657</v>
      </c>
      <c r="J200" s="106"/>
      <c r="K200" s="106">
        <v>1</v>
      </c>
      <c r="L200" s="106">
        <v>0</v>
      </c>
      <c r="M200" s="106">
        <v>0</v>
      </c>
      <c r="N200" s="106"/>
      <c r="O200" s="106"/>
      <c r="P200" s="106">
        <v>0</v>
      </c>
      <c r="Q200" s="111" t="s">
        <v>1009</v>
      </c>
      <c r="S200" s="108">
        <f>IF($A200="","",COUNTIF(BPOworkers!$B$6:$B$105,$A200))</f>
        <v>1</v>
      </c>
      <c r="T200" s="109">
        <f>IF($A200="","",$K200*Config!$C$9)</f>
        <v>8</v>
      </c>
      <c r="U200" s="109">
        <f>IF($A200="","",IF(COUNTIF(Config!$C$21:$C$23,$H200)&gt;0,IFERROR(VALUE(LEFT(TRIM($Q200),FIND(" ",TRIM($Q200)&amp;" ")-1)),0),0))</f>
        <v>0</v>
      </c>
      <c r="V200" s="109">
        <f t="shared" si="36"/>
        <v>8</v>
      </c>
      <c r="W200" s="108">
        <f>IF($A200="",0,IF(AND($C200&gt;=Config!$C$7,$C200&lt;=Config!$C$8),1,0))</f>
        <v>1</v>
      </c>
      <c r="X200" s="108">
        <f>IF($A200="",0,IF(COUNTIF(Config!$C$21:$C$23,$H200)&gt;0,1,0))</f>
        <v>0</v>
      </c>
      <c r="Y200" s="108">
        <f t="shared" si="37"/>
        <v>3</v>
      </c>
      <c r="Z200" s="108" t="str">
        <f t="shared" si="38"/>
        <v/>
      </c>
      <c r="AB200" s="108">
        <f t="shared" si="39"/>
        <v>0</v>
      </c>
      <c r="AC200" s="108">
        <f>IF($A200="",0,IF(AND($AB200=1,COUNTIF($A$2:$A200,$A200)=1),1,0))</f>
        <v>0</v>
      </c>
      <c r="AD200" s="108">
        <f t="shared" si="40"/>
        <v>0</v>
      </c>
      <c r="AE200" s="108" t="str">
        <f t="shared" si="41"/>
        <v/>
      </c>
      <c r="AF200" s="108">
        <f t="shared" si="42"/>
        <v>0</v>
      </c>
      <c r="AG200" s="108">
        <f t="shared" si="43"/>
        <v>0</v>
      </c>
      <c r="AH200" s="112" t="str">
        <f t="shared" si="44"/>
        <v>M Verdooren|20260904|TitleNotes - Library|1.000|44 Documents
 81 Transactions</v>
      </c>
      <c r="AI200" s="108">
        <f t="shared" si="45"/>
        <v>0</v>
      </c>
      <c r="AJ200" s="108">
        <f t="shared" si="46"/>
        <v>0</v>
      </c>
      <c r="AK200" s="108">
        <f>IF($A200="",0,IF(AND($S200=1,$W200=1,$X200=1,$U200&gt;Config!$C$9),1,0))</f>
        <v>0</v>
      </c>
      <c r="AL200" s="108">
        <f t="shared" si="47"/>
        <v>0</v>
      </c>
    </row>
    <row r="201" spans="1:38" x14ac:dyDescent="0.25">
      <c r="A201" s="106" t="s">
        <v>481</v>
      </c>
      <c r="B201" s="106" t="s">
        <v>618</v>
      </c>
      <c r="C201" s="107">
        <v>46269</v>
      </c>
      <c r="D201" s="106" t="s">
        <v>680</v>
      </c>
      <c r="E201" s="106" t="s">
        <v>681</v>
      </c>
      <c r="F201" s="106" t="s">
        <v>745</v>
      </c>
      <c r="G201" s="106" t="s">
        <v>784</v>
      </c>
      <c r="H201" s="106" t="s">
        <v>631</v>
      </c>
      <c r="I201" s="106"/>
      <c r="J201" s="106" t="s">
        <v>785</v>
      </c>
      <c r="K201" s="106">
        <v>1</v>
      </c>
      <c r="L201" s="106">
        <v>0</v>
      </c>
      <c r="M201" s="106">
        <v>0</v>
      </c>
      <c r="N201" s="106"/>
      <c r="O201" s="106"/>
      <c r="P201" s="106">
        <v>0</v>
      </c>
      <c r="Q201" s="106" t="s">
        <v>1010</v>
      </c>
      <c r="S201" s="108">
        <f>IF($A201="","",COUNTIF(BPOworkers!$B$6:$B$105,$A201))</f>
        <v>1</v>
      </c>
      <c r="T201" s="109">
        <f>IF($A201="","",$K201*Config!$C$9)</f>
        <v>8</v>
      </c>
      <c r="U201" s="109">
        <f>IF($A201="","",IF(COUNTIF(Config!$C$21:$C$23,$H201)&gt;0,IFERROR(VALUE(LEFT(TRIM($Q201),FIND(" ",TRIM($Q201)&amp;" ")-1)),0),0))</f>
        <v>0</v>
      </c>
      <c r="V201" s="109">
        <f t="shared" si="36"/>
        <v>8</v>
      </c>
      <c r="W201" s="108">
        <f>IF($A201="",0,IF(AND($C201&gt;=Config!$C$7,$C201&lt;=Config!$C$8),1,0))</f>
        <v>1</v>
      </c>
      <c r="X201" s="108">
        <f>IF($A201="",0,IF(COUNTIF(Config!$C$21:$C$23,$H201)&gt;0,1,0))</f>
        <v>0</v>
      </c>
      <c r="Y201" s="108">
        <f t="shared" si="37"/>
        <v>3</v>
      </c>
      <c r="Z201" s="108" t="str">
        <f t="shared" si="38"/>
        <v/>
      </c>
      <c r="AB201" s="108">
        <f t="shared" si="39"/>
        <v>0</v>
      </c>
      <c r="AC201" s="108">
        <f>IF($A201="",0,IF(AND($AB201=1,COUNTIF($A$2:$A201,$A201)=1),1,0))</f>
        <v>0</v>
      </c>
      <c r="AD201" s="108">
        <f t="shared" si="40"/>
        <v>0</v>
      </c>
      <c r="AE201" s="108" t="str">
        <f t="shared" si="41"/>
        <v/>
      </c>
      <c r="AF201" s="108">
        <f t="shared" si="42"/>
        <v>0</v>
      </c>
      <c r="AG201" s="108">
        <f t="shared" si="43"/>
        <v>0</v>
      </c>
      <c r="AH201" s="110" t="str">
        <f t="shared" si="44"/>
        <v>M Fernandez|20260904|Title|1.000|Indexed 2 different parties, analyzed 54 documents, reviewed different historic indexes</v>
      </c>
      <c r="AI201" s="108">
        <f t="shared" si="45"/>
        <v>0</v>
      </c>
      <c r="AJ201" s="108">
        <f t="shared" si="46"/>
        <v>0</v>
      </c>
      <c r="AK201" s="108">
        <f>IF($A201="",0,IF(AND($S201=1,$W201=1,$X201=1,$U201&gt;Config!$C$9),1,0))</f>
        <v>0</v>
      </c>
      <c r="AL201" s="108">
        <f t="shared" si="47"/>
        <v>0</v>
      </c>
    </row>
    <row r="202" spans="1:38" ht="192.75" x14ac:dyDescent="0.25">
      <c r="A202" s="106" t="s">
        <v>462</v>
      </c>
      <c r="B202" s="106" t="s">
        <v>618</v>
      </c>
      <c r="C202" s="107">
        <v>46269</v>
      </c>
      <c r="D202" s="106" t="s">
        <v>680</v>
      </c>
      <c r="E202" s="106" t="s">
        <v>681</v>
      </c>
      <c r="F202" s="106" t="s">
        <v>745</v>
      </c>
      <c r="G202" s="106" t="s">
        <v>787</v>
      </c>
      <c r="H202" s="106" t="s">
        <v>631</v>
      </c>
      <c r="I202" s="106"/>
      <c r="J202" s="106" t="s">
        <v>788</v>
      </c>
      <c r="K202" s="106">
        <v>1</v>
      </c>
      <c r="L202" s="106">
        <v>0</v>
      </c>
      <c r="M202" s="106">
        <v>0</v>
      </c>
      <c r="N202" s="106"/>
      <c r="O202" s="106"/>
      <c r="P202" s="106">
        <v>0</v>
      </c>
      <c r="Q202" s="111" t="s">
        <v>1011</v>
      </c>
      <c r="S202" s="108">
        <f>IF($A202="","",COUNTIF(BPOworkers!$B$6:$B$105,$A202))</f>
        <v>1</v>
      </c>
      <c r="T202" s="109">
        <f>IF($A202="","",$K202*Config!$C$9)</f>
        <v>8</v>
      </c>
      <c r="U202" s="109">
        <f>IF($A202="","",IF(COUNTIF(Config!$C$21:$C$23,$H202)&gt;0,IFERROR(VALUE(LEFT(TRIM($Q202),FIND(" ",TRIM($Q202)&amp;" ")-1)),0),0))</f>
        <v>0</v>
      </c>
      <c r="V202" s="109">
        <f t="shared" si="36"/>
        <v>8</v>
      </c>
      <c r="W202" s="108">
        <f>IF($A202="",0,IF(AND($C202&gt;=Config!$C$7,$C202&lt;=Config!$C$8),1,0))</f>
        <v>1</v>
      </c>
      <c r="X202" s="108">
        <f>IF($A202="",0,IF(COUNTIF(Config!$C$21:$C$23,$H202)&gt;0,1,0))</f>
        <v>0</v>
      </c>
      <c r="Y202" s="108">
        <f t="shared" si="37"/>
        <v>3</v>
      </c>
      <c r="Z202" s="108" t="str">
        <f t="shared" si="38"/>
        <v/>
      </c>
      <c r="AB202" s="108">
        <f t="shared" si="39"/>
        <v>0</v>
      </c>
      <c r="AC202" s="108">
        <f>IF($A202="",0,IF(AND($AB202=1,COUNTIF($A$2:$A202,$A202)=1),1,0))</f>
        <v>0</v>
      </c>
      <c r="AD202" s="108">
        <f t="shared" si="40"/>
        <v>0</v>
      </c>
      <c r="AE202" s="108" t="str">
        <f t="shared" si="41"/>
        <v/>
      </c>
      <c r="AF202" s="108">
        <f t="shared" si="42"/>
        <v>0</v>
      </c>
      <c r="AG202" s="108">
        <f t="shared" si="43"/>
        <v>0</v>
      </c>
      <c r="AH202" s="112" t="str">
        <f t="shared" si="44"/>
        <v>F Montañez|20260904|Title|1.000|Documents added in AOI: 1
 Indexed documents: 35
 Indexed parties: 6
 Attempts were made to trace the chain of title b</v>
      </c>
      <c r="AI202" s="108">
        <f t="shared" si="45"/>
        <v>0</v>
      </c>
      <c r="AJ202" s="108">
        <f t="shared" si="46"/>
        <v>0</v>
      </c>
      <c r="AK202" s="108">
        <f>IF($A202="",0,IF(AND($S202=1,$W202=1,$X202=1,$U202&gt;Config!$C$9),1,0))</f>
        <v>0</v>
      </c>
      <c r="AL202" s="108">
        <f t="shared" si="47"/>
        <v>0</v>
      </c>
    </row>
    <row r="203" spans="1:38" x14ac:dyDescent="0.25">
      <c r="A203" s="106" t="s">
        <v>459</v>
      </c>
      <c r="B203" s="106" t="s">
        <v>618</v>
      </c>
      <c r="C203" s="107">
        <v>46269</v>
      </c>
      <c r="D203" s="106" t="s">
        <v>529</v>
      </c>
      <c r="E203" s="106" t="s">
        <v>529</v>
      </c>
      <c r="F203" s="106" t="s">
        <v>615</v>
      </c>
      <c r="G203" s="106"/>
      <c r="H203" s="106" t="s">
        <v>529</v>
      </c>
      <c r="I203" s="106"/>
      <c r="J203" s="106" t="s">
        <v>1012</v>
      </c>
      <c r="K203" s="106">
        <v>0</v>
      </c>
      <c r="L203" s="106">
        <v>0</v>
      </c>
      <c r="M203" s="106">
        <v>0</v>
      </c>
      <c r="N203" s="106"/>
      <c r="O203" s="106"/>
      <c r="P203" s="106">
        <v>0</v>
      </c>
      <c r="Q203" s="106" t="s">
        <v>1013</v>
      </c>
      <c r="S203" s="108">
        <f>IF($A203="","",COUNTIF(BPOworkers!$B$6:$B$105,$A203))</f>
        <v>0</v>
      </c>
      <c r="T203" s="109">
        <f>IF($A203="","",$K203*Config!$C$9)</f>
        <v>0</v>
      </c>
      <c r="U203" s="109">
        <f>IF($A203="","",IF(COUNTIF(Config!$C$21:$C$23,$H203)&gt;0,IFERROR(VALUE(LEFT(TRIM($Q203),FIND(" ",TRIM($Q203)&amp;" ")-1)),0),0))</f>
        <v>8</v>
      </c>
      <c r="V203" s="109">
        <f t="shared" si="36"/>
        <v>8</v>
      </c>
      <c r="W203" s="108">
        <f>IF($A203="",0,IF(AND($C203&gt;=Config!$C$7,$C203&lt;=Config!$C$8),1,0))</f>
        <v>1</v>
      </c>
      <c r="X203" s="108">
        <f>IF($A203="",0,IF(COUNTIF(Config!$C$21:$C$23,$H203)&gt;0,1,0))</f>
        <v>1</v>
      </c>
      <c r="Y203" s="108">
        <f t="shared" si="37"/>
        <v>3</v>
      </c>
      <c r="Z203" s="108" t="str">
        <f t="shared" si="38"/>
        <v/>
      </c>
      <c r="AB203" s="108">
        <f t="shared" si="39"/>
        <v>1</v>
      </c>
      <c r="AC203" s="108">
        <f>IF($A203="",0,IF(AND($AB203=1,COUNTIF($A$2:$A203,$A203)=1),1,0))</f>
        <v>1</v>
      </c>
      <c r="AD203" s="108">
        <f t="shared" si="40"/>
        <v>1</v>
      </c>
      <c r="AE203" s="108">
        <f t="shared" si="41"/>
        <v>1</v>
      </c>
      <c r="AF203" s="108">
        <f t="shared" si="42"/>
        <v>0</v>
      </c>
      <c r="AG203" s="108">
        <f t="shared" si="43"/>
        <v>0</v>
      </c>
      <c r="AH203" s="110" t="str">
        <f t="shared" si="44"/>
        <v>C Lara|20260904|Time Off|0.000|8 hours not worked due to medical leave.</v>
      </c>
      <c r="AI203" s="108">
        <f t="shared" si="45"/>
        <v>0</v>
      </c>
      <c r="AJ203" s="108">
        <f t="shared" si="46"/>
        <v>0</v>
      </c>
      <c r="AK203" s="108">
        <f>IF($A203="",0,IF(AND($S203=1,$W203=1,$X203=1,$U203&gt;Config!$C$9),1,0))</f>
        <v>0</v>
      </c>
      <c r="AL203" s="108">
        <f t="shared" si="47"/>
        <v>0</v>
      </c>
    </row>
    <row r="204" spans="1:38" ht="180.75" x14ac:dyDescent="0.25">
      <c r="A204" s="106" t="s">
        <v>494</v>
      </c>
      <c r="B204" s="106" t="s">
        <v>618</v>
      </c>
      <c r="C204" s="107">
        <v>46269</v>
      </c>
      <c r="D204" s="106" t="s">
        <v>720</v>
      </c>
      <c r="E204" s="106" t="s">
        <v>721</v>
      </c>
      <c r="F204" s="106" t="s">
        <v>722</v>
      </c>
      <c r="G204" s="106" t="s">
        <v>1014</v>
      </c>
      <c r="H204" s="106" t="s">
        <v>631</v>
      </c>
      <c r="I204" s="106"/>
      <c r="J204" s="106" t="s">
        <v>1015</v>
      </c>
      <c r="K204" s="106">
        <v>1</v>
      </c>
      <c r="L204" s="106">
        <v>0</v>
      </c>
      <c r="M204" s="106">
        <v>0</v>
      </c>
      <c r="N204" s="106"/>
      <c r="O204" s="106"/>
      <c r="P204" s="106">
        <v>0</v>
      </c>
      <c r="Q204" s="111" t="s">
        <v>1016</v>
      </c>
      <c r="S204" s="108">
        <f>IF($A204="","",COUNTIF(BPOworkers!$B$6:$B$105,$A204))</f>
        <v>1</v>
      </c>
      <c r="T204" s="109">
        <f>IF($A204="","",$K204*Config!$C$9)</f>
        <v>8</v>
      </c>
      <c r="U204" s="109">
        <f>IF($A204="","",IF(COUNTIF(Config!$C$21:$C$23,$H204)&gt;0,IFERROR(VALUE(LEFT(TRIM($Q204),FIND(" ",TRIM($Q204)&amp;" ")-1)),0),0))</f>
        <v>0</v>
      </c>
      <c r="V204" s="109">
        <f t="shared" si="36"/>
        <v>8</v>
      </c>
      <c r="W204" s="108">
        <f>IF($A204="",0,IF(AND($C204&gt;=Config!$C$7,$C204&lt;=Config!$C$8),1,0))</f>
        <v>1</v>
      </c>
      <c r="X204" s="108">
        <f>IF($A204="",0,IF(COUNTIF(Config!$C$21:$C$23,$H204)&gt;0,1,0))</f>
        <v>0</v>
      </c>
      <c r="Y204" s="108">
        <f t="shared" si="37"/>
        <v>3</v>
      </c>
      <c r="Z204" s="108" t="str">
        <f t="shared" si="38"/>
        <v/>
      </c>
      <c r="AB204" s="108">
        <f t="shared" si="39"/>
        <v>0</v>
      </c>
      <c r="AC204" s="108">
        <f>IF($A204="",0,IF(AND($AB204=1,COUNTIF($A$2:$A204,$A204)=1),1,0))</f>
        <v>0</v>
      </c>
      <c r="AD204" s="108">
        <f t="shared" si="40"/>
        <v>1</v>
      </c>
      <c r="AE204" s="108" t="str">
        <f t="shared" si="41"/>
        <v/>
      </c>
      <c r="AF204" s="108">
        <f t="shared" si="42"/>
        <v>0</v>
      </c>
      <c r="AG204" s="108">
        <f t="shared" si="43"/>
        <v>0</v>
      </c>
      <c r="AH204" s="112" t="str">
        <f t="shared" si="44"/>
        <v>J Ramos|20260904|Title|1.000|-Indexing from the source deed back to the patent
 while adding relevant documents required in the scope
 -Documents add</v>
      </c>
      <c r="AI204" s="108">
        <f t="shared" si="45"/>
        <v>0</v>
      </c>
      <c r="AJ204" s="108">
        <f t="shared" si="46"/>
        <v>0</v>
      </c>
      <c r="AK204" s="108">
        <f>IF($A204="",0,IF(AND($S204=1,$W204=1,$X204=1,$U204&gt;Config!$C$9),1,0))</f>
        <v>0</v>
      </c>
      <c r="AL204" s="108">
        <f t="shared" si="47"/>
        <v>0</v>
      </c>
    </row>
    <row r="205" spans="1:38" x14ac:dyDescent="0.25">
      <c r="A205" s="106" t="s">
        <v>493</v>
      </c>
      <c r="B205" s="106" t="s">
        <v>618</v>
      </c>
      <c r="C205" s="107">
        <v>46269</v>
      </c>
      <c r="D205" s="106" t="s">
        <v>623</v>
      </c>
      <c r="E205" s="106" t="s">
        <v>624</v>
      </c>
      <c r="F205" s="106" t="s">
        <v>615</v>
      </c>
      <c r="G205" s="106" t="s">
        <v>625</v>
      </c>
      <c r="H205" s="106" t="s">
        <v>671</v>
      </c>
      <c r="I205" s="106" t="s">
        <v>657</v>
      </c>
      <c r="J205" s="106"/>
      <c r="K205" s="106">
        <v>1</v>
      </c>
      <c r="L205" s="106">
        <v>0</v>
      </c>
      <c r="M205" s="106">
        <v>0</v>
      </c>
      <c r="N205" s="106"/>
      <c r="O205" s="106"/>
      <c r="P205" s="106">
        <v>0</v>
      </c>
      <c r="Q205" s="106" t="s">
        <v>1017</v>
      </c>
      <c r="S205" s="108">
        <f>IF($A205="","",COUNTIF(BPOworkers!$B$6:$B$105,$A205))</f>
        <v>1</v>
      </c>
      <c r="T205" s="109">
        <f>IF($A205="","",$K205*Config!$C$9)</f>
        <v>8</v>
      </c>
      <c r="U205" s="109">
        <f>IF($A205="","",IF(COUNTIF(Config!$C$21:$C$23,$H205)&gt;0,IFERROR(VALUE(LEFT(TRIM($Q205),FIND(" ",TRIM($Q205)&amp;" ")-1)),0),0))</f>
        <v>0</v>
      </c>
      <c r="V205" s="109">
        <f t="shared" si="36"/>
        <v>8</v>
      </c>
      <c r="W205" s="108">
        <f>IF($A205="",0,IF(AND($C205&gt;=Config!$C$7,$C205&lt;=Config!$C$8),1,0))</f>
        <v>1</v>
      </c>
      <c r="X205" s="108">
        <f>IF($A205="",0,IF(COUNTIF(Config!$C$21:$C$23,$H205)&gt;0,1,0))</f>
        <v>0</v>
      </c>
      <c r="Y205" s="108">
        <f t="shared" si="37"/>
        <v>3</v>
      </c>
      <c r="Z205" s="108" t="str">
        <f t="shared" si="38"/>
        <v/>
      </c>
      <c r="AB205" s="108">
        <f t="shared" si="39"/>
        <v>0</v>
      </c>
      <c r="AC205" s="108">
        <f>IF($A205="",0,IF(AND($AB205=1,COUNTIF($A$2:$A205,$A205)=1),1,0))</f>
        <v>0</v>
      </c>
      <c r="AD205" s="108">
        <f t="shared" si="40"/>
        <v>1</v>
      </c>
      <c r="AE205" s="108" t="str">
        <f t="shared" si="41"/>
        <v/>
      </c>
      <c r="AF205" s="108">
        <f t="shared" si="42"/>
        <v>0</v>
      </c>
      <c r="AG205" s="108">
        <f t="shared" si="43"/>
        <v>0</v>
      </c>
      <c r="AH205" s="110" t="str">
        <f t="shared" si="44"/>
        <v>J Macias|20260904|TitleNotes - Library|1.000|22 notecards and 66 transactions</v>
      </c>
      <c r="AI205" s="108">
        <f t="shared" si="45"/>
        <v>0</v>
      </c>
      <c r="AJ205" s="108">
        <f t="shared" si="46"/>
        <v>0</v>
      </c>
      <c r="AK205" s="108">
        <f>IF($A205="",0,IF(AND($S205=1,$W205=1,$X205=1,$U205&gt;Config!$C$9),1,0))</f>
        <v>0</v>
      </c>
      <c r="AL205" s="108">
        <f t="shared" si="47"/>
        <v>0</v>
      </c>
    </row>
    <row r="206" spans="1:38" x14ac:dyDescent="0.25">
      <c r="A206" s="106" t="s">
        <v>496</v>
      </c>
      <c r="B206" s="106" t="s">
        <v>618</v>
      </c>
      <c r="C206" s="107">
        <v>46269</v>
      </c>
      <c r="D206" s="106" t="s">
        <v>720</v>
      </c>
      <c r="E206" s="106" t="s">
        <v>721</v>
      </c>
      <c r="F206" s="106" t="s">
        <v>722</v>
      </c>
      <c r="G206" s="106" t="s">
        <v>933</v>
      </c>
      <c r="H206" s="106" t="s">
        <v>656</v>
      </c>
      <c r="I206" s="106"/>
      <c r="J206" s="106"/>
      <c r="K206" s="106">
        <v>0.125</v>
      </c>
      <c r="L206" s="106">
        <v>0</v>
      </c>
      <c r="M206" s="106">
        <v>0</v>
      </c>
      <c r="N206" s="106"/>
      <c r="O206" s="106"/>
      <c r="P206" s="106">
        <v>0</v>
      </c>
      <c r="Q206" s="106" t="s">
        <v>1018</v>
      </c>
      <c r="S206" s="108">
        <f>IF($A206="","",COUNTIF(BPOworkers!$B$6:$B$105,$A206))</f>
        <v>1</v>
      </c>
      <c r="T206" s="109">
        <f>IF($A206="","",$K206*Config!$C$9)</f>
        <v>1</v>
      </c>
      <c r="U206" s="109">
        <f>IF($A206="","",IF(COUNTIF(Config!$C$21:$C$23,$H206)&gt;0,IFERROR(VALUE(LEFT(TRIM($Q206),FIND(" ",TRIM($Q206)&amp;" ")-1)),0),0))</f>
        <v>0</v>
      </c>
      <c r="V206" s="109">
        <f t="shared" si="36"/>
        <v>1</v>
      </c>
      <c r="W206" s="108">
        <f>IF($A206="",0,IF(AND($C206&gt;=Config!$C$7,$C206&lt;=Config!$C$8),1,0))</f>
        <v>1</v>
      </c>
      <c r="X206" s="108">
        <f>IF($A206="",0,IF(COUNTIF(Config!$C$21:$C$23,$H206)&gt;0,1,0))</f>
        <v>0</v>
      </c>
      <c r="Y206" s="108">
        <f t="shared" si="37"/>
        <v>3</v>
      </c>
      <c r="Z206" s="108" t="str">
        <f t="shared" si="38"/>
        <v/>
      </c>
      <c r="AB206" s="108">
        <f t="shared" si="39"/>
        <v>0</v>
      </c>
      <c r="AC206" s="108">
        <f>IF($A206="",0,IF(AND($AB206=1,COUNTIF($A$2:$A206,$A206)=1),1,0))</f>
        <v>0</v>
      </c>
      <c r="AD206" s="108">
        <f t="shared" si="40"/>
        <v>1</v>
      </c>
      <c r="AE206" s="108" t="str">
        <f t="shared" si="41"/>
        <v/>
      </c>
      <c r="AF206" s="108">
        <f t="shared" si="42"/>
        <v>0</v>
      </c>
      <c r="AG206" s="108">
        <f t="shared" si="43"/>
        <v>0</v>
      </c>
      <c r="AH206" s="110" t="str">
        <f t="shared" si="44"/>
        <v>N Espitia|20260904|Project Management|0.125|- Approved billing &amp; provided support + daily meeting</v>
      </c>
      <c r="AI206" s="108">
        <f t="shared" si="45"/>
        <v>0</v>
      </c>
      <c r="AJ206" s="108">
        <f t="shared" si="46"/>
        <v>0</v>
      </c>
      <c r="AK206" s="108">
        <f>IF($A206="",0,IF(AND($S206=1,$W206=1,$X206=1,$U206&gt;Config!$C$9),1,0))</f>
        <v>0</v>
      </c>
      <c r="AL206" s="108">
        <f t="shared" si="47"/>
        <v>0</v>
      </c>
    </row>
    <row r="207" spans="1:38" ht="168.75" x14ac:dyDescent="0.25">
      <c r="A207" s="106" t="s">
        <v>496</v>
      </c>
      <c r="B207" s="106" t="s">
        <v>618</v>
      </c>
      <c r="C207" s="107">
        <v>46269</v>
      </c>
      <c r="D207" s="106" t="s">
        <v>720</v>
      </c>
      <c r="E207" s="106" t="s">
        <v>721</v>
      </c>
      <c r="F207" s="106" t="s">
        <v>722</v>
      </c>
      <c r="G207" s="106" t="s">
        <v>970</v>
      </c>
      <c r="H207" s="106" t="s">
        <v>631</v>
      </c>
      <c r="I207" s="106"/>
      <c r="J207" s="106" t="s">
        <v>1019</v>
      </c>
      <c r="K207" s="106">
        <v>0.875</v>
      </c>
      <c r="L207" s="106">
        <v>0</v>
      </c>
      <c r="M207" s="106">
        <v>0</v>
      </c>
      <c r="N207" s="106"/>
      <c r="O207" s="106"/>
      <c r="P207" s="106">
        <v>0</v>
      </c>
      <c r="Q207" s="111" t="s">
        <v>1020</v>
      </c>
      <c r="S207" s="108">
        <f>IF($A207="","",COUNTIF(BPOworkers!$B$6:$B$105,$A207))</f>
        <v>1</v>
      </c>
      <c r="T207" s="109">
        <f>IF($A207="","",$K207*Config!$C$9)</f>
        <v>7</v>
      </c>
      <c r="U207" s="109">
        <f>IF($A207="","",IF(COUNTIF(Config!$C$21:$C$23,$H207)&gt;0,IFERROR(VALUE(LEFT(TRIM($Q207),FIND(" ",TRIM($Q207)&amp;" ")-1)),0),0))</f>
        <v>0</v>
      </c>
      <c r="V207" s="109">
        <f t="shared" si="36"/>
        <v>7</v>
      </c>
      <c r="W207" s="108">
        <f>IF($A207="",0,IF(AND($C207&gt;=Config!$C$7,$C207&lt;=Config!$C$8),1,0))</f>
        <v>1</v>
      </c>
      <c r="X207" s="108">
        <f>IF($A207="",0,IF(COUNTIF(Config!$C$21:$C$23,$H207)&gt;0,1,0))</f>
        <v>0</v>
      </c>
      <c r="Y207" s="108">
        <f t="shared" si="37"/>
        <v>3</v>
      </c>
      <c r="Z207" s="108" t="str">
        <f t="shared" si="38"/>
        <v/>
      </c>
      <c r="AB207" s="108">
        <f t="shared" si="39"/>
        <v>0</v>
      </c>
      <c r="AC207" s="108">
        <f>IF($A207="",0,IF(AND($AB207=1,COUNTIF($A$2:$A207,$A207)=1),1,0))</f>
        <v>0</v>
      </c>
      <c r="AD207" s="108">
        <f t="shared" si="40"/>
        <v>1</v>
      </c>
      <c r="AE207" s="108" t="str">
        <f t="shared" si="41"/>
        <v/>
      </c>
      <c r="AF207" s="108">
        <f t="shared" si="42"/>
        <v>0</v>
      </c>
      <c r="AG207" s="108">
        <f t="shared" si="43"/>
        <v>0</v>
      </c>
      <c r="AH207" s="112" t="str">
        <f t="shared" si="44"/>
        <v>N Espitia|20260904|Title|0.875|- Continued indexing from the source deed back to the patent while adding relevant documents required in the scope
 - Do</v>
      </c>
      <c r="AI207" s="108">
        <f t="shared" si="45"/>
        <v>0</v>
      </c>
      <c r="AJ207" s="108">
        <f t="shared" si="46"/>
        <v>0</v>
      </c>
      <c r="AK207" s="108">
        <f>IF($A207="",0,IF(AND($S207=1,$W207=1,$X207=1,$U207&gt;Config!$C$9),1,0))</f>
        <v>0</v>
      </c>
      <c r="AL207" s="108">
        <f t="shared" si="47"/>
        <v>0</v>
      </c>
    </row>
    <row r="208" spans="1:38" x14ac:dyDescent="0.25">
      <c r="A208" s="106" t="s">
        <v>491</v>
      </c>
      <c r="B208" s="106" t="s">
        <v>618</v>
      </c>
      <c r="C208" s="107">
        <v>46269</v>
      </c>
      <c r="D208" s="106" t="s">
        <v>623</v>
      </c>
      <c r="E208" s="106" t="s">
        <v>624</v>
      </c>
      <c r="F208" s="106" t="s">
        <v>615</v>
      </c>
      <c r="G208" s="106" t="s">
        <v>625</v>
      </c>
      <c r="H208" s="106" t="s">
        <v>819</v>
      </c>
      <c r="I208" s="106"/>
      <c r="J208" s="106" t="s">
        <v>1021</v>
      </c>
      <c r="K208" s="106">
        <v>0.125</v>
      </c>
      <c r="L208" s="106">
        <v>0</v>
      </c>
      <c r="M208" s="106">
        <v>0</v>
      </c>
      <c r="N208" s="106"/>
      <c r="O208" s="106"/>
      <c r="P208" s="106">
        <v>0</v>
      </c>
      <c r="Q208" s="106" t="s">
        <v>1007</v>
      </c>
      <c r="S208" s="108">
        <f>IF($A208="","",COUNTIF(BPOworkers!$B$6:$B$105,$A208))</f>
        <v>1</v>
      </c>
      <c r="T208" s="109">
        <f>IF($A208="","",$K208*Config!$C$9)</f>
        <v>1</v>
      </c>
      <c r="U208" s="109">
        <f>IF($A208="","",IF(COUNTIF(Config!$C$21:$C$23,$H208)&gt;0,IFERROR(VALUE(LEFT(TRIM($Q208),FIND(" ",TRIM($Q208)&amp;" ")-1)),0),0))</f>
        <v>0</v>
      </c>
      <c r="V208" s="109">
        <f t="shared" si="36"/>
        <v>1</v>
      </c>
      <c r="W208" s="108">
        <f>IF($A208="",0,IF(AND($C208&gt;=Config!$C$7,$C208&lt;=Config!$C$8),1,0))</f>
        <v>1</v>
      </c>
      <c r="X208" s="108">
        <f>IF($A208="",0,IF(COUNTIF(Config!$C$21:$C$23,$H208)&gt;0,1,0))</f>
        <v>0</v>
      </c>
      <c r="Y208" s="108">
        <f t="shared" si="37"/>
        <v>3</v>
      </c>
      <c r="Z208" s="108" t="str">
        <f t="shared" si="38"/>
        <v/>
      </c>
      <c r="AB208" s="108">
        <f t="shared" si="39"/>
        <v>0</v>
      </c>
      <c r="AC208" s="108">
        <f>IF($A208="",0,IF(AND($AB208=1,COUNTIF($A$2:$A208,$A208)=1),1,0))</f>
        <v>0</v>
      </c>
      <c r="AD208" s="108">
        <f t="shared" si="40"/>
        <v>1</v>
      </c>
      <c r="AE208" s="108" t="str">
        <f t="shared" si="41"/>
        <v/>
      </c>
      <c r="AF208" s="108">
        <f t="shared" si="42"/>
        <v>0</v>
      </c>
      <c r="AG208" s="108">
        <f t="shared" si="43"/>
        <v>0</v>
      </c>
      <c r="AH208" s="110" t="str">
        <f t="shared" si="44"/>
        <v>N Lozano|20260904|Training - BPO|0.125|Team Huddle ( Closing Week), Group meeting</v>
      </c>
      <c r="AI208" s="108">
        <f t="shared" si="45"/>
        <v>0</v>
      </c>
      <c r="AJ208" s="108">
        <f t="shared" si="46"/>
        <v>0</v>
      </c>
      <c r="AK208" s="108">
        <f>IF($A208="",0,IF(AND($S208=1,$W208=1,$X208=1,$U208&gt;Config!$C$9),1,0))</f>
        <v>0</v>
      </c>
      <c r="AL208" s="108">
        <f t="shared" si="47"/>
        <v>0</v>
      </c>
    </row>
    <row r="209" spans="1:38" ht="192.75" x14ac:dyDescent="0.25">
      <c r="A209" s="106" t="s">
        <v>491</v>
      </c>
      <c r="B209" s="106" t="s">
        <v>618</v>
      </c>
      <c r="C209" s="107">
        <v>46269</v>
      </c>
      <c r="D209" s="106" t="s">
        <v>720</v>
      </c>
      <c r="E209" s="106" t="s">
        <v>721</v>
      </c>
      <c r="F209" s="106" t="s">
        <v>722</v>
      </c>
      <c r="G209" s="106" t="s">
        <v>1022</v>
      </c>
      <c r="H209" s="106" t="s">
        <v>631</v>
      </c>
      <c r="I209" s="106"/>
      <c r="J209" s="106" t="s">
        <v>1023</v>
      </c>
      <c r="K209" s="106">
        <v>0.875</v>
      </c>
      <c r="L209" s="106">
        <v>0</v>
      </c>
      <c r="M209" s="106">
        <v>0</v>
      </c>
      <c r="N209" s="106"/>
      <c r="O209" s="106"/>
      <c r="P209" s="106">
        <v>0</v>
      </c>
      <c r="Q209" s="111" t="s">
        <v>1024</v>
      </c>
      <c r="S209" s="108">
        <f>IF($A209="","",COUNTIF(BPOworkers!$B$6:$B$105,$A209))</f>
        <v>1</v>
      </c>
      <c r="T209" s="109">
        <f>IF($A209="","",$K209*Config!$C$9)</f>
        <v>7</v>
      </c>
      <c r="U209" s="109">
        <f>IF($A209="","",IF(COUNTIF(Config!$C$21:$C$23,$H209)&gt;0,IFERROR(VALUE(LEFT(TRIM($Q209),FIND(" ",TRIM($Q209)&amp;" ")-1)),0),0))</f>
        <v>0</v>
      </c>
      <c r="V209" s="109">
        <f t="shared" si="36"/>
        <v>7</v>
      </c>
      <c r="W209" s="108">
        <f>IF($A209="",0,IF(AND($C209&gt;=Config!$C$7,$C209&lt;=Config!$C$8),1,0))</f>
        <v>1</v>
      </c>
      <c r="X209" s="108">
        <f>IF($A209="",0,IF(COUNTIF(Config!$C$21:$C$23,$H209)&gt;0,1,0))</f>
        <v>0</v>
      </c>
      <c r="Y209" s="108">
        <f t="shared" si="37"/>
        <v>3</v>
      </c>
      <c r="Z209" s="108" t="str">
        <f t="shared" si="38"/>
        <v/>
      </c>
      <c r="AB209" s="108">
        <f t="shared" si="39"/>
        <v>0</v>
      </c>
      <c r="AC209" s="108">
        <f>IF($A209="",0,IF(AND($AB209=1,COUNTIF($A$2:$A209,$A209)=1),1,0))</f>
        <v>0</v>
      </c>
      <c r="AD209" s="108">
        <f t="shared" si="40"/>
        <v>1</v>
      </c>
      <c r="AE209" s="108" t="str">
        <f t="shared" si="41"/>
        <v/>
      </c>
      <c r="AF209" s="108">
        <f t="shared" si="42"/>
        <v>0</v>
      </c>
      <c r="AG209" s="108">
        <f t="shared" si="43"/>
        <v>0</v>
      </c>
      <c r="AH209" s="112" t="str">
        <f t="shared" si="44"/>
        <v xml:space="preserve">N Lozano|20260904|Title|0.875|-I experienced several glitches with the website today.
 - Documents added to the AOI: 1
 - Documents indexed : 30
 </v>
      </c>
      <c r="AI209" s="108">
        <f t="shared" si="45"/>
        <v>0</v>
      </c>
      <c r="AJ209" s="108">
        <f t="shared" si="46"/>
        <v>0</v>
      </c>
      <c r="AK209" s="108">
        <f>IF($A209="",0,IF(AND($S209=1,$W209=1,$X209=1,$U209&gt;Config!$C$9),1,0))</f>
        <v>0</v>
      </c>
      <c r="AL209" s="108">
        <f t="shared" si="47"/>
        <v>0</v>
      </c>
    </row>
    <row r="210" spans="1:38" x14ac:dyDescent="0.25">
      <c r="A210" s="106" t="s">
        <v>503</v>
      </c>
      <c r="B210" s="106" t="s">
        <v>618</v>
      </c>
      <c r="C210" s="107">
        <v>46269</v>
      </c>
      <c r="D210" s="106" t="s">
        <v>628</v>
      </c>
      <c r="E210" s="106" t="s">
        <v>793</v>
      </c>
      <c r="F210" s="106" t="s">
        <v>670</v>
      </c>
      <c r="G210" s="106" t="s">
        <v>794</v>
      </c>
      <c r="H210" s="106" t="s">
        <v>707</v>
      </c>
      <c r="I210" s="106"/>
      <c r="J210" s="106" t="s">
        <v>795</v>
      </c>
      <c r="K210" s="106">
        <v>1</v>
      </c>
      <c r="L210" s="106">
        <v>0</v>
      </c>
      <c r="M210" s="106">
        <v>0</v>
      </c>
      <c r="N210" s="106"/>
      <c r="O210" s="106"/>
      <c r="P210" s="106">
        <v>0</v>
      </c>
      <c r="Q210" s="106" t="s">
        <v>1025</v>
      </c>
      <c r="S210" s="108">
        <f>IF($A210="","",COUNTIF(BPOworkers!$B$6:$B$105,$A210))</f>
        <v>1</v>
      </c>
      <c r="T210" s="109">
        <f>IF($A210="","",$K210*Config!$C$9)</f>
        <v>8</v>
      </c>
      <c r="U210" s="109">
        <f>IF($A210="","",IF(COUNTIF(Config!$C$21:$C$23,$H210)&gt;0,IFERROR(VALUE(LEFT(TRIM($Q210),FIND(" ",TRIM($Q210)&amp;" ")-1)),0),0))</f>
        <v>0</v>
      </c>
      <c r="V210" s="109">
        <f t="shared" si="36"/>
        <v>8</v>
      </c>
      <c r="W210" s="108">
        <f>IF($A210="",0,IF(AND($C210&gt;=Config!$C$7,$C210&lt;=Config!$C$8),1,0))</f>
        <v>1</v>
      </c>
      <c r="X210" s="108">
        <f>IF($A210="",0,IF(COUNTIF(Config!$C$21:$C$23,$H210)&gt;0,1,0))</f>
        <v>0</v>
      </c>
      <c r="Y210" s="108">
        <f t="shared" si="37"/>
        <v>3</v>
      </c>
      <c r="Z210" s="108" t="str">
        <f t="shared" si="38"/>
        <v/>
      </c>
      <c r="AB210" s="108">
        <f t="shared" si="39"/>
        <v>0</v>
      </c>
      <c r="AC210" s="108">
        <f>IF($A210="",0,IF(AND($AB210=1,COUNTIF($A$2:$A210,$A210)=1),1,0))</f>
        <v>0</v>
      </c>
      <c r="AD210" s="108">
        <f t="shared" si="40"/>
        <v>1</v>
      </c>
      <c r="AE210" s="108" t="str">
        <f t="shared" si="41"/>
        <v/>
      </c>
      <c r="AF210" s="108">
        <f t="shared" si="42"/>
        <v>0</v>
      </c>
      <c r="AG210" s="108">
        <f t="shared" si="43"/>
        <v>0</v>
      </c>
      <c r="AH210" s="110" t="str">
        <f t="shared" si="44"/>
        <v>T Vargas|20260904|Title Opinion data entry|1.000|Runsheet used for introducing the 90 leases mentioned in the Title Opinion into the AOI. Currently adding the PDF docume</v>
      </c>
      <c r="AI210" s="108">
        <f t="shared" si="45"/>
        <v>0</v>
      </c>
      <c r="AJ210" s="108">
        <f t="shared" si="46"/>
        <v>0</v>
      </c>
      <c r="AK210" s="108">
        <f>IF($A210="",0,IF(AND($S210=1,$W210=1,$X210=1,$U210&gt;Config!$C$9),1,0))</f>
        <v>0</v>
      </c>
      <c r="AL210" s="108">
        <f t="shared" si="47"/>
        <v>0</v>
      </c>
    </row>
    <row r="211" spans="1:38" ht="180.75" x14ac:dyDescent="0.25">
      <c r="A211" s="106" t="s">
        <v>500</v>
      </c>
      <c r="B211" s="106" t="s">
        <v>618</v>
      </c>
      <c r="C211" s="107">
        <v>46269</v>
      </c>
      <c r="D211" s="106" t="s">
        <v>680</v>
      </c>
      <c r="E211" s="106" t="s">
        <v>681</v>
      </c>
      <c r="F211" s="106" t="s">
        <v>745</v>
      </c>
      <c r="G211" s="106" t="s">
        <v>797</v>
      </c>
      <c r="H211" s="106" t="s">
        <v>631</v>
      </c>
      <c r="I211" s="106"/>
      <c r="J211" s="106" t="s">
        <v>788</v>
      </c>
      <c r="K211" s="106">
        <v>1</v>
      </c>
      <c r="L211" s="106">
        <v>0</v>
      </c>
      <c r="M211" s="106">
        <v>0</v>
      </c>
      <c r="N211" s="106"/>
      <c r="O211" s="106"/>
      <c r="P211" s="106">
        <v>0</v>
      </c>
      <c r="Q211" s="111" t="s">
        <v>1026</v>
      </c>
      <c r="S211" s="108">
        <f>IF($A211="","",COUNTIF(BPOworkers!$B$6:$B$105,$A211))</f>
        <v>1</v>
      </c>
      <c r="T211" s="109">
        <f>IF($A211="","",$K211*Config!$C$9)</f>
        <v>8</v>
      </c>
      <c r="U211" s="109">
        <f>IF($A211="","",IF(COUNTIF(Config!$C$21:$C$23,$H211)&gt;0,IFERROR(VALUE(LEFT(TRIM($Q211),FIND(" ",TRIM($Q211)&amp;" ")-1)),0),0))</f>
        <v>0</v>
      </c>
      <c r="V211" s="109">
        <f t="shared" si="36"/>
        <v>8</v>
      </c>
      <c r="W211" s="108">
        <f>IF($A211="",0,IF(AND($C211&gt;=Config!$C$7,$C211&lt;=Config!$C$8),1,0))</f>
        <v>1</v>
      </c>
      <c r="X211" s="108">
        <f>IF($A211="",0,IF(COUNTIF(Config!$C$21:$C$23,$H211)&gt;0,1,0))</f>
        <v>0</v>
      </c>
      <c r="Y211" s="108">
        <f t="shared" si="37"/>
        <v>3</v>
      </c>
      <c r="Z211" s="108" t="str">
        <f t="shared" si="38"/>
        <v/>
      </c>
      <c r="AB211" s="108">
        <f t="shared" si="39"/>
        <v>0</v>
      </c>
      <c r="AC211" s="108">
        <f>IF($A211="",0,IF(AND($AB211=1,COUNTIF($A$2:$A211,$A211)=1),1,0))</f>
        <v>0</v>
      </c>
      <c r="AD211" s="108">
        <f t="shared" si="40"/>
        <v>1</v>
      </c>
      <c r="AE211" s="108" t="str">
        <f t="shared" si="41"/>
        <v/>
      </c>
      <c r="AF211" s="108">
        <f t="shared" si="42"/>
        <v>0</v>
      </c>
      <c r="AG211" s="108">
        <f t="shared" si="43"/>
        <v>0</v>
      </c>
      <c r="AH211" s="112" t="str">
        <f t="shared" si="44"/>
        <v>K Martínez|20260904|Title|1.000|Indexed manually to find all information for parties after patent and before strata. 
 More than 60 documents were rev</v>
      </c>
      <c r="AI211" s="108">
        <f t="shared" si="45"/>
        <v>0</v>
      </c>
      <c r="AJ211" s="108">
        <f t="shared" si="46"/>
        <v>0</v>
      </c>
      <c r="AK211" s="108">
        <f>IF($A211="",0,IF(AND($S211=1,$W211=1,$X211=1,$U211&gt;Config!$C$9),1,0))</f>
        <v>0</v>
      </c>
      <c r="AL211" s="108">
        <f t="shared" si="47"/>
        <v>0</v>
      </c>
    </row>
    <row r="212" spans="1:38" x14ac:dyDescent="0.25">
      <c r="A212" s="106" t="s">
        <v>488</v>
      </c>
      <c r="B212" s="106" t="s">
        <v>618</v>
      </c>
      <c r="C212" s="107">
        <v>46269</v>
      </c>
      <c r="D212" s="106" t="s">
        <v>623</v>
      </c>
      <c r="E212" s="106" t="s">
        <v>624</v>
      </c>
      <c r="F212" s="106" t="s">
        <v>615</v>
      </c>
      <c r="G212" s="106" t="s">
        <v>625</v>
      </c>
      <c r="H212" s="106" t="s">
        <v>671</v>
      </c>
      <c r="I212" s="106" t="s">
        <v>657</v>
      </c>
      <c r="J212" s="106"/>
      <c r="K212" s="106">
        <v>1</v>
      </c>
      <c r="L212" s="106">
        <v>0</v>
      </c>
      <c r="M212" s="106">
        <v>0</v>
      </c>
      <c r="N212" s="106"/>
      <c r="O212" s="106"/>
      <c r="P212" s="106">
        <v>0</v>
      </c>
      <c r="Q212" s="106" t="s">
        <v>1027</v>
      </c>
      <c r="S212" s="108">
        <f>IF($A212="","",COUNTIF(BPOworkers!$B$6:$B$105,$A212))</f>
        <v>1</v>
      </c>
      <c r="T212" s="109">
        <f>IF($A212="","",$K212*Config!$C$9)</f>
        <v>8</v>
      </c>
      <c r="U212" s="109">
        <f>IF($A212="","",IF(COUNTIF(Config!$C$21:$C$23,$H212)&gt;0,IFERROR(VALUE(LEFT(TRIM($Q212),FIND(" ",TRIM($Q212)&amp;" ")-1)),0),0))</f>
        <v>0</v>
      </c>
      <c r="V212" s="109">
        <f t="shared" si="36"/>
        <v>8</v>
      </c>
      <c r="W212" s="108">
        <f>IF($A212="",0,IF(AND($C212&gt;=Config!$C$7,$C212&lt;=Config!$C$8),1,0))</f>
        <v>1</v>
      </c>
      <c r="X212" s="108">
        <f>IF($A212="",0,IF(COUNTIF(Config!$C$21:$C$23,$H212)&gt;0,1,0))</f>
        <v>0</v>
      </c>
      <c r="Y212" s="108">
        <f t="shared" si="37"/>
        <v>3</v>
      </c>
      <c r="Z212" s="108" t="str">
        <f t="shared" si="38"/>
        <v/>
      </c>
      <c r="AB212" s="108">
        <f t="shared" si="39"/>
        <v>0</v>
      </c>
      <c r="AC212" s="108">
        <f>IF($A212="",0,IF(AND($AB212=1,COUNTIF($A$2:$A212,$A212)=1),1,0))</f>
        <v>0</v>
      </c>
      <c r="AD212" s="108">
        <f t="shared" si="40"/>
        <v>1</v>
      </c>
      <c r="AE212" s="108" t="str">
        <f t="shared" si="41"/>
        <v/>
      </c>
      <c r="AF212" s="108">
        <f t="shared" si="42"/>
        <v>0</v>
      </c>
      <c r="AG212" s="108">
        <f t="shared" si="43"/>
        <v>0</v>
      </c>
      <c r="AH212" s="110" t="str">
        <f t="shared" si="44"/>
        <v>D Chinchilla|20260904|TitleNotes - Library|1.000|21 Documents 43 Transactions</v>
      </c>
      <c r="AI212" s="108">
        <f t="shared" si="45"/>
        <v>0</v>
      </c>
      <c r="AJ212" s="108">
        <f t="shared" si="46"/>
        <v>0</v>
      </c>
      <c r="AK212" s="108">
        <f>IF($A212="",0,IF(AND($S212=1,$W212=1,$X212=1,$U212&gt;Config!$C$9),1,0))</f>
        <v>0</v>
      </c>
      <c r="AL212" s="108">
        <f t="shared" si="47"/>
        <v>0</v>
      </c>
    </row>
    <row r="213" spans="1:38" x14ac:dyDescent="0.25">
      <c r="A213" s="106" t="s">
        <v>487</v>
      </c>
      <c r="B213" s="106" t="s">
        <v>618</v>
      </c>
      <c r="C213" s="107">
        <v>46269</v>
      </c>
      <c r="D213" s="106" t="s">
        <v>712</v>
      </c>
      <c r="E213" s="106" t="s">
        <v>713</v>
      </c>
      <c r="F213" s="106" t="s">
        <v>714</v>
      </c>
      <c r="G213" s="106" t="s">
        <v>800</v>
      </c>
      <c r="H213" s="106" t="s">
        <v>631</v>
      </c>
      <c r="I213" s="106"/>
      <c r="J213" s="106" t="s">
        <v>801</v>
      </c>
      <c r="K213" s="106">
        <v>1</v>
      </c>
      <c r="L213" s="106">
        <v>0</v>
      </c>
      <c r="M213" s="106">
        <v>0</v>
      </c>
      <c r="N213" s="106"/>
      <c r="O213" s="106"/>
      <c r="P213" s="106">
        <v>0</v>
      </c>
      <c r="Q213" s="106" t="s">
        <v>1028</v>
      </c>
      <c r="S213" s="108">
        <f>IF($A213="","",COUNTIF(BPOworkers!$B$6:$B$105,$A213))</f>
        <v>1</v>
      </c>
      <c r="T213" s="109">
        <f>IF($A213="","",$K213*Config!$C$9)</f>
        <v>8</v>
      </c>
      <c r="U213" s="109">
        <f>IF($A213="","",IF(COUNTIF(Config!$C$21:$C$23,$H213)&gt;0,IFERROR(VALUE(LEFT(TRIM($Q213),FIND(" ",TRIM($Q213)&amp;" ")-1)),0),0))</f>
        <v>0</v>
      </c>
      <c r="V213" s="109">
        <f t="shared" si="36"/>
        <v>8</v>
      </c>
      <c r="W213" s="108">
        <f>IF($A213="",0,IF(AND($C213&gt;=Config!$C$7,$C213&lt;=Config!$C$8),1,0))</f>
        <v>1</v>
      </c>
      <c r="X213" s="108">
        <f>IF($A213="",0,IF(COUNTIF(Config!$C$21:$C$23,$H213)&gt;0,1,0))</f>
        <v>0</v>
      </c>
      <c r="Y213" s="108">
        <f t="shared" si="37"/>
        <v>3</v>
      </c>
      <c r="Z213" s="108" t="str">
        <f t="shared" si="38"/>
        <v/>
      </c>
      <c r="AB213" s="108">
        <f t="shared" si="39"/>
        <v>0</v>
      </c>
      <c r="AC213" s="108">
        <f>IF($A213="",0,IF(AND($AB213=1,COUNTIF($A$2:$A213,$A213)=1),1,0))</f>
        <v>0</v>
      </c>
      <c r="AD213" s="108">
        <f t="shared" si="40"/>
        <v>1</v>
      </c>
      <c r="AE213" s="108" t="str">
        <f t="shared" si="41"/>
        <v/>
      </c>
      <c r="AF213" s="108">
        <f t="shared" si="42"/>
        <v>0</v>
      </c>
      <c r="AG213" s="108">
        <f t="shared" si="43"/>
        <v>0</v>
      </c>
      <c r="AH213" s="110" t="str">
        <f t="shared" si="44"/>
        <v>A Guerra|20260904|Title|1.000|Finalizing the AOI and meeting with the PM to resolve a warning regarding overconveyance. I am also assisting with the r</v>
      </c>
      <c r="AI213" s="108">
        <f t="shared" si="45"/>
        <v>0</v>
      </c>
      <c r="AJ213" s="108">
        <f t="shared" si="46"/>
        <v>0</v>
      </c>
      <c r="AK213" s="108">
        <f>IF($A213="",0,IF(AND($S213=1,$W213=1,$X213=1,$U213&gt;Config!$C$9),1,0))</f>
        <v>0</v>
      </c>
      <c r="AL213" s="108">
        <f t="shared" si="47"/>
        <v>0</v>
      </c>
    </row>
    <row r="214" spans="1:38" ht="108.75" x14ac:dyDescent="0.25">
      <c r="A214" s="106" t="s">
        <v>489</v>
      </c>
      <c r="B214" s="106" t="s">
        <v>618</v>
      </c>
      <c r="C214" s="107">
        <v>46269</v>
      </c>
      <c r="D214" s="106" t="s">
        <v>669</v>
      </c>
      <c r="E214" s="106" t="s">
        <v>669</v>
      </c>
      <c r="F214" s="106" t="s">
        <v>670</v>
      </c>
      <c r="G214" s="106"/>
      <c r="H214" s="106" t="s">
        <v>671</v>
      </c>
      <c r="I214" s="106"/>
      <c r="J214" s="106"/>
      <c r="K214" s="106">
        <v>1</v>
      </c>
      <c r="L214" s="106">
        <v>0</v>
      </c>
      <c r="M214" s="106">
        <v>0</v>
      </c>
      <c r="N214" s="106"/>
      <c r="O214" s="106"/>
      <c r="P214" s="106">
        <v>0</v>
      </c>
      <c r="Q214" s="111" t="s">
        <v>1029</v>
      </c>
      <c r="S214" s="108">
        <f>IF($A214="","",COUNTIF(BPOworkers!$B$6:$B$105,$A214))</f>
        <v>1</v>
      </c>
      <c r="T214" s="109">
        <f>IF($A214="","",$K214*Config!$C$9)</f>
        <v>8</v>
      </c>
      <c r="U214" s="109">
        <f>IF($A214="","",IF(COUNTIF(Config!$C$21:$C$23,$H214)&gt;0,IFERROR(VALUE(LEFT(TRIM($Q214),FIND(" ",TRIM($Q214)&amp;" ")-1)),0),0))</f>
        <v>0</v>
      </c>
      <c r="V214" s="109">
        <f t="shared" si="36"/>
        <v>8</v>
      </c>
      <c r="W214" s="108">
        <f>IF($A214="",0,IF(AND($C214&gt;=Config!$C$7,$C214&lt;=Config!$C$8),1,0))</f>
        <v>1</v>
      </c>
      <c r="X214" s="108">
        <f>IF($A214="",0,IF(COUNTIF(Config!$C$21:$C$23,$H214)&gt;0,1,0))</f>
        <v>0</v>
      </c>
      <c r="Y214" s="108">
        <f t="shared" si="37"/>
        <v>3</v>
      </c>
      <c r="Z214" s="108" t="str">
        <f t="shared" si="38"/>
        <v/>
      </c>
      <c r="AB214" s="108">
        <f t="shared" si="39"/>
        <v>0</v>
      </c>
      <c r="AC214" s="108">
        <f>IF($A214="",0,IF(AND($AB214=1,COUNTIF($A$2:$A214,$A214)=1),1,0))</f>
        <v>0</v>
      </c>
      <c r="AD214" s="108">
        <f t="shared" si="40"/>
        <v>1</v>
      </c>
      <c r="AE214" s="108" t="str">
        <f t="shared" si="41"/>
        <v/>
      </c>
      <c r="AF214" s="108">
        <f t="shared" si="42"/>
        <v>0</v>
      </c>
      <c r="AG214" s="108">
        <f t="shared" si="43"/>
        <v>0</v>
      </c>
      <c r="AH214" s="112" t="str">
        <f t="shared" si="44"/>
        <v>G Pereira|20260904|TitleNotes - Library|1.000|40 Documents
 81 Transactions</v>
      </c>
      <c r="AI214" s="108">
        <f t="shared" si="45"/>
        <v>0</v>
      </c>
      <c r="AJ214" s="108">
        <f t="shared" si="46"/>
        <v>0</v>
      </c>
      <c r="AK214" s="108">
        <f>IF($A214="",0,IF(AND($S214=1,$W214=1,$X214=1,$U214&gt;Config!$C$9),1,0))</f>
        <v>0</v>
      </c>
      <c r="AL214" s="108">
        <f t="shared" si="47"/>
        <v>0</v>
      </c>
    </row>
    <row r="215" spans="1:38" x14ac:dyDescent="0.25">
      <c r="A215" s="106" t="s">
        <v>501</v>
      </c>
      <c r="B215" s="106" t="s">
        <v>618</v>
      </c>
      <c r="C215" s="107">
        <v>46269</v>
      </c>
      <c r="D215" s="106" t="s">
        <v>529</v>
      </c>
      <c r="E215" s="106" t="s">
        <v>529</v>
      </c>
      <c r="F215" s="106" t="s">
        <v>615</v>
      </c>
      <c r="G215" s="106"/>
      <c r="H215" s="106" t="s">
        <v>529</v>
      </c>
      <c r="I215" s="106"/>
      <c r="J215" s="106" t="s">
        <v>1012</v>
      </c>
      <c r="K215" s="106">
        <v>0</v>
      </c>
      <c r="L215" s="106">
        <v>0</v>
      </c>
      <c r="M215" s="106">
        <v>0</v>
      </c>
      <c r="N215" s="106"/>
      <c r="O215" s="106"/>
      <c r="P215" s="106">
        <v>0</v>
      </c>
      <c r="Q215" s="106" t="s">
        <v>1030</v>
      </c>
      <c r="S215" s="108">
        <f>IF($A215="","",COUNTIF(BPOworkers!$B$6:$B$105,$A215))</f>
        <v>1</v>
      </c>
      <c r="T215" s="109">
        <f>IF($A215="","",$K215*Config!$C$9)</f>
        <v>0</v>
      </c>
      <c r="U215" s="109">
        <f>IF($A215="","",IF(COUNTIF(Config!$C$21:$C$23,$H215)&gt;0,IFERROR(VALUE(LEFT(TRIM($Q215),FIND(" ",TRIM($Q215)&amp;" ")-1)),0),0))</f>
        <v>8</v>
      </c>
      <c r="V215" s="109">
        <f t="shared" si="36"/>
        <v>8</v>
      </c>
      <c r="W215" s="108">
        <f>IF($A215="",0,IF(AND($C215&gt;=Config!$C$7,$C215&lt;=Config!$C$8),1,0))</f>
        <v>1</v>
      </c>
      <c r="X215" s="108">
        <f>IF($A215="",0,IF(COUNTIF(Config!$C$21:$C$23,$H215)&gt;0,1,0))</f>
        <v>1</v>
      </c>
      <c r="Y215" s="108">
        <f t="shared" si="37"/>
        <v>4</v>
      </c>
      <c r="Z215" s="108">
        <f t="shared" si="38"/>
        <v>4</v>
      </c>
      <c r="AB215" s="108">
        <f t="shared" si="39"/>
        <v>0</v>
      </c>
      <c r="AC215" s="108">
        <f>IF($A215="",0,IF(AND($AB215=1,COUNTIF($A$2:$A215,$A215)=1),1,0))</f>
        <v>0</v>
      </c>
      <c r="AD215" s="108">
        <f t="shared" si="40"/>
        <v>1</v>
      </c>
      <c r="AE215" s="108" t="str">
        <f t="shared" si="41"/>
        <v/>
      </c>
      <c r="AF215" s="108">
        <f t="shared" si="42"/>
        <v>0</v>
      </c>
      <c r="AG215" s="108">
        <f t="shared" si="43"/>
        <v>0</v>
      </c>
      <c r="AH215" s="110" t="str">
        <f t="shared" si="44"/>
        <v>O Moreno|20260904|Time Off|0.000|8 hours nor billed for medical leave.</v>
      </c>
      <c r="AI215" s="108">
        <f t="shared" si="45"/>
        <v>0</v>
      </c>
      <c r="AJ215" s="108">
        <f t="shared" si="46"/>
        <v>0</v>
      </c>
      <c r="AK215" s="108">
        <f>IF($A215="",0,IF(AND($S215=1,$W215=1,$X215=1,$U215&gt;Config!$C$9),1,0))</f>
        <v>0</v>
      </c>
      <c r="AL215" s="108">
        <f t="shared" si="47"/>
        <v>0</v>
      </c>
    </row>
    <row r="216" spans="1:38" x14ac:dyDescent="0.25">
      <c r="A216" s="106" t="s">
        <v>502</v>
      </c>
      <c r="B216" s="106" t="s">
        <v>618</v>
      </c>
      <c r="C216" s="107">
        <v>46269</v>
      </c>
      <c r="D216" s="106" t="s">
        <v>694</v>
      </c>
      <c r="E216" s="106" t="s">
        <v>765</v>
      </c>
      <c r="F216" s="106" t="s">
        <v>766</v>
      </c>
      <c r="G216" s="106" t="s">
        <v>1031</v>
      </c>
      <c r="H216" s="106" t="s">
        <v>765</v>
      </c>
      <c r="I216" s="106"/>
      <c r="J216" s="106" t="s">
        <v>807</v>
      </c>
      <c r="K216" s="106">
        <v>0.5</v>
      </c>
      <c r="L216" s="106">
        <v>0</v>
      </c>
      <c r="M216" s="106">
        <v>0</v>
      </c>
      <c r="N216" s="106"/>
      <c r="O216" s="106"/>
      <c r="P216" s="106">
        <v>0</v>
      </c>
      <c r="Q216" s="106" t="s">
        <v>808</v>
      </c>
      <c r="S216" s="108">
        <f>IF($A216="","",COUNTIF(BPOworkers!$B$6:$B$105,$A216))</f>
        <v>1</v>
      </c>
      <c r="T216" s="109">
        <f>IF($A216="","",$K216*Config!$C$9)</f>
        <v>4</v>
      </c>
      <c r="U216" s="109">
        <f>IF($A216="","",IF(COUNTIF(Config!$C$21:$C$23,$H216)&gt;0,IFERROR(VALUE(LEFT(TRIM($Q216),FIND(" ",TRIM($Q216)&amp;" ")-1)),0),0))</f>
        <v>0</v>
      </c>
      <c r="V216" s="109">
        <f t="shared" si="36"/>
        <v>4</v>
      </c>
      <c r="W216" s="108">
        <f>IF($A216="",0,IF(AND($C216&gt;=Config!$C$7,$C216&lt;=Config!$C$8),1,0))</f>
        <v>1</v>
      </c>
      <c r="X216" s="108">
        <f>IF($A216="",0,IF(COUNTIF(Config!$C$21:$C$23,$H216)&gt;0,1,0))</f>
        <v>0</v>
      </c>
      <c r="Y216" s="108">
        <f t="shared" si="37"/>
        <v>4</v>
      </c>
      <c r="Z216" s="108" t="str">
        <f t="shared" si="38"/>
        <v/>
      </c>
      <c r="AB216" s="108">
        <f t="shared" si="39"/>
        <v>0</v>
      </c>
      <c r="AC216" s="108">
        <f>IF($A216="",0,IF(AND($AB216=1,COUNTIF($A$2:$A216,$A216)=1),1,0))</f>
        <v>0</v>
      </c>
      <c r="AD216" s="108">
        <f t="shared" si="40"/>
        <v>1</v>
      </c>
      <c r="AE216" s="108" t="str">
        <f t="shared" si="41"/>
        <v/>
      </c>
      <c r="AF216" s="108">
        <f t="shared" si="42"/>
        <v>0</v>
      </c>
      <c r="AG216" s="108">
        <f t="shared" si="43"/>
        <v>0</v>
      </c>
      <c r="AH216" s="110" t="str">
        <f t="shared" si="44"/>
        <v>S Calderon|20260904|Lease Bringdown|0.500|Added last leases and ran title forward to present.</v>
      </c>
      <c r="AI216" s="108">
        <f t="shared" si="45"/>
        <v>1</v>
      </c>
      <c r="AJ216" s="108">
        <f t="shared" si="46"/>
        <v>0</v>
      </c>
      <c r="AK216" s="108">
        <f>IF($A216="",0,IF(AND($S216=1,$W216=1,$X216=1,$U216&gt;Config!$C$9),1,0))</f>
        <v>0</v>
      </c>
      <c r="AL216" s="108">
        <f t="shared" si="47"/>
        <v>0</v>
      </c>
    </row>
    <row r="217" spans="1:38" x14ac:dyDescent="0.25">
      <c r="A217" s="106" t="s">
        <v>502</v>
      </c>
      <c r="B217" s="106" t="s">
        <v>618</v>
      </c>
      <c r="C217" s="107">
        <v>46269</v>
      </c>
      <c r="D217" s="106" t="s">
        <v>694</v>
      </c>
      <c r="E217" s="106" t="s">
        <v>765</v>
      </c>
      <c r="F217" s="106" t="s">
        <v>766</v>
      </c>
      <c r="G217" s="106" t="s">
        <v>806</v>
      </c>
      <c r="H217" s="106" t="s">
        <v>765</v>
      </c>
      <c r="I217" s="106"/>
      <c r="J217" s="106" t="s">
        <v>807</v>
      </c>
      <c r="K217" s="106">
        <v>0.5</v>
      </c>
      <c r="L217" s="106">
        <v>0</v>
      </c>
      <c r="M217" s="106">
        <v>0</v>
      </c>
      <c r="N217" s="106"/>
      <c r="O217" s="106"/>
      <c r="P217" s="106">
        <v>0</v>
      </c>
      <c r="Q217" s="106" t="s">
        <v>808</v>
      </c>
      <c r="S217" s="108">
        <f>IF($A217="","",COUNTIF(BPOworkers!$B$6:$B$105,$A217))</f>
        <v>1</v>
      </c>
      <c r="T217" s="109">
        <f>IF($A217="","",$K217*Config!$C$9)</f>
        <v>4</v>
      </c>
      <c r="U217" s="109">
        <f>IF($A217="","",IF(COUNTIF(Config!$C$21:$C$23,$H217)&gt;0,IFERROR(VALUE(LEFT(TRIM($Q217),FIND(" ",TRIM($Q217)&amp;" ")-1)),0),0))</f>
        <v>0</v>
      </c>
      <c r="V217" s="109">
        <f t="shared" si="36"/>
        <v>4</v>
      </c>
      <c r="W217" s="108">
        <f>IF($A217="",0,IF(AND($C217&gt;=Config!$C$7,$C217&lt;=Config!$C$8),1,0))</f>
        <v>1</v>
      </c>
      <c r="X217" s="108">
        <f>IF($A217="",0,IF(COUNTIF(Config!$C$21:$C$23,$H217)&gt;0,1,0))</f>
        <v>0</v>
      </c>
      <c r="Y217" s="108">
        <f t="shared" si="37"/>
        <v>4</v>
      </c>
      <c r="Z217" s="108" t="str">
        <f t="shared" si="38"/>
        <v/>
      </c>
      <c r="AB217" s="108">
        <f t="shared" si="39"/>
        <v>0</v>
      </c>
      <c r="AC217" s="108">
        <f>IF($A217="",0,IF(AND($AB217=1,COUNTIF($A$2:$A217,$A217)=1),1,0))</f>
        <v>0</v>
      </c>
      <c r="AD217" s="108">
        <f t="shared" si="40"/>
        <v>1</v>
      </c>
      <c r="AE217" s="108" t="str">
        <f t="shared" si="41"/>
        <v/>
      </c>
      <c r="AF217" s="108">
        <f t="shared" si="42"/>
        <v>0</v>
      </c>
      <c r="AG217" s="108">
        <f t="shared" si="43"/>
        <v>0</v>
      </c>
      <c r="AH217" s="110" t="str">
        <f t="shared" si="44"/>
        <v>S Calderon|20260904|Lease Bringdown|0.500|Added last leases and ran title forward to present.</v>
      </c>
      <c r="AI217" s="108">
        <f t="shared" si="45"/>
        <v>1</v>
      </c>
      <c r="AJ217" s="108">
        <f t="shared" si="46"/>
        <v>0</v>
      </c>
      <c r="AK217" s="108">
        <f>IF($A217="",0,IF(AND($S217=1,$W217=1,$X217=1,$U217&gt;Config!$C$9),1,0))</f>
        <v>0</v>
      </c>
      <c r="AL217" s="108">
        <f t="shared" si="47"/>
        <v>0</v>
      </c>
    </row>
    <row r="218" spans="1:38" x14ac:dyDescent="0.25">
      <c r="A218" s="106" t="s">
        <v>1032</v>
      </c>
      <c r="B218" s="106" t="s">
        <v>618</v>
      </c>
      <c r="C218" s="107">
        <v>46269</v>
      </c>
      <c r="D218" s="106" t="s">
        <v>643</v>
      </c>
      <c r="E218" s="106" t="s">
        <v>644</v>
      </c>
      <c r="F218" s="106" t="s">
        <v>645</v>
      </c>
      <c r="G218" s="106" t="s">
        <v>646</v>
      </c>
      <c r="H218" s="106" t="s">
        <v>631</v>
      </c>
      <c r="I218" s="106"/>
      <c r="J218" s="106" t="s">
        <v>1033</v>
      </c>
      <c r="K218" s="106">
        <v>0.5</v>
      </c>
      <c r="L218" s="106">
        <v>0</v>
      </c>
      <c r="M218" s="106">
        <v>0</v>
      </c>
      <c r="N218" s="106"/>
      <c r="O218" s="106"/>
      <c r="P218" s="106">
        <v>0</v>
      </c>
      <c r="Q218" s="106" t="s">
        <v>1034</v>
      </c>
      <c r="S218" s="108">
        <f>IF($A218="","",COUNTIF(BPOworkers!$B$6:$B$105,$A218))</f>
        <v>0</v>
      </c>
      <c r="T218" s="109">
        <f>IF($A218="","",$K218*Config!$C$9)</f>
        <v>4</v>
      </c>
      <c r="U218" s="109">
        <f>IF($A218="","",IF(COUNTIF(Config!$C$21:$C$23,$H218)&gt;0,IFERROR(VALUE(LEFT(TRIM($Q218),FIND(" ",TRIM($Q218)&amp;" ")-1)),0),0))</f>
        <v>0</v>
      </c>
      <c r="V218" s="109">
        <f t="shared" si="36"/>
        <v>4</v>
      </c>
      <c r="W218" s="108">
        <f>IF($A218="",0,IF(AND($C218&gt;=Config!$C$7,$C218&lt;=Config!$C$8),1,0))</f>
        <v>1</v>
      </c>
      <c r="X218" s="108">
        <f>IF($A218="",0,IF(COUNTIF(Config!$C$21:$C$23,$H218)&gt;0,1,0))</f>
        <v>0</v>
      </c>
      <c r="Y218" s="108">
        <f t="shared" si="37"/>
        <v>4</v>
      </c>
      <c r="Z218" s="108" t="str">
        <f t="shared" si="38"/>
        <v/>
      </c>
      <c r="AB218" s="108">
        <f t="shared" si="39"/>
        <v>0</v>
      </c>
      <c r="AC218" s="108">
        <f>IF($A218="",0,IF(AND($AB218=1,COUNTIF($A$2:$A218,$A218)=1),1,0))</f>
        <v>0</v>
      </c>
      <c r="AD218" s="108">
        <f t="shared" si="40"/>
        <v>1</v>
      </c>
      <c r="AE218" s="108" t="str">
        <f t="shared" si="41"/>
        <v/>
      </c>
      <c r="AF218" s="108">
        <f t="shared" si="42"/>
        <v>0</v>
      </c>
      <c r="AG218" s="108">
        <f t="shared" si="43"/>
        <v>0</v>
      </c>
      <c r="AH218" s="110" t="str">
        <f t="shared" si="44"/>
        <v>R. Llanes|20260904|Title|0.500|Continued work on Sec 19, EOG Pilot. 32 notecards completed, reviewed, or deleted.</v>
      </c>
      <c r="AI218" s="108">
        <f t="shared" si="45"/>
        <v>0</v>
      </c>
      <c r="AJ218" s="108">
        <f t="shared" si="46"/>
        <v>0</v>
      </c>
      <c r="AK218" s="108">
        <f>IF($A218="",0,IF(AND($S218=1,$W218=1,$X218=1,$U218&gt;Config!$C$9),1,0))</f>
        <v>0</v>
      </c>
      <c r="AL218" s="108">
        <f t="shared" si="47"/>
        <v>0</v>
      </c>
    </row>
    <row r="219" spans="1:38" x14ac:dyDescent="0.25">
      <c r="A219" s="106" t="s">
        <v>810</v>
      </c>
      <c r="B219" s="106" t="s">
        <v>618</v>
      </c>
      <c r="C219" s="107">
        <v>46269</v>
      </c>
      <c r="D219" s="106" t="s">
        <v>694</v>
      </c>
      <c r="E219" s="106" t="s">
        <v>765</v>
      </c>
      <c r="F219" s="106" t="s">
        <v>766</v>
      </c>
      <c r="G219" s="106" t="s">
        <v>1035</v>
      </c>
      <c r="H219" s="106" t="s">
        <v>765</v>
      </c>
      <c r="I219" s="106"/>
      <c r="J219" s="106"/>
      <c r="K219" s="106">
        <v>1</v>
      </c>
      <c r="L219" s="106">
        <v>0</v>
      </c>
      <c r="M219" s="106">
        <v>0</v>
      </c>
      <c r="N219" s="106"/>
      <c r="O219" s="106"/>
      <c r="P219" s="106">
        <v>0</v>
      </c>
      <c r="Q219" s="106" t="s">
        <v>1036</v>
      </c>
      <c r="S219" s="108">
        <f>IF($A219="","",COUNTIF(BPOworkers!$B$6:$B$105,$A219))</f>
        <v>0</v>
      </c>
      <c r="T219" s="109">
        <f>IF($A219="","",$K219*Config!$C$9)</f>
        <v>8</v>
      </c>
      <c r="U219" s="109">
        <f>IF($A219="","",IF(COUNTIF(Config!$C$21:$C$23,$H219)&gt;0,IFERROR(VALUE(LEFT(TRIM($Q219),FIND(" ",TRIM($Q219)&amp;" ")-1)),0),0))</f>
        <v>0</v>
      </c>
      <c r="V219" s="109">
        <f t="shared" si="36"/>
        <v>8</v>
      </c>
      <c r="W219" s="108">
        <f>IF($A219="",0,IF(AND($C219&gt;=Config!$C$7,$C219&lt;=Config!$C$8),1,0))</f>
        <v>1</v>
      </c>
      <c r="X219" s="108">
        <f>IF($A219="",0,IF(COUNTIF(Config!$C$21:$C$23,$H219)&gt;0,1,0))</f>
        <v>0</v>
      </c>
      <c r="Y219" s="108">
        <f t="shared" si="37"/>
        <v>4</v>
      </c>
      <c r="Z219" s="108" t="str">
        <f t="shared" si="38"/>
        <v/>
      </c>
      <c r="AB219" s="108">
        <f t="shared" si="39"/>
        <v>0</v>
      </c>
      <c r="AC219" s="108">
        <f>IF($A219="",0,IF(AND($AB219=1,COUNTIF($A$2:$A219,$A219)=1),1,0))</f>
        <v>0</v>
      </c>
      <c r="AD219" s="108">
        <f t="shared" si="40"/>
        <v>1</v>
      </c>
      <c r="AE219" s="108" t="str">
        <f t="shared" si="41"/>
        <v/>
      </c>
      <c r="AF219" s="108">
        <f t="shared" si="42"/>
        <v>0</v>
      </c>
      <c r="AG219" s="108">
        <f t="shared" si="43"/>
        <v>0</v>
      </c>
      <c r="AH219" s="110" t="str">
        <f t="shared" si="44"/>
        <v>T. Allerman|20260904|Lease Bringdown|1.000|Worked pulling leases and indexing 29-2S-3W.</v>
      </c>
      <c r="AI219" s="108">
        <f t="shared" si="45"/>
        <v>0</v>
      </c>
      <c r="AJ219" s="108">
        <f t="shared" si="46"/>
        <v>0</v>
      </c>
      <c r="AK219" s="108">
        <f>IF($A219="",0,IF(AND($S219=1,$W219=1,$X219=1,$U219&gt;Config!$C$9),1,0))</f>
        <v>0</v>
      </c>
      <c r="AL219" s="108">
        <f t="shared" si="47"/>
        <v>0</v>
      </c>
    </row>
    <row r="220" spans="1:38" x14ac:dyDescent="0.25">
      <c r="A220" s="106" t="s">
        <v>813</v>
      </c>
      <c r="B220" s="106" t="s">
        <v>618</v>
      </c>
      <c r="C220" s="107">
        <v>46269</v>
      </c>
      <c r="D220" s="106" t="s">
        <v>694</v>
      </c>
      <c r="E220" s="106" t="s">
        <v>765</v>
      </c>
      <c r="F220" s="106" t="s">
        <v>766</v>
      </c>
      <c r="G220" s="106"/>
      <c r="H220" s="106" t="s">
        <v>765</v>
      </c>
      <c r="I220" s="106"/>
      <c r="J220" s="106"/>
      <c r="K220" s="106">
        <v>1</v>
      </c>
      <c r="L220" s="106">
        <v>0</v>
      </c>
      <c r="M220" s="106">
        <v>0</v>
      </c>
      <c r="N220" s="106"/>
      <c r="O220" s="106"/>
      <c r="P220" s="106">
        <v>0</v>
      </c>
      <c r="Q220" s="106" t="s">
        <v>1037</v>
      </c>
      <c r="S220" s="108">
        <f>IF($A220="","",COUNTIF(BPOworkers!$B$6:$B$105,$A220))</f>
        <v>0</v>
      </c>
      <c r="T220" s="109">
        <f>IF($A220="","",$K220*Config!$C$9)</f>
        <v>8</v>
      </c>
      <c r="U220" s="109">
        <f>IF($A220="","",IF(COUNTIF(Config!$C$21:$C$23,$H220)&gt;0,IFERROR(VALUE(LEFT(TRIM($Q220),FIND(" ",TRIM($Q220)&amp;" ")-1)),0),0))</f>
        <v>0</v>
      </c>
      <c r="V220" s="109">
        <f t="shared" si="36"/>
        <v>8</v>
      </c>
      <c r="W220" s="108">
        <f>IF($A220="",0,IF(AND($C220&gt;=Config!$C$7,$C220&lt;=Config!$C$8),1,0))</f>
        <v>1</v>
      </c>
      <c r="X220" s="108">
        <f>IF($A220="",0,IF(COUNTIF(Config!$C$21:$C$23,$H220)&gt;0,1,0))</f>
        <v>0</v>
      </c>
      <c r="Y220" s="108">
        <f t="shared" si="37"/>
        <v>4</v>
      </c>
      <c r="Z220" s="108" t="str">
        <f t="shared" si="38"/>
        <v/>
      </c>
      <c r="AB220" s="108">
        <f t="shared" si="39"/>
        <v>0</v>
      </c>
      <c r="AC220" s="108">
        <f>IF($A220="",0,IF(AND($AB220=1,COUNTIF($A$2:$A220,$A220)=1),1,0))</f>
        <v>0</v>
      </c>
      <c r="AD220" s="108">
        <f t="shared" si="40"/>
        <v>1</v>
      </c>
      <c r="AE220" s="108" t="str">
        <f t="shared" si="41"/>
        <v/>
      </c>
      <c r="AF220" s="108">
        <f t="shared" si="42"/>
        <v>0</v>
      </c>
      <c r="AG220" s="108">
        <f t="shared" si="43"/>
        <v>0</v>
      </c>
      <c r="AH220" s="110" t="str">
        <f t="shared" si="44"/>
        <v>A. Dycus|20260904|Lease Bringdown|1.000|27-2S-3W Indexed leases, filled out notecards, GIS</v>
      </c>
      <c r="AI220" s="108">
        <f t="shared" si="45"/>
        <v>0</v>
      </c>
      <c r="AJ220" s="108">
        <f t="shared" si="46"/>
        <v>0</v>
      </c>
      <c r="AK220" s="108">
        <f>IF($A220="",0,IF(AND($S220=1,$W220=1,$X220=1,$U220&gt;Config!$C$9),1,0))</f>
        <v>0</v>
      </c>
      <c r="AL220" s="108">
        <f t="shared" si="47"/>
        <v>0</v>
      </c>
    </row>
    <row r="221" spans="1:38" x14ac:dyDescent="0.25">
      <c r="A221" s="106" t="s">
        <v>1038</v>
      </c>
      <c r="B221" s="106" t="s">
        <v>618</v>
      </c>
      <c r="C221" s="107">
        <v>46269</v>
      </c>
      <c r="D221" s="106" t="s">
        <v>529</v>
      </c>
      <c r="E221" s="106" t="s">
        <v>529</v>
      </c>
      <c r="F221" s="106" t="s">
        <v>615</v>
      </c>
      <c r="G221" s="106"/>
      <c r="H221" s="106" t="s">
        <v>529</v>
      </c>
      <c r="I221" s="106"/>
      <c r="J221" s="106"/>
      <c r="K221" s="106">
        <v>0</v>
      </c>
      <c r="L221" s="106">
        <v>0</v>
      </c>
      <c r="M221" s="106">
        <v>0</v>
      </c>
      <c r="N221" s="106"/>
      <c r="O221" s="106"/>
      <c r="P221" s="106">
        <v>0</v>
      </c>
      <c r="Q221" s="106" t="s">
        <v>649</v>
      </c>
      <c r="S221" s="108">
        <f>IF($A221="","",COUNTIF(BPOworkers!$B$6:$B$105,$A221))</f>
        <v>0</v>
      </c>
      <c r="T221" s="109">
        <f>IF($A221="","",$K221*Config!$C$9)</f>
        <v>0</v>
      </c>
      <c r="U221" s="109">
        <f>IF($A221="","",IF(COUNTIF(Config!$C$21:$C$23,$H221)&gt;0,IFERROR(VALUE(LEFT(TRIM($Q221),FIND(" ",TRIM($Q221)&amp;" ")-1)),0),0))</f>
        <v>8</v>
      </c>
      <c r="V221" s="109">
        <f t="shared" si="36"/>
        <v>8</v>
      </c>
      <c r="W221" s="108">
        <f>IF($A221="",0,IF(AND($C221&gt;=Config!$C$7,$C221&lt;=Config!$C$8),1,0))</f>
        <v>1</v>
      </c>
      <c r="X221" s="108">
        <f>IF($A221="",0,IF(COUNTIF(Config!$C$21:$C$23,$H221)&gt;0,1,0))</f>
        <v>1</v>
      </c>
      <c r="Y221" s="108">
        <f t="shared" si="37"/>
        <v>4</v>
      </c>
      <c r="Z221" s="108" t="str">
        <f t="shared" si="38"/>
        <v/>
      </c>
      <c r="AB221" s="108">
        <f t="shared" si="39"/>
        <v>0</v>
      </c>
      <c r="AC221" s="108">
        <f>IF($A221="",0,IF(AND($AB221=1,COUNTIF($A$2:$A221,$A221)=1),1,0))</f>
        <v>0</v>
      </c>
      <c r="AD221" s="108">
        <f t="shared" si="40"/>
        <v>1</v>
      </c>
      <c r="AE221" s="108" t="str">
        <f t="shared" si="41"/>
        <v/>
      </c>
      <c r="AF221" s="108">
        <f t="shared" si="42"/>
        <v>0</v>
      </c>
      <c r="AG221" s="108">
        <f t="shared" si="43"/>
        <v>0</v>
      </c>
      <c r="AH221" s="110" t="str">
        <f t="shared" si="44"/>
        <v>D. Beeson|20260904|Time Off|0.000|8 hours unpaid</v>
      </c>
      <c r="AI221" s="108">
        <f t="shared" si="45"/>
        <v>0</v>
      </c>
      <c r="AJ221" s="108">
        <f t="shared" si="46"/>
        <v>0</v>
      </c>
      <c r="AK221" s="108">
        <f>IF($A221="",0,IF(AND($S221=1,$W221=1,$X221=1,$U221&gt;Config!$C$9),1,0))</f>
        <v>0</v>
      </c>
      <c r="AL221" s="108">
        <f t="shared" si="47"/>
        <v>0</v>
      </c>
    </row>
    <row r="222" spans="1:38" ht="180.75" x14ac:dyDescent="0.25">
      <c r="A222" s="106" t="s">
        <v>1039</v>
      </c>
      <c r="B222" s="106" t="s">
        <v>618</v>
      </c>
      <c r="C222" s="107">
        <v>46269</v>
      </c>
      <c r="D222" s="106" t="s">
        <v>720</v>
      </c>
      <c r="E222" s="106" t="s">
        <v>721</v>
      </c>
      <c r="F222" s="106" t="s">
        <v>722</v>
      </c>
      <c r="G222" s="106" t="s">
        <v>1040</v>
      </c>
      <c r="H222" s="106" t="s">
        <v>631</v>
      </c>
      <c r="I222" s="106"/>
      <c r="J222" s="106"/>
      <c r="K222" s="106">
        <v>1</v>
      </c>
      <c r="L222" s="106">
        <v>0</v>
      </c>
      <c r="M222" s="106">
        <v>0</v>
      </c>
      <c r="N222" s="106"/>
      <c r="O222" s="106"/>
      <c r="P222" s="106">
        <v>0</v>
      </c>
      <c r="Q222" s="111" t="s">
        <v>1041</v>
      </c>
      <c r="S222" s="108">
        <f>IF($A222="","",COUNTIF(BPOworkers!$B$6:$B$105,$A222))</f>
        <v>0</v>
      </c>
      <c r="T222" s="109">
        <f>IF($A222="","",$K222*Config!$C$9)</f>
        <v>8</v>
      </c>
      <c r="U222" s="109">
        <f>IF($A222="","",IF(COUNTIF(Config!$C$21:$C$23,$H222)&gt;0,IFERROR(VALUE(LEFT(TRIM($Q222),FIND(" ",TRIM($Q222)&amp;" ")-1)),0),0))</f>
        <v>0</v>
      </c>
      <c r="V222" s="109">
        <f t="shared" si="36"/>
        <v>8</v>
      </c>
      <c r="W222" s="108">
        <f>IF($A222="",0,IF(AND($C222&gt;=Config!$C$7,$C222&lt;=Config!$C$8),1,0))</f>
        <v>1</v>
      </c>
      <c r="X222" s="108">
        <f>IF($A222="",0,IF(COUNTIF(Config!$C$21:$C$23,$H222)&gt;0,1,0))</f>
        <v>0</v>
      </c>
      <c r="Y222" s="108">
        <f t="shared" si="37"/>
        <v>4</v>
      </c>
      <c r="Z222" s="108" t="str">
        <f t="shared" si="38"/>
        <v/>
      </c>
      <c r="AB222" s="108">
        <f t="shared" si="39"/>
        <v>0</v>
      </c>
      <c r="AC222" s="108">
        <f>IF($A222="",0,IF(AND($AB222=1,COUNTIF($A$2:$A222,$A222)=1),1,0))</f>
        <v>0</v>
      </c>
      <c r="AD222" s="108">
        <f t="shared" si="40"/>
        <v>1</v>
      </c>
      <c r="AE222" s="108" t="str">
        <f t="shared" si="41"/>
        <v/>
      </c>
      <c r="AF222" s="108">
        <f t="shared" si="42"/>
        <v>0</v>
      </c>
      <c r="AG222" s="108">
        <f t="shared" si="43"/>
        <v>0</v>
      </c>
      <c r="AH222" s="112" t="str">
        <f t="shared" si="44"/>
        <v>B. Sayadeth|20260904|Title|1.000|-Created AOL
 -Created Indexing Spreadsheet
 -Add Source Deed
 -Ran surface forward and backwards
 -Documents added to A</v>
      </c>
      <c r="AI222" s="108">
        <f t="shared" si="45"/>
        <v>0</v>
      </c>
      <c r="AJ222" s="108">
        <f t="shared" si="46"/>
        <v>0</v>
      </c>
      <c r="AK222" s="108">
        <f>IF($A222="",0,IF(AND($S222=1,$W222=1,$X222=1,$U222&gt;Config!$C$9),1,0))</f>
        <v>0</v>
      </c>
      <c r="AL222" s="108">
        <f t="shared" si="47"/>
        <v>0</v>
      </c>
    </row>
    <row r="223" spans="1:38" x14ac:dyDescent="0.25">
      <c r="A223" s="106" t="s">
        <v>1042</v>
      </c>
      <c r="B223" s="106" t="s">
        <v>618</v>
      </c>
      <c r="C223" s="107">
        <v>46269</v>
      </c>
      <c r="D223" s="106" t="s">
        <v>694</v>
      </c>
      <c r="E223" s="106" t="s">
        <v>765</v>
      </c>
      <c r="F223" s="106" t="s">
        <v>766</v>
      </c>
      <c r="G223" s="106" t="s">
        <v>1043</v>
      </c>
      <c r="H223" s="106" t="s">
        <v>765</v>
      </c>
      <c r="I223" s="106"/>
      <c r="J223" s="106"/>
      <c r="K223" s="106">
        <v>1</v>
      </c>
      <c r="L223" s="106">
        <v>0</v>
      </c>
      <c r="M223" s="106">
        <v>0</v>
      </c>
      <c r="N223" s="106"/>
      <c r="O223" s="106"/>
      <c r="P223" s="106">
        <v>0</v>
      </c>
      <c r="Q223" s="106" t="s">
        <v>1044</v>
      </c>
      <c r="S223" s="108">
        <f>IF($A223="","",COUNTIF(BPOworkers!$B$6:$B$105,$A223))</f>
        <v>0</v>
      </c>
      <c r="T223" s="109">
        <f>IF($A223="","",$K223*Config!$C$9)</f>
        <v>8</v>
      </c>
      <c r="U223" s="109">
        <f>IF($A223="","",IF(COUNTIF(Config!$C$21:$C$23,$H223)&gt;0,IFERROR(VALUE(LEFT(TRIM($Q223),FIND(" ",TRIM($Q223)&amp;" ")-1)),0),0))</f>
        <v>0</v>
      </c>
      <c r="V223" s="109">
        <f t="shared" si="36"/>
        <v>8</v>
      </c>
      <c r="W223" s="108">
        <f>IF($A223="",0,IF(AND($C223&gt;=Config!$C$7,$C223&lt;=Config!$C$8),1,0))</f>
        <v>1</v>
      </c>
      <c r="X223" s="108">
        <f>IF($A223="",0,IF(COUNTIF(Config!$C$21:$C$23,$H223)&gt;0,1,0))</f>
        <v>0</v>
      </c>
      <c r="Y223" s="108">
        <f t="shared" si="37"/>
        <v>4</v>
      </c>
      <c r="Z223" s="108" t="str">
        <f t="shared" si="38"/>
        <v/>
      </c>
      <c r="AB223" s="108">
        <f t="shared" si="39"/>
        <v>0</v>
      </c>
      <c r="AC223" s="108">
        <f>IF($A223="",0,IF(AND($AB223=1,COUNTIF($A$2:$A223,$A223)=1),1,0))</f>
        <v>0</v>
      </c>
      <c r="AD223" s="108">
        <f t="shared" si="40"/>
        <v>1</v>
      </c>
      <c r="AE223" s="108" t="str">
        <f t="shared" si="41"/>
        <v/>
      </c>
      <c r="AF223" s="108">
        <f t="shared" si="42"/>
        <v>0</v>
      </c>
      <c r="AG223" s="108">
        <f t="shared" si="43"/>
        <v>0</v>
      </c>
      <c r="AH223" s="110" t="str">
        <f t="shared" si="44"/>
        <v>N. Jones|20260904|Lease Bringdown|1.000|used vmware, onbase and previous updated index to search for relevant files to the AIO</v>
      </c>
      <c r="AI223" s="108">
        <f t="shared" si="45"/>
        <v>0</v>
      </c>
      <c r="AJ223" s="108">
        <f t="shared" si="46"/>
        <v>0</v>
      </c>
      <c r="AK223" s="108">
        <f>IF($A223="",0,IF(AND($S223=1,$W223=1,$X223=1,$U223&gt;Config!$C$9),1,0))</f>
        <v>0</v>
      </c>
      <c r="AL223" s="108">
        <f t="shared" si="47"/>
        <v>0</v>
      </c>
    </row>
    <row r="224" spans="1:38" x14ac:dyDescent="0.25">
      <c r="A224" s="106" t="s">
        <v>1045</v>
      </c>
      <c r="B224" s="106" t="s">
        <v>618</v>
      </c>
      <c r="C224" s="107">
        <v>46269</v>
      </c>
      <c r="D224" s="106" t="s">
        <v>720</v>
      </c>
      <c r="E224" s="106" t="s">
        <v>721</v>
      </c>
      <c r="F224" s="106" t="s">
        <v>722</v>
      </c>
      <c r="G224" s="106" t="s">
        <v>723</v>
      </c>
      <c r="H224" s="106" t="s">
        <v>631</v>
      </c>
      <c r="I224" s="106"/>
      <c r="J224" s="106"/>
      <c r="K224" s="106">
        <v>1</v>
      </c>
      <c r="L224" s="106">
        <v>0</v>
      </c>
      <c r="M224" s="106">
        <v>0</v>
      </c>
      <c r="N224" s="106"/>
      <c r="O224" s="106"/>
      <c r="P224" s="106">
        <v>0</v>
      </c>
      <c r="Q224" s="106" t="s">
        <v>1046</v>
      </c>
      <c r="S224" s="108">
        <f>IF($A224="","",COUNTIF(BPOworkers!$B$6:$B$105,$A224))</f>
        <v>0</v>
      </c>
      <c r="T224" s="109">
        <f>IF($A224="","",$K224*Config!$C$9)</f>
        <v>8</v>
      </c>
      <c r="U224" s="109">
        <f>IF($A224="","",IF(COUNTIF(Config!$C$21:$C$23,$H224)&gt;0,IFERROR(VALUE(LEFT(TRIM($Q224),FIND(" ",TRIM($Q224)&amp;" ")-1)),0),0))</f>
        <v>0</v>
      </c>
      <c r="V224" s="109">
        <f t="shared" si="36"/>
        <v>8</v>
      </c>
      <c r="W224" s="108">
        <f>IF($A224="",0,IF(AND($C224&gt;=Config!$C$7,$C224&lt;=Config!$C$8),1,0))</f>
        <v>1</v>
      </c>
      <c r="X224" s="108">
        <f>IF($A224="",0,IF(COUNTIF(Config!$C$21:$C$23,$H224)&gt;0,1,0))</f>
        <v>0</v>
      </c>
      <c r="Y224" s="108">
        <f t="shared" si="37"/>
        <v>4</v>
      </c>
      <c r="Z224" s="108" t="str">
        <f t="shared" si="38"/>
        <v/>
      </c>
      <c r="AB224" s="108">
        <f t="shared" si="39"/>
        <v>0</v>
      </c>
      <c r="AC224" s="108">
        <f>IF($A224="",0,IF(AND($AB224=1,COUNTIF($A$2:$A224,$A224)=1),1,0))</f>
        <v>0</v>
      </c>
      <c r="AD224" s="108">
        <f t="shared" si="40"/>
        <v>1</v>
      </c>
      <c r="AE224" s="108" t="str">
        <f t="shared" si="41"/>
        <v/>
      </c>
      <c r="AF224" s="108">
        <f t="shared" si="42"/>
        <v>0</v>
      </c>
      <c r="AG224" s="108">
        <f t="shared" si="43"/>
        <v>0</v>
      </c>
      <c r="AH224" s="110" t="str">
        <f t="shared" si="44"/>
        <v>E. Lee|20260904|Title|1.000|SIV Title Surface: Documents Reviewed: 34, Parties Added: 7, Index Pages Viewed: 80. Completed all tasks and submitted f</v>
      </c>
      <c r="AI224" s="108">
        <f t="shared" si="45"/>
        <v>0</v>
      </c>
      <c r="AJ224" s="108">
        <f t="shared" si="46"/>
        <v>0</v>
      </c>
      <c r="AK224" s="108">
        <f>IF($A224="",0,IF(AND($S224=1,$W224=1,$X224=1,$U224&gt;Config!$C$9),1,0))</f>
        <v>0</v>
      </c>
      <c r="AL224" s="108">
        <f t="shared" si="47"/>
        <v>0</v>
      </c>
    </row>
    <row r="225" spans="1:38" x14ac:dyDescent="0.25">
      <c r="A225" s="106" t="s">
        <v>816</v>
      </c>
      <c r="B225" s="106" t="s">
        <v>618</v>
      </c>
      <c r="C225" s="107">
        <v>46269</v>
      </c>
      <c r="D225" s="106" t="s">
        <v>529</v>
      </c>
      <c r="E225" s="106" t="s">
        <v>529</v>
      </c>
      <c r="F225" s="106" t="s">
        <v>615</v>
      </c>
      <c r="G225" s="106"/>
      <c r="H225" s="106" t="s">
        <v>529</v>
      </c>
      <c r="I225" s="106"/>
      <c r="J225" s="106"/>
      <c r="K225" s="106">
        <v>0</v>
      </c>
      <c r="L225" s="106">
        <v>0</v>
      </c>
      <c r="M225" s="106">
        <v>0</v>
      </c>
      <c r="N225" s="106"/>
      <c r="O225" s="106"/>
      <c r="P225" s="106">
        <v>0</v>
      </c>
      <c r="Q225" s="106" t="s">
        <v>1047</v>
      </c>
      <c r="S225" s="108">
        <f>IF($A225="","",COUNTIF(BPOworkers!$B$6:$B$105,$A225))</f>
        <v>0</v>
      </c>
      <c r="T225" s="109">
        <f>IF($A225="","",$K225*Config!$C$9)</f>
        <v>0</v>
      </c>
      <c r="U225" s="109">
        <f>IF($A225="","",IF(COUNTIF(Config!$C$21:$C$23,$H225)&gt;0,IFERROR(VALUE(LEFT(TRIM($Q225),FIND(" ",TRIM($Q225)&amp;" ")-1)),0),0))</f>
        <v>8</v>
      </c>
      <c r="V225" s="109">
        <f t="shared" si="36"/>
        <v>8</v>
      </c>
      <c r="W225" s="108">
        <f>IF($A225="",0,IF(AND($C225&gt;=Config!$C$7,$C225&lt;=Config!$C$8),1,0))</f>
        <v>1</v>
      </c>
      <c r="X225" s="108">
        <f>IF($A225="",0,IF(COUNTIF(Config!$C$21:$C$23,$H225)&gt;0,1,0))</f>
        <v>1</v>
      </c>
      <c r="Y225" s="108">
        <f t="shared" si="37"/>
        <v>4</v>
      </c>
      <c r="Z225" s="108" t="str">
        <f t="shared" si="38"/>
        <v/>
      </c>
      <c r="AB225" s="108">
        <f t="shared" si="39"/>
        <v>0</v>
      </c>
      <c r="AC225" s="108">
        <f>IF($A225="",0,IF(AND($AB225=1,COUNTIF($A$2:$A225,$A225)=1),1,0))</f>
        <v>0</v>
      </c>
      <c r="AD225" s="108">
        <f t="shared" si="40"/>
        <v>1</v>
      </c>
      <c r="AE225" s="108" t="str">
        <f t="shared" si="41"/>
        <v/>
      </c>
      <c r="AF225" s="108">
        <f t="shared" si="42"/>
        <v>0</v>
      </c>
      <c r="AG225" s="108">
        <f t="shared" si="43"/>
        <v>0</v>
      </c>
      <c r="AH225" s="110" t="str">
        <f t="shared" si="44"/>
        <v>S. Bacot|20260904|Time Off|0.000|8 hours off. Construction project in the home, off for Labor Day Weekend</v>
      </c>
      <c r="AI225" s="108">
        <f t="shared" si="45"/>
        <v>0</v>
      </c>
      <c r="AJ225" s="108">
        <f t="shared" si="46"/>
        <v>0</v>
      </c>
      <c r="AK225" s="108">
        <f>IF($A225="",0,IF(AND($S225=1,$W225=1,$X225=1,$U225&gt;Config!$C$9),1,0))</f>
        <v>0</v>
      </c>
      <c r="AL225" s="108">
        <f t="shared" si="47"/>
        <v>0</v>
      </c>
    </row>
    <row r="226" spans="1:38" x14ac:dyDescent="0.25">
      <c r="A226" s="106" t="s">
        <v>1048</v>
      </c>
      <c r="B226" s="106" t="s">
        <v>618</v>
      </c>
      <c r="C226" s="107">
        <v>46269</v>
      </c>
      <c r="D226" s="106" t="s">
        <v>680</v>
      </c>
      <c r="E226" s="106" t="s">
        <v>681</v>
      </c>
      <c r="F226" s="106" t="s">
        <v>682</v>
      </c>
      <c r="G226" s="106" t="s">
        <v>1049</v>
      </c>
      <c r="H226" s="106" t="s">
        <v>631</v>
      </c>
      <c r="I226" s="106"/>
      <c r="J226" s="106" t="s">
        <v>1050</v>
      </c>
      <c r="K226" s="106">
        <v>0.5</v>
      </c>
      <c r="L226" s="106">
        <v>0</v>
      </c>
      <c r="M226" s="106">
        <v>0</v>
      </c>
      <c r="N226" s="106"/>
      <c r="O226" s="106"/>
      <c r="P226" s="106">
        <v>0</v>
      </c>
      <c r="Q226" s="106" t="s">
        <v>1051</v>
      </c>
      <c r="S226" s="108">
        <f>IF($A226="","",COUNTIF(BPOworkers!$B$6:$B$105,$A226))</f>
        <v>0</v>
      </c>
      <c r="T226" s="109">
        <f>IF($A226="","",$K226*Config!$C$9)</f>
        <v>4</v>
      </c>
      <c r="U226" s="109">
        <f>IF($A226="","",IF(COUNTIF(Config!$C$21:$C$23,$H226)&gt;0,IFERROR(VALUE(LEFT(TRIM($Q226),FIND(" ",TRIM($Q226)&amp;" ")-1)),0),0))</f>
        <v>0</v>
      </c>
      <c r="V226" s="109">
        <f t="shared" si="36"/>
        <v>4</v>
      </c>
      <c r="W226" s="108">
        <f>IF($A226="",0,IF(AND($C226&gt;=Config!$C$7,$C226&lt;=Config!$C$8),1,0))</f>
        <v>1</v>
      </c>
      <c r="X226" s="108">
        <f>IF($A226="",0,IF(COUNTIF(Config!$C$21:$C$23,$H226)&gt;0,1,0))</f>
        <v>0</v>
      </c>
      <c r="Y226" s="108">
        <f t="shared" si="37"/>
        <v>4</v>
      </c>
      <c r="Z226" s="108" t="str">
        <f t="shared" si="38"/>
        <v/>
      </c>
      <c r="AB226" s="108">
        <f t="shared" si="39"/>
        <v>0</v>
      </c>
      <c r="AC226" s="108">
        <f>IF($A226="",0,IF(AND($AB226=1,COUNTIF($A$2:$A226,$A226)=1),1,0))</f>
        <v>0</v>
      </c>
      <c r="AD226" s="108">
        <f t="shared" si="40"/>
        <v>1</v>
      </c>
      <c r="AE226" s="108" t="str">
        <f t="shared" si="41"/>
        <v/>
      </c>
      <c r="AF226" s="108">
        <f t="shared" si="42"/>
        <v>0</v>
      </c>
      <c r="AG226" s="108">
        <f t="shared" si="43"/>
        <v>0</v>
      </c>
      <c r="AH226" s="110" t="str">
        <f t="shared" si="44"/>
        <v>M. Freshwater|20260904|Title|0.500|Online courthouse research using indexes and searching online records</v>
      </c>
      <c r="AI226" s="108">
        <f t="shared" si="45"/>
        <v>0</v>
      </c>
      <c r="AJ226" s="108">
        <f t="shared" si="46"/>
        <v>0</v>
      </c>
      <c r="AK226" s="108">
        <f>IF($A226="",0,IF(AND($S226=1,$W226=1,$X226=1,$U226&gt;Config!$C$9),1,0))</f>
        <v>0</v>
      </c>
      <c r="AL226" s="108">
        <f t="shared" si="47"/>
        <v>0</v>
      </c>
    </row>
    <row r="227" spans="1:38" ht="96.75" x14ac:dyDescent="0.25">
      <c r="A227" s="106" t="s">
        <v>818</v>
      </c>
      <c r="B227" s="106" t="s">
        <v>618</v>
      </c>
      <c r="C227" s="107">
        <v>46269</v>
      </c>
      <c r="D227" s="106" t="s">
        <v>623</v>
      </c>
      <c r="E227" s="106" t="s">
        <v>624</v>
      </c>
      <c r="F227" s="106" t="s">
        <v>615</v>
      </c>
      <c r="G227" s="106" t="s">
        <v>625</v>
      </c>
      <c r="H227" s="106" t="s">
        <v>819</v>
      </c>
      <c r="I227" s="106"/>
      <c r="J227" s="106" t="s">
        <v>1052</v>
      </c>
      <c r="K227" s="106">
        <v>1</v>
      </c>
      <c r="L227" s="106">
        <v>0</v>
      </c>
      <c r="M227" s="106">
        <v>0</v>
      </c>
      <c r="N227" s="106"/>
      <c r="O227" s="106"/>
      <c r="P227" s="106">
        <v>0</v>
      </c>
      <c r="Q227" s="111" t="s">
        <v>1053</v>
      </c>
      <c r="S227" s="108">
        <f>IF($A227="","",COUNTIF(BPOworkers!$B$6:$B$105,$A227))</f>
        <v>0</v>
      </c>
      <c r="T227" s="109">
        <f>IF($A227="","",$K227*Config!$C$9)</f>
        <v>8</v>
      </c>
      <c r="U227" s="109">
        <f>IF($A227="","",IF(COUNTIF(Config!$C$21:$C$23,$H227)&gt;0,IFERROR(VALUE(LEFT(TRIM($Q227),FIND(" ",TRIM($Q227)&amp;" ")-1)),0),0))</f>
        <v>0</v>
      </c>
      <c r="V227" s="109">
        <f t="shared" si="36"/>
        <v>8</v>
      </c>
      <c r="W227" s="108">
        <f>IF($A227="",0,IF(AND($C227&gt;=Config!$C$7,$C227&lt;=Config!$C$8),1,0))</f>
        <v>1</v>
      </c>
      <c r="X227" s="108">
        <f>IF($A227="",0,IF(COUNTIF(Config!$C$21:$C$23,$H227)&gt;0,1,0))</f>
        <v>0</v>
      </c>
      <c r="Y227" s="108">
        <f t="shared" si="37"/>
        <v>4</v>
      </c>
      <c r="Z227" s="108" t="str">
        <f t="shared" si="38"/>
        <v/>
      </c>
      <c r="AB227" s="108">
        <f t="shared" si="39"/>
        <v>0</v>
      </c>
      <c r="AC227" s="108">
        <f>IF($A227="",0,IF(AND($AB227=1,COUNTIF($A$2:$A227,$A227)=1),1,0))</f>
        <v>0</v>
      </c>
      <c r="AD227" s="108">
        <f t="shared" si="40"/>
        <v>1</v>
      </c>
      <c r="AE227" s="108" t="str">
        <f t="shared" si="41"/>
        <v/>
      </c>
      <c r="AF227" s="108">
        <f t="shared" si="42"/>
        <v>0</v>
      </c>
      <c r="AG227" s="108">
        <f t="shared" si="43"/>
        <v>0</v>
      </c>
      <c r="AH227" s="110" t="str">
        <f t="shared" si="44"/>
        <v>J. Burgos|20260904|Training - BPO|1.000|• Reading: Chapter 6 – Oil &amp; Gas Lease. This is the longest reading of the week (est. 105 min), so it opens the day — st</v>
      </c>
      <c r="AI227" s="108">
        <f t="shared" si="45"/>
        <v>0</v>
      </c>
      <c r="AJ227" s="108">
        <f t="shared" si="46"/>
        <v>0</v>
      </c>
      <c r="AK227" s="108">
        <f>IF($A227="",0,IF(AND($S227=1,$W227=1,$X227=1,$U227&gt;Config!$C$9),1,0))</f>
        <v>0</v>
      </c>
      <c r="AL227" s="108">
        <f t="shared" si="47"/>
        <v>0</v>
      </c>
    </row>
    <row r="228" spans="1:38" x14ac:dyDescent="0.25">
      <c r="A228" s="106" t="s">
        <v>822</v>
      </c>
      <c r="B228" s="106" t="s">
        <v>618</v>
      </c>
      <c r="C228" s="107">
        <v>46269</v>
      </c>
      <c r="D228" s="106" t="s">
        <v>623</v>
      </c>
      <c r="E228" s="106" t="s">
        <v>624</v>
      </c>
      <c r="F228" s="106" t="s">
        <v>615</v>
      </c>
      <c r="G228" s="106" t="s">
        <v>625</v>
      </c>
      <c r="H228" s="106" t="s">
        <v>819</v>
      </c>
      <c r="I228" s="106"/>
      <c r="J228" s="106" t="s">
        <v>823</v>
      </c>
      <c r="K228" s="106">
        <v>1</v>
      </c>
      <c r="L228" s="106">
        <v>0</v>
      </c>
      <c r="M228" s="106">
        <v>0</v>
      </c>
      <c r="N228" s="106"/>
      <c r="O228" s="106"/>
      <c r="P228" s="106">
        <v>0</v>
      </c>
      <c r="Q228" s="106" t="s">
        <v>1054</v>
      </c>
      <c r="S228" s="108">
        <f>IF($A228="","",COUNTIF(BPOworkers!$B$6:$B$105,$A228))</f>
        <v>0</v>
      </c>
      <c r="T228" s="109">
        <f>IF($A228="","",$K228*Config!$C$9)</f>
        <v>8</v>
      </c>
      <c r="U228" s="109">
        <f>IF($A228="","",IF(COUNTIF(Config!$C$21:$C$23,$H228)&gt;0,IFERROR(VALUE(LEFT(TRIM($Q228),FIND(" ",TRIM($Q228)&amp;" ")-1)),0),0))</f>
        <v>0</v>
      </c>
      <c r="V228" s="109">
        <f t="shared" si="36"/>
        <v>8</v>
      </c>
      <c r="W228" s="108">
        <f>IF($A228="",0,IF(AND($C228&gt;=Config!$C$7,$C228&lt;=Config!$C$8),1,0))</f>
        <v>1</v>
      </c>
      <c r="X228" s="108">
        <f>IF($A228="",0,IF(COUNTIF(Config!$C$21:$C$23,$H228)&gt;0,1,0))</f>
        <v>0</v>
      </c>
      <c r="Y228" s="108">
        <f t="shared" si="37"/>
        <v>4</v>
      </c>
      <c r="Z228" s="108" t="str">
        <f t="shared" si="38"/>
        <v/>
      </c>
      <c r="AB228" s="108">
        <f t="shared" si="39"/>
        <v>0</v>
      </c>
      <c r="AC228" s="108">
        <f>IF($A228="",0,IF(AND($AB228=1,COUNTIF($A$2:$A228,$A228)=1),1,0))</f>
        <v>0</v>
      </c>
      <c r="AD228" s="108">
        <f t="shared" si="40"/>
        <v>1</v>
      </c>
      <c r="AE228" s="108" t="str">
        <f t="shared" si="41"/>
        <v/>
      </c>
      <c r="AF228" s="108">
        <f t="shared" si="42"/>
        <v>0</v>
      </c>
      <c r="AG228" s="108">
        <f t="shared" si="43"/>
        <v>0</v>
      </c>
      <c r="AH228" s="110" t="str">
        <f t="shared" si="44"/>
        <v>D. Pescador|20260904|Training - BPO|1.000|Reading chapter 6 of the AAPL STUDY GUIDE, quiz 6 in Rise, also ELT lessons of chapter 6.</v>
      </c>
      <c r="AI228" s="108">
        <f t="shared" si="45"/>
        <v>0</v>
      </c>
      <c r="AJ228" s="108">
        <f t="shared" si="46"/>
        <v>0</v>
      </c>
      <c r="AK228" s="108">
        <f>IF($A228="",0,IF(AND($S228=1,$W228=1,$X228=1,$U228&gt;Config!$C$9),1,0))</f>
        <v>0</v>
      </c>
      <c r="AL228" s="108">
        <f t="shared" si="47"/>
        <v>0</v>
      </c>
    </row>
    <row r="229" spans="1:38" ht="192.75" x14ac:dyDescent="0.25">
      <c r="A229" s="106" t="s">
        <v>825</v>
      </c>
      <c r="B229" s="106" t="s">
        <v>618</v>
      </c>
      <c r="C229" s="107">
        <v>46269</v>
      </c>
      <c r="D229" s="106" t="s">
        <v>623</v>
      </c>
      <c r="E229" s="106" t="s">
        <v>624</v>
      </c>
      <c r="F229" s="106" t="s">
        <v>615</v>
      </c>
      <c r="G229" s="106" t="s">
        <v>625</v>
      </c>
      <c r="H229" s="106" t="s">
        <v>819</v>
      </c>
      <c r="I229" s="106"/>
      <c r="J229" s="106" t="s">
        <v>823</v>
      </c>
      <c r="K229" s="106">
        <v>1</v>
      </c>
      <c r="L229" s="106">
        <v>0</v>
      </c>
      <c r="M229" s="106">
        <v>0</v>
      </c>
      <c r="N229" s="106"/>
      <c r="O229" s="106"/>
      <c r="P229" s="106">
        <v>0</v>
      </c>
      <c r="Q229" s="111" t="s">
        <v>1055</v>
      </c>
      <c r="S229" s="108">
        <f>IF($A229="","",COUNTIF(BPOworkers!$B$6:$B$105,$A229))</f>
        <v>0</v>
      </c>
      <c r="T229" s="109">
        <f>IF($A229="","",$K229*Config!$C$9)</f>
        <v>8</v>
      </c>
      <c r="U229" s="109">
        <f>IF($A229="","",IF(COUNTIF(Config!$C$21:$C$23,$H229)&gt;0,IFERROR(VALUE(LEFT(TRIM($Q229),FIND(" ",TRIM($Q229)&amp;" ")-1)),0),0))</f>
        <v>0</v>
      </c>
      <c r="V229" s="109">
        <f t="shared" si="36"/>
        <v>8</v>
      </c>
      <c r="W229" s="108">
        <f>IF($A229="",0,IF(AND($C229&gt;=Config!$C$7,$C229&lt;=Config!$C$8),1,0))</f>
        <v>1</v>
      </c>
      <c r="X229" s="108">
        <f>IF($A229="",0,IF(COUNTIF(Config!$C$21:$C$23,$H229)&gt;0,1,0))</f>
        <v>0</v>
      </c>
      <c r="Y229" s="108">
        <f t="shared" si="37"/>
        <v>4</v>
      </c>
      <c r="Z229" s="108" t="str">
        <f t="shared" si="38"/>
        <v/>
      </c>
      <c r="AB229" s="108">
        <f t="shared" si="39"/>
        <v>0</v>
      </c>
      <c r="AC229" s="108">
        <f>IF($A229="",0,IF(AND($AB229=1,COUNTIF($A$2:$A229,$A229)=1),1,0))</f>
        <v>0</v>
      </c>
      <c r="AD229" s="108">
        <f t="shared" si="40"/>
        <v>1</v>
      </c>
      <c r="AE229" s="108" t="str">
        <f t="shared" si="41"/>
        <v/>
      </c>
      <c r="AF229" s="108">
        <f t="shared" si="42"/>
        <v>0</v>
      </c>
      <c r="AG229" s="108">
        <f t="shared" si="43"/>
        <v>0</v>
      </c>
      <c r="AH229" s="112" t="str">
        <f t="shared" si="44"/>
        <v>L. Pinto|20260904|Training - BPO|1.000|- Read Ch. 6 Oil &amp; Gas Lease
 - Quiz Ch. 6
 - ELT Lessons "Texas Oil and Gas Leases: Ownership, Clauses, and Title Analy</v>
      </c>
      <c r="AI229" s="108">
        <f t="shared" si="45"/>
        <v>0</v>
      </c>
      <c r="AJ229" s="108">
        <f t="shared" si="46"/>
        <v>0</v>
      </c>
      <c r="AK229" s="108">
        <f>IF($A229="",0,IF(AND($S229=1,$W229=1,$X229=1,$U229&gt;Config!$C$9),1,0))</f>
        <v>0</v>
      </c>
      <c r="AL229" s="108">
        <f t="shared" si="47"/>
        <v>0</v>
      </c>
    </row>
    <row r="230" spans="1:38" x14ac:dyDescent="0.25">
      <c r="A230" s="106" t="s">
        <v>827</v>
      </c>
      <c r="B230" s="106" t="s">
        <v>618</v>
      </c>
      <c r="C230" s="107">
        <v>46269</v>
      </c>
      <c r="D230" s="106" t="s">
        <v>623</v>
      </c>
      <c r="E230" s="106" t="s">
        <v>624</v>
      </c>
      <c r="F230" s="106" t="s">
        <v>615</v>
      </c>
      <c r="G230" s="106" t="s">
        <v>625</v>
      </c>
      <c r="H230" s="106" t="s">
        <v>819</v>
      </c>
      <c r="I230" s="106"/>
      <c r="J230" s="106" t="s">
        <v>823</v>
      </c>
      <c r="K230" s="106">
        <v>1</v>
      </c>
      <c r="L230" s="106">
        <v>0</v>
      </c>
      <c r="M230" s="106">
        <v>0</v>
      </c>
      <c r="N230" s="106"/>
      <c r="O230" s="106"/>
      <c r="P230" s="106">
        <v>0</v>
      </c>
      <c r="Q230" s="106" t="s">
        <v>1056</v>
      </c>
      <c r="S230" s="108">
        <f>IF($A230="","",COUNTIF(BPOworkers!$B$6:$B$105,$A230))</f>
        <v>0</v>
      </c>
      <c r="T230" s="109">
        <f>IF($A230="","",$K230*Config!$C$9)</f>
        <v>8</v>
      </c>
      <c r="U230" s="109">
        <f>IF($A230="","",IF(COUNTIF(Config!$C$21:$C$23,$H230)&gt;0,IFERROR(VALUE(LEFT(TRIM($Q230),FIND(" ",TRIM($Q230)&amp;" ")-1)),0),0))</f>
        <v>0</v>
      </c>
      <c r="V230" s="109">
        <f t="shared" si="36"/>
        <v>8</v>
      </c>
      <c r="W230" s="108">
        <f>IF($A230="",0,IF(AND($C230&gt;=Config!$C$7,$C230&lt;=Config!$C$8),1,0))</f>
        <v>1</v>
      </c>
      <c r="X230" s="108">
        <f>IF($A230="",0,IF(COUNTIF(Config!$C$21:$C$23,$H230)&gt;0,1,0))</f>
        <v>0</v>
      </c>
      <c r="Y230" s="108">
        <f t="shared" si="37"/>
        <v>4</v>
      </c>
      <c r="Z230" s="108" t="str">
        <f t="shared" si="38"/>
        <v/>
      </c>
      <c r="AB230" s="108">
        <f t="shared" si="39"/>
        <v>0</v>
      </c>
      <c r="AC230" s="108">
        <f>IF($A230="",0,IF(AND($AB230=1,COUNTIF($A$2:$A230,$A230)=1),1,0))</f>
        <v>0</v>
      </c>
      <c r="AD230" s="108">
        <f t="shared" si="40"/>
        <v>1</v>
      </c>
      <c r="AE230" s="108" t="str">
        <f t="shared" si="41"/>
        <v/>
      </c>
      <c r="AF230" s="108">
        <f t="shared" si="42"/>
        <v>0</v>
      </c>
      <c r="AG230" s="108">
        <f t="shared" si="43"/>
        <v>0</v>
      </c>
      <c r="AH230" s="110" t="str">
        <f t="shared" si="44"/>
        <v>J. Cañon|20260904|Training - BPO|1.000|Learn about Oil and gas lease and types of clause</v>
      </c>
      <c r="AI230" s="108">
        <f t="shared" si="45"/>
        <v>0</v>
      </c>
      <c r="AJ230" s="108">
        <f t="shared" si="46"/>
        <v>0</v>
      </c>
      <c r="AK230" s="108">
        <f>IF($A230="",0,IF(AND($S230=1,$W230=1,$X230=1,$U230&gt;Config!$C$9),1,0))</f>
        <v>0</v>
      </c>
      <c r="AL230" s="108">
        <f t="shared" si="47"/>
        <v>0</v>
      </c>
    </row>
    <row r="231" spans="1:38" x14ac:dyDescent="0.25">
      <c r="A231" s="106" t="s">
        <v>827</v>
      </c>
      <c r="B231" s="106" t="s">
        <v>409</v>
      </c>
      <c r="C231" s="107">
        <v>46269</v>
      </c>
      <c r="D231" s="106" t="s">
        <v>623</v>
      </c>
      <c r="E231" s="106" t="s">
        <v>624</v>
      </c>
      <c r="F231" s="106" t="s">
        <v>615</v>
      </c>
      <c r="G231" s="106" t="s">
        <v>625</v>
      </c>
      <c r="H231" s="106" t="s">
        <v>819</v>
      </c>
      <c r="I231" s="106"/>
      <c r="J231" s="106" t="s">
        <v>823</v>
      </c>
      <c r="K231" s="106">
        <v>1</v>
      </c>
      <c r="L231" s="106">
        <v>0</v>
      </c>
      <c r="M231" s="106">
        <v>0</v>
      </c>
      <c r="N231" s="106"/>
      <c r="O231" s="106"/>
      <c r="P231" s="106">
        <v>0</v>
      </c>
      <c r="Q231" s="106" t="s">
        <v>1056</v>
      </c>
      <c r="S231" s="108">
        <f>IF($A231="","",COUNTIF(BPOworkers!$B$6:$B$105,$A231))</f>
        <v>0</v>
      </c>
      <c r="T231" s="109">
        <f>IF($A231="","",$K231*Config!$C$9)</f>
        <v>8</v>
      </c>
      <c r="U231" s="109">
        <f>IF($A231="","",IF(COUNTIF(Config!$C$21:$C$23,$H231)&gt;0,IFERROR(VALUE(LEFT(TRIM($Q231),FIND(" ",TRIM($Q231)&amp;" ")-1)),0),0))</f>
        <v>0</v>
      </c>
      <c r="V231" s="109">
        <f t="shared" si="36"/>
        <v>8</v>
      </c>
      <c r="W231" s="108">
        <f>IF($A231="",0,IF(AND($C231&gt;=Config!$C$7,$C231&lt;=Config!$C$8),1,0))</f>
        <v>1</v>
      </c>
      <c r="X231" s="108">
        <f>IF($A231="",0,IF(COUNTIF(Config!$C$21:$C$23,$H231)&gt;0,1,0))</f>
        <v>0</v>
      </c>
      <c r="Y231" s="108">
        <f t="shared" si="37"/>
        <v>4</v>
      </c>
      <c r="Z231" s="108" t="str">
        <f t="shared" si="38"/>
        <v/>
      </c>
      <c r="AB231" s="108">
        <f t="shared" si="39"/>
        <v>0</v>
      </c>
      <c r="AC231" s="108">
        <f>IF($A231="",0,IF(AND($AB231=1,COUNTIF($A$2:$A231,$A231)=1),1,0))</f>
        <v>0</v>
      </c>
      <c r="AD231" s="108">
        <f t="shared" si="40"/>
        <v>1</v>
      </c>
      <c r="AE231" s="108" t="str">
        <f t="shared" si="41"/>
        <v/>
      </c>
      <c r="AF231" s="108">
        <f t="shared" si="42"/>
        <v>0</v>
      </c>
      <c r="AG231" s="108">
        <f t="shared" si="43"/>
        <v>0</v>
      </c>
      <c r="AH231" s="110" t="str">
        <f t="shared" si="44"/>
        <v>J. Cañon|20260904|Training - BPO|1.000|Learn about Oil and gas lease and types of clause</v>
      </c>
      <c r="AI231" s="108">
        <f t="shared" si="45"/>
        <v>0</v>
      </c>
      <c r="AJ231" s="108">
        <f t="shared" si="46"/>
        <v>0</v>
      </c>
      <c r="AK231" s="108">
        <f>IF($A231="",0,IF(AND($S231=1,$W231=1,$X231=1,$U231&gt;Config!$C$9),1,0))</f>
        <v>0</v>
      </c>
      <c r="AL231" s="108">
        <f t="shared" si="47"/>
        <v>0</v>
      </c>
    </row>
    <row r="232" spans="1:38" x14ac:dyDescent="0.25">
      <c r="A232" s="106" t="s">
        <v>829</v>
      </c>
      <c r="B232" s="106" t="s">
        <v>618</v>
      </c>
      <c r="C232" s="107">
        <v>46269</v>
      </c>
      <c r="D232" s="106" t="s">
        <v>623</v>
      </c>
      <c r="E232" s="106" t="s">
        <v>624</v>
      </c>
      <c r="F232" s="106" t="s">
        <v>615</v>
      </c>
      <c r="G232" s="106" t="s">
        <v>625</v>
      </c>
      <c r="H232" s="106" t="s">
        <v>819</v>
      </c>
      <c r="I232" s="106"/>
      <c r="J232" s="106" t="s">
        <v>832</v>
      </c>
      <c r="K232" s="106">
        <v>1</v>
      </c>
      <c r="L232" s="106">
        <v>0</v>
      </c>
      <c r="M232" s="106">
        <v>0</v>
      </c>
      <c r="N232" s="106"/>
      <c r="O232" s="106"/>
      <c r="P232" s="106">
        <v>0</v>
      </c>
      <c r="Q232" s="106" t="s">
        <v>1057</v>
      </c>
      <c r="S232" s="108">
        <f>IF($A232="","",COUNTIF(BPOworkers!$B$6:$B$105,$A232))</f>
        <v>0</v>
      </c>
      <c r="T232" s="109">
        <f>IF($A232="","",$K232*Config!$C$9)</f>
        <v>8</v>
      </c>
      <c r="U232" s="109">
        <f>IF($A232="","",IF(COUNTIF(Config!$C$21:$C$23,$H232)&gt;0,IFERROR(VALUE(LEFT(TRIM($Q232),FIND(" ",TRIM($Q232)&amp;" ")-1)),0),0))</f>
        <v>0</v>
      </c>
      <c r="V232" s="109">
        <f t="shared" si="36"/>
        <v>8</v>
      </c>
      <c r="W232" s="108">
        <f>IF($A232="",0,IF(AND($C232&gt;=Config!$C$7,$C232&lt;=Config!$C$8),1,0))</f>
        <v>1</v>
      </c>
      <c r="X232" s="108">
        <f>IF($A232="",0,IF(COUNTIF(Config!$C$21:$C$23,$H232)&gt;0,1,0))</f>
        <v>0</v>
      </c>
      <c r="Y232" s="108">
        <f t="shared" si="37"/>
        <v>4</v>
      </c>
      <c r="Z232" s="108" t="str">
        <f t="shared" si="38"/>
        <v/>
      </c>
      <c r="AB232" s="108">
        <f t="shared" si="39"/>
        <v>0</v>
      </c>
      <c r="AC232" s="108">
        <f>IF($A232="",0,IF(AND($AB232=1,COUNTIF($A$2:$A232,$A232)=1),1,0))</f>
        <v>0</v>
      </c>
      <c r="AD232" s="108">
        <f t="shared" si="40"/>
        <v>1</v>
      </c>
      <c r="AE232" s="108" t="str">
        <f t="shared" si="41"/>
        <v/>
      </c>
      <c r="AF232" s="108">
        <f t="shared" si="42"/>
        <v>0</v>
      </c>
      <c r="AG232" s="108">
        <f t="shared" si="43"/>
        <v>0</v>
      </c>
      <c r="AH232" s="110" t="str">
        <f t="shared" si="44"/>
        <v>S. Guataquira|20260904|Training - BPO|1.000|Today i learn about Lease in the oil industy and the diferent clauses in a leease</v>
      </c>
      <c r="AI232" s="108">
        <f t="shared" si="45"/>
        <v>0</v>
      </c>
      <c r="AJ232" s="108">
        <f t="shared" si="46"/>
        <v>0</v>
      </c>
      <c r="AK232" s="108">
        <f>IF($A232="",0,IF(AND($S232=1,$W232=1,$X232=1,$U232&gt;Config!$C$9),1,0))</f>
        <v>0</v>
      </c>
      <c r="AL232" s="108">
        <f t="shared" si="47"/>
        <v>0</v>
      </c>
    </row>
    <row r="233" spans="1:38" ht="180.75" x14ac:dyDescent="0.25">
      <c r="A233" s="106" t="s">
        <v>834</v>
      </c>
      <c r="B233" s="106" t="s">
        <v>618</v>
      </c>
      <c r="C233" s="107">
        <v>46269</v>
      </c>
      <c r="D233" s="106" t="s">
        <v>623</v>
      </c>
      <c r="E233" s="106" t="s">
        <v>624</v>
      </c>
      <c r="F233" s="106" t="s">
        <v>615</v>
      </c>
      <c r="G233" s="106" t="s">
        <v>625</v>
      </c>
      <c r="H233" s="106" t="s">
        <v>819</v>
      </c>
      <c r="I233" s="106"/>
      <c r="J233" s="106" t="s">
        <v>823</v>
      </c>
      <c r="K233" s="106">
        <v>1</v>
      </c>
      <c r="L233" s="106">
        <v>0</v>
      </c>
      <c r="M233" s="106">
        <v>0</v>
      </c>
      <c r="N233" s="106"/>
      <c r="O233" s="106"/>
      <c r="P233" s="106">
        <v>0</v>
      </c>
      <c r="Q233" s="111" t="s">
        <v>1058</v>
      </c>
      <c r="S233" s="108">
        <f>IF($A233="","",COUNTIF(BPOworkers!$B$6:$B$105,$A233))</f>
        <v>0</v>
      </c>
      <c r="T233" s="109">
        <f>IF($A233="","",$K233*Config!$C$9)</f>
        <v>8</v>
      </c>
      <c r="U233" s="109">
        <f>IF($A233="","",IF(COUNTIF(Config!$C$21:$C$23,$H233)&gt;0,IFERROR(VALUE(LEFT(TRIM($Q233),FIND(" ",TRIM($Q233)&amp;" ")-1)),0),0))</f>
        <v>0</v>
      </c>
      <c r="V233" s="109">
        <f t="shared" si="36"/>
        <v>8</v>
      </c>
      <c r="W233" s="108">
        <f>IF($A233="",0,IF(AND($C233&gt;=Config!$C$7,$C233&lt;=Config!$C$8),1,0))</f>
        <v>1</v>
      </c>
      <c r="X233" s="108">
        <f>IF($A233="",0,IF(COUNTIF(Config!$C$21:$C$23,$H233)&gt;0,1,0))</f>
        <v>0</v>
      </c>
      <c r="Y233" s="108">
        <f t="shared" si="37"/>
        <v>4</v>
      </c>
      <c r="Z233" s="108" t="str">
        <f t="shared" si="38"/>
        <v/>
      </c>
      <c r="AB233" s="108">
        <f t="shared" si="39"/>
        <v>0</v>
      </c>
      <c r="AC233" s="108">
        <f>IF($A233="",0,IF(AND($AB233=1,COUNTIF($A$2:$A233,$A233)=1),1,0))</f>
        <v>0</v>
      </c>
      <c r="AD233" s="108">
        <f t="shared" si="40"/>
        <v>1</v>
      </c>
      <c r="AE233" s="108" t="str">
        <f t="shared" si="41"/>
        <v/>
      </c>
      <c r="AF233" s="108">
        <f t="shared" si="42"/>
        <v>0</v>
      </c>
      <c r="AG233" s="108">
        <f t="shared" si="43"/>
        <v>0</v>
      </c>
      <c r="AH233" s="112" t="str">
        <f t="shared" si="44"/>
        <v xml:space="preserve">C. Diaz|20260904|Training - BPO|1.000|Read the assigned pages of Chapter 6 — this is the longest reading of the week, so plan to begin it first thing in the
 </v>
      </c>
      <c r="AI233" s="108">
        <f t="shared" si="45"/>
        <v>0</v>
      </c>
      <c r="AJ233" s="108">
        <f t="shared" si="46"/>
        <v>0</v>
      </c>
      <c r="AK233" s="108">
        <f>IF($A233="",0,IF(AND($S233=1,$W233=1,$X233=1,$U233&gt;Config!$C$9),1,0))</f>
        <v>0</v>
      </c>
      <c r="AL233" s="108">
        <f t="shared" si="47"/>
        <v>0</v>
      </c>
    </row>
    <row r="234" spans="1:38" ht="180.75" x14ac:dyDescent="0.25">
      <c r="A234" s="106" t="s">
        <v>836</v>
      </c>
      <c r="B234" s="106" t="s">
        <v>618</v>
      </c>
      <c r="C234" s="107">
        <v>46269</v>
      </c>
      <c r="D234" s="106" t="s">
        <v>623</v>
      </c>
      <c r="E234" s="106" t="s">
        <v>624</v>
      </c>
      <c r="F234" s="106" t="s">
        <v>615</v>
      </c>
      <c r="G234" s="106" t="s">
        <v>625</v>
      </c>
      <c r="H234" s="106" t="s">
        <v>819</v>
      </c>
      <c r="I234" s="106"/>
      <c r="J234" s="106" t="s">
        <v>1059</v>
      </c>
      <c r="K234" s="106">
        <v>1</v>
      </c>
      <c r="L234" s="106">
        <v>0</v>
      </c>
      <c r="M234" s="106">
        <v>0</v>
      </c>
      <c r="N234" s="106"/>
      <c r="O234" s="106"/>
      <c r="P234" s="106">
        <v>0</v>
      </c>
      <c r="Q234" s="111" t="s">
        <v>1060</v>
      </c>
      <c r="S234" s="108">
        <f>IF($A234="","",COUNTIF(BPOworkers!$B$6:$B$105,$A234))</f>
        <v>0</v>
      </c>
      <c r="T234" s="109">
        <f>IF($A234="","",$K234*Config!$C$9)</f>
        <v>8</v>
      </c>
      <c r="U234" s="109">
        <f>IF($A234="","",IF(COUNTIF(Config!$C$21:$C$23,$H234)&gt;0,IFERROR(VALUE(LEFT(TRIM($Q234),FIND(" ",TRIM($Q234)&amp;" ")-1)),0),0))</f>
        <v>0</v>
      </c>
      <c r="V234" s="109">
        <f t="shared" si="36"/>
        <v>8</v>
      </c>
      <c r="W234" s="108">
        <f>IF($A234="",0,IF(AND($C234&gt;=Config!$C$7,$C234&lt;=Config!$C$8),1,0))</f>
        <v>1</v>
      </c>
      <c r="X234" s="108">
        <f>IF($A234="",0,IF(COUNTIF(Config!$C$21:$C$23,$H234)&gt;0,1,0))</f>
        <v>0</v>
      </c>
      <c r="Y234" s="108">
        <f t="shared" si="37"/>
        <v>4</v>
      </c>
      <c r="Z234" s="108" t="str">
        <f t="shared" si="38"/>
        <v/>
      </c>
      <c r="AB234" s="108">
        <f t="shared" si="39"/>
        <v>0</v>
      </c>
      <c r="AC234" s="108">
        <f>IF($A234="",0,IF(AND($AB234=1,COUNTIF($A$2:$A234,$A234)=1),1,0))</f>
        <v>0</v>
      </c>
      <c r="AD234" s="108">
        <f t="shared" si="40"/>
        <v>1</v>
      </c>
      <c r="AE234" s="108" t="str">
        <f t="shared" si="41"/>
        <v/>
      </c>
      <c r="AF234" s="108">
        <f t="shared" si="42"/>
        <v>0</v>
      </c>
      <c r="AG234" s="108">
        <f t="shared" si="43"/>
        <v>0</v>
      </c>
      <c r="AH234" s="112" t="str">
        <f t="shared" si="44"/>
        <v>T. Moreno|20260904|Training - BPO|1.000|Reading: Chapter 6 – Oil &amp; Gas Lease. This is the longest reading of the week (est. 105 min), so it opens
 the day — sta</v>
      </c>
      <c r="AI234" s="108">
        <f t="shared" si="45"/>
        <v>0</v>
      </c>
      <c r="AJ234" s="108">
        <f t="shared" si="46"/>
        <v>0</v>
      </c>
      <c r="AK234" s="108">
        <f>IF($A234="",0,IF(AND($S234=1,$W234=1,$X234=1,$U234&gt;Config!$C$9),1,0))</f>
        <v>0</v>
      </c>
      <c r="AL234" s="108">
        <f t="shared" si="47"/>
        <v>0</v>
      </c>
    </row>
    <row r="235" spans="1:38" ht="180.75" x14ac:dyDescent="0.25">
      <c r="A235" s="106" t="s">
        <v>839</v>
      </c>
      <c r="B235" s="106" t="s">
        <v>618</v>
      </c>
      <c r="C235" s="107">
        <v>46269</v>
      </c>
      <c r="D235" s="106" t="s">
        <v>623</v>
      </c>
      <c r="E235" s="106" t="s">
        <v>624</v>
      </c>
      <c r="F235" s="106" t="s">
        <v>615</v>
      </c>
      <c r="G235" s="106" t="s">
        <v>625</v>
      </c>
      <c r="H235" s="106" t="s">
        <v>819</v>
      </c>
      <c r="I235" s="106"/>
      <c r="J235" s="106" t="s">
        <v>823</v>
      </c>
      <c r="K235" s="106">
        <v>1</v>
      </c>
      <c r="L235" s="106">
        <v>0</v>
      </c>
      <c r="M235" s="106">
        <v>0</v>
      </c>
      <c r="N235" s="106"/>
      <c r="O235" s="106"/>
      <c r="P235" s="106">
        <v>0</v>
      </c>
      <c r="Q235" s="111" t="s">
        <v>1061</v>
      </c>
      <c r="S235" s="108">
        <f>IF($A235="","",COUNTIF(BPOworkers!$B$6:$B$105,$A235))</f>
        <v>0</v>
      </c>
      <c r="T235" s="109">
        <f>IF($A235="","",$K235*Config!$C$9)</f>
        <v>8</v>
      </c>
      <c r="U235" s="109">
        <f>IF($A235="","",IF(COUNTIF(Config!$C$21:$C$23,$H235)&gt;0,IFERROR(VALUE(LEFT(TRIM($Q235),FIND(" ",TRIM($Q235)&amp;" ")-1)),0),0))</f>
        <v>0</v>
      </c>
      <c r="V235" s="109">
        <f t="shared" si="36"/>
        <v>8</v>
      </c>
      <c r="W235" s="108">
        <f>IF($A235="",0,IF(AND($C235&gt;=Config!$C$7,$C235&lt;=Config!$C$8),1,0))</f>
        <v>1</v>
      </c>
      <c r="X235" s="108">
        <f>IF($A235="",0,IF(COUNTIF(Config!$C$21:$C$23,$H235)&gt;0,1,0))</f>
        <v>0</v>
      </c>
      <c r="Y235" s="108">
        <f t="shared" si="37"/>
        <v>4</v>
      </c>
      <c r="Z235" s="108" t="str">
        <f t="shared" si="38"/>
        <v/>
      </c>
      <c r="AB235" s="108">
        <f t="shared" si="39"/>
        <v>0</v>
      </c>
      <c r="AC235" s="108">
        <f>IF($A235="",0,IF(AND($AB235=1,COUNTIF($A$2:$A235,$A235)=1),1,0))</f>
        <v>0</v>
      </c>
      <c r="AD235" s="108">
        <f t="shared" si="40"/>
        <v>1</v>
      </c>
      <c r="AE235" s="108" t="str">
        <f t="shared" si="41"/>
        <v/>
      </c>
      <c r="AF235" s="108">
        <f t="shared" si="42"/>
        <v>0</v>
      </c>
      <c r="AG235" s="108">
        <f t="shared" si="43"/>
        <v>0</v>
      </c>
      <c r="AH235" s="112" t="str">
        <f t="shared" si="44"/>
        <v>S. Lopez|20260904|Training - BPO|1.000|Reading of Chapter 6 of the AAPL Study Guide. 
 Doing the Quiz of the Chapter 6 in the Rise Platform. 
 Doing the “Texas</v>
      </c>
      <c r="AI235" s="108">
        <f t="shared" si="45"/>
        <v>0</v>
      </c>
      <c r="AJ235" s="108">
        <f t="shared" si="46"/>
        <v>0</v>
      </c>
      <c r="AK235" s="108">
        <f>IF($A235="",0,IF(AND($S235=1,$W235=1,$X235=1,$U235&gt;Config!$C$9),1,0))</f>
        <v>0</v>
      </c>
      <c r="AL235" s="108">
        <f t="shared" si="47"/>
        <v>0</v>
      </c>
    </row>
    <row r="236" spans="1:38" ht="180.75" x14ac:dyDescent="0.25">
      <c r="A236" s="106" t="s">
        <v>841</v>
      </c>
      <c r="B236" s="106" t="s">
        <v>618</v>
      </c>
      <c r="C236" s="107">
        <v>46269</v>
      </c>
      <c r="D236" s="106" t="s">
        <v>623</v>
      </c>
      <c r="E236" s="106" t="s">
        <v>624</v>
      </c>
      <c r="F236" s="106" t="s">
        <v>615</v>
      </c>
      <c r="G236" s="106" t="s">
        <v>625</v>
      </c>
      <c r="H236" s="106" t="s">
        <v>819</v>
      </c>
      <c r="I236" s="106"/>
      <c r="J236" s="106" t="s">
        <v>823</v>
      </c>
      <c r="K236" s="106">
        <v>1</v>
      </c>
      <c r="L236" s="106">
        <v>0</v>
      </c>
      <c r="M236" s="106">
        <v>0</v>
      </c>
      <c r="N236" s="106"/>
      <c r="O236" s="106"/>
      <c r="P236" s="106">
        <v>0</v>
      </c>
      <c r="Q236" s="111" t="s">
        <v>1058</v>
      </c>
      <c r="S236" s="108">
        <f>IF($A236="","",COUNTIF(BPOworkers!$B$6:$B$105,$A236))</f>
        <v>0</v>
      </c>
      <c r="T236" s="109">
        <f>IF($A236="","",$K236*Config!$C$9)</f>
        <v>8</v>
      </c>
      <c r="U236" s="109">
        <f>IF($A236="","",IF(COUNTIF(Config!$C$21:$C$23,$H236)&gt;0,IFERROR(VALUE(LEFT(TRIM($Q236),FIND(" ",TRIM($Q236)&amp;" ")-1)),0),0))</f>
        <v>0</v>
      </c>
      <c r="V236" s="109">
        <f t="shared" si="36"/>
        <v>8</v>
      </c>
      <c r="W236" s="108">
        <f>IF($A236="",0,IF(AND($C236&gt;=Config!$C$7,$C236&lt;=Config!$C$8),1,0))</f>
        <v>1</v>
      </c>
      <c r="X236" s="108">
        <f>IF($A236="",0,IF(COUNTIF(Config!$C$21:$C$23,$H236)&gt;0,1,0))</f>
        <v>0</v>
      </c>
      <c r="Y236" s="108">
        <f t="shared" si="37"/>
        <v>4</v>
      </c>
      <c r="Z236" s="108" t="str">
        <f t="shared" si="38"/>
        <v/>
      </c>
      <c r="AB236" s="108">
        <f t="shared" si="39"/>
        <v>0</v>
      </c>
      <c r="AC236" s="108">
        <f>IF($A236="",0,IF(AND($AB236=1,COUNTIF($A$2:$A236,$A236)=1),1,0))</f>
        <v>0</v>
      </c>
      <c r="AD236" s="108">
        <f t="shared" si="40"/>
        <v>1</v>
      </c>
      <c r="AE236" s="108" t="str">
        <f t="shared" si="41"/>
        <v/>
      </c>
      <c r="AF236" s="108">
        <f t="shared" si="42"/>
        <v>0</v>
      </c>
      <c r="AG236" s="108">
        <f t="shared" si="43"/>
        <v>0</v>
      </c>
      <c r="AH236" s="112" t="str">
        <f t="shared" si="44"/>
        <v xml:space="preserve">A. Roa|20260904|Training - BPO|1.000|Read the assigned pages of Chapter 6 — this is the longest reading of the week, so plan to begin it first thing in the
 </v>
      </c>
      <c r="AI236" s="108">
        <f t="shared" si="45"/>
        <v>0</v>
      </c>
      <c r="AJ236" s="108">
        <f t="shared" si="46"/>
        <v>0</v>
      </c>
      <c r="AK236" s="108">
        <f>IF($A236="",0,IF(AND($S236=1,$W236=1,$X236=1,$U236&gt;Config!$C$9),1,0))</f>
        <v>0</v>
      </c>
      <c r="AL236" s="108">
        <f t="shared" si="47"/>
        <v>0</v>
      </c>
    </row>
    <row r="237" spans="1:38" x14ac:dyDescent="0.25">
      <c r="A237" s="106" t="s">
        <v>843</v>
      </c>
      <c r="B237" s="106" t="s">
        <v>618</v>
      </c>
      <c r="C237" s="107">
        <v>46269</v>
      </c>
      <c r="D237" s="106" t="s">
        <v>623</v>
      </c>
      <c r="E237" s="106" t="s">
        <v>624</v>
      </c>
      <c r="F237" s="106" t="s">
        <v>615</v>
      </c>
      <c r="G237" s="106" t="s">
        <v>625</v>
      </c>
      <c r="H237" s="106" t="s">
        <v>819</v>
      </c>
      <c r="I237" s="106"/>
      <c r="J237" s="106" t="s">
        <v>823</v>
      </c>
      <c r="K237" s="106">
        <v>1</v>
      </c>
      <c r="L237" s="106">
        <v>0</v>
      </c>
      <c r="M237" s="106">
        <v>0</v>
      </c>
      <c r="N237" s="106"/>
      <c r="O237" s="106"/>
      <c r="P237" s="106">
        <v>0</v>
      </c>
      <c r="Q237" s="106" t="s">
        <v>1062</v>
      </c>
      <c r="S237" s="108">
        <f>IF($A237="","",COUNTIF(BPOworkers!$B$6:$B$105,$A237))</f>
        <v>0</v>
      </c>
      <c r="T237" s="109">
        <f>IF($A237="","",$K237*Config!$C$9)</f>
        <v>8</v>
      </c>
      <c r="U237" s="109">
        <f>IF($A237="","",IF(COUNTIF(Config!$C$21:$C$23,$H237)&gt;0,IFERROR(VALUE(LEFT(TRIM($Q237),FIND(" ",TRIM($Q237)&amp;" ")-1)),0),0))</f>
        <v>0</v>
      </c>
      <c r="V237" s="109">
        <f t="shared" si="36"/>
        <v>8</v>
      </c>
      <c r="W237" s="108">
        <f>IF($A237="",0,IF(AND($C237&gt;=Config!$C$7,$C237&lt;=Config!$C$8),1,0))</f>
        <v>1</v>
      </c>
      <c r="X237" s="108">
        <f>IF($A237="",0,IF(COUNTIF(Config!$C$21:$C$23,$H237)&gt;0,1,0))</f>
        <v>0</v>
      </c>
      <c r="Y237" s="108">
        <f t="shared" si="37"/>
        <v>4</v>
      </c>
      <c r="Z237" s="108" t="str">
        <f t="shared" si="38"/>
        <v/>
      </c>
      <c r="AB237" s="108">
        <f t="shared" si="39"/>
        <v>0</v>
      </c>
      <c r="AC237" s="108">
        <f>IF($A237="",0,IF(AND($AB237=1,COUNTIF($A$2:$A237,$A237)=1),1,0))</f>
        <v>0</v>
      </c>
      <c r="AD237" s="108">
        <f t="shared" si="40"/>
        <v>1</v>
      </c>
      <c r="AE237" s="108" t="str">
        <f t="shared" si="41"/>
        <v/>
      </c>
      <c r="AF237" s="108">
        <f t="shared" si="42"/>
        <v>0</v>
      </c>
      <c r="AG237" s="108">
        <f t="shared" si="43"/>
        <v>0</v>
      </c>
      <c r="AH237" s="110" t="str">
        <f t="shared" si="44"/>
        <v>G. Gonzalez|20260904|Training - BPO|1.000|Did the lectures and quiz</v>
      </c>
      <c r="AI237" s="108">
        <f t="shared" si="45"/>
        <v>0</v>
      </c>
      <c r="AJ237" s="108">
        <f t="shared" si="46"/>
        <v>0</v>
      </c>
      <c r="AK237" s="108">
        <f>IF($A237="",0,IF(AND($S237=1,$W237=1,$X237=1,$U237&gt;Config!$C$9),1,0))</f>
        <v>0</v>
      </c>
      <c r="AL237" s="108">
        <f t="shared" si="47"/>
        <v>0</v>
      </c>
    </row>
    <row r="238" spans="1:38" ht="204.75" x14ac:dyDescent="0.25">
      <c r="A238" s="106" t="s">
        <v>845</v>
      </c>
      <c r="B238" s="106" t="s">
        <v>618</v>
      </c>
      <c r="C238" s="107">
        <v>46269</v>
      </c>
      <c r="D238" s="106" t="s">
        <v>623</v>
      </c>
      <c r="E238" s="106" t="s">
        <v>624</v>
      </c>
      <c r="F238" s="106" t="s">
        <v>615</v>
      </c>
      <c r="G238" s="106" t="s">
        <v>625</v>
      </c>
      <c r="H238" s="106" t="s">
        <v>819</v>
      </c>
      <c r="I238" s="106"/>
      <c r="J238" s="106" t="s">
        <v>823</v>
      </c>
      <c r="K238" s="106">
        <v>1</v>
      </c>
      <c r="L238" s="106">
        <v>0</v>
      </c>
      <c r="M238" s="106">
        <v>0</v>
      </c>
      <c r="N238" s="106"/>
      <c r="O238" s="106"/>
      <c r="P238" s="106">
        <v>0</v>
      </c>
      <c r="Q238" s="111" t="s">
        <v>1063</v>
      </c>
      <c r="S238" s="108">
        <f>IF($A238="","",COUNTIF(BPOworkers!$B$6:$B$105,$A238))</f>
        <v>0</v>
      </c>
      <c r="T238" s="109">
        <f>IF($A238="","",$K238*Config!$C$9)</f>
        <v>8</v>
      </c>
      <c r="U238" s="109">
        <f>IF($A238="","",IF(COUNTIF(Config!$C$21:$C$23,$H238)&gt;0,IFERROR(VALUE(LEFT(TRIM($Q238),FIND(" ",TRIM($Q238)&amp;" ")-1)),0),0))</f>
        <v>0</v>
      </c>
      <c r="V238" s="109">
        <f t="shared" si="36"/>
        <v>8</v>
      </c>
      <c r="W238" s="108">
        <f>IF($A238="",0,IF(AND($C238&gt;=Config!$C$7,$C238&lt;=Config!$C$8),1,0))</f>
        <v>1</v>
      </c>
      <c r="X238" s="108">
        <f>IF($A238="",0,IF(COUNTIF(Config!$C$21:$C$23,$H238)&gt;0,1,0))</f>
        <v>0</v>
      </c>
      <c r="Y238" s="108">
        <f t="shared" si="37"/>
        <v>4</v>
      </c>
      <c r="Z238" s="108" t="str">
        <f t="shared" si="38"/>
        <v/>
      </c>
      <c r="AB238" s="108">
        <f t="shared" si="39"/>
        <v>0</v>
      </c>
      <c r="AC238" s="108">
        <f>IF($A238="",0,IF(AND($AB238=1,COUNTIF($A$2:$A238,$A238)=1),1,0))</f>
        <v>0</v>
      </c>
      <c r="AD238" s="108">
        <f t="shared" si="40"/>
        <v>1</v>
      </c>
      <c r="AE238" s="108" t="str">
        <f t="shared" si="41"/>
        <v/>
      </c>
      <c r="AF238" s="108">
        <f t="shared" si="42"/>
        <v>0</v>
      </c>
      <c r="AG238" s="108">
        <f t="shared" si="43"/>
        <v>0</v>
      </c>
      <c r="AH238" s="112" t="str">
        <f t="shared" si="44"/>
        <v>L. Rincon|20260904|Training - BPO|1.000|Reading: Chapter 6 – Oil &amp; Gas Lease.
 Chapter 6 quiz in Rise
 Rise/ELT lesson: “Texas Oil and Gas Leases: Ownership, Cl</v>
      </c>
      <c r="AI238" s="108">
        <f t="shared" si="45"/>
        <v>0</v>
      </c>
      <c r="AJ238" s="108">
        <f t="shared" si="46"/>
        <v>0</v>
      </c>
      <c r="AK238" s="108">
        <f>IF($A238="",0,IF(AND($S238=1,$W238=1,$X238=1,$U238&gt;Config!$C$9),1,0))</f>
        <v>0</v>
      </c>
      <c r="AL238" s="108">
        <f t="shared" si="47"/>
        <v>0</v>
      </c>
    </row>
    <row r="239" spans="1:38" ht="204.75" x14ac:dyDescent="0.25">
      <c r="A239" s="106" t="s">
        <v>847</v>
      </c>
      <c r="B239" s="106" t="s">
        <v>618</v>
      </c>
      <c r="C239" s="107">
        <v>46269</v>
      </c>
      <c r="D239" s="106" t="s">
        <v>623</v>
      </c>
      <c r="E239" s="106" t="s">
        <v>624</v>
      </c>
      <c r="F239" s="106" t="s">
        <v>615</v>
      </c>
      <c r="G239" s="106" t="s">
        <v>625</v>
      </c>
      <c r="H239" s="106" t="s">
        <v>819</v>
      </c>
      <c r="I239" s="106"/>
      <c r="J239" s="106" t="s">
        <v>1064</v>
      </c>
      <c r="K239" s="106">
        <v>1</v>
      </c>
      <c r="L239" s="106">
        <v>0</v>
      </c>
      <c r="M239" s="106">
        <v>0</v>
      </c>
      <c r="N239" s="106"/>
      <c r="O239" s="106"/>
      <c r="P239" s="106">
        <v>0</v>
      </c>
      <c r="Q239" s="111" t="s">
        <v>1063</v>
      </c>
      <c r="S239" s="108">
        <f>IF($A239="","",COUNTIF(BPOworkers!$B$6:$B$105,$A239))</f>
        <v>0</v>
      </c>
      <c r="T239" s="109">
        <f>IF($A239="","",$K239*Config!$C$9)</f>
        <v>8</v>
      </c>
      <c r="U239" s="109">
        <f>IF($A239="","",IF(COUNTIF(Config!$C$21:$C$23,$H239)&gt;0,IFERROR(VALUE(LEFT(TRIM($Q239),FIND(" ",TRIM($Q239)&amp;" ")-1)),0),0))</f>
        <v>0</v>
      </c>
      <c r="V239" s="109">
        <f t="shared" si="36"/>
        <v>8</v>
      </c>
      <c r="W239" s="108">
        <f>IF($A239="",0,IF(AND($C239&gt;=Config!$C$7,$C239&lt;=Config!$C$8),1,0))</f>
        <v>1</v>
      </c>
      <c r="X239" s="108">
        <f>IF($A239="",0,IF(COUNTIF(Config!$C$21:$C$23,$H239)&gt;0,1,0))</f>
        <v>0</v>
      </c>
      <c r="Y239" s="108">
        <f t="shared" si="37"/>
        <v>4</v>
      </c>
      <c r="Z239" s="108" t="str">
        <f t="shared" si="38"/>
        <v/>
      </c>
      <c r="AB239" s="108">
        <f t="shared" si="39"/>
        <v>0</v>
      </c>
      <c r="AC239" s="108">
        <f>IF($A239="",0,IF(AND($AB239=1,COUNTIF($A$2:$A239,$A239)=1),1,0))</f>
        <v>0</v>
      </c>
      <c r="AD239" s="108">
        <f t="shared" si="40"/>
        <v>1</v>
      </c>
      <c r="AE239" s="108" t="str">
        <f t="shared" si="41"/>
        <v/>
      </c>
      <c r="AF239" s="108">
        <f t="shared" si="42"/>
        <v>0</v>
      </c>
      <c r="AG239" s="108">
        <f t="shared" si="43"/>
        <v>0</v>
      </c>
      <c r="AH239" s="112" t="str">
        <f t="shared" si="44"/>
        <v>A. Mojica|20260904|Training - BPO|1.000|Reading: Chapter 6 – Oil &amp; Gas Lease.
 Chapter 6 quiz in Rise
 Rise/ELT lesson: “Texas Oil and Gas Leases: Ownership, Cl</v>
      </c>
      <c r="AI239" s="108">
        <f t="shared" si="45"/>
        <v>0</v>
      </c>
      <c r="AJ239" s="108">
        <f t="shared" si="46"/>
        <v>0</v>
      </c>
      <c r="AK239" s="108">
        <f>IF($A239="",0,IF(AND($S239=1,$W239=1,$X239=1,$U239&gt;Config!$C$9),1,0))</f>
        <v>0</v>
      </c>
      <c r="AL239" s="108">
        <f t="shared" si="47"/>
        <v>0</v>
      </c>
    </row>
    <row r="240" spans="1:38" x14ac:dyDescent="0.25">
      <c r="A240" s="106" t="s">
        <v>850</v>
      </c>
      <c r="B240" s="106" t="s">
        <v>618</v>
      </c>
      <c r="C240" s="107">
        <v>46269</v>
      </c>
      <c r="D240" s="106" t="s">
        <v>669</v>
      </c>
      <c r="E240" s="106" t="s">
        <v>669</v>
      </c>
      <c r="F240" s="106" t="s">
        <v>615</v>
      </c>
      <c r="G240" s="106"/>
      <c r="H240" s="106" t="s">
        <v>819</v>
      </c>
      <c r="I240" s="106"/>
      <c r="J240" s="106" t="s">
        <v>823</v>
      </c>
      <c r="K240" s="106">
        <v>1</v>
      </c>
      <c r="L240" s="106">
        <v>0</v>
      </c>
      <c r="M240" s="106">
        <v>0</v>
      </c>
      <c r="N240" s="106"/>
      <c r="O240" s="106"/>
      <c r="P240" s="106">
        <v>0</v>
      </c>
      <c r="Q240" s="106" t="s">
        <v>1065</v>
      </c>
      <c r="S240" s="108">
        <f>IF($A240="","",COUNTIF(BPOworkers!$B$6:$B$105,$A240))</f>
        <v>0</v>
      </c>
      <c r="T240" s="109">
        <f>IF($A240="","",$K240*Config!$C$9)</f>
        <v>8</v>
      </c>
      <c r="U240" s="109">
        <f>IF($A240="","",IF(COUNTIF(Config!$C$21:$C$23,$H240)&gt;0,IFERROR(VALUE(LEFT(TRIM($Q240),FIND(" ",TRIM($Q240)&amp;" ")-1)),0),0))</f>
        <v>0</v>
      </c>
      <c r="V240" s="109">
        <f t="shared" si="36"/>
        <v>8</v>
      </c>
      <c r="W240" s="108">
        <f>IF($A240="",0,IF(AND($C240&gt;=Config!$C$7,$C240&lt;=Config!$C$8),1,0))</f>
        <v>1</v>
      </c>
      <c r="X240" s="108">
        <f>IF($A240="",0,IF(COUNTIF(Config!$C$21:$C$23,$H240)&gt;0,1,0))</f>
        <v>0</v>
      </c>
      <c r="Y240" s="108">
        <f t="shared" si="37"/>
        <v>4</v>
      </c>
      <c r="Z240" s="108" t="str">
        <f t="shared" si="38"/>
        <v/>
      </c>
      <c r="AB240" s="108">
        <f t="shared" si="39"/>
        <v>0</v>
      </c>
      <c r="AC240" s="108">
        <f>IF($A240="",0,IF(AND($AB240=1,COUNTIF($A$2:$A240,$A240)=1),1,0))</f>
        <v>0</v>
      </c>
      <c r="AD240" s="108">
        <f t="shared" si="40"/>
        <v>1</v>
      </c>
      <c r="AE240" s="108" t="str">
        <f t="shared" si="41"/>
        <v/>
      </c>
      <c r="AF240" s="108">
        <f t="shared" si="42"/>
        <v>0</v>
      </c>
      <c r="AG240" s="108">
        <f t="shared" si="43"/>
        <v>0</v>
      </c>
      <c r="AH240" s="110" t="str">
        <f t="shared" si="44"/>
        <v>M. Patron|20260904|Training - BPO|1.000|Reading of Chapter 6 and 8, Tracts University exercises</v>
      </c>
      <c r="AI240" s="108">
        <f t="shared" si="45"/>
        <v>0</v>
      </c>
      <c r="AJ240" s="108">
        <f t="shared" si="46"/>
        <v>0</v>
      </c>
      <c r="AK240" s="108">
        <f>IF($A240="",0,IF(AND($S240=1,$W240=1,$X240=1,$U240&gt;Config!$C$9),1,0))</f>
        <v>0</v>
      </c>
      <c r="AL240" s="108">
        <f t="shared" si="47"/>
        <v>0</v>
      </c>
    </row>
    <row r="241" spans="1:38" x14ac:dyDescent="0.25">
      <c r="A241" s="106" t="s">
        <v>852</v>
      </c>
      <c r="B241" s="106" t="s">
        <v>618</v>
      </c>
      <c r="C241" s="107">
        <v>46269</v>
      </c>
      <c r="D241" s="106" t="s">
        <v>623</v>
      </c>
      <c r="E241" s="106" t="s">
        <v>624</v>
      </c>
      <c r="F241" s="106" t="s">
        <v>615</v>
      </c>
      <c r="G241" s="106" t="s">
        <v>625</v>
      </c>
      <c r="H241" s="106" t="s">
        <v>819</v>
      </c>
      <c r="I241" s="106"/>
      <c r="J241" s="106" t="s">
        <v>823</v>
      </c>
      <c r="K241" s="106">
        <v>1</v>
      </c>
      <c r="L241" s="106">
        <v>0</v>
      </c>
      <c r="M241" s="106">
        <v>0</v>
      </c>
      <c r="N241" s="106"/>
      <c r="O241" s="106"/>
      <c r="P241" s="106">
        <v>0</v>
      </c>
      <c r="Q241" s="106" t="s">
        <v>1066</v>
      </c>
      <c r="S241" s="108">
        <f>IF($A241="","",COUNTIF(BPOworkers!$B$6:$B$105,$A241))</f>
        <v>0</v>
      </c>
      <c r="T241" s="109">
        <f>IF($A241="","",$K241*Config!$C$9)</f>
        <v>8</v>
      </c>
      <c r="U241" s="109">
        <f>IF($A241="","",IF(COUNTIF(Config!$C$21:$C$23,$H241)&gt;0,IFERROR(VALUE(LEFT(TRIM($Q241),FIND(" ",TRIM($Q241)&amp;" ")-1)),0),0))</f>
        <v>0</v>
      </c>
      <c r="V241" s="109">
        <f t="shared" si="36"/>
        <v>8</v>
      </c>
      <c r="W241" s="108">
        <f>IF($A241="",0,IF(AND($C241&gt;=Config!$C$7,$C241&lt;=Config!$C$8),1,0))</f>
        <v>1</v>
      </c>
      <c r="X241" s="108">
        <f>IF($A241="",0,IF(COUNTIF(Config!$C$21:$C$23,$H241)&gt;0,1,0))</f>
        <v>0</v>
      </c>
      <c r="Y241" s="108">
        <f t="shared" si="37"/>
        <v>4</v>
      </c>
      <c r="Z241" s="108" t="str">
        <f t="shared" si="38"/>
        <v/>
      </c>
      <c r="AB241" s="108">
        <f t="shared" si="39"/>
        <v>0</v>
      </c>
      <c r="AC241" s="108">
        <f>IF($A241="",0,IF(AND($AB241=1,COUNTIF($A$2:$A241,$A241)=1),1,0))</f>
        <v>0</v>
      </c>
      <c r="AD241" s="108">
        <f t="shared" si="40"/>
        <v>1</v>
      </c>
      <c r="AE241" s="108" t="str">
        <f t="shared" si="41"/>
        <v/>
      </c>
      <c r="AF241" s="108">
        <f t="shared" si="42"/>
        <v>0</v>
      </c>
      <c r="AG241" s="108">
        <f t="shared" si="43"/>
        <v>0</v>
      </c>
      <c r="AH241" s="110" t="str">
        <f t="shared" si="44"/>
        <v>A. Pujana|20260904|Training - BPO|1.000|Completed onboarding training: read Chapter 6 (Oil &amp; Gas Lease, pp. 89–123) of the AAPL Study Guide and completed the co</v>
      </c>
      <c r="AI241" s="108">
        <f t="shared" si="45"/>
        <v>0</v>
      </c>
      <c r="AJ241" s="108">
        <f t="shared" si="46"/>
        <v>0</v>
      </c>
      <c r="AK241" s="108">
        <f>IF($A241="",0,IF(AND($S241=1,$W241=1,$X241=1,$U241&gt;Config!$C$9),1,0))</f>
        <v>0</v>
      </c>
      <c r="AL241" s="108">
        <f t="shared" si="47"/>
        <v>0</v>
      </c>
    </row>
    <row r="242" spans="1:38" ht="192.75" x14ac:dyDescent="0.25">
      <c r="A242" s="106" t="s">
        <v>854</v>
      </c>
      <c r="B242" s="106" t="s">
        <v>618</v>
      </c>
      <c r="C242" s="107">
        <v>46269</v>
      </c>
      <c r="D242" s="106" t="s">
        <v>623</v>
      </c>
      <c r="E242" s="106" t="s">
        <v>624</v>
      </c>
      <c r="F242" s="106" t="s">
        <v>615</v>
      </c>
      <c r="G242" s="106" t="s">
        <v>625</v>
      </c>
      <c r="H242" s="106" t="s">
        <v>819</v>
      </c>
      <c r="I242" s="106"/>
      <c r="J242" s="106" t="s">
        <v>855</v>
      </c>
      <c r="K242" s="106">
        <v>1</v>
      </c>
      <c r="L242" s="106">
        <v>0</v>
      </c>
      <c r="M242" s="106">
        <v>0</v>
      </c>
      <c r="N242" s="106"/>
      <c r="O242" s="106"/>
      <c r="P242" s="106">
        <v>0</v>
      </c>
      <c r="Q242" s="111" t="s">
        <v>1067</v>
      </c>
      <c r="S242" s="108">
        <f>IF($A242="","",COUNTIF(BPOworkers!$B$6:$B$105,$A242))</f>
        <v>0</v>
      </c>
      <c r="T242" s="109">
        <f>IF($A242="","",$K242*Config!$C$9)</f>
        <v>8</v>
      </c>
      <c r="U242" s="109">
        <f>IF($A242="","",IF(COUNTIF(Config!$C$21:$C$23,$H242)&gt;0,IFERROR(VALUE(LEFT(TRIM($Q242),FIND(" ",TRIM($Q242)&amp;" ")-1)),0),0))</f>
        <v>0</v>
      </c>
      <c r="V242" s="109">
        <f t="shared" si="36"/>
        <v>8</v>
      </c>
      <c r="W242" s="108">
        <f>IF($A242="",0,IF(AND($C242&gt;=Config!$C$7,$C242&lt;=Config!$C$8),1,0))</f>
        <v>1</v>
      </c>
      <c r="X242" s="108">
        <f>IF($A242="",0,IF(COUNTIF(Config!$C$21:$C$23,$H242)&gt;0,1,0))</f>
        <v>0</v>
      </c>
      <c r="Y242" s="108">
        <f t="shared" si="37"/>
        <v>4</v>
      </c>
      <c r="Z242" s="108" t="str">
        <f t="shared" si="38"/>
        <v/>
      </c>
      <c r="AB242" s="108">
        <f t="shared" si="39"/>
        <v>0</v>
      </c>
      <c r="AC242" s="108">
        <f>IF($A242="",0,IF(AND($AB242=1,COUNTIF($A$2:$A242,$A242)=1),1,0))</f>
        <v>0</v>
      </c>
      <c r="AD242" s="108">
        <f t="shared" si="40"/>
        <v>1</v>
      </c>
      <c r="AE242" s="108" t="str">
        <f t="shared" si="41"/>
        <v/>
      </c>
      <c r="AF242" s="108">
        <f t="shared" si="42"/>
        <v>0</v>
      </c>
      <c r="AG242" s="108">
        <f t="shared" si="43"/>
        <v>0</v>
      </c>
      <c r="AH242" s="112" t="str">
        <f t="shared" si="44"/>
        <v>L. Cardenas|20260904|Training - BPO|1.000|Reading assignment chapter 6: Oil &amp; Gas Lease, quiz chapter 6 and lessons: "Texas Oil and Gas Leases: Ownership, 
 Claus</v>
      </c>
      <c r="AI242" s="108">
        <f t="shared" si="45"/>
        <v>0</v>
      </c>
      <c r="AJ242" s="108">
        <f t="shared" si="46"/>
        <v>0</v>
      </c>
      <c r="AK242" s="108">
        <f>IF($A242="",0,IF(AND($S242=1,$W242=1,$X242=1,$U242&gt;Config!$C$9),1,0))</f>
        <v>0</v>
      </c>
      <c r="AL242" s="108">
        <f t="shared" si="47"/>
        <v>0</v>
      </c>
    </row>
    <row r="243" spans="1:38" ht="180.75" x14ac:dyDescent="0.25">
      <c r="A243" s="106" t="s">
        <v>858</v>
      </c>
      <c r="B243" s="106" t="s">
        <v>618</v>
      </c>
      <c r="C243" s="107">
        <v>46269</v>
      </c>
      <c r="D243" s="106" t="s">
        <v>623</v>
      </c>
      <c r="E243" s="106" t="s">
        <v>624</v>
      </c>
      <c r="F243" s="106" t="s">
        <v>615</v>
      </c>
      <c r="G243" s="106" t="s">
        <v>625</v>
      </c>
      <c r="H243" s="106" t="s">
        <v>819</v>
      </c>
      <c r="I243" s="106"/>
      <c r="J243" s="106" t="s">
        <v>832</v>
      </c>
      <c r="K243" s="106">
        <v>1</v>
      </c>
      <c r="L243" s="106">
        <v>0</v>
      </c>
      <c r="M243" s="106">
        <v>0</v>
      </c>
      <c r="N243" s="106"/>
      <c r="O243" s="106"/>
      <c r="P243" s="106">
        <v>0</v>
      </c>
      <c r="Q243" s="111" t="s">
        <v>1058</v>
      </c>
      <c r="S243" s="108">
        <f>IF($A243="","",COUNTIF(BPOworkers!$B$6:$B$105,$A243))</f>
        <v>0</v>
      </c>
      <c r="T243" s="109">
        <f>IF($A243="","",$K243*Config!$C$9)</f>
        <v>8</v>
      </c>
      <c r="U243" s="109">
        <f>IF($A243="","",IF(COUNTIF(Config!$C$21:$C$23,$H243)&gt;0,IFERROR(VALUE(LEFT(TRIM($Q243),FIND(" ",TRIM($Q243)&amp;" ")-1)),0),0))</f>
        <v>0</v>
      </c>
      <c r="V243" s="109">
        <f t="shared" si="36"/>
        <v>8</v>
      </c>
      <c r="W243" s="108">
        <f>IF($A243="",0,IF(AND($C243&gt;=Config!$C$7,$C243&lt;=Config!$C$8),1,0))</f>
        <v>1</v>
      </c>
      <c r="X243" s="108">
        <f>IF($A243="",0,IF(COUNTIF(Config!$C$21:$C$23,$H243)&gt;0,1,0))</f>
        <v>0</v>
      </c>
      <c r="Y243" s="108">
        <f t="shared" si="37"/>
        <v>4</v>
      </c>
      <c r="Z243" s="108" t="str">
        <f t="shared" si="38"/>
        <v/>
      </c>
      <c r="AB243" s="108">
        <f t="shared" si="39"/>
        <v>0</v>
      </c>
      <c r="AC243" s="108">
        <f>IF($A243="",0,IF(AND($AB243=1,COUNTIF($A$2:$A243,$A243)=1),1,0))</f>
        <v>0</v>
      </c>
      <c r="AD243" s="108">
        <f t="shared" si="40"/>
        <v>1</v>
      </c>
      <c r="AE243" s="108" t="str">
        <f t="shared" si="41"/>
        <v/>
      </c>
      <c r="AF243" s="108">
        <f t="shared" si="42"/>
        <v>0</v>
      </c>
      <c r="AG243" s="108">
        <f t="shared" si="43"/>
        <v>0</v>
      </c>
      <c r="AH243" s="112" t="str">
        <f t="shared" si="44"/>
        <v xml:space="preserve">S. Torres|20260904|Training - BPO|1.000|Read the assigned pages of Chapter 6 — this is the longest reading of the week, so plan to begin it first thing in the
 </v>
      </c>
      <c r="AI243" s="108">
        <f t="shared" si="45"/>
        <v>0</v>
      </c>
      <c r="AJ243" s="108">
        <f t="shared" si="46"/>
        <v>0</v>
      </c>
      <c r="AK243" s="108">
        <f>IF($A243="",0,IF(AND($S243=1,$W243=1,$X243=1,$U243&gt;Config!$C$9),1,0))</f>
        <v>0</v>
      </c>
      <c r="AL243" s="108">
        <f t="shared" si="47"/>
        <v>0</v>
      </c>
    </row>
    <row r="244" spans="1:38" x14ac:dyDescent="0.25">
      <c r="A244" s="106" t="s">
        <v>859</v>
      </c>
      <c r="B244" s="106" t="s">
        <v>618</v>
      </c>
      <c r="C244" s="107">
        <v>46269</v>
      </c>
      <c r="D244" s="106" t="s">
        <v>623</v>
      </c>
      <c r="E244" s="106" t="s">
        <v>624</v>
      </c>
      <c r="F244" s="106" t="s">
        <v>615</v>
      </c>
      <c r="G244" s="106" t="s">
        <v>625</v>
      </c>
      <c r="H244" s="106" t="s">
        <v>819</v>
      </c>
      <c r="I244" s="106" t="s">
        <v>831</v>
      </c>
      <c r="J244" s="106" t="s">
        <v>823</v>
      </c>
      <c r="K244" s="106">
        <v>1</v>
      </c>
      <c r="L244" s="106">
        <v>0</v>
      </c>
      <c r="M244" s="106">
        <v>0</v>
      </c>
      <c r="N244" s="106"/>
      <c r="O244" s="106"/>
      <c r="P244" s="106">
        <v>0</v>
      </c>
      <c r="Q244" s="106" t="s">
        <v>1068</v>
      </c>
      <c r="S244" s="108">
        <f>IF($A244="","",COUNTIF(BPOworkers!$B$6:$B$105,$A244))</f>
        <v>0</v>
      </c>
      <c r="T244" s="109">
        <f>IF($A244="","",$K244*Config!$C$9)</f>
        <v>8</v>
      </c>
      <c r="U244" s="109">
        <f>IF($A244="","",IF(COUNTIF(Config!$C$21:$C$23,$H244)&gt;0,IFERROR(VALUE(LEFT(TRIM($Q244),FIND(" ",TRIM($Q244)&amp;" ")-1)),0),0))</f>
        <v>0</v>
      </c>
      <c r="V244" s="109">
        <f t="shared" si="36"/>
        <v>8</v>
      </c>
      <c r="W244" s="108">
        <f>IF($A244="",0,IF(AND($C244&gt;=Config!$C$7,$C244&lt;=Config!$C$8),1,0))</f>
        <v>1</v>
      </c>
      <c r="X244" s="108">
        <f>IF($A244="",0,IF(COUNTIF(Config!$C$21:$C$23,$H244)&gt;0,1,0))</f>
        <v>0</v>
      </c>
      <c r="Y244" s="108">
        <f t="shared" si="37"/>
        <v>4</v>
      </c>
      <c r="Z244" s="108" t="str">
        <f t="shared" si="38"/>
        <v/>
      </c>
      <c r="AB244" s="108">
        <f t="shared" si="39"/>
        <v>0</v>
      </c>
      <c r="AC244" s="108">
        <f>IF($A244="",0,IF(AND($AB244=1,COUNTIF($A$2:$A244,$A244)=1),1,0))</f>
        <v>0</v>
      </c>
      <c r="AD244" s="108">
        <f t="shared" si="40"/>
        <v>1</v>
      </c>
      <c r="AE244" s="108" t="str">
        <f t="shared" si="41"/>
        <v/>
      </c>
      <c r="AF244" s="108">
        <f t="shared" si="42"/>
        <v>0</v>
      </c>
      <c r="AG244" s="108">
        <f t="shared" si="43"/>
        <v>0</v>
      </c>
      <c r="AH244" s="110" t="str">
        <f t="shared" si="44"/>
        <v>N. Parra|20260904|Training - BPO|1.000|Reading of Chapter 6 - Oil&amp; Gas Lease. Quiz 6 in Rise and completing courses "Texas Oil and Gas Leases: Ownership, Claus</v>
      </c>
      <c r="AI244" s="108">
        <f t="shared" si="45"/>
        <v>0</v>
      </c>
      <c r="AJ244" s="108">
        <f t="shared" si="46"/>
        <v>0</v>
      </c>
      <c r="AK244" s="108">
        <f>IF($A244="",0,IF(AND($S244=1,$W244=1,$X244=1,$U244&gt;Config!$C$9),1,0))</f>
        <v>0</v>
      </c>
      <c r="AL244" s="108">
        <f t="shared" si="47"/>
        <v>0</v>
      </c>
    </row>
    <row r="245" spans="1:38" x14ac:dyDescent="0.25">
      <c r="A245" s="106" t="s">
        <v>613</v>
      </c>
      <c r="B245" s="106" t="s">
        <v>618</v>
      </c>
      <c r="C245" s="107">
        <v>46268</v>
      </c>
      <c r="D245" s="106" t="s">
        <v>712</v>
      </c>
      <c r="E245" s="106" t="s">
        <v>713</v>
      </c>
      <c r="F245" s="106" t="s">
        <v>866</v>
      </c>
      <c r="G245" s="106" t="s">
        <v>867</v>
      </c>
      <c r="H245" s="106" t="s">
        <v>639</v>
      </c>
      <c r="I245" s="106"/>
      <c r="J245" s="106"/>
      <c r="K245" s="106">
        <v>1</v>
      </c>
      <c r="L245" s="106">
        <v>0</v>
      </c>
      <c r="M245" s="106">
        <v>0</v>
      </c>
      <c r="N245" s="106"/>
      <c r="O245" s="106"/>
      <c r="P245" s="106">
        <v>0</v>
      </c>
      <c r="Q245" s="106" t="s">
        <v>1069</v>
      </c>
      <c r="S245" s="108">
        <f>IF($A245="","",COUNTIF(BPOworkers!$B$6:$B$105,$A245))</f>
        <v>0</v>
      </c>
      <c r="T245" s="109">
        <f>IF($A245="","",$K245*Config!$C$9)</f>
        <v>8</v>
      </c>
      <c r="U245" s="109">
        <f>IF($A245="","",IF(COUNTIF(Config!$C$21:$C$23,$H245)&gt;0,IFERROR(VALUE(LEFT(TRIM($Q245),FIND(" ",TRIM($Q245)&amp;" ")-1)),0),0))</f>
        <v>0</v>
      </c>
      <c r="V245" s="109">
        <f t="shared" si="36"/>
        <v>8</v>
      </c>
      <c r="W245" s="108">
        <f>IF($A245="",0,IF(AND($C245&gt;=Config!$C$7,$C245&lt;=Config!$C$8),1,0))</f>
        <v>1</v>
      </c>
      <c r="X245" s="108">
        <f>IF($A245="",0,IF(COUNTIF(Config!$C$21:$C$23,$H245)&gt;0,1,0))</f>
        <v>0</v>
      </c>
      <c r="Y245" s="108">
        <f t="shared" si="37"/>
        <v>4</v>
      </c>
      <c r="Z245" s="108" t="str">
        <f t="shared" si="38"/>
        <v/>
      </c>
      <c r="AB245" s="108">
        <f t="shared" si="39"/>
        <v>0</v>
      </c>
      <c r="AC245" s="108">
        <f>IF($A245="",0,IF(AND($AB245=1,COUNTIF($A$2:$A245,$A245)=1),1,0))</f>
        <v>0</v>
      </c>
      <c r="AD245" s="108">
        <f t="shared" si="40"/>
        <v>1</v>
      </c>
      <c r="AE245" s="108" t="str">
        <f t="shared" si="41"/>
        <v/>
      </c>
      <c r="AF245" s="108">
        <f t="shared" si="42"/>
        <v>0</v>
      </c>
      <c r="AG245" s="108">
        <f t="shared" si="43"/>
        <v>0</v>
      </c>
      <c r="AH245" s="110" t="str">
        <f t="shared" si="44"/>
        <v>V. Toran|20260903|Review|1.000|45 docs reviewed; Alliance Royalty Team Meeting</v>
      </c>
      <c r="AI245" s="108">
        <f t="shared" si="45"/>
        <v>0</v>
      </c>
      <c r="AJ245" s="108">
        <f t="shared" si="46"/>
        <v>0</v>
      </c>
      <c r="AK245" s="108">
        <f>IF($A245="",0,IF(AND($S245=1,$W245=1,$X245=1,$U245&gt;Config!$C$9),1,0))</f>
        <v>0</v>
      </c>
      <c r="AL245" s="108">
        <f t="shared" si="47"/>
        <v>0</v>
      </c>
    </row>
    <row r="246" spans="1:38" x14ac:dyDescent="0.25">
      <c r="A246" s="106" t="s">
        <v>869</v>
      </c>
      <c r="B246" s="106" t="s">
        <v>618</v>
      </c>
      <c r="C246" s="107">
        <v>46268</v>
      </c>
      <c r="D246" s="106" t="s">
        <v>643</v>
      </c>
      <c r="E246" s="106" t="s">
        <v>644</v>
      </c>
      <c r="F246" s="106" t="s">
        <v>645</v>
      </c>
      <c r="G246" s="106" t="s">
        <v>1070</v>
      </c>
      <c r="H246" s="106" t="s">
        <v>656</v>
      </c>
      <c r="I246" s="106"/>
      <c r="J246" s="106"/>
      <c r="K246" s="106">
        <v>0.125</v>
      </c>
      <c r="L246" s="106">
        <v>0</v>
      </c>
      <c r="M246" s="106">
        <v>0</v>
      </c>
      <c r="N246" s="106"/>
      <c r="O246" s="106"/>
      <c r="P246" s="106">
        <v>0</v>
      </c>
      <c r="Q246" s="106" t="s">
        <v>1071</v>
      </c>
      <c r="S246" s="108">
        <f>IF($A246="","",COUNTIF(BPOworkers!$B$6:$B$105,$A246))</f>
        <v>0</v>
      </c>
      <c r="T246" s="109">
        <f>IF($A246="","",$K246*Config!$C$9)</f>
        <v>1</v>
      </c>
      <c r="U246" s="109">
        <f>IF($A246="","",IF(COUNTIF(Config!$C$21:$C$23,$H246)&gt;0,IFERROR(VALUE(LEFT(TRIM($Q246),FIND(" ",TRIM($Q246)&amp;" ")-1)),0),0))</f>
        <v>0</v>
      </c>
      <c r="V246" s="109">
        <f t="shared" si="36"/>
        <v>1</v>
      </c>
      <c r="W246" s="108">
        <f>IF($A246="",0,IF(AND($C246&gt;=Config!$C$7,$C246&lt;=Config!$C$8),1,0))</f>
        <v>1</v>
      </c>
      <c r="X246" s="108">
        <f>IF($A246="",0,IF(COUNTIF(Config!$C$21:$C$23,$H246)&gt;0,1,0))</f>
        <v>0</v>
      </c>
      <c r="Y246" s="108">
        <f t="shared" si="37"/>
        <v>4</v>
      </c>
      <c r="Z246" s="108" t="str">
        <f t="shared" si="38"/>
        <v/>
      </c>
      <c r="AB246" s="108">
        <f t="shared" si="39"/>
        <v>0</v>
      </c>
      <c r="AC246" s="108">
        <f>IF($A246="",0,IF(AND($AB246=1,COUNTIF($A$2:$A246,$A246)=1),1,0))</f>
        <v>0</v>
      </c>
      <c r="AD246" s="108">
        <f t="shared" si="40"/>
        <v>1</v>
      </c>
      <c r="AE246" s="108" t="str">
        <f t="shared" si="41"/>
        <v/>
      </c>
      <c r="AF246" s="108">
        <f t="shared" si="42"/>
        <v>0</v>
      </c>
      <c r="AG246" s="108">
        <f t="shared" si="43"/>
        <v>0</v>
      </c>
      <c r="AH246" s="110" t="str">
        <f t="shared" si="44"/>
        <v>K. Mainard|20260903|Project Management|0.125|Meeting with team to address progress and drafted update to client.</v>
      </c>
      <c r="AI246" s="108">
        <f t="shared" si="45"/>
        <v>0</v>
      </c>
      <c r="AJ246" s="108">
        <f t="shared" si="46"/>
        <v>0</v>
      </c>
      <c r="AK246" s="108">
        <f>IF($A246="",0,IF(AND($S246=1,$W246=1,$X246=1,$U246&gt;Config!$C$9),1,0))</f>
        <v>0</v>
      </c>
      <c r="AL246" s="108">
        <f t="shared" si="47"/>
        <v>0</v>
      </c>
    </row>
    <row r="247" spans="1:38" x14ac:dyDescent="0.25">
      <c r="A247" s="106" t="s">
        <v>869</v>
      </c>
      <c r="B247" s="106" t="s">
        <v>618</v>
      </c>
      <c r="C247" s="107">
        <v>46268</v>
      </c>
      <c r="D247" s="106" t="s">
        <v>694</v>
      </c>
      <c r="E247" s="106" t="s">
        <v>695</v>
      </c>
      <c r="F247" s="106" t="s">
        <v>696</v>
      </c>
      <c r="G247" s="106" t="s">
        <v>870</v>
      </c>
      <c r="H247" s="106" t="s">
        <v>639</v>
      </c>
      <c r="I247" s="106"/>
      <c r="J247" s="106"/>
      <c r="K247" s="106">
        <v>0.375</v>
      </c>
      <c r="L247" s="106">
        <v>0</v>
      </c>
      <c r="M247" s="106">
        <v>0</v>
      </c>
      <c r="N247" s="106"/>
      <c r="O247" s="106"/>
      <c r="P247" s="106">
        <v>0</v>
      </c>
      <c r="Q247" s="106" t="s">
        <v>871</v>
      </c>
      <c r="S247" s="108">
        <f>IF($A247="","",COUNTIF(BPOworkers!$B$6:$B$105,$A247))</f>
        <v>0</v>
      </c>
      <c r="T247" s="109">
        <f>IF($A247="","",$K247*Config!$C$9)</f>
        <v>3</v>
      </c>
      <c r="U247" s="109">
        <f>IF($A247="","",IF(COUNTIF(Config!$C$21:$C$23,$H247)&gt;0,IFERROR(VALUE(LEFT(TRIM($Q247),FIND(" ",TRIM($Q247)&amp;" ")-1)),0),0))</f>
        <v>0</v>
      </c>
      <c r="V247" s="109">
        <f t="shared" si="36"/>
        <v>3</v>
      </c>
      <c r="W247" s="108">
        <f>IF($A247="",0,IF(AND($C247&gt;=Config!$C$7,$C247&lt;=Config!$C$8),1,0))</f>
        <v>1</v>
      </c>
      <c r="X247" s="108">
        <f>IF($A247="",0,IF(COUNTIF(Config!$C$21:$C$23,$H247)&gt;0,1,0))</f>
        <v>0</v>
      </c>
      <c r="Y247" s="108">
        <f t="shared" si="37"/>
        <v>4</v>
      </c>
      <c r="Z247" s="108" t="str">
        <f t="shared" si="38"/>
        <v/>
      </c>
      <c r="AB247" s="108">
        <f t="shared" si="39"/>
        <v>0</v>
      </c>
      <c r="AC247" s="108">
        <f>IF($A247="",0,IF(AND($AB247=1,COUNTIF($A$2:$A247,$A247)=1),1,0))</f>
        <v>0</v>
      </c>
      <c r="AD247" s="108">
        <f t="shared" si="40"/>
        <v>1</v>
      </c>
      <c r="AE247" s="108" t="str">
        <f t="shared" si="41"/>
        <v/>
      </c>
      <c r="AF247" s="108">
        <f t="shared" si="42"/>
        <v>0</v>
      </c>
      <c r="AG247" s="108">
        <f t="shared" si="43"/>
        <v>0</v>
      </c>
      <c r="AH247" s="110" t="str">
        <f t="shared" si="44"/>
        <v>K. Mainard|20260903|Review|0.375|Reviewed remainder of report and rebuilt GIS polygons</v>
      </c>
      <c r="AI247" s="108">
        <f t="shared" si="45"/>
        <v>0</v>
      </c>
      <c r="AJ247" s="108">
        <f t="shared" si="46"/>
        <v>0</v>
      </c>
      <c r="AK247" s="108">
        <f>IF($A247="",0,IF(AND($S247=1,$W247=1,$X247=1,$U247&gt;Config!$C$9),1,0))</f>
        <v>0</v>
      </c>
      <c r="AL247" s="108">
        <f t="shared" si="47"/>
        <v>0</v>
      </c>
    </row>
    <row r="248" spans="1:38" x14ac:dyDescent="0.25">
      <c r="A248" s="106" t="s">
        <v>869</v>
      </c>
      <c r="B248" s="106" t="s">
        <v>618</v>
      </c>
      <c r="C248" s="107">
        <v>46268</v>
      </c>
      <c r="D248" s="106" t="s">
        <v>628</v>
      </c>
      <c r="E248" s="106" t="s">
        <v>629</v>
      </c>
      <c r="F248" s="106" t="s">
        <v>630</v>
      </c>
      <c r="G248" s="106" t="s">
        <v>873</v>
      </c>
      <c r="H248" s="106" t="s">
        <v>656</v>
      </c>
      <c r="I248" s="106"/>
      <c r="J248" s="106"/>
      <c r="K248" s="106">
        <v>0.5</v>
      </c>
      <c r="L248" s="106">
        <v>0</v>
      </c>
      <c r="M248" s="106">
        <v>0</v>
      </c>
      <c r="N248" s="106"/>
      <c r="O248" s="106"/>
      <c r="P248" s="106">
        <v>0</v>
      </c>
      <c r="Q248" s="106" t="s">
        <v>1072</v>
      </c>
      <c r="S248" s="108">
        <f>IF($A248="","",COUNTIF(BPOworkers!$B$6:$B$105,$A248))</f>
        <v>0</v>
      </c>
      <c r="T248" s="109">
        <f>IF($A248="","",$K248*Config!$C$9)</f>
        <v>4</v>
      </c>
      <c r="U248" s="109">
        <f>IF($A248="","",IF(COUNTIF(Config!$C$21:$C$23,$H248)&gt;0,IFERROR(VALUE(LEFT(TRIM($Q248),FIND(" ",TRIM($Q248)&amp;" ")-1)),0),0))</f>
        <v>0</v>
      </c>
      <c r="V248" s="109">
        <f t="shared" si="36"/>
        <v>4</v>
      </c>
      <c r="W248" s="108">
        <f>IF($A248="",0,IF(AND($C248&gt;=Config!$C$7,$C248&lt;=Config!$C$8),1,0))</f>
        <v>1</v>
      </c>
      <c r="X248" s="108">
        <f>IF($A248="",0,IF(COUNTIF(Config!$C$21:$C$23,$H248)&gt;0,1,0))</f>
        <v>0</v>
      </c>
      <c r="Y248" s="108">
        <f t="shared" si="37"/>
        <v>4</v>
      </c>
      <c r="Z248" s="108" t="str">
        <f t="shared" si="38"/>
        <v/>
      </c>
      <c r="AB248" s="108">
        <f t="shared" si="39"/>
        <v>0</v>
      </c>
      <c r="AC248" s="108">
        <f>IF($A248="",0,IF(AND($AB248=1,COUNTIF($A$2:$A248,$A248)=1),1,0))</f>
        <v>0</v>
      </c>
      <c r="AD248" s="108">
        <f t="shared" si="40"/>
        <v>1</v>
      </c>
      <c r="AE248" s="108" t="str">
        <f t="shared" si="41"/>
        <v/>
      </c>
      <c r="AF248" s="108">
        <f t="shared" si="42"/>
        <v>0</v>
      </c>
      <c r="AG248" s="108">
        <f t="shared" si="43"/>
        <v>0</v>
      </c>
      <c r="AH248" s="110" t="str">
        <f t="shared" si="44"/>
        <v>K. Mainard|20260903|Project Management|0.500|Meeting with landmen. Reviewed information already in AOIs. Meeting with client</v>
      </c>
      <c r="AI248" s="108">
        <f t="shared" si="45"/>
        <v>0</v>
      </c>
      <c r="AJ248" s="108">
        <f t="shared" si="46"/>
        <v>0</v>
      </c>
      <c r="AK248" s="108">
        <f>IF($A248="",0,IF(AND($S248=1,$W248=1,$X248=1,$U248&gt;Config!$C$9),1,0))</f>
        <v>0</v>
      </c>
      <c r="AL248" s="108">
        <f t="shared" si="47"/>
        <v>0</v>
      </c>
    </row>
    <row r="249" spans="1:38" x14ac:dyDescent="0.25">
      <c r="A249" s="106" t="s">
        <v>617</v>
      </c>
      <c r="B249" s="106" t="s">
        <v>618</v>
      </c>
      <c r="C249" s="107">
        <v>46268</v>
      </c>
      <c r="D249" s="106" t="s">
        <v>881</v>
      </c>
      <c r="E249" s="106" t="s">
        <v>882</v>
      </c>
      <c r="F249" s="106" t="s">
        <v>866</v>
      </c>
      <c r="G249" s="106" t="s">
        <v>883</v>
      </c>
      <c r="H249" s="106" t="s">
        <v>639</v>
      </c>
      <c r="I249" s="106"/>
      <c r="J249" s="106"/>
      <c r="K249" s="106">
        <v>1</v>
      </c>
      <c r="L249" s="106">
        <v>0</v>
      </c>
      <c r="M249" s="106">
        <v>0</v>
      </c>
      <c r="N249" s="106"/>
      <c r="O249" s="106"/>
      <c r="P249" s="106">
        <v>0</v>
      </c>
      <c r="Q249" s="106" t="s">
        <v>884</v>
      </c>
      <c r="S249" s="108">
        <f>IF($A249="","",COUNTIF(BPOworkers!$B$6:$B$105,$A249))</f>
        <v>0</v>
      </c>
      <c r="T249" s="109">
        <f>IF($A249="","",$K249*Config!$C$9)</f>
        <v>8</v>
      </c>
      <c r="U249" s="109">
        <f>IF($A249="","",IF(COUNTIF(Config!$C$21:$C$23,$H249)&gt;0,IFERROR(VALUE(LEFT(TRIM($Q249),FIND(" ",TRIM($Q249)&amp;" ")-1)),0),0))</f>
        <v>0</v>
      </c>
      <c r="V249" s="109">
        <f t="shared" si="36"/>
        <v>8</v>
      </c>
      <c r="W249" s="108">
        <f>IF($A249="",0,IF(AND($C249&gt;=Config!$C$7,$C249&lt;=Config!$C$8),1,0))</f>
        <v>1</v>
      </c>
      <c r="X249" s="108">
        <f>IF($A249="",0,IF(COUNTIF(Config!$C$21:$C$23,$H249)&gt;0,1,0))</f>
        <v>0</v>
      </c>
      <c r="Y249" s="108">
        <f t="shared" si="37"/>
        <v>4</v>
      </c>
      <c r="Z249" s="108" t="str">
        <f t="shared" si="38"/>
        <v/>
      </c>
      <c r="AB249" s="108">
        <f t="shared" si="39"/>
        <v>0</v>
      </c>
      <c r="AC249" s="108">
        <f>IF($A249="",0,IF(AND($AB249=1,COUNTIF($A$2:$A249,$A249)=1),1,0))</f>
        <v>0</v>
      </c>
      <c r="AD249" s="108">
        <f t="shared" si="40"/>
        <v>1</v>
      </c>
      <c r="AE249" s="108" t="str">
        <f t="shared" si="41"/>
        <v/>
      </c>
      <c r="AF249" s="108">
        <f t="shared" si="42"/>
        <v>0</v>
      </c>
      <c r="AG249" s="108">
        <f t="shared" si="43"/>
        <v>0</v>
      </c>
      <c r="AH249" s="110" t="str">
        <f t="shared" si="44"/>
        <v>P. Tamez|20260903|Review|1.000|Reviewed the AOI in accordance with TLS Best Practices and review standards.</v>
      </c>
      <c r="AI249" s="108">
        <f t="shared" si="45"/>
        <v>0</v>
      </c>
      <c r="AJ249" s="108">
        <f t="shared" si="46"/>
        <v>0</v>
      </c>
      <c r="AK249" s="108">
        <f>IF($A249="",0,IF(AND($S249=1,$W249=1,$X249=1,$U249&gt;Config!$C$9),1,0))</f>
        <v>0</v>
      </c>
      <c r="AL249" s="108">
        <f t="shared" si="47"/>
        <v>0</v>
      </c>
    </row>
    <row r="250" spans="1:38" x14ac:dyDescent="0.25">
      <c r="A250" s="106" t="s">
        <v>620</v>
      </c>
      <c r="B250" s="106" t="s">
        <v>618</v>
      </c>
      <c r="C250" s="107">
        <v>46268</v>
      </c>
      <c r="D250" s="106" t="s">
        <v>885</v>
      </c>
      <c r="E250" s="106" t="s">
        <v>773</v>
      </c>
      <c r="F250" s="106" t="s">
        <v>886</v>
      </c>
      <c r="G250" s="106" t="s">
        <v>887</v>
      </c>
      <c r="H250" s="106" t="s">
        <v>639</v>
      </c>
      <c r="I250" s="106"/>
      <c r="J250" s="106"/>
      <c r="K250" s="106">
        <v>0.75</v>
      </c>
      <c r="L250" s="106">
        <v>0</v>
      </c>
      <c r="M250" s="106">
        <v>0</v>
      </c>
      <c r="N250" s="106"/>
      <c r="O250" s="106"/>
      <c r="P250" s="106">
        <v>0</v>
      </c>
      <c r="Q250" s="106" t="s">
        <v>1073</v>
      </c>
      <c r="S250" s="108">
        <f>IF($A250="","",COUNTIF(BPOworkers!$B$6:$B$105,$A250))</f>
        <v>0</v>
      </c>
      <c r="T250" s="109">
        <f>IF($A250="","",$K250*Config!$C$9)</f>
        <v>6</v>
      </c>
      <c r="U250" s="109">
        <f>IF($A250="","",IF(COUNTIF(Config!$C$21:$C$23,$H250)&gt;0,IFERROR(VALUE(LEFT(TRIM($Q250),FIND(" ",TRIM($Q250)&amp;" ")-1)),0),0))</f>
        <v>0</v>
      </c>
      <c r="V250" s="109">
        <f t="shared" si="36"/>
        <v>6</v>
      </c>
      <c r="W250" s="108">
        <f>IF($A250="",0,IF(AND($C250&gt;=Config!$C$7,$C250&lt;=Config!$C$8),1,0))</f>
        <v>1</v>
      </c>
      <c r="X250" s="108">
        <f>IF($A250="",0,IF(COUNTIF(Config!$C$21:$C$23,$H250)&gt;0,1,0))</f>
        <v>0</v>
      </c>
      <c r="Y250" s="108">
        <f t="shared" si="37"/>
        <v>4</v>
      </c>
      <c r="Z250" s="108" t="str">
        <f t="shared" si="38"/>
        <v/>
      </c>
      <c r="AB250" s="108">
        <f t="shared" si="39"/>
        <v>0</v>
      </c>
      <c r="AC250" s="108">
        <f>IF($A250="",0,IF(AND($AB250=1,COUNTIF($A$2:$A250,$A250)=1),1,0))</f>
        <v>0</v>
      </c>
      <c r="AD250" s="108">
        <f t="shared" si="40"/>
        <v>1</v>
      </c>
      <c r="AE250" s="108" t="str">
        <f t="shared" si="41"/>
        <v/>
      </c>
      <c r="AF250" s="108">
        <f t="shared" si="42"/>
        <v>0</v>
      </c>
      <c r="AG250" s="108">
        <f t="shared" si="43"/>
        <v>0</v>
      </c>
      <c r="AH250" s="110" t="str">
        <f t="shared" si="44"/>
        <v>I. Rice|20260903|Review|0.750|Continue review and revision of notecards as needed and compilation of changes made for researching landman feedback. Ap</v>
      </c>
      <c r="AI250" s="108">
        <f t="shared" si="45"/>
        <v>0</v>
      </c>
      <c r="AJ250" s="108">
        <f t="shared" si="46"/>
        <v>0</v>
      </c>
      <c r="AK250" s="108">
        <f>IF($A250="",0,IF(AND($S250=1,$W250=1,$X250=1,$U250&gt;Config!$C$9),1,0))</f>
        <v>0</v>
      </c>
      <c r="AL250" s="108">
        <f t="shared" si="47"/>
        <v>0</v>
      </c>
    </row>
    <row r="251" spans="1:38" x14ac:dyDescent="0.25">
      <c r="A251" s="106" t="s">
        <v>620</v>
      </c>
      <c r="B251" s="106" t="s">
        <v>618</v>
      </c>
      <c r="C251" s="107">
        <v>46268</v>
      </c>
      <c r="D251" s="106" t="s">
        <v>885</v>
      </c>
      <c r="E251" s="106" t="s">
        <v>773</v>
      </c>
      <c r="F251" s="106" t="s">
        <v>886</v>
      </c>
      <c r="G251" s="106" t="s">
        <v>1074</v>
      </c>
      <c r="H251" s="106" t="s">
        <v>639</v>
      </c>
      <c r="I251" s="106"/>
      <c r="J251" s="106"/>
      <c r="K251" s="106">
        <v>0.25</v>
      </c>
      <c r="L251" s="106">
        <v>0</v>
      </c>
      <c r="M251" s="106">
        <v>0</v>
      </c>
      <c r="N251" s="106"/>
      <c r="O251" s="106"/>
      <c r="P251" s="106">
        <v>0</v>
      </c>
      <c r="Q251" s="106" t="s">
        <v>1073</v>
      </c>
      <c r="S251" s="108">
        <f>IF($A251="","",COUNTIF(BPOworkers!$B$6:$B$105,$A251))</f>
        <v>0</v>
      </c>
      <c r="T251" s="109">
        <f>IF($A251="","",$K251*Config!$C$9)</f>
        <v>2</v>
      </c>
      <c r="U251" s="109">
        <f>IF($A251="","",IF(COUNTIF(Config!$C$21:$C$23,$H251)&gt;0,IFERROR(VALUE(LEFT(TRIM($Q251),FIND(" ",TRIM($Q251)&amp;" ")-1)),0),0))</f>
        <v>0</v>
      </c>
      <c r="V251" s="109">
        <f t="shared" si="36"/>
        <v>2</v>
      </c>
      <c r="W251" s="108">
        <f>IF($A251="",0,IF(AND($C251&gt;=Config!$C$7,$C251&lt;=Config!$C$8),1,0))</f>
        <v>1</v>
      </c>
      <c r="X251" s="108">
        <f>IF($A251="",0,IF(COUNTIF(Config!$C$21:$C$23,$H251)&gt;0,1,0))</f>
        <v>0</v>
      </c>
      <c r="Y251" s="108">
        <f t="shared" si="37"/>
        <v>4</v>
      </c>
      <c r="Z251" s="108" t="str">
        <f t="shared" si="38"/>
        <v/>
      </c>
      <c r="AB251" s="108">
        <f t="shared" si="39"/>
        <v>0</v>
      </c>
      <c r="AC251" s="108">
        <f>IF($A251="",0,IF(AND($AB251=1,COUNTIF($A$2:$A251,$A251)=1),1,0))</f>
        <v>0</v>
      </c>
      <c r="AD251" s="108">
        <f t="shared" si="40"/>
        <v>1</v>
      </c>
      <c r="AE251" s="108" t="str">
        <f t="shared" si="41"/>
        <v/>
      </c>
      <c r="AF251" s="108">
        <f t="shared" si="42"/>
        <v>0</v>
      </c>
      <c r="AG251" s="108">
        <f t="shared" si="43"/>
        <v>0</v>
      </c>
      <c r="AH251" s="110" t="str">
        <f t="shared" si="44"/>
        <v>I. Rice|20260903|Review|0.250|Continue review and revision of notecards as needed and compilation of changes made for researching landman feedback. Ap</v>
      </c>
      <c r="AI251" s="108">
        <f t="shared" si="45"/>
        <v>0</v>
      </c>
      <c r="AJ251" s="108">
        <f t="shared" si="46"/>
        <v>0</v>
      </c>
      <c r="AK251" s="108">
        <f>IF($A251="",0,IF(AND($S251=1,$W251=1,$X251=1,$U251&gt;Config!$C$9),1,0))</f>
        <v>0</v>
      </c>
      <c r="AL251" s="108">
        <f t="shared" si="47"/>
        <v>0</v>
      </c>
    </row>
    <row r="252" spans="1:38" x14ac:dyDescent="0.25">
      <c r="A252" s="106" t="s">
        <v>622</v>
      </c>
      <c r="B252" s="106" t="s">
        <v>618</v>
      </c>
      <c r="C252" s="107">
        <v>46268</v>
      </c>
      <c r="D252" s="106" t="s">
        <v>628</v>
      </c>
      <c r="E252" s="106" t="s">
        <v>705</v>
      </c>
      <c r="F252" s="106" t="s">
        <v>630</v>
      </c>
      <c r="G252" s="106"/>
      <c r="H252" s="106" t="s">
        <v>656</v>
      </c>
      <c r="I252" s="106"/>
      <c r="J252" s="106"/>
      <c r="K252" s="106">
        <v>0.125</v>
      </c>
      <c r="L252" s="106">
        <v>0</v>
      </c>
      <c r="M252" s="106">
        <v>0</v>
      </c>
      <c r="N252" s="106"/>
      <c r="O252" s="106"/>
      <c r="P252" s="106">
        <v>0</v>
      </c>
      <c r="Q252" s="106" t="s">
        <v>1075</v>
      </c>
      <c r="S252" s="108">
        <f>IF($A252="","",COUNTIF(BPOworkers!$B$6:$B$105,$A252))</f>
        <v>0</v>
      </c>
      <c r="T252" s="109">
        <f>IF($A252="","",$K252*Config!$C$9)</f>
        <v>1</v>
      </c>
      <c r="U252" s="109">
        <f>IF($A252="","",IF(COUNTIF(Config!$C$21:$C$23,$H252)&gt;0,IFERROR(VALUE(LEFT(TRIM($Q252),FIND(" ",TRIM($Q252)&amp;" ")-1)),0),0))</f>
        <v>0</v>
      </c>
      <c r="V252" s="109">
        <f t="shared" si="36"/>
        <v>1</v>
      </c>
      <c r="W252" s="108">
        <f>IF($A252="",0,IF(AND($C252&gt;=Config!$C$7,$C252&lt;=Config!$C$8),1,0))</f>
        <v>1</v>
      </c>
      <c r="X252" s="108">
        <f>IF($A252="",0,IF(COUNTIF(Config!$C$21:$C$23,$H252)&gt;0,1,0))</f>
        <v>0</v>
      </c>
      <c r="Y252" s="108">
        <f t="shared" si="37"/>
        <v>4</v>
      </c>
      <c r="Z252" s="108" t="str">
        <f t="shared" si="38"/>
        <v/>
      </c>
      <c r="AB252" s="108">
        <f t="shared" si="39"/>
        <v>0</v>
      </c>
      <c r="AC252" s="108">
        <f>IF($A252="",0,IF(AND($AB252=1,COUNTIF($A$2:$A252,$A252)=1),1,0))</f>
        <v>0</v>
      </c>
      <c r="AD252" s="108">
        <f t="shared" si="40"/>
        <v>1</v>
      </c>
      <c r="AE252" s="108" t="str">
        <f t="shared" si="41"/>
        <v/>
      </c>
      <c r="AF252" s="108">
        <f t="shared" si="42"/>
        <v>0</v>
      </c>
      <c r="AG252" s="108">
        <f t="shared" si="43"/>
        <v>0</v>
      </c>
      <c r="AH252" s="110" t="str">
        <f t="shared" si="44"/>
        <v>K. Milcarzyk|20260903|Project Management|0.125|Meeting with client.</v>
      </c>
      <c r="AI252" s="108">
        <f t="shared" si="45"/>
        <v>0</v>
      </c>
      <c r="AJ252" s="108">
        <f t="shared" si="46"/>
        <v>0</v>
      </c>
      <c r="AK252" s="108">
        <f>IF($A252="",0,IF(AND($S252=1,$W252=1,$X252=1,$U252&gt;Config!$C$9),1,0))</f>
        <v>0</v>
      </c>
      <c r="AL252" s="108">
        <f t="shared" si="47"/>
        <v>0</v>
      </c>
    </row>
    <row r="253" spans="1:38" x14ac:dyDescent="0.25">
      <c r="A253" s="106" t="s">
        <v>622</v>
      </c>
      <c r="B253" s="106" t="s">
        <v>618</v>
      </c>
      <c r="C253" s="107">
        <v>46268</v>
      </c>
      <c r="D253" s="106" t="s">
        <v>712</v>
      </c>
      <c r="E253" s="106" t="s">
        <v>713</v>
      </c>
      <c r="F253" s="106" t="s">
        <v>866</v>
      </c>
      <c r="G253" s="106" t="s">
        <v>873</v>
      </c>
      <c r="H253" s="106" t="s">
        <v>656</v>
      </c>
      <c r="I253" s="106"/>
      <c r="J253" s="106"/>
      <c r="K253" s="106">
        <v>0.125</v>
      </c>
      <c r="L253" s="106">
        <v>0</v>
      </c>
      <c r="M253" s="106">
        <v>0</v>
      </c>
      <c r="N253" s="106"/>
      <c r="O253" s="106"/>
      <c r="P253" s="106">
        <v>0</v>
      </c>
      <c r="Q253" s="106" t="s">
        <v>1076</v>
      </c>
      <c r="S253" s="108">
        <f>IF($A253="","",COUNTIF(BPOworkers!$B$6:$B$105,$A253))</f>
        <v>0</v>
      </c>
      <c r="T253" s="109">
        <f>IF($A253="","",$K253*Config!$C$9)</f>
        <v>1</v>
      </c>
      <c r="U253" s="109">
        <f>IF($A253="","",IF(COUNTIF(Config!$C$21:$C$23,$H253)&gt;0,IFERROR(VALUE(LEFT(TRIM($Q253),FIND(" ",TRIM($Q253)&amp;" ")-1)),0),0))</f>
        <v>0</v>
      </c>
      <c r="V253" s="109">
        <f t="shared" si="36"/>
        <v>1</v>
      </c>
      <c r="W253" s="108">
        <f>IF($A253="",0,IF(AND($C253&gt;=Config!$C$7,$C253&lt;=Config!$C$8),1,0))</f>
        <v>1</v>
      </c>
      <c r="X253" s="108">
        <f>IF($A253="",0,IF(COUNTIF(Config!$C$21:$C$23,$H253)&gt;0,1,0))</f>
        <v>0</v>
      </c>
      <c r="Y253" s="108">
        <f t="shared" si="37"/>
        <v>4</v>
      </c>
      <c r="Z253" s="108" t="str">
        <f t="shared" si="38"/>
        <v/>
      </c>
      <c r="AB253" s="108">
        <f t="shared" si="39"/>
        <v>0</v>
      </c>
      <c r="AC253" s="108">
        <f>IF($A253="",0,IF(AND($AB253=1,COUNTIF($A$2:$A253,$A253)=1),1,0))</f>
        <v>0</v>
      </c>
      <c r="AD253" s="108">
        <f t="shared" si="40"/>
        <v>1</v>
      </c>
      <c r="AE253" s="108" t="str">
        <f t="shared" si="41"/>
        <v/>
      </c>
      <c r="AF253" s="108">
        <f t="shared" si="42"/>
        <v>0</v>
      </c>
      <c r="AG253" s="108">
        <f t="shared" si="43"/>
        <v>0</v>
      </c>
      <c r="AH253" s="110" t="str">
        <f t="shared" si="44"/>
        <v>K. Milcarzyk|20260903|Project Management|0.125|Attending daily meeting and reviewing weekly summary update.</v>
      </c>
      <c r="AI253" s="108">
        <f t="shared" si="45"/>
        <v>0</v>
      </c>
      <c r="AJ253" s="108">
        <f t="shared" si="46"/>
        <v>0</v>
      </c>
      <c r="AK253" s="108">
        <f>IF($A253="",0,IF(AND($S253=1,$W253=1,$X253=1,$U253&gt;Config!$C$9),1,0))</f>
        <v>0</v>
      </c>
      <c r="AL253" s="108">
        <f t="shared" si="47"/>
        <v>0</v>
      </c>
    </row>
    <row r="254" spans="1:38" x14ac:dyDescent="0.25">
      <c r="A254" s="106" t="s">
        <v>622</v>
      </c>
      <c r="B254" s="106" t="s">
        <v>618</v>
      </c>
      <c r="C254" s="107">
        <v>46268</v>
      </c>
      <c r="D254" s="106" t="s">
        <v>680</v>
      </c>
      <c r="E254" s="106" t="s">
        <v>681</v>
      </c>
      <c r="F254" s="106" t="s">
        <v>893</v>
      </c>
      <c r="G254" s="106" t="s">
        <v>894</v>
      </c>
      <c r="H254" s="106" t="s">
        <v>656</v>
      </c>
      <c r="I254" s="106"/>
      <c r="J254" s="106"/>
      <c r="K254" s="106">
        <v>0.125</v>
      </c>
      <c r="L254" s="106">
        <v>0</v>
      </c>
      <c r="M254" s="106">
        <v>0</v>
      </c>
      <c r="N254" s="106"/>
      <c r="O254" s="106"/>
      <c r="P254" s="106">
        <v>0</v>
      </c>
      <c r="Q254" s="106" t="s">
        <v>1077</v>
      </c>
      <c r="S254" s="108">
        <f>IF($A254="","",COUNTIF(BPOworkers!$B$6:$B$105,$A254))</f>
        <v>0</v>
      </c>
      <c r="T254" s="109">
        <f>IF($A254="","",$K254*Config!$C$9)</f>
        <v>1</v>
      </c>
      <c r="U254" s="109">
        <f>IF($A254="","",IF(COUNTIF(Config!$C$21:$C$23,$H254)&gt;0,IFERROR(VALUE(LEFT(TRIM($Q254),FIND(" ",TRIM($Q254)&amp;" ")-1)),0),0))</f>
        <v>0</v>
      </c>
      <c r="V254" s="109">
        <f t="shared" si="36"/>
        <v>1</v>
      </c>
      <c r="W254" s="108">
        <f>IF($A254="",0,IF(AND($C254&gt;=Config!$C$7,$C254&lt;=Config!$C$8),1,0))</f>
        <v>1</v>
      </c>
      <c r="X254" s="108">
        <f>IF($A254="",0,IF(COUNTIF(Config!$C$21:$C$23,$H254)&gt;0,1,0))</f>
        <v>0</v>
      </c>
      <c r="Y254" s="108">
        <f t="shared" si="37"/>
        <v>4</v>
      </c>
      <c r="Z254" s="108" t="str">
        <f t="shared" si="38"/>
        <v/>
      </c>
      <c r="AB254" s="108">
        <f t="shared" si="39"/>
        <v>0</v>
      </c>
      <c r="AC254" s="108">
        <f>IF($A254="",0,IF(AND($AB254=1,COUNTIF($A$2:$A254,$A254)=1),1,0))</f>
        <v>0</v>
      </c>
      <c r="AD254" s="108">
        <f t="shared" si="40"/>
        <v>1</v>
      </c>
      <c r="AE254" s="108" t="str">
        <f t="shared" si="41"/>
        <v/>
      </c>
      <c r="AF254" s="108">
        <f t="shared" si="42"/>
        <v>0</v>
      </c>
      <c r="AG254" s="108">
        <f t="shared" si="43"/>
        <v>0</v>
      </c>
      <c r="AH254" s="110" t="str">
        <f t="shared" si="44"/>
        <v>K. Milcarzyk|20260903|Project Management|0.125|Review of weekly client summary report.</v>
      </c>
      <c r="AI254" s="108">
        <f t="shared" si="45"/>
        <v>0</v>
      </c>
      <c r="AJ254" s="108">
        <f t="shared" si="46"/>
        <v>0</v>
      </c>
      <c r="AK254" s="108">
        <f>IF($A254="",0,IF(AND($S254=1,$W254=1,$X254=1,$U254&gt;Config!$C$9),1,0))</f>
        <v>0</v>
      </c>
      <c r="AL254" s="108">
        <f t="shared" si="47"/>
        <v>0</v>
      </c>
    </row>
    <row r="255" spans="1:38" x14ac:dyDescent="0.25">
      <c r="A255" s="106" t="s">
        <v>622</v>
      </c>
      <c r="B255" s="106" t="s">
        <v>618</v>
      </c>
      <c r="C255" s="107">
        <v>46268</v>
      </c>
      <c r="D255" s="106" t="s">
        <v>772</v>
      </c>
      <c r="E255" s="106" t="s">
        <v>773</v>
      </c>
      <c r="F255" s="106" t="s">
        <v>774</v>
      </c>
      <c r="G255" s="106" t="s">
        <v>1078</v>
      </c>
      <c r="H255" s="106" t="s">
        <v>656</v>
      </c>
      <c r="I255" s="106"/>
      <c r="J255" s="106"/>
      <c r="K255" s="106">
        <v>0.125</v>
      </c>
      <c r="L255" s="106">
        <v>0</v>
      </c>
      <c r="M255" s="106">
        <v>0</v>
      </c>
      <c r="N255" s="106"/>
      <c r="O255" s="106"/>
      <c r="P255" s="106">
        <v>0</v>
      </c>
      <c r="Q255" s="106" t="s">
        <v>1079</v>
      </c>
      <c r="S255" s="108">
        <f>IF($A255="","",COUNTIF(BPOworkers!$B$6:$B$105,$A255))</f>
        <v>0</v>
      </c>
      <c r="T255" s="109">
        <f>IF($A255="","",$K255*Config!$C$9)</f>
        <v>1</v>
      </c>
      <c r="U255" s="109">
        <f>IF($A255="","",IF(COUNTIF(Config!$C$21:$C$23,$H255)&gt;0,IFERROR(VALUE(LEFT(TRIM($Q255),FIND(" ",TRIM($Q255)&amp;" ")-1)),0),0))</f>
        <v>0</v>
      </c>
      <c r="V255" s="109">
        <f t="shared" si="36"/>
        <v>1</v>
      </c>
      <c r="W255" s="108">
        <f>IF($A255="",0,IF(AND($C255&gt;=Config!$C$7,$C255&lt;=Config!$C$8),1,0))</f>
        <v>1</v>
      </c>
      <c r="X255" s="108">
        <f>IF($A255="",0,IF(COUNTIF(Config!$C$21:$C$23,$H255)&gt;0,1,0))</f>
        <v>0</v>
      </c>
      <c r="Y255" s="108">
        <f t="shared" si="37"/>
        <v>4</v>
      </c>
      <c r="Z255" s="108" t="str">
        <f t="shared" si="38"/>
        <v/>
      </c>
      <c r="AB255" s="108">
        <f t="shared" si="39"/>
        <v>0</v>
      </c>
      <c r="AC255" s="108">
        <f>IF($A255="",0,IF(AND($AB255=1,COUNTIF($A$2:$A255,$A255)=1),1,0))</f>
        <v>0</v>
      </c>
      <c r="AD255" s="108">
        <f t="shared" si="40"/>
        <v>1</v>
      </c>
      <c r="AE255" s="108" t="str">
        <f t="shared" si="41"/>
        <v/>
      </c>
      <c r="AF255" s="108">
        <f t="shared" si="42"/>
        <v>0</v>
      </c>
      <c r="AG255" s="108">
        <f t="shared" si="43"/>
        <v>0</v>
      </c>
      <c r="AH255" s="110" t="str">
        <f t="shared" si="44"/>
        <v>K. Milcarzyk|20260903|Project Management|0.125|Drafting weekly summary report.</v>
      </c>
      <c r="AI255" s="108">
        <f t="shared" si="45"/>
        <v>0</v>
      </c>
      <c r="AJ255" s="108">
        <f t="shared" si="46"/>
        <v>0</v>
      </c>
      <c r="AK255" s="108">
        <f>IF($A255="",0,IF(AND($S255=1,$W255=1,$X255=1,$U255&gt;Config!$C$9),1,0))</f>
        <v>0</v>
      </c>
      <c r="AL255" s="108">
        <f t="shared" si="47"/>
        <v>0</v>
      </c>
    </row>
    <row r="256" spans="1:38" x14ac:dyDescent="0.25">
      <c r="A256" s="106" t="s">
        <v>622</v>
      </c>
      <c r="B256" s="106" t="s">
        <v>618</v>
      </c>
      <c r="C256" s="107">
        <v>46268</v>
      </c>
      <c r="D256" s="106" t="s">
        <v>694</v>
      </c>
      <c r="E256" s="106" t="s">
        <v>778</v>
      </c>
      <c r="F256" s="106" t="s">
        <v>779</v>
      </c>
      <c r="G256" s="106" t="s">
        <v>891</v>
      </c>
      <c r="H256" s="106" t="s">
        <v>656</v>
      </c>
      <c r="I256" s="106"/>
      <c r="J256" s="106"/>
      <c r="K256" s="106">
        <v>0.125</v>
      </c>
      <c r="L256" s="106">
        <v>0</v>
      </c>
      <c r="M256" s="106">
        <v>0</v>
      </c>
      <c r="N256" s="106"/>
      <c r="O256" s="106"/>
      <c r="P256" s="106">
        <v>0</v>
      </c>
      <c r="Q256" s="106" t="s">
        <v>1080</v>
      </c>
      <c r="S256" s="108">
        <f>IF($A256="","",COUNTIF(BPOworkers!$B$6:$B$105,$A256))</f>
        <v>0</v>
      </c>
      <c r="T256" s="109">
        <f>IF($A256="","",$K256*Config!$C$9)</f>
        <v>1</v>
      </c>
      <c r="U256" s="109">
        <f>IF($A256="","",IF(COUNTIF(Config!$C$21:$C$23,$H256)&gt;0,IFERROR(VALUE(LEFT(TRIM($Q256),FIND(" ",TRIM($Q256)&amp;" ")-1)),0),0))</f>
        <v>0</v>
      </c>
      <c r="V256" s="109">
        <f t="shared" si="36"/>
        <v>1</v>
      </c>
      <c r="W256" s="108">
        <f>IF($A256="",0,IF(AND($C256&gt;=Config!$C$7,$C256&lt;=Config!$C$8),1,0))</f>
        <v>1</v>
      </c>
      <c r="X256" s="108">
        <f>IF($A256="",0,IF(COUNTIF(Config!$C$21:$C$23,$H256)&gt;0,1,0))</f>
        <v>0</v>
      </c>
      <c r="Y256" s="108">
        <f t="shared" si="37"/>
        <v>4</v>
      </c>
      <c r="Z256" s="108" t="str">
        <f t="shared" si="38"/>
        <v/>
      </c>
      <c r="AB256" s="108">
        <f t="shared" si="39"/>
        <v>0</v>
      </c>
      <c r="AC256" s="108">
        <f>IF($A256="",0,IF(AND($AB256=1,COUNTIF($A$2:$A256,$A256)=1),1,0))</f>
        <v>0</v>
      </c>
      <c r="AD256" s="108">
        <f t="shared" si="40"/>
        <v>1</v>
      </c>
      <c r="AE256" s="108" t="str">
        <f t="shared" si="41"/>
        <v/>
      </c>
      <c r="AF256" s="108">
        <f t="shared" si="42"/>
        <v>0</v>
      </c>
      <c r="AG256" s="108">
        <f t="shared" si="43"/>
        <v>0</v>
      </c>
      <c r="AH256" s="110" t="str">
        <f t="shared" si="44"/>
        <v>K. Milcarzyk|20260903|Project Management|0.125|Answering landmen questions.</v>
      </c>
      <c r="AI256" s="108">
        <f t="shared" si="45"/>
        <v>0</v>
      </c>
      <c r="AJ256" s="108">
        <f t="shared" si="46"/>
        <v>0</v>
      </c>
      <c r="AK256" s="108">
        <f>IF($A256="",0,IF(AND($S256=1,$W256=1,$X256=1,$U256&gt;Config!$C$9),1,0))</f>
        <v>0</v>
      </c>
      <c r="AL256" s="108">
        <f t="shared" si="47"/>
        <v>0</v>
      </c>
    </row>
    <row r="257" spans="1:38" x14ac:dyDescent="0.25">
      <c r="A257" s="106" t="s">
        <v>622</v>
      </c>
      <c r="B257" s="106" t="s">
        <v>618</v>
      </c>
      <c r="C257" s="107">
        <v>46268</v>
      </c>
      <c r="D257" s="106" t="s">
        <v>643</v>
      </c>
      <c r="E257" s="106" t="s">
        <v>644</v>
      </c>
      <c r="F257" s="106" t="s">
        <v>645</v>
      </c>
      <c r="G257" s="106"/>
      <c r="H257" s="106" t="s">
        <v>656</v>
      </c>
      <c r="I257" s="106"/>
      <c r="J257" s="106"/>
      <c r="K257" s="106">
        <v>0.125</v>
      </c>
      <c r="L257" s="106">
        <v>0</v>
      </c>
      <c r="M257" s="106">
        <v>0</v>
      </c>
      <c r="N257" s="106"/>
      <c r="O257" s="106"/>
      <c r="P257" s="106">
        <v>0</v>
      </c>
      <c r="Q257" s="106" t="s">
        <v>1081</v>
      </c>
      <c r="S257" s="108">
        <f>IF($A257="","",COUNTIF(BPOworkers!$B$6:$B$105,$A257))</f>
        <v>0</v>
      </c>
      <c r="T257" s="109">
        <f>IF($A257="","",$K257*Config!$C$9)</f>
        <v>1</v>
      </c>
      <c r="U257" s="109">
        <f>IF($A257="","",IF(COUNTIF(Config!$C$21:$C$23,$H257)&gt;0,IFERROR(VALUE(LEFT(TRIM($Q257),FIND(" ",TRIM($Q257)&amp;" ")-1)),0),0))</f>
        <v>0</v>
      </c>
      <c r="V257" s="109">
        <f t="shared" si="36"/>
        <v>1</v>
      </c>
      <c r="W257" s="108">
        <f>IF($A257="",0,IF(AND($C257&gt;=Config!$C$7,$C257&lt;=Config!$C$8),1,0))</f>
        <v>1</v>
      </c>
      <c r="X257" s="108">
        <f>IF($A257="",0,IF(COUNTIF(Config!$C$21:$C$23,$H257)&gt;0,1,0))</f>
        <v>0</v>
      </c>
      <c r="Y257" s="108">
        <f t="shared" si="37"/>
        <v>4</v>
      </c>
      <c r="Z257" s="108" t="str">
        <f t="shared" si="38"/>
        <v/>
      </c>
      <c r="AB257" s="108">
        <f t="shared" si="39"/>
        <v>0</v>
      </c>
      <c r="AC257" s="108">
        <f>IF($A257="",0,IF(AND($AB257=1,COUNTIF($A$2:$A257,$A257)=1),1,0))</f>
        <v>0</v>
      </c>
      <c r="AD257" s="108">
        <f t="shared" si="40"/>
        <v>1</v>
      </c>
      <c r="AE257" s="108" t="str">
        <f t="shared" si="41"/>
        <v/>
      </c>
      <c r="AF257" s="108">
        <f t="shared" si="42"/>
        <v>0</v>
      </c>
      <c r="AG257" s="108">
        <f t="shared" si="43"/>
        <v>0</v>
      </c>
      <c r="AH257" s="110" t="str">
        <f t="shared" si="44"/>
        <v>K. Milcarzyk|20260903|Project Management|0.125|Meeting with team to discuss overall project status.</v>
      </c>
      <c r="AI257" s="108">
        <f t="shared" si="45"/>
        <v>0</v>
      </c>
      <c r="AJ257" s="108">
        <f t="shared" si="46"/>
        <v>0</v>
      </c>
      <c r="AK257" s="108">
        <f>IF($A257="",0,IF(AND($S257=1,$W257=1,$X257=1,$U257&gt;Config!$C$9),1,0))</f>
        <v>0</v>
      </c>
      <c r="AL257" s="108">
        <f t="shared" si="47"/>
        <v>0</v>
      </c>
    </row>
    <row r="258" spans="1:38" x14ac:dyDescent="0.25">
      <c r="A258" s="106" t="s">
        <v>622</v>
      </c>
      <c r="B258" s="106" t="s">
        <v>618</v>
      </c>
      <c r="C258" s="107">
        <v>46268</v>
      </c>
      <c r="D258" s="106" t="s">
        <v>1082</v>
      </c>
      <c r="E258" s="106" t="s">
        <v>773</v>
      </c>
      <c r="F258" s="106" t="s">
        <v>943</v>
      </c>
      <c r="G258" s="106" t="s">
        <v>873</v>
      </c>
      <c r="H258" s="106" t="s">
        <v>656</v>
      </c>
      <c r="I258" s="106"/>
      <c r="J258" s="106"/>
      <c r="K258" s="106">
        <v>0.125</v>
      </c>
      <c r="L258" s="106">
        <v>0</v>
      </c>
      <c r="M258" s="106">
        <v>0</v>
      </c>
      <c r="N258" s="106"/>
      <c r="O258" s="106"/>
      <c r="P258" s="106">
        <v>0</v>
      </c>
      <c r="Q258" s="106" t="s">
        <v>1083</v>
      </c>
      <c r="S258" s="108">
        <f>IF($A258="","",COUNTIF(BPOworkers!$B$6:$B$105,$A258))</f>
        <v>0</v>
      </c>
      <c r="T258" s="109">
        <f>IF($A258="","",$K258*Config!$C$9)</f>
        <v>1</v>
      </c>
      <c r="U258" s="109">
        <f>IF($A258="","",IF(COUNTIF(Config!$C$21:$C$23,$H258)&gt;0,IFERROR(VALUE(LEFT(TRIM($Q258),FIND(" ",TRIM($Q258)&amp;" ")-1)),0),0))</f>
        <v>0</v>
      </c>
      <c r="V258" s="109">
        <f t="shared" ref="V258:V321" si="48">IF($A258="","",$T258+$U258)</f>
        <v>1</v>
      </c>
      <c r="W258" s="108">
        <f>IF($A258="",0,IF(AND($C258&gt;=Config!$C$7,$C258&lt;=Config!$C$8),1,0))</f>
        <v>1</v>
      </c>
      <c r="X258" s="108">
        <f>IF($A258="",0,IF(COUNTIF(Config!$C$21:$C$23,$H258)&gt;0,1,0))</f>
        <v>0</v>
      </c>
      <c r="Y258" s="108">
        <f t="shared" ref="Y258:Y321" si="49">IF($A258="",MAX(0,Y257),MAX(0,Y257)+IF(AND($W258=1,$X258=1,$S258=1),1,0))</f>
        <v>4</v>
      </c>
      <c r="Z258" s="108" t="str">
        <f t="shared" ref="Z258:Z321" si="50">IF($A258="","",IF(AND($W258=1,$X258=1,$S258=1),$Y258,""))</f>
        <v/>
      </c>
      <c r="AB258" s="108">
        <f t="shared" ref="AB258:AB321" si="51">IF($A258="",0,IF(AND($S258=0,ISERROR(FIND(".",$A258))),1,0))</f>
        <v>0</v>
      </c>
      <c r="AC258" s="108">
        <f>IF($A258="",0,IF(AND($AB258=1,COUNTIF($A$2:$A258,$A258)=1),1,0))</f>
        <v>0</v>
      </c>
      <c r="AD258" s="108">
        <f t="shared" ref="AD258:AD321" si="52">IF($A258="",MAX(0,AD257),MAX(0,AD257)+$AC258)</f>
        <v>1</v>
      </c>
      <c r="AE258" s="108" t="str">
        <f t="shared" ref="AE258:AE321" si="53">IF($AC258=1,$AD258,"")</f>
        <v/>
      </c>
      <c r="AF258" s="108">
        <f t="shared" ref="AF258:AF321" si="54">IF($A258="",0,IFERROR(IF(AND($S258=1,WEEKDAY($C258,2)&gt;5),1,0),0))</f>
        <v>0</v>
      </c>
      <c r="AG258" s="108">
        <f t="shared" ref="AG258:AG321" si="55">IF($A258="",0,IF(AND($S258=1,$W258=0),1,0))</f>
        <v>0</v>
      </c>
      <c r="AH258" s="110" t="str">
        <f t="shared" ref="AH258:AH321" si="56">IF($A258="","",$A258&amp;"|"&amp;TEXT($C258,"yyyymmdd")&amp;"|"&amp;$H258&amp;"|"&amp;TEXT($K258,"0.000")&amp;"|"&amp;SUBSTITUTE(SUBSTITUTE(SUBSTITUTE(LEFT($Q258,120),"~",""),"*",""),"?",""))</f>
        <v>K. Milcarzyk|20260903|Project Management|0.125|Review of Weekly Summary Report.</v>
      </c>
      <c r="AI258" s="108">
        <f t="shared" ref="AI258:AI321" si="57">IF($A258="",0,IF(AND($S258=1,$W258=1,COUNTIF($AH$2:$AH$1500,$AH258)&gt;1),1,0))</f>
        <v>0</v>
      </c>
      <c r="AJ258" s="108">
        <f t="shared" ref="AJ258:AJ321" si="58">IF($A258="",0,IF(AND($S258=1,$W258=1,ABS($K258*8-ROUND($K258*8,0))&gt;0.0001),1,0))</f>
        <v>0</v>
      </c>
      <c r="AK258" s="108">
        <f>IF($A258="",0,IF(AND($S258=1,$W258=1,$X258=1,$U258&gt;Config!$C$9),1,0))</f>
        <v>0</v>
      </c>
      <c r="AL258" s="108">
        <f t="shared" ref="AL258:AL321" si="59">IF($A258="",0,IF(AND($S258=1,$W258=1,$X258=1,$U258=0),1,0))</f>
        <v>0</v>
      </c>
    </row>
    <row r="259" spans="1:38" x14ac:dyDescent="0.25">
      <c r="A259" s="106" t="s">
        <v>622</v>
      </c>
      <c r="B259" s="106" t="s">
        <v>618</v>
      </c>
      <c r="C259" s="107">
        <v>46268</v>
      </c>
      <c r="D259" s="106" t="s">
        <v>635</v>
      </c>
      <c r="E259" s="106" t="s">
        <v>636</v>
      </c>
      <c r="F259" s="106" t="s">
        <v>943</v>
      </c>
      <c r="G259" s="106"/>
      <c r="H259" s="106" t="s">
        <v>656</v>
      </c>
      <c r="I259" s="106"/>
      <c r="J259" s="106"/>
      <c r="K259" s="106">
        <v>0.125</v>
      </c>
      <c r="L259" s="106">
        <v>0</v>
      </c>
      <c r="M259" s="106">
        <v>0</v>
      </c>
      <c r="N259" s="106"/>
      <c r="O259" s="106"/>
      <c r="P259" s="106">
        <v>0</v>
      </c>
      <c r="Q259" s="106" t="s">
        <v>1084</v>
      </c>
      <c r="S259" s="108">
        <f>IF($A259="","",COUNTIF(BPOworkers!$B$6:$B$105,$A259))</f>
        <v>0</v>
      </c>
      <c r="T259" s="109">
        <f>IF($A259="","",$K259*Config!$C$9)</f>
        <v>1</v>
      </c>
      <c r="U259" s="109">
        <f>IF($A259="","",IF(COUNTIF(Config!$C$21:$C$23,$H259)&gt;0,IFERROR(VALUE(LEFT(TRIM($Q259),FIND(" ",TRIM($Q259)&amp;" ")-1)),0),0))</f>
        <v>0</v>
      </c>
      <c r="V259" s="109">
        <f t="shared" si="48"/>
        <v>1</v>
      </c>
      <c r="W259" s="108">
        <f>IF($A259="",0,IF(AND($C259&gt;=Config!$C$7,$C259&lt;=Config!$C$8),1,0))</f>
        <v>1</v>
      </c>
      <c r="X259" s="108">
        <f>IF($A259="",0,IF(COUNTIF(Config!$C$21:$C$23,$H259)&gt;0,1,0))</f>
        <v>0</v>
      </c>
      <c r="Y259" s="108">
        <f t="shared" si="49"/>
        <v>4</v>
      </c>
      <c r="Z259" s="108" t="str">
        <f t="shared" si="50"/>
        <v/>
      </c>
      <c r="AB259" s="108">
        <f t="shared" si="51"/>
        <v>0</v>
      </c>
      <c r="AC259" s="108">
        <f>IF($A259="",0,IF(AND($AB259=1,COUNTIF($A$2:$A259,$A259)=1),1,0))</f>
        <v>0</v>
      </c>
      <c r="AD259" s="108">
        <f t="shared" si="52"/>
        <v>1</v>
      </c>
      <c r="AE259" s="108" t="str">
        <f t="shared" si="53"/>
        <v/>
      </c>
      <c r="AF259" s="108">
        <f t="shared" si="54"/>
        <v>0</v>
      </c>
      <c r="AG259" s="108">
        <f t="shared" si="55"/>
        <v>0</v>
      </c>
      <c r="AH259" s="110" t="str">
        <f t="shared" si="56"/>
        <v>K. Milcarzyk|20260903|Project Management|0.125|Meeting with Josh to discuss staffing and time approval.</v>
      </c>
      <c r="AI259" s="108">
        <f t="shared" si="57"/>
        <v>0</v>
      </c>
      <c r="AJ259" s="108">
        <f t="shared" si="58"/>
        <v>0</v>
      </c>
      <c r="AK259" s="108">
        <f>IF($A259="",0,IF(AND($S259=1,$W259=1,$X259=1,$U259&gt;Config!$C$9),1,0))</f>
        <v>0</v>
      </c>
      <c r="AL259" s="108">
        <f t="shared" si="59"/>
        <v>0</v>
      </c>
    </row>
    <row r="260" spans="1:38" x14ac:dyDescent="0.25">
      <c r="A260" s="106" t="s">
        <v>622</v>
      </c>
      <c r="B260" s="106" t="s">
        <v>618</v>
      </c>
      <c r="C260" s="107">
        <v>46268</v>
      </c>
      <c r="D260" s="106" t="s">
        <v>881</v>
      </c>
      <c r="E260" s="106" t="s">
        <v>906</v>
      </c>
      <c r="F260" s="106" t="s">
        <v>1085</v>
      </c>
      <c r="G260" s="106" t="s">
        <v>933</v>
      </c>
      <c r="H260" s="106" t="s">
        <v>656</v>
      </c>
      <c r="I260" s="106"/>
      <c r="J260" s="106"/>
      <c r="K260" s="106">
        <v>0.125</v>
      </c>
      <c r="L260" s="106">
        <v>0</v>
      </c>
      <c r="M260" s="106">
        <v>0</v>
      </c>
      <c r="N260" s="106"/>
      <c r="O260" s="106"/>
      <c r="P260" s="106">
        <v>0</v>
      </c>
      <c r="Q260" s="106" t="s">
        <v>1086</v>
      </c>
      <c r="S260" s="108">
        <f>IF($A260="","",COUNTIF(BPOworkers!$B$6:$B$105,$A260))</f>
        <v>0</v>
      </c>
      <c r="T260" s="109">
        <f>IF($A260="","",$K260*Config!$C$9)</f>
        <v>1</v>
      </c>
      <c r="U260" s="109">
        <f>IF($A260="","",IF(COUNTIF(Config!$C$21:$C$23,$H260)&gt;0,IFERROR(VALUE(LEFT(TRIM($Q260),FIND(" ",TRIM($Q260)&amp;" ")-1)),0),0))</f>
        <v>0</v>
      </c>
      <c r="V260" s="109">
        <f t="shared" si="48"/>
        <v>1</v>
      </c>
      <c r="W260" s="108">
        <f>IF($A260="",0,IF(AND($C260&gt;=Config!$C$7,$C260&lt;=Config!$C$8),1,0))</f>
        <v>1</v>
      </c>
      <c r="X260" s="108">
        <f>IF($A260="",0,IF(COUNTIF(Config!$C$21:$C$23,$H260)&gt;0,1,0))</f>
        <v>0</v>
      </c>
      <c r="Y260" s="108">
        <f t="shared" si="49"/>
        <v>4</v>
      </c>
      <c r="Z260" s="108" t="str">
        <f t="shared" si="50"/>
        <v/>
      </c>
      <c r="AB260" s="108">
        <f t="shared" si="51"/>
        <v>0</v>
      </c>
      <c r="AC260" s="108">
        <f>IF($A260="",0,IF(AND($AB260=1,COUNTIF($A$2:$A260,$A260)=1),1,0))</f>
        <v>0</v>
      </c>
      <c r="AD260" s="108">
        <f t="shared" si="52"/>
        <v>1</v>
      </c>
      <c r="AE260" s="108" t="str">
        <f t="shared" si="53"/>
        <v/>
      </c>
      <c r="AF260" s="108">
        <f t="shared" si="54"/>
        <v>0</v>
      </c>
      <c r="AG260" s="108">
        <f t="shared" si="55"/>
        <v>0</v>
      </c>
      <c r="AH260" s="110" t="str">
        <f t="shared" si="56"/>
        <v>K. Milcarzyk|20260903|Project Management|0.125|Project updates with Peter and review of weekly summary report.</v>
      </c>
      <c r="AI260" s="108">
        <f t="shared" si="57"/>
        <v>0</v>
      </c>
      <c r="AJ260" s="108">
        <f t="shared" si="58"/>
        <v>0</v>
      </c>
      <c r="AK260" s="108">
        <f>IF($A260="",0,IF(AND($S260=1,$W260=1,$X260=1,$U260&gt;Config!$C$9),1,0))</f>
        <v>0</v>
      </c>
      <c r="AL260" s="108">
        <f t="shared" si="59"/>
        <v>0</v>
      </c>
    </row>
    <row r="261" spans="1:38" x14ac:dyDescent="0.25">
      <c r="A261" s="106" t="s">
        <v>627</v>
      </c>
      <c r="B261" s="106" t="s">
        <v>618</v>
      </c>
      <c r="C261" s="107">
        <v>46268</v>
      </c>
      <c r="D261" s="106" t="s">
        <v>628</v>
      </c>
      <c r="E261" s="106" t="s">
        <v>629</v>
      </c>
      <c r="F261" s="106" t="s">
        <v>630</v>
      </c>
      <c r="G261" s="106"/>
      <c r="H261" s="106" t="s">
        <v>1087</v>
      </c>
      <c r="I261" s="106"/>
      <c r="J261" s="106"/>
      <c r="K261" s="106">
        <v>0.5</v>
      </c>
      <c r="L261" s="106">
        <v>0</v>
      </c>
      <c r="M261" s="106">
        <v>0</v>
      </c>
      <c r="N261" s="106"/>
      <c r="O261" s="106"/>
      <c r="P261" s="106">
        <v>0</v>
      </c>
      <c r="Q261" s="106" t="s">
        <v>1088</v>
      </c>
      <c r="S261" s="108">
        <f>IF($A261="","",COUNTIF(BPOworkers!$B$6:$B$105,$A261))</f>
        <v>0</v>
      </c>
      <c r="T261" s="109">
        <f>IF($A261="","",$K261*Config!$C$9)</f>
        <v>4</v>
      </c>
      <c r="U261" s="109">
        <f>IF($A261="","",IF(COUNTIF(Config!$C$21:$C$23,$H261)&gt;0,IFERROR(VALUE(LEFT(TRIM($Q261),FIND(" ",TRIM($Q261)&amp;" ")-1)),0),0))</f>
        <v>0</v>
      </c>
      <c r="V261" s="109">
        <f t="shared" si="48"/>
        <v>4</v>
      </c>
      <c r="W261" s="108">
        <f>IF($A261="",0,IF(AND($C261&gt;=Config!$C$7,$C261&lt;=Config!$C$8),1,0))</f>
        <v>1</v>
      </c>
      <c r="X261" s="108">
        <f>IF($A261="",0,IF(COUNTIF(Config!$C$21:$C$23,$H261)&gt;0,1,0))</f>
        <v>0</v>
      </c>
      <c r="Y261" s="108">
        <f t="shared" si="49"/>
        <v>4</v>
      </c>
      <c r="Z261" s="108" t="str">
        <f t="shared" si="50"/>
        <v/>
      </c>
      <c r="AB261" s="108">
        <f t="shared" si="51"/>
        <v>0</v>
      </c>
      <c r="AC261" s="108">
        <f>IF($A261="",0,IF(AND($AB261=1,COUNTIF($A$2:$A261,$A261)=1),1,0))</f>
        <v>0</v>
      </c>
      <c r="AD261" s="108">
        <f t="shared" si="52"/>
        <v>1</v>
      </c>
      <c r="AE261" s="108" t="str">
        <f t="shared" si="53"/>
        <v/>
      </c>
      <c r="AF261" s="108">
        <f t="shared" si="54"/>
        <v>0</v>
      </c>
      <c r="AG261" s="108">
        <f t="shared" si="55"/>
        <v>0</v>
      </c>
      <c r="AH261" s="110" t="str">
        <f t="shared" si="56"/>
        <v>G. Bond|20260903|Well Data Analysis|0.500|Completed pulling production for each section.</v>
      </c>
      <c r="AI261" s="108">
        <f t="shared" si="57"/>
        <v>0</v>
      </c>
      <c r="AJ261" s="108">
        <f t="shared" si="58"/>
        <v>0</v>
      </c>
      <c r="AK261" s="108">
        <f>IF($A261="",0,IF(AND($S261=1,$W261=1,$X261=1,$U261&gt;Config!$C$9),1,0))</f>
        <v>0</v>
      </c>
      <c r="AL261" s="108">
        <f t="shared" si="59"/>
        <v>0</v>
      </c>
    </row>
    <row r="262" spans="1:38" x14ac:dyDescent="0.25">
      <c r="A262" s="106" t="s">
        <v>627</v>
      </c>
      <c r="B262" s="106" t="s">
        <v>614</v>
      </c>
      <c r="C262" s="107">
        <v>46268</v>
      </c>
      <c r="D262" s="106" t="s">
        <v>628</v>
      </c>
      <c r="E262" s="106" t="s">
        <v>629</v>
      </c>
      <c r="F262" s="106" t="s">
        <v>630</v>
      </c>
      <c r="G262" s="106"/>
      <c r="H262" s="106" t="s">
        <v>631</v>
      </c>
      <c r="I262" s="106"/>
      <c r="J262" s="106"/>
      <c r="K262" s="106">
        <v>0.5</v>
      </c>
      <c r="L262" s="106">
        <v>0</v>
      </c>
      <c r="M262" s="106">
        <v>0</v>
      </c>
      <c r="N262" s="106"/>
      <c r="O262" s="106"/>
      <c r="P262" s="106">
        <v>0</v>
      </c>
      <c r="Q262" s="106" t="s">
        <v>1089</v>
      </c>
      <c r="S262" s="108">
        <f>IF($A262="","",COUNTIF(BPOworkers!$B$6:$B$105,$A262))</f>
        <v>0</v>
      </c>
      <c r="T262" s="109">
        <f>IF($A262="","",$K262*Config!$C$9)</f>
        <v>4</v>
      </c>
      <c r="U262" s="109">
        <f>IF($A262="","",IF(COUNTIF(Config!$C$21:$C$23,$H262)&gt;0,IFERROR(VALUE(LEFT(TRIM($Q262),FIND(" ",TRIM($Q262)&amp;" ")-1)),0),0))</f>
        <v>0</v>
      </c>
      <c r="V262" s="109">
        <f t="shared" si="48"/>
        <v>4</v>
      </c>
      <c r="W262" s="108">
        <f>IF($A262="",0,IF(AND($C262&gt;=Config!$C$7,$C262&lt;=Config!$C$8),1,0))</f>
        <v>1</v>
      </c>
      <c r="X262" s="108">
        <f>IF($A262="",0,IF(COUNTIF(Config!$C$21:$C$23,$H262)&gt;0,1,0))</f>
        <v>0</v>
      </c>
      <c r="Y262" s="108">
        <f t="shared" si="49"/>
        <v>4</v>
      </c>
      <c r="Z262" s="108" t="str">
        <f t="shared" si="50"/>
        <v/>
      </c>
      <c r="AB262" s="108">
        <f t="shared" si="51"/>
        <v>0</v>
      </c>
      <c r="AC262" s="108">
        <f>IF($A262="",0,IF(AND($AB262=1,COUNTIF($A$2:$A262,$A262)=1),1,0))</f>
        <v>0</v>
      </c>
      <c r="AD262" s="108">
        <f t="shared" si="52"/>
        <v>1</v>
      </c>
      <c r="AE262" s="108" t="str">
        <f t="shared" si="53"/>
        <v/>
      </c>
      <c r="AF262" s="108">
        <f t="shared" si="54"/>
        <v>0</v>
      </c>
      <c r="AG262" s="108">
        <f t="shared" si="55"/>
        <v>0</v>
      </c>
      <c r="AH262" s="110" t="str">
        <f t="shared" si="56"/>
        <v>G. Bond|20260903|Title|0.500|Helped with questions when creating AOI.</v>
      </c>
      <c r="AI262" s="108">
        <f t="shared" si="57"/>
        <v>0</v>
      </c>
      <c r="AJ262" s="108">
        <f t="shared" si="58"/>
        <v>0</v>
      </c>
      <c r="AK262" s="108">
        <f>IF($A262="",0,IF(AND($S262=1,$W262=1,$X262=1,$U262&gt;Config!$C$9),1,0))</f>
        <v>0</v>
      </c>
      <c r="AL262" s="108">
        <f t="shared" si="59"/>
        <v>0</v>
      </c>
    </row>
    <row r="263" spans="1:38" x14ac:dyDescent="0.25">
      <c r="A263" s="106" t="s">
        <v>912</v>
      </c>
      <c r="B263" s="106" t="s">
        <v>618</v>
      </c>
      <c r="C263" s="107">
        <v>46268</v>
      </c>
      <c r="D263" s="106" t="s">
        <v>712</v>
      </c>
      <c r="E263" s="106" t="s">
        <v>713</v>
      </c>
      <c r="F263" s="106" t="s">
        <v>866</v>
      </c>
      <c r="G263" s="106" t="s">
        <v>1090</v>
      </c>
      <c r="H263" s="106" t="s">
        <v>639</v>
      </c>
      <c r="I263" s="106"/>
      <c r="J263" s="106"/>
      <c r="K263" s="106">
        <v>0.625</v>
      </c>
      <c r="L263" s="106">
        <v>0</v>
      </c>
      <c r="M263" s="106">
        <v>0</v>
      </c>
      <c r="N263" s="106"/>
      <c r="O263" s="106"/>
      <c r="P263" s="106">
        <v>0</v>
      </c>
      <c r="Q263" s="106" t="s">
        <v>1091</v>
      </c>
      <c r="S263" s="108">
        <f>IF($A263="","",COUNTIF(BPOworkers!$B$6:$B$105,$A263))</f>
        <v>0</v>
      </c>
      <c r="T263" s="109">
        <f>IF($A263="","",$K263*Config!$C$9)</f>
        <v>5</v>
      </c>
      <c r="U263" s="109">
        <f>IF($A263="","",IF(COUNTIF(Config!$C$21:$C$23,$H263)&gt;0,IFERROR(VALUE(LEFT(TRIM($Q263),FIND(" ",TRIM($Q263)&amp;" ")-1)),0),0))</f>
        <v>0</v>
      </c>
      <c r="V263" s="109">
        <f t="shared" si="48"/>
        <v>5</v>
      </c>
      <c r="W263" s="108">
        <f>IF($A263="",0,IF(AND($C263&gt;=Config!$C$7,$C263&lt;=Config!$C$8),1,0))</f>
        <v>1</v>
      </c>
      <c r="X263" s="108">
        <f>IF($A263="",0,IF(COUNTIF(Config!$C$21:$C$23,$H263)&gt;0,1,0))</f>
        <v>0</v>
      </c>
      <c r="Y263" s="108">
        <f t="shared" si="49"/>
        <v>4</v>
      </c>
      <c r="Z263" s="108" t="str">
        <f t="shared" si="50"/>
        <v/>
      </c>
      <c r="AB263" s="108">
        <f t="shared" si="51"/>
        <v>0</v>
      </c>
      <c r="AC263" s="108">
        <f>IF($A263="",0,IF(AND($AB263=1,COUNTIF($A$2:$A263,$A263)=1),1,0))</f>
        <v>0</v>
      </c>
      <c r="AD263" s="108">
        <f t="shared" si="52"/>
        <v>1</v>
      </c>
      <c r="AE263" s="108" t="str">
        <f t="shared" si="53"/>
        <v/>
      </c>
      <c r="AF263" s="108">
        <f t="shared" si="54"/>
        <v>0</v>
      </c>
      <c r="AG263" s="108">
        <f t="shared" si="55"/>
        <v>0</v>
      </c>
      <c r="AH263" s="110" t="str">
        <f t="shared" si="56"/>
        <v>R. Willis|20260903|Review|0.625|Finished reviewing both AOIs associated with the legal description.</v>
      </c>
      <c r="AI263" s="108">
        <f t="shared" si="57"/>
        <v>0</v>
      </c>
      <c r="AJ263" s="108">
        <f t="shared" si="58"/>
        <v>0</v>
      </c>
      <c r="AK263" s="108">
        <f>IF($A263="",0,IF(AND($S263=1,$W263=1,$X263=1,$U263&gt;Config!$C$9),1,0))</f>
        <v>0</v>
      </c>
      <c r="AL263" s="108">
        <f t="shared" si="59"/>
        <v>0</v>
      </c>
    </row>
    <row r="264" spans="1:38" x14ac:dyDescent="0.25">
      <c r="A264" s="106" t="s">
        <v>912</v>
      </c>
      <c r="B264" s="106" t="s">
        <v>618</v>
      </c>
      <c r="C264" s="107">
        <v>46268</v>
      </c>
      <c r="D264" s="106" t="s">
        <v>529</v>
      </c>
      <c r="E264" s="106" t="s">
        <v>529</v>
      </c>
      <c r="F264" s="106" t="s">
        <v>615</v>
      </c>
      <c r="G264" s="106"/>
      <c r="H264" s="106" t="s">
        <v>529</v>
      </c>
      <c r="I264" s="106"/>
      <c r="J264" s="106"/>
      <c r="K264" s="106">
        <v>0</v>
      </c>
      <c r="L264" s="106">
        <v>0</v>
      </c>
      <c r="M264" s="106">
        <v>0</v>
      </c>
      <c r="N264" s="106"/>
      <c r="O264" s="106"/>
      <c r="P264" s="106">
        <v>0</v>
      </c>
      <c r="Q264" s="106" t="s">
        <v>1092</v>
      </c>
      <c r="S264" s="108">
        <f>IF($A264="","",COUNTIF(BPOworkers!$B$6:$B$105,$A264))</f>
        <v>0</v>
      </c>
      <c r="T264" s="109">
        <f>IF($A264="","",$K264*Config!$C$9)</f>
        <v>0</v>
      </c>
      <c r="U264" s="109">
        <f>IF($A264="","",IF(COUNTIF(Config!$C$21:$C$23,$H264)&gt;0,IFERROR(VALUE(LEFT(TRIM($Q264),FIND(" ",TRIM($Q264)&amp;" ")-1)),0),0))</f>
        <v>3</v>
      </c>
      <c r="V264" s="109">
        <f t="shared" si="48"/>
        <v>3</v>
      </c>
      <c r="W264" s="108">
        <f>IF($A264="",0,IF(AND($C264&gt;=Config!$C$7,$C264&lt;=Config!$C$8),1,0))</f>
        <v>1</v>
      </c>
      <c r="X264" s="108">
        <f>IF($A264="",0,IF(COUNTIF(Config!$C$21:$C$23,$H264)&gt;0,1,0))</f>
        <v>1</v>
      </c>
      <c r="Y264" s="108">
        <f t="shared" si="49"/>
        <v>4</v>
      </c>
      <c r="Z264" s="108" t="str">
        <f t="shared" si="50"/>
        <v/>
      </c>
      <c r="AB264" s="108">
        <f t="shared" si="51"/>
        <v>0</v>
      </c>
      <c r="AC264" s="108">
        <f>IF($A264="",0,IF(AND($AB264=1,COUNTIF($A$2:$A264,$A264)=1),1,0))</f>
        <v>0</v>
      </c>
      <c r="AD264" s="108">
        <f t="shared" si="52"/>
        <v>1</v>
      </c>
      <c r="AE264" s="108" t="str">
        <f t="shared" si="53"/>
        <v/>
      </c>
      <c r="AF264" s="108">
        <f t="shared" si="54"/>
        <v>0</v>
      </c>
      <c r="AG264" s="108">
        <f t="shared" si="55"/>
        <v>0</v>
      </c>
      <c r="AH264" s="110" t="str">
        <f t="shared" si="56"/>
        <v>R. Willis|20260903|Time Off|0.000|3 hours unpaid.</v>
      </c>
      <c r="AI264" s="108">
        <f t="shared" si="57"/>
        <v>0</v>
      </c>
      <c r="AJ264" s="108">
        <f t="shared" si="58"/>
        <v>0</v>
      </c>
      <c r="AK264" s="108">
        <f>IF($A264="",0,IF(AND($S264=1,$W264=1,$X264=1,$U264&gt;Config!$C$9),1,0))</f>
        <v>0</v>
      </c>
      <c r="AL264" s="108">
        <f t="shared" si="59"/>
        <v>0</v>
      </c>
    </row>
    <row r="265" spans="1:38" x14ac:dyDescent="0.25">
      <c r="A265" s="106" t="s">
        <v>634</v>
      </c>
      <c r="B265" s="106" t="s">
        <v>618</v>
      </c>
      <c r="C265" s="107">
        <v>46268</v>
      </c>
      <c r="D265" s="106" t="s">
        <v>635</v>
      </c>
      <c r="E265" s="106" t="s">
        <v>636</v>
      </c>
      <c r="F265" s="106" t="s">
        <v>637</v>
      </c>
      <c r="G265" s="106" t="s">
        <v>638</v>
      </c>
      <c r="H265" s="106" t="s">
        <v>639</v>
      </c>
      <c r="I265" s="106"/>
      <c r="J265" s="106"/>
      <c r="K265" s="106">
        <v>1</v>
      </c>
      <c r="L265" s="106">
        <v>0</v>
      </c>
      <c r="M265" s="106">
        <v>0</v>
      </c>
      <c r="N265" s="106"/>
      <c r="O265" s="106"/>
      <c r="P265" s="106">
        <v>0</v>
      </c>
      <c r="Q265" s="106" t="s">
        <v>861</v>
      </c>
      <c r="S265" s="108">
        <f>IF($A265="","",COUNTIF(BPOworkers!$B$6:$B$105,$A265))</f>
        <v>0</v>
      </c>
      <c r="T265" s="109">
        <f>IF($A265="","",$K265*Config!$C$9)</f>
        <v>8</v>
      </c>
      <c r="U265" s="109">
        <f>IF($A265="","",IF(COUNTIF(Config!$C$21:$C$23,$H265)&gt;0,IFERROR(VALUE(LEFT(TRIM($Q265),FIND(" ",TRIM($Q265)&amp;" ")-1)),0),0))</f>
        <v>0</v>
      </c>
      <c r="V265" s="109">
        <f t="shared" si="48"/>
        <v>8</v>
      </c>
      <c r="W265" s="108">
        <f>IF($A265="",0,IF(AND($C265&gt;=Config!$C$7,$C265&lt;=Config!$C$8),1,0))</f>
        <v>1</v>
      </c>
      <c r="X265" s="108">
        <f>IF($A265="",0,IF(COUNTIF(Config!$C$21:$C$23,$H265)&gt;0,1,0))</f>
        <v>0</v>
      </c>
      <c r="Y265" s="108">
        <f t="shared" si="49"/>
        <v>4</v>
      </c>
      <c r="Z265" s="108" t="str">
        <f t="shared" si="50"/>
        <v/>
      </c>
      <c r="AB265" s="108">
        <f t="shared" si="51"/>
        <v>0</v>
      </c>
      <c r="AC265" s="108">
        <f>IF($A265="",0,IF(AND($AB265=1,COUNTIF($A$2:$A265,$A265)=1),1,0))</f>
        <v>0</v>
      </c>
      <c r="AD265" s="108">
        <f t="shared" si="52"/>
        <v>1</v>
      </c>
      <c r="AE265" s="108" t="str">
        <f t="shared" si="53"/>
        <v/>
      </c>
      <c r="AF265" s="108">
        <f t="shared" si="54"/>
        <v>0</v>
      </c>
      <c r="AG265" s="108">
        <f t="shared" si="55"/>
        <v>0</v>
      </c>
      <c r="AH265" s="110" t="str">
        <f t="shared" si="56"/>
        <v xml:space="preserve">L. Bailiff|20260903|Review|1.000|Reviewed AOI for Section 28, Township 19 South, Range 34 East in Lea County, NM associated with Federal Lease NM057285. </v>
      </c>
      <c r="AI265" s="108">
        <f t="shared" si="57"/>
        <v>0</v>
      </c>
      <c r="AJ265" s="108">
        <f t="shared" si="58"/>
        <v>0</v>
      </c>
      <c r="AK265" s="108">
        <f>IF($A265="",0,IF(AND($S265=1,$W265=1,$X265=1,$U265&gt;Config!$C$9),1,0))</f>
        <v>0</v>
      </c>
      <c r="AL265" s="108">
        <f t="shared" si="59"/>
        <v>0</v>
      </c>
    </row>
    <row r="266" spans="1:38" x14ac:dyDescent="0.25">
      <c r="A266" s="106" t="s">
        <v>641</v>
      </c>
      <c r="B266" s="106" t="s">
        <v>618</v>
      </c>
      <c r="C266" s="107">
        <v>46268</v>
      </c>
      <c r="D266" s="106" t="s">
        <v>694</v>
      </c>
      <c r="E266" s="106" t="s">
        <v>919</v>
      </c>
      <c r="F266" s="106" t="s">
        <v>766</v>
      </c>
      <c r="G266" s="106" t="s">
        <v>920</v>
      </c>
      <c r="H266" s="106" t="s">
        <v>631</v>
      </c>
      <c r="I266" s="106"/>
      <c r="J266" s="106"/>
      <c r="K266" s="106">
        <v>0.5</v>
      </c>
      <c r="L266" s="106">
        <v>0</v>
      </c>
      <c r="M266" s="106">
        <v>0</v>
      </c>
      <c r="N266" s="106"/>
      <c r="O266" s="106"/>
      <c r="P266" s="106">
        <v>0</v>
      </c>
      <c r="Q266" s="106"/>
      <c r="S266" s="108">
        <f>IF($A266="","",COUNTIF(BPOworkers!$B$6:$B$105,$A266))</f>
        <v>0</v>
      </c>
      <c r="T266" s="109">
        <f>IF($A266="","",$K266*Config!$C$9)</f>
        <v>4</v>
      </c>
      <c r="U266" s="109">
        <f>IF($A266="","",IF(COUNTIF(Config!$C$21:$C$23,$H266)&gt;0,IFERROR(VALUE(LEFT(TRIM($Q266),FIND(" ",TRIM($Q266)&amp;" ")-1)),0),0))</f>
        <v>0</v>
      </c>
      <c r="V266" s="109">
        <f t="shared" si="48"/>
        <v>4</v>
      </c>
      <c r="W266" s="108">
        <f>IF($A266="",0,IF(AND($C266&gt;=Config!$C$7,$C266&lt;=Config!$C$8),1,0))</f>
        <v>1</v>
      </c>
      <c r="X266" s="108">
        <f>IF($A266="",0,IF(COUNTIF(Config!$C$21:$C$23,$H266)&gt;0,1,0))</f>
        <v>0</v>
      </c>
      <c r="Y266" s="108">
        <f t="shared" si="49"/>
        <v>4</v>
      </c>
      <c r="Z266" s="108" t="str">
        <f t="shared" si="50"/>
        <v/>
      </c>
      <c r="AB266" s="108">
        <f t="shared" si="51"/>
        <v>0</v>
      </c>
      <c r="AC266" s="108">
        <f>IF($A266="",0,IF(AND($AB266=1,COUNTIF($A$2:$A266,$A266)=1),1,0))</f>
        <v>0</v>
      </c>
      <c r="AD266" s="108">
        <f t="shared" si="52"/>
        <v>1</v>
      </c>
      <c r="AE266" s="108" t="str">
        <f t="shared" si="53"/>
        <v/>
      </c>
      <c r="AF266" s="108">
        <f t="shared" si="54"/>
        <v>0</v>
      </c>
      <c r="AG266" s="108">
        <f t="shared" si="55"/>
        <v>0</v>
      </c>
      <c r="AH266" s="110" t="str">
        <f t="shared" si="56"/>
        <v>M. Young|20260903|Title|0.500|</v>
      </c>
      <c r="AI266" s="108">
        <f t="shared" si="57"/>
        <v>0</v>
      </c>
      <c r="AJ266" s="108">
        <f t="shared" si="58"/>
        <v>0</v>
      </c>
      <c r="AK266" s="108">
        <f>IF($A266="",0,IF(AND($S266=1,$W266=1,$X266=1,$U266&gt;Config!$C$9),1,0))</f>
        <v>0</v>
      </c>
      <c r="AL266" s="108">
        <f t="shared" si="59"/>
        <v>0</v>
      </c>
    </row>
    <row r="267" spans="1:38" x14ac:dyDescent="0.25">
      <c r="A267" s="106" t="s">
        <v>641</v>
      </c>
      <c r="B267" s="106" t="s">
        <v>618</v>
      </c>
      <c r="C267" s="107">
        <v>46268</v>
      </c>
      <c r="D267" s="106" t="s">
        <v>529</v>
      </c>
      <c r="E267" s="106" t="s">
        <v>529</v>
      </c>
      <c r="F267" s="106" t="s">
        <v>615</v>
      </c>
      <c r="G267" s="106"/>
      <c r="H267" s="106" t="s">
        <v>529</v>
      </c>
      <c r="I267" s="106"/>
      <c r="J267" s="106"/>
      <c r="K267" s="106">
        <v>0</v>
      </c>
      <c r="L267" s="106">
        <v>0</v>
      </c>
      <c r="M267" s="106">
        <v>0</v>
      </c>
      <c r="N267" s="106"/>
      <c r="O267" s="106"/>
      <c r="P267" s="106">
        <v>0</v>
      </c>
      <c r="Q267" s="106" t="s">
        <v>1093</v>
      </c>
      <c r="S267" s="108">
        <f>IF($A267="","",COUNTIF(BPOworkers!$B$6:$B$105,$A267))</f>
        <v>0</v>
      </c>
      <c r="T267" s="109">
        <f>IF($A267="","",$K267*Config!$C$9)</f>
        <v>0</v>
      </c>
      <c r="U267" s="109">
        <f>IF($A267="","",IF(COUNTIF(Config!$C$21:$C$23,$H267)&gt;0,IFERROR(VALUE(LEFT(TRIM($Q267),FIND(" ",TRIM($Q267)&amp;" ")-1)),0),0))</f>
        <v>0</v>
      </c>
      <c r="V267" s="109">
        <f t="shared" si="48"/>
        <v>0</v>
      </c>
      <c r="W267" s="108">
        <f>IF($A267="",0,IF(AND($C267&gt;=Config!$C$7,$C267&lt;=Config!$C$8),1,0))</f>
        <v>1</v>
      </c>
      <c r="X267" s="108">
        <f>IF($A267="",0,IF(COUNTIF(Config!$C$21:$C$23,$H267)&gt;0,1,0))</f>
        <v>1</v>
      </c>
      <c r="Y267" s="108">
        <f t="shared" si="49"/>
        <v>4</v>
      </c>
      <c r="Z267" s="108" t="str">
        <f t="shared" si="50"/>
        <v/>
      </c>
      <c r="AB267" s="108">
        <f t="shared" si="51"/>
        <v>0</v>
      </c>
      <c r="AC267" s="108">
        <f>IF($A267="",0,IF(AND($AB267=1,COUNTIF($A$2:$A267,$A267)=1),1,0))</f>
        <v>0</v>
      </c>
      <c r="AD267" s="108">
        <f t="shared" si="52"/>
        <v>1</v>
      </c>
      <c r="AE267" s="108" t="str">
        <f t="shared" si="53"/>
        <v/>
      </c>
      <c r="AF267" s="108">
        <f t="shared" si="54"/>
        <v>0</v>
      </c>
      <c r="AG267" s="108">
        <f t="shared" si="55"/>
        <v>0</v>
      </c>
      <c r="AH267" s="110" t="str">
        <f t="shared" si="56"/>
        <v>M. Young|20260903|Time Off|0.000|Not Billed - 4 hours</v>
      </c>
      <c r="AI267" s="108">
        <f t="shared" si="57"/>
        <v>0</v>
      </c>
      <c r="AJ267" s="108">
        <f t="shared" si="58"/>
        <v>0</v>
      </c>
      <c r="AK267" s="108">
        <f>IF($A267="",0,IF(AND($S267=1,$W267=1,$X267=1,$U267&gt;Config!$C$9),1,0))</f>
        <v>0</v>
      </c>
      <c r="AL267" s="108">
        <f t="shared" si="59"/>
        <v>0</v>
      </c>
    </row>
    <row r="268" spans="1:38" x14ac:dyDescent="0.25">
      <c r="A268" s="106" t="s">
        <v>648</v>
      </c>
      <c r="B268" s="106" t="s">
        <v>618</v>
      </c>
      <c r="C268" s="107">
        <v>46268</v>
      </c>
      <c r="D268" s="106" t="s">
        <v>694</v>
      </c>
      <c r="E268" s="106" t="s">
        <v>862</v>
      </c>
      <c r="F268" s="106" t="s">
        <v>766</v>
      </c>
      <c r="G268" s="106" t="s">
        <v>873</v>
      </c>
      <c r="H268" s="106" t="s">
        <v>639</v>
      </c>
      <c r="I268" s="106"/>
      <c r="J268" s="106"/>
      <c r="K268" s="106">
        <v>0.25</v>
      </c>
      <c r="L268" s="106">
        <v>0</v>
      </c>
      <c r="M268" s="106">
        <v>0</v>
      </c>
      <c r="N268" s="106"/>
      <c r="O268" s="106"/>
      <c r="P268" s="106">
        <v>0</v>
      </c>
      <c r="Q268" s="106" t="s">
        <v>1094</v>
      </c>
      <c r="S268" s="108">
        <f>IF($A268="","",COUNTIF(BPOworkers!$B$6:$B$105,$A268))</f>
        <v>0</v>
      </c>
      <c r="T268" s="109">
        <f>IF($A268="","",$K268*Config!$C$9)</f>
        <v>2</v>
      </c>
      <c r="U268" s="109">
        <f>IF($A268="","",IF(COUNTIF(Config!$C$21:$C$23,$H268)&gt;0,IFERROR(VALUE(LEFT(TRIM($Q268),FIND(" ",TRIM($Q268)&amp;" ")-1)),0),0))</f>
        <v>0</v>
      </c>
      <c r="V268" s="109">
        <f t="shared" si="48"/>
        <v>2</v>
      </c>
      <c r="W268" s="108">
        <f>IF($A268="",0,IF(AND($C268&gt;=Config!$C$7,$C268&lt;=Config!$C$8),1,0))</f>
        <v>1</v>
      </c>
      <c r="X268" s="108">
        <f>IF($A268="",0,IF(COUNTIF(Config!$C$21:$C$23,$H268)&gt;0,1,0))</f>
        <v>0</v>
      </c>
      <c r="Y268" s="108">
        <f t="shared" si="49"/>
        <v>4</v>
      </c>
      <c r="Z268" s="108" t="str">
        <f t="shared" si="50"/>
        <v/>
      </c>
      <c r="AB268" s="108">
        <f t="shared" si="51"/>
        <v>0</v>
      </c>
      <c r="AC268" s="108">
        <f>IF($A268="",0,IF(AND($AB268=1,COUNTIF($A$2:$A268,$A268)=1),1,0))</f>
        <v>0</v>
      </c>
      <c r="AD268" s="108">
        <f t="shared" si="52"/>
        <v>1</v>
      </c>
      <c r="AE268" s="108" t="str">
        <f t="shared" si="53"/>
        <v/>
      </c>
      <c r="AF268" s="108">
        <f t="shared" si="54"/>
        <v>0</v>
      </c>
      <c r="AG268" s="108">
        <f t="shared" si="55"/>
        <v>0</v>
      </c>
      <c r="AH268" s="110" t="str">
        <f t="shared" si="56"/>
        <v>M. Witheridge|20260903|Review|0.250|Started reviewing in 29-4S-4W | Dewey Max and Cynthia Jessen Family Trust SIV | Arch | Utah</v>
      </c>
      <c r="AI268" s="108">
        <f t="shared" si="57"/>
        <v>0</v>
      </c>
      <c r="AJ268" s="108">
        <f t="shared" si="58"/>
        <v>0</v>
      </c>
      <c r="AK268" s="108">
        <f>IF($A268="",0,IF(AND($S268=1,$W268=1,$X268=1,$U268&gt;Config!$C$9),1,0))</f>
        <v>0</v>
      </c>
      <c r="AL268" s="108">
        <f t="shared" si="59"/>
        <v>0</v>
      </c>
    </row>
    <row r="269" spans="1:38" x14ac:dyDescent="0.25">
      <c r="A269" s="106" t="s">
        <v>648</v>
      </c>
      <c r="B269" s="106" t="s">
        <v>618</v>
      </c>
      <c r="C269" s="107">
        <v>46268</v>
      </c>
      <c r="D269" s="106" t="s">
        <v>529</v>
      </c>
      <c r="E269" s="106" t="s">
        <v>529</v>
      </c>
      <c r="F269" s="106" t="s">
        <v>615</v>
      </c>
      <c r="G269" s="106"/>
      <c r="H269" s="106" t="s">
        <v>529</v>
      </c>
      <c r="I269" s="106"/>
      <c r="J269" s="106"/>
      <c r="K269" s="106">
        <v>0</v>
      </c>
      <c r="L269" s="106">
        <v>0</v>
      </c>
      <c r="M269" s="106">
        <v>0</v>
      </c>
      <c r="N269" s="106"/>
      <c r="O269" s="106"/>
      <c r="P269" s="106">
        <v>0</v>
      </c>
      <c r="Q269" s="106" t="s">
        <v>865</v>
      </c>
      <c r="S269" s="108">
        <f>IF($A269="","",COUNTIF(BPOworkers!$B$6:$B$105,$A269))</f>
        <v>0</v>
      </c>
      <c r="T269" s="109">
        <f>IF($A269="","",$K269*Config!$C$9)</f>
        <v>0</v>
      </c>
      <c r="U269" s="109">
        <f>IF($A269="","",IF(COUNTIF(Config!$C$21:$C$23,$H269)&gt;0,IFERROR(VALUE(LEFT(TRIM($Q269),FIND(" ",TRIM($Q269)&amp;" ")-1)),0),0))</f>
        <v>6</v>
      </c>
      <c r="V269" s="109">
        <f t="shared" si="48"/>
        <v>6</v>
      </c>
      <c r="W269" s="108">
        <f>IF($A269="",0,IF(AND($C269&gt;=Config!$C$7,$C269&lt;=Config!$C$8),1,0))</f>
        <v>1</v>
      </c>
      <c r="X269" s="108">
        <f>IF($A269="",0,IF(COUNTIF(Config!$C$21:$C$23,$H269)&gt;0,1,0))</f>
        <v>1</v>
      </c>
      <c r="Y269" s="108">
        <f t="shared" si="49"/>
        <v>4</v>
      </c>
      <c r="Z269" s="108" t="str">
        <f t="shared" si="50"/>
        <v/>
      </c>
      <c r="AB269" s="108">
        <f t="shared" si="51"/>
        <v>0</v>
      </c>
      <c r="AC269" s="108">
        <f>IF($A269="",0,IF(AND($AB269=1,COUNTIF($A$2:$A269,$A269)=1),1,0))</f>
        <v>0</v>
      </c>
      <c r="AD269" s="108">
        <f t="shared" si="52"/>
        <v>1</v>
      </c>
      <c r="AE269" s="108" t="str">
        <f t="shared" si="53"/>
        <v/>
      </c>
      <c r="AF269" s="108">
        <f t="shared" si="54"/>
        <v>0</v>
      </c>
      <c r="AG269" s="108">
        <f t="shared" si="55"/>
        <v>0</v>
      </c>
      <c r="AH269" s="110" t="str">
        <f t="shared" si="56"/>
        <v>M. Witheridge|20260903|Time Off|0.000|6 hours unpaid</v>
      </c>
      <c r="AI269" s="108">
        <f t="shared" si="57"/>
        <v>0</v>
      </c>
      <c r="AJ269" s="108">
        <f t="shared" si="58"/>
        <v>0</v>
      </c>
      <c r="AK269" s="108">
        <f>IF($A269="",0,IF(AND($S269=1,$W269=1,$X269=1,$U269&gt;Config!$C$9),1,0))</f>
        <v>0</v>
      </c>
      <c r="AL269" s="108">
        <f t="shared" si="59"/>
        <v>0</v>
      </c>
    </row>
    <row r="270" spans="1:38" x14ac:dyDescent="0.25">
      <c r="A270" s="106" t="s">
        <v>650</v>
      </c>
      <c r="B270" s="106" t="s">
        <v>618</v>
      </c>
      <c r="C270" s="107">
        <v>46268</v>
      </c>
      <c r="D270" s="106" t="s">
        <v>694</v>
      </c>
      <c r="E270" s="106" t="s">
        <v>695</v>
      </c>
      <c r="F270" s="106" t="s">
        <v>766</v>
      </c>
      <c r="G270" s="106" t="s">
        <v>917</v>
      </c>
      <c r="H270" s="106" t="s">
        <v>639</v>
      </c>
      <c r="I270" s="106"/>
      <c r="J270" s="106"/>
      <c r="K270" s="106">
        <v>1</v>
      </c>
      <c r="L270" s="106">
        <v>0</v>
      </c>
      <c r="M270" s="106">
        <v>0</v>
      </c>
      <c r="N270" s="106"/>
      <c r="O270" s="106"/>
      <c r="P270" s="106">
        <v>0</v>
      </c>
      <c r="Q270" s="106" t="s">
        <v>1095</v>
      </c>
      <c r="S270" s="108">
        <f>IF($A270="","",COUNTIF(BPOworkers!$B$6:$B$105,$A270))</f>
        <v>0</v>
      </c>
      <c r="T270" s="109">
        <f>IF($A270="","",$K270*Config!$C$9)</f>
        <v>8</v>
      </c>
      <c r="U270" s="109">
        <f>IF($A270="","",IF(COUNTIF(Config!$C$21:$C$23,$H270)&gt;0,IFERROR(VALUE(LEFT(TRIM($Q270),FIND(" ",TRIM($Q270)&amp;" ")-1)),0),0))</f>
        <v>0</v>
      </c>
      <c r="V270" s="109">
        <f t="shared" si="48"/>
        <v>8</v>
      </c>
      <c r="W270" s="108">
        <f>IF($A270="",0,IF(AND($C270&gt;=Config!$C$7,$C270&lt;=Config!$C$8),1,0))</f>
        <v>1</v>
      </c>
      <c r="X270" s="108">
        <f>IF($A270="",0,IF(COUNTIF(Config!$C$21:$C$23,$H270)&gt;0,1,0))</f>
        <v>0</v>
      </c>
      <c r="Y270" s="108">
        <f t="shared" si="49"/>
        <v>4</v>
      </c>
      <c r="Z270" s="108" t="str">
        <f t="shared" si="50"/>
        <v/>
      </c>
      <c r="AB270" s="108">
        <f t="shared" si="51"/>
        <v>0</v>
      </c>
      <c r="AC270" s="108">
        <f>IF($A270="",0,IF(AND($AB270=1,COUNTIF($A$2:$A270,$A270)=1),1,0))</f>
        <v>0</v>
      </c>
      <c r="AD270" s="108">
        <f t="shared" si="52"/>
        <v>1</v>
      </c>
      <c r="AE270" s="108" t="str">
        <f t="shared" si="53"/>
        <v/>
      </c>
      <c r="AF270" s="108">
        <f t="shared" si="54"/>
        <v>0</v>
      </c>
      <c r="AG270" s="108">
        <f t="shared" si="55"/>
        <v>0</v>
      </c>
      <c r="AH270" s="110" t="str">
        <f t="shared" si="56"/>
        <v>P. Elliott|20260903|Review|1.000|Reviewed subject AOI. Closed all gaps in title and added multiple documents. Still waiting for landman statement from la</v>
      </c>
      <c r="AI270" s="108">
        <f t="shared" si="57"/>
        <v>0</v>
      </c>
      <c r="AJ270" s="108">
        <f t="shared" si="58"/>
        <v>0</v>
      </c>
      <c r="AK270" s="108">
        <f>IF($A270="",0,IF(AND($S270=1,$W270=1,$X270=1,$U270&gt;Config!$C$9),1,0))</f>
        <v>0</v>
      </c>
      <c r="AL270" s="108">
        <f t="shared" si="59"/>
        <v>0</v>
      </c>
    </row>
    <row r="271" spans="1:38" x14ac:dyDescent="0.25">
      <c r="A271" s="106" t="s">
        <v>922</v>
      </c>
      <c r="B271" s="106" t="s">
        <v>618</v>
      </c>
      <c r="C271" s="107">
        <v>46268</v>
      </c>
      <c r="D271" s="106" t="s">
        <v>712</v>
      </c>
      <c r="E271" s="106" t="s">
        <v>713</v>
      </c>
      <c r="F271" s="106" t="s">
        <v>866</v>
      </c>
      <c r="G271" s="106" t="s">
        <v>1096</v>
      </c>
      <c r="H271" s="106" t="s">
        <v>631</v>
      </c>
      <c r="I271" s="106"/>
      <c r="J271" s="106"/>
      <c r="K271" s="106">
        <v>1</v>
      </c>
      <c r="L271" s="106">
        <v>0</v>
      </c>
      <c r="M271" s="106">
        <v>0</v>
      </c>
      <c r="N271" s="106"/>
      <c r="O271" s="106"/>
      <c r="P271" s="106">
        <v>0</v>
      </c>
      <c r="Q271" s="106" t="s">
        <v>1097</v>
      </c>
      <c r="S271" s="108">
        <f>IF($A271="","",COUNTIF(BPOworkers!$B$6:$B$105,$A271))</f>
        <v>0</v>
      </c>
      <c r="T271" s="109">
        <f>IF($A271="","",$K271*Config!$C$9)</f>
        <v>8</v>
      </c>
      <c r="U271" s="109">
        <f>IF($A271="","",IF(COUNTIF(Config!$C$21:$C$23,$H271)&gt;0,IFERROR(VALUE(LEFT(TRIM($Q271),FIND(" ",TRIM($Q271)&amp;" ")-1)),0),0))</f>
        <v>0</v>
      </c>
      <c r="V271" s="109">
        <f t="shared" si="48"/>
        <v>8</v>
      </c>
      <c r="W271" s="108">
        <f>IF($A271="",0,IF(AND($C271&gt;=Config!$C$7,$C271&lt;=Config!$C$8),1,0))</f>
        <v>1</v>
      </c>
      <c r="X271" s="108">
        <f>IF($A271="",0,IF(COUNTIF(Config!$C$21:$C$23,$H271)&gt;0,1,0))</f>
        <v>0</v>
      </c>
      <c r="Y271" s="108">
        <f t="shared" si="49"/>
        <v>4</v>
      </c>
      <c r="Z271" s="108" t="str">
        <f t="shared" si="50"/>
        <v/>
      </c>
      <c r="AB271" s="108">
        <f t="shared" si="51"/>
        <v>0</v>
      </c>
      <c r="AC271" s="108">
        <f>IF($A271="",0,IF(AND($AB271=1,COUNTIF($A$2:$A271,$A271)=1),1,0))</f>
        <v>0</v>
      </c>
      <c r="AD271" s="108">
        <f t="shared" si="52"/>
        <v>1</v>
      </c>
      <c r="AE271" s="108" t="str">
        <f t="shared" si="53"/>
        <v/>
      </c>
      <c r="AF271" s="108">
        <f t="shared" si="54"/>
        <v>0</v>
      </c>
      <c r="AG271" s="108">
        <f t="shared" si="55"/>
        <v>0</v>
      </c>
      <c r="AH271" s="110" t="str">
        <f t="shared" si="56"/>
        <v>S. Laine|20260903|Title|1.000|Begin research for AOI chain; review TRRC for location of parcel and add parcel to Tracts AOI; index approximately 250 d</v>
      </c>
      <c r="AI271" s="108">
        <f t="shared" si="57"/>
        <v>0</v>
      </c>
      <c r="AJ271" s="108">
        <f t="shared" si="58"/>
        <v>0</v>
      </c>
      <c r="AK271" s="108">
        <f>IF($A271="",0,IF(AND($S271=1,$W271=1,$X271=1,$U271&gt;Config!$C$9),1,0))</f>
        <v>0</v>
      </c>
      <c r="AL271" s="108">
        <f t="shared" si="59"/>
        <v>0</v>
      </c>
    </row>
    <row r="272" spans="1:38" x14ac:dyDescent="0.25">
      <c r="A272" s="106" t="s">
        <v>924</v>
      </c>
      <c r="B272" s="106" t="s">
        <v>618</v>
      </c>
      <c r="C272" s="107">
        <v>46268</v>
      </c>
      <c r="D272" s="106" t="s">
        <v>529</v>
      </c>
      <c r="E272" s="106" t="s">
        <v>529</v>
      </c>
      <c r="F272" s="106" t="s">
        <v>615</v>
      </c>
      <c r="G272" s="106"/>
      <c r="H272" s="106" t="s">
        <v>529</v>
      </c>
      <c r="I272" s="106"/>
      <c r="J272" s="106"/>
      <c r="K272" s="106">
        <v>0</v>
      </c>
      <c r="L272" s="106">
        <v>0</v>
      </c>
      <c r="M272" s="106">
        <v>0</v>
      </c>
      <c r="N272" s="106"/>
      <c r="O272" s="106"/>
      <c r="P272" s="106">
        <v>0</v>
      </c>
      <c r="Q272" s="106" t="s">
        <v>661</v>
      </c>
      <c r="S272" s="108">
        <f>IF($A272="","",COUNTIF(BPOworkers!$B$6:$B$105,$A272))</f>
        <v>0</v>
      </c>
      <c r="T272" s="109">
        <f>IF($A272="","",$K272*Config!$C$9)</f>
        <v>0</v>
      </c>
      <c r="U272" s="109">
        <f>IF($A272="","",IF(COUNTIF(Config!$C$21:$C$23,$H272)&gt;0,IFERROR(VALUE(LEFT(TRIM($Q272),FIND(" ",TRIM($Q272)&amp;" ")-1)),0),0))</f>
        <v>8</v>
      </c>
      <c r="V272" s="109">
        <f t="shared" si="48"/>
        <v>8</v>
      </c>
      <c r="W272" s="108">
        <f>IF($A272="",0,IF(AND($C272&gt;=Config!$C$7,$C272&lt;=Config!$C$8),1,0))</f>
        <v>1</v>
      </c>
      <c r="X272" s="108">
        <f>IF($A272="",0,IF(COUNTIF(Config!$C$21:$C$23,$H272)&gt;0,1,0))</f>
        <v>1</v>
      </c>
      <c r="Y272" s="108">
        <f t="shared" si="49"/>
        <v>4</v>
      </c>
      <c r="Z272" s="108" t="str">
        <f t="shared" si="50"/>
        <v/>
      </c>
      <c r="AB272" s="108">
        <f t="shared" si="51"/>
        <v>0</v>
      </c>
      <c r="AC272" s="108">
        <f>IF($A272="",0,IF(AND($AB272=1,COUNTIF($A$2:$A272,$A272)=1),1,0))</f>
        <v>0</v>
      </c>
      <c r="AD272" s="108">
        <f t="shared" si="52"/>
        <v>1</v>
      </c>
      <c r="AE272" s="108" t="str">
        <f t="shared" si="53"/>
        <v/>
      </c>
      <c r="AF272" s="108">
        <f t="shared" si="54"/>
        <v>0</v>
      </c>
      <c r="AG272" s="108">
        <f t="shared" si="55"/>
        <v>0</v>
      </c>
      <c r="AH272" s="110" t="str">
        <f t="shared" si="56"/>
        <v>B. Shlemon|20260903|Time Off|0.000|8 hours not billed</v>
      </c>
      <c r="AI272" s="108">
        <f t="shared" si="57"/>
        <v>0</v>
      </c>
      <c r="AJ272" s="108">
        <f t="shared" si="58"/>
        <v>0</v>
      </c>
      <c r="AK272" s="108">
        <f>IF($A272="",0,IF(AND($S272=1,$W272=1,$X272=1,$U272&gt;Config!$C$9),1,0))</f>
        <v>0</v>
      </c>
      <c r="AL272" s="108">
        <f t="shared" si="59"/>
        <v>0</v>
      </c>
    </row>
    <row r="273" spans="1:38" x14ac:dyDescent="0.25">
      <c r="A273" s="106" t="s">
        <v>652</v>
      </c>
      <c r="B273" s="106" t="s">
        <v>618</v>
      </c>
      <c r="C273" s="107">
        <v>46268</v>
      </c>
      <c r="D273" s="106" t="s">
        <v>635</v>
      </c>
      <c r="E273" s="106" t="s">
        <v>636</v>
      </c>
      <c r="F273" s="106" t="s">
        <v>637</v>
      </c>
      <c r="G273" s="106" t="s">
        <v>925</v>
      </c>
      <c r="H273" s="106" t="s">
        <v>656</v>
      </c>
      <c r="I273" s="106"/>
      <c r="J273" s="106"/>
      <c r="K273" s="106">
        <v>0.5</v>
      </c>
      <c r="L273" s="106">
        <v>0</v>
      </c>
      <c r="M273" s="106">
        <v>0</v>
      </c>
      <c r="N273" s="106"/>
      <c r="O273" s="106"/>
      <c r="P273" s="106">
        <v>0</v>
      </c>
      <c r="Q273" s="106" t="s">
        <v>1098</v>
      </c>
      <c r="S273" s="108">
        <f>IF($A273="","",COUNTIF(BPOworkers!$B$6:$B$105,$A273))</f>
        <v>0</v>
      </c>
      <c r="T273" s="109">
        <f>IF($A273="","",$K273*Config!$C$9)</f>
        <v>4</v>
      </c>
      <c r="U273" s="109">
        <f>IF($A273="","",IF(COUNTIF(Config!$C$21:$C$23,$H273)&gt;0,IFERROR(VALUE(LEFT(TRIM($Q273),FIND(" ",TRIM($Q273)&amp;" ")-1)),0),0))</f>
        <v>0</v>
      </c>
      <c r="V273" s="109">
        <f t="shared" si="48"/>
        <v>4</v>
      </c>
      <c r="W273" s="108">
        <f>IF($A273="",0,IF(AND($C273&gt;=Config!$C$7,$C273&lt;=Config!$C$8),1,0))</f>
        <v>1</v>
      </c>
      <c r="X273" s="108">
        <f>IF($A273="",0,IF(COUNTIF(Config!$C$21:$C$23,$H273)&gt;0,1,0))</f>
        <v>0</v>
      </c>
      <c r="Y273" s="108">
        <f t="shared" si="49"/>
        <v>4</v>
      </c>
      <c r="Z273" s="108" t="str">
        <f t="shared" si="50"/>
        <v/>
      </c>
      <c r="AB273" s="108">
        <f t="shared" si="51"/>
        <v>0</v>
      </c>
      <c r="AC273" s="108">
        <f>IF($A273="",0,IF(AND($AB273=1,COUNTIF($A$2:$A273,$A273)=1),1,0))</f>
        <v>0</v>
      </c>
      <c r="AD273" s="108">
        <f t="shared" si="52"/>
        <v>1</v>
      </c>
      <c r="AE273" s="108" t="str">
        <f t="shared" si="53"/>
        <v/>
      </c>
      <c r="AF273" s="108">
        <f t="shared" si="54"/>
        <v>0</v>
      </c>
      <c r="AG273" s="108">
        <f t="shared" si="55"/>
        <v>0</v>
      </c>
      <c r="AH273" s="110" t="str">
        <f t="shared" si="56"/>
        <v>J. Greenlee|20260903|Project Management|0.500|Direction of reviewers. Client update and update of review data. Correspondence with team and management. Prep of client</v>
      </c>
      <c r="AI273" s="108">
        <f t="shared" si="57"/>
        <v>0</v>
      </c>
      <c r="AJ273" s="108">
        <f t="shared" si="58"/>
        <v>0</v>
      </c>
      <c r="AK273" s="108">
        <f>IF($A273="",0,IF(AND($S273=1,$W273=1,$X273=1,$U273&gt;Config!$C$9),1,0))</f>
        <v>0</v>
      </c>
      <c r="AL273" s="108">
        <f t="shared" si="59"/>
        <v>0</v>
      </c>
    </row>
    <row r="274" spans="1:38" x14ac:dyDescent="0.25">
      <c r="A274" s="106" t="s">
        <v>652</v>
      </c>
      <c r="B274" s="106" t="s">
        <v>618</v>
      </c>
      <c r="C274" s="107">
        <v>46268</v>
      </c>
      <c r="D274" s="106" t="s">
        <v>529</v>
      </c>
      <c r="E274" s="106" t="s">
        <v>529</v>
      </c>
      <c r="F274" s="106" t="s">
        <v>615</v>
      </c>
      <c r="G274" s="106"/>
      <c r="H274" s="106" t="s">
        <v>529</v>
      </c>
      <c r="I274" s="106"/>
      <c r="J274" s="106"/>
      <c r="K274" s="106">
        <v>0</v>
      </c>
      <c r="L274" s="106">
        <v>0</v>
      </c>
      <c r="M274" s="106">
        <v>0</v>
      </c>
      <c r="N274" s="106"/>
      <c r="O274" s="106"/>
      <c r="P274" s="106">
        <v>0</v>
      </c>
      <c r="Q274" s="106" t="s">
        <v>927</v>
      </c>
      <c r="S274" s="108">
        <f>IF($A274="","",COUNTIF(BPOworkers!$B$6:$B$105,$A274))</f>
        <v>0</v>
      </c>
      <c r="T274" s="109">
        <f>IF($A274="","",$K274*Config!$C$9)</f>
        <v>0</v>
      </c>
      <c r="U274" s="109">
        <f>IF($A274="","",IF(COUNTIF(Config!$C$21:$C$23,$H274)&gt;0,IFERROR(VALUE(LEFT(TRIM($Q274),FIND(" ",TRIM($Q274)&amp;" ")-1)),0),0))</f>
        <v>4</v>
      </c>
      <c r="V274" s="109">
        <f t="shared" si="48"/>
        <v>4</v>
      </c>
      <c r="W274" s="108">
        <f>IF($A274="",0,IF(AND($C274&gt;=Config!$C$7,$C274&lt;=Config!$C$8),1,0))</f>
        <v>1</v>
      </c>
      <c r="X274" s="108">
        <f>IF($A274="",0,IF(COUNTIF(Config!$C$21:$C$23,$H274)&gt;0,1,0))</f>
        <v>1</v>
      </c>
      <c r="Y274" s="108">
        <f t="shared" si="49"/>
        <v>4</v>
      </c>
      <c r="Z274" s="108" t="str">
        <f t="shared" si="50"/>
        <v/>
      </c>
      <c r="AB274" s="108">
        <f t="shared" si="51"/>
        <v>0</v>
      </c>
      <c r="AC274" s="108">
        <f>IF($A274="",0,IF(AND($AB274=1,COUNTIF($A$2:$A274,$A274)=1),1,0))</f>
        <v>0</v>
      </c>
      <c r="AD274" s="108">
        <f t="shared" si="52"/>
        <v>1</v>
      </c>
      <c r="AE274" s="108" t="str">
        <f t="shared" si="53"/>
        <v/>
      </c>
      <c r="AF274" s="108">
        <f t="shared" si="54"/>
        <v>0</v>
      </c>
      <c r="AG274" s="108">
        <f t="shared" si="55"/>
        <v>0</v>
      </c>
      <c r="AH274" s="110" t="str">
        <f t="shared" si="56"/>
        <v>J. Greenlee|20260903|Time Off|0.000|4 hours unpaid</v>
      </c>
      <c r="AI274" s="108">
        <f t="shared" si="57"/>
        <v>0</v>
      </c>
      <c r="AJ274" s="108">
        <f t="shared" si="58"/>
        <v>0</v>
      </c>
      <c r="AK274" s="108">
        <f>IF($A274="",0,IF(AND($S274=1,$W274=1,$X274=1,$U274&gt;Config!$C$9),1,0))</f>
        <v>0</v>
      </c>
      <c r="AL274" s="108">
        <f t="shared" si="59"/>
        <v>0</v>
      </c>
    </row>
    <row r="275" spans="1:38" x14ac:dyDescent="0.25">
      <c r="A275" s="106" t="s">
        <v>653</v>
      </c>
      <c r="B275" s="106" t="s">
        <v>614</v>
      </c>
      <c r="C275" s="107">
        <v>46268</v>
      </c>
      <c r="D275" s="106" t="s">
        <v>623</v>
      </c>
      <c r="E275" s="106" t="s">
        <v>624</v>
      </c>
      <c r="F275" s="106" t="s">
        <v>615</v>
      </c>
      <c r="G275" s="106" t="s">
        <v>625</v>
      </c>
      <c r="H275" s="106" t="s">
        <v>830</v>
      </c>
      <c r="I275" s="106" t="s">
        <v>657</v>
      </c>
      <c r="J275" s="106"/>
      <c r="K275" s="106">
        <v>0.25</v>
      </c>
      <c r="L275" s="106">
        <v>0</v>
      </c>
      <c r="M275" s="106">
        <v>0</v>
      </c>
      <c r="N275" s="106"/>
      <c r="O275" s="106"/>
      <c r="P275" s="106">
        <v>0</v>
      </c>
      <c r="Q275" s="106" t="s">
        <v>928</v>
      </c>
      <c r="S275" s="108">
        <f>IF($A275="","",COUNTIF(BPOworkers!$B$6:$B$105,$A275))</f>
        <v>0</v>
      </c>
      <c r="T275" s="109">
        <f>IF($A275="","",$K275*Config!$C$9)</f>
        <v>2</v>
      </c>
      <c r="U275" s="109">
        <f>IF($A275="","",IF(COUNTIF(Config!$C$21:$C$23,$H275)&gt;0,IFERROR(VALUE(LEFT(TRIM($Q275),FIND(" ",TRIM($Q275)&amp;" ")-1)),0),0))</f>
        <v>0</v>
      </c>
      <c r="V275" s="109">
        <f t="shared" si="48"/>
        <v>2</v>
      </c>
      <c r="W275" s="108">
        <f>IF($A275="",0,IF(AND($C275&gt;=Config!$C$7,$C275&lt;=Config!$C$8),1,0))</f>
        <v>1</v>
      </c>
      <c r="X275" s="108">
        <f>IF($A275="",0,IF(COUNTIF(Config!$C$21:$C$23,$H275)&gt;0,1,0))</f>
        <v>0</v>
      </c>
      <c r="Y275" s="108">
        <f t="shared" si="49"/>
        <v>4</v>
      </c>
      <c r="Z275" s="108" t="str">
        <f t="shared" si="50"/>
        <v/>
      </c>
      <c r="AB275" s="108">
        <f t="shared" si="51"/>
        <v>0</v>
      </c>
      <c r="AC275" s="108">
        <f>IF($A275="",0,IF(AND($AB275=1,COUNTIF($A$2:$A275,$A275)=1),1,0))</f>
        <v>0</v>
      </c>
      <c r="AD275" s="108">
        <f t="shared" si="52"/>
        <v>1</v>
      </c>
      <c r="AE275" s="108" t="str">
        <f t="shared" si="53"/>
        <v/>
      </c>
      <c r="AF275" s="108">
        <f t="shared" si="54"/>
        <v>0</v>
      </c>
      <c r="AG275" s="108">
        <f t="shared" si="55"/>
        <v>0</v>
      </c>
      <c r="AH275" s="110" t="str">
        <f t="shared" si="56"/>
        <v>J. Howell|20260903|Training - TLS|0.250|Sponsored</v>
      </c>
      <c r="AI275" s="108">
        <f t="shared" si="57"/>
        <v>0</v>
      </c>
      <c r="AJ275" s="108">
        <f t="shared" si="58"/>
        <v>0</v>
      </c>
      <c r="AK275" s="108">
        <f>IF($A275="",0,IF(AND($S275=1,$W275=1,$X275=1,$U275&gt;Config!$C$9),1,0))</f>
        <v>0</v>
      </c>
      <c r="AL275" s="108">
        <f t="shared" si="59"/>
        <v>0</v>
      </c>
    </row>
    <row r="276" spans="1:38" x14ac:dyDescent="0.25">
      <c r="A276" s="106" t="s">
        <v>653</v>
      </c>
      <c r="B276" s="106" t="s">
        <v>614</v>
      </c>
      <c r="C276" s="107">
        <v>46268</v>
      </c>
      <c r="D276" s="106" t="s">
        <v>623</v>
      </c>
      <c r="E276" s="106" t="s">
        <v>624</v>
      </c>
      <c r="F276" s="106" t="s">
        <v>615</v>
      </c>
      <c r="G276" s="106" t="s">
        <v>625</v>
      </c>
      <c r="H276" s="106" t="s">
        <v>929</v>
      </c>
      <c r="I276" s="106" t="s">
        <v>657</v>
      </c>
      <c r="J276" s="106"/>
      <c r="K276" s="106">
        <v>0.625</v>
      </c>
      <c r="L276" s="106">
        <v>0</v>
      </c>
      <c r="M276" s="106">
        <v>0</v>
      </c>
      <c r="N276" s="106"/>
      <c r="O276" s="106"/>
      <c r="P276" s="106">
        <v>0</v>
      </c>
      <c r="Q276" s="106" t="s">
        <v>930</v>
      </c>
      <c r="S276" s="108">
        <f>IF($A276="","",COUNTIF(BPOworkers!$B$6:$B$105,$A276))</f>
        <v>0</v>
      </c>
      <c r="T276" s="109">
        <f>IF($A276="","",$K276*Config!$C$9)</f>
        <v>5</v>
      </c>
      <c r="U276" s="109">
        <f>IF($A276="","",IF(COUNTIF(Config!$C$21:$C$23,$H276)&gt;0,IFERROR(VALUE(LEFT(TRIM($Q276),FIND(" ",TRIM($Q276)&amp;" ")-1)),0),0))</f>
        <v>0</v>
      </c>
      <c r="V276" s="109">
        <f t="shared" si="48"/>
        <v>5</v>
      </c>
      <c r="W276" s="108">
        <f>IF($A276="",0,IF(AND($C276&gt;=Config!$C$7,$C276&lt;=Config!$C$8),1,0))</f>
        <v>1</v>
      </c>
      <c r="X276" s="108">
        <f>IF($A276="",0,IF(COUNTIF(Config!$C$21:$C$23,$H276)&gt;0,1,0))</f>
        <v>0</v>
      </c>
      <c r="Y276" s="108">
        <f t="shared" si="49"/>
        <v>4</v>
      </c>
      <c r="Z276" s="108" t="str">
        <f t="shared" si="50"/>
        <v/>
      </c>
      <c r="AB276" s="108">
        <f t="shared" si="51"/>
        <v>0</v>
      </c>
      <c r="AC276" s="108">
        <f>IF($A276="",0,IF(AND($AB276=1,COUNTIF($A$2:$A276,$A276)=1),1,0))</f>
        <v>0</v>
      </c>
      <c r="AD276" s="108">
        <f t="shared" si="52"/>
        <v>1</v>
      </c>
      <c r="AE276" s="108" t="str">
        <f t="shared" si="53"/>
        <v/>
      </c>
      <c r="AF276" s="108">
        <f t="shared" si="54"/>
        <v>0</v>
      </c>
      <c r="AG276" s="108">
        <f t="shared" si="55"/>
        <v>0</v>
      </c>
      <c r="AH276" s="110" t="str">
        <f t="shared" si="56"/>
        <v>J. Howell|20260903|Business Development|0.625|Support Request - Zendesk</v>
      </c>
      <c r="AI276" s="108">
        <f t="shared" si="57"/>
        <v>0</v>
      </c>
      <c r="AJ276" s="108">
        <f t="shared" si="58"/>
        <v>0</v>
      </c>
      <c r="AK276" s="108">
        <f>IF($A276="",0,IF(AND($S276=1,$W276=1,$X276=1,$U276&gt;Config!$C$9),1,0))</f>
        <v>0</v>
      </c>
      <c r="AL276" s="108">
        <f t="shared" si="59"/>
        <v>0</v>
      </c>
    </row>
    <row r="277" spans="1:38" x14ac:dyDescent="0.25">
      <c r="A277" s="106" t="s">
        <v>653</v>
      </c>
      <c r="B277" s="106" t="s">
        <v>614</v>
      </c>
      <c r="C277" s="107">
        <v>46268</v>
      </c>
      <c r="D277" s="106" t="s">
        <v>623</v>
      </c>
      <c r="E277" s="106" t="s">
        <v>624</v>
      </c>
      <c r="F277" s="106" t="s">
        <v>615</v>
      </c>
      <c r="G277" s="106" t="s">
        <v>625</v>
      </c>
      <c r="H277" s="106" t="s">
        <v>931</v>
      </c>
      <c r="I277" s="106" t="s">
        <v>657</v>
      </c>
      <c r="J277" s="106"/>
      <c r="K277" s="106">
        <v>0.25</v>
      </c>
      <c r="L277" s="106">
        <v>0</v>
      </c>
      <c r="M277" s="106">
        <v>0</v>
      </c>
      <c r="N277" s="106"/>
      <c r="O277" s="106"/>
      <c r="P277" s="106">
        <v>0</v>
      </c>
      <c r="Q277" s="106"/>
      <c r="S277" s="108">
        <f>IF($A277="","",COUNTIF(BPOworkers!$B$6:$B$105,$A277))</f>
        <v>0</v>
      </c>
      <c r="T277" s="109">
        <f>IF($A277="","",$K277*Config!$C$9)</f>
        <v>2</v>
      </c>
      <c r="U277" s="109">
        <f>IF($A277="","",IF(COUNTIF(Config!$C$21:$C$23,$H277)&gt;0,IFERROR(VALUE(LEFT(TRIM($Q277),FIND(" ",TRIM($Q277)&amp;" ")-1)),0),0))</f>
        <v>0</v>
      </c>
      <c r="V277" s="109">
        <f t="shared" si="48"/>
        <v>2</v>
      </c>
      <c r="W277" s="108">
        <f>IF($A277="",0,IF(AND($C277&gt;=Config!$C$7,$C277&lt;=Config!$C$8),1,0))</f>
        <v>1</v>
      </c>
      <c r="X277" s="108">
        <f>IF($A277="",0,IF(COUNTIF(Config!$C$21:$C$23,$H277)&gt;0,1,0))</f>
        <v>0</v>
      </c>
      <c r="Y277" s="108">
        <f t="shared" si="49"/>
        <v>4</v>
      </c>
      <c r="Z277" s="108" t="str">
        <f t="shared" si="50"/>
        <v/>
      </c>
      <c r="AB277" s="108">
        <f t="shared" si="51"/>
        <v>0</v>
      </c>
      <c r="AC277" s="108">
        <f>IF($A277="",0,IF(AND($AB277=1,COUNTIF($A$2:$A277,$A277)=1),1,0))</f>
        <v>0</v>
      </c>
      <c r="AD277" s="108">
        <f t="shared" si="52"/>
        <v>1</v>
      </c>
      <c r="AE277" s="108" t="str">
        <f t="shared" si="53"/>
        <v/>
      </c>
      <c r="AF277" s="108">
        <f t="shared" si="54"/>
        <v>0</v>
      </c>
      <c r="AG277" s="108">
        <f t="shared" si="55"/>
        <v>0</v>
      </c>
      <c r="AH277" s="110" t="str">
        <f t="shared" si="56"/>
        <v>J. Howell|20260903|Support|0.250|</v>
      </c>
      <c r="AI277" s="108">
        <f t="shared" si="57"/>
        <v>0</v>
      </c>
      <c r="AJ277" s="108">
        <f t="shared" si="58"/>
        <v>0</v>
      </c>
      <c r="AK277" s="108">
        <f>IF($A277="",0,IF(AND($S277=1,$W277=1,$X277=1,$U277&gt;Config!$C$9),1,0))</f>
        <v>0</v>
      </c>
      <c r="AL277" s="108">
        <f t="shared" si="59"/>
        <v>0</v>
      </c>
    </row>
    <row r="278" spans="1:38" x14ac:dyDescent="0.25">
      <c r="A278" s="106" t="s">
        <v>655</v>
      </c>
      <c r="B278" s="106" t="s">
        <v>618</v>
      </c>
      <c r="C278" s="107">
        <v>46268</v>
      </c>
      <c r="D278" s="106" t="s">
        <v>720</v>
      </c>
      <c r="E278" s="106" t="s">
        <v>721</v>
      </c>
      <c r="F278" s="106" t="s">
        <v>722</v>
      </c>
      <c r="G278" s="106" t="s">
        <v>933</v>
      </c>
      <c r="H278" s="106" t="s">
        <v>656</v>
      </c>
      <c r="I278" s="106"/>
      <c r="J278" s="106"/>
      <c r="K278" s="106">
        <v>0.125</v>
      </c>
      <c r="L278" s="106">
        <v>0</v>
      </c>
      <c r="M278" s="106">
        <v>0</v>
      </c>
      <c r="N278" s="106"/>
      <c r="O278" s="106"/>
      <c r="P278" s="106">
        <v>0</v>
      </c>
      <c r="Q278" s="106" t="s">
        <v>1099</v>
      </c>
      <c r="S278" s="108">
        <f>IF($A278="","",COUNTIF(BPOworkers!$B$6:$B$105,$A278))</f>
        <v>0</v>
      </c>
      <c r="T278" s="109">
        <f>IF($A278="","",$K278*Config!$C$9)</f>
        <v>1</v>
      </c>
      <c r="U278" s="109">
        <f>IF($A278="","",IF(COUNTIF(Config!$C$21:$C$23,$H278)&gt;0,IFERROR(VALUE(LEFT(TRIM($Q278),FIND(" ",TRIM($Q278)&amp;" ")-1)),0),0))</f>
        <v>0</v>
      </c>
      <c r="V278" s="109">
        <f t="shared" si="48"/>
        <v>1</v>
      </c>
      <c r="W278" s="108">
        <f>IF($A278="",0,IF(AND($C278&gt;=Config!$C$7,$C278&lt;=Config!$C$8),1,0))</f>
        <v>1</v>
      </c>
      <c r="X278" s="108">
        <f>IF($A278="",0,IF(COUNTIF(Config!$C$21:$C$23,$H278)&gt;0,1,0))</f>
        <v>0</v>
      </c>
      <c r="Y278" s="108">
        <f t="shared" si="49"/>
        <v>4</v>
      </c>
      <c r="Z278" s="108" t="str">
        <f t="shared" si="50"/>
        <v/>
      </c>
      <c r="AB278" s="108">
        <f t="shared" si="51"/>
        <v>0</v>
      </c>
      <c r="AC278" s="108">
        <f>IF($A278="",0,IF(AND($AB278=1,COUNTIF($A$2:$A278,$A278)=1),1,0))</f>
        <v>0</v>
      </c>
      <c r="AD278" s="108">
        <f t="shared" si="52"/>
        <v>1</v>
      </c>
      <c r="AE278" s="108" t="str">
        <f t="shared" si="53"/>
        <v/>
      </c>
      <c r="AF278" s="108">
        <f t="shared" si="54"/>
        <v>0</v>
      </c>
      <c r="AG278" s="108">
        <f t="shared" si="55"/>
        <v>0</v>
      </c>
      <c r="AH278" s="110" t="str">
        <f t="shared" si="56"/>
        <v xml:space="preserve">A. Beato|20260903|Project Management|0.125|Led the daily Energy Miami team meeting for Integrity Title covering Landman progress, open assignments, title research </v>
      </c>
      <c r="AI278" s="108">
        <f t="shared" si="57"/>
        <v>0</v>
      </c>
      <c r="AJ278" s="108">
        <f t="shared" si="58"/>
        <v>0</v>
      </c>
      <c r="AK278" s="108">
        <f>IF($A278="",0,IF(AND($S278=1,$W278=1,$X278=1,$U278&gt;Config!$C$9),1,0))</f>
        <v>0</v>
      </c>
      <c r="AL278" s="108">
        <f t="shared" si="59"/>
        <v>0</v>
      </c>
    </row>
    <row r="279" spans="1:38" x14ac:dyDescent="0.25">
      <c r="A279" s="106" t="s">
        <v>655</v>
      </c>
      <c r="B279" s="106" t="s">
        <v>618</v>
      </c>
      <c r="C279" s="107">
        <v>46268</v>
      </c>
      <c r="D279" s="106" t="s">
        <v>720</v>
      </c>
      <c r="E279" s="106" t="s">
        <v>721</v>
      </c>
      <c r="F279" s="106" t="s">
        <v>722</v>
      </c>
      <c r="G279" s="106" t="s">
        <v>933</v>
      </c>
      <c r="H279" s="106" t="s">
        <v>656</v>
      </c>
      <c r="I279" s="106"/>
      <c r="J279" s="106" t="s">
        <v>1100</v>
      </c>
      <c r="K279" s="106">
        <v>0.625</v>
      </c>
      <c r="L279" s="106">
        <v>0</v>
      </c>
      <c r="M279" s="106">
        <v>0</v>
      </c>
      <c r="N279" s="106"/>
      <c r="O279" s="106"/>
      <c r="P279" s="106">
        <v>0</v>
      </c>
      <c r="Q279" s="106" t="s">
        <v>1101</v>
      </c>
      <c r="S279" s="108">
        <f>IF($A279="","",COUNTIF(BPOworkers!$B$6:$B$105,$A279))</f>
        <v>0</v>
      </c>
      <c r="T279" s="109">
        <f>IF($A279="","",$K279*Config!$C$9)</f>
        <v>5</v>
      </c>
      <c r="U279" s="109">
        <f>IF($A279="","",IF(COUNTIF(Config!$C$21:$C$23,$H279)&gt;0,IFERROR(VALUE(LEFT(TRIM($Q279),FIND(" ",TRIM($Q279)&amp;" ")-1)),0),0))</f>
        <v>0</v>
      </c>
      <c r="V279" s="109">
        <f t="shared" si="48"/>
        <v>5</v>
      </c>
      <c r="W279" s="108">
        <f>IF($A279="",0,IF(AND($C279&gt;=Config!$C$7,$C279&lt;=Config!$C$8),1,0))</f>
        <v>1</v>
      </c>
      <c r="X279" s="108">
        <f>IF($A279="",0,IF(COUNTIF(Config!$C$21:$C$23,$H279)&gt;0,1,0))</f>
        <v>0</v>
      </c>
      <c r="Y279" s="108">
        <f t="shared" si="49"/>
        <v>4</v>
      </c>
      <c r="Z279" s="108" t="str">
        <f t="shared" si="50"/>
        <v/>
      </c>
      <c r="AB279" s="108">
        <f t="shared" si="51"/>
        <v>0</v>
      </c>
      <c r="AC279" s="108">
        <f>IF($A279="",0,IF(AND($AB279=1,COUNTIF($A$2:$A279,$A279)=1),1,0))</f>
        <v>0</v>
      </c>
      <c r="AD279" s="108">
        <f t="shared" si="52"/>
        <v>1</v>
      </c>
      <c r="AE279" s="108" t="str">
        <f t="shared" si="53"/>
        <v/>
      </c>
      <c r="AF279" s="108">
        <f t="shared" si="54"/>
        <v>0</v>
      </c>
      <c r="AG279" s="108">
        <f t="shared" si="55"/>
        <v>0</v>
      </c>
      <c r="AH279" s="110" t="str">
        <f t="shared" si="56"/>
        <v>A. Beato|20260903|Project Management|0.625|Supported Landmen throughout the day on title research issues, difficult chains of title, and assignments where the avai</v>
      </c>
      <c r="AI279" s="108">
        <f t="shared" si="57"/>
        <v>0</v>
      </c>
      <c r="AJ279" s="108">
        <f t="shared" si="58"/>
        <v>0</v>
      </c>
      <c r="AK279" s="108">
        <f>IF($A279="",0,IF(AND($S279=1,$W279=1,$X279=1,$U279&gt;Config!$C$9),1,0))</f>
        <v>0</v>
      </c>
      <c r="AL279" s="108">
        <f t="shared" si="59"/>
        <v>0</v>
      </c>
    </row>
    <row r="280" spans="1:38" x14ac:dyDescent="0.25">
      <c r="A280" s="106" t="s">
        <v>655</v>
      </c>
      <c r="B280" s="106" t="s">
        <v>618</v>
      </c>
      <c r="C280" s="107">
        <v>46268</v>
      </c>
      <c r="D280" s="106" t="s">
        <v>720</v>
      </c>
      <c r="E280" s="106" t="s">
        <v>721</v>
      </c>
      <c r="F280" s="106" t="s">
        <v>722</v>
      </c>
      <c r="G280" s="106" t="s">
        <v>933</v>
      </c>
      <c r="H280" s="106" t="s">
        <v>656</v>
      </c>
      <c r="I280" s="106"/>
      <c r="J280" s="106" t="s">
        <v>1102</v>
      </c>
      <c r="K280" s="106">
        <v>0.25</v>
      </c>
      <c r="L280" s="106">
        <v>0</v>
      </c>
      <c r="M280" s="106">
        <v>0</v>
      </c>
      <c r="N280" s="106"/>
      <c r="O280" s="106"/>
      <c r="P280" s="106">
        <v>0</v>
      </c>
      <c r="Q280" s="106" t="s">
        <v>1103</v>
      </c>
      <c r="S280" s="108">
        <f>IF($A280="","",COUNTIF(BPOworkers!$B$6:$B$105,$A280))</f>
        <v>0</v>
      </c>
      <c r="T280" s="109">
        <f>IF($A280="","",$K280*Config!$C$9)</f>
        <v>2</v>
      </c>
      <c r="U280" s="109">
        <f>IF($A280="","",IF(COUNTIF(Config!$C$21:$C$23,$H280)&gt;0,IFERROR(VALUE(LEFT(TRIM($Q280),FIND(" ",TRIM($Q280)&amp;" ")-1)),0),0))</f>
        <v>0</v>
      </c>
      <c r="V280" s="109">
        <f t="shared" si="48"/>
        <v>2</v>
      </c>
      <c r="W280" s="108">
        <f>IF($A280="",0,IF(AND($C280&gt;=Config!$C$7,$C280&lt;=Config!$C$8),1,0))</f>
        <v>1</v>
      </c>
      <c r="X280" s="108">
        <f>IF($A280="",0,IF(COUNTIF(Config!$C$21:$C$23,$H280)&gt;0,1,0))</f>
        <v>0</v>
      </c>
      <c r="Y280" s="108">
        <f t="shared" si="49"/>
        <v>4</v>
      </c>
      <c r="Z280" s="108" t="str">
        <f t="shared" si="50"/>
        <v/>
      </c>
      <c r="AB280" s="108">
        <f t="shared" si="51"/>
        <v>0</v>
      </c>
      <c r="AC280" s="108">
        <f>IF($A280="",0,IF(AND($AB280=1,COUNTIF($A$2:$A280,$A280)=1),1,0))</f>
        <v>0</v>
      </c>
      <c r="AD280" s="108">
        <f t="shared" si="52"/>
        <v>1</v>
      </c>
      <c r="AE280" s="108" t="str">
        <f t="shared" si="53"/>
        <v/>
      </c>
      <c r="AF280" s="108">
        <f t="shared" si="54"/>
        <v>0</v>
      </c>
      <c r="AG280" s="108">
        <f t="shared" si="55"/>
        <v>0</v>
      </c>
      <c r="AH280" s="110" t="str">
        <f t="shared" si="56"/>
        <v>A. Beato|20260903|Project Management|0.250|Prepared, reviewed, and finalized the weekly Energy Miami report for Integrity Title. Confirmed Landman progress and ass</v>
      </c>
      <c r="AI280" s="108">
        <f t="shared" si="57"/>
        <v>0</v>
      </c>
      <c r="AJ280" s="108">
        <f t="shared" si="58"/>
        <v>0</v>
      </c>
      <c r="AK280" s="108">
        <f>IF($A280="",0,IF(AND($S280=1,$W280=1,$X280=1,$U280&gt;Config!$C$9),1,0))</f>
        <v>0</v>
      </c>
      <c r="AL280" s="108">
        <f t="shared" si="59"/>
        <v>0</v>
      </c>
    </row>
    <row r="281" spans="1:38" x14ac:dyDescent="0.25">
      <c r="A281" s="106" t="s">
        <v>655</v>
      </c>
      <c r="B281" s="106" t="s">
        <v>618</v>
      </c>
      <c r="C281" s="107">
        <v>46268</v>
      </c>
      <c r="D281" s="106" t="s">
        <v>623</v>
      </c>
      <c r="E281" s="106" t="s">
        <v>624</v>
      </c>
      <c r="F281" s="106" t="s">
        <v>615</v>
      </c>
      <c r="G281" s="106" t="s">
        <v>625</v>
      </c>
      <c r="H281" s="106" t="s">
        <v>656</v>
      </c>
      <c r="I281" s="106" t="s">
        <v>657</v>
      </c>
      <c r="J281" s="106" t="s">
        <v>1104</v>
      </c>
      <c r="K281" s="106">
        <v>0.375</v>
      </c>
      <c r="L281" s="106">
        <v>0</v>
      </c>
      <c r="M281" s="106">
        <v>0</v>
      </c>
      <c r="N281" s="106"/>
      <c r="O281" s="106"/>
      <c r="P281" s="106">
        <v>0</v>
      </c>
      <c r="Q281" s="106" t="s">
        <v>1105</v>
      </c>
      <c r="S281" s="108">
        <f>IF($A281="","",COUNTIF(BPOworkers!$B$6:$B$105,$A281))</f>
        <v>0</v>
      </c>
      <c r="T281" s="109">
        <f>IF($A281="","",$K281*Config!$C$9)</f>
        <v>3</v>
      </c>
      <c r="U281" s="109">
        <f>IF($A281="","",IF(COUNTIF(Config!$C$21:$C$23,$H281)&gt;0,IFERROR(VALUE(LEFT(TRIM($Q281),FIND(" ",TRIM($Q281)&amp;" ")-1)),0),0))</f>
        <v>0</v>
      </c>
      <c r="V281" s="109">
        <f t="shared" si="48"/>
        <v>3</v>
      </c>
      <c r="W281" s="108">
        <f>IF($A281="",0,IF(AND($C281&gt;=Config!$C$7,$C281&lt;=Config!$C$8),1,0))</f>
        <v>1</v>
      </c>
      <c r="X281" s="108">
        <f>IF($A281="",0,IF(COUNTIF(Config!$C$21:$C$23,$H281)&gt;0,1,0))</f>
        <v>0</v>
      </c>
      <c r="Y281" s="108">
        <f t="shared" si="49"/>
        <v>4</v>
      </c>
      <c r="Z281" s="108" t="str">
        <f t="shared" si="50"/>
        <v/>
      </c>
      <c r="AB281" s="108">
        <f t="shared" si="51"/>
        <v>0</v>
      </c>
      <c r="AC281" s="108">
        <f>IF($A281="",0,IF(AND($AB281=1,COUNTIF($A$2:$A281,$A281)=1),1,0))</f>
        <v>0</v>
      </c>
      <c r="AD281" s="108">
        <f t="shared" si="52"/>
        <v>1</v>
      </c>
      <c r="AE281" s="108" t="str">
        <f t="shared" si="53"/>
        <v/>
      </c>
      <c r="AF281" s="108">
        <f t="shared" si="54"/>
        <v>0</v>
      </c>
      <c r="AG281" s="108">
        <f t="shared" si="55"/>
        <v>0</v>
      </c>
      <c r="AH281" s="110" t="str">
        <f t="shared" si="56"/>
        <v>A. Beato|20260903|Project Management|0.375|Audited the Tracts Command Center codebase against the security concerns Adam identified in his code review. Worked thro</v>
      </c>
      <c r="AI281" s="108">
        <f t="shared" si="57"/>
        <v>0</v>
      </c>
      <c r="AJ281" s="108">
        <f t="shared" si="58"/>
        <v>0</v>
      </c>
      <c r="AK281" s="108">
        <f>IF($A281="",0,IF(AND($S281=1,$W281=1,$X281=1,$U281&gt;Config!$C$9),1,0))</f>
        <v>0</v>
      </c>
      <c r="AL281" s="108">
        <f t="shared" si="59"/>
        <v>0</v>
      </c>
    </row>
    <row r="282" spans="1:38" x14ac:dyDescent="0.25">
      <c r="A282" s="106" t="s">
        <v>660</v>
      </c>
      <c r="B282" s="106" t="s">
        <v>618</v>
      </c>
      <c r="C282" s="107">
        <v>46268</v>
      </c>
      <c r="D282" s="106" t="s">
        <v>712</v>
      </c>
      <c r="E282" s="106" t="s">
        <v>713</v>
      </c>
      <c r="F282" s="106" t="s">
        <v>866</v>
      </c>
      <c r="G282" s="106" t="s">
        <v>939</v>
      </c>
      <c r="H282" s="106" t="s">
        <v>639</v>
      </c>
      <c r="I282" s="106"/>
      <c r="J282" s="106"/>
      <c r="K282" s="106">
        <v>0.5</v>
      </c>
      <c r="L282" s="106">
        <v>0</v>
      </c>
      <c r="M282" s="106">
        <v>0</v>
      </c>
      <c r="N282" s="106"/>
      <c r="O282" s="106"/>
      <c r="P282" s="106">
        <v>0</v>
      </c>
      <c r="Q282" s="106" t="s">
        <v>940</v>
      </c>
      <c r="S282" s="108">
        <f>IF($A282="","",COUNTIF(BPOworkers!$B$6:$B$105,$A282))</f>
        <v>0</v>
      </c>
      <c r="T282" s="109">
        <f>IF($A282="","",$K282*Config!$C$9)</f>
        <v>4</v>
      </c>
      <c r="U282" s="109">
        <f>IF($A282="","",IF(COUNTIF(Config!$C$21:$C$23,$H282)&gt;0,IFERROR(VALUE(LEFT(TRIM($Q282),FIND(" ",TRIM($Q282)&amp;" ")-1)),0),0))</f>
        <v>0</v>
      </c>
      <c r="V282" s="109">
        <f t="shared" si="48"/>
        <v>4</v>
      </c>
      <c r="W282" s="108">
        <f>IF($A282="",0,IF(AND($C282&gt;=Config!$C$7,$C282&lt;=Config!$C$8),1,0))</f>
        <v>1</v>
      </c>
      <c r="X282" s="108">
        <f>IF($A282="",0,IF(COUNTIF(Config!$C$21:$C$23,$H282)&gt;0,1,0))</f>
        <v>0</v>
      </c>
      <c r="Y282" s="108">
        <f t="shared" si="49"/>
        <v>4</v>
      </c>
      <c r="Z282" s="108" t="str">
        <f t="shared" si="50"/>
        <v/>
      </c>
      <c r="AB282" s="108">
        <f t="shared" si="51"/>
        <v>0</v>
      </c>
      <c r="AC282" s="108">
        <f>IF($A282="",0,IF(AND($AB282=1,COUNTIF($A$2:$A282,$A282)=1),1,0))</f>
        <v>0</v>
      </c>
      <c r="AD282" s="108">
        <f t="shared" si="52"/>
        <v>1</v>
      </c>
      <c r="AE282" s="108" t="str">
        <f t="shared" si="53"/>
        <v/>
      </c>
      <c r="AF282" s="108">
        <f t="shared" si="54"/>
        <v>0</v>
      </c>
      <c r="AG282" s="108">
        <f t="shared" si="55"/>
        <v>0</v>
      </c>
      <c r="AH282" s="110" t="str">
        <f t="shared" si="56"/>
        <v>L. Yasir|20260903|Review|0.500|Reviewed this AOI.</v>
      </c>
      <c r="AI282" s="108">
        <f t="shared" si="57"/>
        <v>0</v>
      </c>
      <c r="AJ282" s="108">
        <f t="shared" si="58"/>
        <v>0</v>
      </c>
      <c r="AK282" s="108">
        <f>IF($A282="",0,IF(AND($S282=1,$W282=1,$X282=1,$U282&gt;Config!$C$9),1,0))</f>
        <v>0</v>
      </c>
      <c r="AL282" s="108">
        <f t="shared" si="59"/>
        <v>0</v>
      </c>
    </row>
    <row r="283" spans="1:38" x14ac:dyDescent="0.25">
      <c r="A283" s="106" t="s">
        <v>660</v>
      </c>
      <c r="B283" s="106" t="s">
        <v>618</v>
      </c>
      <c r="C283" s="107">
        <v>46268</v>
      </c>
      <c r="D283" s="106" t="s">
        <v>529</v>
      </c>
      <c r="E283" s="106" t="s">
        <v>529</v>
      </c>
      <c r="F283" s="106" t="s">
        <v>615</v>
      </c>
      <c r="G283" s="106"/>
      <c r="H283" s="106" t="s">
        <v>529</v>
      </c>
      <c r="I283" s="106"/>
      <c r="J283" s="106"/>
      <c r="K283" s="106">
        <v>0</v>
      </c>
      <c r="L283" s="106">
        <v>0</v>
      </c>
      <c r="M283" s="106">
        <v>0</v>
      </c>
      <c r="N283" s="106"/>
      <c r="O283" s="106"/>
      <c r="P283" s="106">
        <v>0</v>
      </c>
      <c r="Q283" s="106" t="s">
        <v>977</v>
      </c>
      <c r="S283" s="108">
        <f>IF($A283="","",COUNTIF(BPOworkers!$B$6:$B$105,$A283))</f>
        <v>0</v>
      </c>
      <c r="T283" s="109">
        <f>IF($A283="","",$K283*Config!$C$9)</f>
        <v>0</v>
      </c>
      <c r="U283" s="109">
        <f>IF($A283="","",IF(COUNTIF(Config!$C$21:$C$23,$H283)&gt;0,IFERROR(VALUE(LEFT(TRIM($Q283),FIND(" ",TRIM($Q283)&amp;" ")-1)),0),0))</f>
        <v>4</v>
      </c>
      <c r="V283" s="109">
        <f t="shared" si="48"/>
        <v>4</v>
      </c>
      <c r="W283" s="108">
        <f>IF($A283="",0,IF(AND($C283&gt;=Config!$C$7,$C283&lt;=Config!$C$8),1,0))</f>
        <v>1</v>
      </c>
      <c r="X283" s="108">
        <f>IF($A283="",0,IF(COUNTIF(Config!$C$21:$C$23,$H283)&gt;0,1,0))</f>
        <v>1</v>
      </c>
      <c r="Y283" s="108">
        <f t="shared" si="49"/>
        <v>4</v>
      </c>
      <c r="Z283" s="108" t="str">
        <f t="shared" si="50"/>
        <v/>
      </c>
      <c r="AB283" s="108">
        <f t="shared" si="51"/>
        <v>0</v>
      </c>
      <c r="AC283" s="108">
        <f>IF($A283="",0,IF(AND($AB283=1,COUNTIF($A$2:$A283,$A283)=1),1,0))</f>
        <v>0</v>
      </c>
      <c r="AD283" s="108">
        <f t="shared" si="52"/>
        <v>1</v>
      </c>
      <c r="AE283" s="108" t="str">
        <f t="shared" si="53"/>
        <v/>
      </c>
      <c r="AF283" s="108">
        <f t="shared" si="54"/>
        <v>0</v>
      </c>
      <c r="AG283" s="108">
        <f t="shared" si="55"/>
        <v>0</v>
      </c>
      <c r="AH283" s="110" t="str">
        <f t="shared" si="56"/>
        <v>L. Yasir|20260903|Time Off|0.000|4 hours not billed</v>
      </c>
      <c r="AI283" s="108">
        <f t="shared" si="57"/>
        <v>0</v>
      </c>
      <c r="AJ283" s="108">
        <f t="shared" si="58"/>
        <v>0</v>
      </c>
      <c r="AK283" s="108">
        <f>IF($A283="",0,IF(AND($S283=1,$W283=1,$X283=1,$U283&gt;Config!$C$9),1,0))</f>
        <v>0</v>
      </c>
      <c r="AL283" s="108">
        <f t="shared" si="59"/>
        <v>0</v>
      </c>
    </row>
    <row r="284" spans="1:38" x14ac:dyDescent="0.25">
      <c r="A284" s="106" t="s">
        <v>662</v>
      </c>
      <c r="B284" s="106" t="s">
        <v>618</v>
      </c>
      <c r="C284" s="107">
        <v>46268</v>
      </c>
      <c r="D284" s="106" t="s">
        <v>529</v>
      </c>
      <c r="E284" s="106" t="s">
        <v>529</v>
      </c>
      <c r="F284" s="106" t="s">
        <v>615</v>
      </c>
      <c r="G284" s="106"/>
      <c r="H284" s="106" t="s">
        <v>529</v>
      </c>
      <c r="I284" s="106"/>
      <c r="J284" s="106"/>
      <c r="K284" s="106">
        <v>0</v>
      </c>
      <c r="L284" s="106">
        <v>0</v>
      </c>
      <c r="M284" s="106">
        <v>0</v>
      </c>
      <c r="N284" s="106"/>
      <c r="O284" s="106"/>
      <c r="P284" s="106">
        <v>0</v>
      </c>
      <c r="Q284" s="106" t="s">
        <v>661</v>
      </c>
      <c r="S284" s="108">
        <f>IF($A284="","",COUNTIF(BPOworkers!$B$6:$B$105,$A284))</f>
        <v>0</v>
      </c>
      <c r="T284" s="109">
        <f>IF($A284="","",$K284*Config!$C$9)</f>
        <v>0</v>
      </c>
      <c r="U284" s="109">
        <f>IF($A284="","",IF(COUNTIF(Config!$C$21:$C$23,$H284)&gt;0,IFERROR(VALUE(LEFT(TRIM($Q284),FIND(" ",TRIM($Q284)&amp;" ")-1)),0),0))</f>
        <v>8</v>
      </c>
      <c r="V284" s="109">
        <f t="shared" si="48"/>
        <v>8</v>
      </c>
      <c r="W284" s="108">
        <f>IF($A284="",0,IF(AND($C284&gt;=Config!$C$7,$C284&lt;=Config!$C$8),1,0))</f>
        <v>1</v>
      </c>
      <c r="X284" s="108">
        <f>IF($A284="",0,IF(COUNTIF(Config!$C$21:$C$23,$H284)&gt;0,1,0))</f>
        <v>1</v>
      </c>
      <c r="Y284" s="108">
        <f t="shared" si="49"/>
        <v>4</v>
      </c>
      <c r="Z284" s="108" t="str">
        <f t="shared" si="50"/>
        <v/>
      </c>
      <c r="AB284" s="108">
        <f t="shared" si="51"/>
        <v>0</v>
      </c>
      <c r="AC284" s="108">
        <f>IF($A284="",0,IF(AND($AB284=1,COUNTIF($A$2:$A284,$A284)=1),1,0))</f>
        <v>0</v>
      </c>
      <c r="AD284" s="108">
        <f t="shared" si="52"/>
        <v>1</v>
      </c>
      <c r="AE284" s="108" t="str">
        <f t="shared" si="53"/>
        <v/>
      </c>
      <c r="AF284" s="108">
        <f t="shared" si="54"/>
        <v>0</v>
      </c>
      <c r="AG284" s="108">
        <f t="shared" si="55"/>
        <v>0</v>
      </c>
      <c r="AH284" s="110" t="str">
        <f t="shared" si="56"/>
        <v>M. Svatek|20260903|Time Off|0.000|8 hours not billed</v>
      </c>
      <c r="AI284" s="108">
        <f t="shared" si="57"/>
        <v>0</v>
      </c>
      <c r="AJ284" s="108">
        <f t="shared" si="58"/>
        <v>0</v>
      </c>
      <c r="AK284" s="108">
        <f>IF($A284="",0,IF(AND($S284=1,$W284=1,$X284=1,$U284&gt;Config!$C$9),1,0))</f>
        <v>0</v>
      </c>
      <c r="AL284" s="108">
        <f t="shared" si="59"/>
        <v>0</v>
      </c>
    </row>
    <row r="285" spans="1:38" x14ac:dyDescent="0.25">
      <c r="A285" s="106" t="s">
        <v>942</v>
      </c>
      <c r="B285" s="106" t="s">
        <v>618</v>
      </c>
      <c r="C285" s="107">
        <v>46268</v>
      </c>
      <c r="D285" s="106" t="s">
        <v>635</v>
      </c>
      <c r="E285" s="106" t="s">
        <v>636</v>
      </c>
      <c r="F285" s="106" t="s">
        <v>943</v>
      </c>
      <c r="G285" s="106"/>
      <c r="H285" s="106" t="s">
        <v>639</v>
      </c>
      <c r="I285" s="106"/>
      <c r="J285" s="106" t="s">
        <v>807</v>
      </c>
      <c r="K285" s="106">
        <v>1</v>
      </c>
      <c r="L285" s="106">
        <v>0</v>
      </c>
      <c r="M285" s="106">
        <v>0</v>
      </c>
      <c r="N285" s="106"/>
      <c r="O285" s="106"/>
      <c r="P285" s="106">
        <v>0</v>
      </c>
      <c r="Q285" s="106" t="s">
        <v>639</v>
      </c>
      <c r="S285" s="108">
        <f>IF($A285="","",COUNTIF(BPOworkers!$B$6:$B$105,$A285))</f>
        <v>0</v>
      </c>
      <c r="T285" s="109">
        <f>IF($A285="","",$K285*Config!$C$9)</f>
        <v>8</v>
      </c>
      <c r="U285" s="109">
        <f>IF($A285="","",IF(COUNTIF(Config!$C$21:$C$23,$H285)&gt;0,IFERROR(VALUE(LEFT(TRIM($Q285),FIND(" ",TRIM($Q285)&amp;" ")-1)),0),0))</f>
        <v>0</v>
      </c>
      <c r="V285" s="109">
        <f t="shared" si="48"/>
        <v>8</v>
      </c>
      <c r="W285" s="108">
        <f>IF($A285="",0,IF(AND($C285&gt;=Config!$C$7,$C285&lt;=Config!$C$8),1,0))</f>
        <v>1</v>
      </c>
      <c r="X285" s="108">
        <f>IF($A285="",0,IF(COUNTIF(Config!$C$21:$C$23,$H285)&gt;0,1,0))</f>
        <v>0</v>
      </c>
      <c r="Y285" s="108">
        <f t="shared" si="49"/>
        <v>4</v>
      </c>
      <c r="Z285" s="108" t="str">
        <f t="shared" si="50"/>
        <v/>
      </c>
      <c r="AB285" s="108">
        <f t="shared" si="51"/>
        <v>0</v>
      </c>
      <c r="AC285" s="108">
        <f>IF($A285="",0,IF(AND($AB285=1,COUNTIF($A$2:$A285,$A285)=1),1,0))</f>
        <v>0</v>
      </c>
      <c r="AD285" s="108">
        <f t="shared" si="52"/>
        <v>1</v>
      </c>
      <c r="AE285" s="108" t="str">
        <f t="shared" si="53"/>
        <v/>
      </c>
      <c r="AF285" s="108">
        <f t="shared" si="54"/>
        <v>0</v>
      </c>
      <c r="AG285" s="108">
        <f t="shared" si="55"/>
        <v>0</v>
      </c>
      <c r="AH285" s="110" t="str">
        <f t="shared" si="56"/>
        <v>J. Warlick|20260903|Review|1.000|Review</v>
      </c>
      <c r="AI285" s="108">
        <f t="shared" si="57"/>
        <v>0</v>
      </c>
      <c r="AJ285" s="108">
        <f t="shared" si="58"/>
        <v>0</v>
      </c>
      <c r="AK285" s="108">
        <f>IF($A285="",0,IF(AND($S285=1,$W285=1,$X285=1,$U285&gt;Config!$C$9),1,0))</f>
        <v>0</v>
      </c>
      <c r="AL285" s="108">
        <f t="shared" si="59"/>
        <v>0</v>
      </c>
    </row>
    <row r="286" spans="1:38" x14ac:dyDescent="0.25">
      <c r="A286" s="106" t="s">
        <v>942</v>
      </c>
      <c r="B286" s="106" t="s">
        <v>618</v>
      </c>
      <c r="C286" s="107">
        <v>46268</v>
      </c>
      <c r="D286" s="106" t="s">
        <v>635</v>
      </c>
      <c r="E286" s="106" t="s">
        <v>636</v>
      </c>
      <c r="F286" s="106" t="s">
        <v>943</v>
      </c>
      <c r="G286" s="106"/>
      <c r="H286" s="106" t="s">
        <v>639</v>
      </c>
      <c r="I286" s="106"/>
      <c r="J286" s="106" t="s">
        <v>807</v>
      </c>
      <c r="K286" s="106">
        <v>0.5</v>
      </c>
      <c r="L286" s="106">
        <v>0</v>
      </c>
      <c r="M286" s="106">
        <v>0</v>
      </c>
      <c r="N286" s="106"/>
      <c r="O286" s="106"/>
      <c r="P286" s="106">
        <v>0</v>
      </c>
      <c r="Q286" s="106" t="s">
        <v>639</v>
      </c>
      <c r="S286" s="108">
        <f>IF($A286="","",COUNTIF(BPOworkers!$B$6:$B$105,$A286))</f>
        <v>0</v>
      </c>
      <c r="T286" s="109">
        <f>IF($A286="","",$K286*Config!$C$9)</f>
        <v>4</v>
      </c>
      <c r="U286" s="109">
        <f>IF($A286="","",IF(COUNTIF(Config!$C$21:$C$23,$H286)&gt;0,IFERROR(VALUE(LEFT(TRIM($Q286),FIND(" ",TRIM($Q286)&amp;" ")-1)),0),0))</f>
        <v>0</v>
      </c>
      <c r="V286" s="109">
        <f t="shared" si="48"/>
        <v>4</v>
      </c>
      <c r="W286" s="108">
        <f>IF($A286="",0,IF(AND($C286&gt;=Config!$C$7,$C286&lt;=Config!$C$8),1,0))</f>
        <v>1</v>
      </c>
      <c r="X286" s="108">
        <f>IF($A286="",0,IF(COUNTIF(Config!$C$21:$C$23,$H286)&gt;0,1,0))</f>
        <v>0</v>
      </c>
      <c r="Y286" s="108">
        <f t="shared" si="49"/>
        <v>4</v>
      </c>
      <c r="Z286" s="108" t="str">
        <f t="shared" si="50"/>
        <v/>
      </c>
      <c r="AB286" s="108">
        <f t="shared" si="51"/>
        <v>0</v>
      </c>
      <c r="AC286" s="108">
        <f>IF($A286="",0,IF(AND($AB286=1,COUNTIF($A$2:$A286,$A286)=1),1,0))</f>
        <v>0</v>
      </c>
      <c r="AD286" s="108">
        <f t="shared" si="52"/>
        <v>1</v>
      </c>
      <c r="AE286" s="108" t="str">
        <f t="shared" si="53"/>
        <v/>
      </c>
      <c r="AF286" s="108">
        <f t="shared" si="54"/>
        <v>0</v>
      </c>
      <c r="AG286" s="108">
        <f t="shared" si="55"/>
        <v>0</v>
      </c>
      <c r="AH286" s="110" t="str">
        <f t="shared" si="56"/>
        <v>J. Warlick|20260903|Review|0.500|Review</v>
      </c>
      <c r="AI286" s="108">
        <f t="shared" si="57"/>
        <v>0</v>
      </c>
      <c r="AJ286" s="108">
        <f t="shared" si="58"/>
        <v>0</v>
      </c>
      <c r="AK286" s="108">
        <f>IF($A286="",0,IF(AND($S286=1,$W286=1,$X286=1,$U286&gt;Config!$C$9),1,0))</f>
        <v>0</v>
      </c>
      <c r="AL286" s="108">
        <f t="shared" si="59"/>
        <v>0</v>
      </c>
    </row>
    <row r="287" spans="1:38" x14ac:dyDescent="0.25">
      <c r="A287" s="106" t="s">
        <v>663</v>
      </c>
      <c r="B287" s="106" t="s">
        <v>618</v>
      </c>
      <c r="C287" s="107">
        <v>46268</v>
      </c>
      <c r="D287" s="106" t="s">
        <v>628</v>
      </c>
      <c r="E287" s="106" t="s">
        <v>701</v>
      </c>
      <c r="F287" s="106" t="s">
        <v>630</v>
      </c>
      <c r="G287" s="106" t="s">
        <v>944</v>
      </c>
      <c r="H287" s="106" t="s">
        <v>707</v>
      </c>
      <c r="I287" s="106"/>
      <c r="J287" s="106"/>
      <c r="K287" s="106">
        <v>0.75</v>
      </c>
      <c r="L287" s="106">
        <v>0</v>
      </c>
      <c r="M287" s="106">
        <v>0</v>
      </c>
      <c r="N287" s="106"/>
      <c r="O287" s="106"/>
      <c r="P287" s="106">
        <v>0</v>
      </c>
      <c r="Q287" s="106" t="s">
        <v>1106</v>
      </c>
      <c r="S287" s="108">
        <f>IF($A287="","",COUNTIF(BPOworkers!$B$6:$B$105,$A287))</f>
        <v>0</v>
      </c>
      <c r="T287" s="109">
        <f>IF($A287="","",$K287*Config!$C$9)</f>
        <v>6</v>
      </c>
      <c r="U287" s="109">
        <f>IF($A287="","",IF(COUNTIF(Config!$C$21:$C$23,$H287)&gt;0,IFERROR(VALUE(LEFT(TRIM($Q287),FIND(" ",TRIM($Q287)&amp;" ")-1)),0),0))</f>
        <v>0</v>
      </c>
      <c r="V287" s="109">
        <f t="shared" si="48"/>
        <v>6</v>
      </c>
      <c r="W287" s="108">
        <f>IF($A287="",0,IF(AND($C287&gt;=Config!$C$7,$C287&lt;=Config!$C$8),1,0))</f>
        <v>1</v>
      </c>
      <c r="X287" s="108">
        <f>IF($A287="",0,IF(COUNTIF(Config!$C$21:$C$23,$H287)&gt;0,1,0))</f>
        <v>0</v>
      </c>
      <c r="Y287" s="108">
        <f t="shared" si="49"/>
        <v>4</v>
      </c>
      <c r="Z287" s="108" t="str">
        <f t="shared" si="50"/>
        <v/>
      </c>
      <c r="AB287" s="108">
        <f t="shared" si="51"/>
        <v>0</v>
      </c>
      <c r="AC287" s="108">
        <f>IF($A287="",0,IF(AND($AB287=1,COUNTIF($A$2:$A287,$A287)=1),1,0))</f>
        <v>0</v>
      </c>
      <c r="AD287" s="108">
        <f t="shared" si="52"/>
        <v>1</v>
      </c>
      <c r="AE287" s="108" t="str">
        <f t="shared" si="53"/>
        <v/>
      </c>
      <c r="AF287" s="108">
        <f t="shared" si="54"/>
        <v>0</v>
      </c>
      <c r="AG287" s="108">
        <f t="shared" si="55"/>
        <v>0</v>
      </c>
      <c r="AH287" s="110" t="str">
        <f t="shared" si="56"/>
        <v>J. Jinkins|20260903|Title Opinion data entry|0.750|Met with Daryl to go over new project details. Received assignment and began work on Title Opinion/AOI.</v>
      </c>
      <c r="AI287" s="108">
        <f t="shared" si="57"/>
        <v>0</v>
      </c>
      <c r="AJ287" s="108">
        <f t="shared" si="58"/>
        <v>0</v>
      </c>
      <c r="AK287" s="108">
        <f>IF($A287="",0,IF(AND($S287=1,$W287=1,$X287=1,$U287&gt;Config!$C$9),1,0))</f>
        <v>0</v>
      </c>
      <c r="AL287" s="108">
        <f t="shared" si="59"/>
        <v>0</v>
      </c>
    </row>
    <row r="288" spans="1:38" x14ac:dyDescent="0.25">
      <c r="A288" s="106" t="s">
        <v>663</v>
      </c>
      <c r="B288" s="106" t="s">
        <v>618</v>
      </c>
      <c r="C288" s="107">
        <v>46268</v>
      </c>
      <c r="D288" s="106" t="s">
        <v>529</v>
      </c>
      <c r="E288" s="106" t="s">
        <v>529</v>
      </c>
      <c r="F288" s="106" t="s">
        <v>615</v>
      </c>
      <c r="G288" s="106"/>
      <c r="H288" s="106" t="s">
        <v>529</v>
      </c>
      <c r="I288" s="106"/>
      <c r="J288" s="106"/>
      <c r="K288" s="106">
        <v>0</v>
      </c>
      <c r="L288" s="106">
        <v>0</v>
      </c>
      <c r="M288" s="106">
        <v>0</v>
      </c>
      <c r="N288" s="106"/>
      <c r="O288" s="106"/>
      <c r="P288" s="106">
        <v>0</v>
      </c>
      <c r="Q288" s="106" t="s">
        <v>1107</v>
      </c>
      <c r="S288" s="108">
        <f>IF($A288="","",COUNTIF(BPOworkers!$B$6:$B$105,$A288))</f>
        <v>0</v>
      </c>
      <c r="T288" s="109">
        <f>IF($A288="","",$K288*Config!$C$9)</f>
        <v>0</v>
      </c>
      <c r="U288" s="109">
        <f>IF($A288="","",IF(COUNTIF(Config!$C$21:$C$23,$H288)&gt;0,IFERROR(VALUE(LEFT(TRIM($Q288),FIND(" ",TRIM($Q288)&amp;" ")-1)),0),0))</f>
        <v>2</v>
      </c>
      <c r="V288" s="109">
        <f t="shared" si="48"/>
        <v>2</v>
      </c>
      <c r="W288" s="108">
        <f>IF($A288="",0,IF(AND($C288&gt;=Config!$C$7,$C288&lt;=Config!$C$8),1,0))</f>
        <v>1</v>
      </c>
      <c r="X288" s="108">
        <f>IF($A288="",0,IF(COUNTIF(Config!$C$21:$C$23,$H288)&gt;0,1,0))</f>
        <v>1</v>
      </c>
      <c r="Y288" s="108">
        <f t="shared" si="49"/>
        <v>4</v>
      </c>
      <c r="Z288" s="108" t="str">
        <f t="shared" si="50"/>
        <v/>
      </c>
      <c r="AB288" s="108">
        <f t="shared" si="51"/>
        <v>0</v>
      </c>
      <c r="AC288" s="108">
        <f>IF($A288="",0,IF(AND($AB288=1,COUNTIF($A$2:$A288,$A288)=1),1,0))</f>
        <v>0</v>
      </c>
      <c r="AD288" s="108">
        <f t="shared" si="52"/>
        <v>1</v>
      </c>
      <c r="AE288" s="108" t="str">
        <f t="shared" si="53"/>
        <v/>
      </c>
      <c r="AF288" s="108">
        <f t="shared" si="54"/>
        <v>0</v>
      </c>
      <c r="AG288" s="108">
        <f t="shared" si="55"/>
        <v>0</v>
      </c>
      <c r="AH288" s="110" t="str">
        <f t="shared" si="56"/>
        <v>J. Jinkins|20260903|Time Off|0.000|2 hours not billed.</v>
      </c>
      <c r="AI288" s="108">
        <f t="shared" si="57"/>
        <v>0</v>
      </c>
      <c r="AJ288" s="108">
        <f t="shared" si="58"/>
        <v>0</v>
      </c>
      <c r="AK288" s="108">
        <f>IF($A288="",0,IF(AND($S288=1,$W288=1,$X288=1,$U288&gt;Config!$C$9),1,0))</f>
        <v>0</v>
      </c>
      <c r="AL288" s="108">
        <f t="shared" si="59"/>
        <v>0</v>
      </c>
    </row>
    <row r="289" spans="1:38" x14ac:dyDescent="0.25">
      <c r="A289" s="106" t="s">
        <v>946</v>
      </c>
      <c r="B289" s="106" t="s">
        <v>618</v>
      </c>
      <c r="C289" s="107">
        <v>46268</v>
      </c>
      <c r="D289" s="106" t="s">
        <v>680</v>
      </c>
      <c r="E289" s="106" t="s">
        <v>681</v>
      </c>
      <c r="F289" s="106" t="s">
        <v>893</v>
      </c>
      <c r="G289" s="106" t="s">
        <v>894</v>
      </c>
      <c r="H289" s="106" t="s">
        <v>656</v>
      </c>
      <c r="I289" s="106"/>
      <c r="J289" s="106"/>
      <c r="K289" s="106">
        <v>0.5</v>
      </c>
      <c r="L289" s="106">
        <v>0</v>
      </c>
      <c r="M289" s="106">
        <v>0</v>
      </c>
      <c r="N289" s="106"/>
      <c r="O289" s="106"/>
      <c r="P289" s="106">
        <v>0</v>
      </c>
      <c r="Q289" s="106" t="s">
        <v>947</v>
      </c>
      <c r="S289" s="108">
        <f>IF($A289="","",COUNTIF(BPOworkers!$B$6:$B$105,$A289))</f>
        <v>0</v>
      </c>
      <c r="T289" s="109">
        <f>IF($A289="","",$K289*Config!$C$9)</f>
        <v>4</v>
      </c>
      <c r="U289" s="109">
        <f>IF($A289="","",IF(COUNTIF(Config!$C$21:$C$23,$H289)&gt;0,IFERROR(VALUE(LEFT(TRIM($Q289),FIND(" ",TRIM($Q289)&amp;" ")-1)),0),0))</f>
        <v>0</v>
      </c>
      <c r="V289" s="109">
        <f t="shared" si="48"/>
        <v>4</v>
      </c>
      <c r="W289" s="108">
        <f>IF($A289="",0,IF(AND($C289&gt;=Config!$C$7,$C289&lt;=Config!$C$8),1,0))</f>
        <v>1</v>
      </c>
      <c r="X289" s="108">
        <f>IF($A289="",0,IF(COUNTIF(Config!$C$21:$C$23,$H289)&gt;0,1,0))</f>
        <v>0</v>
      </c>
      <c r="Y289" s="108">
        <f t="shared" si="49"/>
        <v>4</v>
      </c>
      <c r="Z289" s="108" t="str">
        <f t="shared" si="50"/>
        <v/>
      </c>
      <c r="AB289" s="108">
        <f t="shared" si="51"/>
        <v>0</v>
      </c>
      <c r="AC289" s="108">
        <f>IF($A289="",0,IF(AND($AB289=1,COUNTIF($A$2:$A289,$A289)=1),1,0))</f>
        <v>0</v>
      </c>
      <c r="AD289" s="108">
        <f t="shared" si="52"/>
        <v>1</v>
      </c>
      <c r="AE289" s="108" t="str">
        <f t="shared" si="53"/>
        <v/>
      </c>
      <c r="AF289" s="108">
        <f t="shared" si="54"/>
        <v>0</v>
      </c>
      <c r="AG289" s="108">
        <f t="shared" si="55"/>
        <v>0</v>
      </c>
      <c r="AH289" s="110" t="str">
        <f t="shared" si="56"/>
        <v>L. Carollo|20260903|Project Management|0.500|Assisting team with questions and assignments.</v>
      </c>
      <c r="AI289" s="108">
        <f t="shared" si="57"/>
        <v>0</v>
      </c>
      <c r="AJ289" s="108">
        <f t="shared" si="58"/>
        <v>0</v>
      </c>
      <c r="AK289" s="108">
        <f>IF($A289="",0,IF(AND($S289=1,$W289=1,$X289=1,$U289&gt;Config!$C$9),1,0))</f>
        <v>0</v>
      </c>
      <c r="AL289" s="108">
        <f t="shared" si="59"/>
        <v>0</v>
      </c>
    </row>
    <row r="290" spans="1:38" x14ac:dyDescent="0.25">
      <c r="A290" s="106" t="s">
        <v>946</v>
      </c>
      <c r="B290" s="106" t="s">
        <v>618</v>
      </c>
      <c r="C290" s="107">
        <v>46268</v>
      </c>
      <c r="D290" s="106" t="s">
        <v>623</v>
      </c>
      <c r="E290" s="106" t="s">
        <v>128</v>
      </c>
      <c r="F290" s="106" t="s">
        <v>615</v>
      </c>
      <c r="G290" s="106"/>
      <c r="H290" s="106" t="s">
        <v>819</v>
      </c>
      <c r="I290" s="106"/>
      <c r="J290" s="106"/>
      <c r="K290" s="106">
        <v>0.375</v>
      </c>
      <c r="L290" s="106">
        <v>0</v>
      </c>
      <c r="M290" s="106">
        <v>0</v>
      </c>
      <c r="N290" s="106"/>
      <c r="O290" s="106"/>
      <c r="P290" s="106">
        <v>0</v>
      </c>
      <c r="Q290" s="106" t="s">
        <v>948</v>
      </c>
      <c r="S290" s="108">
        <f>IF($A290="","",COUNTIF(BPOworkers!$B$6:$B$105,$A290))</f>
        <v>0</v>
      </c>
      <c r="T290" s="109">
        <f>IF($A290="","",$K290*Config!$C$9)</f>
        <v>3</v>
      </c>
      <c r="U290" s="109">
        <f>IF($A290="","",IF(COUNTIF(Config!$C$21:$C$23,$H290)&gt;0,IFERROR(VALUE(LEFT(TRIM($Q290),FIND(" ",TRIM($Q290)&amp;" ")-1)),0),0))</f>
        <v>0</v>
      </c>
      <c r="V290" s="109">
        <f t="shared" si="48"/>
        <v>3</v>
      </c>
      <c r="W290" s="108">
        <f>IF($A290="",0,IF(AND($C290&gt;=Config!$C$7,$C290&lt;=Config!$C$8),1,0))</f>
        <v>1</v>
      </c>
      <c r="X290" s="108">
        <f>IF($A290="",0,IF(COUNTIF(Config!$C$21:$C$23,$H290)&gt;0,1,0))</f>
        <v>0</v>
      </c>
      <c r="Y290" s="108">
        <f t="shared" si="49"/>
        <v>4</v>
      </c>
      <c r="Z290" s="108" t="str">
        <f t="shared" si="50"/>
        <v/>
      </c>
      <c r="AB290" s="108">
        <f t="shared" si="51"/>
        <v>0</v>
      </c>
      <c r="AC290" s="108">
        <f>IF($A290="",0,IF(AND($AB290=1,COUNTIF($A$2:$A290,$A290)=1),1,0))</f>
        <v>0</v>
      </c>
      <c r="AD290" s="108">
        <f t="shared" si="52"/>
        <v>1</v>
      </c>
      <c r="AE290" s="108" t="str">
        <f t="shared" si="53"/>
        <v/>
      </c>
      <c r="AF290" s="108">
        <f t="shared" si="54"/>
        <v>0</v>
      </c>
      <c r="AG290" s="108">
        <f t="shared" si="55"/>
        <v>0</v>
      </c>
      <c r="AH290" s="110" t="str">
        <f t="shared" si="56"/>
        <v>L. Carollo|20260903|Training - BPO|0.375|Worked on training materials, assisted training team</v>
      </c>
      <c r="AI290" s="108">
        <f t="shared" si="57"/>
        <v>0</v>
      </c>
      <c r="AJ290" s="108">
        <f t="shared" si="58"/>
        <v>0</v>
      </c>
      <c r="AK290" s="108">
        <f>IF($A290="",0,IF(AND($S290=1,$W290=1,$X290=1,$U290&gt;Config!$C$9),1,0))</f>
        <v>0</v>
      </c>
      <c r="AL290" s="108">
        <f t="shared" si="59"/>
        <v>0</v>
      </c>
    </row>
    <row r="291" spans="1:38" x14ac:dyDescent="0.25">
      <c r="A291" s="106" t="s">
        <v>946</v>
      </c>
      <c r="B291" s="106" t="s">
        <v>618</v>
      </c>
      <c r="C291" s="107">
        <v>46268</v>
      </c>
      <c r="D291" s="106" t="s">
        <v>902</v>
      </c>
      <c r="E291" s="106" t="s">
        <v>903</v>
      </c>
      <c r="F291" s="106" t="s">
        <v>1108</v>
      </c>
      <c r="G291" s="106" t="s">
        <v>1109</v>
      </c>
      <c r="H291" s="106" t="s">
        <v>656</v>
      </c>
      <c r="I291" s="106"/>
      <c r="J291" s="106"/>
      <c r="K291" s="106">
        <v>0.25</v>
      </c>
      <c r="L291" s="106">
        <v>0</v>
      </c>
      <c r="M291" s="106">
        <v>0</v>
      </c>
      <c r="N291" s="106"/>
      <c r="O291" s="106"/>
      <c r="P291" s="106">
        <v>0</v>
      </c>
      <c r="Q291" s="106" t="s">
        <v>1110</v>
      </c>
      <c r="S291" s="108">
        <f>IF($A291="","",COUNTIF(BPOworkers!$B$6:$B$105,$A291))</f>
        <v>0</v>
      </c>
      <c r="T291" s="109">
        <f>IF($A291="","",$K291*Config!$C$9)</f>
        <v>2</v>
      </c>
      <c r="U291" s="109">
        <f>IF($A291="","",IF(COUNTIF(Config!$C$21:$C$23,$H291)&gt;0,IFERROR(VALUE(LEFT(TRIM($Q291),FIND(" ",TRIM($Q291)&amp;" ")-1)),0),0))</f>
        <v>0</v>
      </c>
      <c r="V291" s="109">
        <f t="shared" si="48"/>
        <v>2</v>
      </c>
      <c r="W291" s="108">
        <f>IF($A291="",0,IF(AND($C291&gt;=Config!$C$7,$C291&lt;=Config!$C$8),1,0))</f>
        <v>1</v>
      </c>
      <c r="X291" s="108">
        <f>IF($A291="",0,IF(COUNTIF(Config!$C$21:$C$23,$H291)&gt;0,1,0))</f>
        <v>0</v>
      </c>
      <c r="Y291" s="108">
        <f t="shared" si="49"/>
        <v>4</v>
      </c>
      <c r="Z291" s="108" t="str">
        <f t="shared" si="50"/>
        <v/>
      </c>
      <c r="AB291" s="108">
        <f t="shared" si="51"/>
        <v>0</v>
      </c>
      <c r="AC291" s="108">
        <f>IF($A291="",0,IF(AND($AB291=1,COUNTIF($A$2:$A291,$A291)=1),1,0))</f>
        <v>0</v>
      </c>
      <c r="AD291" s="108">
        <f t="shared" si="52"/>
        <v>1</v>
      </c>
      <c r="AE291" s="108" t="str">
        <f t="shared" si="53"/>
        <v/>
      </c>
      <c r="AF291" s="108">
        <f t="shared" si="54"/>
        <v>0</v>
      </c>
      <c r="AG291" s="108">
        <f t="shared" si="55"/>
        <v>0</v>
      </c>
      <c r="AH291" s="110" t="str">
        <f t="shared" si="56"/>
        <v>L. Carollo|20260903|Project Management|0.250|Updates to completed reports</v>
      </c>
      <c r="AI291" s="108">
        <f t="shared" si="57"/>
        <v>0</v>
      </c>
      <c r="AJ291" s="108">
        <f t="shared" si="58"/>
        <v>0</v>
      </c>
      <c r="AK291" s="108">
        <f>IF($A291="",0,IF(AND($S291=1,$W291=1,$X291=1,$U291&gt;Config!$C$9),1,0))</f>
        <v>0</v>
      </c>
      <c r="AL291" s="108">
        <f t="shared" si="59"/>
        <v>0</v>
      </c>
    </row>
    <row r="292" spans="1:38" x14ac:dyDescent="0.25">
      <c r="A292" s="106" t="s">
        <v>665</v>
      </c>
      <c r="B292" s="106" t="s">
        <v>618</v>
      </c>
      <c r="C292" s="107">
        <v>46268</v>
      </c>
      <c r="D292" s="106" t="s">
        <v>635</v>
      </c>
      <c r="E292" s="106" t="s">
        <v>636</v>
      </c>
      <c r="F292" s="106" t="s">
        <v>637</v>
      </c>
      <c r="G292" s="106"/>
      <c r="H292" s="106" t="s">
        <v>639</v>
      </c>
      <c r="I292" s="106"/>
      <c r="J292" s="106"/>
      <c r="K292" s="106">
        <v>1</v>
      </c>
      <c r="L292" s="106">
        <v>0</v>
      </c>
      <c r="M292" s="106">
        <v>0</v>
      </c>
      <c r="N292" s="106"/>
      <c r="O292" s="106"/>
      <c r="P292" s="106">
        <v>0</v>
      </c>
      <c r="Q292" s="106" t="s">
        <v>1111</v>
      </c>
      <c r="S292" s="108">
        <f>IF($A292="","",COUNTIF(BPOworkers!$B$6:$B$105,$A292))</f>
        <v>0</v>
      </c>
      <c r="T292" s="109">
        <f>IF($A292="","",$K292*Config!$C$9)</f>
        <v>8</v>
      </c>
      <c r="U292" s="109">
        <f>IF($A292="","",IF(COUNTIF(Config!$C$21:$C$23,$H292)&gt;0,IFERROR(VALUE(LEFT(TRIM($Q292),FIND(" ",TRIM($Q292)&amp;" ")-1)),0),0))</f>
        <v>0</v>
      </c>
      <c r="V292" s="109">
        <f t="shared" si="48"/>
        <v>8</v>
      </c>
      <c r="W292" s="108">
        <f>IF($A292="",0,IF(AND($C292&gt;=Config!$C$7,$C292&lt;=Config!$C$8),1,0))</f>
        <v>1</v>
      </c>
      <c r="X292" s="108">
        <f>IF($A292="",0,IF(COUNTIF(Config!$C$21:$C$23,$H292)&gt;0,1,0))</f>
        <v>0</v>
      </c>
      <c r="Y292" s="108">
        <f t="shared" si="49"/>
        <v>4</v>
      </c>
      <c r="Z292" s="108" t="str">
        <f t="shared" si="50"/>
        <v/>
      </c>
      <c r="AB292" s="108">
        <f t="shared" si="51"/>
        <v>0</v>
      </c>
      <c r="AC292" s="108">
        <f>IF($A292="",0,IF(AND($AB292=1,COUNTIF($A$2:$A292,$A292)=1),1,0))</f>
        <v>0</v>
      </c>
      <c r="AD292" s="108">
        <f t="shared" si="52"/>
        <v>1</v>
      </c>
      <c r="AE292" s="108" t="str">
        <f t="shared" si="53"/>
        <v/>
      </c>
      <c r="AF292" s="108">
        <f t="shared" si="54"/>
        <v>0</v>
      </c>
      <c r="AG292" s="108">
        <f t="shared" si="55"/>
        <v>0</v>
      </c>
      <c r="AH292" s="110" t="str">
        <f t="shared" si="56"/>
        <v>M. Tamez|20260903|Review|1.000|Went through previously reviewed AOIs and ran the current ORRI owners forward to present to catch any additional conveya</v>
      </c>
      <c r="AI292" s="108">
        <f t="shared" si="57"/>
        <v>0</v>
      </c>
      <c r="AJ292" s="108">
        <f t="shared" si="58"/>
        <v>0</v>
      </c>
      <c r="AK292" s="108">
        <f>IF($A292="",0,IF(AND($S292=1,$W292=1,$X292=1,$U292&gt;Config!$C$9),1,0))</f>
        <v>0</v>
      </c>
      <c r="AL292" s="108">
        <f t="shared" si="59"/>
        <v>0</v>
      </c>
    </row>
    <row r="293" spans="1:38" ht="144.75" x14ac:dyDescent="0.25">
      <c r="A293" s="106" t="s">
        <v>668</v>
      </c>
      <c r="B293" s="106" t="s">
        <v>614</v>
      </c>
      <c r="C293" s="107">
        <v>46268</v>
      </c>
      <c r="D293" s="106" t="s">
        <v>669</v>
      </c>
      <c r="E293" s="106" t="s">
        <v>669</v>
      </c>
      <c r="F293" s="106" t="s">
        <v>670</v>
      </c>
      <c r="G293" s="106"/>
      <c r="H293" s="106" t="s">
        <v>656</v>
      </c>
      <c r="I293" s="106"/>
      <c r="J293" s="106" t="s">
        <v>950</v>
      </c>
      <c r="K293" s="106">
        <v>1</v>
      </c>
      <c r="L293" s="106">
        <v>0</v>
      </c>
      <c r="M293" s="106">
        <v>0</v>
      </c>
      <c r="N293" s="106"/>
      <c r="O293" s="106"/>
      <c r="P293" s="106">
        <v>0</v>
      </c>
      <c r="Q293" s="111" t="s">
        <v>1112</v>
      </c>
      <c r="S293" s="108">
        <f>IF($A293="","",COUNTIF(BPOworkers!$B$6:$B$105,$A293))</f>
        <v>0</v>
      </c>
      <c r="T293" s="109">
        <f>IF($A293="","",$K293*Config!$C$9)</f>
        <v>8</v>
      </c>
      <c r="U293" s="109">
        <f>IF($A293="","",IF(COUNTIF(Config!$C$21:$C$23,$H293)&gt;0,IFERROR(VALUE(LEFT(TRIM($Q293),FIND(" ",TRIM($Q293)&amp;" ")-1)),0),0))</f>
        <v>0</v>
      </c>
      <c r="V293" s="109">
        <f t="shared" si="48"/>
        <v>8</v>
      </c>
      <c r="W293" s="108">
        <f>IF($A293="",0,IF(AND($C293&gt;=Config!$C$7,$C293&lt;=Config!$C$8),1,0))</f>
        <v>1</v>
      </c>
      <c r="X293" s="108">
        <f>IF($A293="",0,IF(COUNTIF(Config!$C$21:$C$23,$H293)&gt;0,1,0))</f>
        <v>0</v>
      </c>
      <c r="Y293" s="108">
        <f t="shared" si="49"/>
        <v>4</v>
      </c>
      <c r="Z293" s="108" t="str">
        <f t="shared" si="50"/>
        <v/>
      </c>
      <c r="AB293" s="108">
        <f t="shared" si="51"/>
        <v>0</v>
      </c>
      <c r="AC293" s="108">
        <f>IF($A293="",0,IF(AND($AB293=1,COUNTIF($A$2:$A293,$A293)=1),1,0))</f>
        <v>0</v>
      </c>
      <c r="AD293" s="108">
        <f t="shared" si="52"/>
        <v>1</v>
      </c>
      <c r="AE293" s="108" t="str">
        <f t="shared" si="53"/>
        <v/>
      </c>
      <c r="AF293" s="108">
        <f t="shared" si="54"/>
        <v>0</v>
      </c>
      <c r="AG293" s="108">
        <f t="shared" si="55"/>
        <v>0</v>
      </c>
      <c r="AH293" s="112" t="str">
        <f t="shared" si="56"/>
        <v>M. Bearrow|20260903|Project Management|1.000|Title notes analysis and management.
 10 Docs
 45 Transactions</v>
      </c>
      <c r="AI293" s="108">
        <f t="shared" si="57"/>
        <v>0</v>
      </c>
      <c r="AJ293" s="108">
        <f t="shared" si="58"/>
        <v>0</v>
      </c>
      <c r="AK293" s="108">
        <f>IF($A293="",0,IF(AND($S293=1,$W293=1,$X293=1,$U293&gt;Config!$C$9),1,0))</f>
        <v>0</v>
      </c>
      <c r="AL293" s="108">
        <f t="shared" si="59"/>
        <v>0</v>
      </c>
    </row>
    <row r="294" spans="1:38" x14ac:dyDescent="0.25">
      <c r="A294" s="106" t="s">
        <v>679</v>
      </c>
      <c r="B294" s="106" t="s">
        <v>618</v>
      </c>
      <c r="C294" s="107">
        <v>46268</v>
      </c>
      <c r="D294" s="106" t="s">
        <v>680</v>
      </c>
      <c r="E294" s="106" t="s">
        <v>681</v>
      </c>
      <c r="F294" s="106" t="s">
        <v>686</v>
      </c>
      <c r="G294" s="106" t="s">
        <v>1113</v>
      </c>
      <c r="H294" s="106" t="s">
        <v>631</v>
      </c>
      <c r="I294" s="106"/>
      <c r="J294" s="106"/>
      <c r="K294" s="106">
        <v>0.75</v>
      </c>
      <c r="L294" s="106">
        <v>0</v>
      </c>
      <c r="M294" s="106">
        <v>0</v>
      </c>
      <c r="N294" s="106"/>
      <c r="O294" s="106"/>
      <c r="P294" s="106">
        <v>0</v>
      </c>
      <c r="Q294" s="106" t="s">
        <v>952</v>
      </c>
      <c r="S294" s="108">
        <f>IF($A294="","",COUNTIF(BPOworkers!$B$6:$B$105,$A294))</f>
        <v>0</v>
      </c>
      <c r="T294" s="109">
        <f>IF($A294="","",$K294*Config!$C$9)</f>
        <v>6</v>
      </c>
      <c r="U294" s="109">
        <f>IF($A294="","",IF(COUNTIF(Config!$C$21:$C$23,$H294)&gt;0,IFERROR(VALUE(LEFT(TRIM($Q294),FIND(" ",TRIM($Q294)&amp;" ")-1)),0),0))</f>
        <v>0</v>
      </c>
      <c r="V294" s="109">
        <f t="shared" si="48"/>
        <v>6</v>
      </c>
      <c r="W294" s="108">
        <f>IF($A294="",0,IF(AND($C294&gt;=Config!$C$7,$C294&lt;=Config!$C$8),1,0))</f>
        <v>1</v>
      </c>
      <c r="X294" s="108">
        <f>IF($A294="",0,IF(COUNTIF(Config!$C$21:$C$23,$H294)&gt;0,1,0))</f>
        <v>0</v>
      </c>
      <c r="Y294" s="108">
        <f t="shared" si="49"/>
        <v>4</v>
      </c>
      <c r="Z294" s="108" t="str">
        <f t="shared" si="50"/>
        <v/>
      </c>
      <c r="AB294" s="108">
        <f t="shared" si="51"/>
        <v>0</v>
      </c>
      <c r="AC294" s="108">
        <f>IF($A294="",0,IF(AND($AB294=1,COUNTIF($A$2:$A294,$A294)=1),1,0))</f>
        <v>0</v>
      </c>
      <c r="AD294" s="108">
        <f t="shared" si="52"/>
        <v>1</v>
      </c>
      <c r="AE294" s="108" t="str">
        <f t="shared" si="53"/>
        <v/>
      </c>
      <c r="AF294" s="108">
        <f t="shared" si="54"/>
        <v>0</v>
      </c>
      <c r="AG294" s="108">
        <f t="shared" si="55"/>
        <v>0</v>
      </c>
      <c r="AH294" s="110" t="str">
        <f t="shared" si="56"/>
        <v>M. Soter|20260903|Title|0.750|Indexed for Parcel 01-0000041.000 S 19 NE 1/4 T 15 R 5.</v>
      </c>
      <c r="AI294" s="108">
        <f t="shared" si="57"/>
        <v>0</v>
      </c>
      <c r="AJ294" s="108">
        <f t="shared" si="58"/>
        <v>0</v>
      </c>
      <c r="AK294" s="108">
        <f>IF($A294="",0,IF(AND($S294=1,$W294=1,$X294=1,$U294&gt;Config!$C$9),1,0))</f>
        <v>0</v>
      </c>
      <c r="AL294" s="108">
        <f t="shared" si="59"/>
        <v>0</v>
      </c>
    </row>
    <row r="295" spans="1:38" ht="132.75" x14ac:dyDescent="0.25">
      <c r="A295" s="106" t="s">
        <v>679</v>
      </c>
      <c r="B295" s="106" t="s">
        <v>618</v>
      </c>
      <c r="C295" s="107">
        <v>46268</v>
      </c>
      <c r="D295" s="106" t="s">
        <v>680</v>
      </c>
      <c r="E295" s="106" t="s">
        <v>681</v>
      </c>
      <c r="F295" s="106" t="s">
        <v>682</v>
      </c>
      <c r="G295" s="106" t="s">
        <v>683</v>
      </c>
      <c r="H295" s="106" t="s">
        <v>631</v>
      </c>
      <c r="I295" s="106"/>
      <c r="J295" s="106"/>
      <c r="K295" s="106">
        <v>0.25</v>
      </c>
      <c r="L295" s="106">
        <v>0</v>
      </c>
      <c r="M295" s="106">
        <v>0</v>
      </c>
      <c r="N295" s="106"/>
      <c r="O295" s="106"/>
      <c r="P295" s="106">
        <v>0</v>
      </c>
      <c r="Q295" s="111" t="s">
        <v>1114</v>
      </c>
      <c r="S295" s="108">
        <f>IF($A295="","",COUNTIF(BPOworkers!$B$6:$B$105,$A295))</f>
        <v>0</v>
      </c>
      <c r="T295" s="109">
        <f>IF($A295="","",$K295*Config!$C$9)</f>
        <v>2</v>
      </c>
      <c r="U295" s="109">
        <f>IF($A295="","",IF(COUNTIF(Config!$C$21:$C$23,$H295)&gt;0,IFERROR(VALUE(LEFT(TRIM($Q295),FIND(" ",TRIM($Q295)&amp;" ")-1)),0),0))</f>
        <v>0</v>
      </c>
      <c r="V295" s="109">
        <f t="shared" si="48"/>
        <v>2</v>
      </c>
      <c r="W295" s="108">
        <f>IF($A295="",0,IF(AND($C295&gt;=Config!$C$7,$C295&lt;=Config!$C$8),1,0))</f>
        <v>1</v>
      </c>
      <c r="X295" s="108">
        <f>IF($A295="",0,IF(COUNTIF(Config!$C$21:$C$23,$H295)&gt;0,1,0))</f>
        <v>0</v>
      </c>
      <c r="Y295" s="108">
        <f t="shared" si="49"/>
        <v>4</v>
      </c>
      <c r="Z295" s="108" t="str">
        <f t="shared" si="50"/>
        <v/>
      </c>
      <c r="AB295" s="108">
        <f t="shared" si="51"/>
        <v>0</v>
      </c>
      <c r="AC295" s="108">
        <f>IF($A295="",0,IF(AND($AB295=1,COUNTIF($A$2:$A295,$A295)=1),1,0))</f>
        <v>0</v>
      </c>
      <c r="AD295" s="108">
        <f t="shared" si="52"/>
        <v>1</v>
      </c>
      <c r="AE295" s="108" t="str">
        <f t="shared" si="53"/>
        <v/>
      </c>
      <c r="AF295" s="108">
        <f t="shared" si="54"/>
        <v>0</v>
      </c>
      <c r="AG295" s="108">
        <f t="shared" si="55"/>
        <v>0</v>
      </c>
      <c r="AH295" s="112" t="str">
        <f t="shared" si="56"/>
        <v>M. Soter|20260903|Title|0.250|Indexed for Parcel 75-00194.005 S 28 SW 1/4 T 13 R 3.
 Completed Landman Statement.</v>
      </c>
      <c r="AI295" s="108">
        <f t="shared" si="57"/>
        <v>0</v>
      </c>
      <c r="AJ295" s="108">
        <f t="shared" si="58"/>
        <v>0</v>
      </c>
      <c r="AK295" s="108">
        <f>IF($A295="",0,IF(AND($S295=1,$W295=1,$X295=1,$U295&gt;Config!$C$9),1,0))</f>
        <v>0</v>
      </c>
      <c r="AL295" s="108">
        <f t="shared" si="59"/>
        <v>0</v>
      </c>
    </row>
    <row r="296" spans="1:38" x14ac:dyDescent="0.25">
      <c r="A296" s="106" t="s">
        <v>953</v>
      </c>
      <c r="B296" s="106" t="s">
        <v>618</v>
      </c>
      <c r="C296" s="107">
        <v>46268</v>
      </c>
      <c r="D296" s="106" t="s">
        <v>954</v>
      </c>
      <c r="E296" s="106" t="s">
        <v>955</v>
      </c>
      <c r="F296" s="106" t="s">
        <v>893</v>
      </c>
      <c r="G296" s="106" t="s">
        <v>894</v>
      </c>
      <c r="H296" s="106" t="s">
        <v>656</v>
      </c>
      <c r="I296" s="106"/>
      <c r="J296" s="106"/>
      <c r="K296" s="106">
        <v>1</v>
      </c>
      <c r="L296" s="106">
        <v>0</v>
      </c>
      <c r="M296" s="106">
        <v>0</v>
      </c>
      <c r="N296" s="106"/>
      <c r="O296" s="106"/>
      <c r="P296" s="106">
        <v>0</v>
      </c>
      <c r="Q296" s="106" t="s">
        <v>956</v>
      </c>
      <c r="S296" s="108">
        <f>IF($A296="","",COUNTIF(BPOworkers!$B$6:$B$105,$A296))</f>
        <v>0</v>
      </c>
      <c r="T296" s="109">
        <f>IF($A296="","",$K296*Config!$C$9)</f>
        <v>8</v>
      </c>
      <c r="U296" s="109">
        <f>IF($A296="","",IF(COUNTIF(Config!$C$21:$C$23,$H296)&gt;0,IFERROR(VALUE(LEFT(TRIM($Q296),FIND(" ",TRIM($Q296)&amp;" ")-1)),0),0))</f>
        <v>0</v>
      </c>
      <c r="V296" s="109">
        <f t="shared" si="48"/>
        <v>8</v>
      </c>
      <c r="W296" s="108">
        <f>IF($A296="",0,IF(AND($C296&gt;=Config!$C$7,$C296&lt;=Config!$C$8),1,0))</f>
        <v>1</v>
      </c>
      <c r="X296" s="108">
        <f>IF($A296="",0,IF(COUNTIF(Config!$C$21:$C$23,$H296)&gt;0,1,0))</f>
        <v>0</v>
      </c>
      <c r="Y296" s="108">
        <f t="shared" si="49"/>
        <v>4</v>
      </c>
      <c r="Z296" s="108" t="str">
        <f t="shared" si="50"/>
        <v/>
      </c>
      <c r="AB296" s="108">
        <f t="shared" si="51"/>
        <v>0</v>
      </c>
      <c r="AC296" s="108">
        <f>IF($A296="",0,IF(AND($AB296=1,COUNTIF($A$2:$A296,$A296)=1),1,0))</f>
        <v>0</v>
      </c>
      <c r="AD296" s="108">
        <f t="shared" si="52"/>
        <v>1</v>
      </c>
      <c r="AE296" s="108" t="str">
        <f t="shared" si="53"/>
        <v/>
      </c>
      <c r="AF296" s="108">
        <f t="shared" si="54"/>
        <v>0</v>
      </c>
      <c r="AG296" s="108">
        <f t="shared" si="55"/>
        <v>0</v>
      </c>
      <c r="AH296" s="110" t="str">
        <f t="shared" si="56"/>
        <v>B. Gmutza|20260903|Project Management|1.000|Spreadsheet Review Linking Parcels</v>
      </c>
      <c r="AI296" s="108">
        <f t="shared" si="57"/>
        <v>0</v>
      </c>
      <c r="AJ296" s="108">
        <f t="shared" si="58"/>
        <v>0</v>
      </c>
      <c r="AK296" s="108">
        <f>IF($A296="",0,IF(AND($S296=1,$W296=1,$X296=1,$U296&gt;Config!$C$9),1,0))</f>
        <v>0</v>
      </c>
      <c r="AL296" s="108">
        <f t="shared" si="59"/>
        <v>0</v>
      </c>
    </row>
    <row r="297" spans="1:38" x14ac:dyDescent="0.25">
      <c r="A297" s="106" t="s">
        <v>689</v>
      </c>
      <c r="B297" s="106" t="s">
        <v>618</v>
      </c>
      <c r="C297" s="107">
        <v>46268</v>
      </c>
      <c r="D297" s="106" t="s">
        <v>720</v>
      </c>
      <c r="E297" s="106" t="s">
        <v>721</v>
      </c>
      <c r="F297" s="106" t="s">
        <v>722</v>
      </c>
      <c r="G297" s="106" t="s">
        <v>725</v>
      </c>
      <c r="H297" s="106" t="s">
        <v>631</v>
      </c>
      <c r="I297" s="106"/>
      <c r="J297" s="106"/>
      <c r="K297" s="106">
        <v>0.75</v>
      </c>
      <c r="L297" s="106">
        <v>0</v>
      </c>
      <c r="M297" s="106">
        <v>0</v>
      </c>
      <c r="N297" s="106"/>
      <c r="O297" s="106"/>
      <c r="P297" s="106">
        <v>0</v>
      </c>
      <c r="Q297" s="106" t="s">
        <v>1115</v>
      </c>
      <c r="S297" s="108">
        <f>IF($A297="","",COUNTIF(BPOworkers!$B$6:$B$105,$A297))</f>
        <v>0</v>
      </c>
      <c r="T297" s="109">
        <f>IF($A297="","",$K297*Config!$C$9)</f>
        <v>6</v>
      </c>
      <c r="U297" s="109">
        <f>IF($A297="","",IF(COUNTIF(Config!$C$21:$C$23,$H297)&gt;0,IFERROR(VALUE(LEFT(TRIM($Q297),FIND(" ",TRIM($Q297)&amp;" ")-1)),0),0))</f>
        <v>0</v>
      </c>
      <c r="V297" s="109">
        <f t="shared" si="48"/>
        <v>6</v>
      </c>
      <c r="W297" s="108">
        <f>IF($A297="",0,IF(AND($C297&gt;=Config!$C$7,$C297&lt;=Config!$C$8),1,0))</f>
        <v>1</v>
      </c>
      <c r="X297" s="108">
        <f>IF($A297="",0,IF(COUNTIF(Config!$C$21:$C$23,$H297)&gt;0,1,0))</f>
        <v>0</v>
      </c>
      <c r="Y297" s="108">
        <f t="shared" si="49"/>
        <v>4</v>
      </c>
      <c r="Z297" s="108" t="str">
        <f t="shared" si="50"/>
        <v/>
      </c>
      <c r="AB297" s="108">
        <f t="shared" si="51"/>
        <v>0</v>
      </c>
      <c r="AC297" s="108">
        <f>IF($A297="",0,IF(AND($AB297=1,COUNTIF($A$2:$A297,$A297)=1),1,0))</f>
        <v>0</v>
      </c>
      <c r="AD297" s="108">
        <f t="shared" si="52"/>
        <v>1</v>
      </c>
      <c r="AE297" s="108" t="str">
        <f t="shared" si="53"/>
        <v/>
      </c>
      <c r="AF297" s="108">
        <f t="shared" si="54"/>
        <v>0</v>
      </c>
      <c r="AG297" s="108">
        <f t="shared" si="55"/>
        <v>0</v>
      </c>
      <c r="AH297" s="110" t="str">
        <f t="shared" si="56"/>
        <v>M. Avery|20260903|Title|0.750|Re-indexed all parties with Texas File. Added (4) additional documents and located Gray County equivalent filings for in</v>
      </c>
      <c r="AI297" s="108">
        <f t="shared" si="57"/>
        <v>0</v>
      </c>
      <c r="AJ297" s="108">
        <f t="shared" si="58"/>
        <v>0</v>
      </c>
      <c r="AK297" s="108">
        <f>IF($A297="",0,IF(AND($S297=1,$W297=1,$X297=1,$U297&gt;Config!$C$9),1,0))</f>
        <v>0</v>
      </c>
      <c r="AL297" s="108">
        <f t="shared" si="59"/>
        <v>0</v>
      </c>
    </row>
    <row r="298" spans="1:38" x14ac:dyDescent="0.25">
      <c r="A298" s="106" t="s">
        <v>689</v>
      </c>
      <c r="B298" s="106" t="s">
        <v>618</v>
      </c>
      <c r="C298" s="107">
        <v>46268</v>
      </c>
      <c r="D298" s="106" t="s">
        <v>529</v>
      </c>
      <c r="E298" s="106" t="s">
        <v>529</v>
      </c>
      <c r="F298" s="106" t="s">
        <v>615</v>
      </c>
      <c r="G298" s="106"/>
      <c r="H298" s="106" t="s">
        <v>529</v>
      </c>
      <c r="I298" s="106"/>
      <c r="J298" s="106"/>
      <c r="K298" s="106">
        <v>0</v>
      </c>
      <c r="L298" s="106">
        <v>0</v>
      </c>
      <c r="M298" s="106">
        <v>0</v>
      </c>
      <c r="N298" s="106"/>
      <c r="O298" s="106"/>
      <c r="P298" s="106">
        <v>0</v>
      </c>
      <c r="Q298" s="106" t="s">
        <v>1116</v>
      </c>
      <c r="S298" s="108">
        <f>IF($A298="","",COUNTIF(BPOworkers!$B$6:$B$105,$A298))</f>
        <v>0</v>
      </c>
      <c r="T298" s="109">
        <f>IF($A298="","",$K298*Config!$C$9)</f>
        <v>0</v>
      </c>
      <c r="U298" s="109">
        <f>IF($A298="","",IF(COUNTIF(Config!$C$21:$C$23,$H298)&gt;0,IFERROR(VALUE(LEFT(TRIM($Q298),FIND(" ",TRIM($Q298)&amp;" ")-1)),0),0))</f>
        <v>2</v>
      </c>
      <c r="V298" s="109">
        <f t="shared" si="48"/>
        <v>2</v>
      </c>
      <c r="W298" s="108">
        <f>IF($A298="",0,IF(AND($C298&gt;=Config!$C$7,$C298&lt;=Config!$C$8),1,0))</f>
        <v>1</v>
      </c>
      <c r="X298" s="108">
        <f>IF($A298="",0,IF(COUNTIF(Config!$C$21:$C$23,$H298)&gt;0,1,0))</f>
        <v>1</v>
      </c>
      <c r="Y298" s="108">
        <f t="shared" si="49"/>
        <v>4</v>
      </c>
      <c r="Z298" s="108" t="str">
        <f t="shared" si="50"/>
        <v/>
      </c>
      <c r="AB298" s="108">
        <f t="shared" si="51"/>
        <v>0</v>
      </c>
      <c r="AC298" s="108">
        <f>IF($A298="",0,IF(AND($AB298=1,COUNTIF($A$2:$A298,$A298)=1),1,0))</f>
        <v>0</v>
      </c>
      <c r="AD298" s="108">
        <f t="shared" si="52"/>
        <v>1</v>
      </c>
      <c r="AE298" s="108" t="str">
        <f t="shared" si="53"/>
        <v/>
      </c>
      <c r="AF298" s="108">
        <f t="shared" si="54"/>
        <v>0</v>
      </c>
      <c r="AG298" s="108">
        <f t="shared" si="55"/>
        <v>0</v>
      </c>
      <c r="AH298" s="110" t="str">
        <f t="shared" si="56"/>
        <v>M. Avery|20260903|Time Off|0.000|2 hours time off...waiting on next assignment.</v>
      </c>
      <c r="AI298" s="108">
        <f t="shared" si="57"/>
        <v>0</v>
      </c>
      <c r="AJ298" s="108">
        <f t="shared" si="58"/>
        <v>0</v>
      </c>
      <c r="AK298" s="108">
        <f>IF($A298="",0,IF(AND($S298=1,$W298=1,$X298=1,$U298&gt;Config!$C$9),1,0))</f>
        <v>0</v>
      </c>
      <c r="AL298" s="108">
        <f t="shared" si="59"/>
        <v>0</v>
      </c>
    </row>
    <row r="299" spans="1:38" ht="180.75" x14ac:dyDescent="0.25">
      <c r="A299" s="106" t="s">
        <v>478</v>
      </c>
      <c r="B299" s="106" t="s">
        <v>614</v>
      </c>
      <c r="C299" s="107">
        <v>46268</v>
      </c>
      <c r="D299" s="106" t="s">
        <v>623</v>
      </c>
      <c r="E299" s="106" t="s">
        <v>624</v>
      </c>
      <c r="F299" s="106" t="s">
        <v>615</v>
      </c>
      <c r="G299" s="106" t="s">
        <v>625</v>
      </c>
      <c r="H299" s="106" t="s">
        <v>691</v>
      </c>
      <c r="I299" s="106"/>
      <c r="J299" s="106" t="s">
        <v>699</v>
      </c>
      <c r="K299" s="106">
        <v>0.75</v>
      </c>
      <c r="L299" s="106">
        <v>0</v>
      </c>
      <c r="M299" s="106">
        <v>0</v>
      </c>
      <c r="N299" s="106"/>
      <c r="O299" s="106"/>
      <c r="P299" s="106">
        <v>0</v>
      </c>
      <c r="Q299" s="111" t="s">
        <v>1117</v>
      </c>
      <c r="S299" s="108">
        <f>IF($A299="","",COUNTIF(BPOworkers!$B$6:$B$105,$A299))</f>
        <v>1</v>
      </c>
      <c r="T299" s="109">
        <f>IF($A299="","",$K299*Config!$C$9)</f>
        <v>6</v>
      </c>
      <c r="U299" s="109">
        <f>IF($A299="","",IF(COUNTIF(Config!$C$21:$C$23,$H299)&gt;0,IFERROR(VALUE(LEFT(TRIM($Q299),FIND(" ",TRIM($Q299)&amp;" ")-1)),0),0))</f>
        <v>0</v>
      </c>
      <c r="V299" s="109">
        <f t="shared" si="48"/>
        <v>6</v>
      </c>
      <c r="W299" s="108">
        <f>IF($A299="",0,IF(AND($C299&gt;=Config!$C$7,$C299&lt;=Config!$C$8),1,0))</f>
        <v>1</v>
      </c>
      <c r="X299" s="108">
        <f>IF($A299="",0,IF(COUNTIF(Config!$C$21:$C$23,$H299)&gt;0,1,0))</f>
        <v>0</v>
      </c>
      <c r="Y299" s="108">
        <f t="shared" si="49"/>
        <v>4</v>
      </c>
      <c r="Z299" s="108" t="str">
        <f t="shared" si="50"/>
        <v/>
      </c>
      <c r="AB299" s="108">
        <f t="shared" si="51"/>
        <v>0</v>
      </c>
      <c r="AC299" s="108">
        <f>IF($A299="",0,IF(AND($AB299=1,COUNTIF($A$2:$A299,$A299)=1),1,0))</f>
        <v>0</v>
      </c>
      <c r="AD299" s="108">
        <f t="shared" si="52"/>
        <v>1</v>
      </c>
      <c r="AE299" s="108" t="str">
        <f t="shared" si="53"/>
        <v/>
      </c>
      <c r="AF299" s="108">
        <f t="shared" si="54"/>
        <v>0</v>
      </c>
      <c r="AG299" s="108">
        <f t="shared" si="55"/>
        <v>0</v>
      </c>
      <c r="AH299" s="112" t="str">
        <f t="shared" si="56"/>
        <v>L Silva|20260903|BPO Project Management|0.750|New hires onboarding.
 Solved new hires questions.
 Meeting with Roberto.</v>
      </c>
      <c r="AI299" s="108">
        <f t="shared" si="57"/>
        <v>0</v>
      </c>
      <c r="AJ299" s="108">
        <f t="shared" si="58"/>
        <v>0</v>
      </c>
      <c r="AK299" s="108">
        <f>IF($A299="",0,IF(AND($S299=1,$W299=1,$X299=1,$U299&gt;Config!$C$9),1,0))</f>
        <v>0</v>
      </c>
      <c r="AL299" s="108">
        <f t="shared" si="59"/>
        <v>0</v>
      </c>
    </row>
    <row r="300" spans="1:38" ht="144.75" x14ac:dyDescent="0.25">
      <c r="A300" s="106" t="s">
        <v>478</v>
      </c>
      <c r="B300" s="106" t="s">
        <v>618</v>
      </c>
      <c r="C300" s="107">
        <v>46268</v>
      </c>
      <c r="D300" s="106" t="s">
        <v>712</v>
      </c>
      <c r="E300" s="106" t="s">
        <v>713</v>
      </c>
      <c r="F300" s="106" t="s">
        <v>714</v>
      </c>
      <c r="G300" s="106" t="s">
        <v>959</v>
      </c>
      <c r="H300" s="106" t="s">
        <v>631</v>
      </c>
      <c r="I300" s="106"/>
      <c r="J300" s="106" t="s">
        <v>960</v>
      </c>
      <c r="K300" s="106">
        <v>0.25</v>
      </c>
      <c r="L300" s="106">
        <v>0</v>
      </c>
      <c r="M300" s="106">
        <v>0</v>
      </c>
      <c r="N300" s="106"/>
      <c r="O300" s="106"/>
      <c r="P300" s="106">
        <v>0</v>
      </c>
      <c r="Q300" s="111" t="s">
        <v>961</v>
      </c>
      <c r="S300" s="108">
        <f>IF($A300="","",COUNTIF(BPOworkers!$B$6:$B$105,$A300))</f>
        <v>1</v>
      </c>
      <c r="T300" s="109">
        <f>IF($A300="","",$K300*Config!$C$9)</f>
        <v>2</v>
      </c>
      <c r="U300" s="109">
        <f>IF($A300="","",IF(COUNTIF(Config!$C$21:$C$23,$H300)&gt;0,IFERROR(VALUE(LEFT(TRIM($Q300),FIND(" ",TRIM($Q300)&amp;" ")-1)),0),0))</f>
        <v>0</v>
      </c>
      <c r="V300" s="109">
        <f t="shared" si="48"/>
        <v>2</v>
      </c>
      <c r="W300" s="108">
        <f>IF($A300="",0,IF(AND($C300&gt;=Config!$C$7,$C300&lt;=Config!$C$8),1,0))</f>
        <v>1</v>
      </c>
      <c r="X300" s="108">
        <f>IF($A300="",0,IF(COUNTIF(Config!$C$21:$C$23,$H300)&gt;0,1,0))</f>
        <v>0</v>
      </c>
      <c r="Y300" s="108">
        <f t="shared" si="49"/>
        <v>4</v>
      </c>
      <c r="Z300" s="108" t="str">
        <f t="shared" si="50"/>
        <v/>
      </c>
      <c r="AB300" s="108">
        <f t="shared" si="51"/>
        <v>0</v>
      </c>
      <c r="AC300" s="108">
        <f>IF($A300="",0,IF(AND($AB300=1,COUNTIF($A$2:$A300,$A300)=1),1,0))</f>
        <v>0</v>
      </c>
      <c r="AD300" s="108">
        <f t="shared" si="52"/>
        <v>1</v>
      </c>
      <c r="AE300" s="108" t="str">
        <f t="shared" si="53"/>
        <v/>
      </c>
      <c r="AF300" s="108">
        <f t="shared" si="54"/>
        <v>0</v>
      </c>
      <c r="AG300" s="108">
        <f t="shared" si="55"/>
        <v>0</v>
      </c>
      <c r="AH300" s="112" t="str">
        <f t="shared" si="56"/>
        <v>L Silva|20260903|Title|0.250|Reviewing and indexing "Survey 4-Blk37-T2S, A- 996, Veazey,-A-P, Svy·
 Attended meeting</v>
      </c>
      <c r="AI300" s="108">
        <f t="shared" si="57"/>
        <v>0</v>
      </c>
      <c r="AJ300" s="108">
        <f t="shared" si="58"/>
        <v>0</v>
      </c>
      <c r="AK300" s="108">
        <f>IF($A300="",0,IF(AND($S300=1,$W300=1,$X300=1,$U300&gt;Config!$C$9),1,0))</f>
        <v>0</v>
      </c>
      <c r="AL300" s="108">
        <f t="shared" si="59"/>
        <v>0</v>
      </c>
    </row>
    <row r="301" spans="1:38" ht="168.75" x14ac:dyDescent="0.25">
      <c r="A301" s="106" t="s">
        <v>127</v>
      </c>
      <c r="B301" s="106" t="s">
        <v>618</v>
      </c>
      <c r="C301" s="107">
        <v>46268</v>
      </c>
      <c r="D301" s="106" t="s">
        <v>623</v>
      </c>
      <c r="E301" s="106" t="s">
        <v>624</v>
      </c>
      <c r="F301" s="106" t="s">
        <v>615</v>
      </c>
      <c r="G301" s="106" t="s">
        <v>625</v>
      </c>
      <c r="H301" s="106" t="s">
        <v>691</v>
      </c>
      <c r="I301" s="106"/>
      <c r="J301" s="106" t="s">
        <v>699</v>
      </c>
      <c r="K301" s="106">
        <v>0.375</v>
      </c>
      <c r="L301" s="106">
        <v>0</v>
      </c>
      <c r="M301" s="106">
        <v>0</v>
      </c>
      <c r="N301" s="106"/>
      <c r="O301" s="106"/>
      <c r="P301" s="106">
        <v>0</v>
      </c>
      <c r="Q301" s="111" t="s">
        <v>1118</v>
      </c>
      <c r="S301" s="108">
        <f>IF($A301="","",COUNTIF(BPOworkers!$B$6:$B$105,$A301))</f>
        <v>1</v>
      </c>
      <c r="T301" s="109">
        <f>IF($A301="","",$K301*Config!$C$9)</f>
        <v>3</v>
      </c>
      <c r="U301" s="109">
        <f>IF($A301="","",IF(COUNTIF(Config!$C$21:$C$23,$H301)&gt;0,IFERROR(VALUE(LEFT(TRIM($Q301),FIND(" ",TRIM($Q301)&amp;" ")-1)),0),0))</f>
        <v>0</v>
      </c>
      <c r="V301" s="109">
        <f t="shared" si="48"/>
        <v>3</v>
      </c>
      <c r="W301" s="108">
        <f>IF($A301="",0,IF(AND($C301&gt;=Config!$C$7,$C301&lt;=Config!$C$8),1,0))</f>
        <v>1</v>
      </c>
      <c r="X301" s="108">
        <f>IF($A301="",0,IF(COUNTIF(Config!$C$21:$C$23,$H301)&gt;0,1,0))</f>
        <v>0</v>
      </c>
      <c r="Y301" s="108">
        <f t="shared" si="49"/>
        <v>4</v>
      </c>
      <c r="Z301" s="108" t="str">
        <f t="shared" si="50"/>
        <v/>
      </c>
      <c r="AB301" s="108">
        <f t="shared" si="51"/>
        <v>0</v>
      </c>
      <c r="AC301" s="108">
        <f>IF($A301="",0,IF(AND($AB301=1,COUNTIF($A$2:$A301,$A301)=1),1,0))</f>
        <v>0</v>
      </c>
      <c r="AD301" s="108">
        <f t="shared" si="52"/>
        <v>1</v>
      </c>
      <c r="AE301" s="108" t="str">
        <f t="shared" si="53"/>
        <v/>
      </c>
      <c r="AF301" s="108">
        <f t="shared" si="54"/>
        <v>0</v>
      </c>
      <c r="AG301" s="108">
        <f t="shared" si="55"/>
        <v>0</v>
      </c>
      <c r="AH301" s="112" t="str">
        <f t="shared" si="56"/>
        <v>S Romero|20260903|BPO Project Management|0.375|Added new members to BTABS.
 Provided an explanation of conveyances and interest calculations.</v>
      </c>
      <c r="AI301" s="108">
        <f t="shared" si="57"/>
        <v>0</v>
      </c>
      <c r="AJ301" s="108">
        <f t="shared" si="58"/>
        <v>0</v>
      </c>
      <c r="AK301" s="108">
        <f>IF($A301="",0,IF(AND($S301=1,$W301=1,$X301=1,$U301&gt;Config!$C$9),1,0))</f>
        <v>0</v>
      </c>
      <c r="AL301" s="108">
        <f t="shared" si="59"/>
        <v>0</v>
      </c>
    </row>
    <row r="302" spans="1:38" x14ac:dyDescent="0.25">
      <c r="A302" s="106" t="s">
        <v>127</v>
      </c>
      <c r="B302" s="106" t="s">
        <v>618</v>
      </c>
      <c r="C302" s="107">
        <v>46268</v>
      </c>
      <c r="D302" s="106" t="s">
        <v>694</v>
      </c>
      <c r="E302" s="106" t="s">
        <v>695</v>
      </c>
      <c r="F302" s="106" t="s">
        <v>696</v>
      </c>
      <c r="G302" s="106" t="s">
        <v>697</v>
      </c>
      <c r="H302" s="106" t="s">
        <v>639</v>
      </c>
      <c r="I302" s="106"/>
      <c r="J302" s="106"/>
      <c r="K302" s="106">
        <v>0.625</v>
      </c>
      <c r="L302" s="106">
        <v>0</v>
      </c>
      <c r="M302" s="106">
        <v>0</v>
      </c>
      <c r="N302" s="106"/>
      <c r="O302" s="106"/>
      <c r="P302" s="106">
        <v>0</v>
      </c>
      <c r="Q302" s="106" t="s">
        <v>698</v>
      </c>
      <c r="S302" s="108">
        <f>IF($A302="","",COUNTIF(BPOworkers!$B$6:$B$105,$A302))</f>
        <v>1</v>
      </c>
      <c r="T302" s="109">
        <f>IF($A302="","",$K302*Config!$C$9)</f>
        <v>5</v>
      </c>
      <c r="U302" s="109">
        <f>IF($A302="","",IF(COUNTIF(Config!$C$21:$C$23,$H302)&gt;0,IFERROR(VALUE(LEFT(TRIM($Q302),FIND(" ",TRIM($Q302)&amp;" ")-1)),0),0))</f>
        <v>0</v>
      </c>
      <c r="V302" s="109">
        <f t="shared" si="48"/>
        <v>5</v>
      </c>
      <c r="W302" s="108">
        <f>IF($A302="",0,IF(AND($C302&gt;=Config!$C$7,$C302&lt;=Config!$C$8),1,0))</f>
        <v>1</v>
      </c>
      <c r="X302" s="108">
        <f>IF($A302="",0,IF(COUNTIF(Config!$C$21:$C$23,$H302)&gt;0,1,0))</f>
        <v>0</v>
      </c>
      <c r="Y302" s="108">
        <f t="shared" si="49"/>
        <v>4</v>
      </c>
      <c r="Z302" s="108" t="str">
        <f t="shared" si="50"/>
        <v/>
      </c>
      <c r="AB302" s="108">
        <f t="shared" si="51"/>
        <v>0</v>
      </c>
      <c r="AC302" s="108">
        <f>IF($A302="",0,IF(AND($AB302=1,COUNTIF($A$2:$A302,$A302)=1),1,0))</f>
        <v>0</v>
      </c>
      <c r="AD302" s="108">
        <f t="shared" si="52"/>
        <v>1</v>
      </c>
      <c r="AE302" s="108" t="str">
        <f t="shared" si="53"/>
        <v/>
      </c>
      <c r="AF302" s="108">
        <f t="shared" si="54"/>
        <v>0</v>
      </c>
      <c r="AG302" s="108">
        <f t="shared" si="55"/>
        <v>0</v>
      </c>
      <c r="AH302" s="110" t="str">
        <f t="shared" si="56"/>
        <v>S Romero|20260903|Review|0.625|Reviewed subject assignment</v>
      </c>
      <c r="AI302" s="108">
        <f t="shared" si="57"/>
        <v>0</v>
      </c>
      <c r="AJ302" s="108">
        <f t="shared" si="58"/>
        <v>0</v>
      </c>
      <c r="AK302" s="108">
        <f>IF($A302="",0,IF(AND($S302=1,$W302=1,$X302=1,$U302&gt;Config!$C$9),1,0))</f>
        <v>0</v>
      </c>
      <c r="AL302" s="108">
        <f t="shared" si="59"/>
        <v>0</v>
      </c>
    </row>
    <row r="303" spans="1:38" ht="204.75" x14ac:dyDescent="0.25">
      <c r="A303" s="106" t="s">
        <v>123</v>
      </c>
      <c r="B303" s="106" t="s">
        <v>618</v>
      </c>
      <c r="C303" s="107">
        <v>46268</v>
      </c>
      <c r="D303" s="106" t="s">
        <v>628</v>
      </c>
      <c r="E303" s="106" t="s">
        <v>701</v>
      </c>
      <c r="F303" s="106" t="s">
        <v>630</v>
      </c>
      <c r="G303" s="106"/>
      <c r="H303" s="106" t="s">
        <v>702</v>
      </c>
      <c r="I303" s="106"/>
      <c r="J303" s="106"/>
      <c r="K303" s="106">
        <v>1</v>
      </c>
      <c r="L303" s="106">
        <v>0</v>
      </c>
      <c r="M303" s="106">
        <v>0</v>
      </c>
      <c r="N303" s="106"/>
      <c r="O303" s="106"/>
      <c r="P303" s="106">
        <v>0</v>
      </c>
      <c r="Q303" s="111" t="s">
        <v>1119</v>
      </c>
      <c r="S303" s="108">
        <f>IF($A303="","",COUNTIF(BPOworkers!$B$6:$B$105,$A303))</f>
        <v>1</v>
      </c>
      <c r="T303" s="109">
        <f>IF($A303="","",$K303*Config!$C$9)</f>
        <v>8</v>
      </c>
      <c r="U303" s="109">
        <f>IF($A303="","",IF(COUNTIF(Config!$C$21:$C$23,$H303)&gt;0,IFERROR(VALUE(LEFT(TRIM($Q303),FIND(" ",TRIM($Q303)&amp;" ")-1)),0),0))</f>
        <v>0</v>
      </c>
      <c r="V303" s="109">
        <f t="shared" si="48"/>
        <v>8</v>
      </c>
      <c r="W303" s="108">
        <f>IF($A303="",0,IF(AND($C303&gt;=Config!$C$7,$C303&lt;=Config!$C$8),1,0))</f>
        <v>1</v>
      </c>
      <c r="X303" s="108">
        <f>IF($A303="",0,IF(COUNTIF(Config!$C$21:$C$23,$H303)&gt;0,1,0))</f>
        <v>0</v>
      </c>
      <c r="Y303" s="108">
        <f t="shared" si="49"/>
        <v>4</v>
      </c>
      <c r="Z303" s="108" t="str">
        <f t="shared" si="50"/>
        <v/>
      </c>
      <c r="AB303" s="108">
        <f t="shared" si="51"/>
        <v>0</v>
      </c>
      <c r="AC303" s="108">
        <f>IF($A303="",0,IF(AND($AB303=1,COUNTIF($A$2:$A303,$A303)=1),1,0))</f>
        <v>0</v>
      </c>
      <c r="AD303" s="108">
        <f t="shared" si="52"/>
        <v>1</v>
      </c>
      <c r="AE303" s="108" t="str">
        <f t="shared" si="53"/>
        <v/>
      </c>
      <c r="AF303" s="108">
        <f t="shared" si="54"/>
        <v>0</v>
      </c>
      <c r="AG303" s="108">
        <f t="shared" si="55"/>
        <v>0</v>
      </c>
      <c r="AH303" s="112" t="str">
        <f t="shared" si="56"/>
        <v>H Daza|20260903|Data Processing|1.000|Team meeting Q&amp;A and discussing next steps approaching each assignment.
 Mapping all the mentioned leases from the TO, d</v>
      </c>
      <c r="AI303" s="108">
        <f t="shared" si="57"/>
        <v>0</v>
      </c>
      <c r="AJ303" s="108">
        <f t="shared" si="58"/>
        <v>0</v>
      </c>
      <c r="AK303" s="108">
        <f>IF($A303="",0,IF(AND($S303=1,$W303=1,$X303=1,$U303&gt;Config!$C$9),1,0))</f>
        <v>0</v>
      </c>
      <c r="AL303" s="108">
        <f t="shared" si="59"/>
        <v>0</v>
      </c>
    </row>
    <row r="304" spans="1:38" ht="204.75" x14ac:dyDescent="0.25">
      <c r="A304" s="106" t="s">
        <v>126</v>
      </c>
      <c r="B304" s="106" t="s">
        <v>618</v>
      </c>
      <c r="C304" s="107">
        <v>46268</v>
      </c>
      <c r="D304" s="106" t="s">
        <v>628</v>
      </c>
      <c r="E304" s="106" t="s">
        <v>705</v>
      </c>
      <c r="F304" s="106" t="s">
        <v>630</v>
      </c>
      <c r="G304" s="106" t="s">
        <v>706</v>
      </c>
      <c r="H304" s="106" t="s">
        <v>707</v>
      </c>
      <c r="I304" s="106"/>
      <c r="J304" s="106"/>
      <c r="K304" s="106">
        <v>0.75</v>
      </c>
      <c r="L304" s="106">
        <v>0</v>
      </c>
      <c r="M304" s="106">
        <v>0</v>
      </c>
      <c r="N304" s="106"/>
      <c r="O304" s="106"/>
      <c r="P304" s="106">
        <v>0</v>
      </c>
      <c r="Q304" s="111" t="s">
        <v>1119</v>
      </c>
      <c r="S304" s="108">
        <f>IF($A304="","",COUNTIF(BPOworkers!$B$6:$B$105,$A304))</f>
        <v>1</v>
      </c>
      <c r="T304" s="109">
        <f>IF($A304="","",$K304*Config!$C$9)</f>
        <v>6</v>
      </c>
      <c r="U304" s="109">
        <f>IF($A304="","",IF(COUNTIF(Config!$C$21:$C$23,$H304)&gt;0,IFERROR(VALUE(LEFT(TRIM($Q304),FIND(" ",TRIM($Q304)&amp;" ")-1)),0),0))</f>
        <v>0</v>
      </c>
      <c r="V304" s="109">
        <f t="shared" si="48"/>
        <v>6</v>
      </c>
      <c r="W304" s="108">
        <f>IF($A304="",0,IF(AND($C304&gt;=Config!$C$7,$C304&lt;=Config!$C$8),1,0))</f>
        <v>1</v>
      </c>
      <c r="X304" s="108">
        <f>IF($A304="",0,IF(COUNTIF(Config!$C$21:$C$23,$H304)&gt;0,1,0))</f>
        <v>0</v>
      </c>
      <c r="Y304" s="108">
        <f t="shared" si="49"/>
        <v>4</v>
      </c>
      <c r="Z304" s="108" t="str">
        <f t="shared" si="50"/>
        <v/>
      </c>
      <c r="AB304" s="108">
        <f t="shared" si="51"/>
        <v>0</v>
      </c>
      <c r="AC304" s="108">
        <f>IF($A304="",0,IF(AND($AB304=1,COUNTIF($A$2:$A304,$A304)=1),1,0))</f>
        <v>0</v>
      </c>
      <c r="AD304" s="108">
        <f t="shared" si="52"/>
        <v>1</v>
      </c>
      <c r="AE304" s="108" t="str">
        <f t="shared" si="53"/>
        <v/>
      </c>
      <c r="AF304" s="108">
        <f t="shared" si="54"/>
        <v>0</v>
      </c>
      <c r="AG304" s="108">
        <f t="shared" si="55"/>
        <v>0</v>
      </c>
      <c r="AH304" s="112" t="str">
        <f t="shared" si="56"/>
        <v>R Sanchez|20260903|Title Opinion data entry|0.750|Team meeting Q&amp;A and discussing next steps approaching each assignment.
 Mapping all the mentioned leases from the TO, d</v>
      </c>
      <c r="AI304" s="108">
        <f t="shared" si="57"/>
        <v>0</v>
      </c>
      <c r="AJ304" s="108">
        <f t="shared" si="58"/>
        <v>0</v>
      </c>
      <c r="AK304" s="108">
        <f>IF($A304="",0,IF(AND($S304=1,$W304=1,$X304=1,$U304&gt;Config!$C$9),1,0))</f>
        <v>0</v>
      </c>
      <c r="AL304" s="108">
        <f t="shared" si="59"/>
        <v>0</v>
      </c>
    </row>
    <row r="305" spans="1:38" ht="192.75" x14ac:dyDescent="0.25">
      <c r="A305" s="106" t="s">
        <v>126</v>
      </c>
      <c r="B305" s="106" t="s">
        <v>618</v>
      </c>
      <c r="C305" s="107">
        <v>46268</v>
      </c>
      <c r="D305" s="106" t="s">
        <v>623</v>
      </c>
      <c r="E305" s="106" t="s">
        <v>624</v>
      </c>
      <c r="F305" s="106" t="s">
        <v>615</v>
      </c>
      <c r="G305" s="106" t="s">
        <v>625</v>
      </c>
      <c r="H305" s="106" t="s">
        <v>691</v>
      </c>
      <c r="I305" s="106"/>
      <c r="J305" s="106" t="s">
        <v>691</v>
      </c>
      <c r="K305" s="106">
        <v>0.25</v>
      </c>
      <c r="L305" s="106">
        <v>0</v>
      </c>
      <c r="M305" s="106">
        <v>0</v>
      </c>
      <c r="N305" s="106"/>
      <c r="O305" s="106"/>
      <c r="P305" s="106">
        <v>0</v>
      </c>
      <c r="Q305" s="111" t="s">
        <v>1120</v>
      </c>
      <c r="S305" s="108">
        <f>IF($A305="","",COUNTIF(BPOworkers!$B$6:$B$105,$A305))</f>
        <v>1</v>
      </c>
      <c r="T305" s="109">
        <f>IF($A305="","",$K305*Config!$C$9)</f>
        <v>2</v>
      </c>
      <c r="U305" s="109">
        <f>IF($A305="","",IF(COUNTIF(Config!$C$21:$C$23,$H305)&gt;0,IFERROR(VALUE(LEFT(TRIM($Q305),FIND(" ",TRIM($Q305)&amp;" ")-1)),0),0))</f>
        <v>0</v>
      </c>
      <c r="V305" s="109">
        <f t="shared" si="48"/>
        <v>2</v>
      </c>
      <c r="W305" s="108">
        <f>IF($A305="",0,IF(AND($C305&gt;=Config!$C$7,$C305&lt;=Config!$C$8),1,0))</f>
        <v>1</v>
      </c>
      <c r="X305" s="108">
        <f>IF($A305="",0,IF(COUNTIF(Config!$C$21:$C$23,$H305)&gt;0,1,0))</f>
        <v>0</v>
      </c>
      <c r="Y305" s="108">
        <f t="shared" si="49"/>
        <v>4</v>
      </c>
      <c r="Z305" s="108" t="str">
        <f t="shared" si="50"/>
        <v/>
      </c>
      <c r="AB305" s="108">
        <f t="shared" si="51"/>
        <v>0</v>
      </c>
      <c r="AC305" s="108">
        <f>IF($A305="",0,IF(AND($AB305=1,COUNTIF($A$2:$A305,$A305)=1),1,0))</f>
        <v>0</v>
      </c>
      <c r="AD305" s="108">
        <f t="shared" si="52"/>
        <v>1</v>
      </c>
      <c r="AE305" s="108" t="str">
        <f t="shared" si="53"/>
        <v/>
      </c>
      <c r="AF305" s="108">
        <f t="shared" si="54"/>
        <v>0</v>
      </c>
      <c r="AG305" s="108">
        <f t="shared" si="55"/>
        <v>0</v>
      </c>
      <c r="AH305" s="112" t="str">
        <f t="shared" si="56"/>
        <v>R Sanchez|20260903|BPO Project Management|0.250|TL &amp; TLS team
 Property description presentation and workshop, took an hour and a half. Multiple Q&amp;A's</v>
      </c>
      <c r="AI305" s="108">
        <f t="shared" si="57"/>
        <v>0</v>
      </c>
      <c r="AJ305" s="108">
        <f t="shared" si="58"/>
        <v>0</v>
      </c>
      <c r="AK305" s="108">
        <f>IF($A305="",0,IF(AND($S305=1,$W305=1,$X305=1,$U305&gt;Config!$C$9),1,0))</f>
        <v>0</v>
      </c>
      <c r="AL305" s="108">
        <f t="shared" si="59"/>
        <v>0</v>
      </c>
    </row>
    <row r="306" spans="1:38" x14ac:dyDescent="0.25">
      <c r="A306" s="106" t="s">
        <v>122</v>
      </c>
      <c r="B306" s="106" t="s">
        <v>618</v>
      </c>
      <c r="C306" s="107">
        <v>46268</v>
      </c>
      <c r="D306" s="106" t="s">
        <v>694</v>
      </c>
      <c r="E306" s="106" t="s">
        <v>709</v>
      </c>
      <c r="F306" s="106" t="s">
        <v>615</v>
      </c>
      <c r="G306" s="106"/>
      <c r="H306" s="106" t="s">
        <v>709</v>
      </c>
      <c r="I306" s="106"/>
      <c r="J306" s="106" t="s">
        <v>710</v>
      </c>
      <c r="K306" s="106">
        <v>1</v>
      </c>
      <c r="L306" s="106">
        <v>0</v>
      </c>
      <c r="M306" s="106">
        <v>0</v>
      </c>
      <c r="N306" s="106"/>
      <c r="O306" s="106"/>
      <c r="P306" s="106">
        <v>0</v>
      </c>
      <c r="Q306" s="106" t="s">
        <v>711</v>
      </c>
      <c r="S306" s="108">
        <f>IF($A306="","",COUNTIF(BPOworkers!$B$6:$B$105,$A306))</f>
        <v>1</v>
      </c>
      <c r="T306" s="109">
        <f>IF($A306="","",$K306*Config!$C$9)</f>
        <v>8</v>
      </c>
      <c r="U306" s="109">
        <f>IF($A306="","",IF(COUNTIF(Config!$C$21:$C$23,$H306)&gt;0,IFERROR(VALUE(LEFT(TRIM($Q306),FIND(" ",TRIM($Q306)&amp;" ")-1)),0),0))</f>
        <v>0</v>
      </c>
      <c r="V306" s="109">
        <f t="shared" si="48"/>
        <v>8</v>
      </c>
      <c r="W306" s="108">
        <f>IF($A306="",0,IF(AND($C306&gt;=Config!$C$7,$C306&lt;=Config!$C$8),1,0))</f>
        <v>1</v>
      </c>
      <c r="X306" s="108">
        <f>IF($A306="",0,IF(COUNTIF(Config!$C$21:$C$23,$H306)&gt;0,1,0))</f>
        <v>0</v>
      </c>
      <c r="Y306" s="108">
        <f t="shared" si="49"/>
        <v>4</v>
      </c>
      <c r="Z306" s="108" t="str">
        <f t="shared" si="50"/>
        <v/>
      </c>
      <c r="AB306" s="108">
        <f t="shared" si="51"/>
        <v>0</v>
      </c>
      <c r="AC306" s="108">
        <f>IF($A306="",0,IF(AND($AB306=1,COUNTIF($A$2:$A306,$A306)=1),1,0))</f>
        <v>0</v>
      </c>
      <c r="AD306" s="108">
        <f t="shared" si="52"/>
        <v>1</v>
      </c>
      <c r="AE306" s="108" t="str">
        <f t="shared" si="53"/>
        <v/>
      </c>
      <c r="AF306" s="108">
        <f t="shared" si="54"/>
        <v>0</v>
      </c>
      <c r="AG306" s="108">
        <f t="shared" si="55"/>
        <v>0</v>
      </c>
      <c r="AH306" s="110" t="str">
        <f t="shared" si="56"/>
        <v>A Lorenzo|20260903|Land Admin|1.000|Data reconciliation</v>
      </c>
      <c r="AI306" s="108">
        <f t="shared" si="57"/>
        <v>0</v>
      </c>
      <c r="AJ306" s="108">
        <f t="shared" si="58"/>
        <v>0</v>
      </c>
      <c r="AK306" s="108">
        <f>IF($A306="",0,IF(AND($S306=1,$W306=1,$X306=1,$U306&gt;Config!$C$9),1,0))</f>
        <v>0</v>
      </c>
      <c r="AL306" s="108">
        <f t="shared" si="59"/>
        <v>0</v>
      </c>
    </row>
    <row r="307" spans="1:38" ht="156.75" x14ac:dyDescent="0.25">
      <c r="A307" s="106" t="s">
        <v>120</v>
      </c>
      <c r="B307" s="106" t="s">
        <v>618</v>
      </c>
      <c r="C307" s="107">
        <v>46268</v>
      </c>
      <c r="D307" s="106" t="s">
        <v>623</v>
      </c>
      <c r="E307" s="106" t="s">
        <v>624</v>
      </c>
      <c r="F307" s="106" t="s">
        <v>615</v>
      </c>
      <c r="G307" s="106" t="s">
        <v>625</v>
      </c>
      <c r="H307" s="106" t="s">
        <v>691</v>
      </c>
      <c r="I307" s="106"/>
      <c r="J307" s="106" t="s">
        <v>691</v>
      </c>
      <c r="K307" s="106">
        <v>0.125</v>
      </c>
      <c r="L307" s="106">
        <v>0</v>
      </c>
      <c r="M307" s="106">
        <v>0</v>
      </c>
      <c r="N307" s="106"/>
      <c r="O307" s="106"/>
      <c r="P307" s="106">
        <v>0</v>
      </c>
      <c r="Q307" s="111" t="s">
        <v>1121</v>
      </c>
      <c r="S307" s="108">
        <f>IF($A307="","",COUNTIF(BPOworkers!$B$6:$B$105,$A307))</f>
        <v>1</v>
      </c>
      <c r="T307" s="109">
        <f>IF($A307="","",$K307*Config!$C$9)</f>
        <v>1</v>
      </c>
      <c r="U307" s="109">
        <f>IF($A307="","",IF(COUNTIF(Config!$C$21:$C$23,$H307)&gt;0,IFERROR(VALUE(LEFT(TRIM($Q307),FIND(" ",TRIM($Q307)&amp;" ")-1)),0),0))</f>
        <v>0</v>
      </c>
      <c r="V307" s="109">
        <f t="shared" si="48"/>
        <v>1</v>
      </c>
      <c r="W307" s="108">
        <f>IF($A307="",0,IF(AND($C307&gt;=Config!$C$7,$C307&lt;=Config!$C$8),1,0))</f>
        <v>1</v>
      </c>
      <c r="X307" s="108">
        <f>IF($A307="",0,IF(COUNTIF(Config!$C$21:$C$23,$H307)&gt;0,1,0))</f>
        <v>0</v>
      </c>
      <c r="Y307" s="108">
        <f t="shared" si="49"/>
        <v>4</v>
      </c>
      <c r="Z307" s="108" t="str">
        <f t="shared" si="50"/>
        <v/>
      </c>
      <c r="AB307" s="108">
        <f t="shared" si="51"/>
        <v>0</v>
      </c>
      <c r="AC307" s="108">
        <f>IF($A307="",0,IF(AND($AB307=1,COUNTIF($A$2:$A307,$A307)=1),1,0))</f>
        <v>0</v>
      </c>
      <c r="AD307" s="108">
        <f t="shared" si="52"/>
        <v>1</v>
      </c>
      <c r="AE307" s="108" t="str">
        <f t="shared" si="53"/>
        <v/>
      </c>
      <c r="AF307" s="108">
        <f t="shared" si="54"/>
        <v>0</v>
      </c>
      <c r="AG307" s="108">
        <f t="shared" si="55"/>
        <v>0</v>
      </c>
      <c r="AH307" s="112" t="str">
        <f t="shared" si="56"/>
        <v>A Camargo|20260903|BPO Project Management|0.125|- TLS Team Leads Meetings
 - Mentoring program launch (Meeting with my mentee)</v>
      </c>
      <c r="AI307" s="108">
        <f t="shared" si="57"/>
        <v>0</v>
      </c>
      <c r="AJ307" s="108">
        <f t="shared" si="58"/>
        <v>0</v>
      </c>
      <c r="AK307" s="108">
        <f>IF($A307="",0,IF(AND($S307=1,$W307=1,$X307=1,$U307&gt;Config!$C$9),1,0))</f>
        <v>0</v>
      </c>
      <c r="AL307" s="108">
        <f t="shared" si="59"/>
        <v>0</v>
      </c>
    </row>
    <row r="308" spans="1:38" ht="132.75" x14ac:dyDescent="0.25">
      <c r="A308" s="106" t="s">
        <v>120</v>
      </c>
      <c r="B308" s="106" t="s">
        <v>618</v>
      </c>
      <c r="C308" s="107">
        <v>46268</v>
      </c>
      <c r="D308" s="106" t="s">
        <v>712</v>
      </c>
      <c r="E308" s="106" t="s">
        <v>713</v>
      </c>
      <c r="F308" s="106" t="s">
        <v>714</v>
      </c>
      <c r="G308" s="106" t="s">
        <v>1122</v>
      </c>
      <c r="H308" s="106" t="s">
        <v>639</v>
      </c>
      <c r="I308" s="106"/>
      <c r="J308" s="106"/>
      <c r="K308" s="106">
        <v>0.5</v>
      </c>
      <c r="L308" s="106">
        <v>0</v>
      </c>
      <c r="M308" s="106">
        <v>0</v>
      </c>
      <c r="N308" s="106"/>
      <c r="O308" s="106"/>
      <c r="P308" s="106">
        <v>0</v>
      </c>
      <c r="Q308" s="111" t="s">
        <v>1123</v>
      </c>
      <c r="S308" s="108">
        <f>IF($A308="","",COUNTIF(BPOworkers!$B$6:$B$105,$A308))</f>
        <v>1</v>
      </c>
      <c r="T308" s="109">
        <f>IF($A308="","",$K308*Config!$C$9)</f>
        <v>4</v>
      </c>
      <c r="U308" s="109">
        <f>IF($A308="","",IF(COUNTIF(Config!$C$21:$C$23,$H308)&gt;0,IFERROR(VALUE(LEFT(TRIM($Q308),FIND(" ",TRIM($Q308)&amp;" ")-1)),0),0))</f>
        <v>0</v>
      </c>
      <c r="V308" s="109">
        <f t="shared" si="48"/>
        <v>4</v>
      </c>
      <c r="W308" s="108">
        <f>IF($A308="",0,IF(AND($C308&gt;=Config!$C$7,$C308&lt;=Config!$C$8),1,0))</f>
        <v>1</v>
      </c>
      <c r="X308" s="108">
        <f>IF($A308="",0,IF(COUNTIF(Config!$C$21:$C$23,$H308)&gt;0,1,0))</f>
        <v>0</v>
      </c>
      <c r="Y308" s="108">
        <f t="shared" si="49"/>
        <v>4</v>
      </c>
      <c r="Z308" s="108" t="str">
        <f t="shared" si="50"/>
        <v/>
      </c>
      <c r="AB308" s="108">
        <f t="shared" si="51"/>
        <v>0</v>
      </c>
      <c r="AC308" s="108">
        <f>IF($A308="",0,IF(AND($AB308=1,COUNTIF($A$2:$A308,$A308)=1),1,0))</f>
        <v>0</v>
      </c>
      <c r="AD308" s="108">
        <f t="shared" si="52"/>
        <v>1</v>
      </c>
      <c r="AE308" s="108" t="str">
        <f t="shared" si="53"/>
        <v/>
      </c>
      <c r="AF308" s="108">
        <f t="shared" si="54"/>
        <v>0</v>
      </c>
      <c r="AG308" s="108">
        <f t="shared" si="55"/>
        <v>0</v>
      </c>
      <c r="AH308" s="112" t="str">
        <f t="shared" si="56"/>
        <v>A Camargo|20260903|Review|0.500|Parties were re-indexed to address gaps in title
 Finished the review of this AOI</v>
      </c>
      <c r="AI308" s="108">
        <f t="shared" si="57"/>
        <v>0</v>
      </c>
      <c r="AJ308" s="108">
        <f t="shared" si="58"/>
        <v>0</v>
      </c>
      <c r="AK308" s="108">
        <f>IF($A308="",0,IF(AND($S308=1,$W308=1,$X308=1,$U308&gt;Config!$C$9),1,0))</f>
        <v>0</v>
      </c>
      <c r="AL308" s="108">
        <f t="shared" si="59"/>
        <v>0</v>
      </c>
    </row>
    <row r="309" spans="1:38" x14ac:dyDescent="0.25">
      <c r="A309" s="106" t="s">
        <v>120</v>
      </c>
      <c r="B309" s="106" t="s">
        <v>618</v>
      </c>
      <c r="C309" s="107">
        <v>46268</v>
      </c>
      <c r="D309" s="106" t="s">
        <v>712</v>
      </c>
      <c r="E309" s="106" t="s">
        <v>713</v>
      </c>
      <c r="F309" s="106" t="s">
        <v>714</v>
      </c>
      <c r="G309" s="106" t="s">
        <v>715</v>
      </c>
      <c r="H309" s="106" t="s">
        <v>639</v>
      </c>
      <c r="I309" s="106"/>
      <c r="J309" s="106" t="s">
        <v>716</v>
      </c>
      <c r="K309" s="106">
        <v>0.375</v>
      </c>
      <c r="L309" s="106">
        <v>0</v>
      </c>
      <c r="M309" s="106">
        <v>0</v>
      </c>
      <c r="N309" s="106"/>
      <c r="O309" s="106"/>
      <c r="P309" s="106">
        <v>0</v>
      </c>
      <c r="Q309" s="106" t="s">
        <v>1124</v>
      </c>
      <c r="S309" s="108">
        <f>IF($A309="","",COUNTIF(BPOworkers!$B$6:$B$105,$A309))</f>
        <v>1</v>
      </c>
      <c r="T309" s="109">
        <f>IF($A309="","",$K309*Config!$C$9)</f>
        <v>3</v>
      </c>
      <c r="U309" s="109">
        <f>IF($A309="","",IF(COUNTIF(Config!$C$21:$C$23,$H309)&gt;0,IFERROR(VALUE(LEFT(TRIM($Q309),FIND(" ",TRIM($Q309)&amp;" ")-1)),0),0))</f>
        <v>0</v>
      </c>
      <c r="V309" s="109">
        <f t="shared" si="48"/>
        <v>3</v>
      </c>
      <c r="W309" s="108">
        <f>IF($A309="",0,IF(AND($C309&gt;=Config!$C$7,$C309&lt;=Config!$C$8),1,0))</f>
        <v>1</v>
      </c>
      <c r="X309" s="108">
        <f>IF($A309="",0,IF(COUNTIF(Config!$C$21:$C$23,$H309)&gt;0,1,0))</f>
        <v>0</v>
      </c>
      <c r="Y309" s="108">
        <f t="shared" si="49"/>
        <v>4</v>
      </c>
      <c r="Z309" s="108" t="str">
        <f t="shared" si="50"/>
        <v/>
      </c>
      <c r="AB309" s="108">
        <f t="shared" si="51"/>
        <v>0</v>
      </c>
      <c r="AC309" s="108">
        <f>IF($A309="",0,IF(AND($AB309=1,COUNTIF($A$2:$A309,$A309)=1),1,0))</f>
        <v>0</v>
      </c>
      <c r="AD309" s="108">
        <f t="shared" si="52"/>
        <v>1</v>
      </c>
      <c r="AE309" s="108" t="str">
        <f t="shared" si="53"/>
        <v/>
      </c>
      <c r="AF309" s="108">
        <f t="shared" si="54"/>
        <v>0</v>
      </c>
      <c r="AG309" s="108">
        <f t="shared" si="55"/>
        <v>0</v>
      </c>
      <c r="AH309" s="110" t="str">
        <f t="shared" si="56"/>
        <v>A Camargo|20260903|Review|0.375|Worked on the review of the AOI</v>
      </c>
      <c r="AI309" s="108">
        <f t="shared" si="57"/>
        <v>0</v>
      </c>
      <c r="AJ309" s="108">
        <f t="shared" si="58"/>
        <v>0</v>
      </c>
      <c r="AK309" s="108">
        <f>IF($A309="",0,IF(AND($S309=1,$W309=1,$X309=1,$U309&gt;Config!$C$9),1,0))</f>
        <v>0</v>
      </c>
      <c r="AL309" s="108">
        <f t="shared" si="59"/>
        <v>0</v>
      </c>
    </row>
    <row r="310" spans="1:38" x14ac:dyDescent="0.25">
      <c r="A310" s="106" t="s">
        <v>718</v>
      </c>
      <c r="B310" s="106" t="s">
        <v>618</v>
      </c>
      <c r="C310" s="107">
        <v>46268</v>
      </c>
      <c r="D310" s="106" t="s">
        <v>628</v>
      </c>
      <c r="E310" s="106" t="s">
        <v>705</v>
      </c>
      <c r="F310" s="106" t="s">
        <v>630</v>
      </c>
      <c r="G310" s="106" t="s">
        <v>910</v>
      </c>
      <c r="H310" s="106" t="s">
        <v>631</v>
      </c>
      <c r="I310" s="106"/>
      <c r="J310" s="106"/>
      <c r="K310" s="106">
        <v>1</v>
      </c>
      <c r="L310" s="106">
        <v>0</v>
      </c>
      <c r="M310" s="106">
        <v>0</v>
      </c>
      <c r="N310" s="106"/>
      <c r="O310" s="106"/>
      <c r="P310" s="106">
        <v>0</v>
      </c>
      <c r="Q310" s="106" t="s">
        <v>1125</v>
      </c>
      <c r="S310" s="108">
        <f>IF($A310="","",COUNTIF(BPOworkers!$B$6:$B$105,$A310))</f>
        <v>0</v>
      </c>
      <c r="T310" s="109">
        <f>IF($A310="","",$K310*Config!$C$9)</f>
        <v>8</v>
      </c>
      <c r="U310" s="109">
        <f>IF($A310="","",IF(COUNTIF(Config!$C$21:$C$23,$H310)&gt;0,IFERROR(VALUE(LEFT(TRIM($Q310),FIND(" ",TRIM($Q310)&amp;" ")-1)),0),0))</f>
        <v>0</v>
      </c>
      <c r="V310" s="109">
        <f t="shared" si="48"/>
        <v>8</v>
      </c>
      <c r="W310" s="108">
        <f>IF($A310="",0,IF(AND($C310&gt;=Config!$C$7,$C310&lt;=Config!$C$8),1,0))</f>
        <v>1</v>
      </c>
      <c r="X310" s="108">
        <f>IF($A310="",0,IF(COUNTIF(Config!$C$21:$C$23,$H310)&gt;0,1,0))</f>
        <v>0</v>
      </c>
      <c r="Y310" s="108">
        <f t="shared" si="49"/>
        <v>4</v>
      </c>
      <c r="Z310" s="108" t="str">
        <f t="shared" si="50"/>
        <v/>
      </c>
      <c r="AB310" s="108">
        <f t="shared" si="51"/>
        <v>0</v>
      </c>
      <c r="AC310" s="108">
        <f>IF($A310="",0,IF(AND($AB310=1,COUNTIF($A$2:$A310,$A310)=1),1,0))</f>
        <v>0</v>
      </c>
      <c r="AD310" s="108">
        <f t="shared" si="52"/>
        <v>1</v>
      </c>
      <c r="AE310" s="108" t="str">
        <f t="shared" si="53"/>
        <v/>
      </c>
      <c r="AF310" s="108">
        <f t="shared" si="54"/>
        <v>0</v>
      </c>
      <c r="AG310" s="108">
        <f t="shared" si="55"/>
        <v>0</v>
      </c>
      <c r="AH310" s="110" t="str">
        <f t="shared" si="56"/>
        <v>B. Lukes|20260903|Title|1.000|Team meeting for assignment discussion; Uploading and organizing DTO data into AOI.</v>
      </c>
      <c r="AI310" s="108">
        <f t="shared" si="57"/>
        <v>0</v>
      </c>
      <c r="AJ310" s="108">
        <f t="shared" si="58"/>
        <v>0</v>
      </c>
      <c r="AK310" s="108">
        <f>IF($A310="",0,IF(AND($S310=1,$W310=1,$X310=1,$U310&gt;Config!$C$9),1,0))</f>
        <v>0</v>
      </c>
      <c r="AL310" s="108">
        <f t="shared" si="59"/>
        <v>0</v>
      </c>
    </row>
    <row r="311" spans="1:38" ht="168.75" x14ac:dyDescent="0.25">
      <c r="A311" s="106" t="s">
        <v>125</v>
      </c>
      <c r="B311" s="106" t="s">
        <v>618</v>
      </c>
      <c r="C311" s="107">
        <v>46268</v>
      </c>
      <c r="D311" s="106" t="s">
        <v>720</v>
      </c>
      <c r="E311" s="106" t="s">
        <v>721</v>
      </c>
      <c r="F311" s="106" t="s">
        <v>722</v>
      </c>
      <c r="G311" s="106" t="s">
        <v>1126</v>
      </c>
      <c r="H311" s="106" t="s">
        <v>631</v>
      </c>
      <c r="I311" s="106"/>
      <c r="J311" s="106" t="s">
        <v>1127</v>
      </c>
      <c r="K311" s="106">
        <v>0.875</v>
      </c>
      <c r="L311" s="106">
        <v>0</v>
      </c>
      <c r="M311" s="106">
        <v>0</v>
      </c>
      <c r="N311" s="106"/>
      <c r="O311" s="106"/>
      <c r="P311" s="106">
        <v>0</v>
      </c>
      <c r="Q311" s="111" t="s">
        <v>1128</v>
      </c>
      <c r="S311" s="108">
        <f>IF($A311="","",COUNTIF(BPOworkers!$B$6:$B$105,$A311))</f>
        <v>1</v>
      </c>
      <c r="T311" s="109">
        <f>IF($A311="","",$K311*Config!$C$9)</f>
        <v>7</v>
      </c>
      <c r="U311" s="109">
        <f>IF($A311="","",IF(COUNTIF(Config!$C$21:$C$23,$H311)&gt;0,IFERROR(VALUE(LEFT(TRIM($Q311),FIND(" ",TRIM($Q311)&amp;" ")-1)),0),0))</f>
        <v>0</v>
      </c>
      <c r="V311" s="109">
        <f t="shared" si="48"/>
        <v>7</v>
      </c>
      <c r="W311" s="108">
        <f>IF($A311="",0,IF(AND($C311&gt;=Config!$C$7,$C311&lt;=Config!$C$8),1,0))</f>
        <v>1</v>
      </c>
      <c r="X311" s="108">
        <f>IF($A311="",0,IF(COUNTIF(Config!$C$21:$C$23,$H311)&gt;0,1,0))</f>
        <v>0</v>
      </c>
      <c r="Y311" s="108">
        <f t="shared" si="49"/>
        <v>4</v>
      </c>
      <c r="Z311" s="108" t="str">
        <f t="shared" si="50"/>
        <v/>
      </c>
      <c r="AB311" s="108">
        <f t="shared" si="51"/>
        <v>0</v>
      </c>
      <c r="AC311" s="108">
        <f>IF($A311="",0,IF(AND($AB311=1,COUNTIF($A$2:$A311,$A311)=1),1,0))</f>
        <v>0</v>
      </c>
      <c r="AD311" s="108">
        <f t="shared" si="52"/>
        <v>1</v>
      </c>
      <c r="AE311" s="108" t="str">
        <f t="shared" si="53"/>
        <v/>
      </c>
      <c r="AF311" s="108">
        <f t="shared" si="54"/>
        <v>0</v>
      </c>
      <c r="AG311" s="108">
        <f t="shared" si="55"/>
        <v>0</v>
      </c>
      <c r="AH311" s="112" t="str">
        <f t="shared" si="56"/>
        <v>M Leon|20260903|Title|0.875|-Created AOI
 -Created indexing spreadsheet
 -Added source deed
 -Indexed to the present from source deed
 -Started inde</v>
      </c>
      <c r="AI311" s="108">
        <f t="shared" si="57"/>
        <v>0</v>
      </c>
      <c r="AJ311" s="108">
        <f t="shared" si="58"/>
        <v>0</v>
      </c>
      <c r="AK311" s="108">
        <f>IF($A311="",0,IF(AND($S311=1,$W311=1,$X311=1,$U311&gt;Config!$C$9),1,0))</f>
        <v>0</v>
      </c>
      <c r="AL311" s="108">
        <f t="shared" si="59"/>
        <v>0</v>
      </c>
    </row>
    <row r="312" spans="1:38" x14ac:dyDescent="0.25">
      <c r="A312" s="106" t="s">
        <v>125</v>
      </c>
      <c r="B312" s="106" t="s">
        <v>618</v>
      </c>
      <c r="C312" s="107">
        <v>46268</v>
      </c>
      <c r="D312" s="106" t="s">
        <v>623</v>
      </c>
      <c r="E312" s="106" t="s">
        <v>624</v>
      </c>
      <c r="F312" s="106" t="s">
        <v>615</v>
      </c>
      <c r="G312" s="106" t="s">
        <v>625</v>
      </c>
      <c r="H312" s="106" t="s">
        <v>691</v>
      </c>
      <c r="I312" s="106"/>
      <c r="J312" s="106" t="s">
        <v>699</v>
      </c>
      <c r="K312" s="106">
        <v>0.125</v>
      </c>
      <c r="L312" s="106">
        <v>0</v>
      </c>
      <c r="M312" s="106">
        <v>0</v>
      </c>
      <c r="N312" s="106"/>
      <c r="O312" s="106"/>
      <c r="P312" s="106">
        <v>0</v>
      </c>
      <c r="Q312" s="106" t="s">
        <v>1129</v>
      </c>
      <c r="S312" s="108">
        <f>IF($A312="","",COUNTIF(BPOworkers!$B$6:$B$105,$A312))</f>
        <v>1</v>
      </c>
      <c r="T312" s="109">
        <f>IF($A312="","",$K312*Config!$C$9)</f>
        <v>1</v>
      </c>
      <c r="U312" s="109">
        <f>IF($A312="","",IF(COUNTIF(Config!$C$21:$C$23,$H312)&gt;0,IFERROR(VALUE(LEFT(TRIM($Q312),FIND(" ",TRIM($Q312)&amp;" ")-1)),0),0))</f>
        <v>0</v>
      </c>
      <c r="V312" s="109">
        <f t="shared" si="48"/>
        <v>1</v>
      </c>
      <c r="W312" s="108">
        <f>IF($A312="",0,IF(AND($C312&gt;=Config!$C$7,$C312&lt;=Config!$C$8),1,0))</f>
        <v>1</v>
      </c>
      <c r="X312" s="108">
        <f>IF($A312="",0,IF(COUNTIF(Config!$C$21:$C$23,$H312)&gt;0,1,0))</f>
        <v>0</v>
      </c>
      <c r="Y312" s="108">
        <f t="shared" si="49"/>
        <v>4</v>
      </c>
      <c r="Z312" s="108" t="str">
        <f t="shared" si="50"/>
        <v/>
      </c>
      <c r="AB312" s="108">
        <f t="shared" si="51"/>
        <v>0</v>
      </c>
      <c r="AC312" s="108">
        <f>IF($A312="",0,IF(AND($AB312=1,COUNTIF($A$2:$A312,$A312)=1),1,0))</f>
        <v>0</v>
      </c>
      <c r="AD312" s="108">
        <f t="shared" si="52"/>
        <v>1</v>
      </c>
      <c r="AE312" s="108" t="str">
        <f t="shared" si="53"/>
        <v/>
      </c>
      <c r="AF312" s="108">
        <f t="shared" si="54"/>
        <v>0</v>
      </c>
      <c r="AG312" s="108">
        <f t="shared" si="55"/>
        <v>0</v>
      </c>
      <c r="AH312" s="110" t="str">
        <f t="shared" si="56"/>
        <v>M Leon|20260903|BPO Project Management|0.125|Provided an explanation of conveyances and interest calculations.</v>
      </c>
      <c r="AI312" s="108">
        <f t="shared" si="57"/>
        <v>0</v>
      </c>
      <c r="AJ312" s="108">
        <f t="shared" si="58"/>
        <v>0</v>
      </c>
      <c r="AK312" s="108">
        <f>IF($A312="",0,IF(AND($S312=1,$W312=1,$X312=1,$U312&gt;Config!$C$9),1,0))</f>
        <v>0</v>
      </c>
      <c r="AL312" s="108">
        <f t="shared" si="59"/>
        <v>0</v>
      </c>
    </row>
    <row r="313" spans="1:38" x14ac:dyDescent="0.25">
      <c r="A313" s="106" t="s">
        <v>468</v>
      </c>
      <c r="B313" s="106" t="s">
        <v>618</v>
      </c>
      <c r="C313" s="107">
        <v>46268</v>
      </c>
      <c r="D313" s="106" t="s">
        <v>529</v>
      </c>
      <c r="E313" s="106" t="s">
        <v>529</v>
      </c>
      <c r="F313" s="106" t="s">
        <v>615</v>
      </c>
      <c r="G313" s="106"/>
      <c r="H313" s="106" t="s">
        <v>529</v>
      </c>
      <c r="I313" s="106"/>
      <c r="J313" s="106" t="s">
        <v>727</v>
      </c>
      <c r="K313" s="106">
        <v>0</v>
      </c>
      <c r="L313" s="106">
        <v>0</v>
      </c>
      <c r="M313" s="106">
        <v>0</v>
      </c>
      <c r="N313" s="106"/>
      <c r="O313" s="106"/>
      <c r="P313" s="106">
        <v>0</v>
      </c>
      <c r="Q313" s="106" t="s">
        <v>728</v>
      </c>
      <c r="S313" s="108">
        <f>IF($A313="","",COUNTIF(BPOworkers!$B$6:$B$105,$A313))</f>
        <v>1</v>
      </c>
      <c r="T313" s="109">
        <f>IF($A313="","",$K313*Config!$C$9)</f>
        <v>0</v>
      </c>
      <c r="U313" s="109">
        <f>IF($A313="","",IF(COUNTIF(Config!$C$21:$C$23,$H313)&gt;0,IFERROR(VALUE(LEFT(TRIM($Q313),FIND(" ",TRIM($Q313)&amp;" ")-1)),0),0))</f>
        <v>8</v>
      </c>
      <c r="V313" s="109">
        <f t="shared" si="48"/>
        <v>8</v>
      </c>
      <c r="W313" s="108">
        <f>IF($A313="",0,IF(AND($C313&gt;=Config!$C$7,$C313&lt;=Config!$C$8),1,0))</f>
        <v>1</v>
      </c>
      <c r="X313" s="108">
        <f>IF($A313="",0,IF(COUNTIF(Config!$C$21:$C$23,$H313)&gt;0,1,0))</f>
        <v>1</v>
      </c>
      <c r="Y313" s="108">
        <f t="shared" si="49"/>
        <v>5</v>
      </c>
      <c r="Z313" s="108">
        <f t="shared" si="50"/>
        <v>5</v>
      </c>
      <c r="AB313" s="108">
        <f t="shared" si="51"/>
        <v>0</v>
      </c>
      <c r="AC313" s="108">
        <f>IF($A313="",0,IF(AND($AB313=1,COUNTIF($A$2:$A313,$A313)=1),1,0))</f>
        <v>0</v>
      </c>
      <c r="AD313" s="108">
        <f t="shared" si="52"/>
        <v>1</v>
      </c>
      <c r="AE313" s="108" t="str">
        <f t="shared" si="53"/>
        <v/>
      </c>
      <c r="AF313" s="108">
        <f t="shared" si="54"/>
        <v>0</v>
      </c>
      <c r="AG313" s="108">
        <f t="shared" si="55"/>
        <v>0</v>
      </c>
      <c r="AH313" s="110" t="str">
        <f t="shared" si="56"/>
        <v>J Castillo|20260903|Time Off|0.000|8 hours not worked medical leave. 8 Hours not billed</v>
      </c>
      <c r="AI313" s="108">
        <f t="shared" si="57"/>
        <v>0</v>
      </c>
      <c r="AJ313" s="108">
        <f t="shared" si="58"/>
        <v>0</v>
      </c>
      <c r="AK313" s="108">
        <f>IF($A313="",0,IF(AND($S313=1,$W313=1,$X313=1,$U313&gt;Config!$C$9),1,0))</f>
        <v>0</v>
      </c>
      <c r="AL313" s="108">
        <f t="shared" si="59"/>
        <v>0</v>
      </c>
    </row>
    <row r="314" spans="1:38" x14ac:dyDescent="0.25">
      <c r="A314" s="106" t="s">
        <v>729</v>
      </c>
      <c r="B314" s="106" t="s">
        <v>618</v>
      </c>
      <c r="C314" s="107">
        <v>46268</v>
      </c>
      <c r="D314" s="106" t="s">
        <v>712</v>
      </c>
      <c r="E314" s="106" t="s">
        <v>713</v>
      </c>
      <c r="F314" s="106" t="s">
        <v>866</v>
      </c>
      <c r="G314" s="106" t="s">
        <v>873</v>
      </c>
      <c r="H314" s="106" t="s">
        <v>656</v>
      </c>
      <c r="I314" s="106"/>
      <c r="J314" s="106"/>
      <c r="K314" s="106">
        <v>0.75</v>
      </c>
      <c r="L314" s="106">
        <v>0</v>
      </c>
      <c r="M314" s="106">
        <v>0</v>
      </c>
      <c r="N314" s="106"/>
      <c r="O314" s="106"/>
      <c r="P314" s="106">
        <v>0</v>
      </c>
      <c r="Q314" s="106" t="s">
        <v>1130</v>
      </c>
      <c r="S314" s="108">
        <f>IF($A314="","",COUNTIF(BPOworkers!$B$6:$B$105,$A314))</f>
        <v>0</v>
      </c>
      <c r="T314" s="109">
        <f>IF($A314="","",$K314*Config!$C$9)</f>
        <v>6</v>
      </c>
      <c r="U314" s="109">
        <f>IF($A314="","",IF(COUNTIF(Config!$C$21:$C$23,$H314)&gt;0,IFERROR(VALUE(LEFT(TRIM($Q314),FIND(" ",TRIM($Q314)&amp;" ")-1)),0),0))</f>
        <v>0</v>
      </c>
      <c r="V314" s="109">
        <f t="shared" si="48"/>
        <v>6</v>
      </c>
      <c r="W314" s="108">
        <f>IF($A314="",0,IF(AND($C314&gt;=Config!$C$7,$C314&lt;=Config!$C$8),1,0))</f>
        <v>1</v>
      </c>
      <c r="X314" s="108">
        <f>IF($A314="",0,IF(COUNTIF(Config!$C$21:$C$23,$H314)&gt;0,1,0))</f>
        <v>0</v>
      </c>
      <c r="Y314" s="108">
        <f t="shared" si="49"/>
        <v>5</v>
      </c>
      <c r="Z314" s="108" t="str">
        <f t="shared" si="50"/>
        <v/>
      </c>
      <c r="AB314" s="108">
        <f t="shared" si="51"/>
        <v>0</v>
      </c>
      <c r="AC314" s="108">
        <f>IF($A314="",0,IF(AND($AB314=1,COUNTIF($A$2:$A314,$A314)=1),1,0))</f>
        <v>0</v>
      </c>
      <c r="AD314" s="108">
        <f t="shared" si="52"/>
        <v>1</v>
      </c>
      <c r="AE314" s="108" t="str">
        <f t="shared" si="53"/>
        <v/>
      </c>
      <c r="AF314" s="108">
        <f t="shared" si="54"/>
        <v>0</v>
      </c>
      <c r="AG314" s="108">
        <f t="shared" si="55"/>
        <v>0</v>
      </c>
      <c r="AH314" s="110" t="str">
        <f t="shared" si="56"/>
        <v>Z. Greenlee|20260903|Project Management|0.750|Led team meeting with landmen and reviewers. Discussed best practices of review process, ETA for remaining AOI's, as wel</v>
      </c>
      <c r="AI314" s="108">
        <f t="shared" si="57"/>
        <v>0</v>
      </c>
      <c r="AJ314" s="108">
        <f t="shared" si="58"/>
        <v>0</v>
      </c>
      <c r="AK314" s="108">
        <f>IF($A314="",0,IF(AND($S314=1,$W314=1,$X314=1,$U314&gt;Config!$C$9),1,0))</f>
        <v>0</v>
      </c>
      <c r="AL314" s="108">
        <f t="shared" si="59"/>
        <v>0</v>
      </c>
    </row>
    <row r="315" spans="1:38" x14ac:dyDescent="0.25">
      <c r="A315" s="106" t="s">
        <v>729</v>
      </c>
      <c r="B315" s="106" t="s">
        <v>618</v>
      </c>
      <c r="C315" s="107">
        <v>46268</v>
      </c>
      <c r="D315" s="106" t="s">
        <v>712</v>
      </c>
      <c r="E315" s="106" t="s">
        <v>713</v>
      </c>
      <c r="F315" s="106" t="s">
        <v>714</v>
      </c>
      <c r="G315" s="106" t="s">
        <v>730</v>
      </c>
      <c r="H315" s="106" t="s">
        <v>639</v>
      </c>
      <c r="I315" s="106"/>
      <c r="J315" s="106"/>
      <c r="K315" s="106">
        <v>0.25</v>
      </c>
      <c r="L315" s="106">
        <v>0</v>
      </c>
      <c r="M315" s="106">
        <v>0</v>
      </c>
      <c r="N315" s="106"/>
      <c r="O315" s="106"/>
      <c r="P315" s="106">
        <v>0</v>
      </c>
      <c r="Q315" s="106" t="s">
        <v>1131</v>
      </c>
      <c r="S315" s="108">
        <f>IF($A315="","",COUNTIF(BPOworkers!$B$6:$B$105,$A315))</f>
        <v>0</v>
      </c>
      <c r="T315" s="109">
        <f>IF($A315="","",$K315*Config!$C$9)</f>
        <v>2</v>
      </c>
      <c r="U315" s="109">
        <f>IF($A315="","",IF(COUNTIF(Config!$C$21:$C$23,$H315)&gt;0,IFERROR(VALUE(LEFT(TRIM($Q315),FIND(" ",TRIM($Q315)&amp;" ")-1)),0),0))</f>
        <v>0</v>
      </c>
      <c r="V315" s="109">
        <f t="shared" si="48"/>
        <v>2</v>
      </c>
      <c r="W315" s="108">
        <f>IF($A315="",0,IF(AND($C315&gt;=Config!$C$7,$C315&lt;=Config!$C$8),1,0))</f>
        <v>1</v>
      </c>
      <c r="X315" s="108">
        <f>IF($A315="",0,IF(COUNTIF(Config!$C$21:$C$23,$H315)&gt;0,1,0))</f>
        <v>0</v>
      </c>
      <c r="Y315" s="108">
        <f t="shared" si="49"/>
        <v>5</v>
      </c>
      <c r="Z315" s="108" t="str">
        <f t="shared" si="50"/>
        <v/>
      </c>
      <c r="AB315" s="108">
        <f t="shared" si="51"/>
        <v>0</v>
      </c>
      <c r="AC315" s="108">
        <f>IF($A315="",0,IF(AND($AB315=1,COUNTIF($A$2:$A315,$A315)=1),1,0))</f>
        <v>0</v>
      </c>
      <c r="AD315" s="108">
        <f t="shared" si="52"/>
        <v>1</v>
      </c>
      <c r="AE315" s="108" t="str">
        <f t="shared" si="53"/>
        <v/>
      </c>
      <c r="AF315" s="108">
        <f t="shared" si="54"/>
        <v>0</v>
      </c>
      <c r="AG315" s="108">
        <f t="shared" si="55"/>
        <v>0</v>
      </c>
      <c r="AH315" s="110" t="str">
        <f t="shared" si="56"/>
        <v>Z. Greenlee|20260903|Review|0.250|Review of 52-Blk37-T2S W 160ac started.</v>
      </c>
      <c r="AI315" s="108">
        <f t="shared" si="57"/>
        <v>0</v>
      </c>
      <c r="AJ315" s="108">
        <f t="shared" si="58"/>
        <v>0</v>
      </c>
      <c r="AK315" s="108">
        <f>IF($A315="",0,IF(AND($S315=1,$W315=1,$X315=1,$U315&gt;Config!$C$9),1,0))</f>
        <v>0</v>
      </c>
      <c r="AL315" s="108">
        <f t="shared" si="59"/>
        <v>0</v>
      </c>
    </row>
    <row r="316" spans="1:38" x14ac:dyDescent="0.25">
      <c r="A316" s="106" t="s">
        <v>733</v>
      </c>
      <c r="B316" s="106" t="s">
        <v>618</v>
      </c>
      <c r="C316" s="107">
        <v>46268</v>
      </c>
      <c r="D316" s="106" t="s">
        <v>712</v>
      </c>
      <c r="E316" s="106" t="s">
        <v>713</v>
      </c>
      <c r="F316" s="106" t="s">
        <v>866</v>
      </c>
      <c r="G316" s="106" t="s">
        <v>939</v>
      </c>
      <c r="H316" s="106" t="s">
        <v>631</v>
      </c>
      <c r="I316" s="106"/>
      <c r="J316" s="106" t="s">
        <v>1132</v>
      </c>
      <c r="K316" s="106">
        <v>0.625</v>
      </c>
      <c r="L316" s="106">
        <v>0</v>
      </c>
      <c r="M316" s="106">
        <v>0</v>
      </c>
      <c r="N316" s="106"/>
      <c r="O316" s="106"/>
      <c r="P316" s="106">
        <v>0</v>
      </c>
      <c r="Q316" s="106" t="s">
        <v>1133</v>
      </c>
      <c r="S316" s="108">
        <f>IF($A316="","",COUNTIF(BPOworkers!$B$6:$B$105,$A316))</f>
        <v>0</v>
      </c>
      <c r="T316" s="109">
        <f>IF($A316="","",$K316*Config!$C$9)</f>
        <v>5</v>
      </c>
      <c r="U316" s="109">
        <f>IF($A316="","",IF(COUNTIF(Config!$C$21:$C$23,$H316)&gt;0,IFERROR(VALUE(LEFT(TRIM($Q316),FIND(" ",TRIM($Q316)&amp;" ")-1)),0),0))</f>
        <v>0</v>
      </c>
      <c r="V316" s="109">
        <f t="shared" si="48"/>
        <v>5</v>
      </c>
      <c r="W316" s="108">
        <f>IF($A316="",0,IF(AND($C316&gt;=Config!$C$7,$C316&lt;=Config!$C$8),1,0))</f>
        <v>1</v>
      </c>
      <c r="X316" s="108">
        <f>IF($A316="",0,IF(COUNTIF(Config!$C$21:$C$23,$H316)&gt;0,1,0))</f>
        <v>0</v>
      </c>
      <c r="Y316" s="108">
        <f t="shared" si="49"/>
        <v>5</v>
      </c>
      <c r="Z316" s="108" t="str">
        <f t="shared" si="50"/>
        <v/>
      </c>
      <c r="AB316" s="108">
        <f t="shared" si="51"/>
        <v>0</v>
      </c>
      <c r="AC316" s="108">
        <f>IF($A316="",0,IF(AND($AB316=1,COUNTIF($A$2:$A316,$A316)=1),1,0))</f>
        <v>0</v>
      </c>
      <c r="AD316" s="108">
        <f t="shared" si="52"/>
        <v>1</v>
      </c>
      <c r="AE316" s="108" t="str">
        <f t="shared" si="53"/>
        <v/>
      </c>
      <c r="AF316" s="108">
        <f t="shared" si="54"/>
        <v>0</v>
      </c>
      <c r="AG316" s="108">
        <f t="shared" si="55"/>
        <v>0</v>
      </c>
      <c r="AH316" s="110" t="str">
        <f t="shared" si="56"/>
        <v>R. Norris|20260903|Title|0.625|Finished up the NE4 of Sec.40-Blk 37-T1N by indexing a couple more people, cleaning notes up in the AOI, and finishing t</v>
      </c>
      <c r="AI316" s="108">
        <f t="shared" si="57"/>
        <v>0</v>
      </c>
      <c r="AJ316" s="108">
        <f t="shared" si="58"/>
        <v>0</v>
      </c>
      <c r="AK316" s="108">
        <f>IF($A316="",0,IF(AND($S316=1,$W316=1,$X316=1,$U316&gt;Config!$C$9),1,0))</f>
        <v>0</v>
      </c>
      <c r="AL316" s="108">
        <f t="shared" si="59"/>
        <v>0</v>
      </c>
    </row>
    <row r="317" spans="1:38" x14ac:dyDescent="0.25">
      <c r="A317" s="106" t="s">
        <v>733</v>
      </c>
      <c r="B317" s="106" t="s">
        <v>618</v>
      </c>
      <c r="C317" s="107">
        <v>46268</v>
      </c>
      <c r="D317" s="106" t="s">
        <v>712</v>
      </c>
      <c r="E317" s="106" t="s">
        <v>713</v>
      </c>
      <c r="F317" s="106" t="s">
        <v>866</v>
      </c>
      <c r="G317" s="106" t="s">
        <v>1134</v>
      </c>
      <c r="H317" s="106" t="s">
        <v>631</v>
      </c>
      <c r="I317" s="106"/>
      <c r="J317" s="106" t="s">
        <v>1135</v>
      </c>
      <c r="K317" s="106">
        <v>0.125</v>
      </c>
      <c r="L317" s="106">
        <v>0</v>
      </c>
      <c r="M317" s="106">
        <v>0</v>
      </c>
      <c r="N317" s="106"/>
      <c r="O317" s="106"/>
      <c r="P317" s="106">
        <v>0</v>
      </c>
      <c r="Q317" s="106" t="s">
        <v>1136</v>
      </c>
      <c r="S317" s="108">
        <f>IF($A317="","",COUNTIF(BPOworkers!$B$6:$B$105,$A317))</f>
        <v>0</v>
      </c>
      <c r="T317" s="109">
        <f>IF($A317="","",$K317*Config!$C$9)</f>
        <v>1</v>
      </c>
      <c r="U317" s="109">
        <f>IF($A317="","",IF(COUNTIF(Config!$C$21:$C$23,$H317)&gt;0,IFERROR(VALUE(LEFT(TRIM($Q317),FIND(" ",TRIM($Q317)&amp;" ")-1)),0),0))</f>
        <v>0</v>
      </c>
      <c r="V317" s="109">
        <f t="shared" si="48"/>
        <v>1</v>
      </c>
      <c r="W317" s="108">
        <f>IF($A317="",0,IF(AND($C317&gt;=Config!$C$7,$C317&lt;=Config!$C$8),1,0))</f>
        <v>1</v>
      </c>
      <c r="X317" s="108">
        <f>IF($A317="",0,IF(COUNTIF(Config!$C$21:$C$23,$H317)&gt;0,1,0))</f>
        <v>0</v>
      </c>
      <c r="Y317" s="108">
        <f t="shared" si="49"/>
        <v>5</v>
      </c>
      <c r="Z317" s="108" t="str">
        <f t="shared" si="50"/>
        <v/>
      </c>
      <c r="AB317" s="108">
        <f t="shared" si="51"/>
        <v>0</v>
      </c>
      <c r="AC317" s="108">
        <f>IF($A317="",0,IF(AND($AB317=1,COUNTIF($A$2:$A317,$A317)=1),1,0))</f>
        <v>0</v>
      </c>
      <c r="AD317" s="108">
        <f t="shared" si="52"/>
        <v>1</v>
      </c>
      <c r="AE317" s="108" t="str">
        <f t="shared" si="53"/>
        <v/>
      </c>
      <c r="AF317" s="108">
        <f t="shared" si="54"/>
        <v>0</v>
      </c>
      <c r="AG317" s="108">
        <f t="shared" si="55"/>
        <v>0</v>
      </c>
      <c r="AH317" s="110" t="str">
        <f t="shared" si="56"/>
        <v>R. Norris|20260903|Title|0.125|Added in all of the note cards into this AOI from the NE4 that were all similar title, need to clean things up and add i</v>
      </c>
      <c r="AI317" s="108">
        <f t="shared" si="57"/>
        <v>0</v>
      </c>
      <c r="AJ317" s="108">
        <f t="shared" si="58"/>
        <v>0</v>
      </c>
      <c r="AK317" s="108">
        <f>IF($A317="",0,IF(AND($S317=1,$W317=1,$X317=1,$U317&gt;Config!$C$9),1,0))</f>
        <v>0</v>
      </c>
      <c r="AL317" s="108">
        <f t="shared" si="59"/>
        <v>0</v>
      </c>
    </row>
    <row r="318" spans="1:38" x14ac:dyDescent="0.25">
      <c r="A318" s="106" t="s">
        <v>733</v>
      </c>
      <c r="B318" s="106" t="s">
        <v>618</v>
      </c>
      <c r="C318" s="107">
        <v>46268</v>
      </c>
      <c r="D318" s="106" t="s">
        <v>529</v>
      </c>
      <c r="E318" s="106" t="s">
        <v>529</v>
      </c>
      <c r="F318" s="106" t="s">
        <v>615</v>
      </c>
      <c r="G318" s="106"/>
      <c r="H318" s="106" t="s">
        <v>529</v>
      </c>
      <c r="I318" s="106"/>
      <c r="J318" s="106" t="s">
        <v>529</v>
      </c>
      <c r="K318" s="106">
        <v>0</v>
      </c>
      <c r="L318" s="106">
        <v>0</v>
      </c>
      <c r="M318" s="106">
        <v>0</v>
      </c>
      <c r="N318" s="106"/>
      <c r="O318" s="106"/>
      <c r="P318" s="106">
        <v>0</v>
      </c>
      <c r="Q318" s="106" t="s">
        <v>1137</v>
      </c>
      <c r="S318" s="108">
        <f>IF($A318="","",COUNTIF(BPOworkers!$B$6:$B$105,$A318))</f>
        <v>0</v>
      </c>
      <c r="T318" s="109">
        <f>IF($A318="","",$K318*Config!$C$9)</f>
        <v>0</v>
      </c>
      <c r="U318" s="109">
        <f>IF($A318="","",IF(COUNTIF(Config!$C$21:$C$23,$H318)&gt;0,IFERROR(VALUE(LEFT(TRIM($Q318),FIND(" ",TRIM($Q318)&amp;" ")-1)),0),0))</f>
        <v>2</v>
      </c>
      <c r="V318" s="109">
        <f t="shared" si="48"/>
        <v>2</v>
      </c>
      <c r="W318" s="108">
        <f>IF($A318="",0,IF(AND($C318&gt;=Config!$C$7,$C318&lt;=Config!$C$8),1,0))</f>
        <v>1</v>
      </c>
      <c r="X318" s="108">
        <f>IF($A318="",0,IF(COUNTIF(Config!$C$21:$C$23,$H318)&gt;0,1,0))</f>
        <v>1</v>
      </c>
      <c r="Y318" s="108">
        <f t="shared" si="49"/>
        <v>5</v>
      </c>
      <c r="Z318" s="108" t="str">
        <f t="shared" si="50"/>
        <v/>
      </c>
      <c r="AB318" s="108">
        <f t="shared" si="51"/>
        <v>0</v>
      </c>
      <c r="AC318" s="108">
        <f>IF($A318="",0,IF(AND($AB318=1,COUNTIF($A$2:$A318,$A318)=1),1,0))</f>
        <v>0</v>
      </c>
      <c r="AD318" s="108">
        <f t="shared" si="52"/>
        <v>1</v>
      </c>
      <c r="AE318" s="108" t="str">
        <f t="shared" si="53"/>
        <v/>
      </c>
      <c r="AF318" s="108">
        <f t="shared" si="54"/>
        <v>0</v>
      </c>
      <c r="AG318" s="108">
        <f t="shared" si="55"/>
        <v>0</v>
      </c>
      <c r="AH318" s="110" t="str">
        <f t="shared" si="56"/>
        <v>R. Norris|20260903|Time Off|0.000|2 hours not billed</v>
      </c>
      <c r="AI318" s="108">
        <f t="shared" si="57"/>
        <v>0</v>
      </c>
      <c r="AJ318" s="108">
        <f t="shared" si="58"/>
        <v>0</v>
      </c>
      <c r="AK318" s="108">
        <f>IF($A318="",0,IF(AND($S318=1,$W318=1,$X318=1,$U318&gt;Config!$C$9),1,0))</f>
        <v>0</v>
      </c>
      <c r="AL318" s="108">
        <f t="shared" si="59"/>
        <v>0</v>
      </c>
    </row>
    <row r="319" spans="1:38" x14ac:dyDescent="0.25">
      <c r="A319" s="106" t="s">
        <v>735</v>
      </c>
      <c r="B319" s="106" t="s">
        <v>618</v>
      </c>
      <c r="C319" s="107">
        <v>46268</v>
      </c>
      <c r="D319" s="106" t="s">
        <v>680</v>
      </c>
      <c r="E319" s="106" t="s">
        <v>681</v>
      </c>
      <c r="F319" s="106" t="s">
        <v>682</v>
      </c>
      <c r="G319" s="106" t="s">
        <v>978</v>
      </c>
      <c r="H319" s="106" t="s">
        <v>631</v>
      </c>
      <c r="I319" s="106"/>
      <c r="J319" s="106" t="s">
        <v>979</v>
      </c>
      <c r="K319" s="106">
        <v>1</v>
      </c>
      <c r="L319" s="106">
        <v>0</v>
      </c>
      <c r="M319" s="106">
        <v>0</v>
      </c>
      <c r="N319" s="106"/>
      <c r="O319" s="106"/>
      <c r="P319" s="106">
        <v>0</v>
      </c>
      <c r="Q319" s="106"/>
      <c r="S319" s="108">
        <f>IF($A319="","",COUNTIF(BPOworkers!$B$6:$B$105,$A319))</f>
        <v>0</v>
      </c>
      <c r="T319" s="109">
        <f>IF($A319="","",$K319*Config!$C$9)</f>
        <v>8</v>
      </c>
      <c r="U319" s="109">
        <f>IF($A319="","",IF(COUNTIF(Config!$C$21:$C$23,$H319)&gt;0,IFERROR(VALUE(LEFT(TRIM($Q319),FIND(" ",TRIM($Q319)&amp;" ")-1)),0),0))</f>
        <v>0</v>
      </c>
      <c r="V319" s="109">
        <f t="shared" si="48"/>
        <v>8</v>
      </c>
      <c r="W319" s="108">
        <f>IF($A319="",0,IF(AND($C319&gt;=Config!$C$7,$C319&lt;=Config!$C$8),1,0))</f>
        <v>1</v>
      </c>
      <c r="X319" s="108">
        <f>IF($A319="",0,IF(COUNTIF(Config!$C$21:$C$23,$H319)&gt;0,1,0))</f>
        <v>0</v>
      </c>
      <c r="Y319" s="108">
        <f t="shared" si="49"/>
        <v>5</v>
      </c>
      <c r="Z319" s="108" t="str">
        <f t="shared" si="50"/>
        <v/>
      </c>
      <c r="AB319" s="108">
        <f t="shared" si="51"/>
        <v>0</v>
      </c>
      <c r="AC319" s="108">
        <f>IF($A319="",0,IF(AND($AB319=1,COUNTIF($A$2:$A319,$A319)=1),1,0))</f>
        <v>0</v>
      </c>
      <c r="AD319" s="108">
        <f t="shared" si="52"/>
        <v>1</v>
      </c>
      <c r="AE319" s="108" t="str">
        <f t="shared" si="53"/>
        <v/>
      </c>
      <c r="AF319" s="108">
        <f t="shared" si="54"/>
        <v>0</v>
      </c>
      <c r="AG319" s="108">
        <f t="shared" si="55"/>
        <v>0</v>
      </c>
      <c r="AH319" s="110" t="str">
        <f t="shared" si="56"/>
        <v>R. Liska|20260903|Title|1.000|</v>
      </c>
      <c r="AI319" s="108">
        <f t="shared" si="57"/>
        <v>0</v>
      </c>
      <c r="AJ319" s="108">
        <f t="shared" si="58"/>
        <v>0</v>
      </c>
      <c r="AK319" s="108">
        <f>IF($A319="",0,IF(AND($S319=1,$W319=1,$X319=1,$U319&gt;Config!$C$9),1,0))</f>
        <v>0</v>
      </c>
      <c r="AL319" s="108">
        <f t="shared" si="59"/>
        <v>0</v>
      </c>
    </row>
    <row r="320" spans="1:38" ht="180.75" x14ac:dyDescent="0.25">
      <c r="A320" s="106" t="s">
        <v>473</v>
      </c>
      <c r="B320" s="106" t="s">
        <v>618</v>
      </c>
      <c r="C320" s="107">
        <v>46268</v>
      </c>
      <c r="D320" s="106" t="s">
        <v>680</v>
      </c>
      <c r="E320" s="106" t="s">
        <v>681</v>
      </c>
      <c r="F320" s="106" t="s">
        <v>686</v>
      </c>
      <c r="G320" s="106" t="s">
        <v>739</v>
      </c>
      <c r="H320" s="106" t="s">
        <v>631</v>
      </c>
      <c r="I320" s="106"/>
      <c r="J320" s="106" t="s">
        <v>740</v>
      </c>
      <c r="K320" s="106">
        <v>1</v>
      </c>
      <c r="L320" s="106">
        <v>0</v>
      </c>
      <c r="M320" s="106">
        <v>0</v>
      </c>
      <c r="N320" s="106"/>
      <c r="O320" s="106"/>
      <c r="P320" s="106">
        <v>0</v>
      </c>
      <c r="Q320" s="111" t="s">
        <v>1138</v>
      </c>
      <c r="S320" s="108">
        <f>IF($A320="","",COUNTIF(BPOworkers!$B$6:$B$105,$A320))</f>
        <v>1</v>
      </c>
      <c r="T320" s="109">
        <f>IF($A320="","",$K320*Config!$C$9)</f>
        <v>8</v>
      </c>
      <c r="U320" s="109">
        <f>IF($A320="","",IF(COUNTIF(Config!$C$21:$C$23,$H320)&gt;0,IFERROR(VALUE(LEFT(TRIM($Q320),FIND(" ",TRIM($Q320)&amp;" ")-1)),0),0))</f>
        <v>0</v>
      </c>
      <c r="V320" s="109">
        <f t="shared" si="48"/>
        <v>8</v>
      </c>
      <c r="W320" s="108">
        <f>IF($A320="",0,IF(AND($C320&gt;=Config!$C$7,$C320&lt;=Config!$C$8),1,0))</f>
        <v>1</v>
      </c>
      <c r="X320" s="108">
        <f>IF($A320="",0,IF(COUNTIF(Config!$C$21:$C$23,$H320)&gt;0,1,0))</f>
        <v>0</v>
      </c>
      <c r="Y320" s="108">
        <f t="shared" si="49"/>
        <v>5</v>
      </c>
      <c r="Z320" s="108" t="str">
        <f t="shared" si="50"/>
        <v/>
      </c>
      <c r="AB320" s="108">
        <f t="shared" si="51"/>
        <v>0</v>
      </c>
      <c r="AC320" s="108">
        <f>IF($A320="",0,IF(AND($AB320=1,COUNTIF($A$2:$A320,$A320)=1),1,0))</f>
        <v>0</v>
      </c>
      <c r="AD320" s="108">
        <f t="shared" si="52"/>
        <v>1</v>
      </c>
      <c r="AE320" s="108" t="str">
        <f t="shared" si="53"/>
        <v/>
      </c>
      <c r="AF320" s="108">
        <f t="shared" si="54"/>
        <v>0</v>
      </c>
      <c r="AG320" s="108">
        <f t="shared" si="55"/>
        <v>0</v>
      </c>
      <c r="AH320" s="112" t="str">
        <f t="shared" si="56"/>
        <v>J Rincon|20260903|Title|1.000|Indexed 5 parties
 indexed 613 documents 
 Added 5 notecards
 SIV Title: 17-0000058.000 et al, CARROLL (OH), SMELTZ</v>
      </c>
      <c r="AI320" s="108">
        <f t="shared" si="57"/>
        <v>0</v>
      </c>
      <c r="AJ320" s="108">
        <f t="shared" si="58"/>
        <v>0</v>
      </c>
      <c r="AK320" s="108">
        <f>IF($A320="",0,IF(AND($S320=1,$W320=1,$X320=1,$U320&gt;Config!$C$9),1,0))</f>
        <v>0</v>
      </c>
      <c r="AL320" s="108">
        <f t="shared" si="59"/>
        <v>0</v>
      </c>
    </row>
    <row r="321" spans="1:38" ht="180.75" x14ac:dyDescent="0.25">
      <c r="A321" s="106" t="s">
        <v>474</v>
      </c>
      <c r="B321" s="106" t="s">
        <v>618</v>
      </c>
      <c r="C321" s="107">
        <v>46268</v>
      </c>
      <c r="D321" s="106" t="s">
        <v>720</v>
      </c>
      <c r="E321" s="106" t="s">
        <v>721</v>
      </c>
      <c r="F321" s="106" t="s">
        <v>722</v>
      </c>
      <c r="G321" s="106" t="s">
        <v>982</v>
      </c>
      <c r="H321" s="106" t="s">
        <v>631</v>
      </c>
      <c r="I321" s="106"/>
      <c r="J321" s="106" t="s">
        <v>983</v>
      </c>
      <c r="K321" s="106">
        <v>1</v>
      </c>
      <c r="L321" s="106">
        <v>0</v>
      </c>
      <c r="M321" s="106">
        <v>0</v>
      </c>
      <c r="N321" s="106"/>
      <c r="O321" s="106"/>
      <c r="P321" s="106">
        <v>0</v>
      </c>
      <c r="Q321" s="111" t="s">
        <v>1139</v>
      </c>
      <c r="S321" s="108">
        <f>IF($A321="","",COUNTIF(BPOworkers!$B$6:$B$105,$A321))</f>
        <v>1</v>
      </c>
      <c r="T321" s="109">
        <f>IF($A321="","",$K321*Config!$C$9)</f>
        <v>8</v>
      </c>
      <c r="U321" s="109">
        <f>IF($A321="","",IF(COUNTIF(Config!$C$21:$C$23,$H321)&gt;0,IFERROR(VALUE(LEFT(TRIM($Q321),FIND(" ",TRIM($Q321)&amp;" ")-1)),0),0))</f>
        <v>0</v>
      </c>
      <c r="V321" s="109">
        <f t="shared" si="48"/>
        <v>8</v>
      </c>
      <c r="W321" s="108">
        <f>IF($A321="",0,IF(AND($C321&gt;=Config!$C$7,$C321&lt;=Config!$C$8),1,0))</f>
        <v>1</v>
      </c>
      <c r="X321" s="108">
        <f>IF($A321="",0,IF(COUNTIF(Config!$C$21:$C$23,$H321)&gt;0,1,0))</f>
        <v>0</v>
      </c>
      <c r="Y321" s="108">
        <f t="shared" si="49"/>
        <v>5</v>
      </c>
      <c r="Z321" s="108" t="str">
        <f t="shared" si="50"/>
        <v/>
      </c>
      <c r="AB321" s="108">
        <f t="shared" si="51"/>
        <v>0</v>
      </c>
      <c r="AC321" s="108">
        <f>IF($A321="",0,IF(AND($AB321=1,COUNTIF($A$2:$A321,$A321)=1),1,0))</f>
        <v>0</v>
      </c>
      <c r="AD321" s="108">
        <f t="shared" si="52"/>
        <v>1</v>
      </c>
      <c r="AE321" s="108" t="str">
        <f t="shared" si="53"/>
        <v/>
      </c>
      <c r="AF321" s="108">
        <f t="shared" si="54"/>
        <v>0</v>
      </c>
      <c r="AG321" s="108">
        <f t="shared" si="55"/>
        <v>0</v>
      </c>
      <c r="AH321" s="112" t="str">
        <f t="shared" si="56"/>
        <v>J Valbuena|20260903|Title|1.000|- Created AOI
 - Created indexing spreadsheet
 - Added source deed
 - Indexed to the present from source deed
 - Started</v>
      </c>
      <c r="AI321" s="108">
        <f t="shared" si="57"/>
        <v>0</v>
      </c>
      <c r="AJ321" s="108">
        <f t="shared" si="58"/>
        <v>0</v>
      </c>
      <c r="AK321" s="108">
        <f>IF($A321="",0,IF(AND($S321=1,$W321=1,$X321=1,$U321&gt;Config!$C$9),1,0))</f>
        <v>0</v>
      </c>
      <c r="AL321" s="108">
        <f t="shared" si="59"/>
        <v>0</v>
      </c>
    </row>
    <row r="322" spans="1:38" x14ac:dyDescent="0.25">
      <c r="A322" s="106" t="s">
        <v>742</v>
      </c>
      <c r="B322" s="106" t="s">
        <v>618</v>
      </c>
      <c r="C322" s="107">
        <v>46268</v>
      </c>
      <c r="D322" s="106" t="s">
        <v>635</v>
      </c>
      <c r="E322" s="106" t="s">
        <v>636</v>
      </c>
      <c r="F322" s="106" t="s">
        <v>637</v>
      </c>
      <c r="G322" s="106" t="s">
        <v>985</v>
      </c>
      <c r="H322" s="106" t="s">
        <v>631</v>
      </c>
      <c r="I322" s="106"/>
      <c r="J322" s="106" t="s">
        <v>986</v>
      </c>
      <c r="K322" s="106">
        <v>1</v>
      </c>
      <c r="L322" s="106">
        <v>0</v>
      </c>
      <c r="M322" s="106">
        <v>0</v>
      </c>
      <c r="N322" s="106"/>
      <c r="O322" s="106"/>
      <c r="P322" s="106">
        <v>0</v>
      </c>
      <c r="Q322" s="106" t="s">
        <v>1140</v>
      </c>
      <c r="S322" s="108">
        <f>IF($A322="","",COUNTIF(BPOworkers!$B$6:$B$105,$A322))</f>
        <v>0</v>
      </c>
      <c r="T322" s="109">
        <f>IF($A322="","",$K322*Config!$C$9)</f>
        <v>8</v>
      </c>
      <c r="U322" s="109">
        <f>IF($A322="","",IF(COUNTIF(Config!$C$21:$C$23,$H322)&gt;0,IFERROR(VALUE(LEFT(TRIM($Q322),FIND(" ",TRIM($Q322)&amp;" ")-1)),0),0))</f>
        <v>0</v>
      </c>
      <c r="V322" s="109">
        <f t="shared" ref="V322:V385" si="60">IF($A322="","",$T322+$U322)</f>
        <v>8</v>
      </c>
      <c r="W322" s="108">
        <f>IF($A322="",0,IF(AND($C322&gt;=Config!$C$7,$C322&lt;=Config!$C$8),1,0))</f>
        <v>1</v>
      </c>
      <c r="X322" s="108">
        <f>IF($A322="",0,IF(COUNTIF(Config!$C$21:$C$23,$H322)&gt;0,1,0))</f>
        <v>0</v>
      </c>
      <c r="Y322" s="108">
        <f t="shared" ref="Y322:Y385" si="61">IF($A322="",MAX(0,Y321),MAX(0,Y321)+IF(AND($W322=1,$X322=1,$S322=1),1,0))</f>
        <v>5</v>
      </c>
      <c r="Z322" s="108" t="str">
        <f t="shared" ref="Z322:Z385" si="62">IF($A322="","",IF(AND($W322=1,$X322=1,$S322=1),$Y322,""))</f>
        <v/>
      </c>
      <c r="AB322" s="108">
        <f t="shared" ref="AB322:AB385" si="63">IF($A322="",0,IF(AND($S322=0,ISERROR(FIND(".",$A322))),1,0))</f>
        <v>0</v>
      </c>
      <c r="AC322" s="108">
        <f>IF($A322="",0,IF(AND($AB322=1,COUNTIF($A$2:$A322,$A322)=1),1,0))</f>
        <v>0</v>
      </c>
      <c r="AD322" s="108">
        <f t="shared" ref="AD322:AD385" si="64">IF($A322="",MAX(0,AD321),MAX(0,AD321)+$AC322)</f>
        <v>1</v>
      </c>
      <c r="AE322" s="108" t="str">
        <f t="shared" ref="AE322:AE385" si="65">IF($AC322=1,$AD322,"")</f>
        <v/>
      </c>
      <c r="AF322" s="108">
        <f t="shared" ref="AF322:AF385" si="66">IF($A322="",0,IFERROR(IF(AND($S322=1,WEEKDAY($C322,2)&gt;5),1,0),0))</f>
        <v>0</v>
      </c>
      <c r="AG322" s="108">
        <f t="shared" ref="AG322:AG385" si="67">IF($A322="",0,IF(AND($S322=1,$W322=0),1,0))</f>
        <v>0</v>
      </c>
      <c r="AH322" s="110" t="str">
        <f t="shared" ref="AH322:AH385" si="68">IF($A322="","",$A322&amp;"|"&amp;TEXT($C322,"yyyymmdd")&amp;"|"&amp;$H322&amp;"|"&amp;TEXT($K322,"0.000")&amp;"|"&amp;SUBSTITUTE(SUBSTITUTE(SUBSTITUTE(LEFT($Q322,120),"~",""),"*",""),"?",""))</f>
        <v>J. Edwards|20260903|Title|1.000|Continued review of the leasehold research and reconciliation for the Federal BLM Leasehold specifically focusing on ORR</v>
      </c>
      <c r="AI322" s="108">
        <f t="shared" ref="AI322:AI385" si="69">IF($A322="",0,IF(AND($S322=1,$W322=1,COUNTIF($AH$2:$AH$1500,$AH322)&gt;1),1,0))</f>
        <v>0</v>
      </c>
      <c r="AJ322" s="108">
        <f t="shared" ref="AJ322:AJ385" si="70">IF($A322="",0,IF(AND($S322=1,$W322=1,ABS($K322*8-ROUND($K322*8,0))&gt;0.0001),1,0))</f>
        <v>0</v>
      </c>
      <c r="AK322" s="108">
        <f>IF($A322="",0,IF(AND($S322=1,$W322=1,$X322=1,$U322&gt;Config!$C$9),1,0))</f>
        <v>0</v>
      </c>
      <c r="AL322" s="108">
        <f t="shared" ref="AL322:AL385" si="71">IF($A322="",0,IF(AND($S322=1,$W322=1,$X322=1,$U322=0),1,0))</f>
        <v>0</v>
      </c>
    </row>
    <row r="323" spans="1:38" x14ac:dyDescent="0.25">
      <c r="A323" s="106" t="s">
        <v>457</v>
      </c>
      <c r="B323" s="106" t="s">
        <v>618</v>
      </c>
      <c r="C323" s="107">
        <v>46268</v>
      </c>
      <c r="D323" s="106" t="s">
        <v>680</v>
      </c>
      <c r="E323" s="106" t="s">
        <v>681</v>
      </c>
      <c r="F323" s="106" t="s">
        <v>745</v>
      </c>
      <c r="G323" s="106" t="s">
        <v>746</v>
      </c>
      <c r="H323" s="106" t="s">
        <v>631</v>
      </c>
      <c r="I323" s="106"/>
      <c r="J323" s="106" t="s">
        <v>1141</v>
      </c>
      <c r="K323" s="106">
        <v>1</v>
      </c>
      <c r="L323" s="106">
        <v>0</v>
      </c>
      <c r="M323" s="106">
        <v>0</v>
      </c>
      <c r="N323" s="106"/>
      <c r="O323" s="106"/>
      <c r="P323" s="106">
        <v>0</v>
      </c>
      <c r="Q323" s="106" t="s">
        <v>1142</v>
      </c>
      <c r="S323" s="108">
        <f>IF($A323="","",COUNTIF(BPOworkers!$B$6:$B$105,$A323))</f>
        <v>1</v>
      </c>
      <c r="T323" s="109">
        <f>IF($A323="","",$K323*Config!$C$9)</f>
        <v>8</v>
      </c>
      <c r="U323" s="109">
        <f>IF($A323="","",IF(COUNTIF(Config!$C$21:$C$23,$H323)&gt;0,IFERROR(VALUE(LEFT(TRIM($Q323),FIND(" ",TRIM($Q323)&amp;" ")-1)),0),0))</f>
        <v>0</v>
      </c>
      <c r="V323" s="109">
        <f t="shared" si="60"/>
        <v>8</v>
      </c>
      <c r="W323" s="108">
        <f>IF($A323="",0,IF(AND($C323&gt;=Config!$C$7,$C323&lt;=Config!$C$8),1,0))</f>
        <v>1</v>
      </c>
      <c r="X323" s="108">
        <f>IF($A323="",0,IF(COUNTIF(Config!$C$21:$C$23,$H323)&gt;0,1,0))</f>
        <v>0</v>
      </c>
      <c r="Y323" s="108">
        <f t="shared" si="61"/>
        <v>5</v>
      </c>
      <c r="Z323" s="108" t="str">
        <f t="shared" si="62"/>
        <v/>
      </c>
      <c r="AB323" s="108">
        <f t="shared" si="63"/>
        <v>0</v>
      </c>
      <c r="AC323" s="108">
        <f>IF($A323="",0,IF(AND($AB323=1,COUNTIF($A$2:$A323,$A323)=1),1,0))</f>
        <v>0</v>
      </c>
      <c r="AD323" s="108">
        <f t="shared" si="64"/>
        <v>1</v>
      </c>
      <c r="AE323" s="108" t="str">
        <f t="shared" si="65"/>
        <v/>
      </c>
      <c r="AF323" s="108">
        <f t="shared" si="66"/>
        <v>0</v>
      </c>
      <c r="AG323" s="108">
        <f t="shared" si="67"/>
        <v>0</v>
      </c>
      <c r="AH323" s="110" t="str">
        <f t="shared" si="68"/>
        <v>A Lopez|20260903|Title|1.000|Identified source deed, indexed parties and started the SIV</v>
      </c>
      <c r="AI323" s="108">
        <f t="shared" si="69"/>
        <v>0</v>
      </c>
      <c r="AJ323" s="108">
        <f t="shared" si="70"/>
        <v>0</v>
      </c>
      <c r="AK323" s="108">
        <f>IF($A323="",0,IF(AND($S323=1,$W323=1,$X323=1,$U323&gt;Config!$C$9),1,0))</f>
        <v>0</v>
      </c>
      <c r="AL323" s="108">
        <f t="shared" si="71"/>
        <v>0</v>
      </c>
    </row>
    <row r="324" spans="1:38" ht="132.75" x14ac:dyDescent="0.25">
      <c r="A324" s="106" t="s">
        <v>482</v>
      </c>
      <c r="B324" s="106" t="s">
        <v>618</v>
      </c>
      <c r="C324" s="107">
        <v>46268</v>
      </c>
      <c r="D324" s="106" t="s">
        <v>680</v>
      </c>
      <c r="E324" s="106" t="s">
        <v>681</v>
      </c>
      <c r="F324" s="106" t="s">
        <v>686</v>
      </c>
      <c r="G324" s="106" t="s">
        <v>751</v>
      </c>
      <c r="H324" s="106" t="s">
        <v>631</v>
      </c>
      <c r="I324" s="106"/>
      <c r="J324" s="106" t="s">
        <v>752</v>
      </c>
      <c r="K324" s="106">
        <v>1</v>
      </c>
      <c r="L324" s="106">
        <v>0</v>
      </c>
      <c r="M324" s="106">
        <v>0</v>
      </c>
      <c r="N324" s="106"/>
      <c r="O324" s="106"/>
      <c r="P324" s="106">
        <v>0</v>
      </c>
      <c r="Q324" s="111" t="s">
        <v>1143</v>
      </c>
      <c r="S324" s="108">
        <f>IF($A324="","",COUNTIF(BPOworkers!$B$6:$B$105,$A324))</f>
        <v>1</v>
      </c>
      <c r="T324" s="109">
        <f>IF($A324="","",$K324*Config!$C$9)</f>
        <v>8</v>
      </c>
      <c r="U324" s="109">
        <f>IF($A324="","",IF(COUNTIF(Config!$C$21:$C$23,$H324)&gt;0,IFERROR(VALUE(LEFT(TRIM($Q324),FIND(" ",TRIM($Q324)&amp;" ")-1)),0),0))</f>
        <v>0</v>
      </c>
      <c r="V324" s="109">
        <f t="shared" si="60"/>
        <v>8</v>
      </c>
      <c r="W324" s="108">
        <f>IF($A324="",0,IF(AND($C324&gt;=Config!$C$7,$C324&lt;=Config!$C$8),1,0))</f>
        <v>1</v>
      </c>
      <c r="X324" s="108">
        <f>IF($A324="",0,IF(COUNTIF(Config!$C$21:$C$23,$H324)&gt;0,1,0))</f>
        <v>0</v>
      </c>
      <c r="Y324" s="108">
        <f t="shared" si="61"/>
        <v>5</v>
      </c>
      <c r="Z324" s="108" t="str">
        <f t="shared" si="62"/>
        <v/>
      </c>
      <c r="AB324" s="108">
        <f t="shared" si="63"/>
        <v>0</v>
      </c>
      <c r="AC324" s="108">
        <f>IF($A324="",0,IF(AND($AB324=1,COUNTIF($A$2:$A324,$A324)=1),1,0))</f>
        <v>0</v>
      </c>
      <c r="AD324" s="108">
        <f t="shared" si="64"/>
        <v>1</v>
      </c>
      <c r="AE324" s="108" t="str">
        <f t="shared" si="65"/>
        <v/>
      </c>
      <c r="AF324" s="108">
        <f t="shared" si="66"/>
        <v>0</v>
      </c>
      <c r="AG324" s="108">
        <f t="shared" si="67"/>
        <v>0</v>
      </c>
      <c r="AH324" s="112" t="str">
        <f t="shared" si="68"/>
        <v>M Grazziani|20260903|Title|1.000|5 party names indexed.
 8 notecards created.
 223 Documents indexed.</v>
      </c>
      <c r="AI324" s="108">
        <f t="shared" si="69"/>
        <v>0</v>
      </c>
      <c r="AJ324" s="108">
        <f t="shared" si="70"/>
        <v>0</v>
      </c>
      <c r="AK324" s="108">
        <f>IF($A324="",0,IF(AND($S324=1,$W324=1,$X324=1,$U324&gt;Config!$C$9),1,0))</f>
        <v>0</v>
      </c>
      <c r="AL324" s="108">
        <f t="shared" si="71"/>
        <v>0</v>
      </c>
    </row>
    <row r="325" spans="1:38" ht="84.75" x14ac:dyDescent="0.25">
      <c r="A325" s="106" t="s">
        <v>464</v>
      </c>
      <c r="B325" s="106" t="s">
        <v>618</v>
      </c>
      <c r="C325" s="107">
        <v>46268</v>
      </c>
      <c r="D325" s="106" t="s">
        <v>694</v>
      </c>
      <c r="E325" s="106" t="s">
        <v>709</v>
      </c>
      <c r="F325" s="106" t="s">
        <v>615</v>
      </c>
      <c r="G325" s="106"/>
      <c r="H325" s="106" t="s">
        <v>709</v>
      </c>
      <c r="I325" s="106"/>
      <c r="J325" s="106" t="s">
        <v>992</v>
      </c>
      <c r="K325" s="106">
        <v>1</v>
      </c>
      <c r="L325" s="106">
        <v>0</v>
      </c>
      <c r="M325" s="106">
        <v>0</v>
      </c>
      <c r="N325" s="106"/>
      <c r="O325" s="106"/>
      <c r="P325" s="106">
        <v>0</v>
      </c>
      <c r="Q325" s="111" t="s">
        <v>1144</v>
      </c>
      <c r="S325" s="108">
        <f>IF($A325="","",COUNTIF(BPOworkers!$B$6:$B$105,$A325))</f>
        <v>1</v>
      </c>
      <c r="T325" s="109">
        <f>IF($A325="","",$K325*Config!$C$9)</f>
        <v>8</v>
      </c>
      <c r="U325" s="109">
        <f>IF($A325="","",IF(COUNTIF(Config!$C$21:$C$23,$H325)&gt;0,IFERROR(VALUE(LEFT(TRIM($Q325),FIND(" ",TRIM($Q325)&amp;" ")-1)),0),0))</f>
        <v>0</v>
      </c>
      <c r="V325" s="109">
        <f t="shared" si="60"/>
        <v>8</v>
      </c>
      <c r="W325" s="108">
        <f>IF($A325="",0,IF(AND($C325&gt;=Config!$C$7,$C325&lt;=Config!$C$8),1,0))</f>
        <v>1</v>
      </c>
      <c r="X325" s="108">
        <f>IF($A325="",0,IF(COUNTIF(Config!$C$21:$C$23,$H325)&gt;0,1,0))</f>
        <v>0</v>
      </c>
      <c r="Y325" s="108">
        <f t="shared" si="61"/>
        <v>5</v>
      </c>
      <c r="Z325" s="108" t="str">
        <f t="shared" si="62"/>
        <v/>
      </c>
      <c r="AB325" s="108">
        <f t="shared" si="63"/>
        <v>0</v>
      </c>
      <c r="AC325" s="108">
        <f>IF($A325="",0,IF(AND($AB325=1,COUNTIF($A$2:$A325,$A325)=1),1,0))</f>
        <v>0</v>
      </c>
      <c r="AD325" s="108">
        <f t="shared" si="64"/>
        <v>1</v>
      </c>
      <c r="AE325" s="108" t="str">
        <f t="shared" si="65"/>
        <v/>
      </c>
      <c r="AF325" s="108">
        <f t="shared" si="66"/>
        <v>0</v>
      </c>
      <c r="AG325" s="108">
        <f t="shared" si="67"/>
        <v>0</v>
      </c>
      <c r="AH325" s="112" t="str">
        <f t="shared" si="68"/>
        <v>I De La Parra|20260903|Land Admin|1.000|- DO tracker
 - AIP Well List Tracker</v>
      </c>
      <c r="AI325" s="108">
        <f t="shared" si="69"/>
        <v>0</v>
      </c>
      <c r="AJ325" s="108">
        <f t="shared" si="70"/>
        <v>0</v>
      </c>
      <c r="AK325" s="108">
        <f>IF($A325="",0,IF(AND($S325=1,$W325=1,$X325=1,$U325&gt;Config!$C$9),1,0))</f>
        <v>0</v>
      </c>
      <c r="AL325" s="108">
        <f t="shared" si="71"/>
        <v>0</v>
      </c>
    </row>
    <row r="326" spans="1:38" x14ac:dyDescent="0.25">
      <c r="A326" s="106" t="s">
        <v>460</v>
      </c>
      <c r="B326" s="106" t="s">
        <v>618</v>
      </c>
      <c r="C326" s="107">
        <v>46268</v>
      </c>
      <c r="D326" s="106" t="s">
        <v>529</v>
      </c>
      <c r="E326" s="106" t="s">
        <v>529</v>
      </c>
      <c r="F326" s="106" t="s">
        <v>615</v>
      </c>
      <c r="G326" s="106"/>
      <c r="H326" s="106" t="s">
        <v>531</v>
      </c>
      <c r="I326" s="106"/>
      <c r="J326" s="106" t="s">
        <v>756</v>
      </c>
      <c r="K326" s="106">
        <v>0</v>
      </c>
      <c r="L326" s="106">
        <v>0</v>
      </c>
      <c r="M326" s="106">
        <v>0</v>
      </c>
      <c r="N326" s="106"/>
      <c r="O326" s="106"/>
      <c r="P326" s="106">
        <v>0</v>
      </c>
      <c r="Q326" s="106" t="s">
        <v>757</v>
      </c>
      <c r="S326" s="108">
        <f>IF($A326="","",COUNTIF(BPOworkers!$B$6:$B$105,$A326))</f>
        <v>1</v>
      </c>
      <c r="T326" s="109">
        <f>IF($A326="","",$K326*Config!$C$9)</f>
        <v>0</v>
      </c>
      <c r="U326" s="109">
        <f>IF($A326="","",IF(COUNTIF(Config!$C$21:$C$23,$H326)&gt;0,IFERROR(VALUE(LEFT(TRIM($Q326),FIND(" ",TRIM($Q326)&amp;" ")-1)),0),0))</f>
        <v>8</v>
      </c>
      <c r="V326" s="109">
        <f t="shared" si="60"/>
        <v>8</v>
      </c>
      <c r="W326" s="108">
        <f>IF($A326="",0,IF(AND($C326&gt;=Config!$C$7,$C326&lt;=Config!$C$8),1,0))</f>
        <v>1</v>
      </c>
      <c r="X326" s="108">
        <f>IF($A326="",0,IF(COUNTIF(Config!$C$21:$C$23,$H326)&gt;0,1,0))</f>
        <v>1</v>
      </c>
      <c r="Y326" s="108">
        <f t="shared" si="61"/>
        <v>6</v>
      </c>
      <c r="Z326" s="108">
        <f t="shared" si="62"/>
        <v>6</v>
      </c>
      <c r="AB326" s="108">
        <f t="shared" si="63"/>
        <v>0</v>
      </c>
      <c r="AC326" s="108">
        <f>IF($A326="",0,IF(AND($AB326=1,COUNTIF($A$2:$A326,$A326)=1),1,0))</f>
        <v>0</v>
      </c>
      <c r="AD326" s="108">
        <f t="shared" si="64"/>
        <v>1</v>
      </c>
      <c r="AE326" s="108" t="str">
        <f t="shared" si="65"/>
        <v/>
      </c>
      <c r="AF326" s="108">
        <f t="shared" si="66"/>
        <v>0</v>
      </c>
      <c r="AG326" s="108">
        <f t="shared" si="67"/>
        <v>0</v>
      </c>
      <c r="AH326" s="110" t="str">
        <f t="shared" si="68"/>
        <v>C Mesa|20260903|BPO Vacation|0.000|8 hours of paid vacations</v>
      </c>
      <c r="AI326" s="108">
        <f t="shared" si="69"/>
        <v>0</v>
      </c>
      <c r="AJ326" s="108">
        <f t="shared" si="70"/>
        <v>0</v>
      </c>
      <c r="AK326" s="108">
        <f>IF($A326="",0,IF(AND($S326=1,$W326=1,$X326=1,$U326&gt;Config!$C$9),1,0))</f>
        <v>0</v>
      </c>
      <c r="AL326" s="108">
        <f t="shared" si="71"/>
        <v>0</v>
      </c>
    </row>
    <row r="327" spans="1:38" x14ac:dyDescent="0.25">
      <c r="A327" s="106" t="s">
        <v>470</v>
      </c>
      <c r="B327" s="106" t="s">
        <v>618</v>
      </c>
      <c r="C327" s="107">
        <v>46268</v>
      </c>
      <c r="D327" s="106" t="s">
        <v>669</v>
      </c>
      <c r="E327" s="106" t="s">
        <v>669</v>
      </c>
      <c r="F327" s="106" t="s">
        <v>670</v>
      </c>
      <c r="G327" s="106"/>
      <c r="H327" s="106" t="s">
        <v>671</v>
      </c>
      <c r="I327" s="106"/>
      <c r="J327" s="106"/>
      <c r="K327" s="106">
        <v>0.75</v>
      </c>
      <c r="L327" s="106">
        <v>0</v>
      </c>
      <c r="M327" s="106">
        <v>0</v>
      </c>
      <c r="N327" s="106"/>
      <c r="O327" s="106"/>
      <c r="P327" s="106">
        <v>0</v>
      </c>
      <c r="Q327" s="106">
        <v>20</v>
      </c>
      <c r="S327" s="108">
        <f>IF($A327="","",COUNTIF(BPOworkers!$B$6:$B$105,$A327))</f>
        <v>1</v>
      </c>
      <c r="T327" s="109">
        <f>IF($A327="","",$K327*Config!$C$9)</f>
        <v>6</v>
      </c>
      <c r="U327" s="109">
        <f>IF($A327="","",IF(COUNTIF(Config!$C$21:$C$23,$H327)&gt;0,IFERROR(VALUE(LEFT(TRIM($Q327),FIND(" ",TRIM($Q327)&amp;" ")-1)),0),0))</f>
        <v>0</v>
      </c>
      <c r="V327" s="109">
        <f t="shared" si="60"/>
        <v>6</v>
      </c>
      <c r="W327" s="108">
        <f>IF($A327="",0,IF(AND($C327&gt;=Config!$C$7,$C327&lt;=Config!$C$8),1,0))</f>
        <v>1</v>
      </c>
      <c r="X327" s="108">
        <f>IF($A327="",0,IF(COUNTIF(Config!$C$21:$C$23,$H327)&gt;0,1,0))</f>
        <v>0</v>
      </c>
      <c r="Y327" s="108">
        <f t="shared" si="61"/>
        <v>6</v>
      </c>
      <c r="Z327" s="108" t="str">
        <f t="shared" si="62"/>
        <v/>
      </c>
      <c r="AB327" s="108">
        <f t="shared" si="63"/>
        <v>0</v>
      </c>
      <c r="AC327" s="108">
        <f>IF($A327="",0,IF(AND($AB327=1,COUNTIF($A$2:$A327,$A327)=1),1,0))</f>
        <v>0</v>
      </c>
      <c r="AD327" s="108">
        <f t="shared" si="64"/>
        <v>1</v>
      </c>
      <c r="AE327" s="108" t="str">
        <f t="shared" si="65"/>
        <v/>
      </c>
      <c r="AF327" s="108">
        <f t="shared" si="66"/>
        <v>0</v>
      </c>
      <c r="AG327" s="108">
        <f t="shared" si="67"/>
        <v>0</v>
      </c>
      <c r="AH327" s="110" t="str">
        <f t="shared" si="68"/>
        <v>J Gonzalez|20260903|TitleNotes - Library|0.750|20</v>
      </c>
      <c r="AI327" s="108">
        <f t="shared" si="69"/>
        <v>0</v>
      </c>
      <c r="AJ327" s="108">
        <f t="shared" si="70"/>
        <v>0</v>
      </c>
      <c r="AK327" s="108">
        <f>IF($A327="",0,IF(AND($S327=1,$W327=1,$X327=1,$U327&gt;Config!$C$9),1,0))</f>
        <v>0</v>
      </c>
      <c r="AL327" s="108">
        <f t="shared" si="71"/>
        <v>0</v>
      </c>
    </row>
    <row r="328" spans="1:38" x14ac:dyDescent="0.25">
      <c r="A328" s="106" t="s">
        <v>470</v>
      </c>
      <c r="B328" s="106" t="s">
        <v>618</v>
      </c>
      <c r="C328" s="107">
        <v>46268</v>
      </c>
      <c r="D328" s="106" t="s">
        <v>902</v>
      </c>
      <c r="E328" s="106" t="s">
        <v>903</v>
      </c>
      <c r="F328" s="106" t="s">
        <v>1108</v>
      </c>
      <c r="G328" s="106" t="s">
        <v>1109</v>
      </c>
      <c r="H328" s="106" t="s">
        <v>702</v>
      </c>
      <c r="I328" s="106"/>
      <c r="J328" s="106"/>
      <c r="K328" s="106">
        <v>0.25</v>
      </c>
      <c r="L328" s="106">
        <v>0</v>
      </c>
      <c r="M328" s="106">
        <v>0</v>
      </c>
      <c r="N328" s="106"/>
      <c r="O328" s="106"/>
      <c r="P328" s="106">
        <v>0</v>
      </c>
      <c r="Q328" s="106" t="s">
        <v>1145</v>
      </c>
      <c r="S328" s="108">
        <f>IF($A328="","",COUNTIF(BPOworkers!$B$6:$B$105,$A328))</f>
        <v>1</v>
      </c>
      <c r="T328" s="109">
        <f>IF($A328="","",$K328*Config!$C$9)</f>
        <v>2</v>
      </c>
      <c r="U328" s="109">
        <f>IF($A328="","",IF(COUNTIF(Config!$C$21:$C$23,$H328)&gt;0,IFERROR(VALUE(LEFT(TRIM($Q328),FIND(" ",TRIM($Q328)&amp;" ")-1)),0),0))</f>
        <v>0</v>
      </c>
      <c r="V328" s="109">
        <f t="shared" si="60"/>
        <v>2</v>
      </c>
      <c r="W328" s="108">
        <f>IF($A328="",0,IF(AND($C328&gt;=Config!$C$7,$C328&lt;=Config!$C$8),1,0))</f>
        <v>1</v>
      </c>
      <c r="X328" s="108">
        <f>IF($A328="",0,IF(COUNTIF(Config!$C$21:$C$23,$H328)&gt;0,1,0))</f>
        <v>0</v>
      </c>
      <c r="Y328" s="108">
        <f t="shared" si="61"/>
        <v>6</v>
      </c>
      <c r="Z328" s="108" t="str">
        <f t="shared" si="62"/>
        <v/>
      </c>
      <c r="AB328" s="108">
        <f t="shared" si="63"/>
        <v>0</v>
      </c>
      <c r="AC328" s="108">
        <f>IF($A328="",0,IF(AND($AB328=1,COUNTIF($A$2:$A328,$A328)=1),1,0))</f>
        <v>0</v>
      </c>
      <c r="AD328" s="108">
        <f t="shared" si="64"/>
        <v>1</v>
      </c>
      <c r="AE328" s="108" t="str">
        <f t="shared" si="65"/>
        <v/>
      </c>
      <c r="AF328" s="108">
        <f t="shared" si="66"/>
        <v>0</v>
      </c>
      <c r="AG328" s="108">
        <f t="shared" si="67"/>
        <v>0</v>
      </c>
      <c r="AH328" s="110" t="str">
        <f t="shared" si="68"/>
        <v>J Gonzalez|20260903|Data Processing|0.250|Clean and process STR reports, then move completed files to the Processed folder</v>
      </c>
      <c r="AI328" s="108">
        <f t="shared" si="69"/>
        <v>0</v>
      </c>
      <c r="AJ328" s="108">
        <f t="shared" si="70"/>
        <v>0</v>
      </c>
      <c r="AK328" s="108">
        <f>IF($A328="",0,IF(AND($S328=1,$W328=1,$X328=1,$U328&gt;Config!$C$9),1,0))</f>
        <v>0</v>
      </c>
      <c r="AL328" s="108">
        <f t="shared" si="71"/>
        <v>0</v>
      </c>
    </row>
    <row r="329" spans="1:38" x14ac:dyDescent="0.25">
      <c r="A329" s="106" t="s">
        <v>759</v>
      </c>
      <c r="B329" s="106" t="s">
        <v>618</v>
      </c>
      <c r="C329" s="107">
        <v>46268</v>
      </c>
      <c r="D329" s="106" t="s">
        <v>712</v>
      </c>
      <c r="E329" s="106" t="s">
        <v>713</v>
      </c>
      <c r="F329" s="106" t="s">
        <v>714</v>
      </c>
      <c r="G329" s="106" t="s">
        <v>1146</v>
      </c>
      <c r="H329" s="106" t="s">
        <v>631</v>
      </c>
      <c r="I329" s="106"/>
      <c r="J329" s="106"/>
      <c r="K329" s="106">
        <v>1</v>
      </c>
      <c r="L329" s="106">
        <v>0</v>
      </c>
      <c r="M329" s="106">
        <v>0</v>
      </c>
      <c r="N329" s="106"/>
      <c r="O329" s="106"/>
      <c r="P329" s="106">
        <v>0</v>
      </c>
      <c r="Q329" s="106" t="s">
        <v>1147</v>
      </c>
      <c r="S329" s="108">
        <f>IF($A329="","",COUNTIF(BPOworkers!$B$6:$B$105,$A329))</f>
        <v>0</v>
      </c>
      <c r="T329" s="109">
        <f>IF($A329="","",$K329*Config!$C$9)</f>
        <v>8</v>
      </c>
      <c r="U329" s="109">
        <f>IF($A329="","",IF(COUNTIF(Config!$C$21:$C$23,$H329)&gt;0,IFERROR(VALUE(LEFT(TRIM($Q329),FIND(" ",TRIM($Q329)&amp;" ")-1)),0),0))</f>
        <v>0</v>
      </c>
      <c r="V329" s="109">
        <f t="shared" si="60"/>
        <v>8</v>
      </c>
      <c r="W329" s="108">
        <f>IF($A329="",0,IF(AND($C329&gt;=Config!$C$7,$C329&lt;=Config!$C$8),1,0))</f>
        <v>1</v>
      </c>
      <c r="X329" s="108">
        <f>IF($A329="",0,IF(COUNTIF(Config!$C$21:$C$23,$H329)&gt;0,1,0))</f>
        <v>0</v>
      </c>
      <c r="Y329" s="108">
        <f t="shared" si="61"/>
        <v>6</v>
      </c>
      <c r="Z329" s="108" t="str">
        <f t="shared" si="62"/>
        <v/>
      </c>
      <c r="AB329" s="108">
        <f t="shared" si="63"/>
        <v>0</v>
      </c>
      <c r="AC329" s="108">
        <f>IF($A329="",0,IF(AND($AB329=1,COUNTIF($A$2:$A329,$A329)=1),1,0))</f>
        <v>0</v>
      </c>
      <c r="AD329" s="108">
        <f t="shared" si="64"/>
        <v>1</v>
      </c>
      <c r="AE329" s="108" t="str">
        <f t="shared" si="65"/>
        <v/>
      </c>
      <c r="AF329" s="108">
        <f t="shared" si="66"/>
        <v>0</v>
      </c>
      <c r="AG329" s="108">
        <f t="shared" si="67"/>
        <v>0</v>
      </c>
      <c r="AH329" s="110" t="str">
        <f t="shared" si="68"/>
        <v>T. Aguillard|20260903|Title|1.000|Indexing</v>
      </c>
      <c r="AI329" s="108">
        <f t="shared" si="69"/>
        <v>0</v>
      </c>
      <c r="AJ329" s="108">
        <f t="shared" si="70"/>
        <v>0</v>
      </c>
      <c r="AK329" s="108">
        <f>IF($A329="",0,IF(AND($S329=1,$W329=1,$X329=1,$U329&gt;Config!$C$9),1,0))</f>
        <v>0</v>
      </c>
      <c r="AL329" s="108">
        <f t="shared" si="71"/>
        <v>0</v>
      </c>
    </row>
    <row r="330" spans="1:38" x14ac:dyDescent="0.25">
      <c r="A330" s="106" t="s">
        <v>761</v>
      </c>
      <c r="B330" s="106" t="s">
        <v>618</v>
      </c>
      <c r="C330" s="107">
        <v>46268</v>
      </c>
      <c r="D330" s="106" t="s">
        <v>529</v>
      </c>
      <c r="E330" s="106" t="s">
        <v>529</v>
      </c>
      <c r="F330" s="106" t="s">
        <v>615</v>
      </c>
      <c r="G330" s="106"/>
      <c r="H330" s="106" t="s">
        <v>529</v>
      </c>
      <c r="I330" s="106"/>
      <c r="J330" s="106"/>
      <c r="K330" s="106">
        <v>0</v>
      </c>
      <c r="L330" s="106">
        <v>0</v>
      </c>
      <c r="M330" s="106">
        <v>0</v>
      </c>
      <c r="N330" s="106"/>
      <c r="O330" s="106"/>
      <c r="P330" s="106">
        <v>0</v>
      </c>
      <c r="Q330" s="106" t="s">
        <v>661</v>
      </c>
      <c r="S330" s="108">
        <f>IF($A330="","",COUNTIF(BPOworkers!$B$6:$B$105,$A330))</f>
        <v>0</v>
      </c>
      <c r="T330" s="109">
        <f>IF($A330="","",$K330*Config!$C$9)</f>
        <v>0</v>
      </c>
      <c r="U330" s="109">
        <f>IF($A330="","",IF(COUNTIF(Config!$C$21:$C$23,$H330)&gt;0,IFERROR(VALUE(LEFT(TRIM($Q330),FIND(" ",TRIM($Q330)&amp;" ")-1)),0),0))</f>
        <v>8</v>
      </c>
      <c r="V330" s="109">
        <f t="shared" si="60"/>
        <v>8</v>
      </c>
      <c r="W330" s="108">
        <f>IF($A330="",0,IF(AND($C330&gt;=Config!$C$7,$C330&lt;=Config!$C$8),1,0))</f>
        <v>1</v>
      </c>
      <c r="X330" s="108">
        <f>IF($A330="",0,IF(COUNTIF(Config!$C$21:$C$23,$H330)&gt;0,1,0))</f>
        <v>1</v>
      </c>
      <c r="Y330" s="108">
        <f t="shared" si="61"/>
        <v>6</v>
      </c>
      <c r="Z330" s="108" t="str">
        <f t="shared" si="62"/>
        <v/>
      </c>
      <c r="AB330" s="108">
        <f t="shared" si="63"/>
        <v>0</v>
      </c>
      <c r="AC330" s="108">
        <f>IF($A330="",0,IF(AND($AB330=1,COUNTIF($A$2:$A330,$A330)=1),1,0))</f>
        <v>0</v>
      </c>
      <c r="AD330" s="108">
        <f t="shared" si="64"/>
        <v>1</v>
      </c>
      <c r="AE330" s="108" t="str">
        <f t="shared" si="65"/>
        <v/>
      </c>
      <c r="AF330" s="108">
        <f t="shared" si="66"/>
        <v>0</v>
      </c>
      <c r="AG330" s="108">
        <f t="shared" si="67"/>
        <v>0</v>
      </c>
      <c r="AH330" s="110" t="str">
        <f t="shared" si="68"/>
        <v>J. Smallridge|20260903|Time Off|0.000|8 hours not billed</v>
      </c>
      <c r="AI330" s="108">
        <f t="shared" si="69"/>
        <v>0</v>
      </c>
      <c r="AJ330" s="108">
        <f t="shared" si="70"/>
        <v>0</v>
      </c>
      <c r="AK330" s="108">
        <f>IF($A330="",0,IF(AND($S330=1,$W330=1,$X330=1,$U330&gt;Config!$C$9),1,0))</f>
        <v>0</v>
      </c>
      <c r="AL330" s="108">
        <f t="shared" si="71"/>
        <v>0</v>
      </c>
    </row>
    <row r="331" spans="1:38" x14ac:dyDescent="0.25">
      <c r="A331" s="106" t="s">
        <v>994</v>
      </c>
      <c r="B331" s="106" t="s">
        <v>618</v>
      </c>
      <c r="C331" s="107">
        <v>46268</v>
      </c>
      <c r="D331" s="106" t="s">
        <v>720</v>
      </c>
      <c r="E331" s="106" t="s">
        <v>721</v>
      </c>
      <c r="F331" s="106" t="s">
        <v>722</v>
      </c>
      <c r="G331" s="106" t="s">
        <v>1148</v>
      </c>
      <c r="H331" s="106" t="s">
        <v>631</v>
      </c>
      <c r="I331" s="106"/>
      <c r="J331" s="106" t="s">
        <v>1149</v>
      </c>
      <c r="K331" s="106">
        <v>1</v>
      </c>
      <c r="L331" s="106">
        <v>0</v>
      </c>
      <c r="M331" s="106">
        <v>0</v>
      </c>
      <c r="N331" s="106"/>
      <c r="O331" s="106"/>
      <c r="P331" s="106">
        <v>0</v>
      </c>
      <c r="Q331" s="106" t="s">
        <v>1150</v>
      </c>
      <c r="S331" s="108">
        <f>IF($A331="","",COUNTIF(BPOworkers!$B$6:$B$105,$A331))</f>
        <v>0</v>
      </c>
      <c r="T331" s="109">
        <f>IF($A331="","",$K331*Config!$C$9)</f>
        <v>8</v>
      </c>
      <c r="U331" s="109">
        <f>IF($A331="","",IF(COUNTIF(Config!$C$21:$C$23,$H331)&gt;0,IFERROR(VALUE(LEFT(TRIM($Q331),FIND(" ",TRIM($Q331)&amp;" ")-1)),0),0))</f>
        <v>0</v>
      </c>
      <c r="V331" s="109">
        <f t="shared" si="60"/>
        <v>8</v>
      </c>
      <c r="W331" s="108">
        <f>IF($A331="",0,IF(AND($C331&gt;=Config!$C$7,$C331&lt;=Config!$C$8),1,0))</f>
        <v>1</v>
      </c>
      <c r="X331" s="108">
        <f>IF($A331="",0,IF(COUNTIF(Config!$C$21:$C$23,$H331)&gt;0,1,0))</f>
        <v>0</v>
      </c>
      <c r="Y331" s="108">
        <f t="shared" si="61"/>
        <v>6</v>
      </c>
      <c r="Z331" s="108" t="str">
        <f t="shared" si="62"/>
        <v/>
      </c>
      <c r="AB331" s="108">
        <f t="shared" si="63"/>
        <v>0</v>
      </c>
      <c r="AC331" s="108">
        <f>IF($A331="",0,IF(AND($AB331=1,COUNTIF($A$2:$A331,$A331)=1),1,0))</f>
        <v>0</v>
      </c>
      <c r="AD331" s="108">
        <f t="shared" si="64"/>
        <v>1</v>
      </c>
      <c r="AE331" s="108" t="str">
        <f t="shared" si="65"/>
        <v/>
      </c>
      <c r="AF331" s="108">
        <f t="shared" si="66"/>
        <v>0</v>
      </c>
      <c r="AG331" s="108">
        <f t="shared" si="67"/>
        <v>0</v>
      </c>
      <c r="AH331" s="110" t="str">
        <f t="shared" si="68"/>
        <v>R. Hufnagel|20260903|Title|1.000|Indexed over 500 docs, input note cards, being both conveyances and NCDs, and verified names</v>
      </c>
      <c r="AI331" s="108">
        <f t="shared" si="69"/>
        <v>0</v>
      </c>
      <c r="AJ331" s="108">
        <f t="shared" si="70"/>
        <v>0</v>
      </c>
      <c r="AK331" s="108">
        <f>IF($A331="",0,IF(AND($S331=1,$W331=1,$X331=1,$U331&gt;Config!$C$9),1,0))</f>
        <v>0</v>
      </c>
      <c r="AL331" s="108">
        <f t="shared" si="71"/>
        <v>0</v>
      </c>
    </row>
    <row r="332" spans="1:38" x14ac:dyDescent="0.25">
      <c r="A332" s="106" t="s">
        <v>994</v>
      </c>
      <c r="B332" s="106" t="s">
        <v>618</v>
      </c>
      <c r="C332" s="107">
        <v>46268</v>
      </c>
      <c r="D332" s="106" t="s">
        <v>720</v>
      </c>
      <c r="E332" s="106" t="s">
        <v>721</v>
      </c>
      <c r="F332" s="106" t="s">
        <v>722</v>
      </c>
      <c r="G332" s="106" t="s">
        <v>1148</v>
      </c>
      <c r="H332" s="106" t="s">
        <v>631</v>
      </c>
      <c r="I332" s="106"/>
      <c r="J332" s="106" t="s">
        <v>1149</v>
      </c>
      <c r="K332" s="106">
        <v>0.25</v>
      </c>
      <c r="L332" s="106">
        <v>0</v>
      </c>
      <c r="M332" s="106">
        <v>0</v>
      </c>
      <c r="N332" s="106"/>
      <c r="O332" s="106"/>
      <c r="P332" s="106">
        <v>0</v>
      </c>
      <c r="Q332" s="106" t="s">
        <v>1150</v>
      </c>
      <c r="S332" s="108">
        <f>IF($A332="","",COUNTIF(BPOworkers!$B$6:$B$105,$A332))</f>
        <v>0</v>
      </c>
      <c r="T332" s="109">
        <f>IF($A332="","",$K332*Config!$C$9)</f>
        <v>2</v>
      </c>
      <c r="U332" s="109">
        <f>IF($A332="","",IF(COUNTIF(Config!$C$21:$C$23,$H332)&gt;0,IFERROR(VALUE(LEFT(TRIM($Q332),FIND(" ",TRIM($Q332)&amp;" ")-1)),0),0))</f>
        <v>0</v>
      </c>
      <c r="V332" s="109">
        <f t="shared" si="60"/>
        <v>2</v>
      </c>
      <c r="W332" s="108">
        <f>IF($A332="",0,IF(AND($C332&gt;=Config!$C$7,$C332&lt;=Config!$C$8),1,0))</f>
        <v>1</v>
      </c>
      <c r="X332" s="108">
        <f>IF($A332="",0,IF(COUNTIF(Config!$C$21:$C$23,$H332)&gt;0,1,0))</f>
        <v>0</v>
      </c>
      <c r="Y332" s="108">
        <f t="shared" si="61"/>
        <v>6</v>
      </c>
      <c r="Z332" s="108" t="str">
        <f t="shared" si="62"/>
        <v/>
      </c>
      <c r="AB332" s="108">
        <f t="shared" si="63"/>
        <v>0</v>
      </c>
      <c r="AC332" s="108">
        <f>IF($A332="",0,IF(AND($AB332=1,COUNTIF($A$2:$A332,$A332)=1),1,0))</f>
        <v>0</v>
      </c>
      <c r="AD332" s="108">
        <f t="shared" si="64"/>
        <v>1</v>
      </c>
      <c r="AE332" s="108" t="str">
        <f t="shared" si="65"/>
        <v/>
      </c>
      <c r="AF332" s="108">
        <f t="shared" si="66"/>
        <v>0</v>
      </c>
      <c r="AG332" s="108">
        <f t="shared" si="67"/>
        <v>0</v>
      </c>
      <c r="AH332" s="110" t="str">
        <f t="shared" si="68"/>
        <v>R. Hufnagel|20260903|Title|0.250|Indexed over 500 docs, input note cards, being both conveyances and NCDs, and verified names</v>
      </c>
      <c r="AI332" s="108">
        <f t="shared" si="69"/>
        <v>0</v>
      </c>
      <c r="AJ332" s="108">
        <f t="shared" si="70"/>
        <v>0</v>
      </c>
      <c r="AK332" s="108">
        <f>IF($A332="",0,IF(AND($S332=1,$W332=1,$X332=1,$U332&gt;Config!$C$9),1,0))</f>
        <v>0</v>
      </c>
      <c r="AL332" s="108">
        <f t="shared" si="71"/>
        <v>0</v>
      </c>
    </row>
    <row r="333" spans="1:38" x14ac:dyDescent="0.25">
      <c r="A333" s="106" t="s">
        <v>996</v>
      </c>
      <c r="B333" s="106" t="s">
        <v>618</v>
      </c>
      <c r="C333" s="107">
        <v>46268</v>
      </c>
      <c r="D333" s="106" t="s">
        <v>628</v>
      </c>
      <c r="E333" s="106" t="s">
        <v>793</v>
      </c>
      <c r="F333" s="106" t="s">
        <v>630</v>
      </c>
      <c r="G333" s="106"/>
      <c r="H333" s="106" t="s">
        <v>656</v>
      </c>
      <c r="I333" s="106"/>
      <c r="J333" s="106"/>
      <c r="K333" s="106">
        <v>1</v>
      </c>
      <c r="L333" s="106">
        <v>0</v>
      </c>
      <c r="M333" s="106">
        <v>0</v>
      </c>
      <c r="N333" s="106"/>
      <c r="O333" s="106"/>
      <c r="P333" s="106">
        <v>0</v>
      </c>
      <c r="Q333" s="106" t="s">
        <v>1151</v>
      </c>
      <c r="S333" s="108">
        <f>IF($A333="","",COUNTIF(BPOworkers!$B$6:$B$105,$A333))</f>
        <v>0</v>
      </c>
      <c r="T333" s="109">
        <f>IF($A333="","",$K333*Config!$C$9)</f>
        <v>8</v>
      </c>
      <c r="U333" s="109">
        <f>IF($A333="","",IF(COUNTIF(Config!$C$21:$C$23,$H333)&gt;0,IFERROR(VALUE(LEFT(TRIM($Q333),FIND(" ",TRIM($Q333)&amp;" ")-1)),0),0))</f>
        <v>0</v>
      </c>
      <c r="V333" s="109">
        <f t="shared" si="60"/>
        <v>8</v>
      </c>
      <c r="W333" s="108">
        <f>IF($A333="",0,IF(AND($C333&gt;=Config!$C$7,$C333&lt;=Config!$C$8),1,0))</f>
        <v>1</v>
      </c>
      <c r="X333" s="108">
        <f>IF($A333="",0,IF(COUNTIF(Config!$C$21:$C$23,$H333)&gt;0,1,0))</f>
        <v>0</v>
      </c>
      <c r="Y333" s="108">
        <f t="shared" si="61"/>
        <v>6</v>
      </c>
      <c r="Z333" s="108" t="str">
        <f t="shared" si="62"/>
        <v/>
      </c>
      <c r="AB333" s="108">
        <f t="shared" si="63"/>
        <v>0</v>
      </c>
      <c r="AC333" s="108">
        <f>IF($A333="",0,IF(AND($AB333=1,COUNTIF($A$2:$A333,$A333)=1),1,0))</f>
        <v>0</v>
      </c>
      <c r="AD333" s="108">
        <f t="shared" si="64"/>
        <v>1</v>
      </c>
      <c r="AE333" s="108" t="str">
        <f t="shared" si="65"/>
        <v/>
      </c>
      <c r="AF333" s="108">
        <f t="shared" si="66"/>
        <v>0</v>
      </c>
      <c r="AG333" s="108">
        <f t="shared" si="67"/>
        <v>0</v>
      </c>
      <c r="AH333" s="110" t="str">
        <f t="shared" si="68"/>
        <v>D. Woodall|20260903|Project Management|1.000|Landman AOI review and feedback</v>
      </c>
      <c r="AI333" s="108">
        <f t="shared" si="69"/>
        <v>0</v>
      </c>
      <c r="AJ333" s="108">
        <f t="shared" si="70"/>
        <v>0</v>
      </c>
      <c r="AK333" s="108">
        <f>IF($A333="",0,IF(AND($S333=1,$W333=1,$X333=1,$U333&gt;Config!$C$9),1,0))</f>
        <v>0</v>
      </c>
      <c r="AL333" s="108">
        <f t="shared" si="71"/>
        <v>0</v>
      </c>
    </row>
    <row r="334" spans="1:38" ht="132.75" x14ac:dyDescent="0.25">
      <c r="A334" s="106" t="s">
        <v>458</v>
      </c>
      <c r="B334" s="106" t="s">
        <v>618</v>
      </c>
      <c r="C334" s="107">
        <v>46268</v>
      </c>
      <c r="D334" s="106" t="s">
        <v>902</v>
      </c>
      <c r="E334" s="106" t="s">
        <v>903</v>
      </c>
      <c r="F334" s="106" t="s">
        <v>1108</v>
      </c>
      <c r="G334" s="106" t="s">
        <v>1109</v>
      </c>
      <c r="H334" s="106" t="s">
        <v>702</v>
      </c>
      <c r="I334" s="106"/>
      <c r="J334" s="106"/>
      <c r="K334" s="106">
        <v>1</v>
      </c>
      <c r="L334" s="106">
        <v>0</v>
      </c>
      <c r="M334" s="106">
        <v>0</v>
      </c>
      <c r="N334" s="106"/>
      <c r="O334" s="106"/>
      <c r="P334" s="106">
        <v>0</v>
      </c>
      <c r="Q334" s="111" t="s">
        <v>1152</v>
      </c>
      <c r="S334" s="108">
        <f>IF($A334="","",COUNTIF(BPOworkers!$B$6:$B$105,$A334))</f>
        <v>1</v>
      </c>
      <c r="T334" s="109">
        <f>IF($A334="","",$K334*Config!$C$9)</f>
        <v>8</v>
      </c>
      <c r="U334" s="109">
        <f>IF($A334="","",IF(COUNTIF(Config!$C$21:$C$23,$H334)&gt;0,IFERROR(VALUE(LEFT(TRIM($Q334),FIND(" ",TRIM($Q334)&amp;" ")-1)),0),0))</f>
        <v>0</v>
      </c>
      <c r="V334" s="109">
        <f t="shared" si="60"/>
        <v>8</v>
      </c>
      <c r="W334" s="108">
        <f>IF($A334="",0,IF(AND($C334&gt;=Config!$C$7,$C334&lt;=Config!$C$8),1,0))</f>
        <v>1</v>
      </c>
      <c r="X334" s="108">
        <f>IF($A334="",0,IF(COUNTIF(Config!$C$21:$C$23,$H334)&gt;0,1,0))</f>
        <v>0</v>
      </c>
      <c r="Y334" s="108">
        <f t="shared" si="61"/>
        <v>6</v>
      </c>
      <c r="Z334" s="108" t="str">
        <f t="shared" si="62"/>
        <v/>
      </c>
      <c r="AB334" s="108">
        <f t="shared" si="63"/>
        <v>0</v>
      </c>
      <c r="AC334" s="108">
        <f>IF($A334="",0,IF(AND($AB334=1,COUNTIF($A$2:$A334,$A334)=1),1,0))</f>
        <v>0</v>
      </c>
      <c r="AD334" s="108">
        <f t="shared" si="64"/>
        <v>1</v>
      </c>
      <c r="AE334" s="108" t="str">
        <f t="shared" si="65"/>
        <v/>
      </c>
      <c r="AF334" s="108">
        <f t="shared" si="66"/>
        <v>0</v>
      </c>
      <c r="AG334" s="108">
        <f t="shared" si="67"/>
        <v>0</v>
      </c>
      <c r="AH334" s="112" t="str">
        <f t="shared" si="68"/>
        <v>C Castellanos|20260903|Data Processing|1.000|50 Folders processed
 Reviwed Processed documents</v>
      </c>
      <c r="AI334" s="108">
        <f t="shared" si="69"/>
        <v>0</v>
      </c>
      <c r="AJ334" s="108">
        <f t="shared" si="70"/>
        <v>0</v>
      </c>
      <c r="AK334" s="108">
        <f>IF($A334="",0,IF(AND($S334=1,$W334=1,$X334=1,$U334&gt;Config!$C$9),1,0))</f>
        <v>0</v>
      </c>
      <c r="AL334" s="108">
        <f t="shared" si="71"/>
        <v>0</v>
      </c>
    </row>
    <row r="335" spans="1:38" ht="132.75" x14ac:dyDescent="0.25">
      <c r="A335" s="106" t="s">
        <v>461</v>
      </c>
      <c r="B335" s="106" t="s">
        <v>618</v>
      </c>
      <c r="C335" s="107">
        <v>46268</v>
      </c>
      <c r="D335" s="106" t="s">
        <v>680</v>
      </c>
      <c r="E335" s="106" t="s">
        <v>681</v>
      </c>
      <c r="F335" s="106" t="s">
        <v>682</v>
      </c>
      <c r="G335" s="106" t="s">
        <v>1153</v>
      </c>
      <c r="H335" s="106" t="s">
        <v>631</v>
      </c>
      <c r="I335" s="106"/>
      <c r="J335" s="106" t="s">
        <v>1154</v>
      </c>
      <c r="K335" s="106">
        <v>0.25</v>
      </c>
      <c r="L335" s="106">
        <v>0</v>
      </c>
      <c r="M335" s="106">
        <v>0</v>
      </c>
      <c r="N335" s="106"/>
      <c r="O335" s="106"/>
      <c r="P335" s="106">
        <v>0</v>
      </c>
      <c r="Q335" s="111" t="s">
        <v>1155</v>
      </c>
      <c r="S335" s="108">
        <f>IF($A335="","",COUNTIF(BPOworkers!$B$6:$B$105,$A335))</f>
        <v>1</v>
      </c>
      <c r="T335" s="109">
        <f>IF($A335="","",$K335*Config!$C$9)</f>
        <v>2</v>
      </c>
      <c r="U335" s="109">
        <f>IF($A335="","",IF(COUNTIF(Config!$C$21:$C$23,$H335)&gt;0,IFERROR(VALUE(LEFT(TRIM($Q335),FIND(" ",TRIM($Q335)&amp;" ")-1)),0),0))</f>
        <v>0</v>
      </c>
      <c r="V335" s="109">
        <f t="shared" si="60"/>
        <v>2</v>
      </c>
      <c r="W335" s="108">
        <f>IF($A335="",0,IF(AND($C335&gt;=Config!$C$7,$C335&lt;=Config!$C$8),1,0))</f>
        <v>1</v>
      </c>
      <c r="X335" s="108">
        <f>IF($A335="",0,IF(COUNTIF(Config!$C$21:$C$23,$H335)&gt;0,1,0))</f>
        <v>0</v>
      </c>
      <c r="Y335" s="108">
        <f t="shared" si="61"/>
        <v>6</v>
      </c>
      <c r="Z335" s="108" t="str">
        <f t="shared" si="62"/>
        <v/>
      </c>
      <c r="AB335" s="108">
        <f t="shared" si="63"/>
        <v>0</v>
      </c>
      <c r="AC335" s="108">
        <f>IF($A335="",0,IF(AND($AB335=1,COUNTIF($A$2:$A335,$A335)=1),1,0))</f>
        <v>0</v>
      </c>
      <c r="AD335" s="108">
        <f t="shared" si="64"/>
        <v>1</v>
      </c>
      <c r="AE335" s="108" t="str">
        <f t="shared" si="65"/>
        <v/>
      </c>
      <c r="AF335" s="108">
        <f t="shared" si="66"/>
        <v>0</v>
      </c>
      <c r="AG335" s="108">
        <f t="shared" si="67"/>
        <v>0</v>
      </c>
      <c r="AH335" s="112" t="str">
        <f t="shared" si="68"/>
        <v>D Trujillo|20260903|Title|0.250|Indexed 4 parties 
 Indexed 65 documents 
 Added 7 notecards
 Solved GIS problems</v>
      </c>
      <c r="AI335" s="108">
        <f t="shared" si="69"/>
        <v>0</v>
      </c>
      <c r="AJ335" s="108">
        <f t="shared" si="70"/>
        <v>0</v>
      </c>
      <c r="AK335" s="108">
        <f>IF($A335="",0,IF(AND($S335=1,$W335=1,$X335=1,$U335&gt;Config!$C$9),1,0))</f>
        <v>0</v>
      </c>
      <c r="AL335" s="108">
        <f t="shared" si="71"/>
        <v>0</v>
      </c>
    </row>
    <row r="336" spans="1:38" ht="204.75" x14ac:dyDescent="0.25">
      <c r="A336" s="106" t="s">
        <v>461</v>
      </c>
      <c r="B336" s="106" t="s">
        <v>614</v>
      </c>
      <c r="C336" s="107">
        <v>46268</v>
      </c>
      <c r="D336" s="106" t="s">
        <v>623</v>
      </c>
      <c r="E336" s="106" t="s">
        <v>624</v>
      </c>
      <c r="F336" s="106" t="s">
        <v>615</v>
      </c>
      <c r="G336" s="106" t="s">
        <v>625</v>
      </c>
      <c r="H336" s="106" t="s">
        <v>691</v>
      </c>
      <c r="I336" s="106"/>
      <c r="J336" s="106" t="s">
        <v>691</v>
      </c>
      <c r="K336" s="106">
        <v>0.75</v>
      </c>
      <c r="L336" s="106">
        <v>0</v>
      </c>
      <c r="M336" s="106">
        <v>0</v>
      </c>
      <c r="N336" s="106"/>
      <c r="O336" s="106"/>
      <c r="P336" s="106">
        <v>0</v>
      </c>
      <c r="Q336" s="111" t="s">
        <v>764</v>
      </c>
      <c r="S336" s="108">
        <f>IF($A336="","",COUNTIF(BPOworkers!$B$6:$B$105,$A336))</f>
        <v>1</v>
      </c>
      <c r="T336" s="109">
        <f>IF($A336="","",$K336*Config!$C$9)</f>
        <v>6</v>
      </c>
      <c r="U336" s="109">
        <f>IF($A336="","",IF(COUNTIF(Config!$C$21:$C$23,$H336)&gt;0,IFERROR(VALUE(LEFT(TRIM($Q336),FIND(" ",TRIM($Q336)&amp;" ")-1)),0),0))</f>
        <v>0</v>
      </c>
      <c r="V336" s="109">
        <f t="shared" si="60"/>
        <v>6</v>
      </c>
      <c r="W336" s="108">
        <f>IF($A336="",0,IF(AND($C336&gt;=Config!$C$7,$C336&lt;=Config!$C$8),1,0))</f>
        <v>1</v>
      </c>
      <c r="X336" s="108">
        <f>IF($A336="",0,IF(COUNTIF(Config!$C$21:$C$23,$H336)&gt;0,1,0))</f>
        <v>0</v>
      </c>
      <c r="Y336" s="108">
        <f t="shared" si="61"/>
        <v>6</v>
      </c>
      <c r="Z336" s="108" t="str">
        <f t="shared" si="62"/>
        <v/>
      </c>
      <c r="AB336" s="108">
        <f t="shared" si="63"/>
        <v>0</v>
      </c>
      <c r="AC336" s="108">
        <f>IF($A336="",0,IF(AND($AB336=1,COUNTIF($A$2:$A336,$A336)=1),1,0))</f>
        <v>0</v>
      </c>
      <c r="AD336" s="108">
        <f t="shared" si="64"/>
        <v>1</v>
      </c>
      <c r="AE336" s="108" t="str">
        <f t="shared" si="65"/>
        <v/>
      </c>
      <c r="AF336" s="108">
        <f t="shared" si="66"/>
        <v>0</v>
      </c>
      <c r="AG336" s="108">
        <f t="shared" si="67"/>
        <v>0</v>
      </c>
      <c r="AH336" s="112" t="str">
        <f t="shared" si="68"/>
        <v xml:space="preserve">D Trujillo|20260903|BPO Project Management|0.750|BTABs Checkings Approval
 Adding legals in BTABs
 Extra Hours Spreadsheet
 Office mgmt
 Onboarding process fort the new </v>
      </c>
      <c r="AI336" s="108">
        <f t="shared" si="69"/>
        <v>0</v>
      </c>
      <c r="AJ336" s="108">
        <f t="shared" si="70"/>
        <v>0</v>
      </c>
      <c r="AK336" s="108">
        <f>IF($A336="",0,IF(AND($S336=1,$W336=1,$X336=1,$U336&gt;Config!$C$9),1,0))</f>
        <v>0</v>
      </c>
      <c r="AL336" s="108">
        <f t="shared" si="71"/>
        <v>0</v>
      </c>
    </row>
    <row r="337" spans="1:38" ht="216.75" x14ac:dyDescent="0.25">
      <c r="A337" s="106" t="s">
        <v>465</v>
      </c>
      <c r="B337" s="106" t="s">
        <v>618</v>
      </c>
      <c r="C337" s="107">
        <v>46268</v>
      </c>
      <c r="D337" s="106" t="s">
        <v>694</v>
      </c>
      <c r="E337" s="106" t="s">
        <v>765</v>
      </c>
      <c r="F337" s="106" t="s">
        <v>766</v>
      </c>
      <c r="G337" s="106" t="s">
        <v>1156</v>
      </c>
      <c r="H337" s="106" t="s">
        <v>765</v>
      </c>
      <c r="I337" s="106"/>
      <c r="J337" s="106" t="s">
        <v>807</v>
      </c>
      <c r="K337" s="106">
        <v>1</v>
      </c>
      <c r="L337" s="106">
        <v>0</v>
      </c>
      <c r="M337" s="106">
        <v>0</v>
      </c>
      <c r="N337" s="106"/>
      <c r="O337" s="106"/>
      <c r="P337" s="106">
        <v>0</v>
      </c>
      <c r="Q337" s="111" t="s">
        <v>1157</v>
      </c>
      <c r="S337" s="108">
        <f>IF($A337="","",COUNTIF(BPOworkers!$B$6:$B$105,$A337))</f>
        <v>1</v>
      </c>
      <c r="T337" s="109">
        <f>IF($A337="","",$K337*Config!$C$9)</f>
        <v>8</v>
      </c>
      <c r="U337" s="109">
        <f>IF($A337="","",IF(COUNTIF(Config!$C$21:$C$23,$H337)&gt;0,IFERROR(VALUE(LEFT(TRIM($Q337),FIND(" ",TRIM($Q337)&amp;" ")-1)),0),0))</f>
        <v>0</v>
      </c>
      <c r="V337" s="109">
        <f t="shared" si="60"/>
        <v>8</v>
      </c>
      <c r="W337" s="108">
        <f>IF($A337="",0,IF(AND($C337&gt;=Config!$C$7,$C337&lt;=Config!$C$8),1,0))</f>
        <v>1</v>
      </c>
      <c r="X337" s="108">
        <f>IF($A337="",0,IF(COUNTIF(Config!$C$21:$C$23,$H337)&gt;0,1,0))</f>
        <v>0</v>
      </c>
      <c r="Y337" s="108">
        <f t="shared" si="61"/>
        <v>6</v>
      </c>
      <c r="Z337" s="108" t="str">
        <f t="shared" si="62"/>
        <v/>
      </c>
      <c r="AB337" s="108">
        <f t="shared" si="63"/>
        <v>0</v>
      </c>
      <c r="AC337" s="108">
        <f>IF($A337="",0,IF(AND($AB337=1,COUNTIF($A$2:$A337,$A337)=1),1,0))</f>
        <v>0</v>
      </c>
      <c r="AD337" s="108">
        <f t="shared" si="64"/>
        <v>1</v>
      </c>
      <c r="AE337" s="108" t="str">
        <f t="shared" si="65"/>
        <v/>
      </c>
      <c r="AF337" s="108">
        <f t="shared" si="66"/>
        <v>0</v>
      </c>
      <c r="AG337" s="108">
        <f t="shared" si="67"/>
        <v>0</v>
      </c>
      <c r="AH337" s="112" t="str">
        <f t="shared" si="68"/>
        <v>I Salamanca|20260903|Lease Bringdown|1.000|Added last leases and run title forward to present
 Indexed 5 names and download/check the historical index
 Filled 20</v>
      </c>
      <c r="AI337" s="108">
        <f t="shared" si="69"/>
        <v>0</v>
      </c>
      <c r="AJ337" s="108">
        <f t="shared" si="70"/>
        <v>0</v>
      </c>
      <c r="AK337" s="108">
        <f>IF($A337="",0,IF(AND($S337=1,$W337=1,$X337=1,$U337&gt;Config!$C$9),1,0))</f>
        <v>0</v>
      </c>
      <c r="AL337" s="108">
        <f t="shared" si="71"/>
        <v>0</v>
      </c>
    </row>
    <row r="338" spans="1:38" x14ac:dyDescent="0.25">
      <c r="A338" s="106" t="s">
        <v>466</v>
      </c>
      <c r="B338" s="106" t="s">
        <v>618</v>
      </c>
      <c r="C338" s="107">
        <v>46268</v>
      </c>
      <c r="D338" s="106" t="s">
        <v>902</v>
      </c>
      <c r="E338" s="106" t="s">
        <v>903</v>
      </c>
      <c r="F338" s="106" t="s">
        <v>1108</v>
      </c>
      <c r="G338" s="106" t="s">
        <v>1109</v>
      </c>
      <c r="H338" s="106" t="s">
        <v>702</v>
      </c>
      <c r="I338" s="106"/>
      <c r="J338" s="106"/>
      <c r="K338" s="106">
        <v>1</v>
      </c>
      <c r="L338" s="106">
        <v>0</v>
      </c>
      <c r="M338" s="106">
        <v>0</v>
      </c>
      <c r="N338" s="106"/>
      <c r="O338" s="106"/>
      <c r="P338" s="106">
        <v>0</v>
      </c>
      <c r="Q338" s="106" t="s">
        <v>1145</v>
      </c>
      <c r="S338" s="108">
        <f>IF($A338="","",COUNTIF(BPOworkers!$B$6:$B$105,$A338))</f>
        <v>1</v>
      </c>
      <c r="T338" s="109">
        <f>IF($A338="","",$K338*Config!$C$9)</f>
        <v>8</v>
      </c>
      <c r="U338" s="109">
        <f>IF($A338="","",IF(COUNTIF(Config!$C$21:$C$23,$H338)&gt;0,IFERROR(VALUE(LEFT(TRIM($Q338),FIND(" ",TRIM($Q338)&amp;" ")-1)),0),0))</f>
        <v>0</v>
      </c>
      <c r="V338" s="109">
        <f t="shared" si="60"/>
        <v>8</v>
      </c>
      <c r="W338" s="108">
        <f>IF($A338="",0,IF(AND($C338&gt;=Config!$C$7,$C338&lt;=Config!$C$8),1,0))</f>
        <v>1</v>
      </c>
      <c r="X338" s="108">
        <f>IF($A338="",0,IF(COUNTIF(Config!$C$21:$C$23,$H338)&gt;0,1,0))</f>
        <v>0</v>
      </c>
      <c r="Y338" s="108">
        <f t="shared" si="61"/>
        <v>6</v>
      </c>
      <c r="Z338" s="108" t="str">
        <f t="shared" si="62"/>
        <v/>
      </c>
      <c r="AB338" s="108">
        <f t="shared" si="63"/>
        <v>0</v>
      </c>
      <c r="AC338" s="108">
        <f>IF($A338="",0,IF(AND($AB338=1,COUNTIF($A$2:$A338,$A338)=1),1,0))</f>
        <v>0</v>
      </c>
      <c r="AD338" s="108">
        <f t="shared" si="64"/>
        <v>1</v>
      </c>
      <c r="AE338" s="108" t="str">
        <f t="shared" si="65"/>
        <v/>
      </c>
      <c r="AF338" s="108">
        <f t="shared" si="66"/>
        <v>0</v>
      </c>
      <c r="AG338" s="108">
        <f t="shared" si="67"/>
        <v>0</v>
      </c>
      <c r="AH338" s="110" t="str">
        <f t="shared" si="68"/>
        <v>J Abay|20260903|Data Processing|1.000|Clean and process STR reports, then move completed files to the Processed folder</v>
      </c>
      <c r="AI338" s="108">
        <f t="shared" si="69"/>
        <v>0</v>
      </c>
      <c r="AJ338" s="108">
        <f t="shared" si="70"/>
        <v>0</v>
      </c>
      <c r="AK338" s="108">
        <f>IF($A338="",0,IF(AND($S338=1,$W338=1,$X338=1,$U338&gt;Config!$C$9),1,0))</f>
        <v>0</v>
      </c>
      <c r="AL338" s="108">
        <f t="shared" si="71"/>
        <v>0</v>
      </c>
    </row>
    <row r="339" spans="1:38" x14ac:dyDescent="0.25">
      <c r="A339" s="106" t="s">
        <v>472</v>
      </c>
      <c r="B339" s="106" t="s">
        <v>618</v>
      </c>
      <c r="C339" s="107">
        <v>46268</v>
      </c>
      <c r="D339" s="106" t="s">
        <v>628</v>
      </c>
      <c r="E339" s="106" t="s">
        <v>701</v>
      </c>
      <c r="F339" s="106" t="s">
        <v>630</v>
      </c>
      <c r="G339" s="106" t="s">
        <v>770</v>
      </c>
      <c r="H339" s="106" t="s">
        <v>702</v>
      </c>
      <c r="I339" s="106"/>
      <c r="J339" s="106"/>
      <c r="K339" s="106">
        <v>1</v>
      </c>
      <c r="L339" s="106">
        <v>0</v>
      </c>
      <c r="M339" s="106">
        <v>0</v>
      </c>
      <c r="N339" s="106"/>
      <c r="O339" s="106"/>
      <c r="P339" s="106">
        <v>0</v>
      </c>
      <c r="Q339" s="106" t="s">
        <v>1158</v>
      </c>
      <c r="S339" s="108">
        <f>IF($A339="","",COUNTIF(BPOworkers!$B$6:$B$105,$A339))</f>
        <v>1</v>
      </c>
      <c r="T339" s="109">
        <f>IF($A339="","",$K339*Config!$C$9)</f>
        <v>8</v>
      </c>
      <c r="U339" s="109">
        <f>IF($A339="","",IF(COUNTIF(Config!$C$21:$C$23,$H339)&gt;0,IFERROR(VALUE(LEFT(TRIM($Q339),FIND(" ",TRIM($Q339)&amp;" ")-1)),0),0))</f>
        <v>0</v>
      </c>
      <c r="V339" s="109">
        <f t="shared" si="60"/>
        <v>8</v>
      </c>
      <c r="W339" s="108">
        <f>IF($A339="",0,IF(AND($C339&gt;=Config!$C$7,$C339&lt;=Config!$C$8),1,0))</f>
        <v>1</v>
      </c>
      <c r="X339" s="108">
        <f>IF($A339="",0,IF(COUNTIF(Config!$C$21:$C$23,$H339)&gt;0,1,0))</f>
        <v>0</v>
      </c>
      <c r="Y339" s="108">
        <f t="shared" si="61"/>
        <v>6</v>
      </c>
      <c r="Z339" s="108" t="str">
        <f t="shared" si="62"/>
        <v/>
      </c>
      <c r="AB339" s="108">
        <f t="shared" si="63"/>
        <v>0</v>
      </c>
      <c r="AC339" s="108">
        <f>IF($A339="",0,IF(AND($AB339=1,COUNTIF($A$2:$A339,$A339)=1),1,0))</f>
        <v>0</v>
      </c>
      <c r="AD339" s="108">
        <f t="shared" si="64"/>
        <v>1</v>
      </c>
      <c r="AE339" s="108" t="str">
        <f t="shared" si="65"/>
        <v/>
      </c>
      <c r="AF339" s="108">
        <f t="shared" si="66"/>
        <v>0</v>
      </c>
      <c r="AG339" s="108">
        <f t="shared" si="67"/>
        <v>0</v>
      </c>
      <c r="AH339" s="110" t="str">
        <f t="shared" si="68"/>
        <v>J Reyes|20260903|Data Processing|1.000|Title Opinion data entry - (Leases and Surface Interest)</v>
      </c>
      <c r="AI339" s="108">
        <f t="shared" si="69"/>
        <v>0</v>
      </c>
      <c r="AJ339" s="108">
        <f t="shared" si="70"/>
        <v>0</v>
      </c>
      <c r="AK339" s="108">
        <f>IF($A339="",0,IF(AND($S339=1,$W339=1,$X339=1,$U339&gt;Config!$C$9),1,0))</f>
        <v>0</v>
      </c>
      <c r="AL339" s="108">
        <f t="shared" si="71"/>
        <v>0</v>
      </c>
    </row>
    <row r="340" spans="1:38" x14ac:dyDescent="0.25">
      <c r="A340" s="106" t="s">
        <v>124</v>
      </c>
      <c r="B340" s="106" t="s">
        <v>618</v>
      </c>
      <c r="C340" s="107">
        <v>46268</v>
      </c>
      <c r="D340" s="106" t="s">
        <v>772</v>
      </c>
      <c r="E340" s="106" t="s">
        <v>773</v>
      </c>
      <c r="F340" s="106" t="s">
        <v>774</v>
      </c>
      <c r="G340" s="106" t="s">
        <v>775</v>
      </c>
      <c r="H340" s="106" t="s">
        <v>631</v>
      </c>
      <c r="I340" s="106"/>
      <c r="J340" s="106"/>
      <c r="K340" s="106">
        <v>1</v>
      </c>
      <c r="L340" s="106">
        <v>0</v>
      </c>
      <c r="M340" s="106">
        <v>0</v>
      </c>
      <c r="N340" s="106"/>
      <c r="O340" s="106"/>
      <c r="P340" s="106">
        <v>0</v>
      </c>
      <c r="Q340" s="106" t="s">
        <v>776</v>
      </c>
      <c r="S340" s="108">
        <f>IF($A340="","",COUNTIF(BPOworkers!$B$6:$B$105,$A340))</f>
        <v>1</v>
      </c>
      <c r="T340" s="109">
        <f>IF($A340="","",$K340*Config!$C$9)</f>
        <v>8</v>
      </c>
      <c r="U340" s="109">
        <f>IF($A340="","",IF(COUNTIF(Config!$C$21:$C$23,$H340)&gt;0,IFERROR(VALUE(LEFT(TRIM($Q340),FIND(" ",TRIM($Q340)&amp;" ")-1)),0),0))</f>
        <v>0</v>
      </c>
      <c r="V340" s="109">
        <f t="shared" si="60"/>
        <v>8</v>
      </c>
      <c r="W340" s="108">
        <f>IF($A340="",0,IF(AND($C340&gt;=Config!$C$7,$C340&lt;=Config!$C$8),1,0))</f>
        <v>1</v>
      </c>
      <c r="X340" s="108">
        <f>IF($A340="",0,IF(COUNTIF(Config!$C$21:$C$23,$H340)&gt;0,1,0))</f>
        <v>0</v>
      </c>
      <c r="Y340" s="108">
        <f t="shared" si="61"/>
        <v>6</v>
      </c>
      <c r="Z340" s="108" t="str">
        <f t="shared" si="62"/>
        <v/>
      </c>
      <c r="AB340" s="108">
        <f t="shared" si="63"/>
        <v>0</v>
      </c>
      <c r="AC340" s="108">
        <f>IF($A340="",0,IF(AND($AB340=1,COUNTIF($A$2:$A340,$A340)=1),1,0))</f>
        <v>0</v>
      </c>
      <c r="AD340" s="108">
        <f t="shared" si="64"/>
        <v>1</v>
      </c>
      <c r="AE340" s="108" t="str">
        <f t="shared" si="65"/>
        <v/>
      </c>
      <c r="AF340" s="108">
        <f t="shared" si="66"/>
        <v>0</v>
      </c>
      <c r="AG340" s="108">
        <f t="shared" si="67"/>
        <v>0</v>
      </c>
      <c r="AH340" s="110" t="str">
        <f t="shared" si="68"/>
        <v>J S Bermudez|20260903|Title|1.000|Runsheet created and uploaded, all the documents are uploaded to the AOI, started to verify interest</v>
      </c>
      <c r="AI340" s="108">
        <f t="shared" si="69"/>
        <v>0</v>
      </c>
      <c r="AJ340" s="108">
        <f t="shared" si="70"/>
        <v>0</v>
      </c>
      <c r="AK340" s="108">
        <f>IF($A340="",0,IF(AND($S340=1,$W340=1,$X340=1,$U340&gt;Config!$C$9),1,0))</f>
        <v>0</v>
      </c>
      <c r="AL340" s="108">
        <f t="shared" si="71"/>
        <v>0</v>
      </c>
    </row>
    <row r="341" spans="1:38" ht="120.75" x14ac:dyDescent="0.25">
      <c r="A341" s="106" t="s">
        <v>475</v>
      </c>
      <c r="B341" s="106" t="s">
        <v>618</v>
      </c>
      <c r="C341" s="107">
        <v>46268</v>
      </c>
      <c r="D341" s="106" t="s">
        <v>669</v>
      </c>
      <c r="E341" s="106" t="s">
        <v>669</v>
      </c>
      <c r="F341" s="106" t="s">
        <v>670</v>
      </c>
      <c r="G341" s="106"/>
      <c r="H341" s="106" t="s">
        <v>671</v>
      </c>
      <c r="I341" s="106"/>
      <c r="J341" s="106"/>
      <c r="K341" s="106">
        <v>1</v>
      </c>
      <c r="L341" s="106">
        <v>0</v>
      </c>
      <c r="M341" s="106">
        <v>0</v>
      </c>
      <c r="N341" s="106"/>
      <c r="O341" s="106"/>
      <c r="P341" s="106">
        <v>0</v>
      </c>
      <c r="Q341" s="111" t="s">
        <v>1159</v>
      </c>
      <c r="S341" s="108">
        <f>IF($A341="","",COUNTIF(BPOworkers!$B$6:$B$105,$A341))</f>
        <v>1</v>
      </c>
      <c r="T341" s="109">
        <f>IF($A341="","",$K341*Config!$C$9)</f>
        <v>8</v>
      </c>
      <c r="U341" s="109">
        <f>IF($A341="","",IF(COUNTIF(Config!$C$21:$C$23,$H341)&gt;0,IFERROR(VALUE(LEFT(TRIM($Q341),FIND(" ",TRIM($Q341)&amp;" ")-1)),0),0))</f>
        <v>0</v>
      </c>
      <c r="V341" s="109">
        <f t="shared" si="60"/>
        <v>8</v>
      </c>
      <c r="W341" s="108">
        <f>IF($A341="",0,IF(AND($C341&gt;=Config!$C$7,$C341&lt;=Config!$C$8),1,0))</f>
        <v>1</v>
      </c>
      <c r="X341" s="108">
        <f>IF($A341="",0,IF(COUNTIF(Config!$C$21:$C$23,$H341)&gt;0,1,0))</f>
        <v>0</v>
      </c>
      <c r="Y341" s="108">
        <f t="shared" si="61"/>
        <v>6</v>
      </c>
      <c r="Z341" s="108" t="str">
        <f t="shared" si="62"/>
        <v/>
      </c>
      <c r="AB341" s="108">
        <f t="shared" si="63"/>
        <v>0</v>
      </c>
      <c r="AC341" s="108">
        <f>IF($A341="",0,IF(AND($AB341=1,COUNTIF($A$2:$A341,$A341)=1),1,0))</f>
        <v>0</v>
      </c>
      <c r="AD341" s="108">
        <f t="shared" si="64"/>
        <v>1</v>
      </c>
      <c r="AE341" s="108" t="str">
        <f t="shared" si="65"/>
        <v/>
      </c>
      <c r="AF341" s="108">
        <f t="shared" si="66"/>
        <v>0</v>
      </c>
      <c r="AG341" s="108">
        <f t="shared" si="67"/>
        <v>0</v>
      </c>
      <c r="AH341" s="112" t="str">
        <f t="shared" si="68"/>
        <v>L Alfonso|20260903|TitleNotes - Library|1.000|46 Documents
 82 transacciones aprox</v>
      </c>
      <c r="AI341" s="108">
        <f t="shared" si="69"/>
        <v>0</v>
      </c>
      <c r="AJ341" s="108">
        <f t="shared" si="70"/>
        <v>0</v>
      </c>
      <c r="AK341" s="108">
        <f>IF($A341="",0,IF(AND($S341=1,$W341=1,$X341=1,$U341&gt;Config!$C$9),1,0))</f>
        <v>0</v>
      </c>
      <c r="AL341" s="108">
        <f t="shared" si="71"/>
        <v>0</v>
      </c>
    </row>
    <row r="342" spans="1:38" x14ac:dyDescent="0.25">
      <c r="A342" s="106" t="s">
        <v>477</v>
      </c>
      <c r="B342" s="106" t="s">
        <v>618</v>
      </c>
      <c r="C342" s="107">
        <v>46268</v>
      </c>
      <c r="D342" s="106" t="s">
        <v>694</v>
      </c>
      <c r="E342" s="106" t="s">
        <v>778</v>
      </c>
      <c r="F342" s="106" t="s">
        <v>779</v>
      </c>
      <c r="G342" s="106" t="s">
        <v>780</v>
      </c>
      <c r="H342" s="106" t="s">
        <v>781</v>
      </c>
      <c r="I342" s="106"/>
      <c r="J342" s="106"/>
      <c r="K342" s="106">
        <v>1</v>
      </c>
      <c r="L342" s="106">
        <v>0</v>
      </c>
      <c r="M342" s="106">
        <v>0</v>
      </c>
      <c r="N342" s="106"/>
      <c r="O342" s="106"/>
      <c r="P342" s="106">
        <v>0</v>
      </c>
      <c r="Q342" s="106" t="s">
        <v>1160</v>
      </c>
      <c r="S342" s="108">
        <f>IF($A342="","",COUNTIF(BPOworkers!$B$6:$B$105,$A342))</f>
        <v>1</v>
      </c>
      <c r="T342" s="109">
        <f>IF($A342="","",$K342*Config!$C$9)</f>
        <v>8</v>
      </c>
      <c r="U342" s="109">
        <f>IF($A342="","",IF(COUNTIF(Config!$C$21:$C$23,$H342)&gt;0,IFERROR(VALUE(LEFT(TRIM($Q342),FIND(" ",TRIM($Q342)&amp;" ")-1)),0),0))</f>
        <v>0</v>
      </c>
      <c r="V342" s="109">
        <f t="shared" si="60"/>
        <v>8</v>
      </c>
      <c r="W342" s="108">
        <f>IF($A342="",0,IF(AND($C342&gt;=Config!$C$7,$C342&lt;=Config!$C$8),1,0))</f>
        <v>1</v>
      </c>
      <c r="X342" s="108">
        <f>IF($A342="",0,IF(COUNTIF(Config!$C$21:$C$23,$H342)&gt;0,1,0))</f>
        <v>0</v>
      </c>
      <c r="Y342" s="108">
        <f t="shared" si="61"/>
        <v>6</v>
      </c>
      <c r="Z342" s="108" t="str">
        <f t="shared" si="62"/>
        <v/>
      </c>
      <c r="AB342" s="108">
        <f t="shared" si="63"/>
        <v>0</v>
      </c>
      <c r="AC342" s="108">
        <f>IF($A342="",0,IF(AND($AB342=1,COUNTIF($A$2:$A342,$A342)=1),1,0))</f>
        <v>0</v>
      </c>
      <c r="AD342" s="108">
        <f t="shared" si="64"/>
        <v>1</v>
      </c>
      <c r="AE342" s="108" t="str">
        <f t="shared" si="65"/>
        <v/>
      </c>
      <c r="AF342" s="108">
        <f t="shared" si="66"/>
        <v>0</v>
      </c>
      <c r="AG342" s="108">
        <f t="shared" si="67"/>
        <v>0</v>
      </c>
      <c r="AH342" s="110" t="str">
        <f t="shared" si="68"/>
        <v>L Escobar|20260903|Single Interest Verification|1.000|I have started to included documents in my AOI while indexing some parties for missing information. I have also pulled d</v>
      </c>
      <c r="AI342" s="108">
        <f t="shared" si="69"/>
        <v>0</v>
      </c>
      <c r="AJ342" s="108">
        <f t="shared" si="70"/>
        <v>0</v>
      </c>
      <c r="AK342" s="108">
        <f>IF($A342="",0,IF(AND($S342=1,$W342=1,$X342=1,$U342&gt;Config!$C$9),1,0))</f>
        <v>0</v>
      </c>
      <c r="AL342" s="108">
        <f t="shared" si="71"/>
        <v>0</v>
      </c>
    </row>
    <row r="343" spans="1:38" ht="168.75" x14ac:dyDescent="0.25">
      <c r="A343" s="106" t="s">
        <v>483</v>
      </c>
      <c r="B343" s="106" t="s">
        <v>618</v>
      </c>
      <c r="C343" s="107">
        <v>46268</v>
      </c>
      <c r="D343" s="106" t="s">
        <v>720</v>
      </c>
      <c r="E343" s="106" t="s">
        <v>721</v>
      </c>
      <c r="F343" s="106" t="s">
        <v>722</v>
      </c>
      <c r="G343" s="106" t="s">
        <v>790</v>
      </c>
      <c r="H343" s="106" t="s">
        <v>631</v>
      </c>
      <c r="I343" s="106"/>
      <c r="J343" s="106" t="s">
        <v>791</v>
      </c>
      <c r="K343" s="106">
        <v>1</v>
      </c>
      <c r="L343" s="106">
        <v>0</v>
      </c>
      <c r="M343" s="106">
        <v>0</v>
      </c>
      <c r="N343" s="106"/>
      <c r="O343" s="106"/>
      <c r="P343" s="106">
        <v>0</v>
      </c>
      <c r="Q343" s="111" t="s">
        <v>1161</v>
      </c>
      <c r="S343" s="108">
        <f>IF($A343="","",COUNTIF(BPOworkers!$B$6:$B$105,$A343))</f>
        <v>1</v>
      </c>
      <c r="T343" s="109">
        <f>IF($A343="","",$K343*Config!$C$9)</f>
        <v>8</v>
      </c>
      <c r="U343" s="109">
        <f>IF($A343="","",IF(COUNTIF(Config!$C$21:$C$23,$H343)&gt;0,IFERROR(VALUE(LEFT(TRIM($Q343),FIND(" ",TRIM($Q343)&amp;" ")-1)),0),0))</f>
        <v>0</v>
      </c>
      <c r="V343" s="109">
        <f t="shared" si="60"/>
        <v>8</v>
      </c>
      <c r="W343" s="108">
        <f>IF($A343="",0,IF(AND($C343&gt;=Config!$C$7,$C343&lt;=Config!$C$8),1,0))</f>
        <v>1</v>
      </c>
      <c r="X343" s="108">
        <f>IF($A343="",0,IF(COUNTIF(Config!$C$21:$C$23,$H343)&gt;0,1,0))</f>
        <v>0</v>
      </c>
      <c r="Y343" s="108">
        <f t="shared" si="61"/>
        <v>6</v>
      </c>
      <c r="Z343" s="108" t="str">
        <f t="shared" si="62"/>
        <v/>
      </c>
      <c r="AB343" s="108">
        <f t="shared" si="63"/>
        <v>0</v>
      </c>
      <c r="AC343" s="108">
        <f>IF($A343="",0,IF(AND($AB343=1,COUNTIF($A$2:$A343,$A343)=1),1,0))</f>
        <v>0</v>
      </c>
      <c r="AD343" s="108">
        <f t="shared" si="64"/>
        <v>1</v>
      </c>
      <c r="AE343" s="108" t="str">
        <f t="shared" si="65"/>
        <v/>
      </c>
      <c r="AF343" s="108">
        <f t="shared" si="66"/>
        <v>0</v>
      </c>
      <c r="AG343" s="108">
        <f t="shared" si="67"/>
        <v>0</v>
      </c>
      <c r="AH343" s="112" t="str">
        <f t="shared" si="68"/>
        <v>M Lopez|20260903|Title|1.000|- Indexed to the present from source deed
 - Started indexing from the source deed back to the patent
 while adding rele</v>
      </c>
      <c r="AI343" s="108">
        <f t="shared" si="69"/>
        <v>0</v>
      </c>
      <c r="AJ343" s="108">
        <f t="shared" si="70"/>
        <v>0</v>
      </c>
      <c r="AK343" s="108">
        <f>IF($A343="",0,IF(AND($S343=1,$W343=1,$X343=1,$U343&gt;Config!$C$9),1,0))</f>
        <v>0</v>
      </c>
      <c r="AL343" s="108">
        <f t="shared" si="71"/>
        <v>0</v>
      </c>
    </row>
    <row r="344" spans="1:38" x14ac:dyDescent="0.25">
      <c r="A344" s="106" t="s">
        <v>484</v>
      </c>
      <c r="B344" s="106" t="s">
        <v>618</v>
      </c>
      <c r="C344" s="107">
        <v>46268</v>
      </c>
      <c r="D344" s="106" t="s">
        <v>680</v>
      </c>
      <c r="E344" s="106" t="s">
        <v>681</v>
      </c>
      <c r="F344" s="106" t="s">
        <v>893</v>
      </c>
      <c r="G344" s="106" t="s">
        <v>894</v>
      </c>
      <c r="H344" s="106" t="s">
        <v>1162</v>
      </c>
      <c r="I344" s="106"/>
      <c r="J344" s="106" t="s">
        <v>1163</v>
      </c>
      <c r="K344" s="106">
        <v>0.625</v>
      </c>
      <c r="L344" s="106">
        <v>0</v>
      </c>
      <c r="M344" s="106">
        <v>0</v>
      </c>
      <c r="N344" s="106"/>
      <c r="O344" s="106"/>
      <c r="P344" s="106">
        <v>0</v>
      </c>
      <c r="Q344" s="106" t="s">
        <v>1164</v>
      </c>
      <c r="S344" s="108">
        <f>IF($A344="","",COUNTIF(BPOworkers!$B$6:$B$105,$A344))</f>
        <v>1</v>
      </c>
      <c r="T344" s="109">
        <f>IF($A344="","",$K344*Config!$C$9)</f>
        <v>5</v>
      </c>
      <c r="U344" s="109">
        <f>IF($A344="","",IF(COUNTIF(Config!$C$21:$C$23,$H344)&gt;0,IFERROR(VALUE(LEFT(TRIM($Q344),FIND(" ",TRIM($Q344)&amp;" ")-1)),0),0))</f>
        <v>0</v>
      </c>
      <c r="V344" s="109">
        <f t="shared" si="60"/>
        <v>5</v>
      </c>
      <c r="W344" s="108">
        <f>IF($A344="",0,IF(AND($C344&gt;=Config!$C$7,$C344&lt;=Config!$C$8),1,0))</f>
        <v>1</v>
      </c>
      <c r="X344" s="108">
        <f>IF($A344="",0,IF(COUNTIF(Config!$C$21:$C$23,$H344)&gt;0,1,0))</f>
        <v>0</v>
      </c>
      <c r="Y344" s="108">
        <f t="shared" si="61"/>
        <v>6</v>
      </c>
      <c r="Z344" s="108" t="str">
        <f t="shared" si="62"/>
        <v/>
      </c>
      <c r="AB344" s="108">
        <f t="shared" si="63"/>
        <v>0</v>
      </c>
      <c r="AC344" s="108">
        <f>IF($A344="",0,IF(AND($AB344=1,COUNTIF($A$2:$A344,$A344)=1),1,0))</f>
        <v>0</v>
      </c>
      <c r="AD344" s="108">
        <f t="shared" si="64"/>
        <v>1</v>
      </c>
      <c r="AE344" s="108" t="str">
        <f t="shared" si="65"/>
        <v/>
      </c>
      <c r="AF344" s="108">
        <f t="shared" si="66"/>
        <v>0</v>
      </c>
      <c r="AG344" s="108">
        <f t="shared" si="67"/>
        <v>0</v>
      </c>
      <c r="AH344" s="110" t="str">
        <f t="shared" si="68"/>
        <v>M Verdooren|20260903|Data Entry|0.625|Worked on Columbiana County Inventory - FamilySearch</v>
      </c>
      <c r="AI344" s="108">
        <f t="shared" si="69"/>
        <v>0</v>
      </c>
      <c r="AJ344" s="108">
        <f t="shared" si="70"/>
        <v>0</v>
      </c>
      <c r="AK344" s="108">
        <f>IF($A344="",0,IF(AND($S344=1,$W344=1,$X344=1,$U344&gt;Config!$C$9),1,0))</f>
        <v>0</v>
      </c>
      <c r="AL344" s="108">
        <f t="shared" si="71"/>
        <v>0</v>
      </c>
    </row>
    <row r="345" spans="1:38" ht="96.75" x14ac:dyDescent="0.25">
      <c r="A345" s="106" t="s">
        <v>484</v>
      </c>
      <c r="B345" s="106" t="s">
        <v>618</v>
      </c>
      <c r="C345" s="107">
        <v>46268</v>
      </c>
      <c r="D345" s="106" t="s">
        <v>623</v>
      </c>
      <c r="E345" s="106" t="s">
        <v>624</v>
      </c>
      <c r="F345" s="106" t="s">
        <v>615</v>
      </c>
      <c r="G345" s="106" t="s">
        <v>625</v>
      </c>
      <c r="H345" s="106" t="s">
        <v>671</v>
      </c>
      <c r="I345" s="106" t="s">
        <v>657</v>
      </c>
      <c r="J345" s="106"/>
      <c r="K345" s="106">
        <v>0.375</v>
      </c>
      <c r="L345" s="106">
        <v>0</v>
      </c>
      <c r="M345" s="106">
        <v>0</v>
      </c>
      <c r="N345" s="106"/>
      <c r="O345" s="106"/>
      <c r="P345" s="106">
        <v>0</v>
      </c>
      <c r="Q345" s="111" t="s">
        <v>1165</v>
      </c>
      <c r="S345" s="108">
        <f>IF($A345="","",COUNTIF(BPOworkers!$B$6:$B$105,$A345))</f>
        <v>1</v>
      </c>
      <c r="T345" s="109">
        <f>IF($A345="","",$K345*Config!$C$9)</f>
        <v>3</v>
      </c>
      <c r="U345" s="109">
        <f>IF($A345="","",IF(COUNTIF(Config!$C$21:$C$23,$H345)&gt;0,IFERROR(VALUE(LEFT(TRIM($Q345),FIND(" ",TRIM($Q345)&amp;" ")-1)),0),0))</f>
        <v>0</v>
      </c>
      <c r="V345" s="109">
        <f t="shared" si="60"/>
        <v>3</v>
      </c>
      <c r="W345" s="108">
        <f>IF($A345="",0,IF(AND($C345&gt;=Config!$C$7,$C345&lt;=Config!$C$8),1,0))</f>
        <v>1</v>
      </c>
      <c r="X345" s="108">
        <f>IF($A345="",0,IF(COUNTIF(Config!$C$21:$C$23,$H345)&gt;0,1,0))</f>
        <v>0</v>
      </c>
      <c r="Y345" s="108">
        <f t="shared" si="61"/>
        <v>6</v>
      </c>
      <c r="Z345" s="108" t="str">
        <f t="shared" si="62"/>
        <v/>
      </c>
      <c r="AB345" s="108">
        <f t="shared" si="63"/>
        <v>0</v>
      </c>
      <c r="AC345" s="108">
        <f>IF($A345="",0,IF(AND($AB345=1,COUNTIF($A$2:$A345,$A345)=1),1,0))</f>
        <v>0</v>
      </c>
      <c r="AD345" s="108">
        <f t="shared" si="64"/>
        <v>1</v>
      </c>
      <c r="AE345" s="108" t="str">
        <f t="shared" si="65"/>
        <v/>
      </c>
      <c r="AF345" s="108">
        <f t="shared" si="66"/>
        <v>0</v>
      </c>
      <c r="AG345" s="108">
        <f t="shared" si="67"/>
        <v>0</v>
      </c>
      <c r="AH345" s="112" t="str">
        <f t="shared" si="68"/>
        <v>M Verdooren|20260903|TitleNotes - Library|0.375|8 Documents
 50 Transactions</v>
      </c>
      <c r="AI345" s="108">
        <f t="shared" si="69"/>
        <v>0</v>
      </c>
      <c r="AJ345" s="108">
        <f t="shared" si="70"/>
        <v>0</v>
      </c>
      <c r="AK345" s="108">
        <f>IF($A345="",0,IF(AND($S345=1,$W345=1,$X345=1,$U345&gt;Config!$C$9),1,0))</f>
        <v>0</v>
      </c>
      <c r="AL345" s="108">
        <f t="shared" si="71"/>
        <v>0</v>
      </c>
    </row>
    <row r="346" spans="1:38" x14ac:dyDescent="0.25">
      <c r="A346" s="106" t="s">
        <v>481</v>
      </c>
      <c r="B346" s="106" t="s">
        <v>618</v>
      </c>
      <c r="C346" s="107">
        <v>46268</v>
      </c>
      <c r="D346" s="106" t="s">
        <v>680</v>
      </c>
      <c r="E346" s="106" t="s">
        <v>681</v>
      </c>
      <c r="F346" s="106" t="s">
        <v>745</v>
      </c>
      <c r="G346" s="106" t="s">
        <v>784</v>
      </c>
      <c r="H346" s="106" t="s">
        <v>631</v>
      </c>
      <c r="I346" s="106"/>
      <c r="J346" s="106"/>
      <c r="K346" s="106">
        <v>1</v>
      </c>
      <c r="L346" s="106">
        <v>0</v>
      </c>
      <c r="M346" s="106">
        <v>0</v>
      </c>
      <c r="N346" s="106"/>
      <c r="O346" s="106"/>
      <c r="P346" s="106">
        <v>0</v>
      </c>
      <c r="Q346" s="106" t="s">
        <v>1166</v>
      </c>
      <c r="S346" s="108">
        <f>IF($A346="","",COUNTIF(BPOworkers!$B$6:$B$105,$A346))</f>
        <v>1</v>
      </c>
      <c r="T346" s="109">
        <f>IF($A346="","",$K346*Config!$C$9)</f>
        <v>8</v>
      </c>
      <c r="U346" s="109">
        <f>IF($A346="","",IF(COUNTIF(Config!$C$21:$C$23,$H346)&gt;0,IFERROR(VALUE(LEFT(TRIM($Q346),FIND(" ",TRIM($Q346)&amp;" ")-1)),0),0))</f>
        <v>0</v>
      </c>
      <c r="V346" s="109">
        <f t="shared" si="60"/>
        <v>8</v>
      </c>
      <c r="W346" s="108">
        <f>IF($A346="",0,IF(AND($C346&gt;=Config!$C$7,$C346&lt;=Config!$C$8),1,0))</f>
        <v>1</v>
      </c>
      <c r="X346" s="108">
        <f>IF($A346="",0,IF(COUNTIF(Config!$C$21:$C$23,$H346)&gt;0,1,0))</f>
        <v>0</v>
      </c>
      <c r="Y346" s="108">
        <f t="shared" si="61"/>
        <v>6</v>
      </c>
      <c r="Z346" s="108" t="str">
        <f t="shared" si="62"/>
        <v/>
      </c>
      <c r="AB346" s="108">
        <f t="shared" si="63"/>
        <v>0</v>
      </c>
      <c r="AC346" s="108">
        <f>IF($A346="",0,IF(AND($AB346=1,COUNTIF($A$2:$A346,$A346)=1),1,0))</f>
        <v>0</v>
      </c>
      <c r="AD346" s="108">
        <f t="shared" si="64"/>
        <v>1</v>
      </c>
      <c r="AE346" s="108" t="str">
        <f t="shared" si="65"/>
        <v/>
      </c>
      <c r="AF346" s="108">
        <f t="shared" si="66"/>
        <v>0</v>
      </c>
      <c r="AG346" s="108">
        <f t="shared" si="67"/>
        <v>0</v>
      </c>
      <c r="AH346" s="110" t="str">
        <f t="shared" si="68"/>
        <v>M Fernandez|20260903|Title|1.000|Created 3 notecards, indexed 4 different parties, analyzed 40 documents, reviewed 3 different historic indexes</v>
      </c>
      <c r="AI346" s="108">
        <f t="shared" si="69"/>
        <v>0</v>
      </c>
      <c r="AJ346" s="108">
        <f t="shared" si="70"/>
        <v>0</v>
      </c>
      <c r="AK346" s="108">
        <f>IF($A346="",0,IF(AND($S346=1,$W346=1,$X346=1,$U346&gt;Config!$C$9),1,0))</f>
        <v>0</v>
      </c>
      <c r="AL346" s="108">
        <f t="shared" si="71"/>
        <v>0</v>
      </c>
    </row>
    <row r="347" spans="1:38" ht="240.75" x14ac:dyDescent="0.25">
      <c r="A347" s="106" t="s">
        <v>462</v>
      </c>
      <c r="B347" s="106" t="s">
        <v>618</v>
      </c>
      <c r="C347" s="107">
        <v>46268</v>
      </c>
      <c r="D347" s="106" t="s">
        <v>680</v>
      </c>
      <c r="E347" s="106" t="s">
        <v>681</v>
      </c>
      <c r="F347" s="106" t="s">
        <v>745</v>
      </c>
      <c r="G347" s="106" t="s">
        <v>787</v>
      </c>
      <c r="H347" s="106" t="s">
        <v>631</v>
      </c>
      <c r="I347" s="106"/>
      <c r="J347" s="106"/>
      <c r="K347" s="106">
        <v>1</v>
      </c>
      <c r="L347" s="106">
        <v>0</v>
      </c>
      <c r="M347" s="106">
        <v>0</v>
      </c>
      <c r="N347" s="106"/>
      <c r="O347" s="106"/>
      <c r="P347" s="106">
        <v>0</v>
      </c>
      <c r="Q347" s="111" t="s">
        <v>1167</v>
      </c>
      <c r="S347" s="108">
        <f>IF($A347="","",COUNTIF(BPOworkers!$B$6:$B$105,$A347))</f>
        <v>1</v>
      </c>
      <c r="T347" s="109">
        <f>IF($A347="","",$K347*Config!$C$9)</f>
        <v>8</v>
      </c>
      <c r="U347" s="109">
        <f>IF($A347="","",IF(COUNTIF(Config!$C$21:$C$23,$H347)&gt;0,IFERROR(VALUE(LEFT(TRIM($Q347),FIND(" ",TRIM($Q347)&amp;" ")-1)),0),0))</f>
        <v>0</v>
      </c>
      <c r="V347" s="109">
        <f t="shared" si="60"/>
        <v>8</v>
      </c>
      <c r="W347" s="108">
        <f>IF($A347="",0,IF(AND($C347&gt;=Config!$C$7,$C347&lt;=Config!$C$8),1,0))</f>
        <v>1</v>
      </c>
      <c r="X347" s="108">
        <f>IF($A347="",0,IF(COUNTIF(Config!$C$21:$C$23,$H347)&gt;0,1,0))</f>
        <v>0</v>
      </c>
      <c r="Y347" s="108">
        <f t="shared" si="61"/>
        <v>6</v>
      </c>
      <c r="Z347" s="108" t="str">
        <f t="shared" si="62"/>
        <v/>
      </c>
      <c r="AB347" s="108">
        <f t="shared" si="63"/>
        <v>0</v>
      </c>
      <c r="AC347" s="108">
        <f>IF($A347="",0,IF(AND($AB347=1,COUNTIF($A$2:$A347,$A347)=1),1,0))</f>
        <v>0</v>
      </c>
      <c r="AD347" s="108">
        <f t="shared" si="64"/>
        <v>1</v>
      </c>
      <c r="AE347" s="108" t="str">
        <f t="shared" si="65"/>
        <v/>
      </c>
      <c r="AF347" s="108">
        <f t="shared" si="66"/>
        <v>0</v>
      </c>
      <c r="AG347" s="108">
        <f t="shared" si="67"/>
        <v>0</v>
      </c>
      <c r="AH347" s="112" t="str">
        <f t="shared" si="68"/>
        <v>F Montañez|20260903|Title|1.000|Documents added in AOI: 4
 Indexed documents: 20
 Indexed parties: 3
 Indexing the historical documents became necessa</v>
      </c>
      <c r="AI347" s="108">
        <f t="shared" si="69"/>
        <v>0</v>
      </c>
      <c r="AJ347" s="108">
        <f t="shared" si="70"/>
        <v>0</v>
      </c>
      <c r="AK347" s="108">
        <f>IF($A347="",0,IF(AND($S347=1,$W347=1,$X347=1,$U347&gt;Config!$C$9),1,0))</f>
        <v>0</v>
      </c>
      <c r="AL347" s="108">
        <f t="shared" si="71"/>
        <v>0</v>
      </c>
    </row>
    <row r="348" spans="1:38" x14ac:dyDescent="0.25">
      <c r="A348" s="106" t="s">
        <v>459</v>
      </c>
      <c r="B348" s="106" t="s">
        <v>618</v>
      </c>
      <c r="C348" s="107">
        <v>46268</v>
      </c>
      <c r="D348" s="106" t="s">
        <v>680</v>
      </c>
      <c r="E348" s="106" t="s">
        <v>681</v>
      </c>
      <c r="F348" s="106" t="s">
        <v>1168</v>
      </c>
      <c r="G348" s="106" t="s">
        <v>1169</v>
      </c>
      <c r="H348" s="106" t="s">
        <v>631</v>
      </c>
      <c r="I348" s="106"/>
      <c r="J348" s="106"/>
      <c r="K348" s="106">
        <v>1</v>
      </c>
      <c r="L348" s="106">
        <v>0</v>
      </c>
      <c r="M348" s="106">
        <v>0</v>
      </c>
      <c r="N348" s="106"/>
      <c r="O348" s="106"/>
      <c r="P348" s="106">
        <v>0</v>
      </c>
      <c r="Q348" s="106" t="s">
        <v>1170</v>
      </c>
      <c r="S348" s="108">
        <f>IF($A348="","",COUNTIF(BPOworkers!$B$6:$B$105,$A348))</f>
        <v>0</v>
      </c>
      <c r="T348" s="109">
        <f>IF($A348="","",$K348*Config!$C$9)</f>
        <v>8</v>
      </c>
      <c r="U348" s="109">
        <f>IF($A348="","",IF(COUNTIF(Config!$C$21:$C$23,$H348)&gt;0,IFERROR(VALUE(LEFT(TRIM($Q348),FIND(" ",TRIM($Q348)&amp;" ")-1)),0),0))</f>
        <v>0</v>
      </c>
      <c r="V348" s="109">
        <f t="shared" si="60"/>
        <v>8</v>
      </c>
      <c r="W348" s="108">
        <f>IF($A348="",0,IF(AND($C348&gt;=Config!$C$7,$C348&lt;=Config!$C$8),1,0))</f>
        <v>1</v>
      </c>
      <c r="X348" s="108">
        <f>IF($A348="",0,IF(COUNTIF(Config!$C$21:$C$23,$H348)&gt;0,1,0))</f>
        <v>0</v>
      </c>
      <c r="Y348" s="108">
        <f t="shared" si="61"/>
        <v>6</v>
      </c>
      <c r="Z348" s="108" t="str">
        <f t="shared" si="62"/>
        <v/>
      </c>
      <c r="AB348" s="108">
        <f t="shared" si="63"/>
        <v>1</v>
      </c>
      <c r="AC348" s="108">
        <f>IF($A348="",0,IF(AND($AB348=1,COUNTIF($A$2:$A348,$A348)=1),1,0))</f>
        <v>0</v>
      </c>
      <c r="AD348" s="108">
        <f t="shared" si="64"/>
        <v>1</v>
      </c>
      <c r="AE348" s="108" t="str">
        <f t="shared" si="65"/>
        <v/>
      </c>
      <c r="AF348" s="108">
        <f t="shared" si="66"/>
        <v>0</v>
      </c>
      <c r="AG348" s="108">
        <f t="shared" si="67"/>
        <v>0</v>
      </c>
      <c r="AH348" s="110" t="str">
        <f t="shared" si="68"/>
        <v>C Lara|20260903|Title|1.000|Dowloaded and uploaded to AOI corresponding deeds. Reviewed historical index since County record goes until 1980.</v>
      </c>
      <c r="AI348" s="108">
        <f t="shared" si="69"/>
        <v>0</v>
      </c>
      <c r="AJ348" s="108">
        <f t="shared" si="70"/>
        <v>0</v>
      </c>
      <c r="AK348" s="108">
        <f>IF($A348="",0,IF(AND($S348=1,$W348=1,$X348=1,$U348&gt;Config!$C$9),1,0))</f>
        <v>0</v>
      </c>
      <c r="AL348" s="108">
        <f t="shared" si="71"/>
        <v>0</v>
      </c>
    </row>
    <row r="349" spans="1:38" ht="180.75" x14ac:dyDescent="0.25">
      <c r="A349" s="106" t="s">
        <v>494</v>
      </c>
      <c r="B349" s="106" t="s">
        <v>618</v>
      </c>
      <c r="C349" s="107">
        <v>46268</v>
      </c>
      <c r="D349" s="106" t="s">
        <v>720</v>
      </c>
      <c r="E349" s="106" t="s">
        <v>721</v>
      </c>
      <c r="F349" s="106" t="s">
        <v>722</v>
      </c>
      <c r="G349" s="106" t="s">
        <v>1014</v>
      </c>
      <c r="H349" s="106" t="s">
        <v>631</v>
      </c>
      <c r="I349" s="106"/>
      <c r="J349" s="106" t="s">
        <v>1015</v>
      </c>
      <c r="K349" s="106">
        <v>1</v>
      </c>
      <c r="L349" s="106">
        <v>0</v>
      </c>
      <c r="M349" s="106">
        <v>0</v>
      </c>
      <c r="N349" s="106"/>
      <c r="O349" s="106"/>
      <c r="P349" s="106">
        <v>0</v>
      </c>
      <c r="Q349" s="111" t="s">
        <v>1171</v>
      </c>
      <c r="S349" s="108">
        <f>IF($A349="","",COUNTIF(BPOworkers!$B$6:$B$105,$A349))</f>
        <v>1</v>
      </c>
      <c r="T349" s="109">
        <f>IF($A349="","",$K349*Config!$C$9)</f>
        <v>8</v>
      </c>
      <c r="U349" s="109">
        <f>IF($A349="","",IF(COUNTIF(Config!$C$21:$C$23,$H349)&gt;0,IFERROR(VALUE(LEFT(TRIM($Q349),FIND(" ",TRIM($Q349)&amp;" ")-1)),0),0))</f>
        <v>0</v>
      </c>
      <c r="V349" s="109">
        <f t="shared" si="60"/>
        <v>8</v>
      </c>
      <c r="W349" s="108">
        <f>IF($A349="",0,IF(AND($C349&gt;=Config!$C$7,$C349&lt;=Config!$C$8),1,0))</f>
        <v>1</v>
      </c>
      <c r="X349" s="108">
        <f>IF($A349="",0,IF(COUNTIF(Config!$C$21:$C$23,$H349)&gt;0,1,0))</f>
        <v>0</v>
      </c>
      <c r="Y349" s="108">
        <f t="shared" si="61"/>
        <v>6</v>
      </c>
      <c r="Z349" s="108" t="str">
        <f t="shared" si="62"/>
        <v/>
      </c>
      <c r="AB349" s="108">
        <f t="shared" si="63"/>
        <v>0</v>
      </c>
      <c r="AC349" s="108">
        <f>IF($A349="",0,IF(AND($AB349=1,COUNTIF($A$2:$A349,$A349)=1),1,0))</f>
        <v>0</v>
      </c>
      <c r="AD349" s="108">
        <f t="shared" si="64"/>
        <v>1</v>
      </c>
      <c r="AE349" s="108" t="str">
        <f t="shared" si="65"/>
        <v/>
      </c>
      <c r="AF349" s="108">
        <f t="shared" si="66"/>
        <v>0</v>
      </c>
      <c r="AG349" s="108">
        <f t="shared" si="67"/>
        <v>0</v>
      </c>
      <c r="AH349" s="112" t="str">
        <f t="shared" si="68"/>
        <v>J Ramos|20260903|Title|1.000|-Indexing from the source deed back to the patent
 while adding relevant documents required in the scope
 -Documents add</v>
      </c>
      <c r="AI349" s="108">
        <f t="shared" si="69"/>
        <v>0</v>
      </c>
      <c r="AJ349" s="108">
        <f t="shared" si="70"/>
        <v>0</v>
      </c>
      <c r="AK349" s="108">
        <f>IF($A349="",0,IF(AND($S349=1,$W349=1,$X349=1,$U349&gt;Config!$C$9),1,0))</f>
        <v>0</v>
      </c>
      <c r="AL349" s="108">
        <f t="shared" si="71"/>
        <v>0</v>
      </c>
    </row>
    <row r="350" spans="1:38" x14ac:dyDescent="0.25">
      <c r="A350" s="106" t="s">
        <v>493</v>
      </c>
      <c r="B350" s="106" t="s">
        <v>618</v>
      </c>
      <c r="C350" s="107">
        <v>46268</v>
      </c>
      <c r="D350" s="106" t="s">
        <v>902</v>
      </c>
      <c r="E350" s="106" t="s">
        <v>903</v>
      </c>
      <c r="F350" s="106" t="s">
        <v>1108</v>
      </c>
      <c r="G350" s="106" t="s">
        <v>1109</v>
      </c>
      <c r="H350" s="106" t="s">
        <v>702</v>
      </c>
      <c r="I350" s="106"/>
      <c r="J350" s="106"/>
      <c r="K350" s="106">
        <v>1</v>
      </c>
      <c r="L350" s="106">
        <v>0</v>
      </c>
      <c r="M350" s="106">
        <v>0</v>
      </c>
      <c r="N350" s="106"/>
      <c r="O350" s="106"/>
      <c r="P350" s="106">
        <v>0</v>
      </c>
      <c r="Q350" s="106" t="s">
        <v>1145</v>
      </c>
      <c r="S350" s="108">
        <f>IF($A350="","",COUNTIF(BPOworkers!$B$6:$B$105,$A350))</f>
        <v>1</v>
      </c>
      <c r="T350" s="109">
        <f>IF($A350="","",$K350*Config!$C$9)</f>
        <v>8</v>
      </c>
      <c r="U350" s="109">
        <f>IF($A350="","",IF(COUNTIF(Config!$C$21:$C$23,$H350)&gt;0,IFERROR(VALUE(LEFT(TRIM($Q350),FIND(" ",TRIM($Q350)&amp;" ")-1)),0),0))</f>
        <v>0</v>
      </c>
      <c r="V350" s="109">
        <f t="shared" si="60"/>
        <v>8</v>
      </c>
      <c r="W350" s="108">
        <f>IF($A350="",0,IF(AND($C350&gt;=Config!$C$7,$C350&lt;=Config!$C$8),1,0))</f>
        <v>1</v>
      </c>
      <c r="X350" s="108">
        <f>IF($A350="",0,IF(COUNTIF(Config!$C$21:$C$23,$H350)&gt;0,1,0))</f>
        <v>0</v>
      </c>
      <c r="Y350" s="108">
        <f t="shared" si="61"/>
        <v>6</v>
      </c>
      <c r="Z350" s="108" t="str">
        <f t="shared" si="62"/>
        <v/>
      </c>
      <c r="AB350" s="108">
        <f t="shared" si="63"/>
        <v>0</v>
      </c>
      <c r="AC350" s="108">
        <f>IF($A350="",0,IF(AND($AB350=1,COUNTIF($A$2:$A350,$A350)=1),1,0))</f>
        <v>0</v>
      </c>
      <c r="AD350" s="108">
        <f t="shared" si="64"/>
        <v>1</v>
      </c>
      <c r="AE350" s="108" t="str">
        <f t="shared" si="65"/>
        <v/>
      </c>
      <c r="AF350" s="108">
        <f t="shared" si="66"/>
        <v>0</v>
      </c>
      <c r="AG350" s="108">
        <f t="shared" si="67"/>
        <v>0</v>
      </c>
      <c r="AH350" s="110" t="str">
        <f t="shared" si="68"/>
        <v>J Macias|20260903|Data Processing|1.000|Clean and process STR reports, then move completed files to the Processed folder</v>
      </c>
      <c r="AI350" s="108">
        <f t="shared" si="69"/>
        <v>0</v>
      </c>
      <c r="AJ350" s="108">
        <f t="shared" si="70"/>
        <v>0</v>
      </c>
      <c r="AK350" s="108">
        <f>IF($A350="",0,IF(AND($S350=1,$W350=1,$X350=1,$U350&gt;Config!$C$9),1,0))</f>
        <v>0</v>
      </c>
      <c r="AL350" s="108">
        <f t="shared" si="71"/>
        <v>0</v>
      </c>
    </row>
    <row r="351" spans="1:38" x14ac:dyDescent="0.25">
      <c r="A351" s="106" t="s">
        <v>496</v>
      </c>
      <c r="B351" s="106" t="s">
        <v>618</v>
      </c>
      <c r="C351" s="107">
        <v>46268</v>
      </c>
      <c r="D351" s="106" t="s">
        <v>720</v>
      </c>
      <c r="E351" s="106" t="s">
        <v>721</v>
      </c>
      <c r="F351" s="106" t="s">
        <v>722</v>
      </c>
      <c r="G351" s="106" t="s">
        <v>933</v>
      </c>
      <c r="H351" s="106" t="s">
        <v>656</v>
      </c>
      <c r="I351" s="106"/>
      <c r="J351" s="106"/>
      <c r="K351" s="106">
        <v>0.125</v>
      </c>
      <c r="L351" s="106">
        <v>0</v>
      </c>
      <c r="M351" s="106">
        <v>0</v>
      </c>
      <c r="N351" s="106"/>
      <c r="O351" s="106"/>
      <c r="P351" s="106">
        <v>0</v>
      </c>
      <c r="Q351" s="106" t="s">
        <v>1018</v>
      </c>
      <c r="S351" s="108">
        <f>IF($A351="","",COUNTIF(BPOworkers!$B$6:$B$105,$A351))</f>
        <v>1</v>
      </c>
      <c r="T351" s="109">
        <f>IF($A351="","",$K351*Config!$C$9)</f>
        <v>1</v>
      </c>
      <c r="U351" s="109">
        <f>IF($A351="","",IF(COUNTIF(Config!$C$21:$C$23,$H351)&gt;0,IFERROR(VALUE(LEFT(TRIM($Q351),FIND(" ",TRIM($Q351)&amp;" ")-1)),0),0))</f>
        <v>0</v>
      </c>
      <c r="V351" s="109">
        <f t="shared" si="60"/>
        <v>1</v>
      </c>
      <c r="W351" s="108">
        <f>IF($A351="",0,IF(AND($C351&gt;=Config!$C$7,$C351&lt;=Config!$C$8),1,0))</f>
        <v>1</v>
      </c>
      <c r="X351" s="108">
        <f>IF($A351="",0,IF(COUNTIF(Config!$C$21:$C$23,$H351)&gt;0,1,0))</f>
        <v>0</v>
      </c>
      <c r="Y351" s="108">
        <f t="shared" si="61"/>
        <v>6</v>
      </c>
      <c r="Z351" s="108" t="str">
        <f t="shared" si="62"/>
        <v/>
      </c>
      <c r="AB351" s="108">
        <f t="shared" si="63"/>
        <v>0</v>
      </c>
      <c r="AC351" s="108">
        <f>IF($A351="",0,IF(AND($AB351=1,COUNTIF($A$2:$A351,$A351)=1),1,0))</f>
        <v>0</v>
      </c>
      <c r="AD351" s="108">
        <f t="shared" si="64"/>
        <v>1</v>
      </c>
      <c r="AE351" s="108" t="str">
        <f t="shared" si="65"/>
        <v/>
      </c>
      <c r="AF351" s="108">
        <f t="shared" si="66"/>
        <v>0</v>
      </c>
      <c r="AG351" s="108">
        <f t="shared" si="67"/>
        <v>0</v>
      </c>
      <c r="AH351" s="110" t="str">
        <f t="shared" si="68"/>
        <v>N Espitia|20260903|Project Management|0.125|- Approved billing &amp; provided support + daily meeting</v>
      </c>
      <c r="AI351" s="108">
        <f t="shared" si="69"/>
        <v>0</v>
      </c>
      <c r="AJ351" s="108">
        <f t="shared" si="70"/>
        <v>0</v>
      </c>
      <c r="AK351" s="108">
        <f>IF($A351="",0,IF(AND($S351=1,$W351=1,$X351=1,$U351&gt;Config!$C$9),1,0))</f>
        <v>0</v>
      </c>
      <c r="AL351" s="108">
        <f t="shared" si="71"/>
        <v>0</v>
      </c>
    </row>
    <row r="352" spans="1:38" ht="168.75" x14ac:dyDescent="0.25">
      <c r="A352" s="106" t="s">
        <v>496</v>
      </c>
      <c r="B352" s="106" t="s">
        <v>618</v>
      </c>
      <c r="C352" s="107">
        <v>46268</v>
      </c>
      <c r="D352" s="106" t="s">
        <v>720</v>
      </c>
      <c r="E352" s="106" t="s">
        <v>721</v>
      </c>
      <c r="F352" s="106" t="s">
        <v>722</v>
      </c>
      <c r="G352" s="106" t="s">
        <v>970</v>
      </c>
      <c r="H352" s="106" t="s">
        <v>631</v>
      </c>
      <c r="I352" s="106"/>
      <c r="J352" s="106" t="s">
        <v>1019</v>
      </c>
      <c r="K352" s="106">
        <v>0.875</v>
      </c>
      <c r="L352" s="106">
        <v>0</v>
      </c>
      <c r="M352" s="106">
        <v>0</v>
      </c>
      <c r="N352" s="106"/>
      <c r="O352" s="106"/>
      <c r="P352" s="106">
        <v>0</v>
      </c>
      <c r="Q352" s="111" t="s">
        <v>1172</v>
      </c>
      <c r="S352" s="108">
        <f>IF($A352="","",COUNTIF(BPOworkers!$B$6:$B$105,$A352))</f>
        <v>1</v>
      </c>
      <c r="T352" s="109">
        <f>IF($A352="","",$K352*Config!$C$9)</f>
        <v>7</v>
      </c>
      <c r="U352" s="109">
        <f>IF($A352="","",IF(COUNTIF(Config!$C$21:$C$23,$H352)&gt;0,IFERROR(VALUE(LEFT(TRIM($Q352),FIND(" ",TRIM($Q352)&amp;" ")-1)),0),0))</f>
        <v>0</v>
      </c>
      <c r="V352" s="109">
        <f t="shared" si="60"/>
        <v>7</v>
      </c>
      <c r="W352" s="108">
        <f>IF($A352="",0,IF(AND($C352&gt;=Config!$C$7,$C352&lt;=Config!$C$8),1,0))</f>
        <v>1</v>
      </c>
      <c r="X352" s="108">
        <f>IF($A352="",0,IF(COUNTIF(Config!$C$21:$C$23,$H352)&gt;0,1,0))</f>
        <v>0</v>
      </c>
      <c r="Y352" s="108">
        <f t="shared" si="61"/>
        <v>6</v>
      </c>
      <c r="Z352" s="108" t="str">
        <f t="shared" si="62"/>
        <v/>
      </c>
      <c r="AB352" s="108">
        <f t="shared" si="63"/>
        <v>0</v>
      </c>
      <c r="AC352" s="108">
        <f>IF($A352="",0,IF(AND($AB352=1,COUNTIF($A$2:$A352,$A352)=1),1,0))</f>
        <v>0</v>
      </c>
      <c r="AD352" s="108">
        <f t="shared" si="64"/>
        <v>1</v>
      </c>
      <c r="AE352" s="108" t="str">
        <f t="shared" si="65"/>
        <v/>
      </c>
      <c r="AF352" s="108">
        <f t="shared" si="66"/>
        <v>0</v>
      </c>
      <c r="AG352" s="108">
        <f t="shared" si="67"/>
        <v>0</v>
      </c>
      <c r="AH352" s="112" t="str">
        <f t="shared" si="68"/>
        <v>N Espitia|20260903|Title|0.875|- Continued indexing from the source deed back to the patent while adding relevant documents required in the scope
 - Do</v>
      </c>
      <c r="AI352" s="108">
        <f t="shared" si="69"/>
        <v>0</v>
      </c>
      <c r="AJ352" s="108">
        <f t="shared" si="70"/>
        <v>0</v>
      </c>
      <c r="AK352" s="108">
        <f>IF($A352="",0,IF(AND($S352=1,$W352=1,$X352=1,$U352&gt;Config!$C$9),1,0))</f>
        <v>0</v>
      </c>
      <c r="AL352" s="108">
        <f t="shared" si="71"/>
        <v>0</v>
      </c>
    </row>
    <row r="353" spans="1:38" ht="180.75" x14ac:dyDescent="0.25">
      <c r="A353" s="106" t="s">
        <v>491</v>
      </c>
      <c r="B353" s="106" t="s">
        <v>618</v>
      </c>
      <c r="C353" s="107">
        <v>46268</v>
      </c>
      <c r="D353" s="106" t="s">
        <v>720</v>
      </c>
      <c r="E353" s="106" t="s">
        <v>721</v>
      </c>
      <c r="F353" s="106" t="s">
        <v>722</v>
      </c>
      <c r="G353" s="106" t="s">
        <v>1022</v>
      </c>
      <c r="H353" s="106" t="s">
        <v>631</v>
      </c>
      <c r="I353" s="106"/>
      <c r="J353" s="106" t="s">
        <v>1023</v>
      </c>
      <c r="K353" s="106">
        <v>1</v>
      </c>
      <c r="L353" s="106">
        <v>0</v>
      </c>
      <c r="M353" s="106">
        <v>0</v>
      </c>
      <c r="N353" s="106"/>
      <c r="O353" s="106"/>
      <c r="P353" s="106">
        <v>0</v>
      </c>
      <c r="Q353" s="111" t="s">
        <v>1173</v>
      </c>
      <c r="S353" s="108">
        <f>IF($A353="","",COUNTIF(BPOworkers!$B$6:$B$105,$A353))</f>
        <v>1</v>
      </c>
      <c r="T353" s="109">
        <f>IF($A353="","",$K353*Config!$C$9)</f>
        <v>8</v>
      </c>
      <c r="U353" s="109">
        <f>IF($A353="","",IF(COUNTIF(Config!$C$21:$C$23,$H353)&gt;0,IFERROR(VALUE(LEFT(TRIM($Q353),FIND(" ",TRIM($Q353)&amp;" ")-1)),0),0))</f>
        <v>0</v>
      </c>
      <c r="V353" s="109">
        <f t="shared" si="60"/>
        <v>8</v>
      </c>
      <c r="W353" s="108">
        <f>IF($A353="",0,IF(AND($C353&gt;=Config!$C$7,$C353&lt;=Config!$C$8),1,0))</f>
        <v>1</v>
      </c>
      <c r="X353" s="108">
        <f>IF($A353="",0,IF(COUNTIF(Config!$C$21:$C$23,$H353)&gt;0,1,0))</f>
        <v>0</v>
      </c>
      <c r="Y353" s="108">
        <f t="shared" si="61"/>
        <v>6</v>
      </c>
      <c r="Z353" s="108" t="str">
        <f t="shared" si="62"/>
        <v/>
      </c>
      <c r="AB353" s="108">
        <f t="shared" si="63"/>
        <v>0</v>
      </c>
      <c r="AC353" s="108">
        <f>IF($A353="",0,IF(AND($AB353=1,COUNTIF($A$2:$A353,$A353)=1),1,0))</f>
        <v>0</v>
      </c>
      <c r="AD353" s="108">
        <f t="shared" si="64"/>
        <v>1</v>
      </c>
      <c r="AE353" s="108" t="str">
        <f t="shared" si="65"/>
        <v/>
      </c>
      <c r="AF353" s="108">
        <f t="shared" si="66"/>
        <v>0</v>
      </c>
      <c r="AG353" s="108">
        <f t="shared" si="67"/>
        <v>0</v>
      </c>
      <c r="AH353" s="112" t="str">
        <f t="shared" si="68"/>
        <v>N Lozano|20260903|Title|1.000|-I experienced several glitches with the website today.
 - Documents added to the AOI: 4
 - Documents indexed : 173</v>
      </c>
      <c r="AI353" s="108">
        <f t="shared" si="69"/>
        <v>0</v>
      </c>
      <c r="AJ353" s="108">
        <f t="shared" si="70"/>
        <v>0</v>
      </c>
      <c r="AK353" s="108">
        <f>IF($A353="",0,IF(AND($S353=1,$W353=1,$X353=1,$U353&gt;Config!$C$9),1,0))</f>
        <v>0</v>
      </c>
      <c r="AL353" s="108">
        <f t="shared" si="71"/>
        <v>0</v>
      </c>
    </row>
    <row r="354" spans="1:38" x14ac:dyDescent="0.25">
      <c r="A354" s="106" t="s">
        <v>503</v>
      </c>
      <c r="B354" s="106" t="s">
        <v>618</v>
      </c>
      <c r="C354" s="107">
        <v>46268</v>
      </c>
      <c r="D354" s="106" t="s">
        <v>628</v>
      </c>
      <c r="E354" s="106" t="s">
        <v>793</v>
      </c>
      <c r="F354" s="106" t="s">
        <v>670</v>
      </c>
      <c r="G354" s="106" t="s">
        <v>794</v>
      </c>
      <c r="H354" s="106" t="s">
        <v>707</v>
      </c>
      <c r="I354" s="106"/>
      <c r="J354" s="106" t="s">
        <v>795</v>
      </c>
      <c r="K354" s="106">
        <v>0.75</v>
      </c>
      <c r="L354" s="106">
        <v>0</v>
      </c>
      <c r="M354" s="106">
        <v>0</v>
      </c>
      <c r="N354" s="106"/>
      <c r="O354" s="106"/>
      <c r="P354" s="106">
        <v>0</v>
      </c>
      <c r="Q354" s="106" t="s">
        <v>1174</v>
      </c>
      <c r="S354" s="108">
        <f>IF($A354="","",COUNTIF(BPOworkers!$B$6:$B$105,$A354))</f>
        <v>1</v>
      </c>
      <c r="T354" s="109">
        <f>IF($A354="","",$K354*Config!$C$9)</f>
        <v>6</v>
      </c>
      <c r="U354" s="109">
        <f>IF($A354="","",IF(COUNTIF(Config!$C$21:$C$23,$H354)&gt;0,IFERROR(VALUE(LEFT(TRIM($Q354),FIND(" ",TRIM($Q354)&amp;" ")-1)),0),0))</f>
        <v>0</v>
      </c>
      <c r="V354" s="109">
        <f t="shared" si="60"/>
        <v>6</v>
      </c>
      <c r="W354" s="108">
        <f>IF($A354="",0,IF(AND($C354&gt;=Config!$C$7,$C354&lt;=Config!$C$8),1,0))</f>
        <v>1</v>
      </c>
      <c r="X354" s="108">
        <f>IF($A354="",0,IF(COUNTIF(Config!$C$21:$C$23,$H354)&gt;0,1,0))</f>
        <v>0</v>
      </c>
      <c r="Y354" s="108">
        <f t="shared" si="61"/>
        <v>6</v>
      </c>
      <c r="Z354" s="108" t="str">
        <f t="shared" si="62"/>
        <v/>
      </c>
      <c r="AB354" s="108">
        <f t="shared" si="63"/>
        <v>0</v>
      </c>
      <c r="AC354" s="108">
        <f>IF($A354="",0,IF(AND($AB354=1,COUNTIF($A$2:$A354,$A354)=1),1,0))</f>
        <v>0</v>
      </c>
      <c r="AD354" s="108">
        <f t="shared" si="64"/>
        <v>1</v>
      </c>
      <c r="AE354" s="108" t="str">
        <f t="shared" si="65"/>
        <v/>
      </c>
      <c r="AF354" s="108">
        <f t="shared" si="66"/>
        <v>0</v>
      </c>
      <c r="AG354" s="108">
        <f t="shared" si="67"/>
        <v>0</v>
      </c>
      <c r="AH354" s="110" t="str">
        <f t="shared" si="68"/>
        <v xml:space="preserve">T Vargas|20260903|Title Opinion data entry|0.750|Reviewed instructions and recording on how to correctly enter a Title Opinion in TRACTS. Also reviewed the example AOI. </v>
      </c>
      <c r="AI354" s="108">
        <f t="shared" si="69"/>
        <v>0</v>
      </c>
      <c r="AJ354" s="108">
        <f t="shared" si="70"/>
        <v>0</v>
      </c>
      <c r="AK354" s="108">
        <f>IF($A354="",0,IF(AND($S354=1,$W354=1,$X354=1,$U354&gt;Config!$C$9),1,0))</f>
        <v>0</v>
      </c>
      <c r="AL354" s="108">
        <f t="shared" si="71"/>
        <v>0</v>
      </c>
    </row>
    <row r="355" spans="1:38" x14ac:dyDescent="0.25">
      <c r="A355" s="106" t="s">
        <v>503</v>
      </c>
      <c r="B355" s="106" t="s">
        <v>618</v>
      </c>
      <c r="C355" s="107">
        <v>46268</v>
      </c>
      <c r="D355" s="106" t="s">
        <v>712</v>
      </c>
      <c r="E355" s="106" t="s">
        <v>713</v>
      </c>
      <c r="F355" s="106" t="s">
        <v>714</v>
      </c>
      <c r="G355" s="106" t="s">
        <v>913</v>
      </c>
      <c r="H355" s="106" t="s">
        <v>631</v>
      </c>
      <c r="I355" s="106"/>
      <c r="J355" s="106"/>
      <c r="K355" s="106">
        <v>0.25</v>
      </c>
      <c r="L355" s="106">
        <v>0</v>
      </c>
      <c r="M355" s="106">
        <v>0</v>
      </c>
      <c r="N355" s="106"/>
      <c r="O355" s="106"/>
      <c r="P355" s="106">
        <v>0</v>
      </c>
      <c r="Q355" s="106" t="s">
        <v>1175</v>
      </c>
      <c r="S355" s="108">
        <f>IF($A355="","",COUNTIF(BPOworkers!$B$6:$B$105,$A355))</f>
        <v>1</v>
      </c>
      <c r="T355" s="109">
        <f>IF($A355="","",$K355*Config!$C$9)</f>
        <v>2</v>
      </c>
      <c r="U355" s="109">
        <f>IF($A355="","",IF(COUNTIF(Config!$C$21:$C$23,$H355)&gt;0,IFERROR(VALUE(LEFT(TRIM($Q355),FIND(" ",TRIM($Q355)&amp;" ")-1)),0),0))</f>
        <v>0</v>
      </c>
      <c r="V355" s="109">
        <f t="shared" si="60"/>
        <v>2</v>
      </c>
      <c r="W355" s="108">
        <f>IF($A355="",0,IF(AND($C355&gt;=Config!$C$7,$C355&lt;=Config!$C$8),1,0))</f>
        <v>1</v>
      </c>
      <c r="X355" s="108">
        <f>IF($A355="",0,IF(COUNTIF(Config!$C$21:$C$23,$H355)&gt;0,1,0))</f>
        <v>0</v>
      </c>
      <c r="Y355" s="108">
        <f t="shared" si="61"/>
        <v>6</v>
      </c>
      <c r="Z355" s="108" t="str">
        <f t="shared" si="62"/>
        <v/>
      </c>
      <c r="AB355" s="108">
        <f t="shared" si="63"/>
        <v>0</v>
      </c>
      <c r="AC355" s="108">
        <f>IF($A355="",0,IF(AND($AB355=1,COUNTIF($A$2:$A355,$A355)=1),1,0))</f>
        <v>0</v>
      </c>
      <c r="AD355" s="108">
        <f t="shared" si="64"/>
        <v>1</v>
      </c>
      <c r="AE355" s="108" t="str">
        <f t="shared" si="65"/>
        <v/>
      </c>
      <c r="AF355" s="108">
        <f t="shared" si="66"/>
        <v>0</v>
      </c>
      <c r="AG355" s="108">
        <f t="shared" si="67"/>
        <v>0</v>
      </c>
      <c r="AH355" s="110" t="str">
        <f t="shared" si="68"/>
        <v>T Vargas|20260903|Title|0.250|AOI, landman statement and indexing spreadsheet completed. Task ready for review.</v>
      </c>
      <c r="AI355" s="108">
        <f t="shared" si="69"/>
        <v>0</v>
      </c>
      <c r="AJ355" s="108">
        <f t="shared" si="70"/>
        <v>0</v>
      </c>
      <c r="AK355" s="108">
        <f>IF($A355="",0,IF(AND($S355=1,$W355=1,$X355=1,$U355&gt;Config!$C$9),1,0))</f>
        <v>0</v>
      </c>
      <c r="AL355" s="108">
        <f t="shared" si="71"/>
        <v>0</v>
      </c>
    </row>
    <row r="356" spans="1:38" x14ac:dyDescent="0.25">
      <c r="A356" s="106" t="s">
        <v>500</v>
      </c>
      <c r="B356" s="106" t="s">
        <v>618</v>
      </c>
      <c r="C356" s="107">
        <v>46268</v>
      </c>
      <c r="D356" s="106" t="s">
        <v>680</v>
      </c>
      <c r="E356" s="106" t="s">
        <v>681</v>
      </c>
      <c r="F356" s="106" t="s">
        <v>745</v>
      </c>
      <c r="G356" s="106" t="s">
        <v>797</v>
      </c>
      <c r="H356" s="106" t="s">
        <v>631</v>
      </c>
      <c r="I356" s="106"/>
      <c r="J356" s="106" t="s">
        <v>788</v>
      </c>
      <c r="K356" s="106">
        <v>1</v>
      </c>
      <c r="L356" s="106">
        <v>0</v>
      </c>
      <c r="M356" s="106">
        <v>0</v>
      </c>
      <c r="N356" s="106"/>
      <c r="O356" s="106"/>
      <c r="P356" s="106">
        <v>0</v>
      </c>
      <c r="Q356" s="106" t="s">
        <v>1176</v>
      </c>
      <c r="S356" s="108">
        <f>IF($A356="","",COUNTIF(BPOworkers!$B$6:$B$105,$A356))</f>
        <v>1</v>
      </c>
      <c r="T356" s="109">
        <f>IF($A356="","",$K356*Config!$C$9)</f>
        <v>8</v>
      </c>
      <c r="U356" s="109">
        <f>IF($A356="","",IF(COUNTIF(Config!$C$21:$C$23,$H356)&gt;0,IFERROR(VALUE(LEFT(TRIM($Q356),FIND(" ",TRIM($Q356)&amp;" ")-1)),0),0))</f>
        <v>0</v>
      </c>
      <c r="V356" s="109">
        <f t="shared" si="60"/>
        <v>8</v>
      </c>
      <c r="W356" s="108">
        <f>IF($A356="",0,IF(AND($C356&gt;=Config!$C$7,$C356&lt;=Config!$C$8),1,0))</f>
        <v>1</v>
      </c>
      <c r="X356" s="108">
        <f>IF($A356="",0,IF(COUNTIF(Config!$C$21:$C$23,$H356)&gt;0,1,0))</f>
        <v>0</v>
      </c>
      <c r="Y356" s="108">
        <f t="shared" si="61"/>
        <v>6</v>
      </c>
      <c r="Z356" s="108" t="str">
        <f t="shared" si="62"/>
        <v/>
      </c>
      <c r="AB356" s="108">
        <f t="shared" si="63"/>
        <v>0</v>
      </c>
      <c r="AC356" s="108">
        <f>IF($A356="",0,IF(AND($AB356=1,COUNTIF($A$2:$A356,$A356)=1),1,0))</f>
        <v>0</v>
      </c>
      <c r="AD356" s="108">
        <f t="shared" si="64"/>
        <v>1</v>
      </c>
      <c r="AE356" s="108" t="str">
        <f t="shared" si="65"/>
        <v/>
      </c>
      <c r="AF356" s="108">
        <f t="shared" si="66"/>
        <v>0</v>
      </c>
      <c r="AG356" s="108">
        <f t="shared" si="67"/>
        <v>0</v>
      </c>
      <c r="AH356" s="110" t="str">
        <f t="shared" si="68"/>
        <v>K Martínez|20260903|Title|1.000|Used other tools to find patent for both legal descriptions, indexed by manual index in the county courthouse with the p</v>
      </c>
      <c r="AI356" s="108">
        <f t="shared" si="69"/>
        <v>0</v>
      </c>
      <c r="AJ356" s="108">
        <f t="shared" si="70"/>
        <v>0</v>
      </c>
      <c r="AK356" s="108">
        <f>IF($A356="",0,IF(AND($S356=1,$W356=1,$X356=1,$U356&gt;Config!$C$9),1,0))</f>
        <v>0</v>
      </c>
      <c r="AL356" s="108">
        <f t="shared" si="71"/>
        <v>0</v>
      </c>
    </row>
    <row r="357" spans="1:38" ht="192.75" x14ac:dyDescent="0.25">
      <c r="A357" s="106" t="s">
        <v>488</v>
      </c>
      <c r="B357" s="106" t="s">
        <v>618</v>
      </c>
      <c r="C357" s="107">
        <v>46268</v>
      </c>
      <c r="D357" s="106" t="s">
        <v>902</v>
      </c>
      <c r="E357" s="106" t="s">
        <v>903</v>
      </c>
      <c r="F357" s="106" t="s">
        <v>1108</v>
      </c>
      <c r="G357" s="106" t="s">
        <v>1109</v>
      </c>
      <c r="H357" s="106" t="s">
        <v>702</v>
      </c>
      <c r="I357" s="106"/>
      <c r="J357" s="106"/>
      <c r="K357" s="106">
        <v>1</v>
      </c>
      <c r="L357" s="106">
        <v>0</v>
      </c>
      <c r="M357" s="106">
        <v>0</v>
      </c>
      <c r="N357" s="106"/>
      <c r="O357" s="106"/>
      <c r="P357" s="106">
        <v>0</v>
      </c>
      <c r="Q357" s="111" t="s">
        <v>1177</v>
      </c>
      <c r="S357" s="108">
        <f>IF($A357="","",COUNTIF(BPOworkers!$B$6:$B$105,$A357))</f>
        <v>1</v>
      </c>
      <c r="T357" s="109">
        <f>IF($A357="","",$K357*Config!$C$9)</f>
        <v>8</v>
      </c>
      <c r="U357" s="109">
        <f>IF($A357="","",IF(COUNTIF(Config!$C$21:$C$23,$H357)&gt;0,IFERROR(VALUE(LEFT(TRIM($Q357),FIND(" ",TRIM($Q357)&amp;" ")-1)),0),0))</f>
        <v>0</v>
      </c>
      <c r="V357" s="109">
        <f t="shared" si="60"/>
        <v>8</v>
      </c>
      <c r="W357" s="108">
        <f>IF($A357="",0,IF(AND($C357&gt;=Config!$C$7,$C357&lt;=Config!$C$8),1,0))</f>
        <v>1</v>
      </c>
      <c r="X357" s="108">
        <f>IF($A357="",0,IF(COUNTIF(Config!$C$21:$C$23,$H357)&gt;0,1,0))</f>
        <v>0</v>
      </c>
      <c r="Y357" s="108">
        <f t="shared" si="61"/>
        <v>6</v>
      </c>
      <c r="Z357" s="108" t="str">
        <f t="shared" si="62"/>
        <v/>
      </c>
      <c r="AB357" s="108">
        <f t="shared" si="63"/>
        <v>0</v>
      </c>
      <c r="AC357" s="108">
        <f>IF($A357="",0,IF(AND($AB357=1,COUNTIF($A$2:$A357,$A357)=1),1,0))</f>
        <v>0</v>
      </c>
      <c r="AD357" s="108">
        <f t="shared" si="64"/>
        <v>1</v>
      </c>
      <c r="AE357" s="108" t="str">
        <f t="shared" si="65"/>
        <v/>
      </c>
      <c r="AF357" s="108">
        <f t="shared" si="66"/>
        <v>0</v>
      </c>
      <c r="AG357" s="108">
        <f t="shared" si="67"/>
        <v>0</v>
      </c>
      <c r="AH357" s="112" t="str">
        <f t="shared" si="68"/>
        <v xml:space="preserve">D Chinchilla|20260903|Data Processing|1.000|Deleted notes, comment, requirement, etc. from history of title, lease analysis, and runsheets.
 35 folders processed </v>
      </c>
      <c r="AI357" s="108">
        <f t="shared" si="69"/>
        <v>0</v>
      </c>
      <c r="AJ357" s="108">
        <f t="shared" si="70"/>
        <v>0</v>
      </c>
      <c r="AK357" s="108">
        <f>IF($A357="",0,IF(AND($S357=1,$W357=1,$X357=1,$U357&gt;Config!$C$9),1,0))</f>
        <v>0</v>
      </c>
      <c r="AL357" s="108">
        <f t="shared" si="71"/>
        <v>0</v>
      </c>
    </row>
    <row r="358" spans="1:38" x14ac:dyDescent="0.25">
      <c r="A358" s="106" t="s">
        <v>487</v>
      </c>
      <c r="B358" s="106" t="s">
        <v>618</v>
      </c>
      <c r="C358" s="107">
        <v>46268</v>
      </c>
      <c r="D358" s="106" t="s">
        <v>712</v>
      </c>
      <c r="E358" s="106" t="s">
        <v>713</v>
      </c>
      <c r="F358" s="106" t="s">
        <v>714</v>
      </c>
      <c r="G358" s="106" t="s">
        <v>800</v>
      </c>
      <c r="H358" s="106" t="s">
        <v>631</v>
      </c>
      <c r="I358" s="106"/>
      <c r="J358" s="106" t="s">
        <v>801</v>
      </c>
      <c r="K358" s="106">
        <v>1</v>
      </c>
      <c r="L358" s="106">
        <v>0</v>
      </c>
      <c r="M358" s="106">
        <v>0</v>
      </c>
      <c r="N358" s="106"/>
      <c r="O358" s="106"/>
      <c r="P358" s="106">
        <v>0</v>
      </c>
      <c r="Q358" s="106" t="s">
        <v>1178</v>
      </c>
      <c r="S358" s="108">
        <f>IF($A358="","",COUNTIF(BPOworkers!$B$6:$B$105,$A358))</f>
        <v>1</v>
      </c>
      <c r="T358" s="109">
        <f>IF($A358="","",$K358*Config!$C$9)</f>
        <v>8</v>
      </c>
      <c r="U358" s="109">
        <f>IF($A358="","",IF(COUNTIF(Config!$C$21:$C$23,$H358)&gt;0,IFERROR(VALUE(LEFT(TRIM($Q358),FIND(" ",TRIM($Q358)&amp;" ")-1)),0),0))</f>
        <v>0</v>
      </c>
      <c r="V358" s="109">
        <f t="shared" si="60"/>
        <v>8</v>
      </c>
      <c r="W358" s="108">
        <f>IF($A358="",0,IF(AND($C358&gt;=Config!$C$7,$C358&lt;=Config!$C$8),1,0))</f>
        <v>1</v>
      </c>
      <c r="X358" s="108">
        <f>IF($A358="",0,IF(COUNTIF(Config!$C$21:$C$23,$H358)&gt;0,1,0))</f>
        <v>0</v>
      </c>
      <c r="Y358" s="108">
        <f t="shared" si="61"/>
        <v>6</v>
      </c>
      <c r="Z358" s="108" t="str">
        <f t="shared" si="62"/>
        <v/>
      </c>
      <c r="AB358" s="108">
        <f t="shared" si="63"/>
        <v>0</v>
      </c>
      <c r="AC358" s="108">
        <f>IF($A358="",0,IF(AND($AB358=1,COUNTIF($A$2:$A358,$A358)=1),1,0))</f>
        <v>0</v>
      </c>
      <c r="AD358" s="108">
        <f t="shared" si="64"/>
        <v>1</v>
      </c>
      <c r="AE358" s="108" t="str">
        <f t="shared" si="65"/>
        <v/>
      </c>
      <c r="AF358" s="108">
        <f t="shared" si="66"/>
        <v>0</v>
      </c>
      <c r="AG358" s="108">
        <f t="shared" si="67"/>
        <v>0</v>
      </c>
      <c r="AH358" s="110" t="str">
        <f t="shared" si="68"/>
        <v>A Guerra|20260903|Title|1.000|Finalizing the indexing and resolving gaps in the chain of title.</v>
      </c>
      <c r="AI358" s="108">
        <f t="shared" si="69"/>
        <v>0</v>
      </c>
      <c r="AJ358" s="108">
        <f t="shared" si="70"/>
        <v>0</v>
      </c>
      <c r="AK358" s="108">
        <f>IF($A358="",0,IF(AND($S358=1,$W358=1,$X358=1,$U358&gt;Config!$C$9),1,0))</f>
        <v>0</v>
      </c>
      <c r="AL358" s="108">
        <f t="shared" si="71"/>
        <v>0</v>
      </c>
    </row>
    <row r="359" spans="1:38" ht="108.75" x14ac:dyDescent="0.25">
      <c r="A359" s="106" t="s">
        <v>489</v>
      </c>
      <c r="B359" s="106" t="s">
        <v>618</v>
      </c>
      <c r="C359" s="107">
        <v>46268</v>
      </c>
      <c r="D359" s="106" t="s">
        <v>669</v>
      </c>
      <c r="E359" s="106" t="s">
        <v>669</v>
      </c>
      <c r="F359" s="106" t="s">
        <v>670</v>
      </c>
      <c r="G359" s="106"/>
      <c r="H359" s="106" t="s">
        <v>671</v>
      </c>
      <c r="I359" s="106"/>
      <c r="J359" s="106"/>
      <c r="K359" s="106">
        <v>1</v>
      </c>
      <c r="L359" s="106">
        <v>0</v>
      </c>
      <c r="M359" s="106">
        <v>0</v>
      </c>
      <c r="N359" s="106"/>
      <c r="O359" s="106"/>
      <c r="P359" s="106">
        <v>0</v>
      </c>
      <c r="Q359" s="111" t="s">
        <v>1179</v>
      </c>
      <c r="S359" s="108">
        <f>IF($A359="","",COUNTIF(BPOworkers!$B$6:$B$105,$A359))</f>
        <v>1</v>
      </c>
      <c r="T359" s="109">
        <f>IF($A359="","",$K359*Config!$C$9)</f>
        <v>8</v>
      </c>
      <c r="U359" s="109">
        <f>IF($A359="","",IF(COUNTIF(Config!$C$21:$C$23,$H359)&gt;0,IFERROR(VALUE(LEFT(TRIM($Q359),FIND(" ",TRIM($Q359)&amp;" ")-1)),0),0))</f>
        <v>0</v>
      </c>
      <c r="V359" s="109">
        <f t="shared" si="60"/>
        <v>8</v>
      </c>
      <c r="W359" s="108">
        <f>IF($A359="",0,IF(AND($C359&gt;=Config!$C$7,$C359&lt;=Config!$C$8),1,0))</f>
        <v>1</v>
      </c>
      <c r="X359" s="108">
        <f>IF($A359="",0,IF(COUNTIF(Config!$C$21:$C$23,$H359)&gt;0,1,0))</f>
        <v>0</v>
      </c>
      <c r="Y359" s="108">
        <f t="shared" si="61"/>
        <v>6</v>
      </c>
      <c r="Z359" s="108" t="str">
        <f t="shared" si="62"/>
        <v/>
      </c>
      <c r="AB359" s="108">
        <f t="shared" si="63"/>
        <v>0</v>
      </c>
      <c r="AC359" s="108">
        <f>IF($A359="",0,IF(AND($AB359=1,COUNTIF($A$2:$A359,$A359)=1),1,0))</f>
        <v>0</v>
      </c>
      <c r="AD359" s="108">
        <f t="shared" si="64"/>
        <v>1</v>
      </c>
      <c r="AE359" s="108" t="str">
        <f t="shared" si="65"/>
        <v/>
      </c>
      <c r="AF359" s="108">
        <f t="shared" si="66"/>
        <v>0</v>
      </c>
      <c r="AG359" s="108">
        <f t="shared" si="67"/>
        <v>0</v>
      </c>
      <c r="AH359" s="112" t="str">
        <f t="shared" si="68"/>
        <v>G Pereira|20260903|TitleNotes - Library|1.000|22 Documents
 73 Transactions</v>
      </c>
      <c r="AI359" s="108">
        <f t="shared" si="69"/>
        <v>0</v>
      </c>
      <c r="AJ359" s="108">
        <f t="shared" si="70"/>
        <v>0</v>
      </c>
      <c r="AK359" s="108">
        <f>IF($A359="",0,IF(AND($S359=1,$W359=1,$X359=1,$U359&gt;Config!$C$9),1,0))</f>
        <v>0</v>
      </c>
      <c r="AL359" s="108">
        <f t="shared" si="71"/>
        <v>0</v>
      </c>
    </row>
    <row r="360" spans="1:38" x14ac:dyDescent="0.25">
      <c r="A360" s="106" t="s">
        <v>501</v>
      </c>
      <c r="B360" s="106" t="s">
        <v>618</v>
      </c>
      <c r="C360" s="107">
        <v>46268</v>
      </c>
      <c r="D360" s="106" t="s">
        <v>680</v>
      </c>
      <c r="E360" s="106" t="s">
        <v>681</v>
      </c>
      <c r="F360" s="106" t="s">
        <v>745</v>
      </c>
      <c r="G360" s="106" t="s">
        <v>804</v>
      </c>
      <c r="H360" s="106" t="s">
        <v>631</v>
      </c>
      <c r="I360" s="106"/>
      <c r="J360" s="106"/>
      <c r="K360" s="106">
        <v>1</v>
      </c>
      <c r="L360" s="106">
        <v>0</v>
      </c>
      <c r="M360" s="106">
        <v>0</v>
      </c>
      <c r="N360" s="106"/>
      <c r="O360" s="106"/>
      <c r="P360" s="106">
        <v>0</v>
      </c>
      <c r="Q360" s="106" t="s">
        <v>1180</v>
      </c>
      <c r="S360" s="108">
        <f>IF($A360="","",COUNTIF(BPOworkers!$B$6:$B$105,$A360))</f>
        <v>1</v>
      </c>
      <c r="T360" s="109">
        <f>IF($A360="","",$K360*Config!$C$9)</f>
        <v>8</v>
      </c>
      <c r="U360" s="109">
        <f>IF($A360="","",IF(COUNTIF(Config!$C$21:$C$23,$H360)&gt;0,IFERROR(VALUE(LEFT(TRIM($Q360),FIND(" ",TRIM($Q360)&amp;" ")-1)),0),0))</f>
        <v>0</v>
      </c>
      <c r="V360" s="109">
        <f t="shared" si="60"/>
        <v>8</v>
      </c>
      <c r="W360" s="108">
        <f>IF($A360="",0,IF(AND($C360&gt;=Config!$C$7,$C360&lt;=Config!$C$8),1,0))</f>
        <v>1</v>
      </c>
      <c r="X360" s="108">
        <f>IF($A360="",0,IF(COUNTIF(Config!$C$21:$C$23,$H360)&gt;0,1,0))</f>
        <v>0</v>
      </c>
      <c r="Y360" s="108">
        <f t="shared" si="61"/>
        <v>6</v>
      </c>
      <c r="Z360" s="108" t="str">
        <f t="shared" si="62"/>
        <v/>
      </c>
      <c r="AB360" s="108">
        <f t="shared" si="63"/>
        <v>0</v>
      </c>
      <c r="AC360" s="108">
        <f>IF($A360="",0,IF(AND($AB360=1,COUNTIF($A$2:$A360,$A360)=1),1,0))</f>
        <v>0</v>
      </c>
      <c r="AD360" s="108">
        <f t="shared" si="64"/>
        <v>1</v>
      </c>
      <c r="AE360" s="108" t="str">
        <f t="shared" si="65"/>
        <v/>
      </c>
      <c r="AF360" s="108">
        <f t="shared" si="66"/>
        <v>0</v>
      </c>
      <c r="AG360" s="108">
        <f t="shared" si="67"/>
        <v>0</v>
      </c>
      <c r="AH360" s="110" t="str">
        <f t="shared" si="68"/>
        <v>O Moreno|20260903|Title|1.000|SIV patent to present.</v>
      </c>
      <c r="AI360" s="108">
        <f t="shared" si="69"/>
        <v>0</v>
      </c>
      <c r="AJ360" s="108">
        <f t="shared" si="70"/>
        <v>0</v>
      </c>
      <c r="AK360" s="108">
        <f>IF($A360="",0,IF(AND($S360=1,$W360=1,$X360=1,$U360&gt;Config!$C$9),1,0))</f>
        <v>0</v>
      </c>
      <c r="AL360" s="108">
        <f t="shared" si="71"/>
        <v>0</v>
      </c>
    </row>
    <row r="361" spans="1:38" x14ac:dyDescent="0.25">
      <c r="A361" s="106" t="s">
        <v>502</v>
      </c>
      <c r="B361" s="106" t="s">
        <v>618</v>
      </c>
      <c r="C361" s="107">
        <v>46268</v>
      </c>
      <c r="D361" s="106" t="s">
        <v>694</v>
      </c>
      <c r="E361" s="106" t="s">
        <v>765</v>
      </c>
      <c r="F361" s="106" t="s">
        <v>766</v>
      </c>
      <c r="G361" s="106" t="s">
        <v>1031</v>
      </c>
      <c r="H361" s="106" t="s">
        <v>765</v>
      </c>
      <c r="I361" s="106"/>
      <c r="J361" s="106" t="s">
        <v>807</v>
      </c>
      <c r="K361" s="106">
        <v>1</v>
      </c>
      <c r="L361" s="106">
        <v>0</v>
      </c>
      <c r="M361" s="106">
        <v>0</v>
      </c>
      <c r="N361" s="106"/>
      <c r="O361" s="106"/>
      <c r="P361" s="106">
        <v>0</v>
      </c>
      <c r="Q361" s="106" t="s">
        <v>808</v>
      </c>
      <c r="S361" s="108">
        <f>IF($A361="","",COUNTIF(BPOworkers!$B$6:$B$105,$A361))</f>
        <v>1</v>
      </c>
      <c r="T361" s="109">
        <f>IF($A361="","",$K361*Config!$C$9)</f>
        <v>8</v>
      </c>
      <c r="U361" s="109">
        <f>IF($A361="","",IF(COUNTIF(Config!$C$21:$C$23,$H361)&gt;0,IFERROR(VALUE(LEFT(TRIM($Q361),FIND(" ",TRIM($Q361)&amp;" ")-1)),0),0))</f>
        <v>0</v>
      </c>
      <c r="V361" s="109">
        <f t="shared" si="60"/>
        <v>8</v>
      </c>
      <c r="W361" s="108">
        <f>IF($A361="",0,IF(AND($C361&gt;=Config!$C$7,$C361&lt;=Config!$C$8),1,0))</f>
        <v>1</v>
      </c>
      <c r="X361" s="108">
        <f>IF($A361="",0,IF(COUNTIF(Config!$C$21:$C$23,$H361)&gt;0,1,0))</f>
        <v>0</v>
      </c>
      <c r="Y361" s="108">
        <f t="shared" si="61"/>
        <v>6</v>
      </c>
      <c r="Z361" s="108" t="str">
        <f t="shared" si="62"/>
        <v/>
      </c>
      <c r="AB361" s="108">
        <f t="shared" si="63"/>
        <v>0</v>
      </c>
      <c r="AC361" s="108">
        <f>IF($A361="",0,IF(AND($AB361=1,COUNTIF($A$2:$A361,$A361)=1),1,0))</f>
        <v>0</v>
      </c>
      <c r="AD361" s="108">
        <f t="shared" si="64"/>
        <v>1</v>
      </c>
      <c r="AE361" s="108" t="str">
        <f t="shared" si="65"/>
        <v/>
      </c>
      <c r="AF361" s="108">
        <f t="shared" si="66"/>
        <v>0</v>
      </c>
      <c r="AG361" s="108">
        <f t="shared" si="67"/>
        <v>0</v>
      </c>
      <c r="AH361" s="110" t="str">
        <f t="shared" si="68"/>
        <v>S Calderon|20260903|Lease Bringdown|1.000|Added last leases and ran title forward to present.</v>
      </c>
      <c r="AI361" s="108">
        <f t="shared" si="69"/>
        <v>0</v>
      </c>
      <c r="AJ361" s="108">
        <f t="shared" si="70"/>
        <v>0</v>
      </c>
      <c r="AK361" s="108">
        <f>IF($A361="",0,IF(AND($S361=1,$W361=1,$X361=1,$U361&gt;Config!$C$9),1,0))</f>
        <v>0</v>
      </c>
      <c r="AL361" s="108">
        <f t="shared" si="71"/>
        <v>0</v>
      </c>
    </row>
    <row r="362" spans="1:38" x14ac:dyDescent="0.25">
      <c r="A362" s="106" t="s">
        <v>1032</v>
      </c>
      <c r="B362" s="106" t="s">
        <v>618</v>
      </c>
      <c r="C362" s="107">
        <v>46268</v>
      </c>
      <c r="D362" s="106" t="s">
        <v>643</v>
      </c>
      <c r="E362" s="106" t="s">
        <v>644</v>
      </c>
      <c r="F362" s="106" t="s">
        <v>645</v>
      </c>
      <c r="G362" s="106" t="s">
        <v>646</v>
      </c>
      <c r="H362" s="106" t="s">
        <v>631</v>
      </c>
      <c r="I362" s="106"/>
      <c r="J362" s="106" t="s">
        <v>1033</v>
      </c>
      <c r="K362" s="106">
        <v>1</v>
      </c>
      <c r="L362" s="106">
        <v>0</v>
      </c>
      <c r="M362" s="106">
        <v>0</v>
      </c>
      <c r="N362" s="106"/>
      <c r="O362" s="106"/>
      <c r="P362" s="106">
        <v>0</v>
      </c>
      <c r="Q362" s="106" t="s">
        <v>1181</v>
      </c>
      <c r="S362" s="108">
        <f>IF($A362="","",COUNTIF(BPOworkers!$B$6:$B$105,$A362))</f>
        <v>0</v>
      </c>
      <c r="T362" s="109">
        <f>IF($A362="","",$K362*Config!$C$9)</f>
        <v>8</v>
      </c>
      <c r="U362" s="109">
        <f>IF($A362="","",IF(COUNTIF(Config!$C$21:$C$23,$H362)&gt;0,IFERROR(VALUE(LEFT(TRIM($Q362),FIND(" ",TRIM($Q362)&amp;" ")-1)),0),0))</f>
        <v>0</v>
      </c>
      <c r="V362" s="109">
        <f t="shared" si="60"/>
        <v>8</v>
      </c>
      <c r="W362" s="108">
        <f>IF($A362="",0,IF(AND($C362&gt;=Config!$C$7,$C362&lt;=Config!$C$8),1,0))</f>
        <v>1</v>
      </c>
      <c r="X362" s="108">
        <f>IF($A362="",0,IF(COUNTIF(Config!$C$21:$C$23,$H362)&gt;0,1,0))</f>
        <v>0</v>
      </c>
      <c r="Y362" s="108">
        <f t="shared" si="61"/>
        <v>6</v>
      </c>
      <c r="Z362" s="108" t="str">
        <f t="shared" si="62"/>
        <v/>
      </c>
      <c r="AB362" s="108">
        <f t="shared" si="63"/>
        <v>0</v>
      </c>
      <c r="AC362" s="108">
        <f>IF($A362="",0,IF(AND($AB362=1,COUNTIF($A$2:$A362,$A362)=1),1,0))</f>
        <v>0</v>
      </c>
      <c r="AD362" s="108">
        <f t="shared" si="64"/>
        <v>1</v>
      </c>
      <c r="AE362" s="108" t="str">
        <f t="shared" si="65"/>
        <v/>
      </c>
      <c r="AF362" s="108">
        <f t="shared" si="66"/>
        <v>0</v>
      </c>
      <c r="AG362" s="108">
        <f t="shared" si="67"/>
        <v>0</v>
      </c>
      <c r="AH362" s="110" t="str">
        <f t="shared" si="68"/>
        <v>R. Llanes|20260903|Title|1.000|Continued work on Sec 19, EOG Pilot. 75 notecards completed, reviewed, or deleted.</v>
      </c>
      <c r="AI362" s="108">
        <f t="shared" si="69"/>
        <v>0</v>
      </c>
      <c r="AJ362" s="108">
        <f t="shared" si="70"/>
        <v>0</v>
      </c>
      <c r="AK362" s="108">
        <f>IF($A362="",0,IF(AND($S362=1,$W362=1,$X362=1,$U362&gt;Config!$C$9),1,0))</f>
        <v>0</v>
      </c>
      <c r="AL362" s="108">
        <f t="shared" si="71"/>
        <v>0</v>
      </c>
    </row>
    <row r="363" spans="1:38" x14ac:dyDescent="0.25">
      <c r="A363" s="106" t="s">
        <v>810</v>
      </c>
      <c r="B363" s="106" t="s">
        <v>618</v>
      </c>
      <c r="C363" s="107">
        <v>46268</v>
      </c>
      <c r="D363" s="106" t="s">
        <v>694</v>
      </c>
      <c r="E363" s="106" t="s">
        <v>765</v>
      </c>
      <c r="F363" s="106" t="s">
        <v>766</v>
      </c>
      <c r="G363" s="106" t="s">
        <v>1035</v>
      </c>
      <c r="H363" s="106" t="s">
        <v>765</v>
      </c>
      <c r="I363" s="106"/>
      <c r="J363" s="106"/>
      <c r="K363" s="106">
        <v>1</v>
      </c>
      <c r="L363" s="106">
        <v>0</v>
      </c>
      <c r="M363" s="106">
        <v>0</v>
      </c>
      <c r="N363" s="106"/>
      <c r="O363" s="106"/>
      <c r="P363" s="106">
        <v>0</v>
      </c>
      <c r="Q363" s="106" t="s">
        <v>1036</v>
      </c>
      <c r="S363" s="108">
        <f>IF($A363="","",COUNTIF(BPOworkers!$B$6:$B$105,$A363))</f>
        <v>0</v>
      </c>
      <c r="T363" s="109">
        <f>IF($A363="","",$K363*Config!$C$9)</f>
        <v>8</v>
      </c>
      <c r="U363" s="109">
        <f>IF($A363="","",IF(COUNTIF(Config!$C$21:$C$23,$H363)&gt;0,IFERROR(VALUE(LEFT(TRIM($Q363),FIND(" ",TRIM($Q363)&amp;" ")-1)),0),0))</f>
        <v>0</v>
      </c>
      <c r="V363" s="109">
        <f t="shared" si="60"/>
        <v>8</v>
      </c>
      <c r="W363" s="108">
        <f>IF($A363="",0,IF(AND($C363&gt;=Config!$C$7,$C363&lt;=Config!$C$8),1,0))</f>
        <v>1</v>
      </c>
      <c r="X363" s="108">
        <f>IF($A363="",0,IF(COUNTIF(Config!$C$21:$C$23,$H363)&gt;0,1,0))</f>
        <v>0</v>
      </c>
      <c r="Y363" s="108">
        <f t="shared" si="61"/>
        <v>6</v>
      </c>
      <c r="Z363" s="108" t="str">
        <f t="shared" si="62"/>
        <v/>
      </c>
      <c r="AB363" s="108">
        <f t="shared" si="63"/>
        <v>0</v>
      </c>
      <c r="AC363" s="108">
        <f>IF($A363="",0,IF(AND($AB363=1,COUNTIF($A$2:$A363,$A363)=1),1,0))</f>
        <v>0</v>
      </c>
      <c r="AD363" s="108">
        <f t="shared" si="64"/>
        <v>1</v>
      </c>
      <c r="AE363" s="108" t="str">
        <f t="shared" si="65"/>
        <v/>
      </c>
      <c r="AF363" s="108">
        <f t="shared" si="66"/>
        <v>0</v>
      </c>
      <c r="AG363" s="108">
        <f t="shared" si="67"/>
        <v>0</v>
      </c>
      <c r="AH363" s="110" t="str">
        <f t="shared" si="68"/>
        <v>T. Allerman|20260903|Lease Bringdown|1.000|Worked pulling leases and indexing 29-2S-3W.</v>
      </c>
      <c r="AI363" s="108">
        <f t="shared" si="69"/>
        <v>0</v>
      </c>
      <c r="AJ363" s="108">
        <f t="shared" si="70"/>
        <v>0</v>
      </c>
      <c r="AK363" s="108">
        <f>IF($A363="",0,IF(AND($S363=1,$W363=1,$X363=1,$U363&gt;Config!$C$9),1,0))</f>
        <v>0</v>
      </c>
      <c r="AL363" s="108">
        <f t="shared" si="71"/>
        <v>0</v>
      </c>
    </row>
    <row r="364" spans="1:38" x14ac:dyDescent="0.25">
      <c r="A364" s="106" t="s">
        <v>813</v>
      </c>
      <c r="B364" s="106" t="s">
        <v>618</v>
      </c>
      <c r="C364" s="107">
        <v>46268</v>
      </c>
      <c r="D364" s="106" t="s">
        <v>694</v>
      </c>
      <c r="E364" s="106" t="s">
        <v>765</v>
      </c>
      <c r="F364" s="106" t="s">
        <v>696</v>
      </c>
      <c r="G364" s="106" t="s">
        <v>1182</v>
      </c>
      <c r="H364" s="106" t="s">
        <v>765</v>
      </c>
      <c r="I364" s="106"/>
      <c r="J364" s="106"/>
      <c r="K364" s="106">
        <v>1</v>
      </c>
      <c r="L364" s="106">
        <v>0</v>
      </c>
      <c r="M364" s="106">
        <v>0</v>
      </c>
      <c r="N364" s="106"/>
      <c r="O364" s="106"/>
      <c r="P364" s="106">
        <v>0</v>
      </c>
      <c r="Q364" s="106" t="s">
        <v>1183</v>
      </c>
      <c r="S364" s="108">
        <f>IF($A364="","",COUNTIF(BPOworkers!$B$6:$B$105,$A364))</f>
        <v>0</v>
      </c>
      <c r="T364" s="109">
        <f>IF($A364="","",$K364*Config!$C$9)</f>
        <v>8</v>
      </c>
      <c r="U364" s="109">
        <f>IF($A364="","",IF(COUNTIF(Config!$C$21:$C$23,$H364)&gt;0,IFERROR(VALUE(LEFT(TRIM($Q364),FIND(" ",TRIM($Q364)&amp;" ")-1)),0),0))</f>
        <v>0</v>
      </c>
      <c r="V364" s="109">
        <f t="shared" si="60"/>
        <v>8</v>
      </c>
      <c r="W364" s="108">
        <f>IF($A364="",0,IF(AND($C364&gt;=Config!$C$7,$C364&lt;=Config!$C$8),1,0))</f>
        <v>1</v>
      </c>
      <c r="X364" s="108">
        <f>IF($A364="",0,IF(COUNTIF(Config!$C$21:$C$23,$H364)&gt;0,1,0))</f>
        <v>0</v>
      </c>
      <c r="Y364" s="108">
        <f t="shared" si="61"/>
        <v>6</v>
      </c>
      <c r="Z364" s="108" t="str">
        <f t="shared" si="62"/>
        <v/>
      </c>
      <c r="AB364" s="108">
        <f t="shared" si="63"/>
        <v>0</v>
      </c>
      <c r="AC364" s="108">
        <f>IF($A364="",0,IF(AND($AB364=1,COUNTIF($A$2:$A364,$A364)=1),1,0))</f>
        <v>0</v>
      </c>
      <c r="AD364" s="108">
        <f t="shared" si="64"/>
        <v>1</v>
      </c>
      <c r="AE364" s="108" t="str">
        <f t="shared" si="65"/>
        <v/>
      </c>
      <c r="AF364" s="108">
        <f t="shared" si="66"/>
        <v>0</v>
      </c>
      <c r="AG364" s="108">
        <f t="shared" si="67"/>
        <v>0</v>
      </c>
      <c r="AH364" s="110" t="str">
        <f t="shared" si="68"/>
        <v>A. Dycus|20260903|Lease Bringdown|1.000|Finished AOI</v>
      </c>
      <c r="AI364" s="108">
        <f t="shared" si="69"/>
        <v>0</v>
      </c>
      <c r="AJ364" s="108">
        <f t="shared" si="70"/>
        <v>0</v>
      </c>
      <c r="AK364" s="108">
        <f>IF($A364="",0,IF(AND($S364=1,$W364=1,$X364=1,$U364&gt;Config!$C$9),1,0))</f>
        <v>0</v>
      </c>
      <c r="AL364" s="108">
        <f t="shared" si="71"/>
        <v>0</v>
      </c>
    </row>
    <row r="365" spans="1:38" x14ac:dyDescent="0.25">
      <c r="A365" s="106" t="s">
        <v>1038</v>
      </c>
      <c r="B365" s="106" t="s">
        <v>618</v>
      </c>
      <c r="C365" s="107">
        <v>46268</v>
      </c>
      <c r="D365" s="106" t="s">
        <v>529</v>
      </c>
      <c r="E365" s="106" t="s">
        <v>529</v>
      </c>
      <c r="F365" s="106" t="s">
        <v>615</v>
      </c>
      <c r="G365" s="106"/>
      <c r="H365" s="106" t="s">
        <v>529</v>
      </c>
      <c r="I365" s="106"/>
      <c r="J365" s="106"/>
      <c r="K365" s="106">
        <v>0</v>
      </c>
      <c r="L365" s="106">
        <v>0</v>
      </c>
      <c r="M365" s="106">
        <v>0</v>
      </c>
      <c r="N365" s="106"/>
      <c r="O365" s="106"/>
      <c r="P365" s="106">
        <v>0</v>
      </c>
      <c r="Q365" s="106" t="s">
        <v>649</v>
      </c>
      <c r="S365" s="108">
        <f>IF($A365="","",COUNTIF(BPOworkers!$B$6:$B$105,$A365))</f>
        <v>0</v>
      </c>
      <c r="T365" s="109">
        <f>IF($A365="","",$K365*Config!$C$9)</f>
        <v>0</v>
      </c>
      <c r="U365" s="109">
        <f>IF($A365="","",IF(COUNTIF(Config!$C$21:$C$23,$H365)&gt;0,IFERROR(VALUE(LEFT(TRIM($Q365),FIND(" ",TRIM($Q365)&amp;" ")-1)),0),0))</f>
        <v>8</v>
      </c>
      <c r="V365" s="109">
        <f t="shared" si="60"/>
        <v>8</v>
      </c>
      <c r="W365" s="108">
        <f>IF($A365="",0,IF(AND($C365&gt;=Config!$C$7,$C365&lt;=Config!$C$8),1,0))</f>
        <v>1</v>
      </c>
      <c r="X365" s="108">
        <f>IF($A365="",0,IF(COUNTIF(Config!$C$21:$C$23,$H365)&gt;0,1,0))</f>
        <v>1</v>
      </c>
      <c r="Y365" s="108">
        <f t="shared" si="61"/>
        <v>6</v>
      </c>
      <c r="Z365" s="108" t="str">
        <f t="shared" si="62"/>
        <v/>
      </c>
      <c r="AB365" s="108">
        <f t="shared" si="63"/>
        <v>0</v>
      </c>
      <c r="AC365" s="108">
        <f>IF($A365="",0,IF(AND($AB365=1,COUNTIF($A$2:$A365,$A365)=1),1,0))</f>
        <v>0</v>
      </c>
      <c r="AD365" s="108">
        <f t="shared" si="64"/>
        <v>1</v>
      </c>
      <c r="AE365" s="108" t="str">
        <f t="shared" si="65"/>
        <v/>
      </c>
      <c r="AF365" s="108">
        <f t="shared" si="66"/>
        <v>0</v>
      </c>
      <c r="AG365" s="108">
        <f t="shared" si="67"/>
        <v>0</v>
      </c>
      <c r="AH365" s="110" t="str">
        <f t="shared" si="68"/>
        <v>D. Beeson|20260903|Time Off|0.000|8 hours unpaid</v>
      </c>
      <c r="AI365" s="108">
        <f t="shared" si="69"/>
        <v>0</v>
      </c>
      <c r="AJ365" s="108">
        <f t="shared" si="70"/>
        <v>0</v>
      </c>
      <c r="AK365" s="108">
        <f>IF($A365="",0,IF(AND($S365=1,$W365=1,$X365=1,$U365&gt;Config!$C$9),1,0))</f>
        <v>0</v>
      </c>
      <c r="AL365" s="108">
        <f t="shared" si="71"/>
        <v>0</v>
      </c>
    </row>
    <row r="366" spans="1:38" ht="180.75" x14ac:dyDescent="0.25">
      <c r="A366" s="106" t="s">
        <v>1039</v>
      </c>
      <c r="B366" s="106" t="s">
        <v>618</v>
      </c>
      <c r="C366" s="107">
        <v>46268</v>
      </c>
      <c r="D366" s="106" t="s">
        <v>720</v>
      </c>
      <c r="E366" s="106" t="s">
        <v>721</v>
      </c>
      <c r="F366" s="106" t="s">
        <v>722</v>
      </c>
      <c r="G366" s="106" t="s">
        <v>1040</v>
      </c>
      <c r="H366" s="106" t="s">
        <v>631</v>
      </c>
      <c r="I366" s="106"/>
      <c r="J366" s="106"/>
      <c r="K366" s="106">
        <v>1</v>
      </c>
      <c r="L366" s="106">
        <v>0</v>
      </c>
      <c r="M366" s="106">
        <v>0</v>
      </c>
      <c r="N366" s="106"/>
      <c r="O366" s="106"/>
      <c r="P366" s="106">
        <v>0</v>
      </c>
      <c r="Q366" s="111" t="s">
        <v>1184</v>
      </c>
      <c r="S366" s="108">
        <f>IF($A366="","",COUNTIF(BPOworkers!$B$6:$B$105,$A366))</f>
        <v>0</v>
      </c>
      <c r="T366" s="109">
        <f>IF($A366="","",$K366*Config!$C$9)</f>
        <v>8</v>
      </c>
      <c r="U366" s="109">
        <f>IF($A366="","",IF(COUNTIF(Config!$C$21:$C$23,$H366)&gt;0,IFERROR(VALUE(LEFT(TRIM($Q366),FIND(" ",TRIM($Q366)&amp;" ")-1)),0),0))</f>
        <v>0</v>
      </c>
      <c r="V366" s="109">
        <f t="shared" si="60"/>
        <v>8</v>
      </c>
      <c r="W366" s="108">
        <f>IF($A366="",0,IF(AND($C366&gt;=Config!$C$7,$C366&lt;=Config!$C$8),1,0))</f>
        <v>1</v>
      </c>
      <c r="X366" s="108">
        <f>IF($A366="",0,IF(COUNTIF(Config!$C$21:$C$23,$H366)&gt;0,1,0))</f>
        <v>0</v>
      </c>
      <c r="Y366" s="108">
        <f t="shared" si="61"/>
        <v>6</v>
      </c>
      <c r="Z366" s="108" t="str">
        <f t="shared" si="62"/>
        <v/>
      </c>
      <c r="AB366" s="108">
        <f t="shared" si="63"/>
        <v>0</v>
      </c>
      <c r="AC366" s="108">
        <f>IF($A366="",0,IF(AND($AB366=1,COUNTIF($A$2:$A366,$A366)=1),1,0))</f>
        <v>0</v>
      </c>
      <c r="AD366" s="108">
        <f t="shared" si="64"/>
        <v>1</v>
      </c>
      <c r="AE366" s="108" t="str">
        <f t="shared" si="65"/>
        <v/>
      </c>
      <c r="AF366" s="108">
        <f t="shared" si="66"/>
        <v>0</v>
      </c>
      <c r="AG366" s="108">
        <f t="shared" si="67"/>
        <v>0</v>
      </c>
      <c r="AH366" s="112" t="str">
        <f t="shared" si="68"/>
        <v>B. Sayadeth|20260903|Title|1.000|-Created AOI
 -Created Indexing Spreadsheet
 -Indexed to the present from source deed
 -Started indexing from the source</v>
      </c>
      <c r="AI366" s="108">
        <f t="shared" si="69"/>
        <v>0</v>
      </c>
      <c r="AJ366" s="108">
        <f t="shared" si="70"/>
        <v>0</v>
      </c>
      <c r="AK366" s="108">
        <f>IF($A366="",0,IF(AND($S366=1,$W366=1,$X366=1,$U366&gt;Config!$C$9),1,0))</f>
        <v>0</v>
      </c>
      <c r="AL366" s="108">
        <f t="shared" si="71"/>
        <v>0</v>
      </c>
    </row>
    <row r="367" spans="1:38" x14ac:dyDescent="0.25">
      <c r="A367" s="106" t="s">
        <v>1042</v>
      </c>
      <c r="B367" s="106" t="s">
        <v>618</v>
      </c>
      <c r="C367" s="107">
        <v>46268</v>
      </c>
      <c r="D367" s="106" t="s">
        <v>694</v>
      </c>
      <c r="E367" s="106" t="s">
        <v>765</v>
      </c>
      <c r="F367" s="106" t="s">
        <v>766</v>
      </c>
      <c r="G367" s="106" t="s">
        <v>1043</v>
      </c>
      <c r="H367" s="106" t="s">
        <v>765</v>
      </c>
      <c r="I367" s="106"/>
      <c r="J367" s="106"/>
      <c r="K367" s="106">
        <v>1</v>
      </c>
      <c r="L367" s="106">
        <v>0</v>
      </c>
      <c r="M367" s="106">
        <v>0</v>
      </c>
      <c r="N367" s="106"/>
      <c r="O367" s="106"/>
      <c r="P367" s="106">
        <v>0</v>
      </c>
      <c r="Q367" s="106" t="s">
        <v>1185</v>
      </c>
      <c r="S367" s="108">
        <f>IF($A367="","",COUNTIF(BPOworkers!$B$6:$B$105,$A367))</f>
        <v>0</v>
      </c>
      <c r="T367" s="109">
        <f>IF($A367="","",$K367*Config!$C$9)</f>
        <v>8</v>
      </c>
      <c r="U367" s="109">
        <f>IF($A367="","",IF(COUNTIF(Config!$C$21:$C$23,$H367)&gt;0,IFERROR(VALUE(LEFT(TRIM($Q367),FIND(" ",TRIM($Q367)&amp;" ")-1)),0),0))</f>
        <v>0</v>
      </c>
      <c r="V367" s="109">
        <f t="shared" si="60"/>
        <v>8</v>
      </c>
      <c r="W367" s="108">
        <f>IF($A367="",0,IF(AND($C367&gt;=Config!$C$7,$C367&lt;=Config!$C$8),1,0))</f>
        <v>1</v>
      </c>
      <c r="X367" s="108">
        <f>IF($A367="",0,IF(COUNTIF(Config!$C$21:$C$23,$H367)&gt;0,1,0))</f>
        <v>0</v>
      </c>
      <c r="Y367" s="108">
        <f t="shared" si="61"/>
        <v>6</v>
      </c>
      <c r="Z367" s="108" t="str">
        <f t="shared" si="62"/>
        <v/>
      </c>
      <c r="AB367" s="108">
        <f t="shared" si="63"/>
        <v>0</v>
      </c>
      <c r="AC367" s="108">
        <f>IF($A367="",0,IF(AND($AB367=1,COUNTIF($A$2:$A367,$A367)=1),1,0))</f>
        <v>0</v>
      </c>
      <c r="AD367" s="108">
        <f t="shared" si="64"/>
        <v>1</v>
      </c>
      <c r="AE367" s="108" t="str">
        <f t="shared" si="65"/>
        <v/>
      </c>
      <c r="AF367" s="108">
        <f t="shared" si="66"/>
        <v>0</v>
      </c>
      <c r="AG367" s="108">
        <f t="shared" si="67"/>
        <v>0</v>
      </c>
      <c r="AH367" s="110" t="str">
        <f t="shared" si="68"/>
        <v>N. Jones|20260903|Lease Bringdown|1.000|Fixed warnings and timeline issues. Began indexing for second run through</v>
      </c>
      <c r="AI367" s="108">
        <f t="shared" si="69"/>
        <v>0</v>
      </c>
      <c r="AJ367" s="108">
        <f t="shared" si="70"/>
        <v>0</v>
      </c>
      <c r="AK367" s="108">
        <f>IF($A367="",0,IF(AND($S367=1,$W367=1,$X367=1,$U367&gt;Config!$C$9),1,0))</f>
        <v>0</v>
      </c>
      <c r="AL367" s="108">
        <f t="shared" si="71"/>
        <v>0</v>
      </c>
    </row>
    <row r="368" spans="1:38" x14ac:dyDescent="0.25">
      <c r="A368" s="106" t="s">
        <v>1045</v>
      </c>
      <c r="B368" s="106" t="s">
        <v>618</v>
      </c>
      <c r="C368" s="107">
        <v>46268</v>
      </c>
      <c r="D368" s="106" t="s">
        <v>720</v>
      </c>
      <c r="E368" s="106" t="s">
        <v>721</v>
      </c>
      <c r="F368" s="106" t="s">
        <v>722</v>
      </c>
      <c r="G368" s="106" t="s">
        <v>723</v>
      </c>
      <c r="H368" s="106" t="s">
        <v>631</v>
      </c>
      <c r="I368" s="106"/>
      <c r="J368" s="106"/>
      <c r="K368" s="106">
        <v>1</v>
      </c>
      <c r="L368" s="106">
        <v>0</v>
      </c>
      <c r="M368" s="106">
        <v>0</v>
      </c>
      <c r="N368" s="106"/>
      <c r="O368" s="106"/>
      <c r="P368" s="106">
        <v>0</v>
      </c>
      <c r="Q368" s="106" t="s">
        <v>1186</v>
      </c>
      <c r="S368" s="108">
        <f>IF($A368="","",COUNTIF(BPOworkers!$B$6:$B$105,$A368))</f>
        <v>0</v>
      </c>
      <c r="T368" s="109">
        <f>IF($A368="","",$K368*Config!$C$9)</f>
        <v>8</v>
      </c>
      <c r="U368" s="109">
        <f>IF($A368="","",IF(COUNTIF(Config!$C$21:$C$23,$H368)&gt;0,IFERROR(VALUE(LEFT(TRIM($Q368),FIND(" ",TRIM($Q368)&amp;" ")-1)),0),0))</f>
        <v>0</v>
      </c>
      <c r="V368" s="109">
        <f t="shared" si="60"/>
        <v>8</v>
      </c>
      <c r="W368" s="108">
        <f>IF($A368="",0,IF(AND($C368&gt;=Config!$C$7,$C368&lt;=Config!$C$8),1,0))</f>
        <v>1</v>
      </c>
      <c r="X368" s="108">
        <f>IF($A368="",0,IF(COUNTIF(Config!$C$21:$C$23,$H368)&gt;0,1,0))</f>
        <v>0</v>
      </c>
      <c r="Y368" s="108">
        <f t="shared" si="61"/>
        <v>6</v>
      </c>
      <c r="Z368" s="108" t="str">
        <f t="shared" si="62"/>
        <v/>
      </c>
      <c r="AB368" s="108">
        <f t="shared" si="63"/>
        <v>0</v>
      </c>
      <c r="AC368" s="108">
        <f>IF($A368="",0,IF(AND($AB368=1,COUNTIF($A$2:$A368,$A368)=1),1,0))</f>
        <v>0</v>
      </c>
      <c r="AD368" s="108">
        <f t="shared" si="64"/>
        <v>1</v>
      </c>
      <c r="AE368" s="108" t="str">
        <f t="shared" si="65"/>
        <v/>
      </c>
      <c r="AF368" s="108">
        <f t="shared" si="66"/>
        <v>0</v>
      </c>
      <c r="AG368" s="108">
        <f t="shared" si="67"/>
        <v>0</v>
      </c>
      <c r="AH368" s="110" t="str">
        <f t="shared" si="68"/>
        <v>E. Lee|20260903|Title|1.000|SIV Title Surface: Documents Analyzed: 33 Index Pages Viewed: 130 Parties Added 1</v>
      </c>
      <c r="AI368" s="108">
        <f t="shared" si="69"/>
        <v>0</v>
      </c>
      <c r="AJ368" s="108">
        <f t="shared" si="70"/>
        <v>0</v>
      </c>
      <c r="AK368" s="108">
        <f>IF($A368="",0,IF(AND($S368=1,$W368=1,$X368=1,$U368&gt;Config!$C$9),1,0))</f>
        <v>0</v>
      </c>
      <c r="AL368" s="108">
        <f t="shared" si="71"/>
        <v>0</v>
      </c>
    </row>
    <row r="369" spans="1:38" ht="204.75" x14ac:dyDescent="0.25">
      <c r="A369" s="106" t="s">
        <v>816</v>
      </c>
      <c r="B369" s="106" t="s">
        <v>618</v>
      </c>
      <c r="C369" s="107">
        <v>46268</v>
      </c>
      <c r="D369" s="106" t="s">
        <v>694</v>
      </c>
      <c r="E369" s="106" t="s">
        <v>862</v>
      </c>
      <c r="F369" s="106" t="s">
        <v>766</v>
      </c>
      <c r="G369" s="106" t="s">
        <v>863</v>
      </c>
      <c r="H369" s="106" t="s">
        <v>781</v>
      </c>
      <c r="I369" s="106"/>
      <c r="J369" s="106"/>
      <c r="K369" s="106">
        <v>0.5</v>
      </c>
      <c r="L369" s="106">
        <v>0</v>
      </c>
      <c r="M369" s="106">
        <v>0</v>
      </c>
      <c r="N369" s="106"/>
      <c r="O369" s="106"/>
      <c r="P369" s="106">
        <v>0</v>
      </c>
      <c r="Q369" s="111" t="s">
        <v>1187</v>
      </c>
      <c r="S369" s="108">
        <f>IF($A369="","",COUNTIF(BPOworkers!$B$6:$B$105,$A369))</f>
        <v>0</v>
      </c>
      <c r="T369" s="109">
        <f>IF($A369="","",$K369*Config!$C$9)</f>
        <v>4</v>
      </c>
      <c r="U369" s="109">
        <f>IF($A369="","",IF(COUNTIF(Config!$C$21:$C$23,$H369)&gt;0,IFERROR(VALUE(LEFT(TRIM($Q369),FIND(" ",TRIM($Q369)&amp;" ")-1)),0),0))</f>
        <v>0</v>
      </c>
      <c r="V369" s="109">
        <f t="shared" si="60"/>
        <v>4</v>
      </c>
      <c r="W369" s="108">
        <f>IF($A369="",0,IF(AND($C369&gt;=Config!$C$7,$C369&lt;=Config!$C$8),1,0))</f>
        <v>1</v>
      </c>
      <c r="X369" s="108">
        <f>IF($A369="",0,IF(COUNTIF(Config!$C$21:$C$23,$H369)&gt;0,1,0))</f>
        <v>0</v>
      </c>
      <c r="Y369" s="108">
        <f t="shared" si="61"/>
        <v>6</v>
      </c>
      <c r="Z369" s="108" t="str">
        <f t="shared" si="62"/>
        <v/>
      </c>
      <c r="AB369" s="108">
        <f t="shared" si="63"/>
        <v>0</v>
      </c>
      <c r="AC369" s="108">
        <f>IF($A369="",0,IF(AND($AB369=1,COUNTIF($A$2:$A369,$A369)=1),1,0))</f>
        <v>0</v>
      </c>
      <c r="AD369" s="108">
        <f t="shared" si="64"/>
        <v>1</v>
      </c>
      <c r="AE369" s="108" t="str">
        <f t="shared" si="65"/>
        <v/>
      </c>
      <c r="AF369" s="108">
        <f t="shared" si="66"/>
        <v>0</v>
      </c>
      <c r="AG369" s="108">
        <f t="shared" si="67"/>
        <v>0</v>
      </c>
      <c r="AH369" s="112" t="str">
        <f t="shared" si="68"/>
        <v xml:space="preserve">S. Bacot|20260903|Single Interest Verification|0.500|Running out interest for Dewey Zane, Zane Jessen and Bruce Hartman. 
 Worked 1/2 day due to a construction project in </v>
      </c>
      <c r="AI369" s="108">
        <f t="shared" si="69"/>
        <v>0</v>
      </c>
      <c r="AJ369" s="108">
        <f t="shared" si="70"/>
        <v>0</v>
      </c>
      <c r="AK369" s="108">
        <f>IF($A369="",0,IF(AND($S369=1,$W369=1,$X369=1,$U369&gt;Config!$C$9),1,0))</f>
        <v>0</v>
      </c>
      <c r="AL369" s="108">
        <f t="shared" si="71"/>
        <v>0</v>
      </c>
    </row>
    <row r="370" spans="1:38" x14ac:dyDescent="0.25">
      <c r="A370" s="106" t="s">
        <v>816</v>
      </c>
      <c r="B370" s="106" t="s">
        <v>618</v>
      </c>
      <c r="C370" s="107">
        <v>46268</v>
      </c>
      <c r="D370" s="106" t="s">
        <v>529</v>
      </c>
      <c r="E370" s="106" t="s">
        <v>529</v>
      </c>
      <c r="F370" s="106" t="s">
        <v>615</v>
      </c>
      <c r="G370" s="106"/>
      <c r="H370" s="106" t="s">
        <v>529</v>
      </c>
      <c r="I370" s="106"/>
      <c r="J370" s="106"/>
      <c r="K370" s="106">
        <v>0</v>
      </c>
      <c r="L370" s="106">
        <v>0</v>
      </c>
      <c r="M370" s="106">
        <v>0</v>
      </c>
      <c r="N370" s="106"/>
      <c r="O370" s="106"/>
      <c r="P370" s="106">
        <v>0</v>
      </c>
      <c r="Q370" s="106" t="s">
        <v>1188</v>
      </c>
      <c r="S370" s="108">
        <f>IF($A370="","",COUNTIF(BPOworkers!$B$6:$B$105,$A370))</f>
        <v>0</v>
      </c>
      <c r="T370" s="109">
        <f>IF($A370="","",$K370*Config!$C$9)</f>
        <v>0</v>
      </c>
      <c r="U370" s="109">
        <f>IF($A370="","",IF(COUNTIF(Config!$C$21:$C$23,$H370)&gt;0,IFERROR(VALUE(LEFT(TRIM($Q370),FIND(" ",TRIM($Q370)&amp;" ")-1)),0),0))</f>
        <v>4</v>
      </c>
      <c r="V370" s="109">
        <f t="shared" si="60"/>
        <v>4</v>
      </c>
      <c r="W370" s="108">
        <f>IF($A370="",0,IF(AND($C370&gt;=Config!$C$7,$C370&lt;=Config!$C$8),1,0))</f>
        <v>1</v>
      </c>
      <c r="X370" s="108">
        <f>IF($A370="",0,IF(COUNTIF(Config!$C$21:$C$23,$H370)&gt;0,1,0))</f>
        <v>1</v>
      </c>
      <c r="Y370" s="108">
        <f t="shared" si="61"/>
        <v>6</v>
      </c>
      <c r="Z370" s="108" t="str">
        <f t="shared" si="62"/>
        <v/>
      </c>
      <c r="AB370" s="108">
        <f t="shared" si="63"/>
        <v>0</v>
      </c>
      <c r="AC370" s="108">
        <f>IF($A370="",0,IF(AND($AB370=1,COUNTIF($A$2:$A370,$A370)=1),1,0))</f>
        <v>0</v>
      </c>
      <c r="AD370" s="108">
        <f t="shared" si="64"/>
        <v>1</v>
      </c>
      <c r="AE370" s="108" t="str">
        <f t="shared" si="65"/>
        <v/>
      </c>
      <c r="AF370" s="108">
        <f t="shared" si="66"/>
        <v>0</v>
      </c>
      <c r="AG370" s="108">
        <f t="shared" si="67"/>
        <v>0</v>
      </c>
      <c r="AH370" s="110" t="str">
        <f t="shared" si="68"/>
        <v>S. Bacot|20260903|Time Off|0.000|4 hours time off</v>
      </c>
      <c r="AI370" s="108">
        <f t="shared" si="69"/>
        <v>0</v>
      </c>
      <c r="AJ370" s="108">
        <f t="shared" si="70"/>
        <v>0</v>
      </c>
      <c r="AK370" s="108">
        <f>IF($A370="",0,IF(AND($S370=1,$W370=1,$X370=1,$U370&gt;Config!$C$9),1,0))</f>
        <v>0</v>
      </c>
      <c r="AL370" s="108">
        <f t="shared" si="71"/>
        <v>0</v>
      </c>
    </row>
    <row r="371" spans="1:38" x14ac:dyDescent="0.25">
      <c r="A371" s="106" t="s">
        <v>1048</v>
      </c>
      <c r="B371" s="106" t="s">
        <v>618</v>
      </c>
      <c r="C371" s="107">
        <v>46268</v>
      </c>
      <c r="D371" s="106" t="s">
        <v>680</v>
      </c>
      <c r="E371" s="106" t="s">
        <v>681</v>
      </c>
      <c r="F371" s="106" t="s">
        <v>682</v>
      </c>
      <c r="G371" s="106" t="s">
        <v>1049</v>
      </c>
      <c r="H371" s="106" t="s">
        <v>631</v>
      </c>
      <c r="I371" s="106"/>
      <c r="J371" s="106" t="s">
        <v>1050</v>
      </c>
      <c r="K371" s="106">
        <v>0.75</v>
      </c>
      <c r="L371" s="106">
        <v>0</v>
      </c>
      <c r="M371" s="106">
        <v>0</v>
      </c>
      <c r="N371" s="106"/>
      <c r="O371" s="106"/>
      <c r="P371" s="106">
        <v>0</v>
      </c>
      <c r="Q371" s="106" t="s">
        <v>1189</v>
      </c>
      <c r="S371" s="108">
        <f>IF($A371="","",COUNTIF(BPOworkers!$B$6:$B$105,$A371))</f>
        <v>0</v>
      </c>
      <c r="T371" s="109">
        <f>IF($A371="","",$K371*Config!$C$9)</f>
        <v>6</v>
      </c>
      <c r="U371" s="109">
        <f>IF($A371="","",IF(COUNTIF(Config!$C$21:$C$23,$H371)&gt;0,IFERROR(VALUE(LEFT(TRIM($Q371),FIND(" ",TRIM($Q371)&amp;" ")-1)),0),0))</f>
        <v>0</v>
      </c>
      <c r="V371" s="109">
        <f t="shared" si="60"/>
        <v>6</v>
      </c>
      <c r="W371" s="108">
        <f>IF($A371="",0,IF(AND($C371&gt;=Config!$C$7,$C371&lt;=Config!$C$8),1,0))</f>
        <v>1</v>
      </c>
      <c r="X371" s="108">
        <f>IF($A371="",0,IF(COUNTIF(Config!$C$21:$C$23,$H371)&gt;0,1,0))</f>
        <v>0</v>
      </c>
      <c r="Y371" s="108">
        <f t="shared" si="61"/>
        <v>6</v>
      </c>
      <c r="Z371" s="108" t="str">
        <f t="shared" si="62"/>
        <v/>
      </c>
      <c r="AB371" s="108">
        <f t="shared" si="63"/>
        <v>0</v>
      </c>
      <c r="AC371" s="108">
        <f>IF($A371="",0,IF(AND($AB371=1,COUNTIF($A$2:$A371,$A371)=1),1,0))</f>
        <v>0</v>
      </c>
      <c r="AD371" s="108">
        <f t="shared" si="64"/>
        <v>1</v>
      </c>
      <c r="AE371" s="108" t="str">
        <f t="shared" si="65"/>
        <v/>
      </c>
      <c r="AF371" s="108">
        <f t="shared" si="66"/>
        <v>0</v>
      </c>
      <c r="AG371" s="108">
        <f t="shared" si="67"/>
        <v>0</v>
      </c>
      <c r="AH371" s="110" t="str">
        <f t="shared" si="68"/>
        <v>M. Freshwater|20260903|Title|0.750|Six hours worked/2 hours time off. Columbiana County, OH research searching indexes and online info</v>
      </c>
      <c r="AI371" s="108">
        <f t="shared" si="69"/>
        <v>0</v>
      </c>
      <c r="AJ371" s="108">
        <f t="shared" si="70"/>
        <v>0</v>
      </c>
      <c r="AK371" s="108">
        <f>IF($A371="",0,IF(AND($S371=1,$W371=1,$X371=1,$U371&gt;Config!$C$9),1,0))</f>
        <v>0</v>
      </c>
      <c r="AL371" s="108">
        <f t="shared" si="71"/>
        <v>0</v>
      </c>
    </row>
    <row r="372" spans="1:38" ht="48.75" x14ac:dyDescent="0.25">
      <c r="A372" s="106" t="s">
        <v>818</v>
      </c>
      <c r="B372" s="106" t="s">
        <v>618</v>
      </c>
      <c r="C372" s="107">
        <v>46268</v>
      </c>
      <c r="D372" s="106" t="s">
        <v>623</v>
      </c>
      <c r="E372" s="106" t="s">
        <v>624</v>
      </c>
      <c r="F372" s="106" t="s">
        <v>615</v>
      </c>
      <c r="G372" s="106" t="s">
        <v>625</v>
      </c>
      <c r="H372" s="106" t="s">
        <v>819</v>
      </c>
      <c r="I372" s="106"/>
      <c r="J372" s="106" t="s">
        <v>1190</v>
      </c>
      <c r="K372" s="106">
        <v>1</v>
      </c>
      <c r="L372" s="106">
        <v>0</v>
      </c>
      <c r="M372" s="106">
        <v>0</v>
      </c>
      <c r="N372" s="106"/>
      <c r="O372" s="106"/>
      <c r="P372" s="106">
        <v>0</v>
      </c>
      <c r="Q372" s="111" t="s">
        <v>1191</v>
      </c>
      <c r="S372" s="108">
        <f>IF($A372="","",COUNTIF(BPOworkers!$B$6:$B$105,$A372))</f>
        <v>0</v>
      </c>
      <c r="T372" s="109">
        <f>IF($A372="","",$K372*Config!$C$9)</f>
        <v>8</v>
      </c>
      <c r="U372" s="109">
        <f>IF($A372="","",IF(COUNTIF(Config!$C$21:$C$23,$H372)&gt;0,IFERROR(VALUE(LEFT(TRIM($Q372),FIND(" ",TRIM($Q372)&amp;" ")-1)),0),0))</f>
        <v>0</v>
      </c>
      <c r="V372" s="109">
        <f t="shared" si="60"/>
        <v>8</v>
      </c>
      <c r="W372" s="108">
        <f>IF($A372="",0,IF(AND($C372&gt;=Config!$C$7,$C372&lt;=Config!$C$8),1,0))</f>
        <v>1</v>
      </c>
      <c r="X372" s="108">
        <f>IF($A372="",0,IF(COUNTIF(Config!$C$21:$C$23,$H372)&gt;0,1,0))</f>
        <v>0</v>
      </c>
      <c r="Y372" s="108">
        <f t="shared" si="61"/>
        <v>6</v>
      </c>
      <c r="Z372" s="108" t="str">
        <f t="shared" si="62"/>
        <v/>
      </c>
      <c r="AB372" s="108">
        <f t="shared" si="63"/>
        <v>0</v>
      </c>
      <c r="AC372" s="108">
        <f>IF($A372="",0,IF(AND($AB372=1,COUNTIF($A$2:$A372,$A372)=1),1,0))</f>
        <v>0</v>
      </c>
      <c r="AD372" s="108">
        <f t="shared" si="64"/>
        <v>1</v>
      </c>
      <c r="AE372" s="108" t="str">
        <f t="shared" si="65"/>
        <v/>
      </c>
      <c r="AF372" s="108">
        <f t="shared" si="66"/>
        <v>0</v>
      </c>
      <c r="AG372" s="108">
        <f t="shared" si="67"/>
        <v>0</v>
      </c>
      <c r="AH372" s="110" t="str">
        <f t="shared" si="68"/>
        <v xml:space="preserve">J. Burgos|20260903|Training - BPO|1.000|• Reading: Chapter 5 – Conveyances &amp; Interest Calculations. Read the assigned pages (est. 40 min — the slot gives you a </v>
      </c>
      <c r="AI372" s="108">
        <f t="shared" si="69"/>
        <v>0</v>
      </c>
      <c r="AJ372" s="108">
        <f t="shared" si="70"/>
        <v>0</v>
      </c>
      <c r="AK372" s="108">
        <f>IF($A372="",0,IF(AND($S372=1,$W372=1,$X372=1,$U372&gt;Config!$C$9),1,0))</f>
        <v>0</v>
      </c>
      <c r="AL372" s="108">
        <f t="shared" si="71"/>
        <v>0</v>
      </c>
    </row>
    <row r="373" spans="1:38" x14ac:dyDescent="0.25">
      <c r="A373" s="106" t="s">
        <v>822</v>
      </c>
      <c r="B373" s="106" t="s">
        <v>618</v>
      </c>
      <c r="C373" s="107">
        <v>46268</v>
      </c>
      <c r="D373" s="106" t="s">
        <v>623</v>
      </c>
      <c r="E373" s="106" t="s">
        <v>624</v>
      </c>
      <c r="F373" s="106" t="s">
        <v>615</v>
      </c>
      <c r="G373" s="106" t="s">
        <v>625</v>
      </c>
      <c r="H373" s="106" t="s">
        <v>819</v>
      </c>
      <c r="I373" s="106"/>
      <c r="J373" s="106" t="s">
        <v>823</v>
      </c>
      <c r="K373" s="106">
        <v>1</v>
      </c>
      <c r="L373" s="106">
        <v>0</v>
      </c>
      <c r="M373" s="106">
        <v>0</v>
      </c>
      <c r="N373" s="106"/>
      <c r="O373" s="106"/>
      <c r="P373" s="106">
        <v>0</v>
      </c>
      <c r="Q373" s="106" t="s">
        <v>1192</v>
      </c>
      <c r="S373" s="108">
        <f>IF($A373="","",COUNTIF(BPOworkers!$B$6:$B$105,$A373))</f>
        <v>0</v>
      </c>
      <c r="T373" s="109">
        <f>IF($A373="","",$K373*Config!$C$9)</f>
        <v>8</v>
      </c>
      <c r="U373" s="109">
        <f>IF($A373="","",IF(COUNTIF(Config!$C$21:$C$23,$H373)&gt;0,IFERROR(VALUE(LEFT(TRIM($Q373),FIND(" ",TRIM($Q373)&amp;" ")-1)),0),0))</f>
        <v>0</v>
      </c>
      <c r="V373" s="109">
        <f t="shared" si="60"/>
        <v>8</v>
      </c>
      <c r="W373" s="108">
        <f>IF($A373="",0,IF(AND($C373&gt;=Config!$C$7,$C373&lt;=Config!$C$8),1,0))</f>
        <v>1</v>
      </c>
      <c r="X373" s="108">
        <f>IF($A373="",0,IF(COUNTIF(Config!$C$21:$C$23,$H373)&gt;0,1,0))</f>
        <v>0</v>
      </c>
      <c r="Y373" s="108">
        <f t="shared" si="61"/>
        <v>6</v>
      </c>
      <c r="Z373" s="108" t="str">
        <f t="shared" si="62"/>
        <v/>
      </c>
      <c r="AB373" s="108">
        <f t="shared" si="63"/>
        <v>0</v>
      </c>
      <c r="AC373" s="108">
        <f>IF($A373="",0,IF(AND($AB373=1,COUNTIF($A$2:$A373,$A373)=1),1,0))</f>
        <v>0</v>
      </c>
      <c r="AD373" s="108">
        <f t="shared" si="64"/>
        <v>1</v>
      </c>
      <c r="AE373" s="108" t="str">
        <f t="shared" si="65"/>
        <v/>
      </c>
      <c r="AF373" s="108">
        <f t="shared" si="66"/>
        <v>0</v>
      </c>
      <c r="AG373" s="108">
        <f t="shared" si="67"/>
        <v>0</v>
      </c>
      <c r="AH373" s="110" t="str">
        <f t="shared" si="68"/>
        <v>D. Pescador|20260903|Training - BPO|1.000|Reading chapter 5 of the AAPL STUDY GUIDE, quiz 4 and 5 in Rise, also ELT lessons of chapter 6.</v>
      </c>
      <c r="AI373" s="108">
        <f t="shared" si="69"/>
        <v>0</v>
      </c>
      <c r="AJ373" s="108">
        <f t="shared" si="70"/>
        <v>0</v>
      </c>
      <c r="AK373" s="108">
        <f>IF($A373="",0,IF(AND($S373=1,$W373=1,$X373=1,$U373&gt;Config!$C$9),1,0))</f>
        <v>0</v>
      </c>
      <c r="AL373" s="108">
        <f t="shared" si="71"/>
        <v>0</v>
      </c>
    </row>
    <row r="374" spans="1:38" ht="96.75" x14ac:dyDescent="0.25">
      <c r="A374" s="106" t="s">
        <v>825</v>
      </c>
      <c r="B374" s="106" t="s">
        <v>618</v>
      </c>
      <c r="C374" s="107">
        <v>46268</v>
      </c>
      <c r="D374" s="106" t="s">
        <v>623</v>
      </c>
      <c r="E374" s="106" t="s">
        <v>624</v>
      </c>
      <c r="F374" s="106" t="s">
        <v>615</v>
      </c>
      <c r="G374" s="106" t="s">
        <v>625</v>
      </c>
      <c r="H374" s="106" t="s">
        <v>819</v>
      </c>
      <c r="I374" s="106"/>
      <c r="J374" s="106" t="s">
        <v>823</v>
      </c>
      <c r="K374" s="106">
        <v>1</v>
      </c>
      <c r="L374" s="106">
        <v>0</v>
      </c>
      <c r="M374" s="106">
        <v>0</v>
      </c>
      <c r="N374" s="106"/>
      <c r="O374" s="106"/>
      <c r="P374" s="106">
        <v>0</v>
      </c>
      <c r="Q374" s="111" t="s">
        <v>1193</v>
      </c>
      <c r="S374" s="108">
        <f>IF($A374="","",COUNTIF(BPOworkers!$B$6:$B$105,$A374))</f>
        <v>0</v>
      </c>
      <c r="T374" s="109">
        <f>IF($A374="","",$K374*Config!$C$9)</f>
        <v>8</v>
      </c>
      <c r="U374" s="109">
        <f>IF($A374="","",IF(COUNTIF(Config!$C$21:$C$23,$H374)&gt;0,IFERROR(VALUE(LEFT(TRIM($Q374),FIND(" ",TRIM($Q374)&amp;" ")-1)),0),0))</f>
        <v>0</v>
      </c>
      <c r="V374" s="109">
        <f t="shared" si="60"/>
        <v>8</v>
      </c>
      <c r="W374" s="108">
        <f>IF($A374="",0,IF(AND($C374&gt;=Config!$C$7,$C374&lt;=Config!$C$8),1,0))</f>
        <v>1</v>
      </c>
      <c r="X374" s="108">
        <f>IF($A374="",0,IF(COUNTIF(Config!$C$21:$C$23,$H374)&gt;0,1,0))</f>
        <v>0</v>
      </c>
      <c r="Y374" s="108">
        <f t="shared" si="61"/>
        <v>6</v>
      </c>
      <c r="Z374" s="108" t="str">
        <f t="shared" si="62"/>
        <v/>
      </c>
      <c r="AB374" s="108">
        <f t="shared" si="63"/>
        <v>0</v>
      </c>
      <c r="AC374" s="108">
        <f>IF($A374="",0,IF(AND($AB374=1,COUNTIF($A$2:$A374,$A374)=1),1,0))</f>
        <v>0</v>
      </c>
      <c r="AD374" s="108">
        <f t="shared" si="64"/>
        <v>1</v>
      </c>
      <c r="AE374" s="108" t="str">
        <f t="shared" si="65"/>
        <v/>
      </c>
      <c r="AF374" s="108">
        <f t="shared" si="66"/>
        <v>0</v>
      </c>
      <c r="AG374" s="108">
        <f t="shared" si="67"/>
        <v>0</v>
      </c>
      <c r="AH374" s="112" t="str">
        <f t="shared" si="68"/>
        <v>L. Pinto|20260903|Training - BPO|1.000|- Read Ch. 5 Property Descriptions
 - Quiz Ch. 5</v>
      </c>
      <c r="AI374" s="108">
        <f t="shared" si="69"/>
        <v>0</v>
      </c>
      <c r="AJ374" s="108">
        <f t="shared" si="70"/>
        <v>0</v>
      </c>
      <c r="AK374" s="108">
        <f>IF($A374="",0,IF(AND($S374=1,$W374=1,$X374=1,$U374&gt;Config!$C$9),1,0))</f>
        <v>0</v>
      </c>
      <c r="AL374" s="108">
        <f t="shared" si="71"/>
        <v>0</v>
      </c>
    </row>
    <row r="375" spans="1:38" x14ac:dyDescent="0.25">
      <c r="A375" s="106" t="s">
        <v>827</v>
      </c>
      <c r="B375" s="106" t="s">
        <v>618</v>
      </c>
      <c r="C375" s="107">
        <v>46268</v>
      </c>
      <c r="D375" s="106" t="s">
        <v>623</v>
      </c>
      <c r="E375" s="106" t="s">
        <v>624</v>
      </c>
      <c r="F375" s="106" t="s">
        <v>615</v>
      </c>
      <c r="G375" s="106" t="s">
        <v>625</v>
      </c>
      <c r="H375" s="106" t="s">
        <v>819</v>
      </c>
      <c r="I375" s="106"/>
      <c r="J375" s="106" t="s">
        <v>823</v>
      </c>
      <c r="K375" s="106">
        <v>1</v>
      </c>
      <c r="L375" s="106">
        <v>0</v>
      </c>
      <c r="M375" s="106">
        <v>0</v>
      </c>
      <c r="N375" s="106"/>
      <c r="O375" s="106"/>
      <c r="P375" s="106">
        <v>0</v>
      </c>
      <c r="Q375" s="106" t="s">
        <v>1194</v>
      </c>
      <c r="S375" s="108">
        <f>IF($A375="","",COUNTIF(BPOworkers!$B$6:$B$105,$A375))</f>
        <v>0</v>
      </c>
      <c r="T375" s="109">
        <f>IF($A375="","",$K375*Config!$C$9)</f>
        <v>8</v>
      </c>
      <c r="U375" s="109">
        <f>IF($A375="","",IF(COUNTIF(Config!$C$21:$C$23,$H375)&gt;0,IFERROR(VALUE(LEFT(TRIM($Q375),FIND(" ",TRIM($Q375)&amp;" ")-1)),0),0))</f>
        <v>0</v>
      </c>
      <c r="V375" s="109">
        <f t="shared" si="60"/>
        <v>8</v>
      </c>
      <c r="W375" s="108">
        <f>IF($A375="",0,IF(AND($C375&gt;=Config!$C$7,$C375&lt;=Config!$C$8),1,0))</f>
        <v>1</v>
      </c>
      <c r="X375" s="108">
        <f>IF($A375="",0,IF(COUNTIF(Config!$C$21:$C$23,$H375)&gt;0,1,0))</f>
        <v>0</v>
      </c>
      <c r="Y375" s="108">
        <f t="shared" si="61"/>
        <v>6</v>
      </c>
      <c r="Z375" s="108" t="str">
        <f t="shared" si="62"/>
        <v/>
      </c>
      <c r="AB375" s="108">
        <f t="shared" si="63"/>
        <v>0</v>
      </c>
      <c r="AC375" s="108">
        <f>IF($A375="",0,IF(AND($AB375=1,COUNTIF($A$2:$A375,$A375)=1),1,0))</f>
        <v>0</v>
      </c>
      <c r="AD375" s="108">
        <f t="shared" si="64"/>
        <v>1</v>
      </c>
      <c r="AE375" s="108" t="str">
        <f t="shared" si="65"/>
        <v/>
      </c>
      <c r="AF375" s="108">
        <f t="shared" si="66"/>
        <v>0</v>
      </c>
      <c r="AG375" s="108">
        <f t="shared" si="67"/>
        <v>0</v>
      </c>
      <c r="AH375" s="110" t="str">
        <f t="shared" si="68"/>
        <v>J. Cañon|20260903|Training - BPO|1.000|Learn about Contracts, conveycing and interest calculations</v>
      </c>
      <c r="AI375" s="108">
        <f t="shared" si="69"/>
        <v>0</v>
      </c>
      <c r="AJ375" s="108">
        <f t="shared" si="70"/>
        <v>0</v>
      </c>
      <c r="AK375" s="108">
        <f>IF($A375="",0,IF(AND($S375=1,$W375=1,$X375=1,$U375&gt;Config!$C$9),1,0))</f>
        <v>0</v>
      </c>
      <c r="AL375" s="108">
        <f t="shared" si="71"/>
        <v>0</v>
      </c>
    </row>
    <row r="376" spans="1:38" x14ac:dyDescent="0.25">
      <c r="A376" s="106" t="s">
        <v>829</v>
      </c>
      <c r="B376" s="106" t="s">
        <v>618</v>
      </c>
      <c r="C376" s="107">
        <v>46268</v>
      </c>
      <c r="D376" s="106" t="s">
        <v>623</v>
      </c>
      <c r="E376" s="106" t="s">
        <v>624</v>
      </c>
      <c r="F376" s="106" t="s">
        <v>615</v>
      </c>
      <c r="G376" s="106" t="s">
        <v>625</v>
      </c>
      <c r="H376" s="106" t="s">
        <v>819</v>
      </c>
      <c r="I376" s="106"/>
      <c r="J376" s="106" t="s">
        <v>832</v>
      </c>
      <c r="K376" s="106">
        <v>1</v>
      </c>
      <c r="L376" s="106">
        <v>0</v>
      </c>
      <c r="M376" s="106">
        <v>0</v>
      </c>
      <c r="N376" s="106"/>
      <c r="O376" s="106"/>
      <c r="P376" s="106">
        <v>0</v>
      </c>
      <c r="Q376" s="106" t="s">
        <v>1195</v>
      </c>
      <c r="S376" s="108">
        <f>IF($A376="","",COUNTIF(BPOworkers!$B$6:$B$105,$A376))</f>
        <v>0</v>
      </c>
      <c r="T376" s="109">
        <f>IF($A376="","",$K376*Config!$C$9)</f>
        <v>8</v>
      </c>
      <c r="U376" s="109">
        <f>IF($A376="","",IF(COUNTIF(Config!$C$21:$C$23,$H376)&gt;0,IFERROR(VALUE(LEFT(TRIM($Q376),FIND(" ",TRIM($Q376)&amp;" ")-1)),0),0))</f>
        <v>0</v>
      </c>
      <c r="V376" s="109">
        <f t="shared" si="60"/>
        <v>8</v>
      </c>
      <c r="W376" s="108">
        <f>IF($A376="",0,IF(AND($C376&gt;=Config!$C$7,$C376&lt;=Config!$C$8),1,0))</f>
        <v>1</v>
      </c>
      <c r="X376" s="108">
        <f>IF($A376="",0,IF(COUNTIF(Config!$C$21:$C$23,$H376)&gt;0,1,0))</f>
        <v>0</v>
      </c>
      <c r="Y376" s="108">
        <f t="shared" si="61"/>
        <v>6</v>
      </c>
      <c r="Z376" s="108" t="str">
        <f t="shared" si="62"/>
        <v/>
      </c>
      <c r="AB376" s="108">
        <f t="shared" si="63"/>
        <v>0</v>
      </c>
      <c r="AC376" s="108">
        <f>IF($A376="",0,IF(AND($AB376=1,COUNTIF($A$2:$A376,$A376)=1),1,0))</f>
        <v>0</v>
      </c>
      <c r="AD376" s="108">
        <f t="shared" si="64"/>
        <v>1</v>
      </c>
      <c r="AE376" s="108" t="str">
        <f t="shared" si="65"/>
        <v/>
      </c>
      <c r="AF376" s="108">
        <f t="shared" si="66"/>
        <v>0</v>
      </c>
      <c r="AG376" s="108">
        <f t="shared" si="67"/>
        <v>0</v>
      </c>
      <c r="AH376" s="110" t="str">
        <f t="shared" si="68"/>
        <v>S. Guataquira|20260903|Training - BPO|1.000|Today i learn about Conveyancing and interest calculations and how this works specially in Texas</v>
      </c>
      <c r="AI376" s="108">
        <f t="shared" si="69"/>
        <v>0</v>
      </c>
      <c r="AJ376" s="108">
        <f t="shared" si="70"/>
        <v>0</v>
      </c>
      <c r="AK376" s="108">
        <f>IF($A376="",0,IF(AND($S376=1,$W376=1,$X376=1,$U376&gt;Config!$C$9),1,0))</f>
        <v>0</v>
      </c>
      <c r="AL376" s="108">
        <f t="shared" si="71"/>
        <v>0</v>
      </c>
    </row>
    <row r="377" spans="1:38" x14ac:dyDescent="0.25">
      <c r="A377" s="106" t="s">
        <v>834</v>
      </c>
      <c r="B377" s="106" t="s">
        <v>618</v>
      </c>
      <c r="C377" s="107">
        <v>46268</v>
      </c>
      <c r="D377" s="106" t="s">
        <v>623</v>
      </c>
      <c r="E377" s="106" t="s">
        <v>624</v>
      </c>
      <c r="F377" s="106" t="s">
        <v>615</v>
      </c>
      <c r="G377" s="106" t="s">
        <v>625</v>
      </c>
      <c r="H377" s="106" t="s">
        <v>819</v>
      </c>
      <c r="I377" s="106"/>
      <c r="J377" s="106" t="s">
        <v>823</v>
      </c>
      <c r="K377" s="106">
        <v>1</v>
      </c>
      <c r="L377" s="106">
        <v>0</v>
      </c>
      <c r="M377" s="106">
        <v>0</v>
      </c>
      <c r="N377" s="106"/>
      <c r="O377" s="106"/>
      <c r="P377" s="106">
        <v>0</v>
      </c>
      <c r="Q377" s="106" t="s">
        <v>1196</v>
      </c>
      <c r="S377" s="108">
        <f>IF($A377="","",COUNTIF(BPOworkers!$B$6:$B$105,$A377))</f>
        <v>0</v>
      </c>
      <c r="T377" s="109">
        <f>IF($A377="","",$K377*Config!$C$9)</f>
        <v>8</v>
      </c>
      <c r="U377" s="109">
        <f>IF($A377="","",IF(COUNTIF(Config!$C$21:$C$23,$H377)&gt;0,IFERROR(VALUE(LEFT(TRIM($Q377),FIND(" ",TRIM($Q377)&amp;" ")-1)),0),0))</f>
        <v>0</v>
      </c>
      <c r="V377" s="109">
        <f t="shared" si="60"/>
        <v>8</v>
      </c>
      <c r="W377" s="108">
        <f>IF($A377="",0,IF(AND($C377&gt;=Config!$C$7,$C377&lt;=Config!$C$8),1,0))</f>
        <v>1</v>
      </c>
      <c r="X377" s="108">
        <f>IF($A377="",0,IF(COUNTIF(Config!$C$21:$C$23,$H377)&gt;0,1,0))</f>
        <v>0</v>
      </c>
      <c r="Y377" s="108">
        <f t="shared" si="61"/>
        <v>6</v>
      </c>
      <c r="Z377" s="108" t="str">
        <f t="shared" si="62"/>
        <v/>
      </c>
      <c r="AB377" s="108">
        <f t="shared" si="63"/>
        <v>0</v>
      </c>
      <c r="AC377" s="108">
        <f>IF($A377="",0,IF(AND($AB377=1,COUNTIF($A$2:$A377,$A377)=1),1,0))</f>
        <v>0</v>
      </c>
      <c r="AD377" s="108">
        <f t="shared" si="64"/>
        <v>1</v>
      </c>
      <c r="AE377" s="108" t="str">
        <f t="shared" si="65"/>
        <v/>
      </c>
      <c r="AF377" s="108">
        <f t="shared" si="66"/>
        <v>0</v>
      </c>
      <c r="AG377" s="108">
        <f t="shared" si="67"/>
        <v>0</v>
      </c>
      <c r="AH377" s="110" t="str">
        <f t="shared" si="68"/>
        <v>C. Diaz|20260903|Training - BPO|1.000|Read the assigned pages of Chapter 5 and complete the Chapter 5 quiz in Rise.</v>
      </c>
      <c r="AI377" s="108">
        <f t="shared" si="69"/>
        <v>0</v>
      </c>
      <c r="AJ377" s="108">
        <f t="shared" si="70"/>
        <v>0</v>
      </c>
      <c r="AK377" s="108">
        <f>IF($A377="",0,IF(AND($S377=1,$W377=1,$X377=1,$U377&gt;Config!$C$9),1,0))</f>
        <v>0</v>
      </c>
      <c r="AL377" s="108">
        <f t="shared" si="71"/>
        <v>0</v>
      </c>
    </row>
    <row r="378" spans="1:38" ht="192.75" x14ac:dyDescent="0.25">
      <c r="A378" s="106" t="s">
        <v>836</v>
      </c>
      <c r="B378" s="106" t="s">
        <v>618</v>
      </c>
      <c r="C378" s="107">
        <v>46268</v>
      </c>
      <c r="D378" s="106" t="s">
        <v>623</v>
      </c>
      <c r="E378" s="106" t="s">
        <v>624</v>
      </c>
      <c r="F378" s="106" t="s">
        <v>615</v>
      </c>
      <c r="G378" s="106" t="s">
        <v>625</v>
      </c>
      <c r="H378" s="106" t="s">
        <v>819</v>
      </c>
      <c r="I378" s="106"/>
      <c r="J378" s="106" t="s">
        <v>1197</v>
      </c>
      <c r="K378" s="106">
        <v>1</v>
      </c>
      <c r="L378" s="106">
        <v>0</v>
      </c>
      <c r="M378" s="106">
        <v>0</v>
      </c>
      <c r="N378" s="106"/>
      <c r="O378" s="106"/>
      <c r="P378" s="106">
        <v>0</v>
      </c>
      <c r="Q378" s="111" t="s">
        <v>1198</v>
      </c>
      <c r="S378" s="108">
        <f>IF($A378="","",COUNTIF(BPOworkers!$B$6:$B$105,$A378))</f>
        <v>0</v>
      </c>
      <c r="T378" s="109">
        <f>IF($A378="","",$K378*Config!$C$9)</f>
        <v>8</v>
      </c>
      <c r="U378" s="109">
        <f>IF($A378="","",IF(COUNTIF(Config!$C$21:$C$23,$H378)&gt;0,IFERROR(VALUE(LEFT(TRIM($Q378),FIND(" ",TRIM($Q378)&amp;" ")-1)),0),0))</f>
        <v>0</v>
      </c>
      <c r="V378" s="109">
        <f t="shared" si="60"/>
        <v>8</v>
      </c>
      <c r="W378" s="108">
        <f>IF($A378="",0,IF(AND($C378&gt;=Config!$C$7,$C378&lt;=Config!$C$8),1,0))</f>
        <v>1</v>
      </c>
      <c r="X378" s="108">
        <f>IF($A378="",0,IF(COUNTIF(Config!$C$21:$C$23,$H378)&gt;0,1,0))</f>
        <v>0</v>
      </c>
      <c r="Y378" s="108">
        <f t="shared" si="61"/>
        <v>6</v>
      </c>
      <c r="Z378" s="108" t="str">
        <f t="shared" si="62"/>
        <v/>
      </c>
      <c r="AB378" s="108">
        <f t="shared" si="63"/>
        <v>0</v>
      </c>
      <c r="AC378" s="108">
        <f>IF($A378="",0,IF(AND($AB378=1,COUNTIF($A$2:$A378,$A378)=1),1,0))</f>
        <v>0</v>
      </c>
      <c r="AD378" s="108">
        <f t="shared" si="64"/>
        <v>1</v>
      </c>
      <c r="AE378" s="108" t="str">
        <f t="shared" si="65"/>
        <v/>
      </c>
      <c r="AF378" s="108">
        <f t="shared" si="66"/>
        <v>0</v>
      </c>
      <c r="AG378" s="108">
        <f t="shared" si="67"/>
        <v>0</v>
      </c>
      <c r="AH378" s="112" t="str">
        <f t="shared" si="68"/>
        <v>T. Moreno|20260903|Training - BPO|1.000|Reading: Chapter 5 – Conveyances &amp; Interest Calculations. Read the assigned pages (est. 40 min — the
 slot gives you a b</v>
      </c>
      <c r="AI378" s="108">
        <f t="shared" si="69"/>
        <v>0</v>
      </c>
      <c r="AJ378" s="108">
        <f t="shared" si="70"/>
        <v>0</v>
      </c>
      <c r="AK378" s="108">
        <f>IF($A378="",0,IF(AND($S378=1,$W378=1,$X378=1,$U378&gt;Config!$C$9),1,0))</f>
        <v>0</v>
      </c>
      <c r="AL378" s="108">
        <f t="shared" si="71"/>
        <v>0</v>
      </c>
    </row>
    <row r="379" spans="1:38" ht="180.75" x14ac:dyDescent="0.25">
      <c r="A379" s="106" t="s">
        <v>839</v>
      </c>
      <c r="B379" s="106" t="s">
        <v>618</v>
      </c>
      <c r="C379" s="107">
        <v>46268</v>
      </c>
      <c r="D379" s="106" t="s">
        <v>623</v>
      </c>
      <c r="E379" s="106" t="s">
        <v>624</v>
      </c>
      <c r="F379" s="106" t="s">
        <v>615</v>
      </c>
      <c r="G379" s="106" t="s">
        <v>625</v>
      </c>
      <c r="H379" s="106" t="s">
        <v>819</v>
      </c>
      <c r="I379" s="106"/>
      <c r="J379" s="106" t="s">
        <v>823</v>
      </c>
      <c r="K379" s="106">
        <v>1</v>
      </c>
      <c r="L379" s="106">
        <v>0</v>
      </c>
      <c r="M379" s="106">
        <v>0</v>
      </c>
      <c r="N379" s="106"/>
      <c r="O379" s="106"/>
      <c r="P379" s="106">
        <v>0</v>
      </c>
      <c r="Q379" s="111" t="s">
        <v>1199</v>
      </c>
      <c r="S379" s="108">
        <f>IF($A379="","",COUNTIF(BPOworkers!$B$6:$B$105,$A379))</f>
        <v>0</v>
      </c>
      <c r="T379" s="109">
        <f>IF($A379="","",$K379*Config!$C$9)</f>
        <v>8</v>
      </c>
      <c r="U379" s="109">
        <f>IF($A379="","",IF(COUNTIF(Config!$C$21:$C$23,$H379)&gt;0,IFERROR(VALUE(LEFT(TRIM($Q379),FIND(" ",TRIM($Q379)&amp;" ")-1)),0),0))</f>
        <v>0</v>
      </c>
      <c r="V379" s="109">
        <f t="shared" si="60"/>
        <v>8</v>
      </c>
      <c r="W379" s="108">
        <f>IF($A379="",0,IF(AND($C379&gt;=Config!$C$7,$C379&lt;=Config!$C$8),1,0))</f>
        <v>1</v>
      </c>
      <c r="X379" s="108">
        <f>IF($A379="",0,IF(COUNTIF(Config!$C$21:$C$23,$H379)&gt;0,1,0))</f>
        <v>0</v>
      </c>
      <c r="Y379" s="108">
        <f t="shared" si="61"/>
        <v>6</v>
      </c>
      <c r="Z379" s="108" t="str">
        <f t="shared" si="62"/>
        <v/>
      </c>
      <c r="AB379" s="108">
        <f t="shared" si="63"/>
        <v>0</v>
      </c>
      <c r="AC379" s="108">
        <f>IF($A379="",0,IF(AND($AB379=1,COUNTIF($A$2:$A379,$A379)=1),1,0))</f>
        <v>0</v>
      </c>
      <c r="AD379" s="108">
        <f t="shared" si="64"/>
        <v>1</v>
      </c>
      <c r="AE379" s="108" t="str">
        <f t="shared" si="65"/>
        <v/>
      </c>
      <c r="AF379" s="108">
        <f t="shared" si="66"/>
        <v>0</v>
      </c>
      <c r="AG379" s="108">
        <f t="shared" si="67"/>
        <v>0</v>
      </c>
      <c r="AH379" s="112" t="str">
        <f t="shared" si="68"/>
        <v>S. Lopez|20260903|Training - BPO|1.000|Read the Chapter 5 of the Study Guide. 
 Doing the Chapter 6 quiz in Rise platform. 
 Attend to the different activities</v>
      </c>
      <c r="AI379" s="108">
        <f t="shared" si="69"/>
        <v>0</v>
      </c>
      <c r="AJ379" s="108">
        <f t="shared" si="70"/>
        <v>0</v>
      </c>
      <c r="AK379" s="108">
        <f>IF($A379="",0,IF(AND($S379=1,$W379=1,$X379=1,$U379&gt;Config!$C$9),1,0))</f>
        <v>0</v>
      </c>
      <c r="AL379" s="108">
        <f t="shared" si="71"/>
        <v>0</v>
      </c>
    </row>
    <row r="380" spans="1:38" x14ac:dyDescent="0.25">
      <c r="A380" s="106" t="s">
        <v>841</v>
      </c>
      <c r="B380" s="106" t="s">
        <v>618</v>
      </c>
      <c r="C380" s="107">
        <v>46268</v>
      </c>
      <c r="D380" s="106" t="s">
        <v>623</v>
      </c>
      <c r="E380" s="106" t="s">
        <v>624</v>
      </c>
      <c r="F380" s="106" t="s">
        <v>615</v>
      </c>
      <c r="G380" s="106" t="s">
        <v>625</v>
      </c>
      <c r="H380" s="106" t="s">
        <v>819</v>
      </c>
      <c r="I380" s="106"/>
      <c r="J380" s="106" t="s">
        <v>823</v>
      </c>
      <c r="K380" s="106">
        <v>1</v>
      </c>
      <c r="L380" s="106">
        <v>0</v>
      </c>
      <c r="M380" s="106">
        <v>0</v>
      </c>
      <c r="N380" s="106"/>
      <c r="O380" s="106"/>
      <c r="P380" s="106">
        <v>0</v>
      </c>
      <c r="Q380" s="106" t="s">
        <v>1196</v>
      </c>
      <c r="S380" s="108">
        <f>IF($A380="","",COUNTIF(BPOworkers!$B$6:$B$105,$A380))</f>
        <v>0</v>
      </c>
      <c r="T380" s="109">
        <f>IF($A380="","",$K380*Config!$C$9)</f>
        <v>8</v>
      </c>
      <c r="U380" s="109">
        <f>IF($A380="","",IF(COUNTIF(Config!$C$21:$C$23,$H380)&gt;0,IFERROR(VALUE(LEFT(TRIM($Q380),FIND(" ",TRIM($Q380)&amp;" ")-1)),0),0))</f>
        <v>0</v>
      </c>
      <c r="V380" s="109">
        <f t="shared" si="60"/>
        <v>8</v>
      </c>
      <c r="W380" s="108">
        <f>IF($A380="",0,IF(AND($C380&gt;=Config!$C$7,$C380&lt;=Config!$C$8),1,0))</f>
        <v>1</v>
      </c>
      <c r="X380" s="108">
        <f>IF($A380="",0,IF(COUNTIF(Config!$C$21:$C$23,$H380)&gt;0,1,0))</f>
        <v>0</v>
      </c>
      <c r="Y380" s="108">
        <f t="shared" si="61"/>
        <v>6</v>
      </c>
      <c r="Z380" s="108" t="str">
        <f t="shared" si="62"/>
        <v/>
      </c>
      <c r="AB380" s="108">
        <f t="shared" si="63"/>
        <v>0</v>
      </c>
      <c r="AC380" s="108">
        <f>IF($A380="",0,IF(AND($AB380=1,COUNTIF($A$2:$A380,$A380)=1),1,0))</f>
        <v>0</v>
      </c>
      <c r="AD380" s="108">
        <f t="shared" si="64"/>
        <v>1</v>
      </c>
      <c r="AE380" s="108" t="str">
        <f t="shared" si="65"/>
        <v/>
      </c>
      <c r="AF380" s="108">
        <f t="shared" si="66"/>
        <v>0</v>
      </c>
      <c r="AG380" s="108">
        <f t="shared" si="67"/>
        <v>0</v>
      </c>
      <c r="AH380" s="110" t="str">
        <f t="shared" si="68"/>
        <v>A. Roa|20260903|Training - BPO|1.000|Read the assigned pages of Chapter 5 and complete the Chapter 5 quiz in Rise.</v>
      </c>
      <c r="AI380" s="108">
        <f t="shared" si="69"/>
        <v>0</v>
      </c>
      <c r="AJ380" s="108">
        <f t="shared" si="70"/>
        <v>0</v>
      </c>
      <c r="AK380" s="108">
        <f>IF($A380="",0,IF(AND($S380=1,$W380=1,$X380=1,$U380&gt;Config!$C$9),1,0))</f>
        <v>0</v>
      </c>
      <c r="AL380" s="108">
        <f t="shared" si="71"/>
        <v>0</v>
      </c>
    </row>
    <row r="381" spans="1:38" x14ac:dyDescent="0.25">
      <c r="A381" s="106" t="s">
        <v>843</v>
      </c>
      <c r="B381" s="106" t="s">
        <v>618</v>
      </c>
      <c r="C381" s="107">
        <v>46268</v>
      </c>
      <c r="D381" s="106" t="s">
        <v>623</v>
      </c>
      <c r="E381" s="106" t="s">
        <v>624</v>
      </c>
      <c r="F381" s="106" t="s">
        <v>615</v>
      </c>
      <c r="G381" s="106" t="s">
        <v>625</v>
      </c>
      <c r="H381" s="106" t="s">
        <v>819</v>
      </c>
      <c r="I381" s="106"/>
      <c r="J381" s="106" t="s">
        <v>823</v>
      </c>
      <c r="K381" s="106">
        <v>1</v>
      </c>
      <c r="L381" s="106">
        <v>0</v>
      </c>
      <c r="M381" s="106">
        <v>0</v>
      </c>
      <c r="N381" s="106"/>
      <c r="O381" s="106"/>
      <c r="P381" s="106">
        <v>0</v>
      </c>
      <c r="Q381" s="106" t="s">
        <v>1062</v>
      </c>
      <c r="S381" s="108">
        <f>IF($A381="","",COUNTIF(BPOworkers!$B$6:$B$105,$A381))</f>
        <v>0</v>
      </c>
      <c r="T381" s="109">
        <f>IF($A381="","",$K381*Config!$C$9)</f>
        <v>8</v>
      </c>
      <c r="U381" s="109">
        <f>IF($A381="","",IF(COUNTIF(Config!$C$21:$C$23,$H381)&gt;0,IFERROR(VALUE(LEFT(TRIM($Q381),FIND(" ",TRIM($Q381)&amp;" ")-1)),0),0))</f>
        <v>0</v>
      </c>
      <c r="V381" s="109">
        <f t="shared" si="60"/>
        <v>8</v>
      </c>
      <c r="W381" s="108">
        <f>IF($A381="",0,IF(AND($C381&gt;=Config!$C$7,$C381&lt;=Config!$C$8),1,0))</f>
        <v>1</v>
      </c>
      <c r="X381" s="108">
        <f>IF($A381="",0,IF(COUNTIF(Config!$C$21:$C$23,$H381)&gt;0,1,0))</f>
        <v>0</v>
      </c>
      <c r="Y381" s="108">
        <f t="shared" si="61"/>
        <v>6</v>
      </c>
      <c r="Z381" s="108" t="str">
        <f t="shared" si="62"/>
        <v/>
      </c>
      <c r="AB381" s="108">
        <f t="shared" si="63"/>
        <v>0</v>
      </c>
      <c r="AC381" s="108">
        <f>IF($A381="",0,IF(AND($AB381=1,COUNTIF($A$2:$A381,$A381)=1),1,0))</f>
        <v>0</v>
      </c>
      <c r="AD381" s="108">
        <f t="shared" si="64"/>
        <v>1</v>
      </c>
      <c r="AE381" s="108" t="str">
        <f t="shared" si="65"/>
        <v/>
      </c>
      <c r="AF381" s="108">
        <f t="shared" si="66"/>
        <v>0</v>
      </c>
      <c r="AG381" s="108">
        <f t="shared" si="67"/>
        <v>0</v>
      </c>
      <c r="AH381" s="110" t="str">
        <f t="shared" si="68"/>
        <v>G. Gonzalez|20260903|Training - BPO|1.000|Did the lectures and quiz</v>
      </c>
      <c r="AI381" s="108">
        <f t="shared" si="69"/>
        <v>0</v>
      </c>
      <c r="AJ381" s="108">
        <f t="shared" si="70"/>
        <v>0</v>
      </c>
      <c r="AK381" s="108">
        <f>IF($A381="",0,IF(AND($S381=1,$W381=1,$X381=1,$U381&gt;Config!$C$9),1,0))</f>
        <v>0</v>
      </c>
      <c r="AL381" s="108">
        <f t="shared" si="71"/>
        <v>0</v>
      </c>
    </row>
    <row r="382" spans="1:38" ht="132.75" x14ac:dyDescent="0.25">
      <c r="A382" s="106" t="s">
        <v>845</v>
      </c>
      <c r="B382" s="106" t="s">
        <v>618</v>
      </c>
      <c r="C382" s="107">
        <v>46268</v>
      </c>
      <c r="D382" s="106" t="s">
        <v>623</v>
      </c>
      <c r="E382" s="106" t="s">
        <v>624</v>
      </c>
      <c r="F382" s="106" t="s">
        <v>615</v>
      </c>
      <c r="G382" s="106" t="s">
        <v>625</v>
      </c>
      <c r="H382" s="106" t="s">
        <v>819</v>
      </c>
      <c r="I382" s="106"/>
      <c r="J382" s="106" t="s">
        <v>823</v>
      </c>
      <c r="K382" s="106">
        <v>1</v>
      </c>
      <c r="L382" s="106">
        <v>0</v>
      </c>
      <c r="M382" s="106">
        <v>0</v>
      </c>
      <c r="N382" s="106"/>
      <c r="O382" s="106"/>
      <c r="P382" s="106">
        <v>0</v>
      </c>
      <c r="Q382" s="111" t="s">
        <v>1200</v>
      </c>
      <c r="S382" s="108">
        <f>IF($A382="","",COUNTIF(BPOworkers!$B$6:$B$105,$A382))</f>
        <v>0</v>
      </c>
      <c r="T382" s="109">
        <f>IF($A382="","",$K382*Config!$C$9)</f>
        <v>8</v>
      </c>
      <c r="U382" s="109">
        <f>IF($A382="","",IF(COUNTIF(Config!$C$21:$C$23,$H382)&gt;0,IFERROR(VALUE(LEFT(TRIM($Q382),FIND(" ",TRIM($Q382)&amp;" ")-1)),0),0))</f>
        <v>0</v>
      </c>
      <c r="V382" s="109">
        <f t="shared" si="60"/>
        <v>8</v>
      </c>
      <c r="W382" s="108">
        <f>IF($A382="",0,IF(AND($C382&gt;=Config!$C$7,$C382&lt;=Config!$C$8),1,0))</f>
        <v>1</v>
      </c>
      <c r="X382" s="108">
        <f>IF($A382="",0,IF(COUNTIF(Config!$C$21:$C$23,$H382)&gt;0,1,0))</f>
        <v>0</v>
      </c>
      <c r="Y382" s="108">
        <f t="shared" si="61"/>
        <v>6</v>
      </c>
      <c r="Z382" s="108" t="str">
        <f t="shared" si="62"/>
        <v/>
      </c>
      <c r="AB382" s="108">
        <f t="shared" si="63"/>
        <v>0</v>
      </c>
      <c r="AC382" s="108">
        <f>IF($A382="",0,IF(AND($AB382=1,COUNTIF($A$2:$A382,$A382)=1),1,0))</f>
        <v>0</v>
      </c>
      <c r="AD382" s="108">
        <f t="shared" si="64"/>
        <v>1</v>
      </c>
      <c r="AE382" s="108" t="str">
        <f t="shared" si="65"/>
        <v/>
      </c>
      <c r="AF382" s="108">
        <f t="shared" si="66"/>
        <v>0</v>
      </c>
      <c r="AG382" s="108">
        <f t="shared" si="67"/>
        <v>0</v>
      </c>
      <c r="AH382" s="112" t="str">
        <f t="shared" si="68"/>
        <v>L. Rincon|20260903|Training - BPO|1.000|Reading: Chapter 5 – Conveyances &amp; Interest Calculations. 
 Chapter 5 quiz in Rise.</v>
      </c>
      <c r="AI382" s="108">
        <f t="shared" si="69"/>
        <v>0</v>
      </c>
      <c r="AJ382" s="108">
        <f t="shared" si="70"/>
        <v>0</v>
      </c>
      <c r="AK382" s="108">
        <f>IF($A382="",0,IF(AND($S382=1,$W382=1,$X382=1,$U382&gt;Config!$C$9),1,0))</f>
        <v>0</v>
      </c>
      <c r="AL382" s="108">
        <f t="shared" si="71"/>
        <v>0</v>
      </c>
    </row>
    <row r="383" spans="1:38" ht="168.75" x14ac:dyDescent="0.25">
      <c r="A383" s="106" t="s">
        <v>847</v>
      </c>
      <c r="B383" s="106" t="s">
        <v>618</v>
      </c>
      <c r="C383" s="107">
        <v>46268</v>
      </c>
      <c r="D383" s="106" t="s">
        <v>623</v>
      </c>
      <c r="E383" s="106" t="s">
        <v>624</v>
      </c>
      <c r="F383" s="106" t="s">
        <v>615</v>
      </c>
      <c r="G383" s="106" t="s">
        <v>625</v>
      </c>
      <c r="H383" s="106" t="s">
        <v>819</v>
      </c>
      <c r="I383" s="106"/>
      <c r="J383" s="106" t="s">
        <v>1201</v>
      </c>
      <c r="K383" s="106">
        <v>1</v>
      </c>
      <c r="L383" s="106">
        <v>0</v>
      </c>
      <c r="M383" s="106">
        <v>0</v>
      </c>
      <c r="N383" s="106"/>
      <c r="O383" s="106"/>
      <c r="P383" s="106">
        <v>0</v>
      </c>
      <c r="Q383" s="111" t="s">
        <v>1202</v>
      </c>
      <c r="S383" s="108">
        <f>IF($A383="","",COUNTIF(BPOworkers!$B$6:$B$105,$A383))</f>
        <v>0</v>
      </c>
      <c r="T383" s="109">
        <f>IF($A383="","",$K383*Config!$C$9)</f>
        <v>8</v>
      </c>
      <c r="U383" s="109">
        <f>IF($A383="","",IF(COUNTIF(Config!$C$21:$C$23,$H383)&gt;0,IFERROR(VALUE(LEFT(TRIM($Q383),FIND(" ",TRIM($Q383)&amp;" ")-1)),0),0))</f>
        <v>0</v>
      </c>
      <c r="V383" s="109">
        <f t="shared" si="60"/>
        <v>8</v>
      </c>
      <c r="W383" s="108">
        <f>IF($A383="",0,IF(AND($C383&gt;=Config!$C$7,$C383&lt;=Config!$C$8),1,0))</f>
        <v>1</v>
      </c>
      <c r="X383" s="108">
        <f>IF($A383="",0,IF(COUNTIF(Config!$C$21:$C$23,$H383)&gt;0,1,0))</f>
        <v>0</v>
      </c>
      <c r="Y383" s="108">
        <f t="shared" si="61"/>
        <v>6</v>
      </c>
      <c r="Z383" s="108" t="str">
        <f t="shared" si="62"/>
        <v/>
      </c>
      <c r="AB383" s="108">
        <f t="shared" si="63"/>
        <v>0</v>
      </c>
      <c r="AC383" s="108">
        <f>IF($A383="",0,IF(AND($AB383=1,COUNTIF($A$2:$A383,$A383)=1),1,0))</f>
        <v>0</v>
      </c>
      <c r="AD383" s="108">
        <f t="shared" si="64"/>
        <v>1</v>
      </c>
      <c r="AE383" s="108" t="str">
        <f t="shared" si="65"/>
        <v/>
      </c>
      <c r="AF383" s="108">
        <f t="shared" si="66"/>
        <v>0</v>
      </c>
      <c r="AG383" s="108">
        <f t="shared" si="67"/>
        <v>0</v>
      </c>
      <c r="AH383" s="112" t="str">
        <f t="shared" si="68"/>
        <v>A. Mojica|20260903|Training - BPO|1.000|Reading: Chapter 5 – Conveyances &amp; Interest Calculations.
 Chapter 5 quiz in Rise.
 Activity and presentation of Chapter</v>
      </c>
      <c r="AI383" s="108">
        <f t="shared" si="69"/>
        <v>0</v>
      </c>
      <c r="AJ383" s="108">
        <f t="shared" si="70"/>
        <v>0</v>
      </c>
      <c r="AK383" s="108">
        <f>IF($A383="",0,IF(AND($S383=1,$W383=1,$X383=1,$U383&gt;Config!$C$9),1,0))</f>
        <v>0</v>
      </c>
      <c r="AL383" s="108">
        <f t="shared" si="71"/>
        <v>0</v>
      </c>
    </row>
    <row r="384" spans="1:38" x14ac:dyDescent="0.25">
      <c r="A384" s="106" t="s">
        <v>850</v>
      </c>
      <c r="B384" s="106" t="s">
        <v>618</v>
      </c>
      <c r="C384" s="107">
        <v>46268</v>
      </c>
      <c r="D384" s="106" t="s">
        <v>669</v>
      </c>
      <c r="E384" s="106" t="s">
        <v>669</v>
      </c>
      <c r="F384" s="106" t="s">
        <v>615</v>
      </c>
      <c r="G384" s="106"/>
      <c r="H384" s="106" t="s">
        <v>819</v>
      </c>
      <c r="I384" s="106"/>
      <c r="J384" s="106" t="s">
        <v>823</v>
      </c>
      <c r="K384" s="106">
        <v>1</v>
      </c>
      <c r="L384" s="106">
        <v>0</v>
      </c>
      <c r="M384" s="106">
        <v>0</v>
      </c>
      <c r="N384" s="106"/>
      <c r="O384" s="106"/>
      <c r="P384" s="106">
        <v>0</v>
      </c>
      <c r="Q384" s="106" t="s">
        <v>1203</v>
      </c>
      <c r="S384" s="108">
        <f>IF($A384="","",COUNTIF(BPOworkers!$B$6:$B$105,$A384))</f>
        <v>0</v>
      </c>
      <c r="T384" s="109">
        <f>IF($A384="","",$K384*Config!$C$9)</f>
        <v>8</v>
      </c>
      <c r="U384" s="109">
        <f>IF($A384="","",IF(COUNTIF(Config!$C$21:$C$23,$H384)&gt;0,IFERROR(VALUE(LEFT(TRIM($Q384),FIND(" ",TRIM($Q384)&amp;" ")-1)),0),0))</f>
        <v>0</v>
      </c>
      <c r="V384" s="109">
        <f t="shared" si="60"/>
        <v>8</v>
      </c>
      <c r="W384" s="108">
        <f>IF($A384="",0,IF(AND($C384&gt;=Config!$C$7,$C384&lt;=Config!$C$8),1,0))</f>
        <v>1</v>
      </c>
      <c r="X384" s="108">
        <f>IF($A384="",0,IF(COUNTIF(Config!$C$21:$C$23,$H384)&gt;0,1,0))</f>
        <v>0</v>
      </c>
      <c r="Y384" s="108">
        <f t="shared" si="61"/>
        <v>6</v>
      </c>
      <c r="Z384" s="108" t="str">
        <f t="shared" si="62"/>
        <v/>
      </c>
      <c r="AB384" s="108">
        <f t="shared" si="63"/>
        <v>0</v>
      </c>
      <c r="AC384" s="108">
        <f>IF($A384="",0,IF(AND($AB384=1,COUNTIF($A$2:$A384,$A384)=1),1,0))</f>
        <v>0</v>
      </c>
      <c r="AD384" s="108">
        <f t="shared" si="64"/>
        <v>1</v>
      </c>
      <c r="AE384" s="108" t="str">
        <f t="shared" si="65"/>
        <v/>
      </c>
      <c r="AF384" s="108">
        <f t="shared" si="66"/>
        <v>0</v>
      </c>
      <c r="AG384" s="108">
        <f t="shared" si="67"/>
        <v>0</v>
      </c>
      <c r="AH384" s="110" t="str">
        <f t="shared" si="68"/>
        <v>M. Patron|20260903|Training - BPO|1.000|Reading of Chapter 5 and Tracts University exercises</v>
      </c>
      <c r="AI384" s="108">
        <f t="shared" si="69"/>
        <v>0</v>
      </c>
      <c r="AJ384" s="108">
        <f t="shared" si="70"/>
        <v>0</v>
      </c>
      <c r="AK384" s="108">
        <f>IF($A384="",0,IF(AND($S384=1,$W384=1,$X384=1,$U384&gt;Config!$C$9),1,0))</f>
        <v>0</v>
      </c>
      <c r="AL384" s="108">
        <f t="shared" si="71"/>
        <v>0</v>
      </c>
    </row>
    <row r="385" spans="1:38" x14ac:dyDescent="0.25">
      <c r="A385" s="106" t="s">
        <v>852</v>
      </c>
      <c r="B385" s="106" t="s">
        <v>618</v>
      </c>
      <c r="C385" s="107">
        <v>46268</v>
      </c>
      <c r="D385" s="106" t="s">
        <v>623</v>
      </c>
      <c r="E385" s="106" t="s">
        <v>624</v>
      </c>
      <c r="F385" s="106" t="s">
        <v>615</v>
      </c>
      <c r="G385" s="106" t="s">
        <v>625</v>
      </c>
      <c r="H385" s="106" t="s">
        <v>819</v>
      </c>
      <c r="I385" s="106"/>
      <c r="J385" s="106" t="s">
        <v>823</v>
      </c>
      <c r="K385" s="106">
        <v>1</v>
      </c>
      <c r="L385" s="106">
        <v>0</v>
      </c>
      <c r="M385" s="106">
        <v>0</v>
      </c>
      <c r="N385" s="106"/>
      <c r="O385" s="106"/>
      <c r="P385" s="106">
        <v>0</v>
      </c>
      <c r="Q385" s="106" t="s">
        <v>1204</v>
      </c>
      <c r="S385" s="108">
        <f>IF($A385="","",COUNTIF(BPOworkers!$B$6:$B$105,$A385))</f>
        <v>0</v>
      </c>
      <c r="T385" s="109">
        <f>IF($A385="","",$K385*Config!$C$9)</f>
        <v>8</v>
      </c>
      <c r="U385" s="109">
        <f>IF($A385="","",IF(COUNTIF(Config!$C$21:$C$23,$H385)&gt;0,IFERROR(VALUE(LEFT(TRIM($Q385),FIND(" ",TRIM($Q385)&amp;" ")-1)),0),0))</f>
        <v>0</v>
      </c>
      <c r="V385" s="109">
        <f t="shared" si="60"/>
        <v>8</v>
      </c>
      <c r="W385" s="108">
        <f>IF($A385="",0,IF(AND($C385&gt;=Config!$C$7,$C385&lt;=Config!$C$8),1,0))</f>
        <v>1</v>
      </c>
      <c r="X385" s="108">
        <f>IF($A385="",0,IF(COUNTIF(Config!$C$21:$C$23,$H385)&gt;0,1,0))</f>
        <v>0</v>
      </c>
      <c r="Y385" s="108">
        <f t="shared" si="61"/>
        <v>6</v>
      </c>
      <c r="Z385" s="108" t="str">
        <f t="shared" si="62"/>
        <v/>
      </c>
      <c r="AB385" s="108">
        <f t="shared" si="63"/>
        <v>0</v>
      </c>
      <c r="AC385" s="108">
        <f>IF($A385="",0,IF(AND($AB385=1,COUNTIF($A$2:$A385,$A385)=1),1,0))</f>
        <v>0</v>
      </c>
      <c r="AD385" s="108">
        <f t="shared" si="64"/>
        <v>1</v>
      </c>
      <c r="AE385" s="108" t="str">
        <f t="shared" si="65"/>
        <v/>
      </c>
      <c r="AF385" s="108">
        <f t="shared" si="66"/>
        <v>0</v>
      </c>
      <c r="AG385" s="108">
        <f t="shared" si="67"/>
        <v>0</v>
      </c>
      <c r="AH385" s="110" t="str">
        <f t="shared" si="68"/>
        <v>A. Pujana|20260903|Training - BPO|1.000|Completed onboarding training: read Chapter 5 (Conveyances &amp; Interest Calculations, pp. 57–69) of the AAPL Study Guide a</v>
      </c>
      <c r="AI385" s="108">
        <f t="shared" si="69"/>
        <v>0</v>
      </c>
      <c r="AJ385" s="108">
        <f t="shared" si="70"/>
        <v>0</v>
      </c>
      <c r="AK385" s="108">
        <f>IF($A385="",0,IF(AND($S385=1,$W385=1,$X385=1,$U385&gt;Config!$C$9),1,0))</f>
        <v>0</v>
      </c>
      <c r="AL385" s="108">
        <f t="shared" si="71"/>
        <v>0</v>
      </c>
    </row>
    <row r="386" spans="1:38" ht="144.75" x14ac:dyDescent="0.25">
      <c r="A386" s="106" t="s">
        <v>854</v>
      </c>
      <c r="B386" s="106" t="s">
        <v>409</v>
      </c>
      <c r="C386" s="107">
        <v>46268</v>
      </c>
      <c r="D386" s="106" t="s">
        <v>623</v>
      </c>
      <c r="E386" s="106" t="s">
        <v>624</v>
      </c>
      <c r="F386" s="106" t="s">
        <v>615</v>
      </c>
      <c r="G386" s="106" t="s">
        <v>625</v>
      </c>
      <c r="H386" s="106" t="s">
        <v>819</v>
      </c>
      <c r="I386" s="106"/>
      <c r="J386" s="106" t="s">
        <v>855</v>
      </c>
      <c r="K386" s="106">
        <v>1</v>
      </c>
      <c r="L386" s="106">
        <v>0</v>
      </c>
      <c r="M386" s="106">
        <v>0</v>
      </c>
      <c r="N386" s="106"/>
      <c r="O386" s="106"/>
      <c r="P386" s="106">
        <v>0</v>
      </c>
      <c r="Q386" s="111" t="s">
        <v>1205</v>
      </c>
      <c r="S386" s="108">
        <f>IF($A386="","",COUNTIF(BPOworkers!$B$6:$B$105,$A386))</f>
        <v>0</v>
      </c>
      <c r="T386" s="109">
        <f>IF($A386="","",$K386*Config!$C$9)</f>
        <v>8</v>
      </c>
      <c r="U386" s="109">
        <f>IF($A386="","",IF(COUNTIF(Config!$C$21:$C$23,$H386)&gt;0,IFERROR(VALUE(LEFT(TRIM($Q386),FIND(" ",TRIM($Q386)&amp;" ")-1)),0),0))</f>
        <v>0</v>
      </c>
      <c r="V386" s="109">
        <f t="shared" ref="V386:V449" si="72">IF($A386="","",$T386+$U386)</f>
        <v>8</v>
      </c>
      <c r="W386" s="108">
        <f>IF($A386="",0,IF(AND($C386&gt;=Config!$C$7,$C386&lt;=Config!$C$8),1,0))</f>
        <v>1</v>
      </c>
      <c r="X386" s="108">
        <f>IF($A386="",0,IF(COUNTIF(Config!$C$21:$C$23,$H386)&gt;0,1,0))</f>
        <v>0</v>
      </c>
      <c r="Y386" s="108">
        <f t="shared" ref="Y386:Y449" si="73">IF($A386="",MAX(0,Y385),MAX(0,Y385)+IF(AND($W386=1,$X386=1,$S386=1),1,0))</f>
        <v>6</v>
      </c>
      <c r="Z386" s="108" t="str">
        <f t="shared" ref="Z386:Z449" si="74">IF($A386="","",IF(AND($W386=1,$X386=1,$S386=1),$Y386,""))</f>
        <v/>
      </c>
      <c r="AB386" s="108">
        <f t="shared" ref="AB386:AB449" si="75">IF($A386="",0,IF(AND($S386=0,ISERROR(FIND(".",$A386))),1,0))</f>
        <v>0</v>
      </c>
      <c r="AC386" s="108">
        <f>IF($A386="",0,IF(AND($AB386=1,COUNTIF($A$2:$A386,$A386)=1),1,0))</f>
        <v>0</v>
      </c>
      <c r="AD386" s="108">
        <f t="shared" ref="AD386:AD449" si="76">IF($A386="",MAX(0,AD385),MAX(0,AD385)+$AC386)</f>
        <v>1</v>
      </c>
      <c r="AE386" s="108" t="str">
        <f t="shared" ref="AE386:AE449" si="77">IF($AC386=1,$AD386,"")</f>
        <v/>
      </c>
      <c r="AF386" s="108">
        <f t="shared" ref="AF386:AF449" si="78">IF($A386="",0,IFERROR(IF(AND($S386=1,WEEKDAY($C386,2)&gt;5),1,0),0))</f>
        <v>0</v>
      </c>
      <c r="AG386" s="108">
        <f t="shared" ref="AG386:AG449" si="79">IF($A386="",0,IF(AND($S386=1,$W386=0),1,0))</f>
        <v>0</v>
      </c>
      <c r="AH386" s="112" t="str">
        <f t="shared" ref="AH386:AH449" si="80">IF($A386="","",$A386&amp;"|"&amp;TEXT($C386,"yyyymmdd")&amp;"|"&amp;$H386&amp;"|"&amp;TEXT($K386,"0.000")&amp;"|"&amp;SUBSTITUTE(SUBSTITUTE(SUBSTITUTE(LEFT($Q386,120),"~",""),"*",""),"?",""))</f>
        <v>L. Cardenas|20260903|Training - BPO|1.000|Reading assignment chapter 5: Conveyances &amp; Interest 
 Calculations and rise quiz</v>
      </c>
      <c r="AI386" s="108">
        <f t="shared" ref="AI386:AI449" si="81">IF($A386="",0,IF(AND($S386=1,$W386=1,COUNTIF($AH$2:$AH$1500,$AH386)&gt;1),1,0))</f>
        <v>0</v>
      </c>
      <c r="AJ386" s="108">
        <f t="shared" ref="AJ386:AJ449" si="82">IF($A386="",0,IF(AND($S386=1,$W386=1,ABS($K386*8-ROUND($K386*8,0))&gt;0.0001),1,0))</f>
        <v>0</v>
      </c>
      <c r="AK386" s="108">
        <f>IF($A386="",0,IF(AND($S386=1,$W386=1,$X386=1,$U386&gt;Config!$C$9),1,0))</f>
        <v>0</v>
      </c>
      <c r="AL386" s="108">
        <f t="shared" ref="AL386:AL449" si="83">IF($A386="",0,IF(AND($S386=1,$W386=1,$X386=1,$U386=0),1,0))</f>
        <v>0</v>
      </c>
    </row>
    <row r="387" spans="1:38" x14ac:dyDescent="0.25">
      <c r="A387" s="106" t="s">
        <v>858</v>
      </c>
      <c r="B387" s="106" t="s">
        <v>618</v>
      </c>
      <c r="C387" s="107">
        <v>46268</v>
      </c>
      <c r="D387" s="106" t="s">
        <v>623</v>
      </c>
      <c r="E387" s="106" t="s">
        <v>624</v>
      </c>
      <c r="F387" s="106" t="s">
        <v>615</v>
      </c>
      <c r="G387" s="106" t="s">
        <v>625</v>
      </c>
      <c r="H387" s="106" t="s">
        <v>819</v>
      </c>
      <c r="I387" s="106"/>
      <c r="J387" s="106" t="s">
        <v>832</v>
      </c>
      <c r="K387" s="106">
        <v>1</v>
      </c>
      <c r="L387" s="106">
        <v>0</v>
      </c>
      <c r="M387" s="106">
        <v>0</v>
      </c>
      <c r="N387" s="106"/>
      <c r="O387" s="106"/>
      <c r="P387" s="106">
        <v>0</v>
      </c>
      <c r="Q387" s="106" t="s">
        <v>1196</v>
      </c>
      <c r="S387" s="108">
        <f>IF($A387="","",COUNTIF(BPOworkers!$B$6:$B$105,$A387))</f>
        <v>0</v>
      </c>
      <c r="T387" s="109">
        <f>IF($A387="","",$K387*Config!$C$9)</f>
        <v>8</v>
      </c>
      <c r="U387" s="109">
        <f>IF($A387="","",IF(COUNTIF(Config!$C$21:$C$23,$H387)&gt;0,IFERROR(VALUE(LEFT(TRIM($Q387),FIND(" ",TRIM($Q387)&amp;" ")-1)),0),0))</f>
        <v>0</v>
      </c>
      <c r="V387" s="109">
        <f t="shared" si="72"/>
        <v>8</v>
      </c>
      <c r="W387" s="108">
        <f>IF($A387="",0,IF(AND($C387&gt;=Config!$C$7,$C387&lt;=Config!$C$8),1,0))</f>
        <v>1</v>
      </c>
      <c r="X387" s="108">
        <f>IF($A387="",0,IF(COUNTIF(Config!$C$21:$C$23,$H387)&gt;0,1,0))</f>
        <v>0</v>
      </c>
      <c r="Y387" s="108">
        <f t="shared" si="73"/>
        <v>6</v>
      </c>
      <c r="Z387" s="108" t="str">
        <f t="shared" si="74"/>
        <v/>
      </c>
      <c r="AB387" s="108">
        <f t="shared" si="75"/>
        <v>0</v>
      </c>
      <c r="AC387" s="108">
        <f>IF($A387="",0,IF(AND($AB387=1,COUNTIF($A$2:$A387,$A387)=1),1,0))</f>
        <v>0</v>
      </c>
      <c r="AD387" s="108">
        <f t="shared" si="76"/>
        <v>1</v>
      </c>
      <c r="AE387" s="108" t="str">
        <f t="shared" si="77"/>
        <v/>
      </c>
      <c r="AF387" s="108">
        <f t="shared" si="78"/>
        <v>0</v>
      </c>
      <c r="AG387" s="108">
        <f t="shared" si="79"/>
        <v>0</v>
      </c>
      <c r="AH387" s="110" t="str">
        <f t="shared" si="80"/>
        <v>S. Torres|20260903|Training - BPO|1.000|Read the assigned pages of Chapter 5 and complete the Chapter 5 quiz in Rise.</v>
      </c>
      <c r="AI387" s="108">
        <f t="shared" si="81"/>
        <v>0</v>
      </c>
      <c r="AJ387" s="108">
        <f t="shared" si="82"/>
        <v>0</v>
      </c>
      <c r="AK387" s="108">
        <f>IF($A387="",0,IF(AND($S387=1,$W387=1,$X387=1,$U387&gt;Config!$C$9),1,0))</f>
        <v>0</v>
      </c>
      <c r="AL387" s="108">
        <f t="shared" si="83"/>
        <v>0</v>
      </c>
    </row>
    <row r="388" spans="1:38" x14ac:dyDescent="0.25">
      <c r="A388" s="106" t="s">
        <v>859</v>
      </c>
      <c r="B388" s="106" t="s">
        <v>618</v>
      </c>
      <c r="C388" s="107">
        <v>46268</v>
      </c>
      <c r="D388" s="106" t="s">
        <v>623</v>
      </c>
      <c r="E388" s="106" t="s">
        <v>624</v>
      </c>
      <c r="F388" s="106" t="s">
        <v>615</v>
      </c>
      <c r="G388" s="106" t="s">
        <v>625</v>
      </c>
      <c r="H388" s="106" t="s">
        <v>819</v>
      </c>
      <c r="I388" s="106" t="s">
        <v>831</v>
      </c>
      <c r="J388" s="106" t="s">
        <v>823</v>
      </c>
      <c r="K388" s="106">
        <v>1</v>
      </c>
      <c r="L388" s="106">
        <v>0</v>
      </c>
      <c r="M388" s="106">
        <v>0</v>
      </c>
      <c r="N388" s="106"/>
      <c r="O388" s="106"/>
      <c r="P388" s="106">
        <v>0</v>
      </c>
      <c r="Q388" s="106" t="s">
        <v>1206</v>
      </c>
      <c r="S388" s="108">
        <f>IF($A388="","",COUNTIF(BPOworkers!$B$6:$B$105,$A388))</f>
        <v>0</v>
      </c>
      <c r="T388" s="109">
        <f>IF($A388="","",$K388*Config!$C$9)</f>
        <v>8</v>
      </c>
      <c r="U388" s="109">
        <f>IF($A388="","",IF(COUNTIF(Config!$C$21:$C$23,$H388)&gt;0,IFERROR(VALUE(LEFT(TRIM($Q388),FIND(" ",TRIM($Q388)&amp;" ")-1)),0),0))</f>
        <v>0</v>
      </c>
      <c r="V388" s="109">
        <f t="shared" si="72"/>
        <v>8</v>
      </c>
      <c r="W388" s="108">
        <f>IF($A388="",0,IF(AND($C388&gt;=Config!$C$7,$C388&lt;=Config!$C$8),1,0))</f>
        <v>1</v>
      </c>
      <c r="X388" s="108">
        <f>IF($A388="",0,IF(COUNTIF(Config!$C$21:$C$23,$H388)&gt;0,1,0))</f>
        <v>0</v>
      </c>
      <c r="Y388" s="108">
        <f t="shared" si="73"/>
        <v>6</v>
      </c>
      <c r="Z388" s="108" t="str">
        <f t="shared" si="74"/>
        <v/>
      </c>
      <c r="AB388" s="108">
        <f t="shared" si="75"/>
        <v>0</v>
      </c>
      <c r="AC388" s="108">
        <f>IF($A388="",0,IF(AND($AB388=1,COUNTIF($A$2:$A388,$A388)=1),1,0))</f>
        <v>0</v>
      </c>
      <c r="AD388" s="108">
        <f t="shared" si="76"/>
        <v>1</v>
      </c>
      <c r="AE388" s="108" t="str">
        <f t="shared" si="77"/>
        <v/>
      </c>
      <c r="AF388" s="108">
        <f t="shared" si="78"/>
        <v>0</v>
      </c>
      <c r="AG388" s="108">
        <f t="shared" si="79"/>
        <v>0</v>
      </c>
      <c r="AH388" s="110" t="str">
        <f t="shared" si="80"/>
        <v>N. Parra|20260903|Training - BPO|1.000|Quiz 3 in Rise. Reading of Chapter 5 - Conveyances &amp; Interest Calculations and Quiz 5 in Rise</v>
      </c>
      <c r="AI388" s="108">
        <f t="shared" si="81"/>
        <v>0</v>
      </c>
      <c r="AJ388" s="108">
        <f t="shared" si="82"/>
        <v>0</v>
      </c>
      <c r="AK388" s="108">
        <f>IF($A388="",0,IF(AND($S388=1,$W388=1,$X388=1,$U388&gt;Config!$C$9),1,0))</f>
        <v>0</v>
      </c>
      <c r="AL388" s="108">
        <f t="shared" si="83"/>
        <v>0</v>
      </c>
    </row>
    <row r="389" spans="1:38" x14ac:dyDescent="0.25">
      <c r="A389" s="106" t="s">
        <v>613</v>
      </c>
      <c r="B389" s="106" t="s">
        <v>618</v>
      </c>
      <c r="C389" s="107">
        <v>46267</v>
      </c>
      <c r="D389" s="106" t="s">
        <v>712</v>
      </c>
      <c r="E389" s="106" t="s">
        <v>713</v>
      </c>
      <c r="F389" s="106" t="s">
        <v>714</v>
      </c>
      <c r="G389" s="106" t="s">
        <v>1207</v>
      </c>
      <c r="H389" s="106" t="s">
        <v>639</v>
      </c>
      <c r="I389" s="106"/>
      <c r="J389" s="106"/>
      <c r="K389" s="106">
        <v>1</v>
      </c>
      <c r="L389" s="106">
        <v>0</v>
      </c>
      <c r="M389" s="106">
        <v>0</v>
      </c>
      <c r="N389" s="106"/>
      <c r="O389" s="106"/>
      <c r="P389" s="106">
        <v>0</v>
      </c>
      <c r="Q389" s="106" t="s">
        <v>1208</v>
      </c>
      <c r="S389" s="108">
        <f>IF($A389="","",COUNTIF(BPOworkers!$B$6:$B$105,$A389))</f>
        <v>0</v>
      </c>
      <c r="T389" s="109">
        <f>IF($A389="","",$K389*Config!$C$9)</f>
        <v>8</v>
      </c>
      <c r="U389" s="109">
        <f>IF($A389="","",IF(COUNTIF(Config!$C$21:$C$23,$H389)&gt;0,IFERROR(VALUE(LEFT(TRIM($Q389),FIND(" ",TRIM($Q389)&amp;" ")-1)),0),0))</f>
        <v>0</v>
      </c>
      <c r="V389" s="109">
        <f t="shared" si="72"/>
        <v>8</v>
      </c>
      <c r="W389" s="108">
        <f>IF($A389="",0,IF(AND($C389&gt;=Config!$C$7,$C389&lt;=Config!$C$8),1,0))</f>
        <v>1</v>
      </c>
      <c r="X389" s="108">
        <f>IF($A389="",0,IF(COUNTIF(Config!$C$21:$C$23,$H389)&gt;0,1,0))</f>
        <v>0</v>
      </c>
      <c r="Y389" s="108">
        <f t="shared" si="73"/>
        <v>6</v>
      </c>
      <c r="Z389" s="108" t="str">
        <f t="shared" si="74"/>
        <v/>
      </c>
      <c r="AB389" s="108">
        <f t="shared" si="75"/>
        <v>0</v>
      </c>
      <c r="AC389" s="108">
        <f>IF($A389="",0,IF(AND($AB389=1,COUNTIF($A$2:$A389,$A389)=1),1,0))</f>
        <v>0</v>
      </c>
      <c r="AD389" s="108">
        <f t="shared" si="76"/>
        <v>1</v>
      </c>
      <c r="AE389" s="108" t="str">
        <f t="shared" si="77"/>
        <v/>
      </c>
      <c r="AF389" s="108">
        <f t="shared" si="78"/>
        <v>0</v>
      </c>
      <c r="AG389" s="108">
        <f t="shared" si="79"/>
        <v>0</v>
      </c>
      <c r="AH389" s="110" t="str">
        <f t="shared" si="80"/>
        <v>V. Toran|20260902|Review|1.000|19 notecards reviewed; LMS updated; Asana card updated; email with review notes draft started; review checklist reviewed</v>
      </c>
      <c r="AI389" s="108">
        <f t="shared" si="81"/>
        <v>0</v>
      </c>
      <c r="AJ389" s="108">
        <f t="shared" si="82"/>
        <v>0</v>
      </c>
      <c r="AK389" s="108">
        <f>IF($A389="",0,IF(AND($S389=1,$W389=1,$X389=1,$U389&gt;Config!$C$9),1,0))</f>
        <v>0</v>
      </c>
      <c r="AL389" s="108">
        <f t="shared" si="83"/>
        <v>0</v>
      </c>
    </row>
    <row r="390" spans="1:38" x14ac:dyDescent="0.25">
      <c r="A390" s="106" t="s">
        <v>869</v>
      </c>
      <c r="B390" s="106" t="s">
        <v>618</v>
      </c>
      <c r="C390" s="107">
        <v>46267</v>
      </c>
      <c r="D390" s="106" t="s">
        <v>628</v>
      </c>
      <c r="E390" s="106" t="s">
        <v>629</v>
      </c>
      <c r="F390" s="106" t="s">
        <v>630</v>
      </c>
      <c r="G390" s="106" t="s">
        <v>873</v>
      </c>
      <c r="H390" s="106" t="s">
        <v>656</v>
      </c>
      <c r="I390" s="106"/>
      <c r="J390" s="106"/>
      <c r="K390" s="106">
        <v>0.625</v>
      </c>
      <c r="L390" s="106">
        <v>0</v>
      </c>
      <c r="M390" s="106">
        <v>0</v>
      </c>
      <c r="N390" s="106"/>
      <c r="O390" s="106"/>
      <c r="P390" s="106">
        <v>0</v>
      </c>
      <c r="Q390" s="106" t="s">
        <v>1209</v>
      </c>
      <c r="S390" s="108">
        <f>IF($A390="","",COUNTIF(BPOworkers!$B$6:$B$105,$A390))</f>
        <v>0</v>
      </c>
      <c r="T390" s="109">
        <f>IF($A390="","",$K390*Config!$C$9)</f>
        <v>5</v>
      </c>
      <c r="U390" s="109">
        <f>IF($A390="","",IF(COUNTIF(Config!$C$21:$C$23,$H390)&gt;0,IFERROR(VALUE(LEFT(TRIM($Q390),FIND(" ",TRIM($Q390)&amp;" ")-1)),0),0))</f>
        <v>0</v>
      </c>
      <c r="V390" s="109">
        <f t="shared" si="72"/>
        <v>5</v>
      </c>
      <c r="W390" s="108">
        <f>IF($A390="",0,IF(AND($C390&gt;=Config!$C$7,$C390&lt;=Config!$C$8),1,0))</f>
        <v>1</v>
      </c>
      <c r="X390" s="108">
        <f>IF($A390="",0,IF(COUNTIF(Config!$C$21:$C$23,$H390)&gt;0,1,0))</f>
        <v>0</v>
      </c>
      <c r="Y390" s="108">
        <f t="shared" si="73"/>
        <v>6</v>
      </c>
      <c r="Z390" s="108" t="str">
        <f t="shared" si="74"/>
        <v/>
      </c>
      <c r="AB390" s="108">
        <f t="shared" si="75"/>
        <v>0</v>
      </c>
      <c r="AC390" s="108">
        <f>IF($A390="",0,IF(AND($AB390=1,COUNTIF($A$2:$A390,$A390)=1),1,0))</f>
        <v>0</v>
      </c>
      <c r="AD390" s="108">
        <f t="shared" si="76"/>
        <v>1</v>
      </c>
      <c r="AE390" s="108" t="str">
        <f t="shared" si="77"/>
        <v/>
      </c>
      <c r="AF390" s="108">
        <f t="shared" si="78"/>
        <v>0</v>
      </c>
      <c r="AG390" s="108">
        <f t="shared" si="79"/>
        <v>0</v>
      </c>
      <c r="AH390" s="110" t="str">
        <f t="shared" si="80"/>
        <v>K. Mainard|20260902|Project Management|0.625|Analyzed additional materials and worked with team to start getting into the AOIs. Updated cost estimate based on additi</v>
      </c>
      <c r="AI390" s="108">
        <f t="shared" si="81"/>
        <v>0</v>
      </c>
      <c r="AJ390" s="108">
        <f t="shared" si="82"/>
        <v>0</v>
      </c>
      <c r="AK390" s="108">
        <f>IF($A390="",0,IF(AND($S390=1,$W390=1,$X390=1,$U390&gt;Config!$C$9),1,0))</f>
        <v>0</v>
      </c>
      <c r="AL390" s="108">
        <f t="shared" si="83"/>
        <v>0</v>
      </c>
    </row>
    <row r="391" spans="1:38" x14ac:dyDescent="0.25">
      <c r="A391" s="106" t="s">
        <v>869</v>
      </c>
      <c r="B391" s="106" t="s">
        <v>618</v>
      </c>
      <c r="C391" s="107">
        <v>46267</v>
      </c>
      <c r="D391" s="106" t="s">
        <v>694</v>
      </c>
      <c r="E391" s="106" t="s">
        <v>862</v>
      </c>
      <c r="F391" s="106" t="s">
        <v>766</v>
      </c>
      <c r="G391" s="106" t="s">
        <v>873</v>
      </c>
      <c r="H391" s="106" t="s">
        <v>656</v>
      </c>
      <c r="I391" s="106"/>
      <c r="J391" s="106"/>
      <c r="K391" s="106">
        <v>0.25</v>
      </c>
      <c r="L391" s="106">
        <v>0</v>
      </c>
      <c r="M391" s="106">
        <v>0</v>
      </c>
      <c r="N391" s="106"/>
      <c r="O391" s="106"/>
      <c r="P391" s="106">
        <v>0</v>
      </c>
      <c r="Q391" s="106" t="s">
        <v>1210</v>
      </c>
      <c r="S391" s="108">
        <f>IF($A391="","",COUNTIF(BPOworkers!$B$6:$B$105,$A391))</f>
        <v>0</v>
      </c>
      <c r="T391" s="109">
        <f>IF($A391="","",$K391*Config!$C$9)</f>
        <v>2</v>
      </c>
      <c r="U391" s="109">
        <f>IF($A391="","",IF(COUNTIF(Config!$C$21:$C$23,$H391)&gt;0,IFERROR(VALUE(LEFT(TRIM($Q391),FIND(" ",TRIM($Q391)&amp;" ")-1)),0),0))</f>
        <v>0</v>
      </c>
      <c r="V391" s="109">
        <f t="shared" si="72"/>
        <v>2</v>
      </c>
      <c r="W391" s="108">
        <f>IF($A391="",0,IF(AND($C391&gt;=Config!$C$7,$C391&lt;=Config!$C$8),1,0))</f>
        <v>1</v>
      </c>
      <c r="X391" s="108">
        <f>IF($A391="",0,IF(COUNTIF(Config!$C$21:$C$23,$H391)&gt;0,1,0))</f>
        <v>0</v>
      </c>
      <c r="Y391" s="108">
        <f t="shared" si="73"/>
        <v>6</v>
      </c>
      <c r="Z391" s="108" t="str">
        <f t="shared" si="74"/>
        <v/>
      </c>
      <c r="AB391" s="108">
        <f t="shared" si="75"/>
        <v>0</v>
      </c>
      <c r="AC391" s="108">
        <f>IF($A391="",0,IF(AND($AB391=1,COUNTIF($A$2:$A391,$A391)=1),1,0))</f>
        <v>0</v>
      </c>
      <c r="AD391" s="108">
        <f t="shared" si="76"/>
        <v>1</v>
      </c>
      <c r="AE391" s="108" t="str">
        <f t="shared" si="77"/>
        <v/>
      </c>
      <c r="AF391" s="108">
        <f t="shared" si="78"/>
        <v>0</v>
      </c>
      <c r="AG391" s="108">
        <f t="shared" si="79"/>
        <v>0</v>
      </c>
      <c r="AH391" s="110" t="str">
        <f t="shared" si="80"/>
        <v>K. Mainard|20260902|Project Management|0.250|Worked through review notes and answered landman questions.</v>
      </c>
      <c r="AI391" s="108">
        <f t="shared" si="81"/>
        <v>0</v>
      </c>
      <c r="AJ391" s="108">
        <f t="shared" si="82"/>
        <v>0</v>
      </c>
      <c r="AK391" s="108">
        <f>IF($A391="",0,IF(AND($S391=1,$W391=1,$X391=1,$U391&gt;Config!$C$9),1,0))</f>
        <v>0</v>
      </c>
      <c r="AL391" s="108">
        <f t="shared" si="83"/>
        <v>0</v>
      </c>
    </row>
    <row r="392" spans="1:38" x14ac:dyDescent="0.25">
      <c r="A392" s="106" t="s">
        <v>869</v>
      </c>
      <c r="B392" s="106" t="s">
        <v>618</v>
      </c>
      <c r="C392" s="107">
        <v>46267</v>
      </c>
      <c r="D392" s="106" t="s">
        <v>694</v>
      </c>
      <c r="E392" s="106" t="s">
        <v>695</v>
      </c>
      <c r="F392" s="106" t="s">
        <v>696</v>
      </c>
      <c r="G392" s="106" t="s">
        <v>1211</v>
      </c>
      <c r="H392" s="106" t="s">
        <v>656</v>
      </c>
      <c r="I392" s="106"/>
      <c r="J392" s="106"/>
      <c r="K392" s="106">
        <v>0.125</v>
      </c>
      <c r="L392" s="106">
        <v>0</v>
      </c>
      <c r="M392" s="106">
        <v>0</v>
      </c>
      <c r="N392" s="106"/>
      <c r="O392" s="106"/>
      <c r="P392" s="106">
        <v>0</v>
      </c>
      <c r="Q392" s="106" t="s">
        <v>1212</v>
      </c>
      <c r="S392" s="108">
        <f>IF($A392="","",COUNTIF(BPOworkers!$B$6:$B$105,$A392))</f>
        <v>0</v>
      </c>
      <c r="T392" s="109">
        <f>IF($A392="","",$K392*Config!$C$9)</f>
        <v>1</v>
      </c>
      <c r="U392" s="109">
        <f>IF($A392="","",IF(COUNTIF(Config!$C$21:$C$23,$H392)&gt;0,IFERROR(VALUE(LEFT(TRIM($Q392),FIND(" ",TRIM($Q392)&amp;" ")-1)),0),0))</f>
        <v>0</v>
      </c>
      <c r="V392" s="109">
        <f t="shared" si="72"/>
        <v>1</v>
      </c>
      <c r="W392" s="108">
        <f>IF($A392="",0,IF(AND($C392&gt;=Config!$C$7,$C392&lt;=Config!$C$8),1,0))</f>
        <v>1</v>
      </c>
      <c r="X392" s="108">
        <f>IF($A392="",0,IF(COUNTIF(Config!$C$21:$C$23,$H392)&gt;0,1,0))</f>
        <v>0</v>
      </c>
      <c r="Y392" s="108">
        <f t="shared" si="73"/>
        <v>6</v>
      </c>
      <c r="Z392" s="108" t="str">
        <f t="shared" si="74"/>
        <v/>
      </c>
      <c r="AB392" s="108">
        <f t="shared" si="75"/>
        <v>0</v>
      </c>
      <c r="AC392" s="108">
        <f>IF($A392="",0,IF(AND($AB392=1,COUNTIF($A$2:$A392,$A392)=1),1,0))</f>
        <v>0</v>
      </c>
      <c r="AD392" s="108">
        <f t="shared" si="76"/>
        <v>1</v>
      </c>
      <c r="AE392" s="108" t="str">
        <f t="shared" si="77"/>
        <v/>
      </c>
      <c r="AF392" s="108">
        <f t="shared" si="78"/>
        <v>0</v>
      </c>
      <c r="AG392" s="108">
        <f t="shared" si="79"/>
        <v>0</v>
      </c>
      <c r="AH392" s="110" t="str">
        <f t="shared" si="80"/>
        <v>K. Mainard|20260902|Project Management|0.125|Worked with Madison to organize project resources into a project log.</v>
      </c>
      <c r="AI392" s="108">
        <f t="shared" si="81"/>
        <v>0</v>
      </c>
      <c r="AJ392" s="108">
        <f t="shared" si="82"/>
        <v>0</v>
      </c>
      <c r="AK392" s="108">
        <f>IF($A392="",0,IF(AND($S392=1,$W392=1,$X392=1,$U392&gt;Config!$C$9),1,0))</f>
        <v>0</v>
      </c>
      <c r="AL392" s="108">
        <f t="shared" si="83"/>
        <v>0</v>
      </c>
    </row>
    <row r="393" spans="1:38" x14ac:dyDescent="0.25">
      <c r="A393" s="106" t="s">
        <v>617</v>
      </c>
      <c r="B393" s="106" t="s">
        <v>618</v>
      </c>
      <c r="C393" s="107">
        <v>46267</v>
      </c>
      <c r="D393" s="106" t="s">
        <v>881</v>
      </c>
      <c r="E393" s="106" t="s">
        <v>906</v>
      </c>
      <c r="F393" s="106" t="s">
        <v>1085</v>
      </c>
      <c r="G393" s="106" t="s">
        <v>1213</v>
      </c>
      <c r="H393" s="106" t="s">
        <v>639</v>
      </c>
      <c r="I393" s="106"/>
      <c r="J393" s="106"/>
      <c r="K393" s="106">
        <v>0.75</v>
      </c>
      <c r="L393" s="106">
        <v>0</v>
      </c>
      <c r="M393" s="106">
        <v>0</v>
      </c>
      <c r="N393" s="106"/>
      <c r="O393" s="106"/>
      <c r="P393" s="106">
        <v>0</v>
      </c>
      <c r="Q393" s="106" t="s">
        <v>1214</v>
      </c>
      <c r="S393" s="108">
        <f>IF($A393="","",COUNTIF(BPOworkers!$B$6:$B$105,$A393))</f>
        <v>0</v>
      </c>
      <c r="T393" s="109">
        <f>IF($A393="","",$K393*Config!$C$9)</f>
        <v>6</v>
      </c>
      <c r="U393" s="109">
        <f>IF($A393="","",IF(COUNTIF(Config!$C$21:$C$23,$H393)&gt;0,IFERROR(VALUE(LEFT(TRIM($Q393),FIND(" ",TRIM($Q393)&amp;" ")-1)),0),0))</f>
        <v>0</v>
      </c>
      <c r="V393" s="109">
        <f t="shared" si="72"/>
        <v>6</v>
      </c>
      <c r="W393" s="108">
        <f>IF($A393="",0,IF(AND($C393&gt;=Config!$C$7,$C393&lt;=Config!$C$8),1,0))</f>
        <v>1</v>
      </c>
      <c r="X393" s="108">
        <f>IF($A393="",0,IF(COUNTIF(Config!$C$21:$C$23,$H393)&gt;0,1,0))</f>
        <v>0</v>
      </c>
      <c r="Y393" s="108">
        <f t="shared" si="73"/>
        <v>6</v>
      </c>
      <c r="Z393" s="108" t="str">
        <f t="shared" si="74"/>
        <v/>
      </c>
      <c r="AB393" s="108">
        <f t="shared" si="75"/>
        <v>0</v>
      </c>
      <c r="AC393" s="108">
        <f>IF($A393="",0,IF(AND($AB393=1,COUNTIF($A$2:$A393,$A393)=1),1,0))</f>
        <v>0</v>
      </c>
      <c r="AD393" s="108">
        <f t="shared" si="76"/>
        <v>1</v>
      </c>
      <c r="AE393" s="108" t="str">
        <f t="shared" si="77"/>
        <v/>
      </c>
      <c r="AF393" s="108">
        <f t="shared" si="78"/>
        <v>0</v>
      </c>
      <c r="AG393" s="108">
        <f t="shared" si="79"/>
        <v>0</v>
      </c>
      <c r="AH393" s="110" t="str">
        <f t="shared" si="80"/>
        <v>P. Tamez|20260902|Review|0.750|Completed reviewing AOI.</v>
      </c>
      <c r="AI393" s="108">
        <f t="shared" si="81"/>
        <v>0</v>
      </c>
      <c r="AJ393" s="108">
        <f t="shared" si="82"/>
        <v>0</v>
      </c>
      <c r="AK393" s="108">
        <f>IF($A393="",0,IF(AND($S393=1,$W393=1,$X393=1,$U393&gt;Config!$C$9),1,0))</f>
        <v>0</v>
      </c>
      <c r="AL393" s="108">
        <f t="shared" si="83"/>
        <v>0</v>
      </c>
    </row>
    <row r="394" spans="1:38" x14ac:dyDescent="0.25">
      <c r="A394" s="106" t="s">
        <v>617</v>
      </c>
      <c r="B394" s="106" t="s">
        <v>618</v>
      </c>
      <c r="C394" s="107">
        <v>46267</v>
      </c>
      <c r="D394" s="106" t="s">
        <v>720</v>
      </c>
      <c r="E394" s="106" t="s">
        <v>721</v>
      </c>
      <c r="F394" s="106" t="s">
        <v>722</v>
      </c>
      <c r="G394" s="106" t="s">
        <v>933</v>
      </c>
      <c r="H394" s="106" t="s">
        <v>656</v>
      </c>
      <c r="I394" s="106"/>
      <c r="J394" s="106"/>
      <c r="K394" s="106">
        <v>0.25</v>
      </c>
      <c r="L394" s="106">
        <v>0</v>
      </c>
      <c r="M394" s="106">
        <v>0</v>
      </c>
      <c r="N394" s="106"/>
      <c r="O394" s="106"/>
      <c r="P394" s="106">
        <v>0</v>
      </c>
      <c r="Q394" s="106" t="s">
        <v>1215</v>
      </c>
      <c r="S394" s="108">
        <f>IF($A394="","",COUNTIF(BPOworkers!$B$6:$B$105,$A394))</f>
        <v>0</v>
      </c>
      <c r="T394" s="109">
        <f>IF($A394="","",$K394*Config!$C$9)</f>
        <v>2</v>
      </c>
      <c r="U394" s="109">
        <f>IF($A394="","",IF(COUNTIF(Config!$C$21:$C$23,$H394)&gt;0,IFERROR(VALUE(LEFT(TRIM($Q394),FIND(" ",TRIM($Q394)&amp;" ")-1)),0),0))</f>
        <v>0</v>
      </c>
      <c r="V394" s="109">
        <f t="shared" si="72"/>
        <v>2</v>
      </c>
      <c r="W394" s="108">
        <f>IF($A394="",0,IF(AND($C394&gt;=Config!$C$7,$C394&lt;=Config!$C$8),1,0))</f>
        <v>1</v>
      </c>
      <c r="X394" s="108">
        <f>IF($A394="",0,IF(COUNTIF(Config!$C$21:$C$23,$H394)&gt;0,1,0))</f>
        <v>0</v>
      </c>
      <c r="Y394" s="108">
        <f t="shared" si="73"/>
        <v>6</v>
      </c>
      <c r="Z394" s="108" t="str">
        <f t="shared" si="74"/>
        <v/>
      </c>
      <c r="AB394" s="108">
        <f t="shared" si="75"/>
        <v>0</v>
      </c>
      <c r="AC394" s="108">
        <f>IF($A394="",0,IF(AND($AB394=1,COUNTIF($A$2:$A394,$A394)=1),1,0))</f>
        <v>0</v>
      </c>
      <c r="AD394" s="108">
        <f t="shared" si="76"/>
        <v>1</v>
      </c>
      <c r="AE394" s="108" t="str">
        <f t="shared" si="77"/>
        <v/>
      </c>
      <c r="AF394" s="108">
        <f t="shared" si="78"/>
        <v>0</v>
      </c>
      <c r="AG394" s="108">
        <f t="shared" si="79"/>
        <v>0</v>
      </c>
      <c r="AH394" s="110" t="str">
        <f t="shared" si="80"/>
        <v>P. Tamez|20260902|Project Management|0.250|Assisted with onboarding the project, meeting with the landmen, meeting with client.</v>
      </c>
      <c r="AI394" s="108">
        <f t="shared" si="81"/>
        <v>0</v>
      </c>
      <c r="AJ394" s="108">
        <f t="shared" si="82"/>
        <v>0</v>
      </c>
      <c r="AK394" s="108">
        <f>IF($A394="",0,IF(AND($S394=1,$W394=1,$X394=1,$U394&gt;Config!$C$9),1,0))</f>
        <v>0</v>
      </c>
      <c r="AL394" s="108">
        <f t="shared" si="83"/>
        <v>0</v>
      </c>
    </row>
    <row r="395" spans="1:38" x14ac:dyDescent="0.25">
      <c r="A395" s="106" t="s">
        <v>620</v>
      </c>
      <c r="B395" s="106" t="s">
        <v>618</v>
      </c>
      <c r="C395" s="107">
        <v>46267</v>
      </c>
      <c r="D395" s="106" t="s">
        <v>885</v>
      </c>
      <c r="E395" s="106" t="s">
        <v>773</v>
      </c>
      <c r="F395" s="106" t="s">
        <v>886</v>
      </c>
      <c r="G395" s="106" t="s">
        <v>887</v>
      </c>
      <c r="H395" s="106" t="s">
        <v>639</v>
      </c>
      <c r="I395" s="106"/>
      <c r="J395" s="106"/>
      <c r="K395" s="106">
        <v>0.75</v>
      </c>
      <c r="L395" s="106">
        <v>0</v>
      </c>
      <c r="M395" s="106">
        <v>0</v>
      </c>
      <c r="N395" s="106"/>
      <c r="O395" s="106"/>
      <c r="P395" s="106">
        <v>0</v>
      </c>
      <c r="Q395" s="106" t="s">
        <v>1216</v>
      </c>
      <c r="S395" s="108">
        <f>IF($A395="","",COUNTIF(BPOworkers!$B$6:$B$105,$A395))</f>
        <v>0</v>
      </c>
      <c r="T395" s="109">
        <f>IF($A395="","",$K395*Config!$C$9)</f>
        <v>6</v>
      </c>
      <c r="U395" s="109">
        <f>IF($A395="","",IF(COUNTIF(Config!$C$21:$C$23,$H395)&gt;0,IFERROR(VALUE(LEFT(TRIM($Q395),FIND(" ",TRIM($Q395)&amp;" ")-1)),0),0))</f>
        <v>0</v>
      </c>
      <c r="V395" s="109">
        <f t="shared" si="72"/>
        <v>6</v>
      </c>
      <c r="W395" s="108">
        <f>IF($A395="",0,IF(AND($C395&gt;=Config!$C$7,$C395&lt;=Config!$C$8),1,0))</f>
        <v>1</v>
      </c>
      <c r="X395" s="108">
        <f>IF($A395="",0,IF(COUNTIF(Config!$C$21:$C$23,$H395)&gt;0,1,0))</f>
        <v>0</v>
      </c>
      <c r="Y395" s="108">
        <f t="shared" si="73"/>
        <v>6</v>
      </c>
      <c r="Z395" s="108" t="str">
        <f t="shared" si="74"/>
        <v/>
      </c>
      <c r="AB395" s="108">
        <f t="shared" si="75"/>
        <v>0</v>
      </c>
      <c r="AC395" s="108">
        <f>IF($A395="",0,IF(AND($AB395=1,COUNTIF($A$2:$A395,$A395)=1),1,0))</f>
        <v>0</v>
      </c>
      <c r="AD395" s="108">
        <f t="shared" si="76"/>
        <v>1</v>
      </c>
      <c r="AE395" s="108" t="str">
        <f t="shared" si="77"/>
        <v/>
      </c>
      <c r="AF395" s="108">
        <f t="shared" si="78"/>
        <v>0</v>
      </c>
      <c r="AG395" s="108">
        <f t="shared" si="79"/>
        <v>0</v>
      </c>
      <c r="AH395" s="110" t="str">
        <f t="shared" si="80"/>
        <v>I. Rice|20260902|Review|0.750|Review and revision of notecards and updating common title AOIs.</v>
      </c>
      <c r="AI395" s="108">
        <f t="shared" si="81"/>
        <v>0</v>
      </c>
      <c r="AJ395" s="108">
        <f t="shared" si="82"/>
        <v>0</v>
      </c>
      <c r="AK395" s="108">
        <f>IF($A395="",0,IF(AND($S395=1,$W395=1,$X395=1,$U395&gt;Config!$C$9),1,0))</f>
        <v>0</v>
      </c>
      <c r="AL395" s="108">
        <f t="shared" si="83"/>
        <v>0</v>
      </c>
    </row>
    <row r="396" spans="1:38" x14ac:dyDescent="0.25">
      <c r="A396" s="106" t="s">
        <v>620</v>
      </c>
      <c r="B396" s="106" t="s">
        <v>618</v>
      </c>
      <c r="C396" s="107">
        <v>46267</v>
      </c>
      <c r="D396" s="106" t="s">
        <v>885</v>
      </c>
      <c r="E396" s="106" t="s">
        <v>773</v>
      </c>
      <c r="F396" s="106" t="s">
        <v>886</v>
      </c>
      <c r="G396" s="106" t="s">
        <v>1074</v>
      </c>
      <c r="H396" s="106" t="s">
        <v>639</v>
      </c>
      <c r="I396" s="106"/>
      <c r="J396" s="106"/>
      <c r="K396" s="106">
        <v>0.125</v>
      </c>
      <c r="L396" s="106">
        <v>0</v>
      </c>
      <c r="M396" s="106">
        <v>0</v>
      </c>
      <c r="N396" s="106"/>
      <c r="O396" s="106"/>
      <c r="P396" s="106">
        <v>0</v>
      </c>
      <c r="Q396" s="106" t="s">
        <v>1216</v>
      </c>
      <c r="S396" s="108">
        <f>IF($A396="","",COUNTIF(BPOworkers!$B$6:$B$105,$A396))</f>
        <v>0</v>
      </c>
      <c r="T396" s="109">
        <f>IF($A396="","",$K396*Config!$C$9)</f>
        <v>1</v>
      </c>
      <c r="U396" s="109">
        <f>IF($A396="","",IF(COUNTIF(Config!$C$21:$C$23,$H396)&gt;0,IFERROR(VALUE(LEFT(TRIM($Q396),FIND(" ",TRIM($Q396)&amp;" ")-1)),0),0))</f>
        <v>0</v>
      </c>
      <c r="V396" s="109">
        <f t="shared" si="72"/>
        <v>1</v>
      </c>
      <c r="W396" s="108">
        <f>IF($A396="",0,IF(AND($C396&gt;=Config!$C$7,$C396&lt;=Config!$C$8),1,0))</f>
        <v>1</v>
      </c>
      <c r="X396" s="108">
        <f>IF($A396="",0,IF(COUNTIF(Config!$C$21:$C$23,$H396)&gt;0,1,0))</f>
        <v>0</v>
      </c>
      <c r="Y396" s="108">
        <f t="shared" si="73"/>
        <v>6</v>
      </c>
      <c r="Z396" s="108" t="str">
        <f t="shared" si="74"/>
        <v/>
      </c>
      <c r="AB396" s="108">
        <f t="shared" si="75"/>
        <v>0</v>
      </c>
      <c r="AC396" s="108">
        <f>IF($A396="",0,IF(AND($AB396=1,COUNTIF($A$2:$A396,$A396)=1),1,0))</f>
        <v>0</v>
      </c>
      <c r="AD396" s="108">
        <f t="shared" si="76"/>
        <v>1</v>
      </c>
      <c r="AE396" s="108" t="str">
        <f t="shared" si="77"/>
        <v/>
      </c>
      <c r="AF396" s="108">
        <f t="shared" si="78"/>
        <v>0</v>
      </c>
      <c r="AG396" s="108">
        <f t="shared" si="79"/>
        <v>0</v>
      </c>
      <c r="AH396" s="110" t="str">
        <f t="shared" si="80"/>
        <v>I. Rice|20260902|Review|0.125|Review and revision of notecards and updating common title AOIs.</v>
      </c>
      <c r="AI396" s="108">
        <f t="shared" si="81"/>
        <v>0</v>
      </c>
      <c r="AJ396" s="108">
        <f t="shared" si="82"/>
        <v>0</v>
      </c>
      <c r="AK396" s="108">
        <f>IF($A396="",0,IF(AND($S396=1,$W396=1,$X396=1,$U396&gt;Config!$C$9),1,0))</f>
        <v>0</v>
      </c>
      <c r="AL396" s="108">
        <f t="shared" si="83"/>
        <v>0</v>
      </c>
    </row>
    <row r="397" spans="1:38" x14ac:dyDescent="0.25">
      <c r="A397" s="106" t="s">
        <v>620</v>
      </c>
      <c r="B397" s="106" t="s">
        <v>618</v>
      </c>
      <c r="C397" s="107">
        <v>46267</v>
      </c>
      <c r="D397" s="106" t="s">
        <v>885</v>
      </c>
      <c r="E397" s="106" t="s">
        <v>773</v>
      </c>
      <c r="F397" s="106" t="s">
        <v>886</v>
      </c>
      <c r="G397" s="106" t="s">
        <v>1217</v>
      </c>
      <c r="H397" s="106" t="s">
        <v>639</v>
      </c>
      <c r="I397" s="106"/>
      <c r="J397" s="106"/>
      <c r="K397" s="106">
        <v>0.125</v>
      </c>
      <c r="L397" s="106">
        <v>0</v>
      </c>
      <c r="M397" s="106">
        <v>0</v>
      </c>
      <c r="N397" s="106"/>
      <c r="O397" s="106"/>
      <c r="P397" s="106">
        <v>0</v>
      </c>
      <c r="Q397" s="106" t="s">
        <v>1216</v>
      </c>
      <c r="S397" s="108">
        <f>IF($A397="","",COUNTIF(BPOworkers!$B$6:$B$105,$A397))</f>
        <v>0</v>
      </c>
      <c r="T397" s="109">
        <f>IF($A397="","",$K397*Config!$C$9)</f>
        <v>1</v>
      </c>
      <c r="U397" s="109">
        <f>IF($A397="","",IF(COUNTIF(Config!$C$21:$C$23,$H397)&gt;0,IFERROR(VALUE(LEFT(TRIM($Q397),FIND(" ",TRIM($Q397)&amp;" ")-1)),0),0))</f>
        <v>0</v>
      </c>
      <c r="V397" s="109">
        <f t="shared" si="72"/>
        <v>1</v>
      </c>
      <c r="W397" s="108">
        <f>IF($A397="",0,IF(AND($C397&gt;=Config!$C$7,$C397&lt;=Config!$C$8),1,0))</f>
        <v>1</v>
      </c>
      <c r="X397" s="108">
        <f>IF($A397="",0,IF(COUNTIF(Config!$C$21:$C$23,$H397)&gt;0,1,0))</f>
        <v>0</v>
      </c>
      <c r="Y397" s="108">
        <f t="shared" si="73"/>
        <v>6</v>
      </c>
      <c r="Z397" s="108" t="str">
        <f t="shared" si="74"/>
        <v/>
      </c>
      <c r="AB397" s="108">
        <f t="shared" si="75"/>
        <v>0</v>
      </c>
      <c r="AC397" s="108">
        <f>IF($A397="",0,IF(AND($AB397=1,COUNTIF($A$2:$A397,$A397)=1),1,0))</f>
        <v>0</v>
      </c>
      <c r="AD397" s="108">
        <f t="shared" si="76"/>
        <v>1</v>
      </c>
      <c r="AE397" s="108" t="str">
        <f t="shared" si="77"/>
        <v/>
      </c>
      <c r="AF397" s="108">
        <f t="shared" si="78"/>
        <v>0</v>
      </c>
      <c r="AG397" s="108">
        <f t="shared" si="79"/>
        <v>0</v>
      </c>
      <c r="AH397" s="110" t="str">
        <f t="shared" si="80"/>
        <v>I. Rice|20260902|Review|0.125|Review and revision of notecards and updating common title AOIs.</v>
      </c>
      <c r="AI397" s="108">
        <f t="shared" si="81"/>
        <v>0</v>
      </c>
      <c r="AJ397" s="108">
        <f t="shared" si="82"/>
        <v>0</v>
      </c>
      <c r="AK397" s="108">
        <f>IF($A397="",0,IF(AND($S397=1,$W397=1,$X397=1,$U397&gt;Config!$C$9),1,0))</f>
        <v>0</v>
      </c>
      <c r="AL397" s="108">
        <f t="shared" si="83"/>
        <v>0</v>
      </c>
    </row>
    <row r="398" spans="1:38" x14ac:dyDescent="0.25">
      <c r="A398" s="106" t="s">
        <v>622</v>
      </c>
      <c r="B398" s="106" t="s">
        <v>618</v>
      </c>
      <c r="C398" s="107">
        <v>46267</v>
      </c>
      <c r="D398" s="106" t="s">
        <v>694</v>
      </c>
      <c r="E398" s="106" t="s">
        <v>778</v>
      </c>
      <c r="F398" s="106" t="s">
        <v>779</v>
      </c>
      <c r="G398" s="106" t="s">
        <v>891</v>
      </c>
      <c r="H398" s="106" t="s">
        <v>656</v>
      </c>
      <c r="I398" s="106"/>
      <c r="J398" s="106"/>
      <c r="K398" s="106">
        <v>0.25</v>
      </c>
      <c r="L398" s="106">
        <v>0</v>
      </c>
      <c r="M398" s="106">
        <v>0</v>
      </c>
      <c r="N398" s="106"/>
      <c r="O398" s="106"/>
      <c r="P398" s="106">
        <v>0</v>
      </c>
      <c r="Q398" s="106" t="s">
        <v>1218</v>
      </c>
      <c r="S398" s="108">
        <f>IF($A398="","",COUNTIF(BPOworkers!$B$6:$B$105,$A398))</f>
        <v>0</v>
      </c>
      <c r="T398" s="109">
        <f>IF($A398="","",$K398*Config!$C$9)</f>
        <v>2</v>
      </c>
      <c r="U398" s="109">
        <f>IF($A398="","",IF(COUNTIF(Config!$C$21:$C$23,$H398)&gt;0,IFERROR(VALUE(LEFT(TRIM($Q398),FIND(" ",TRIM($Q398)&amp;" ")-1)),0),0))</f>
        <v>0</v>
      </c>
      <c r="V398" s="109">
        <f t="shared" si="72"/>
        <v>2</v>
      </c>
      <c r="W398" s="108">
        <f>IF($A398="",0,IF(AND($C398&gt;=Config!$C$7,$C398&lt;=Config!$C$8),1,0))</f>
        <v>1</v>
      </c>
      <c r="X398" s="108">
        <f>IF($A398="",0,IF(COUNTIF(Config!$C$21:$C$23,$H398)&gt;0,1,0))</f>
        <v>0</v>
      </c>
      <c r="Y398" s="108">
        <f t="shared" si="73"/>
        <v>6</v>
      </c>
      <c r="Z398" s="108" t="str">
        <f t="shared" si="74"/>
        <v/>
      </c>
      <c r="AB398" s="108">
        <f t="shared" si="75"/>
        <v>0</v>
      </c>
      <c r="AC398" s="108">
        <f>IF($A398="",0,IF(AND($AB398=1,COUNTIF($A$2:$A398,$A398)=1),1,0))</f>
        <v>0</v>
      </c>
      <c r="AD398" s="108">
        <f t="shared" si="76"/>
        <v>1</v>
      </c>
      <c r="AE398" s="108" t="str">
        <f t="shared" si="77"/>
        <v/>
      </c>
      <c r="AF398" s="108">
        <f t="shared" si="78"/>
        <v>0</v>
      </c>
      <c r="AG398" s="108">
        <f t="shared" si="79"/>
        <v>0</v>
      </c>
      <c r="AH398" s="110" t="str">
        <f t="shared" si="80"/>
        <v>K. Milcarzyk|20260902|Project Management|0.250|Drafting landman scope, project set up and onboarding landman.</v>
      </c>
      <c r="AI398" s="108">
        <f t="shared" si="81"/>
        <v>0</v>
      </c>
      <c r="AJ398" s="108">
        <f t="shared" si="82"/>
        <v>0</v>
      </c>
      <c r="AK398" s="108">
        <f>IF($A398="",0,IF(AND($S398=1,$W398=1,$X398=1,$U398&gt;Config!$C$9),1,0))</f>
        <v>0</v>
      </c>
      <c r="AL398" s="108">
        <f t="shared" si="83"/>
        <v>0</v>
      </c>
    </row>
    <row r="399" spans="1:38" x14ac:dyDescent="0.25">
      <c r="A399" s="106" t="s">
        <v>622</v>
      </c>
      <c r="B399" s="106" t="s">
        <v>618</v>
      </c>
      <c r="C399" s="107">
        <v>46267</v>
      </c>
      <c r="D399" s="106" t="s">
        <v>628</v>
      </c>
      <c r="E399" s="106" t="s">
        <v>705</v>
      </c>
      <c r="F399" s="106" t="s">
        <v>630</v>
      </c>
      <c r="G399" s="106"/>
      <c r="H399" s="106" t="s">
        <v>656</v>
      </c>
      <c r="I399" s="106"/>
      <c r="J399" s="106" t="s">
        <v>873</v>
      </c>
      <c r="K399" s="106">
        <v>0.125</v>
      </c>
      <c r="L399" s="106">
        <v>0</v>
      </c>
      <c r="M399" s="106">
        <v>0</v>
      </c>
      <c r="N399" s="106"/>
      <c r="O399" s="106"/>
      <c r="P399" s="106">
        <v>0</v>
      </c>
      <c r="Q399" s="106" t="s">
        <v>1219</v>
      </c>
      <c r="S399" s="108">
        <f>IF($A399="","",COUNTIF(BPOworkers!$B$6:$B$105,$A399))</f>
        <v>0</v>
      </c>
      <c r="T399" s="109">
        <f>IF($A399="","",$K399*Config!$C$9)</f>
        <v>1</v>
      </c>
      <c r="U399" s="109">
        <f>IF($A399="","",IF(COUNTIF(Config!$C$21:$C$23,$H399)&gt;0,IFERROR(VALUE(LEFT(TRIM($Q399),FIND(" ",TRIM($Q399)&amp;" ")-1)),0),0))</f>
        <v>0</v>
      </c>
      <c r="V399" s="109">
        <f t="shared" si="72"/>
        <v>1</v>
      </c>
      <c r="W399" s="108">
        <f>IF($A399="",0,IF(AND($C399&gt;=Config!$C$7,$C399&lt;=Config!$C$8),1,0))</f>
        <v>1</v>
      </c>
      <c r="X399" s="108">
        <f>IF($A399="",0,IF(COUNTIF(Config!$C$21:$C$23,$H399)&gt;0,1,0))</f>
        <v>0</v>
      </c>
      <c r="Y399" s="108">
        <f t="shared" si="73"/>
        <v>6</v>
      </c>
      <c r="Z399" s="108" t="str">
        <f t="shared" si="74"/>
        <v/>
      </c>
      <c r="AB399" s="108">
        <f t="shared" si="75"/>
        <v>0</v>
      </c>
      <c r="AC399" s="108">
        <f>IF($A399="",0,IF(AND($AB399=1,COUNTIF($A$2:$A399,$A399)=1),1,0))</f>
        <v>0</v>
      </c>
      <c r="AD399" s="108">
        <f t="shared" si="76"/>
        <v>1</v>
      </c>
      <c r="AE399" s="108" t="str">
        <f t="shared" si="77"/>
        <v/>
      </c>
      <c r="AF399" s="108">
        <f t="shared" si="78"/>
        <v>0</v>
      </c>
      <c r="AG399" s="108">
        <f t="shared" si="79"/>
        <v>0</v>
      </c>
      <c r="AH399" s="110" t="str">
        <f t="shared" si="80"/>
        <v>K. Milcarzyk|20260902|Project Management|0.125|Onboarding landmen.</v>
      </c>
      <c r="AI399" s="108">
        <f t="shared" si="81"/>
        <v>0</v>
      </c>
      <c r="AJ399" s="108">
        <f t="shared" si="82"/>
        <v>0</v>
      </c>
      <c r="AK399" s="108">
        <f>IF($A399="",0,IF(AND($S399=1,$W399=1,$X399=1,$U399&gt;Config!$C$9),1,0))</f>
        <v>0</v>
      </c>
      <c r="AL399" s="108">
        <f t="shared" si="83"/>
        <v>0</v>
      </c>
    </row>
    <row r="400" spans="1:38" x14ac:dyDescent="0.25">
      <c r="A400" s="106" t="s">
        <v>622</v>
      </c>
      <c r="B400" s="106" t="s">
        <v>618</v>
      </c>
      <c r="C400" s="107">
        <v>46267</v>
      </c>
      <c r="D400" s="106" t="s">
        <v>712</v>
      </c>
      <c r="E400" s="106" t="s">
        <v>713</v>
      </c>
      <c r="F400" s="106" t="s">
        <v>866</v>
      </c>
      <c r="G400" s="106" t="s">
        <v>873</v>
      </c>
      <c r="H400" s="106" t="s">
        <v>656</v>
      </c>
      <c r="I400" s="106"/>
      <c r="J400" s="106"/>
      <c r="K400" s="106">
        <v>0.125</v>
      </c>
      <c r="L400" s="106">
        <v>0</v>
      </c>
      <c r="M400" s="106">
        <v>0</v>
      </c>
      <c r="N400" s="106"/>
      <c r="O400" s="106"/>
      <c r="P400" s="106">
        <v>0</v>
      </c>
      <c r="Q400" s="106" t="s">
        <v>1220</v>
      </c>
      <c r="S400" s="108">
        <f>IF($A400="","",COUNTIF(BPOworkers!$B$6:$B$105,$A400))</f>
        <v>0</v>
      </c>
      <c r="T400" s="109">
        <f>IF($A400="","",$K400*Config!$C$9)</f>
        <v>1</v>
      </c>
      <c r="U400" s="109">
        <f>IF($A400="","",IF(COUNTIF(Config!$C$21:$C$23,$H400)&gt;0,IFERROR(VALUE(LEFT(TRIM($Q400),FIND(" ",TRIM($Q400)&amp;" ")-1)),0),0))</f>
        <v>0</v>
      </c>
      <c r="V400" s="109">
        <f t="shared" si="72"/>
        <v>1</v>
      </c>
      <c r="W400" s="108">
        <f>IF($A400="",0,IF(AND($C400&gt;=Config!$C$7,$C400&lt;=Config!$C$8),1,0))</f>
        <v>1</v>
      </c>
      <c r="X400" s="108">
        <f>IF($A400="",0,IF(COUNTIF(Config!$C$21:$C$23,$H400)&gt;0,1,0))</f>
        <v>0</v>
      </c>
      <c r="Y400" s="108">
        <f t="shared" si="73"/>
        <v>6</v>
      </c>
      <c r="Z400" s="108" t="str">
        <f t="shared" si="74"/>
        <v/>
      </c>
      <c r="AB400" s="108">
        <f t="shared" si="75"/>
        <v>0</v>
      </c>
      <c r="AC400" s="108">
        <f>IF($A400="",0,IF(AND($AB400=1,COUNTIF($A$2:$A400,$A400)=1),1,0))</f>
        <v>0</v>
      </c>
      <c r="AD400" s="108">
        <f t="shared" si="76"/>
        <v>1</v>
      </c>
      <c r="AE400" s="108" t="str">
        <f t="shared" si="77"/>
        <v/>
      </c>
      <c r="AF400" s="108">
        <f t="shared" si="78"/>
        <v>0</v>
      </c>
      <c r="AG400" s="108">
        <f t="shared" si="79"/>
        <v>0</v>
      </c>
      <c r="AH400" s="110" t="str">
        <f t="shared" si="80"/>
        <v>K. Milcarzyk|20260902|Project Management|0.125|Attending daily meeting.</v>
      </c>
      <c r="AI400" s="108">
        <f t="shared" si="81"/>
        <v>0</v>
      </c>
      <c r="AJ400" s="108">
        <f t="shared" si="82"/>
        <v>0</v>
      </c>
      <c r="AK400" s="108">
        <f>IF($A400="",0,IF(AND($S400=1,$W400=1,$X400=1,$U400&gt;Config!$C$9),1,0))</f>
        <v>0</v>
      </c>
      <c r="AL400" s="108">
        <f t="shared" si="83"/>
        <v>0</v>
      </c>
    </row>
    <row r="401" spans="1:38" x14ac:dyDescent="0.25">
      <c r="A401" s="106" t="s">
        <v>622</v>
      </c>
      <c r="B401" s="106" t="s">
        <v>618</v>
      </c>
      <c r="C401" s="107">
        <v>46267</v>
      </c>
      <c r="D401" s="106" t="s">
        <v>643</v>
      </c>
      <c r="E401" s="106" t="s">
        <v>644</v>
      </c>
      <c r="F401" s="106" t="s">
        <v>645</v>
      </c>
      <c r="G401" s="106"/>
      <c r="H401" s="106" t="s">
        <v>656</v>
      </c>
      <c r="I401" s="106"/>
      <c r="J401" s="106"/>
      <c r="K401" s="106">
        <v>0.125</v>
      </c>
      <c r="L401" s="106">
        <v>0</v>
      </c>
      <c r="M401" s="106">
        <v>0</v>
      </c>
      <c r="N401" s="106"/>
      <c r="O401" s="106"/>
      <c r="P401" s="106">
        <v>0</v>
      </c>
      <c r="Q401" s="106" t="s">
        <v>1081</v>
      </c>
      <c r="S401" s="108">
        <f>IF($A401="","",COUNTIF(BPOworkers!$B$6:$B$105,$A401))</f>
        <v>0</v>
      </c>
      <c r="T401" s="109">
        <f>IF($A401="","",$K401*Config!$C$9)</f>
        <v>1</v>
      </c>
      <c r="U401" s="109">
        <f>IF($A401="","",IF(COUNTIF(Config!$C$21:$C$23,$H401)&gt;0,IFERROR(VALUE(LEFT(TRIM($Q401),FIND(" ",TRIM($Q401)&amp;" ")-1)),0),0))</f>
        <v>0</v>
      </c>
      <c r="V401" s="109">
        <f t="shared" si="72"/>
        <v>1</v>
      </c>
      <c r="W401" s="108">
        <f>IF($A401="",0,IF(AND($C401&gt;=Config!$C$7,$C401&lt;=Config!$C$8),1,0))</f>
        <v>1</v>
      </c>
      <c r="X401" s="108">
        <f>IF($A401="",0,IF(COUNTIF(Config!$C$21:$C$23,$H401)&gt;0,1,0))</f>
        <v>0</v>
      </c>
      <c r="Y401" s="108">
        <f t="shared" si="73"/>
        <v>6</v>
      </c>
      <c r="Z401" s="108" t="str">
        <f t="shared" si="74"/>
        <v/>
      </c>
      <c r="AB401" s="108">
        <f t="shared" si="75"/>
        <v>0</v>
      </c>
      <c r="AC401" s="108">
        <f>IF($A401="",0,IF(AND($AB401=1,COUNTIF($A$2:$A401,$A401)=1),1,0))</f>
        <v>0</v>
      </c>
      <c r="AD401" s="108">
        <f t="shared" si="76"/>
        <v>1</v>
      </c>
      <c r="AE401" s="108" t="str">
        <f t="shared" si="77"/>
        <v/>
      </c>
      <c r="AF401" s="108">
        <f t="shared" si="78"/>
        <v>0</v>
      </c>
      <c r="AG401" s="108">
        <f t="shared" si="79"/>
        <v>0</v>
      </c>
      <c r="AH401" s="110" t="str">
        <f t="shared" si="80"/>
        <v>K. Milcarzyk|20260902|Project Management|0.125|Meeting with team to discuss overall project status.</v>
      </c>
      <c r="AI401" s="108">
        <f t="shared" si="81"/>
        <v>0</v>
      </c>
      <c r="AJ401" s="108">
        <f t="shared" si="82"/>
        <v>0</v>
      </c>
      <c r="AK401" s="108">
        <f>IF($A401="",0,IF(AND($S401=1,$W401=1,$X401=1,$U401&gt;Config!$C$9),1,0))</f>
        <v>0</v>
      </c>
      <c r="AL401" s="108">
        <f t="shared" si="83"/>
        <v>0</v>
      </c>
    </row>
    <row r="402" spans="1:38" x14ac:dyDescent="0.25">
      <c r="A402" s="106" t="s">
        <v>622</v>
      </c>
      <c r="B402" s="106" t="s">
        <v>618</v>
      </c>
      <c r="C402" s="107">
        <v>46267</v>
      </c>
      <c r="D402" s="106" t="s">
        <v>680</v>
      </c>
      <c r="E402" s="106" t="s">
        <v>681</v>
      </c>
      <c r="F402" s="106" t="s">
        <v>893</v>
      </c>
      <c r="G402" s="106" t="s">
        <v>894</v>
      </c>
      <c r="H402" s="106" t="s">
        <v>656</v>
      </c>
      <c r="I402" s="106"/>
      <c r="J402" s="106"/>
      <c r="K402" s="106">
        <v>0.25</v>
      </c>
      <c r="L402" s="106">
        <v>0</v>
      </c>
      <c r="M402" s="106">
        <v>0</v>
      </c>
      <c r="N402" s="106"/>
      <c r="O402" s="106"/>
      <c r="P402" s="106">
        <v>0</v>
      </c>
      <c r="Q402" s="106" t="s">
        <v>1221</v>
      </c>
      <c r="S402" s="108">
        <f>IF($A402="","",COUNTIF(BPOworkers!$B$6:$B$105,$A402))</f>
        <v>0</v>
      </c>
      <c r="T402" s="109">
        <f>IF($A402="","",$K402*Config!$C$9)</f>
        <v>2</v>
      </c>
      <c r="U402" s="109">
        <f>IF($A402="","",IF(COUNTIF(Config!$C$21:$C$23,$H402)&gt;0,IFERROR(VALUE(LEFT(TRIM($Q402),FIND(" ",TRIM($Q402)&amp;" ")-1)),0),0))</f>
        <v>0</v>
      </c>
      <c r="V402" s="109">
        <f t="shared" si="72"/>
        <v>2</v>
      </c>
      <c r="W402" s="108">
        <f>IF($A402="",0,IF(AND($C402&gt;=Config!$C$7,$C402&lt;=Config!$C$8),1,0))</f>
        <v>1</v>
      </c>
      <c r="X402" s="108">
        <f>IF($A402="",0,IF(COUNTIF(Config!$C$21:$C$23,$H402)&gt;0,1,0))</f>
        <v>0</v>
      </c>
      <c r="Y402" s="108">
        <f t="shared" si="73"/>
        <v>6</v>
      </c>
      <c r="Z402" s="108" t="str">
        <f t="shared" si="74"/>
        <v/>
      </c>
      <c r="AB402" s="108">
        <f t="shared" si="75"/>
        <v>0</v>
      </c>
      <c r="AC402" s="108">
        <f>IF($A402="",0,IF(AND($AB402=1,COUNTIF($A$2:$A402,$A402)=1),1,0))</f>
        <v>0</v>
      </c>
      <c r="AD402" s="108">
        <f t="shared" si="76"/>
        <v>1</v>
      </c>
      <c r="AE402" s="108" t="str">
        <f t="shared" si="77"/>
        <v/>
      </c>
      <c r="AF402" s="108">
        <f t="shared" si="78"/>
        <v>0</v>
      </c>
      <c r="AG402" s="108">
        <f t="shared" si="79"/>
        <v>0</v>
      </c>
      <c r="AH402" s="110" t="str">
        <f t="shared" si="80"/>
        <v>K. Milcarzyk|20260902|Project Management|0.250|Answering questions and meeting with landmen.</v>
      </c>
      <c r="AI402" s="108">
        <f t="shared" si="81"/>
        <v>0</v>
      </c>
      <c r="AJ402" s="108">
        <f t="shared" si="82"/>
        <v>0</v>
      </c>
      <c r="AK402" s="108">
        <f>IF($A402="",0,IF(AND($S402=1,$W402=1,$X402=1,$U402&gt;Config!$C$9),1,0))</f>
        <v>0</v>
      </c>
      <c r="AL402" s="108">
        <f t="shared" si="83"/>
        <v>0</v>
      </c>
    </row>
    <row r="403" spans="1:38" x14ac:dyDescent="0.25">
      <c r="A403" s="106" t="s">
        <v>622</v>
      </c>
      <c r="B403" s="106" t="s">
        <v>618</v>
      </c>
      <c r="C403" s="107">
        <v>46267</v>
      </c>
      <c r="D403" s="106" t="s">
        <v>772</v>
      </c>
      <c r="E403" s="106" t="s">
        <v>773</v>
      </c>
      <c r="F403" s="106" t="s">
        <v>774</v>
      </c>
      <c r="G403" s="106" t="s">
        <v>1078</v>
      </c>
      <c r="H403" s="106" t="s">
        <v>656</v>
      </c>
      <c r="I403" s="106"/>
      <c r="J403" s="106"/>
      <c r="K403" s="106">
        <v>0.125</v>
      </c>
      <c r="L403" s="106">
        <v>0</v>
      </c>
      <c r="M403" s="106">
        <v>0</v>
      </c>
      <c r="N403" s="106"/>
      <c r="O403" s="106"/>
      <c r="P403" s="106">
        <v>0</v>
      </c>
      <c r="Q403" s="106" t="s">
        <v>1222</v>
      </c>
      <c r="S403" s="108">
        <f>IF($A403="","",COUNTIF(BPOworkers!$B$6:$B$105,$A403))</f>
        <v>0</v>
      </c>
      <c r="T403" s="109">
        <f>IF($A403="","",$K403*Config!$C$9)</f>
        <v>1</v>
      </c>
      <c r="U403" s="109">
        <f>IF($A403="","",IF(COUNTIF(Config!$C$21:$C$23,$H403)&gt;0,IFERROR(VALUE(LEFT(TRIM($Q403),FIND(" ",TRIM($Q403)&amp;" ")-1)),0),0))</f>
        <v>0</v>
      </c>
      <c r="V403" s="109">
        <f t="shared" si="72"/>
        <v>1</v>
      </c>
      <c r="W403" s="108">
        <f>IF($A403="",0,IF(AND($C403&gt;=Config!$C$7,$C403&lt;=Config!$C$8),1,0))</f>
        <v>1</v>
      </c>
      <c r="X403" s="108">
        <f>IF($A403="",0,IF(COUNTIF(Config!$C$21:$C$23,$H403)&gt;0,1,0))</f>
        <v>0</v>
      </c>
      <c r="Y403" s="108">
        <f t="shared" si="73"/>
        <v>6</v>
      </c>
      <c r="Z403" s="108" t="str">
        <f t="shared" si="74"/>
        <v/>
      </c>
      <c r="AB403" s="108">
        <f t="shared" si="75"/>
        <v>0</v>
      </c>
      <c r="AC403" s="108">
        <f>IF($A403="",0,IF(AND($AB403=1,COUNTIF($A$2:$A403,$A403)=1),1,0))</f>
        <v>0</v>
      </c>
      <c r="AD403" s="108">
        <f t="shared" si="76"/>
        <v>1</v>
      </c>
      <c r="AE403" s="108" t="str">
        <f t="shared" si="77"/>
        <v/>
      </c>
      <c r="AF403" s="108">
        <f t="shared" si="78"/>
        <v>0</v>
      </c>
      <c r="AG403" s="108">
        <f t="shared" si="79"/>
        <v>0</v>
      </c>
      <c r="AH403" s="110" t="str">
        <f t="shared" si="80"/>
        <v>K. Milcarzyk|20260902|Project Management|0.125|Meeting with landmen to discuss project.</v>
      </c>
      <c r="AI403" s="108">
        <f t="shared" si="81"/>
        <v>0</v>
      </c>
      <c r="AJ403" s="108">
        <f t="shared" si="82"/>
        <v>0</v>
      </c>
      <c r="AK403" s="108">
        <f>IF($A403="",0,IF(AND($S403=1,$W403=1,$X403=1,$U403&gt;Config!$C$9),1,0))</f>
        <v>0</v>
      </c>
      <c r="AL403" s="108">
        <f t="shared" si="83"/>
        <v>0</v>
      </c>
    </row>
    <row r="404" spans="1:38" x14ac:dyDescent="0.25">
      <c r="A404" s="106" t="s">
        <v>622</v>
      </c>
      <c r="B404" s="106" t="s">
        <v>618</v>
      </c>
      <c r="C404" s="107">
        <v>46267</v>
      </c>
      <c r="D404" s="106" t="s">
        <v>720</v>
      </c>
      <c r="E404" s="106" t="s">
        <v>721</v>
      </c>
      <c r="F404" s="106" t="s">
        <v>722</v>
      </c>
      <c r="G404" s="106" t="s">
        <v>933</v>
      </c>
      <c r="H404" s="106" t="s">
        <v>656</v>
      </c>
      <c r="I404" s="106"/>
      <c r="J404" s="106"/>
      <c r="K404" s="106">
        <v>0.125</v>
      </c>
      <c r="L404" s="106">
        <v>0</v>
      </c>
      <c r="M404" s="106">
        <v>0</v>
      </c>
      <c r="N404" s="106"/>
      <c r="O404" s="106"/>
      <c r="P404" s="106">
        <v>0</v>
      </c>
      <c r="Q404" s="106" t="s">
        <v>1075</v>
      </c>
      <c r="S404" s="108">
        <f>IF($A404="","",COUNTIF(BPOworkers!$B$6:$B$105,$A404))</f>
        <v>0</v>
      </c>
      <c r="T404" s="109">
        <f>IF($A404="","",$K404*Config!$C$9)</f>
        <v>1</v>
      </c>
      <c r="U404" s="109">
        <f>IF($A404="","",IF(COUNTIF(Config!$C$21:$C$23,$H404)&gt;0,IFERROR(VALUE(LEFT(TRIM($Q404),FIND(" ",TRIM($Q404)&amp;" ")-1)),0),0))</f>
        <v>0</v>
      </c>
      <c r="V404" s="109">
        <f t="shared" si="72"/>
        <v>1</v>
      </c>
      <c r="W404" s="108">
        <f>IF($A404="",0,IF(AND($C404&gt;=Config!$C$7,$C404&lt;=Config!$C$8),1,0))</f>
        <v>1</v>
      </c>
      <c r="X404" s="108">
        <f>IF($A404="",0,IF(COUNTIF(Config!$C$21:$C$23,$H404)&gt;0,1,0))</f>
        <v>0</v>
      </c>
      <c r="Y404" s="108">
        <f t="shared" si="73"/>
        <v>6</v>
      </c>
      <c r="Z404" s="108" t="str">
        <f t="shared" si="74"/>
        <v/>
      </c>
      <c r="AB404" s="108">
        <f t="shared" si="75"/>
        <v>0</v>
      </c>
      <c r="AC404" s="108">
        <f>IF($A404="",0,IF(AND($AB404=1,COUNTIF($A$2:$A404,$A404)=1),1,0))</f>
        <v>0</v>
      </c>
      <c r="AD404" s="108">
        <f t="shared" si="76"/>
        <v>1</v>
      </c>
      <c r="AE404" s="108" t="str">
        <f t="shared" si="77"/>
        <v/>
      </c>
      <c r="AF404" s="108">
        <f t="shared" si="78"/>
        <v>0</v>
      </c>
      <c r="AG404" s="108">
        <f t="shared" si="79"/>
        <v>0</v>
      </c>
      <c r="AH404" s="110" t="str">
        <f t="shared" si="80"/>
        <v>K. Milcarzyk|20260902|Project Management|0.125|Meeting with client.</v>
      </c>
      <c r="AI404" s="108">
        <f t="shared" si="81"/>
        <v>0</v>
      </c>
      <c r="AJ404" s="108">
        <f t="shared" si="82"/>
        <v>0</v>
      </c>
      <c r="AK404" s="108">
        <f>IF($A404="",0,IF(AND($S404=1,$W404=1,$X404=1,$U404&gt;Config!$C$9),1,0))</f>
        <v>0</v>
      </c>
      <c r="AL404" s="108">
        <f t="shared" si="83"/>
        <v>0</v>
      </c>
    </row>
    <row r="405" spans="1:38" x14ac:dyDescent="0.25">
      <c r="A405" s="106" t="s">
        <v>627</v>
      </c>
      <c r="B405" s="106" t="s">
        <v>618</v>
      </c>
      <c r="C405" s="107">
        <v>46267</v>
      </c>
      <c r="D405" s="106" t="s">
        <v>628</v>
      </c>
      <c r="E405" s="106" t="s">
        <v>705</v>
      </c>
      <c r="F405" s="106" t="s">
        <v>630</v>
      </c>
      <c r="G405" s="106"/>
      <c r="H405" s="106" t="s">
        <v>1087</v>
      </c>
      <c r="I405" s="106"/>
      <c r="J405" s="106"/>
      <c r="K405" s="106">
        <v>0.5</v>
      </c>
      <c r="L405" s="106">
        <v>0</v>
      </c>
      <c r="M405" s="106">
        <v>0</v>
      </c>
      <c r="N405" s="106"/>
      <c r="O405" s="106"/>
      <c r="P405" s="106">
        <v>0</v>
      </c>
      <c r="Q405" s="106" t="s">
        <v>1223</v>
      </c>
      <c r="S405" s="108">
        <f>IF($A405="","",COUNTIF(BPOworkers!$B$6:$B$105,$A405))</f>
        <v>0</v>
      </c>
      <c r="T405" s="109">
        <f>IF($A405="","",$K405*Config!$C$9)</f>
        <v>4</v>
      </c>
      <c r="U405" s="109">
        <f>IF($A405="","",IF(COUNTIF(Config!$C$21:$C$23,$H405)&gt;0,IFERROR(VALUE(LEFT(TRIM($Q405),FIND(" ",TRIM($Q405)&amp;" ")-1)),0),0))</f>
        <v>0</v>
      </c>
      <c r="V405" s="109">
        <f t="shared" si="72"/>
        <v>4</v>
      </c>
      <c r="W405" s="108">
        <f>IF($A405="",0,IF(AND($C405&gt;=Config!$C$7,$C405&lt;=Config!$C$8),1,0))</f>
        <v>1</v>
      </c>
      <c r="X405" s="108">
        <f>IF($A405="",0,IF(COUNTIF(Config!$C$21:$C$23,$H405)&gt;0,1,0))</f>
        <v>0</v>
      </c>
      <c r="Y405" s="108">
        <f t="shared" si="73"/>
        <v>6</v>
      </c>
      <c r="Z405" s="108" t="str">
        <f t="shared" si="74"/>
        <v/>
      </c>
      <c r="AB405" s="108">
        <f t="shared" si="75"/>
        <v>0</v>
      </c>
      <c r="AC405" s="108">
        <f>IF($A405="",0,IF(AND($AB405=1,COUNTIF($A$2:$A405,$A405)=1),1,0))</f>
        <v>0</v>
      </c>
      <c r="AD405" s="108">
        <f t="shared" si="76"/>
        <v>1</v>
      </c>
      <c r="AE405" s="108" t="str">
        <f t="shared" si="77"/>
        <v/>
      </c>
      <c r="AF405" s="108">
        <f t="shared" si="78"/>
        <v>0</v>
      </c>
      <c r="AG405" s="108">
        <f t="shared" si="79"/>
        <v>0</v>
      </c>
      <c r="AH405" s="110" t="str">
        <f t="shared" si="80"/>
        <v>G. Bond|20260902|Well Data Analysis|0.500|Going through and downloading production results for each section.</v>
      </c>
      <c r="AI405" s="108">
        <f t="shared" si="81"/>
        <v>0</v>
      </c>
      <c r="AJ405" s="108">
        <f t="shared" si="82"/>
        <v>0</v>
      </c>
      <c r="AK405" s="108">
        <f>IF($A405="",0,IF(AND($S405=1,$W405=1,$X405=1,$U405&gt;Config!$C$9),1,0))</f>
        <v>0</v>
      </c>
      <c r="AL405" s="108">
        <f t="shared" si="83"/>
        <v>0</v>
      </c>
    </row>
    <row r="406" spans="1:38" x14ac:dyDescent="0.25">
      <c r="A406" s="106" t="s">
        <v>627</v>
      </c>
      <c r="B406" s="106" t="s">
        <v>618</v>
      </c>
      <c r="C406" s="107">
        <v>46267</v>
      </c>
      <c r="D406" s="106" t="s">
        <v>628</v>
      </c>
      <c r="E406" s="106" t="s">
        <v>1224</v>
      </c>
      <c r="F406" s="106" t="s">
        <v>630</v>
      </c>
      <c r="G406" s="106"/>
      <c r="H406" s="106" t="s">
        <v>1087</v>
      </c>
      <c r="I406" s="106"/>
      <c r="J406" s="106"/>
      <c r="K406" s="106">
        <v>0.5</v>
      </c>
      <c r="L406" s="106">
        <v>0</v>
      </c>
      <c r="M406" s="106">
        <v>0</v>
      </c>
      <c r="N406" s="106"/>
      <c r="O406" s="106"/>
      <c r="P406" s="106">
        <v>0</v>
      </c>
      <c r="Q406" s="106" t="s">
        <v>1223</v>
      </c>
      <c r="S406" s="108">
        <f>IF($A406="","",COUNTIF(BPOworkers!$B$6:$B$105,$A406))</f>
        <v>0</v>
      </c>
      <c r="T406" s="109">
        <f>IF($A406="","",$K406*Config!$C$9)</f>
        <v>4</v>
      </c>
      <c r="U406" s="109">
        <f>IF($A406="","",IF(COUNTIF(Config!$C$21:$C$23,$H406)&gt;0,IFERROR(VALUE(LEFT(TRIM($Q406),FIND(" ",TRIM($Q406)&amp;" ")-1)),0),0))</f>
        <v>0</v>
      </c>
      <c r="V406" s="109">
        <f t="shared" si="72"/>
        <v>4</v>
      </c>
      <c r="W406" s="108">
        <f>IF($A406="",0,IF(AND($C406&gt;=Config!$C$7,$C406&lt;=Config!$C$8),1,0))</f>
        <v>1</v>
      </c>
      <c r="X406" s="108">
        <f>IF($A406="",0,IF(COUNTIF(Config!$C$21:$C$23,$H406)&gt;0,1,0))</f>
        <v>0</v>
      </c>
      <c r="Y406" s="108">
        <f t="shared" si="73"/>
        <v>6</v>
      </c>
      <c r="Z406" s="108" t="str">
        <f t="shared" si="74"/>
        <v/>
      </c>
      <c r="AB406" s="108">
        <f t="shared" si="75"/>
        <v>0</v>
      </c>
      <c r="AC406" s="108">
        <f>IF($A406="",0,IF(AND($AB406=1,COUNTIF($A$2:$A406,$A406)=1),1,0))</f>
        <v>0</v>
      </c>
      <c r="AD406" s="108">
        <f t="shared" si="76"/>
        <v>1</v>
      </c>
      <c r="AE406" s="108" t="str">
        <f t="shared" si="77"/>
        <v/>
      </c>
      <c r="AF406" s="108">
        <f t="shared" si="78"/>
        <v>0</v>
      </c>
      <c r="AG406" s="108">
        <f t="shared" si="79"/>
        <v>0</v>
      </c>
      <c r="AH406" s="110" t="str">
        <f t="shared" si="80"/>
        <v>G. Bond|20260902|Well Data Analysis|0.500|Going through and downloading production results for each section.</v>
      </c>
      <c r="AI406" s="108">
        <f t="shared" si="81"/>
        <v>0</v>
      </c>
      <c r="AJ406" s="108">
        <f t="shared" si="82"/>
        <v>0</v>
      </c>
      <c r="AK406" s="108">
        <f>IF($A406="",0,IF(AND($S406=1,$W406=1,$X406=1,$U406&gt;Config!$C$9),1,0))</f>
        <v>0</v>
      </c>
      <c r="AL406" s="108">
        <f t="shared" si="83"/>
        <v>0</v>
      </c>
    </row>
    <row r="407" spans="1:38" x14ac:dyDescent="0.25">
      <c r="A407" s="106" t="s">
        <v>912</v>
      </c>
      <c r="B407" s="106" t="s">
        <v>618</v>
      </c>
      <c r="C407" s="107">
        <v>46267</v>
      </c>
      <c r="D407" s="106" t="s">
        <v>712</v>
      </c>
      <c r="E407" s="106" t="s">
        <v>713</v>
      </c>
      <c r="F407" s="106" t="s">
        <v>714</v>
      </c>
      <c r="G407" s="106" t="s">
        <v>1225</v>
      </c>
      <c r="H407" s="106" t="s">
        <v>639</v>
      </c>
      <c r="I407" s="106"/>
      <c r="J407" s="106"/>
      <c r="K407" s="106">
        <v>0.125</v>
      </c>
      <c r="L407" s="106">
        <v>0</v>
      </c>
      <c r="M407" s="106">
        <v>0</v>
      </c>
      <c r="N407" s="106"/>
      <c r="O407" s="106"/>
      <c r="P407" s="106">
        <v>0</v>
      </c>
      <c r="Q407" s="106" t="s">
        <v>1226</v>
      </c>
      <c r="S407" s="108">
        <f>IF($A407="","",COUNTIF(BPOworkers!$B$6:$B$105,$A407))</f>
        <v>0</v>
      </c>
      <c r="T407" s="109">
        <f>IF($A407="","",$K407*Config!$C$9)</f>
        <v>1</v>
      </c>
      <c r="U407" s="109">
        <f>IF($A407="","",IF(COUNTIF(Config!$C$21:$C$23,$H407)&gt;0,IFERROR(VALUE(LEFT(TRIM($Q407),FIND(" ",TRIM($Q407)&amp;" ")-1)),0),0))</f>
        <v>0</v>
      </c>
      <c r="V407" s="109">
        <f t="shared" si="72"/>
        <v>1</v>
      </c>
      <c r="W407" s="108">
        <f>IF($A407="",0,IF(AND($C407&gt;=Config!$C$7,$C407&lt;=Config!$C$8),1,0))</f>
        <v>1</v>
      </c>
      <c r="X407" s="108">
        <f>IF($A407="",0,IF(COUNTIF(Config!$C$21:$C$23,$H407)&gt;0,1,0))</f>
        <v>0</v>
      </c>
      <c r="Y407" s="108">
        <f t="shared" si="73"/>
        <v>6</v>
      </c>
      <c r="Z407" s="108" t="str">
        <f t="shared" si="74"/>
        <v/>
      </c>
      <c r="AB407" s="108">
        <f t="shared" si="75"/>
        <v>0</v>
      </c>
      <c r="AC407" s="108">
        <f>IF($A407="",0,IF(AND($AB407=1,COUNTIF($A$2:$A407,$A407)=1),1,0))</f>
        <v>0</v>
      </c>
      <c r="AD407" s="108">
        <f t="shared" si="76"/>
        <v>1</v>
      </c>
      <c r="AE407" s="108" t="str">
        <f t="shared" si="77"/>
        <v/>
      </c>
      <c r="AF407" s="108">
        <f t="shared" si="78"/>
        <v>0</v>
      </c>
      <c r="AG407" s="108">
        <f t="shared" si="79"/>
        <v>0</v>
      </c>
      <c r="AH407" s="110" t="str">
        <f t="shared" si="80"/>
        <v>R. Willis|20260902|Review|0.125|Completed review, entered numbers on tract list ss, finished reviewing notecards.</v>
      </c>
      <c r="AI407" s="108">
        <f t="shared" si="81"/>
        <v>0</v>
      </c>
      <c r="AJ407" s="108">
        <f t="shared" si="82"/>
        <v>0</v>
      </c>
      <c r="AK407" s="108">
        <f>IF($A407="",0,IF(AND($S407=1,$W407=1,$X407=1,$U407&gt;Config!$C$9),1,0))</f>
        <v>0</v>
      </c>
      <c r="AL407" s="108">
        <f t="shared" si="83"/>
        <v>0</v>
      </c>
    </row>
    <row r="408" spans="1:38" x14ac:dyDescent="0.25">
      <c r="A408" s="106" t="s">
        <v>912</v>
      </c>
      <c r="B408" s="106" t="s">
        <v>618</v>
      </c>
      <c r="C408" s="107">
        <v>46267</v>
      </c>
      <c r="D408" s="106" t="s">
        <v>712</v>
      </c>
      <c r="E408" s="106" t="s">
        <v>713</v>
      </c>
      <c r="F408" s="106" t="s">
        <v>866</v>
      </c>
      <c r="G408" s="106" t="s">
        <v>1090</v>
      </c>
      <c r="H408" s="106" t="s">
        <v>639</v>
      </c>
      <c r="I408" s="106"/>
      <c r="J408" s="106"/>
      <c r="K408" s="106">
        <v>0.5</v>
      </c>
      <c r="L408" s="106">
        <v>0</v>
      </c>
      <c r="M408" s="106">
        <v>0</v>
      </c>
      <c r="N408" s="106"/>
      <c r="O408" s="106"/>
      <c r="P408" s="106">
        <v>0</v>
      </c>
      <c r="Q408" s="106" t="s">
        <v>1227</v>
      </c>
      <c r="S408" s="108">
        <f>IF($A408="","",COUNTIF(BPOworkers!$B$6:$B$105,$A408))</f>
        <v>0</v>
      </c>
      <c r="T408" s="109">
        <f>IF($A408="","",$K408*Config!$C$9)</f>
        <v>4</v>
      </c>
      <c r="U408" s="109">
        <f>IF($A408="","",IF(COUNTIF(Config!$C$21:$C$23,$H408)&gt;0,IFERROR(VALUE(LEFT(TRIM($Q408),FIND(" ",TRIM($Q408)&amp;" ")-1)),0),0))</f>
        <v>0</v>
      </c>
      <c r="V408" s="109">
        <f t="shared" si="72"/>
        <v>4</v>
      </c>
      <c r="W408" s="108">
        <f>IF($A408="",0,IF(AND($C408&gt;=Config!$C$7,$C408&lt;=Config!$C$8),1,0))</f>
        <v>1</v>
      </c>
      <c r="X408" s="108">
        <f>IF($A408="",0,IF(COUNTIF(Config!$C$21:$C$23,$H408)&gt;0,1,0))</f>
        <v>0</v>
      </c>
      <c r="Y408" s="108">
        <f t="shared" si="73"/>
        <v>6</v>
      </c>
      <c r="Z408" s="108" t="str">
        <f t="shared" si="74"/>
        <v/>
      </c>
      <c r="AB408" s="108">
        <f t="shared" si="75"/>
        <v>0</v>
      </c>
      <c r="AC408" s="108">
        <f>IF($A408="",0,IF(AND($AB408=1,COUNTIF($A$2:$A408,$A408)=1),1,0))</f>
        <v>0</v>
      </c>
      <c r="AD408" s="108">
        <f t="shared" si="76"/>
        <v>1</v>
      </c>
      <c r="AE408" s="108" t="str">
        <f t="shared" si="77"/>
        <v/>
      </c>
      <c r="AF408" s="108">
        <f t="shared" si="78"/>
        <v>0</v>
      </c>
      <c r="AG408" s="108">
        <f t="shared" si="79"/>
        <v>0</v>
      </c>
      <c r="AH408" s="110" t="str">
        <f t="shared" si="80"/>
        <v>R. Willis|20260902|Review|0.500|Reviewed AOI notecards, kept track of changed made to notecards.</v>
      </c>
      <c r="AI408" s="108">
        <f t="shared" si="81"/>
        <v>0</v>
      </c>
      <c r="AJ408" s="108">
        <f t="shared" si="82"/>
        <v>0</v>
      </c>
      <c r="AK408" s="108">
        <f>IF($A408="",0,IF(AND($S408=1,$W408=1,$X408=1,$U408&gt;Config!$C$9),1,0))</f>
        <v>0</v>
      </c>
      <c r="AL408" s="108">
        <f t="shared" si="83"/>
        <v>0</v>
      </c>
    </row>
    <row r="409" spans="1:38" x14ac:dyDescent="0.25">
      <c r="A409" s="106" t="s">
        <v>912</v>
      </c>
      <c r="B409" s="106" t="s">
        <v>618</v>
      </c>
      <c r="C409" s="107">
        <v>46267</v>
      </c>
      <c r="D409" s="106" t="s">
        <v>529</v>
      </c>
      <c r="E409" s="106" t="s">
        <v>529</v>
      </c>
      <c r="F409" s="106" t="s">
        <v>615</v>
      </c>
      <c r="G409" s="106"/>
      <c r="H409" s="106" t="s">
        <v>529</v>
      </c>
      <c r="I409" s="106"/>
      <c r="J409" s="106"/>
      <c r="K409" s="106">
        <v>0</v>
      </c>
      <c r="L409" s="106">
        <v>0</v>
      </c>
      <c r="M409" s="106">
        <v>0</v>
      </c>
      <c r="N409" s="106"/>
      <c r="O409" s="106"/>
      <c r="P409" s="106">
        <v>0</v>
      </c>
      <c r="Q409" s="106" t="s">
        <v>1092</v>
      </c>
      <c r="S409" s="108">
        <f>IF($A409="","",COUNTIF(BPOworkers!$B$6:$B$105,$A409))</f>
        <v>0</v>
      </c>
      <c r="T409" s="109">
        <f>IF($A409="","",$K409*Config!$C$9)</f>
        <v>0</v>
      </c>
      <c r="U409" s="109">
        <f>IF($A409="","",IF(COUNTIF(Config!$C$21:$C$23,$H409)&gt;0,IFERROR(VALUE(LEFT(TRIM($Q409),FIND(" ",TRIM($Q409)&amp;" ")-1)),0),0))</f>
        <v>3</v>
      </c>
      <c r="V409" s="109">
        <f t="shared" si="72"/>
        <v>3</v>
      </c>
      <c r="W409" s="108">
        <f>IF($A409="",0,IF(AND($C409&gt;=Config!$C$7,$C409&lt;=Config!$C$8),1,0))</f>
        <v>1</v>
      </c>
      <c r="X409" s="108">
        <f>IF($A409="",0,IF(COUNTIF(Config!$C$21:$C$23,$H409)&gt;0,1,0))</f>
        <v>1</v>
      </c>
      <c r="Y409" s="108">
        <f t="shared" si="73"/>
        <v>6</v>
      </c>
      <c r="Z409" s="108" t="str">
        <f t="shared" si="74"/>
        <v/>
      </c>
      <c r="AB409" s="108">
        <f t="shared" si="75"/>
        <v>0</v>
      </c>
      <c r="AC409" s="108">
        <f>IF($A409="",0,IF(AND($AB409=1,COUNTIF($A$2:$A409,$A409)=1),1,0))</f>
        <v>0</v>
      </c>
      <c r="AD409" s="108">
        <f t="shared" si="76"/>
        <v>1</v>
      </c>
      <c r="AE409" s="108" t="str">
        <f t="shared" si="77"/>
        <v/>
      </c>
      <c r="AF409" s="108">
        <f t="shared" si="78"/>
        <v>0</v>
      </c>
      <c r="AG409" s="108">
        <f t="shared" si="79"/>
        <v>0</v>
      </c>
      <c r="AH409" s="110" t="str">
        <f t="shared" si="80"/>
        <v>R. Willis|20260902|Time Off|0.000|3 hours unpaid.</v>
      </c>
      <c r="AI409" s="108">
        <f t="shared" si="81"/>
        <v>0</v>
      </c>
      <c r="AJ409" s="108">
        <f t="shared" si="82"/>
        <v>0</v>
      </c>
      <c r="AK409" s="108">
        <f>IF($A409="",0,IF(AND($S409=1,$W409=1,$X409=1,$U409&gt;Config!$C$9),1,0))</f>
        <v>0</v>
      </c>
      <c r="AL409" s="108">
        <f t="shared" si="83"/>
        <v>0</v>
      </c>
    </row>
    <row r="410" spans="1:38" x14ac:dyDescent="0.25">
      <c r="A410" s="106" t="s">
        <v>634</v>
      </c>
      <c r="B410" s="106" t="s">
        <v>618</v>
      </c>
      <c r="C410" s="107">
        <v>46267</v>
      </c>
      <c r="D410" s="106" t="s">
        <v>635</v>
      </c>
      <c r="E410" s="106" t="s">
        <v>636</v>
      </c>
      <c r="F410" s="106" t="s">
        <v>637</v>
      </c>
      <c r="G410" s="106" t="s">
        <v>638</v>
      </c>
      <c r="H410" s="106" t="s">
        <v>639</v>
      </c>
      <c r="I410" s="106"/>
      <c r="J410" s="106"/>
      <c r="K410" s="106">
        <v>1</v>
      </c>
      <c r="L410" s="106">
        <v>0</v>
      </c>
      <c r="M410" s="106">
        <v>0</v>
      </c>
      <c r="N410" s="106"/>
      <c r="O410" s="106"/>
      <c r="P410" s="106">
        <v>0</v>
      </c>
      <c r="Q410" s="106" t="s">
        <v>861</v>
      </c>
      <c r="S410" s="108">
        <f>IF($A410="","",COUNTIF(BPOworkers!$B$6:$B$105,$A410))</f>
        <v>0</v>
      </c>
      <c r="T410" s="109">
        <f>IF($A410="","",$K410*Config!$C$9)</f>
        <v>8</v>
      </c>
      <c r="U410" s="109">
        <f>IF($A410="","",IF(COUNTIF(Config!$C$21:$C$23,$H410)&gt;0,IFERROR(VALUE(LEFT(TRIM($Q410),FIND(" ",TRIM($Q410)&amp;" ")-1)),0),0))</f>
        <v>0</v>
      </c>
      <c r="V410" s="109">
        <f t="shared" si="72"/>
        <v>8</v>
      </c>
      <c r="W410" s="108">
        <f>IF($A410="",0,IF(AND($C410&gt;=Config!$C$7,$C410&lt;=Config!$C$8),1,0))</f>
        <v>1</v>
      </c>
      <c r="X410" s="108">
        <f>IF($A410="",0,IF(COUNTIF(Config!$C$21:$C$23,$H410)&gt;0,1,0))</f>
        <v>0</v>
      </c>
      <c r="Y410" s="108">
        <f t="shared" si="73"/>
        <v>6</v>
      </c>
      <c r="Z410" s="108" t="str">
        <f t="shared" si="74"/>
        <v/>
      </c>
      <c r="AB410" s="108">
        <f t="shared" si="75"/>
        <v>0</v>
      </c>
      <c r="AC410" s="108">
        <f>IF($A410="",0,IF(AND($AB410=1,COUNTIF($A$2:$A410,$A410)=1),1,0))</f>
        <v>0</v>
      </c>
      <c r="AD410" s="108">
        <f t="shared" si="76"/>
        <v>1</v>
      </c>
      <c r="AE410" s="108" t="str">
        <f t="shared" si="77"/>
        <v/>
      </c>
      <c r="AF410" s="108">
        <f t="shared" si="78"/>
        <v>0</v>
      </c>
      <c r="AG410" s="108">
        <f t="shared" si="79"/>
        <v>0</v>
      </c>
      <c r="AH410" s="110" t="str">
        <f t="shared" si="80"/>
        <v xml:space="preserve">L. Bailiff|20260902|Review|1.000|Reviewed AOI for Section 28, Township 19 South, Range 34 East in Lea County, NM associated with Federal Lease NM057285. </v>
      </c>
      <c r="AI410" s="108">
        <f t="shared" si="81"/>
        <v>0</v>
      </c>
      <c r="AJ410" s="108">
        <f t="shared" si="82"/>
        <v>0</v>
      </c>
      <c r="AK410" s="108">
        <f>IF($A410="",0,IF(AND($S410=1,$W410=1,$X410=1,$U410&gt;Config!$C$9),1,0))</f>
        <v>0</v>
      </c>
      <c r="AL410" s="108">
        <f t="shared" si="83"/>
        <v>0</v>
      </c>
    </row>
    <row r="411" spans="1:38" x14ac:dyDescent="0.25">
      <c r="A411" s="106" t="s">
        <v>634</v>
      </c>
      <c r="B411" s="106" t="s">
        <v>618</v>
      </c>
      <c r="C411" s="107">
        <v>46267</v>
      </c>
      <c r="D411" s="106" t="s">
        <v>635</v>
      </c>
      <c r="E411" s="106" t="s">
        <v>636</v>
      </c>
      <c r="F411" s="106" t="s">
        <v>637</v>
      </c>
      <c r="G411" s="106" t="s">
        <v>638</v>
      </c>
      <c r="H411" s="106" t="s">
        <v>639</v>
      </c>
      <c r="I411" s="106"/>
      <c r="J411" s="106"/>
      <c r="K411" s="106">
        <v>0.25</v>
      </c>
      <c r="L411" s="106">
        <v>0</v>
      </c>
      <c r="M411" s="106">
        <v>0</v>
      </c>
      <c r="N411" s="106"/>
      <c r="O411" s="106"/>
      <c r="P411" s="106">
        <v>0</v>
      </c>
      <c r="Q411" s="106" t="s">
        <v>861</v>
      </c>
      <c r="S411" s="108">
        <f>IF($A411="","",COUNTIF(BPOworkers!$B$6:$B$105,$A411))</f>
        <v>0</v>
      </c>
      <c r="T411" s="109">
        <f>IF($A411="","",$K411*Config!$C$9)</f>
        <v>2</v>
      </c>
      <c r="U411" s="109">
        <f>IF($A411="","",IF(COUNTIF(Config!$C$21:$C$23,$H411)&gt;0,IFERROR(VALUE(LEFT(TRIM($Q411),FIND(" ",TRIM($Q411)&amp;" ")-1)),0),0))</f>
        <v>0</v>
      </c>
      <c r="V411" s="109">
        <f t="shared" si="72"/>
        <v>2</v>
      </c>
      <c r="W411" s="108">
        <f>IF($A411="",0,IF(AND($C411&gt;=Config!$C$7,$C411&lt;=Config!$C$8),1,0))</f>
        <v>1</v>
      </c>
      <c r="X411" s="108">
        <f>IF($A411="",0,IF(COUNTIF(Config!$C$21:$C$23,$H411)&gt;0,1,0))</f>
        <v>0</v>
      </c>
      <c r="Y411" s="108">
        <f t="shared" si="73"/>
        <v>6</v>
      </c>
      <c r="Z411" s="108" t="str">
        <f t="shared" si="74"/>
        <v/>
      </c>
      <c r="AB411" s="108">
        <f t="shared" si="75"/>
        <v>0</v>
      </c>
      <c r="AC411" s="108">
        <f>IF($A411="",0,IF(AND($AB411=1,COUNTIF($A$2:$A411,$A411)=1),1,0))</f>
        <v>0</v>
      </c>
      <c r="AD411" s="108">
        <f t="shared" si="76"/>
        <v>1</v>
      </c>
      <c r="AE411" s="108" t="str">
        <f t="shared" si="77"/>
        <v/>
      </c>
      <c r="AF411" s="108">
        <f t="shared" si="78"/>
        <v>0</v>
      </c>
      <c r="AG411" s="108">
        <f t="shared" si="79"/>
        <v>0</v>
      </c>
      <c r="AH411" s="110" t="str">
        <f t="shared" si="80"/>
        <v xml:space="preserve">L. Bailiff|20260902|Review|0.250|Reviewed AOI for Section 28, Township 19 South, Range 34 East in Lea County, NM associated with Federal Lease NM057285. </v>
      </c>
      <c r="AI411" s="108">
        <f t="shared" si="81"/>
        <v>0</v>
      </c>
      <c r="AJ411" s="108">
        <f t="shared" si="82"/>
        <v>0</v>
      </c>
      <c r="AK411" s="108">
        <f>IF($A411="",0,IF(AND($S411=1,$W411=1,$X411=1,$U411&gt;Config!$C$9),1,0))</f>
        <v>0</v>
      </c>
      <c r="AL411" s="108">
        <f t="shared" si="83"/>
        <v>0</v>
      </c>
    </row>
    <row r="412" spans="1:38" x14ac:dyDescent="0.25">
      <c r="A412" s="106" t="s">
        <v>641</v>
      </c>
      <c r="B412" s="106" t="s">
        <v>618</v>
      </c>
      <c r="C412" s="107">
        <v>46267</v>
      </c>
      <c r="D412" s="106" t="s">
        <v>694</v>
      </c>
      <c r="E412" s="106" t="s">
        <v>919</v>
      </c>
      <c r="F412" s="106" t="s">
        <v>766</v>
      </c>
      <c r="G412" s="106" t="s">
        <v>920</v>
      </c>
      <c r="H412" s="106" t="s">
        <v>631</v>
      </c>
      <c r="I412" s="106"/>
      <c r="J412" s="106"/>
      <c r="K412" s="106">
        <v>0.5</v>
      </c>
      <c r="L412" s="106">
        <v>0</v>
      </c>
      <c r="M412" s="106">
        <v>0</v>
      </c>
      <c r="N412" s="106"/>
      <c r="O412" s="106"/>
      <c r="P412" s="106">
        <v>0</v>
      </c>
      <c r="Q412" s="106"/>
      <c r="S412" s="108">
        <f>IF($A412="","",COUNTIF(BPOworkers!$B$6:$B$105,$A412))</f>
        <v>0</v>
      </c>
      <c r="T412" s="109">
        <f>IF($A412="","",$K412*Config!$C$9)</f>
        <v>4</v>
      </c>
      <c r="U412" s="109">
        <f>IF($A412="","",IF(COUNTIF(Config!$C$21:$C$23,$H412)&gt;0,IFERROR(VALUE(LEFT(TRIM($Q412),FIND(" ",TRIM($Q412)&amp;" ")-1)),0),0))</f>
        <v>0</v>
      </c>
      <c r="V412" s="109">
        <f t="shared" si="72"/>
        <v>4</v>
      </c>
      <c r="W412" s="108">
        <f>IF($A412="",0,IF(AND($C412&gt;=Config!$C$7,$C412&lt;=Config!$C$8),1,0))</f>
        <v>1</v>
      </c>
      <c r="X412" s="108">
        <f>IF($A412="",0,IF(COUNTIF(Config!$C$21:$C$23,$H412)&gt;0,1,0))</f>
        <v>0</v>
      </c>
      <c r="Y412" s="108">
        <f t="shared" si="73"/>
        <v>6</v>
      </c>
      <c r="Z412" s="108" t="str">
        <f t="shared" si="74"/>
        <v/>
      </c>
      <c r="AB412" s="108">
        <f t="shared" si="75"/>
        <v>0</v>
      </c>
      <c r="AC412" s="108">
        <f>IF($A412="",0,IF(AND($AB412=1,COUNTIF($A$2:$A412,$A412)=1),1,0))</f>
        <v>0</v>
      </c>
      <c r="AD412" s="108">
        <f t="shared" si="76"/>
        <v>1</v>
      </c>
      <c r="AE412" s="108" t="str">
        <f t="shared" si="77"/>
        <v/>
      </c>
      <c r="AF412" s="108">
        <f t="shared" si="78"/>
        <v>0</v>
      </c>
      <c r="AG412" s="108">
        <f t="shared" si="79"/>
        <v>0</v>
      </c>
      <c r="AH412" s="110" t="str">
        <f t="shared" si="80"/>
        <v>M. Young|20260902|Title|0.500|</v>
      </c>
      <c r="AI412" s="108">
        <f t="shared" si="81"/>
        <v>0</v>
      </c>
      <c r="AJ412" s="108">
        <f t="shared" si="82"/>
        <v>0</v>
      </c>
      <c r="AK412" s="108">
        <f>IF($A412="",0,IF(AND($S412=1,$W412=1,$X412=1,$U412&gt;Config!$C$9),1,0))</f>
        <v>0</v>
      </c>
      <c r="AL412" s="108">
        <f t="shared" si="83"/>
        <v>0</v>
      </c>
    </row>
    <row r="413" spans="1:38" x14ac:dyDescent="0.25">
      <c r="A413" s="106" t="s">
        <v>641</v>
      </c>
      <c r="B413" s="106" t="s">
        <v>618</v>
      </c>
      <c r="C413" s="107">
        <v>46267</v>
      </c>
      <c r="D413" s="106" t="s">
        <v>529</v>
      </c>
      <c r="E413" s="106" t="s">
        <v>529</v>
      </c>
      <c r="F413" s="106" t="s">
        <v>615</v>
      </c>
      <c r="G413" s="106"/>
      <c r="H413" s="106" t="s">
        <v>529</v>
      </c>
      <c r="I413" s="106"/>
      <c r="J413" s="106"/>
      <c r="K413" s="106">
        <v>0</v>
      </c>
      <c r="L413" s="106">
        <v>0</v>
      </c>
      <c r="M413" s="106">
        <v>0</v>
      </c>
      <c r="N413" s="106"/>
      <c r="O413" s="106"/>
      <c r="P413" s="106">
        <v>0</v>
      </c>
      <c r="Q413" s="106" t="s">
        <v>1093</v>
      </c>
      <c r="S413" s="108">
        <f>IF($A413="","",COUNTIF(BPOworkers!$B$6:$B$105,$A413))</f>
        <v>0</v>
      </c>
      <c r="T413" s="109">
        <f>IF($A413="","",$K413*Config!$C$9)</f>
        <v>0</v>
      </c>
      <c r="U413" s="109">
        <f>IF($A413="","",IF(COUNTIF(Config!$C$21:$C$23,$H413)&gt;0,IFERROR(VALUE(LEFT(TRIM($Q413),FIND(" ",TRIM($Q413)&amp;" ")-1)),0),0))</f>
        <v>0</v>
      </c>
      <c r="V413" s="109">
        <f t="shared" si="72"/>
        <v>0</v>
      </c>
      <c r="W413" s="108">
        <f>IF($A413="",0,IF(AND($C413&gt;=Config!$C$7,$C413&lt;=Config!$C$8),1,0))</f>
        <v>1</v>
      </c>
      <c r="X413" s="108">
        <f>IF($A413="",0,IF(COUNTIF(Config!$C$21:$C$23,$H413)&gt;0,1,0))</f>
        <v>1</v>
      </c>
      <c r="Y413" s="108">
        <f t="shared" si="73"/>
        <v>6</v>
      </c>
      <c r="Z413" s="108" t="str">
        <f t="shared" si="74"/>
        <v/>
      </c>
      <c r="AB413" s="108">
        <f t="shared" si="75"/>
        <v>0</v>
      </c>
      <c r="AC413" s="108">
        <f>IF($A413="",0,IF(AND($AB413=1,COUNTIF($A$2:$A413,$A413)=1),1,0))</f>
        <v>0</v>
      </c>
      <c r="AD413" s="108">
        <f t="shared" si="76"/>
        <v>1</v>
      </c>
      <c r="AE413" s="108" t="str">
        <f t="shared" si="77"/>
        <v/>
      </c>
      <c r="AF413" s="108">
        <f t="shared" si="78"/>
        <v>0</v>
      </c>
      <c r="AG413" s="108">
        <f t="shared" si="79"/>
        <v>0</v>
      </c>
      <c r="AH413" s="110" t="str">
        <f t="shared" si="80"/>
        <v>M. Young|20260902|Time Off|0.000|Not Billed - 4 hours</v>
      </c>
      <c r="AI413" s="108">
        <f t="shared" si="81"/>
        <v>0</v>
      </c>
      <c r="AJ413" s="108">
        <f t="shared" si="82"/>
        <v>0</v>
      </c>
      <c r="AK413" s="108">
        <f>IF($A413="",0,IF(AND($S413=1,$W413=1,$X413=1,$U413&gt;Config!$C$9),1,0))</f>
        <v>0</v>
      </c>
      <c r="AL413" s="108">
        <f t="shared" si="83"/>
        <v>0</v>
      </c>
    </row>
    <row r="414" spans="1:38" x14ac:dyDescent="0.25">
      <c r="A414" s="106" t="s">
        <v>648</v>
      </c>
      <c r="B414" s="106" t="s">
        <v>618</v>
      </c>
      <c r="C414" s="107">
        <v>46267</v>
      </c>
      <c r="D414" s="106" t="s">
        <v>694</v>
      </c>
      <c r="E414" s="106" t="s">
        <v>695</v>
      </c>
      <c r="F414" s="106" t="s">
        <v>766</v>
      </c>
      <c r="G414" s="106"/>
      <c r="H414" s="106" t="s">
        <v>656</v>
      </c>
      <c r="I414" s="106"/>
      <c r="J414" s="106"/>
      <c r="K414" s="106">
        <v>0.375</v>
      </c>
      <c r="L414" s="106">
        <v>0</v>
      </c>
      <c r="M414" s="106">
        <v>0</v>
      </c>
      <c r="N414" s="106"/>
      <c r="O414" s="106"/>
      <c r="P414" s="106">
        <v>0</v>
      </c>
      <c r="Q414" s="106" t="s">
        <v>1228</v>
      </c>
      <c r="S414" s="108">
        <f>IF($A414="","",COUNTIF(BPOworkers!$B$6:$B$105,$A414))</f>
        <v>0</v>
      </c>
      <c r="T414" s="109">
        <f>IF($A414="","",$K414*Config!$C$9)</f>
        <v>3</v>
      </c>
      <c r="U414" s="109">
        <f>IF($A414="","",IF(COUNTIF(Config!$C$21:$C$23,$H414)&gt;0,IFERROR(VALUE(LEFT(TRIM($Q414),FIND(" ",TRIM($Q414)&amp;" ")-1)),0),0))</f>
        <v>0</v>
      </c>
      <c r="V414" s="109">
        <f t="shared" si="72"/>
        <v>3</v>
      </c>
      <c r="W414" s="108">
        <f>IF($A414="",0,IF(AND($C414&gt;=Config!$C$7,$C414&lt;=Config!$C$8),1,0))</f>
        <v>1</v>
      </c>
      <c r="X414" s="108">
        <f>IF($A414="",0,IF(COUNTIF(Config!$C$21:$C$23,$H414)&gt;0,1,0))</f>
        <v>0</v>
      </c>
      <c r="Y414" s="108">
        <f t="shared" si="73"/>
        <v>6</v>
      </c>
      <c r="Z414" s="108" t="str">
        <f t="shared" si="74"/>
        <v/>
      </c>
      <c r="AB414" s="108">
        <f t="shared" si="75"/>
        <v>0</v>
      </c>
      <c r="AC414" s="108">
        <f>IF($A414="",0,IF(AND($AB414=1,COUNTIF($A$2:$A414,$A414)=1),1,0))</f>
        <v>0</v>
      </c>
      <c r="AD414" s="108">
        <f t="shared" si="76"/>
        <v>1</v>
      </c>
      <c r="AE414" s="108" t="str">
        <f t="shared" si="77"/>
        <v/>
      </c>
      <c r="AF414" s="108">
        <f t="shared" si="78"/>
        <v>0</v>
      </c>
      <c r="AG414" s="108">
        <f t="shared" si="79"/>
        <v>0</v>
      </c>
      <c r="AH414" s="110" t="str">
        <f t="shared" si="80"/>
        <v>M. Witheridge|20260902|Project Management|0.375|Completed filling out project scope for Mark Andrew LLC project</v>
      </c>
      <c r="AI414" s="108">
        <f t="shared" si="81"/>
        <v>0</v>
      </c>
      <c r="AJ414" s="108">
        <f t="shared" si="82"/>
        <v>0</v>
      </c>
      <c r="AK414" s="108">
        <f>IF($A414="",0,IF(AND($S414=1,$W414=1,$X414=1,$U414&gt;Config!$C$9),1,0))</f>
        <v>0</v>
      </c>
      <c r="AL414" s="108">
        <f t="shared" si="83"/>
        <v>0</v>
      </c>
    </row>
    <row r="415" spans="1:38" x14ac:dyDescent="0.25">
      <c r="A415" s="106" t="s">
        <v>648</v>
      </c>
      <c r="B415" s="106" t="s">
        <v>618</v>
      </c>
      <c r="C415" s="107">
        <v>46267</v>
      </c>
      <c r="D415" s="106" t="s">
        <v>529</v>
      </c>
      <c r="E415" s="106" t="s">
        <v>529</v>
      </c>
      <c r="F415" s="106" t="s">
        <v>615</v>
      </c>
      <c r="G415" s="106"/>
      <c r="H415" s="106" t="s">
        <v>529</v>
      </c>
      <c r="I415" s="106"/>
      <c r="J415" s="106"/>
      <c r="K415" s="106">
        <v>0</v>
      </c>
      <c r="L415" s="106">
        <v>0</v>
      </c>
      <c r="M415" s="106">
        <v>0</v>
      </c>
      <c r="N415" s="106"/>
      <c r="O415" s="106"/>
      <c r="P415" s="106">
        <v>0</v>
      </c>
      <c r="Q415" s="106" t="s">
        <v>1229</v>
      </c>
      <c r="S415" s="108">
        <f>IF($A415="","",COUNTIF(BPOworkers!$B$6:$B$105,$A415))</f>
        <v>0</v>
      </c>
      <c r="T415" s="109">
        <f>IF($A415="","",$K415*Config!$C$9)</f>
        <v>0</v>
      </c>
      <c r="U415" s="109">
        <f>IF($A415="","",IF(COUNTIF(Config!$C$21:$C$23,$H415)&gt;0,IFERROR(VALUE(LEFT(TRIM($Q415),FIND(" ",TRIM($Q415)&amp;" ")-1)),0),0))</f>
        <v>5</v>
      </c>
      <c r="V415" s="109">
        <f t="shared" si="72"/>
        <v>5</v>
      </c>
      <c r="W415" s="108">
        <f>IF($A415="",0,IF(AND($C415&gt;=Config!$C$7,$C415&lt;=Config!$C$8),1,0))</f>
        <v>1</v>
      </c>
      <c r="X415" s="108">
        <f>IF($A415="",0,IF(COUNTIF(Config!$C$21:$C$23,$H415)&gt;0,1,0))</f>
        <v>1</v>
      </c>
      <c r="Y415" s="108">
        <f t="shared" si="73"/>
        <v>6</v>
      </c>
      <c r="Z415" s="108" t="str">
        <f t="shared" si="74"/>
        <v/>
      </c>
      <c r="AB415" s="108">
        <f t="shared" si="75"/>
        <v>0</v>
      </c>
      <c r="AC415" s="108">
        <f>IF($A415="",0,IF(AND($AB415=1,COUNTIF($A$2:$A415,$A415)=1),1,0))</f>
        <v>0</v>
      </c>
      <c r="AD415" s="108">
        <f t="shared" si="76"/>
        <v>1</v>
      </c>
      <c r="AE415" s="108" t="str">
        <f t="shared" si="77"/>
        <v/>
      </c>
      <c r="AF415" s="108">
        <f t="shared" si="78"/>
        <v>0</v>
      </c>
      <c r="AG415" s="108">
        <f t="shared" si="79"/>
        <v>0</v>
      </c>
      <c r="AH415" s="110" t="str">
        <f t="shared" si="80"/>
        <v>M. Witheridge|20260902|Time Off|0.000|5 hours unpaid</v>
      </c>
      <c r="AI415" s="108">
        <f t="shared" si="81"/>
        <v>0</v>
      </c>
      <c r="AJ415" s="108">
        <f t="shared" si="82"/>
        <v>0</v>
      </c>
      <c r="AK415" s="108">
        <f>IF($A415="",0,IF(AND($S415=1,$W415=1,$X415=1,$U415&gt;Config!$C$9),1,0))</f>
        <v>0</v>
      </c>
      <c r="AL415" s="108">
        <f t="shared" si="83"/>
        <v>0</v>
      </c>
    </row>
    <row r="416" spans="1:38" x14ac:dyDescent="0.25">
      <c r="A416" s="106" t="s">
        <v>650</v>
      </c>
      <c r="B416" s="106" t="s">
        <v>618</v>
      </c>
      <c r="C416" s="107">
        <v>46267</v>
      </c>
      <c r="D416" s="106" t="s">
        <v>694</v>
      </c>
      <c r="E416" s="106" t="s">
        <v>695</v>
      </c>
      <c r="F416" s="106" t="s">
        <v>766</v>
      </c>
      <c r="G416" s="106" t="s">
        <v>917</v>
      </c>
      <c r="H416" s="106" t="s">
        <v>639</v>
      </c>
      <c r="I416" s="106"/>
      <c r="J416" s="106"/>
      <c r="K416" s="106">
        <v>1</v>
      </c>
      <c r="L416" s="106">
        <v>0</v>
      </c>
      <c r="M416" s="106">
        <v>0</v>
      </c>
      <c r="N416" s="106"/>
      <c r="O416" s="106"/>
      <c r="P416" s="106">
        <v>0</v>
      </c>
      <c r="Q416" s="106" t="s">
        <v>1230</v>
      </c>
      <c r="S416" s="108">
        <f>IF($A416="","",COUNTIF(BPOworkers!$B$6:$B$105,$A416))</f>
        <v>0</v>
      </c>
      <c r="T416" s="109">
        <f>IF($A416="","",$K416*Config!$C$9)</f>
        <v>8</v>
      </c>
      <c r="U416" s="109">
        <f>IF($A416="","",IF(COUNTIF(Config!$C$21:$C$23,$H416)&gt;0,IFERROR(VALUE(LEFT(TRIM($Q416),FIND(" ",TRIM($Q416)&amp;" ")-1)),0),0))</f>
        <v>0</v>
      </c>
      <c r="V416" s="109">
        <f t="shared" si="72"/>
        <v>8</v>
      </c>
      <c r="W416" s="108">
        <f>IF($A416="",0,IF(AND($C416&gt;=Config!$C$7,$C416&lt;=Config!$C$8),1,0))</f>
        <v>1</v>
      </c>
      <c r="X416" s="108">
        <f>IF($A416="",0,IF(COUNTIF(Config!$C$21:$C$23,$H416)&gt;0,1,0))</f>
        <v>0</v>
      </c>
      <c r="Y416" s="108">
        <f t="shared" si="73"/>
        <v>6</v>
      </c>
      <c r="Z416" s="108" t="str">
        <f t="shared" si="74"/>
        <v/>
      </c>
      <c r="AB416" s="108">
        <f t="shared" si="75"/>
        <v>0</v>
      </c>
      <c r="AC416" s="108">
        <f>IF($A416="",0,IF(AND($AB416=1,COUNTIF($A$2:$A416,$A416)=1),1,0))</f>
        <v>0</v>
      </c>
      <c r="AD416" s="108">
        <f t="shared" si="76"/>
        <v>1</v>
      </c>
      <c r="AE416" s="108" t="str">
        <f t="shared" si="77"/>
        <v/>
      </c>
      <c r="AF416" s="108">
        <f t="shared" si="78"/>
        <v>0</v>
      </c>
      <c r="AG416" s="108">
        <f t="shared" si="79"/>
        <v>0</v>
      </c>
      <c r="AH416" s="110" t="str">
        <f t="shared" si="80"/>
        <v>P. Elliott|20260902|Review|1.000|Reviewed subject AOI. Had to make a lot of edits and am having to close gaps in title. Still working through AOI.</v>
      </c>
      <c r="AI416" s="108">
        <f t="shared" si="81"/>
        <v>0</v>
      </c>
      <c r="AJ416" s="108">
        <f t="shared" si="82"/>
        <v>0</v>
      </c>
      <c r="AK416" s="108">
        <f>IF($A416="",0,IF(AND($S416=1,$W416=1,$X416=1,$U416&gt;Config!$C$9),1,0))</f>
        <v>0</v>
      </c>
      <c r="AL416" s="108">
        <f t="shared" si="83"/>
        <v>0</v>
      </c>
    </row>
    <row r="417" spans="1:38" x14ac:dyDescent="0.25">
      <c r="A417" s="106" t="s">
        <v>922</v>
      </c>
      <c r="B417" s="106" t="s">
        <v>618</v>
      </c>
      <c r="C417" s="107">
        <v>46267</v>
      </c>
      <c r="D417" s="106" t="s">
        <v>712</v>
      </c>
      <c r="E417" s="106" t="s">
        <v>713</v>
      </c>
      <c r="F417" s="106" t="s">
        <v>866</v>
      </c>
      <c r="G417" s="106" t="s">
        <v>1231</v>
      </c>
      <c r="H417" s="106" t="s">
        <v>631</v>
      </c>
      <c r="I417" s="106"/>
      <c r="J417" s="106"/>
      <c r="K417" s="106">
        <v>1</v>
      </c>
      <c r="L417" s="106">
        <v>0</v>
      </c>
      <c r="M417" s="106">
        <v>0</v>
      </c>
      <c r="N417" s="106"/>
      <c r="O417" s="106"/>
      <c r="P417" s="106">
        <v>0</v>
      </c>
      <c r="Q417" s="106" t="s">
        <v>1232</v>
      </c>
      <c r="S417" s="108">
        <f>IF($A417="","",COUNTIF(BPOworkers!$B$6:$B$105,$A417))</f>
        <v>0</v>
      </c>
      <c r="T417" s="109">
        <f>IF($A417="","",$K417*Config!$C$9)</f>
        <v>8</v>
      </c>
      <c r="U417" s="109">
        <f>IF($A417="","",IF(COUNTIF(Config!$C$21:$C$23,$H417)&gt;0,IFERROR(VALUE(LEFT(TRIM($Q417),FIND(" ",TRIM($Q417)&amp;" ")-1)),0),0))</f>
        <v>0</v>
      </c>
      <c r="V417" s="109">
        <f t="shared" si="72"/>
        <v>8</v>
      </c>
      <c r="W417" s="108">
        <f>IF($A417="",0,IF(AND($C417&gt;=Config!$C$7,$C417&lt;=Config!$C$8),1,0))</f>
        <v>1</v>
      </c>
      <c r="X417" s="108">
        <f>IF($A417="",0,IF(COUNTIF(Config!$C$21:$C$23,$H417)&gt;0,1,0))</f>
        <v>0</v>
      </c>
      <c r="Y417" s="108">
        <f t="shared" si="73"/>
        <v>6</v>
      </c>
      <c r="Z417" s="108" t="str">
        <f t="shared" si="74"/>
        <v/>
      </c>
      <c r="AB417" s="108">
        <f t="shared" si="75"/>
        <v>0</v>
      </c>
      <c r="AC417" s="108">
        <f>IF($A417="",0,IF(AND($AB417=1,COUNTIF($A$2:$A417,$A417)=1),1,0))</f>
        <v>0</v>
      </c>
      <c r="AD417" s="108">
        <f t="shared" si="76"/>
        <v>1</v>
      </c>
      <c r="AE417" s="108" t="str">
        <f t="shared" si="77"/>
        <v/>
      </c>
      <c r="AF417" s="108">
        <f t="shared" si="78"/>
        <v>0</v>
      </c>
      <c r="AG417" s="108">
        <f t="shared" si="79"/>
        <v>0</v>
      </c>
      <c r="AH417" s="110" t="str">
        <f t="shared" si="80"/>
        <v>S. Laine|20260902|Title|1.000|Index approximately 250 documents; add notecards to chain; Complete AOI chain.</v>
      </c>
      <c r="AI417" s="108">
        <f t="shared" si="81"/>
        <v>0</v>
      </c>
      <c r="AJ417" s="108">
        <f t="shared" si="82"/>
        <v>0</v>
      </c>
      <c r="AK417" s="108">
        <f>IF($A417="",0,IF(AND($S417=1,$W417=1,$X417=1,$U417&gt;Config!$C$9),1,0))</f>
        <v>0</v>
      </c>
      <c r="AL417" s="108">
        <f t="shared" si="83"/>
        <v>0</v>
      </c>
    </row>
    <row r="418" spans="1:38" x14ac:dyDescent="0.25">
      <c r="A418" s="106" t="s">
        <v>924</v>
      </c>
      <c r="B418" s="106" t="s">
        <v>618</v>
      </c>
      <c r="C418" s="107">
        <v>46267</v>
      </c>
      <c r="D418" s="106" t="s">
        <v>529</v>
      </c>
      <c r="E418" s="106" t="s">
        <v>529</v>
      </c>
      <c r="F418" s="106" t="s">
        <v>615</v>
      </c>
      <c r="G418" s="106"/>
      <c r="H418" s="106" t="s">
        <v>529</v>
      </c>
      <c r="I418" s="106"/>
      <c r="J418" s="106"/>
      <c r="K418" s="106">
        <v>0</v>
      </c>
      <c r="L418" s="106">
        <v>0</v>
      </c>
      <c r="M418" s="106">
        <v>0</v>
      </c>
      <c r="N418" s="106"/>
      <c r="O418" s="106"/>
      <c r="P418" s="106">
        <v>0</v>
      </c>
      <c r="Q418" s="106" t="s">
        <v>661</v>
      </c>
      <c r="S418" s="108">
        <f>IF($A418="","",COUNTIF(BPOworkers!$B$6:$B$105,$A418))</f>
        <v>0</v>
      </c>
      <c r="T418" s="109">
        <f>IF($A418="","",$K418*Config!$C$9)</f>
        <v>0</v>
      </c>
      <c r="U418" s="109">
        <f>IF($A418="","",IF(COUNTIF(Config!$C$21:$C$23,$H418)&gt;0,IFERROR(VALUE(LEFT(TRIM($Q418),FIND(" ",TRIM($Q418)&amp;" ")-1)),0),0))</f>
        <v>8</v>
      </c>
      <c r="V418" s="109">
        <f t="shared" si="72"/>
        <v>8</v>
      </c>
      <c r="W418" s="108">
        <f>IF($A418="",0,IF(AND($C418&gt;=Config!$C$7,$C418&lt;=Config!$C$8),1,0))</f>
        <v>1</v>
      </c>
      <c r="X418" s="108">
        <f>IF($A418="",0,IF(COUNTIF(Config!$C$21:$C$23,$H418)&gt;0,1,0))</f>
        <v>1</v>
      </c>
      <c r="Y418" s="108">
        <f t="shared" si="73"/>
        <v>6</v>
      </c>
      <c r="Z418" s="108" t="str">
        <f t="shared" si="74"/>
        <v/>
      </c>
      <c r="AB418" s="108">
        <f t="shared" si="75"/>
        <v>0</v>
      </c>
      <c r="AC418" s="108">
        <f>IF($A418="",0,IF(AND($AB418=1,COUNTIF($A$2:$A418,$A418)=1),1,0))</f>
        <v>0</v>
      </c>
      <c r="AD418" s="108">
        <f t="shared" si="76"/>
        <v>1</v>
      </c>
      <c r="AE418" s="108" t="str">
        <f t="shared" si="77"/>
        <v/>
      </c>
      <c r="AF418" s="108">
        <f t="shared" si="78"/>
        <v>0</v>
      </c>
      <c r="AG418" s="108">
        <f t="shared" si="79"/>
        <v>0</v>
      </c>
      <c r="AH418" s="110" t="str">
        <f t="shared" si="80"/>
        <v>B. Shlemon|20260902|Time Off|0.000|8 hours not billed</v>
      </c>
      <c r="AI418" s="108">
        <f t="shared" si="81"/>
        <v>0</v>
      </c>
      <c r="AJ418" s="108">
        <f t="shared" si="82"/>
        <v>0</v>
      </c>
      <c r="AK418" s="108">
        <f>IF($A418="",0,IF(AND($S418=1,$W418=1,$X418=1,$U418&gt;Config!$C$9),1,0))</f>
        <v>0</v>
      </c>
      <c r="AL418" s="108">
        <f t="shared" si="83"/>
        <v>0</v>
      </c>
    </row>
    <row r="419" spans="1:38" x14ac:dyDescent="0.25">
      <c r="A419" s="106" t="s">
        <v>652</v>
      </c>
      <c r="B419" s="106" t="s">
        <v>618</v>
      </c>
      <c r="C419" s="107">
        <v>46267</v>
      </c>
      <c r="D419" s="106" t="s">
        <v>635</v>
      </c>
      <c r="E419" s="106" t="s">
        <v>636</v>
      </c>
      <c r="F419" s="106" t="s">
        <v>637</v>
      </c>
      <c r="G419" s="106" t="s">
        <v>925</v>
      </c>
      <c r="H419" s="106" t="s">
        <v>656</v>
      </c>
      <c r="I419" s="106"/>
      <c r="J419" s="106"/>
      <c r="K419" s="106">
        <v>0.375</v>
      </c>
      <c r="L419" s="106">
        <v>0</v>
      </c>
      <c r="M419" s="106">
        <v>0</v>
      </c>
      <c r="N419" s="106"/>
      <c r="O419" s="106"/>
      <c r="P419" s="106">
        <v>0</v>
      </c>
      <c r="Q419" s="106" t="s">
        <v>1233</v>
      </c>
      <c r="S419" s="108">
        <f>IF($A419="","",COUNTIF(BPOworkers!$B$6:$B$105,$A419))</f>
        <v>0</v>
      </c>
      <c r="T419" s="109">
        <f>IF($A419="","",$K419*Config!$C$9)</f>
        <v>3</v>
      </c>
      <c r="U419" s="109">
        <f>IF($A419="","",IF(COUNTIF(Config!$C$21:$C$23,$H419)&gt;0,IFERROR(VALUE(LEFT(TRIM($Q419),FIND(" ",TRIM($Q419)&amp;" ")-1)),0),0))</f>
        <v>0</v>
      </c>
      <c r="V419" s="109">
        <f t="shared" si="72"/>
        <v>3</v>
      </c>
      <c r="W419" s="108">
        <f>IF($A419="",0,IF(AND($C419&gt;=Config!$C$7,$C419&lt;=Config!$C$8),1,0))</f>
        <v>1</v>
      </c>
      <c r="X419" s="108">
        <f>IF($A419="",0,IF(COUNTIF(Config!$C$21:$C$23,$H419)&gt;0,1,0))</f>
        <v>0</v>
      </c>
      <c r="Y419" s="108">
        <f t="shared" si="73"/>
        <v>6</v>
      </c>
      <c r="Z419" s="108" t="str">
        <f t="shared" si="74"/>
        <v/>
      </c>
      <c r="AB419" s="108">
        <f t="shared" si="75"/>
        <v>0</v>
      </c>
      <c r="AC419" s="108">
        <f>IF($A419="",0,IF(AND($AB419=1,COUNTIF($A$2:$A419,$A419)=1),1,0))</f>
        <v>0</v>
      </c>
      <c r="AD419" s="108">
        <f t="shared" si="76"/>
        <v>1</v>
      </c>
      <c r="AE419" s="108" t="str">
        <f t="shared" si="77"/>
        <v/>
      </c>
      <c r="AF419" s="108">
        <f t="shared" si="78"/>
        <v>0</v>
      </c>
      <c r="AG419" s="108">
        <f t="shared" si="79"/>
        <v>0</v>
      </c>
      <c r="AH419" s="110" t="str">
        <f t="shared" si="80"/>
        <v>J. Greenlee|20260902|Project Management|0.375|Direction of reviewers. Correspondence with team and management. Prep of client deliverables and addresses lookup and re</v>
      </c>
      <c r="AI419" s="108">
        <f t="shared" si="81"/>
        <v>0</v>
      </c>
      <c r="AJ419" s="108">
        <f t="shared" si="82"/>
        <v>0</v>
      </c>
      <c r="AK419" s="108">
        <f>IF($A419="",0,IF(AND($S419=1,$W419=1,$X419=1,$U419&gt;Config!$C$9),1,0))</f>
        <v>0</v>
      </c>
      <c r="AL419" s="108">
        <f t="shared" si="83"/>
        <v>0</v>
      </c>
    </row>
    <row r="420" spans="1:38" x14ac:dyDescent="0.25">
      <c r="A420" s="106" t="s">
        <v>652</v>
      </c>
      <c r="B420" s="106" t="s">
        <v>618</v>
      </c>
      <c r="C420" s="107">
        <v>46267</v>
      </c>
      <c r="D420" s="106" t="s">
        <v>1082</v>
      </c>
      <c r="E420" s="106" t="s">
        <v>773</v>
      </c>
      <c r="F420" s="106" t="s">
        <v>943</v>
      </c>
      <c r="G420" s="106" t="s">
        <v>1234</v>
      </c>
      <c r="H420" s="106" t="s">
        <v>631</v>
      </c>
      <c r="I420" s="106"/>
      <c r="J420" s="106"/>
      <c r="K420" s="106">
        <v>0.375</v>
      </c>
      <c r="L420" s="106">
        <v>0</v>
      </c>
      <c r="M420" s="106">
        <v>0</v>
      </c>
      <c r="N420" s="106"/>
      <c r="O420" s="106"/>
      <c r="P420" s="106">
        <v>0</v>
      </c>
      <c r="Q420" s="106" t="s">
        <v>1235</v>
      </c>
      <c r="S420" s="108">
        <f>IF($A420="","",COUNTIF(BPOworkers!$B$6:$B$105,$A420))</f>
        <v>0</v>
      </c>
      <c r="T420" s="109">
        <f>IF($A420="","",$K420*Config!$C$9)</f>
        <v>3</v>
      </c>
      <c r="U420" s="109">
        <f>IF($A420="","",IF(COUNTIF(Config!$C$21:$C$23,$H420)&gt;0,IFERROR(VALUE(LEFT(TRIM($Q420),FIND(" ",TRIM($Q420)&amp;" ")-1)),0),0))</f>
        <v>0</v>
      </c>
      <c r="V420" s="109">
        <f t="shared" si="72"/>
        <v>3</v>
      </c>
      <c r="W420" s="108">
        <f>IF($A420="",0,IF(AND($C420&gt;=Config!$C$7,$C420&lt;=Config!$C$8),1,0))</f>
        <v>1</v>
      </c>
      <c r="X420" s="108">
        <f>IF($A420="",0,IF(COUNTIF(Config!$C$21:$C$23,$H420)&gt;0,1,0))</f>
        <v>0</v>
      </c>
      <c r="Y420" s="108">
        <f t="shared" si="73"/>
        <v>6</v>
      </c>
      <c r="Z420" s="108" t="str">
        <f t="shared" si="74"/>
        <v/>
      </c>
      <c r="AB420" s="108">
        <f t="shared" si="75"/>
        <v>0</v>
      </c>
      <c r="AC420" s="108">
        <f>IF($A420="",0,IF(AND($AB420=1,COUNTIF($A$2:$A420,$A420)=1),1,0))</f>
        <v>0</v>
      </c>
      <c r="AD420" s="108">
        <f t="shared" si="76"/>
        <v>1</v>
      </c>
      <c r="AE420" s="108" t="str">
        <f t="shared" si="77"/>
        <v/>
      </c>
      <c r="AF420" s="108">
        <f t="shared" si="78"/>
        <v>0</v>
      </c>
      <c r="AG420" s="108">
        <f t="shared" si="79"/>
        <v>0</v>
      </c>
      <c r="AH420" s="110" t="str">
        <f t="shared" si="80"/>
        <v>J. Greenlee|20260902|Title|0.375|BLM title review and begin of county reconciliation and location of docs prior to lease file availability.</v>
      </c>
      <c r="AI420" s="108">
        <f t="shared" si="81"/>
        <v>0</v>
      </c>
      <c r="AJ420" s="108">
        <f t="shared" si="82"/>
        <v>0</v>
      </c>
      <c r="AK420" s="108">
        <f>IF($A420="",0,IF(AND($S420=1,$W420=1,$X420=1,$U420&gt;Config!$C$9),1,0))</f>
        <v>0</v>
      </c>
      <c r="AL420" s="108">
        <f t="shared" si="83"/>
        <v>0</v>
      </c>
    </row>
    <row r="421" spans="1:38" x14ac:dyDescent="0.25">
      <c r="A421" s="106" t="s">
        <v>652</v>
      </c>
      <c r="B421" s="106" t="s">
        <v>618</v>
      </c>
      <c r="C421" s="107">
        <v>46267</v>
      </c>
      <c r="D421" s="106" t="s">
        <v>529</v>
      </c>
      <c r="E421" s="106" t="s">
        <v>529</v>
      </c>
      <c r="F421" s="106" t="s">
        <v>615</v>
      </c>
      <c r="G421" s="106"/>
      <c r="H421" s="106" t="s">
        <v>529</v>
      </c>
      <c r="I421" s="106"/>
      <c r="J421" s="106"/>
      <c r="K421" s="106">
        <v>0</v>
      </c>
      <c r="L421" s="106">
        <v>0</v>
      </c>
      <c r="M421" s="106">
        <v>0</v>
      </c>
      <c r="N421" s="106"/>
      <c r="O421" s="106"/>
      <c r="P421" s="106">
        <v>0</v>
      </c>
      <c r="Q421" s="106" t="s">
        <v>1236</v>
      </c>
      <c r="S421" s="108">
        <f>IF($A421="","",COUNTIF(BPOworkers!$B$6:$B$105,$A421))</f>
        <v>0</v>
      </c>
      <c r="T421" s="109">
        <f>IF($A421="","",$K421*Config!$C$9)</f>
        <v>0</v>
      </c>
      <c r="U421" s="109">
        <f>IF($A421="","",IF(COUNTIF(Config!$C$21:$C$23,$H421)&gt;0,IFERROR(VALUE(LEFT(TRIM($Q421),FIND(" ",TRIM($Q421)&amp;" ")-1)),0),0))</f>
        <v>2</v>
      </c>
      <c r="V421" s="109">
        <f t="shared" si="72"/>
        <v>2</v>
      </c>
      <c r="W421" s="108">
        <f>IF($A421="",0,IF(AND($C421&gt;=Config!$C$7,$C421&lt;=Config!$C$8),1,0))</f>
        <v>1</v>
      </c>
      <c r="X421" s="108">
        <f>IF($A421="",0,IF(COUNTIF(Config!$C$21:$C$23,$H421)&gt;0,1,0))</f>
        <v>1</v>
      </c>
      <c r="Y421" s="108">
        <f t="shared" si="73"/>
        <v>6</v>
      </c>
      <c r="Z421" s="108" t="str">
        <f t="shared" si="74"/>
        <v/>
      </c>
      <c r="AB421" s="108">
        <f t="shared" si="75"/>
        <v>0</v>
      </c>
      <c r="AC421" s="108">
        <f>IF($A421="",0,IF(AND($AB421=1,COUNTIF($A$2:$A421,$A421)=1),1,0))</f>
        <v>0</v>
      </c>
      <c r="AD421" s="108">
        <f t="shared" si="76"/>
        <v>1</v>
      </c>
      <c r="AE421" s="108" t="str">
        <f t="shared" si="77"/>
        <v/>
      </c>
      <c r="AF421" s="108">
        <f t="shared" si="78"/>
        <v>0</v>
      </c>
      <c r="AG421" s="108">
        <f t="shared" si="79"/>
        <v>0</v>
      </c>
      <c r="AH421" s="110" t="str">
        <f t="shared" si="80"/>
        <v>J. Greenlee|20260902|Time Off|0.000|2 hours unpaid</v>
      </c>
      <c r="AI421" s="108">
        <f t="shared" si="81"/>
        <v>0</v>
      </c>
      <c r="AJ421" s="108">
        <f t="shared" si="82"/>
        <v>0</v>
      </c>
      <c r="AK421" s="108">
        <f>IF($A421="",0,IF(AND($S421=1,$W421=1,$X421=1,$U421&gt;Config!$C$9),1,0))</f>
        <v>0</v>
      </c>
      <c r="AL421" s="108">
        <f t="shared" si="83"/>
        <v>0</v>
      </c>
    </row>
    <row r="422" spans="1:38" x14ac:dyDescent="0.25">
      <c r="A422" s="106" t="s">
        <v>653</v>
      </c>
      <c r="B422" s="106" t="s">
        <v>614</v>
      </c>
      <c r="C422" s="107">
        <v>46267</v>
      </c>
      <c r="D422" s="106" t="s">
        <v>623</v>
      </c>
      <c r="E422" s="106" t="s">
        <v>624</v>
      </c>
      <c r="F422" s="106" t="s">
        <v>615</v>
      </c>
      <c r="G422" s="106" t="s">
        <v>625</v>
      </c>
      <c r="H422" s="106" t="s">
        <v>830</v>
      </c>
      <c r="I422" s="106" t="s">
        <v>657</v>
      </c>
      <c r="J422" s="106"/>
      <c r="K422" s="106">
        <v>0.25</v>
      </c>
      <c r="L422" s="106">
        <v>0</v>
      </c>
      <c r="M422" s="106">
        <v>0</v>
      </c>
      <c r="N422" s="106"/>
      <c r="O422" s="106"/>
      <c r="P422" s="106">
        <v>0</v>
      </c>
      <c r="Q422" s="106" t="s">
        <v>928</v>
      </c>
      <c r="S422" s="108">
        <f>IF($A422="","",COUNTIF(BPOworkers!$B$6:$B$105,$A422))</f>
        <v>0</v>
      </c>
      <c r="T422" s="109">
        <f>IF($A422="","",$K422*Config!$C$9)</f>
        <v>2</v>
      </c>
      <c r="U422" s="109">
        <f>IF($A422="","",IF(COUNTIF(Config!$C$21:$C$23,$H422)&gt;0,IFERROR(VALUE(LEFT(TRIM($Q422),FIND(" ",TRIM($Q422)&amp;" ")-1)),0),0))</f>
        <v>0</v>
      </c>
      <c r="V422" s="109">
        <f t="shared" si="72"/>
        <v>2</v>
      </c>
      <c r="W422" s="108">
        <f>IF($A422="",0,IF(AND($C422&gt;=Config!$C$7,$C422&lt;=Config!$C$8),1,0))</f>
        <v>1</v>
      </c>
      <c r="X422" s="108">
        <f>IF($A422="",0,IF(COUNTIF(Config!$C$21:$C$23,$H422)&gt;0,1,0))</f>
        <v>0</v>
      </c>
      <c r="Y422" s="108">
        <f t="shared" si="73"/>
        <v>6</v>
      </c>
      <c r="Z422" s="108" t="str">
        <f t="shared" si="74"/>
        <v/>
      </c>
      <c r="AB422" s="108">
        <f t="shared" si="75"/>
        <v>0</v>
      </c>
      <c r="AC422" s="108">
        <f>IF($A422="",0,IF(AND($AB422=1,COUNTIF($A$2:$A422,$A422)=1),1,0))</f>
        <v>0</v>
      </c>
      <c r="AD422" s="108">
        <f t="shared" si="76"/>
        <v>1</v>
      </c>
      <c r="AE422" s="108" t="str">
        <f t="shared" si="77"/>
        <v/>
      </c>
      <c r="AF422" s="108">
        <f t="shared" si="78"/>
        <v>0</v>
      </c>
      <c r="AG422" s="108">
        <f t="shared" si="79"/>
        <v>0</v>
      </c>
      <c r="AH422" s="110" t="str">
        <f t="shared" si="80"/>
        <v>J. Howell|20260902|Training - TLS|0.250|Sponsored</v>
      </c>
      <c r="AI422" s="108">
        <f t="shared" si="81"/>
        <v>0</v>
      </c>
      <c r="AJ422" s="108">
        <f t="shared" si="82"/>
        <v>0</v>
      </c>
      <c r="AK422" s="108">
        <f>IF($A422="",0,IF(AND($S422=1,$W422=1,$X422=1,$U422&gt;Config!$C$9),1,0))</f>
        <v>0</v>
      </c>
      <c r="AL422" s="108">
        <f t="shared" si="83"/>
        <v>0</v>
      </c>
    </row>
    <row r="423" spans="1:38" x14ac:dyDescent="0.25">
      <c r="A423" s="106" t="s">
        <v>653</v>
      </c>
      <c r="B423" s="106" t="s">
        <v>614</v>
      </c>
      <c r="C423" s="107">
        <v>46267</v>
      </c>
      <c r="D423" s="106" t="s">
        <v>623</v>
      </c>
      <c r="E423" s="106" t="s">
        <v>624</v>
      </c>
      <c r="F423" s="106" t="s">
        <v>615</v>
      </c>
      <c r="G423" s="106" t="s">
        <v>625</v>
      </c>
      <c r="H423" s="106" t="s">
        <v>929</v>
      </c>
      <c r="I423" s="106" t="s">
        <v>657</v>
      </c>
      <c r="J423" s="106"/>
      <c r="K423" s="106">
        <v>0.625</v>
      </c>
      <c r="L423" s="106">
        <v>0</v>
      </c>
      <c r="M423" s="106">
        <v>0</v>
      </c>
      <c r="N423" s="106"/>
      <c r="O423" s="106"/>
      <c r="P423" s="106">
        <v>0</v>
      </c>
      <c r="Q423" s="106" t="s">
        <v>930</v>
      </c>
      <c r="S423" s="108">
        <f>IF($A423="","",COUNTIF(BPOworkers!$B$6:$B$105,$A423))</f>
        <v>0</v>
      </c>
      <c r="T423" s="109">
        <f>IF($A423="","",$K423*Config!$C$9)</f>
        <v>5</v>
      </c>
      <c r="U423" s="109">
        <f>IF($A423="","",IF(COUNTIF(Config!$C$21:$C$23,$H423)&gt;0,IFERROR(VALUE(LEFT(TRIM($Q423),FIND(" ",TRIM($Q423)&amp;" ")-1)),0),0))</f>
        <v>0</v>
      </c>
      <c r="V423" s="109">
        <f t="shared" si="72"/>
        <v>5</v>
      </c>
      <c r="W423" s="108">
        <f>IF($A423="",0,IF(AND($C423&gt;=Config!$C$7,$C423&lt;=Config!$C$8),1,0))</f>
        <v>1</v>
      </c>
      <c r="X423" s="108">
        <f>IF($A423="",0,IF(COUNTIF(Config!$C$21:$C$23,$H423)&gt;0,1,0))</f>
        <v>0</v>
      </c>
      <c r="Y423" s="108">
        <f t="shared" si="73"/>
        <v>6</v>
      </c>
      <c r="Z423" s="108" t="str">
        <f t="shared" si="74"/>
        <v/>
      </c>
      <c r="AB423" s="108">
        <f t="shared" si="75"/>
        <v>0</v>
      </c>
      <c r="AC423" s="108">
        <f>IF($A423="",0,IF(AND($AB423=1,COUNTIF($A$2:$A423,$A423)=1),1,0))</f>
        <v>0</v>
      </c>
      <c r="AD423" s="108">
        <f t="shared" si="76"/>
        <v>1</v>
      </c>
      <c r="AE423" s="108" t="str">
        <f t="shared" si="77"/>
        <v/>
      </c>
      <c r="AF423" s="108">
        <f t="shared" si="78"/>
        <v>0</v>
      </c>
      <c r="AG423" s="108">
        <f t="shared" si="79"/>
        <v>0</v>
      </c>
      <c r="AH423" s="110" t="str">
        <f t="shared" si="80"/>
        <v>J. Howell|20260902|Business Development|0.625|Support Request - Zendesk</v>
      </c>
      <c r="AI423" s="108">
        <f t="shared" si="81"/>
        <v>0</v>
      </c>
      <c r="AJ423" s="108">
        <f t="shared" si="82"/>
        <v>0</v>
      </c>
      <c r="AK423" s="108">
        <f>IF($A423="",0,IF(AND($S423=1,$W423=1,$X423=1,$U423&gt;Config!$C$9),1,0))</f>
        <v>0</v>
      </c>
      <c r="AL423" s="108">
        <f t="shared" si="83"/>
        <v>0</v>
      </c>
    </row>
    <row r="424" spans="1:38" x14ac:dyDescent="0.25">
      <c r="A424" s="106" t="s">
        <v>653</v>
      </c>
      <c r="B424" s="106" t="s">
        <v>614</v>
      </c>
      <c r="C424" s="107">
        <v>46267</v>
      </c>
      <c r="D424" s="106" t="s">
        <v>623</v>
      </c>
      <c r="E424" s="106" t="s">
        <v>624</v>
      </c>
      <c r="F424" s="106" t="s">
        <v>615</v>
      </c>
      <c r="G424" s="106" t="s">
        <v>625</v>
      </c>
      <c r="H424" s="106" t="s">
        <v>931</v>
      </c>
      <c r="I424" s="106" t="s">
        <v>657</v>
      </c>
      <c r="J424" s="106"/>
      <c r="K424" s="106">
        <v>0.25</v>
      </c>
      <c r="L424" s="106">
        <v>0</v>
      </c>
      <c r="M424" s="106">
        <v>0</v>
      </c>
      <c r="N424" s="106"/>
      <c r="O424" s="106"/>
      <c r="P424" s="106">
        <v>0</v>
      </c>
      <c r="Q424" s="106"/>
      <c r="S424" s="108">
        <f>IF($A424="","",COUNTIF(BPOworkers!$B$6:$B$105,$A424))</f>
        <v>0</v>
      </c>
      <c r="T424" s="109">
        <f>IF($A424="","",$K424*Config!$C$9)</f>
        <v>2</v>
      </c>
      <c r="U424" s="109">
        <f>IF($A424="","",IF(COUNTIF(Config!$C$21:$C$23,$H424)&gt;0,IFERROR(VALUE(LEFT(TRIM($Q424),FIND(" ",TRIM($Q424)&amp;" ")-1)),0),0))</f>
        <v>0</v>
      </c>
      <c r="V424" s="109">
        <f t="shared" si="72"/>
        <v>2</v>
      </c>
      <c r="W424" s="108">
        <f>IF($A424="",0,IF(AND($C424&gt;=Config!$C$7,$C424&lt;=Config!$C$8),1,0))</f>
        <v>1</v>
      </c>
      <c r="X424" s="108">
        <f>IF($A424="",0,IF(COUNTIF(Config!$C$21:$C$23,$H424)&gt;0,1,0))</f>
        <v>0</v>
      </c>
      <c r="Y424" s="108">
        <f t="shared" si="73"/>
        <v>6</v>
      </c>
      <c r="Z424" s="108" t="str">
        <f t="shared" si="74"/>
        <v/>
      </c>
      <c r="AB424" s="108">
        <f t="shared" si="75"/>
        <v>0</v>
      </c>
      <c r="AC424" s="108">
        <f>IF($A424="",0,IF(AND($AB424=1,COUNTIF($A$2:$A424,$A424)=1),1,0))</f>
        <v>0</v>
      </c>
      <c r="AD424" s="108">
        <f t="shared" si="76"/>
        <v>1</v>
      </c>
      <c r="AE424" s="108" t="str">
        <f t="shared" si="77"/>
        <v/>
      </c>
      <c r="AF424" s="108">
        <f t="shared" si="78"/>
        <v>0</v>
      </c>
      <c r="AG424" s="108">
        <f t="shared" si="79"/>
        <v>0</v>
      </c>
      <c r="AH424" s="110" t="str">
        <f t="shared" si="80"/>
        <v>J. Howell|20260902|Support|0.250|</v>
      </c>
      <c r="AI424" s="108">
        <f t="shared" si="81"/>
        <v>0</v>
      </c>
      <c r="AJ424" s="108">
        <f t="shared" si="82"/>
        <v>0</v>
      </c>
      <c r="AK424" s="108">
        <f>IF($A424="",0,IF(AND($S424=1,$W424=1,$X424=1,$U424&gt;Config!$C$9),1,0))</f>
        <v>0</v>
      </c>
      <c r="AL424" s="108">
        <f t="shared" si="83"/>
        <v>0</v>
      </c>
    </row>
    <row r="425" spans="1:38" x14ac:dyDescent="0.25">
      <c r="A425" s="106" t="s">
        <v>655</v>
      </c>
      <c r="B425" s="106" t="s">
        <v>618</v>
      </c>
      <c r="C425" s="107">
        <v>46267</v>
      </c>
      <c r="D425" s="106" t="s">
        <v>720</v>
      </c>
      <c r="E425" s="106" t="s">
        <v>721</v>
      </c>
      <c r="F425" s="106" t="s">
        <v>722</v>
      </c>
      <c r="G425" s="106" t="s">
        <v>933</v>
      </c>
      <c r="H425" s="106" t="s">
        <v>656</v>
      </c>
      <c r="I425" s="106"/>
      <c r="J425" s="106" t="s">
        <v>1237</v>
      </c>
      <c r="K425" s="106">
        <v>0.125</v>
      </c>
      <c r="L425" s="106">
        <v>0</v>
      </c>
      <c r="M425" s="106">
        <v>0</v>
      </c>
      <c r="N425" s="106"/>
      <c r="O425" s="106"/>
      <c r="P425" s="106">
        <v>0</v>
      </c>
      <c r="Q425" s="106" t="s">
        <v>1238</v>
      </c>
      <c r="S425" s="108">
        <f>IF($A425="","",COUNTIF(BPOworkers!$B$6:$B$105,$A425))</f>
        <v>0</v>
      </c>
      <c r="T425" s="109">
        <f>IF($A425="","",$K425*Config!$C$9)</f>
        <v>1</v>
      </c>
      <c r="U425" s="109">
        <f>IF($A425="","",IF(COUNTIF(Config!$C$21:$C$23,$H425)&gt;0,IFERROR(VALUE(LEFT(TRIM($Q425),FIND(" ",TRIM($Q425)&amp;" ")-1)),0),0))</f>
        <v>0</v>
      </c>
      <c r="V425" s="109">
        <f t="shared" si="72"/>
        <v>1</v>
      </c>
      <c r="W425" s="108">
        <f>IF($A425="",0,IF(AND($C425&gt;=Config!$C$7,$C425&lt;=Config!$C$8),1,0))</f>
        <v>1</v>
      </c>
      <c r="X425" s="108">
        <f>IF($A425="",0,IF(COUNTIF(Config!$C$21:$C$23,$H425)&gt;0,1,0))</f>
        <v>0</v>
      </c>
      <c r="Y425" s="108">
        <f t="shared" si="73"/>
        <v>6</v>
      </c>
      <c r="Z425" s="108" t="str">
        <f t="shared" si="74"/>
        <v/>
      </c>
      <c r="AB425" s="108">
        <f t="shared" si="75"/>
        <v>0</v>
      </c>
      <c r="AC425" s="108">
        <f>IF($A425="",0,IF(AND($AB425=1,COUNTIF($A$2:$A425,$A425)=1),1,0))</f>
        <v>0</v>
      </c>
      <c r="AD425" s="108">
        <f t="shared" si="76"/>
        <v>1</v>
      </c>
      <c r="AE425" s="108" t="str">
        <f t="shared" si="77"/>
        <v/>
      </c>
      <c r="AF425" s="108">
        <f t="shared" si="78"/>
        <v>0</v>
      </c>
      <c r="AG425" s="108">
        <f t="shared" si="79"/>
        <v>0</v>
      </c>
      <c r="AH425" s="110" t="str">
        <f t="shared" si="80"/>
        <v>A. Beato|20260902|Project Management|0.125|Held the daily Miami Energy project team meeting to review current project status, workflow expectations, and outstandin</v>
      </c>
      <c r="AI425" s="108">
        <f t="shared" si="81"/>
        <v>0</v>
      </c>
      <c r="AJ425" s="108">
        <f t="shared" si="82"/>
        <v>0</v>
      </c>
      <c r="AK425" s="108">
        <f>IF($A425="",0,IF(AND($S425=1,$W425=1,$X425=1,$U425&gt;Config!$C$9),1,0))</f>
        <v>0</v>
      </c>
      <c r="AL425" s="108">
        <f t="shared" si="83"/>
        <v>0</v>
      </c>
    </row>
    <row r="426" spans="1:38" x14ac:dyDescent="0.25">
      <c r="A426" s="106" t="s">
        <v>655</v>
      </c>
      <c r="B426" s="106" t="s">
        <v>618</v>
      </c>
      <c r="C426" s="107">
        <v>46267</v>
      </c>
      <c r="D426" s="106" t="s">
        <v>720</v>
      </c>
      <c r="E426" s="106" t="s">
        <v>721</v>
      </c>
      <c r="F426" s="106" t="s">
        <v>722</v>
      </c>
      <c r="G426" s="106" t="s">
        <v>933</v>
      </c>
      <c r="H426" s="106" t="s">
        <v>656</v>
      </c>
      <c r="I426" s="106"/>
      <c r="J426" s="106" t="s">
        <v>1239</v>
      </c>
      <c r="K426" s="106">
        <v>0.75</v>
      </c>
      <c r="L426" s="106">
        <v>0</v>
      </c>
      <c r="M426" s="106">
        <v>0</v>
      </c>
      <c r="N426" s="106"/>
      <c r="O426" s="106"/>
      <c r="P426" s="106">
        <v>0</v>
      </c>
      <c r="Q426" s="106" t="s">
        <v>1240</v>
      </c>
      <c r="S426" s="108">
        <f>IF($A426="","",COUNTIF(BPOworkers!$B$6:$B$105,$A426))</f>
        <v>0</v>
      </c>
      <c r="T426" s="109">
        <f>IF($A426="","",$K426*Config!$C$9)</f>
        <v>6</v>
      </c>
      <c r="U426" s="109">
        <f>IF($A426="","",IF(COUNTIF(Config!$C$21:$C$23,$H426)&gt;0,IFERROR(VALUE(LEFT(TRIM($Q426),FIND(" ",TRIM($Q426)&amp;" ")-1)),0),0))</f>
        <v>0</v>
      </c>
      <c r="V426" s="109">
        <f t="shared" si="72"/>
        <v>6</v>
      </c>
      <c r="W426" s="108">
        <f>IF($A426="",0,IF(AND($C426&gt;=Config!$C$7,$C426&lt;=Config!$C$8),1,0))</f>
        <v>1</v>
      </c>
      <c r="X426" s="108">
        <f>IF($A426="",0,IF(COUNTIF(Config!$C$21:$C$23,$H426)&gt;0,1,0))</f>
        <v>0</v>
      </c>
      <c r="Y426" s="108">
        <f t="shared" si="73"/>
        <v>6</v>
      </c>
      <c r="Z426" s="108" t="str">
        <f t="shared" si="74"/>
        <v/>
      </c>
      <c r="AB426" s="108">
        <f t="shared" si="75"/>
        <v>0</v>
      </c>
      <c r="AC426" s="108">
        <f>IF($A426="",0,IF(AND($AB426=1,COUNTIF($A$2:$A426,$A426)=1),1,0))</f>
        <v>0</v>
      </c>
      <c r="AD426" s="108">
        <f t="shared" si="76"/>
        <v>1</v>
      </c>
      <c r="AE426" s="108" t="str">
        <f t="shared" si="77"/>
        <v/>
      </c>
      <c r="AF426" s="108">
        <f t="shared" si="78"/>
        <v>0</v>
      </c>
      <c r="AG426" s="108">
        <f t="shared" si="79"/>
        <v>0</v>
      </c>
      <c r="AH426" s="110" t="str">
        <f t="shared" si="80"/>
        <v>A. Beato|20260902|Project Management|0.750|Provided hands-on research support to Bobby, Elaine, and Mitch, working through title dead ends involving parties of int</v>
      </c>
      <c r="AI426" s="108">
        <f t="shared" si="81"/>
        <v>0</v>
      </c>
      <c r="AJ426" s="108">
        <f t="shared" si="82"/>
        <v>0</v>
      </c>
      <c r="AK426" s="108">
        <f>IF($A426="",0,IF(AND($S426=1,$W426=1,$X426=1,$U426&gt;Config!$C$9),1,0))</f>
        <v>0</v>
      </c>
      <c r="AL426" s="108">
        <f t="shared" si="83"/>
        <v>0</v>
      </c>
    </row>
    <row r="427" spans="1:38" x14ac:dyDescent="0.25">
      <c r="A427" s="106" t="s">
        <v>655</v>
      </c>
      <c r="B427" s="106" t="s">
        <v>618</v>
      </c>
      <c r="C427" s="107">
        <v>46267</v>
      </c>
      <c r="D427" s="106" t="s">
        <v>720</v>
      </c>
      <c r="E427" s="106" t="s">
        <v>721</v>
      </c>
      <c r="F427" s="106" t="s">
        <v>722</v>
      </c>
      <c r="G427" s="106" t="s">
        <v>933</v>
      </c>
      <c r="H427" s="106" t="s">
        <v>656</v>
      </c>
      <c r="I427" s="106"/>
      <c r="J427" s="106" t="s">
        <v>1241</v>
      </c>
      <c r="K427" s="106">
        <v>0.375</v>
      </c>
      <c r="L427" s="106">
        <v>0</v>
      </c>
      <c r="M427" s="106">
        <v>0</v>
      </c>
      <c r="N427" s="106"/>
      <c r="O427" s="106"/>
      <c r="P427" s="106">
        <v>0</v>
      </c>
      <c r="Q427" s="106" t="s">
        <v>1242</v>
      </c>
      <c r="S427" s="108">
        <f>IF($A427="","",COUNTIF(BPOworkers!$B$6:$B$105,$A427))</f>
        <v>0</v>
      </c>
      <c r="T427" s="109">
        <f>IF($A427="","",$K427*Config!$C$9)</f>
        <v>3</v>
      </c>
      <c r="U427" s="109">
        <f>IF($A427="","",IF(COUNTIF(Config!$C$21:$C$23,$H427)&gt;0,IFERROR(VALUE(LEFT(TRIM($Q427),FIND(" ",TRIM($Q427)&amp;" ")-1)),0),0))</f>
        <v>0</v>
      </c>
      <c r="V427" s="109">
        <f t="shared" si="72"/>
        <v>3</v>
      </c>
      <c r="W427" s="108">
        <f>IF($A427="",0,IF(AND($C427&gt;=Config!$C$7,$C427&lt;=Config!$C$8),1,0))</f>
        <v>1</v>
      </c>
      <c r="X427" s="108">
        <f>IF($A427="",0,IF(COUNTIF(Config!$C$21:$C$23,$H427)&gt;0,1,0))</f>
        <v>0</v>
      </c>
      <c r="Y427" s="108">
        <f t="shared" si="73"/>
        <v>6</v>
      </c>
      <c r="Z427" s="108" t="str">
        <f t="shared" si="74"/>
        <v/>
      </c>
      <c r="AB427" s="108">
        <f t="shared" si="75"/>
        <v>0</v>
      </c>
      <c r="AC427" s="108">
        <f>IF($A427="",0,IF(AND($AB427=1,COUNTIF($A$2:$A427,$A427)=1),1,0))</f>
        <v>0</v>
      </c>
      <c r="AD427" s="108">
        <f t="shared" si="76"/>
        <v>1</v>
      </c>
      <c r="AE427" s="108" t="str">
        <f t="shared" si="77"/>
        <v/>
      </c>
      <c r="AF427" s="108">
        <f t="shared" si="78"/>
        <v>0</v>
      </c>
      <c r="AG427" s="108">
        <f t="shared" si="79"/>
        <v>0</v>
      </c>
      <c r="AH427" s="110" t="str">
        <f t="shared" si="80"/>
        <v>A. Beato|20260902|Project Management|0.375|Compiled title research issues and documentation gaps reported by Landmen, along with findings identified through my own</v>
      </c>
      <c r="AI427" s="108">
        <f t="shared" si="81"/>
        <v>0</v>
      </c>
      <c r="AJ427" s="108">
        <f t="shared" si="82"/>
        <v>0</v>
      </c>
      <c r="AK427" s="108">
        <f>IF($A427="",0,IF(AND($S427=1,$W427=1,$X427=1,$U427&gt;Config!$C$9),1,0))</f>
        <v>0</v>
      </c>
      <c r="AL427" s="108">
        <f t="shared" si="83"/>
        <v>0</v>
      </c>
    </row>
    <row r="428" spans="1:38" x14ac:dyDescent="0.25">
      <c r="A428" s="106" t="s">
        <v>660</v>
      </c>
      <c r="B428" s="106" t="s">
        <v>618</v>
      </c>
      <c r="C428" s="107">
        <v>46267</v>
      </c>
      <c r="D428" s="106" t="s">
        <v>712</v>
      </c>
      <c r="E428" s="106" t="s">
        <v>713</v>
      </c>
      <c r="F428" s="106" t="s">
        <v>714</v>
      </c>
      <c r="G428" s="106" t="s">
        <v>730</v>
      </c>
      <c r="H428" s="106" t="s">
        <v>631</v>
      </c>
      <c r="I428" s="106"/>
      <c r="J428" s="106"/>
      <c r="K428" s="106">
        <v>0.375</v>
      </c>
      <c r="L428" s="106">
        <v>0</v>
      </c>
      <c r="M428" s="106">
        <v>0</v>
      </c>
      <c r="N428" s="106"/>
      <c r="O428" s="106"/>
      <c r="P428" s="106">
        <v>0</v>
      </c>
      <c r="Q428" s="106" t="s">
        <v>1243</v>
      </c>
      <c r="S428" s="108">
        <f>IF($A428="","",COUNTIF(BPOworkers!$B$6:$B$105,$A428))</f>
        <v>0</v>
      </c>
      <c r="T428" s="109">
        <f>IF($A428="","",$K428*Config!$C$9)</f>
        <v>3</v>
      </c>
      <c r="U428" s="109">
        <f>IF($A428="","",IF(COUNTIF(Config!$C$21:$C$23,$H428)&gt;0,IFERROR(VALUE(LEFT(TRIM($Q428),FIND(" ",TRIM($Q428)&amp;" ")-1)),0),0))</f>
        <v>0</v>
      </c>
      <c r="V428" s="109">
        <f t="shared" si="72"/>
        <v>3</v>
      </c>
      <c r="W428" s="108">
        <f>IF($A428="",0,IF(AND($C428&gt;=Config!$C$7,$C428&lt;=Config!$C$8),1,0))</f>
        <v>1</v>
      </c>
      <c r="X428" s="108">
        <f>IF($A428="",0,IF(COUNTIF(Config!$C$21:$C$23,$H428)&gt;0,1,0))</f>
        <v>0</v>
      </c>
      <c r="Y428" s="108">
        <f t="shared" si="73"/>
        <v>6</v>
      </c>
      <c r="Z428" s="108" t="str">
        <f t="shared" si="74"/>
        <v/>
      </c>
      <c r="AB428" s="108">
        <f t="shared" si="75"/>
        <v>0</v>
      </c>
      <c r="AC428" s="108">
        <f>IF($A428="",0,IF(AND($AB428=1,COUNTIF($A$2:$A428,$A428)=1),1,0))</f>
        <v>0</v>
      </c>
      <c r="AD428" s="108">
        <f t="shared" si="76"/>
        <v>1</v>
      </c>
      <c r="AE428" s="108" t="str">
        <f t="shared" si="77"/>
        <v/>
      </c>
      <c r="AF428" s="108">
        <f t="shared" si="78"/>
        <v>0</v>
      </c>
      <c r="AG428" s="108">
        <f t="shared" si="79"/>
        <v>0</v>
      </c>
      <c r="AH428" s="110" t="str">
        <f t="shared" si="80"/>
        <v>L. Yasir|20260902|Title|0.375|Searched for documents and inputted documents related to this AOI.</v>
      </c>
      <c r="AI428" s="108">
        <f t="shared" si="81"/>
        <v>0</v>
      </c>
      <c r="AJ428" s="108">
        <f t="shared" si="82"/>
        <v>0</v>
      </c>
      <c r="AK428" s="108">
        <f>IF($A428="",0,IF(AND($S428=1,$W428=1,$X428=1,$U428&gt;Config!$C$9),1,0))</f>
        <v>0</v>
      </c>
      <c r="AL428" s="108">
        <f t="shared" si="83"/>
        <v>0</v>
      </c>
    </row>
    <row r="429" spans="1:38" x14ac:dyDescent="0.25">
      <c r="A429" s="106" t="s">
        <v>660</v>
      </c>
      <c r="B429" s="106" t="s">
        <v>618</v>
      </c>
      <c r="C429" s="107">
        <v>46267</v>
      </c>
      <c r="D429" s="106" t="s">
        <v>712</v>
      </c>
      <c r="E429" s="106" t="s">
        <v>713</v>
      </c>
      <c r="F429" s="106" t="s">
        <v>866</v>
      </c>
      <c r="G429" s="106" t="s">
        <v>939</v>
      </c>
      <c r="H429" s="106" t="s">
        <v>639</v>
      </c>
      <c r="I429" s="106"/>
      <c r="J429" s="106"/>
      <c r="K429" s="106">
        <v>0.375</v>
      </c>
      <c r="L429" s="106">
        <v>0</v>
      </c>
      <c r="M429" s="106">
        <v>0</v>
      </c>
      <c r="N429" s="106"/>
      <c r="O429" s="106"/>
      <c r="P429" s="106">
        <v>0</v>
      </c>
      <c r="Q429" s="106" t="s">
        <v>940</v>
      </c>
      <c r="S429" s="108">
        <f>IF($A429="","",COUNTIF(BPOworkers!$B$6:$B$105,$A429))</f>
        <v>0</v>
      </c>
      <c r="T429" s="109">
        <f>IF($A429="","",$K429*Config!$C$9)</f>
        <v>3</v>
      </c>
      <c r="U429" s="109">
        <f>IF($A429="","",IF(COUNTIF(Config!$C$21:$C$23,$H429)&gt;0,IFERROR(VALUE(LEFT(TRIM($Q429),FIND(" ",TRIM($Q429)&amp;" ")-1)),0),0))</f>
        <v>0</v>
      </c>
      <c r="V429" s="109">
        <f t="shared" si="72"/>
        <v>3</v>
      </c>
      <c r="W429" s="108">
        <f>IF($A429="",0,IF(AND($C429&gt;=Config!$C$7,$C429&lt;=Config!$C$8),1,0))</f>
        <v>1</v>
      </c>
      <c r="X429" s="108">
        <f>IF($A429="",0,IF(COUNTIF(Config!$C$21:$C$23,$H429)&gt;0,1,0))</f>
        <v>0</v>
      </c>
      <c r="Y429" s="108">
        <f t="shared" si="73"/>
        <v>6</v>
      </c>
      <c r="Z429" s="108" t="str">
        <f t="shared" si="74"/>
        <v/>
      </c>
      <c r="AB429" s="108">
        <f t="shared" si="75"/>
        <v>0</v>
      </c>
      <c r="AC429" s="108">
        <f>IF($A429="",0,IF(AND($AB429=1,COUNTIF($A$2:$A429,$A429)=1),1,0))</f>
        <v>0</v>
      </c>
      <c r="AD429" s="108">
        <f t="shared" si="76"/>
        <v>1</v>
      </c>
      <c r="AE429" s="108" t="str">
        <f t="shared" si="77"/>
        <v/>
      </c>
      <c r="AF429" s="108">
        <f t="shared" si="78"/>
        <v>0</v>
      </c>
      <c r="AG429" s="108">
        <f t="shared" si="79"/>
        <v>0</v>
      </c>
      <c r="AH429" s="110" t="str">
        <f t="shared" si="80"/>
        <v>L. Yasir|20260902|Review|0.375|Reviewed this AOI.</v>
      </c>
      <c r="AI429" s="108">
        <f t="shared" si="81"/>
        <v>0</v>
      </c>
      <c r="AJ429" s="108">
        <f t="shared" si="82"/>
        <v>0</v>
      </c>
      <c r="AK429" s="108">
        <f>IF($A429="",0,IF(AND($S429=1,$W429=1,$X429=1,$U429&gt;Config!$C$9),1,0))</f>
        <v>0</v>
      </c>
      <c r="AL429" s="108">
        <f t="shared" si="83"/>
        <v>0</v>
      </c>
    </row>
    <row r="430" spans="1:38" x14ac:dyDescent="0.25">
      <c r="A430" s="106" t="s">
        <v>660</v>
      </c>
      <c r="B430" s="106" t="s">
        <v>618</v>
      </c>
      <c r="C430" s="107">
        <v>46267</v>
      </c>
      <c r="D430" s="106" t="s">
        <v>529</v>
      </c>
      <c r="E430" s="106" t="s">
        <v>529</v>
      </c>
      <c r="F430" s="106" t="s">
        <v>615</v>
      </c>
      <c r="G430" s="106"/>
      <c r="H430" s="106" t="s">
        <v>529</v>
      </c>
      <c r="I430" s="106"/>
      <c r="J430" s="106"/>
      <c r="K430" s="106">
        <v>0</v>
      </c>
      <c r="L430" s="106">
        <v>0</v>
      </c>
      <c r="M430" s="106">
        <v>0</v>
      </c>
      <c r="N430" s="106"/>
      <c r="O430" s="106"/>
      <c r="P430" s="106">
        <v>0</v>
      </c>
      <c r="Q430" s="106" t="s">
        <v>1137</v>
      </c>
      <c r="S430" s="108">
        <f>IF($A430="","",COUNTIF(BPOworkers!$B$6:$B$105,$A430))</f>
        <v>0</v>
      </c>
      <c r="T430" s="109">
        <f>IF($A430="","",$K430*Config!$C$9)</f>
        <v>0</v>
      </c>
      <c r="U430" s="109">
        <f>IF($A430="","",IF(COUNTIF(Config!$C$21:$C$23,$H430)&gt;0,IFERROR(VALUE(LEFT(TRIM($Q430),FIND(" ",TRIM($Q430)&amp;" ")-1)),0),0))</f>
        <v>2</v>
      </c>
      <c r="V430" s="109">
        <f t="shared" si="72"/>
        <v>2</v>
      </c>
      <c r="W430" s="108">
        <f>IF($A430="",0,IF(AND($C430&gt;=Config!$C$7,$C430&lt;=Config!$C$8),1,0))</f>
        <v>1</v>
      </c>
      <c r="X430" s="108">
        <f>IF($A430="",0,IF(COUNTIF(Config!$C$21:$C$23,$H430)&gt;0,1,0))</f>
        <v>1</v>
      </c>
      <c r="Y430" s="108">
        <f t="shared" si="73"/>
        <v>6</v>
      </c>
      <c r="Z430" s="108" t="str">
        <f t="shared" si="74"/>
        <v/>
      </c>
      <c r="AB430" s="108">
        <f t="shared" si="75"/>
        <v>0</v>
      </c>
      <c r="AC430" s="108">
        <f>IF($A430="",0,IF(AND($AB430=1,COUNTIF($A$2:$A430,$A430)=1),1,0))</f>
        <v>0</v>
      </c>
      <c r="AD430" s="108">
        <f t="shared" si="76"/>
        <v>1</v>
      </c>
      <c r="AE430" s="108" t="str">
        <f t="shared" si="77"/>
        <v/>
      </c>
      <c r="AF430" s="108">
        <f t="shared" si="78"/>
        <v>0</v>
      </c>
      <c r="AG430" s="108">
        <f t="shared" si="79"/>
        <v>0</v>
      </c>
      <c r="AH430" s="110" t="str">
        <f t="shared" si="80"/>
        <v>L. Yasir|20260902|Time Off|0.000|2 hours not billed</v>
      </c>
      <c r="AI430" s="108">
        <f t="shared" si="81"/>
        <v>0</v>
      </c>
      <c r="AJ430" s="108">
        <f t="shared" si="82"/>
        <v>0</v>
      </c>
      <c r="AK430" s="108">
        <f>IF($A430="",0,IF(AND($S430=1,$W430=1,$X430=1,$U430&gt;Config!$C$9),1,0))</f>
        <v>0</v>
      </c>
      <c r="AL430" s="108">
        <f t="shared" si="83"/>
        <v>0</v>
      </c>
    </row>
    <row r="431" spans="1:38" x14ac:dyDescent="0.25">
      <c r="A431" s="106" t="s">
        <v>662</v>
      </c>
      <c r="B431" s="106" t="s">
        <v>618</v>
      </c>
      <c r="C431" s="107">
        <v>46267</v>
      </c>
      <c r="D431" s="106" t="s">
        <v>529</v>
      </c>
      <c r="E431" s="106" t="s">
        <v>529</v>
      </c>
      <c r="F431" s="106" t="s">
        <v>615</v>
      </c>
      <c r="G431" s="106"/>
      <c r="H431" s="106" t="s">
        <v>529</v>
      </c>
      <c r="I431" s="106"/>
      <c r="J431" s="106"/>
      <c r="K431" s="106">
        <v>0</v>
      </c>
      <c r="L431" s="106">
        <v>0</v>
      </c>
      <c r="M431" s="106">
        <v>0</v>
      </c>
      <c r="N431" s="106"/>
      <c r="O431" s="106"/>
      <c r="P431" s="106">
        <v>0</v>
      </c>
      <c r="Q431" s="106" t="s">
        <v>661</v>
      </c>
      <c r="S431" s="108">
        <f>IF($A431="","",COUNTIF(BPOworkers!$B$6:$B$105,$A431))</f>
        <v>0</v>
      </c>
      <c r="T431" s="109">
        <f>IF($A431="","",$K431*Config!$C$9)</f>
        <v>0</v>
      </c>
      <c r="U431" s="109">
        <f>IF($A431="","",IF(COUNTIF(Config!$C$21:$C$23,$H431)&gt;0,IFERROR(VALUE(LEFT(TRIM($Q431),FIND(" ",TRIM($Q431)&amp;" ")-1)),0),0))</f>
        <v>8</v>
      </c>
      <c r="V431" s="109">
        <f t="shared" si="72"/>
        <v>8</v>
      </c>
      <c r="W431" s="108">
        <f>IF($A431="",0,IF(AND($C431&gt;=Config!$C$7,$C431&lt;=Config!$C$8),1,0))</f>
        <v>1</v>
      </c>
      <c r="X431" s="108">
        <f>IF($A431="",0,IF(COUNTIF(Config!$C$21:$C$23,$H431)&gt;0,1,0))</f>
        <v>1</v>
      </c>
      <c r="Y431" s="108">
        <f t="shared" si="73"/>
        <v>6</v>
      </c>
      <c r="Z431" s="108" t="str">
        <f t="shared" si="74"/>
        <v/>
      </c>
      <c r="AB431" s="108">
        <f t="shared" si="75"/>
        <v>0</v>
      </c>
      <c r="AC431" s="108">
        <f>IF($A431="",0,IF(AND($AB431=1,COUNTIF($A$2:$A431,$A431)=1),1,0))</f>
        <v>0</v>
      </c>
      <c r="AD431" s="108">
        <f t="shared" si="76"/>
        <v>1</v>
      </c>
      <c r="AE431" s="108" t="str">
        <f t="shared" si="77"/>
        <v/>
      </c>
      <c r="AF431" s="108">
        <f t="shared" si="78"/>
        <v>0</v>
      </c>
      <c r="AG431" s="108">
        <f t="shared" si="79"/>
        <v>0</v>
      </c>
      <c r="AH431" s="110" t="str">
        <f t="shared" si="80"/>
        <v>M. Svatek|20260902|Time Off|0.000|8 hours not billed</v>
      </c>
      <c r="AI431" s="108">
        <f t="shared" si="81"/>
        <v>0</v>
      </c>
      <c r="AJ431" s="108">
        <f t="shared" si="82"/>
        <v>0</v>
      </c>
      <c r="AK431" s="108">
        <f>IF($A431="",0,IF(AND($S431=1,$W431=1,$X431=1,$U431&gt;Config!$C$9),1,0))</f>
        <v>0</v>
      </c>
      <c r="AL431" s="108">
        <f t="shared" si="83"/>
        <v>0</v>
      </c>
    </row>
    <row r="432" spans="1:38" x14ac:dyDescent="0.25">
      <c r="A432" s="106" t="s">
        <v>942</v>
      </c>
      <c r="B432" s="106" t="s">
        <v>618</v>
      </c>
      <c r="C432" s="107">
        <v>46267</v>
      </c>
      <c r="D432" s="106" t="s">
        <v>635</v>
      </c>
      <c r="E432" s="106" t="s">
        <v>636</v>
      </c>
      <c r="F432" s="106" t="s">
        <v>943</v>
      </c>
      <c r="G432" s="106"/>
      <c r="H432" s="106" t="s">
        <v>639</v>
      </c>
      <c r="I432" s="106"/>
      <c r="J432" s="106" t="s">
        <v>807</v>
      </c>
      <c r="K432" s="106">
        <v>1</v>
      </c>
      <c r="L432" s="106">
        <v>0</v>
      </c>
      <c r="M432" s="106">
        <v>0</v>
      </c>
      <c r="N432" s="106"/>
      <c r="O432" s="106"/>
      <c r="P432" s="106">
        <v>0</v>
      </c>
      <c r="Q432" s="106" t="s">
        <v>639</v>
      </c>
      <c r="S432" s="108">
        <f>IF($A432="","",COUNTIF(BPOworkers!$B$6:$B$105,$A432))</f>
        <v>0</v>
      </c>
      <c r="T432" s="109">
        <f>IF($A432="","",$K432*Config!$C$9)</f>
        <v>8</v>
      </c>
      <c r="U432" s="109">
        <f>IF($A432="","",IF(COUNTIF(Config!$C$21:$C$23,$H432)&gt;0,IFERROR(VALUE(LEFT(TRIM($Q432),FIND(" ",TRIM($Q432)&amp;" ")-1)),0),0))</f>
        <v>0</v>
      </c>
      <c r="V432" s="109">
        <f t="shared" si="72"/>
        <v>8</v>
      </c>
      <c r="W432" s="108">
        <f>IF($A432="",0,IF(AND($C432&gt;=Config!$C$7,$C432&lt;=Config!$C$8),1,0))</f>
        <v>1</v>
      </c>
      <c r="X432" s="108">
        <f>IF($A432="",0,IF(COUNTIF(Config!$C$21:$C$23,$H432)&gt;0,1,0))</f>
        <v>0</v>
      </c>
      <c r="Y432" s="108">
        <f t="shared" si="73"/>
        <v>6</v>
      </c>
      <c r="Z432" s="108" t="str">
        <f t="shared" si="74"/>
        <v/>
      </c>
      <c r="AB432" s="108">
        <f t="shared" si="75"/>
        <v>0</v>
      </c>
      <c r="AC432" s="108">
        <f>IF($A432="",0,IF(AND($AB432=1,COUNTIF($A$2:$A432,$A432)=1),1,0))</f>
        <v>0</v>
      </c>
      <c r="AD432" s="108">
        <f t="shared" si="76"/>
        <v>1</v>
      </c>
      <c r="AE432" s="108" t="str">
        <f t="shared" si="77"/>
        <v/>
      </c>
      <c r="AF432" s="108">
        <f t="shared" si="78"/>
        <v>0</v>
      </c>
      <c r="AG432" s="108">
        <f t="shared" si="79"/>
        <v>0</v>
      </c>
      <c r="AH432" s="110" t="str">
        <f t="shared" si="80"/>
        <v>J. Warlick|20260902|Review|1.000|Review</v>
      </c>
      <c r="AI432" s="108">
        <f t="shared" si="81"/>
        <v>0</v>
      </c>
      <c r="AJ432" s="108">
        <f t="shared" si="82"/>
        <v>0</v>
      </c>
      <c r="AK432" s="108">
        <f>IF($A432="",0,IF(AND($S432=1,$W432=1,$X432=1,$U432&gt;Config!$C$9),1,0))</f>
        <v>0</v>
      </c>
      <c r="AL432" s="108">
        <f t="shared" si="83"/>
        <v>0</v>
      </c>
    </row>
    <row r="433" spans="1:38" x14ac:dyDescent="0.25">
      <c r="A433" s="106" t="s">
        <v>942</v>
      </c>
      <c r="B433" s="106" t="s">
        <v>618</v>
      </c>
      <c r="C433" s="107">
        <v>46267</v>
      </c>
      <c r="D433" s="106" t="s">
        <v>635</v>
      </c>
      <c r="E433" s="106" t="s">
        <v>636</v>
      </c>
      <c r="F433" s="106" t="s">
        <v>943</v>
      </c>
      <c r="G433" s="106"/>
      <c r="H433" s="106" t="s">
        <v>639</v>
      </c>
      <c r="I433" s="106"/>
      <c r="J433" s="106" t="s">
        <v>807</v>
      </c>
      <c r="K433" s="106">
        <v>0.5</v>
      </c>
      <c r="L433" s="106">
        <v>0</v>
      </c>
      <c r="M433" s="106">
        <v>0</v>
      </c>
      <c r="N433" s="106"/>
      <c r="O433" s="106"/>
      <c r="P433" s="106">
        <v>0</v>
      </c>
      <c r="Q433" s="106" t="s">
        <v>639</v>
      </c>
      <c r="S433" s="108">
        <f>IF($A433="","",COUNTIF(BPOworkers!$B$6:$B$105,$A433))</f>
        <v>0</v>
      </c>
      <c r="T433" s="109">
        <f>IF($A433="","",$K433*Config!$C$9)</f>
        <v>4</v>
      </c>
      <c r="U433" s="109">
        <f>IF($A433="","",IF(COUNTIF(Config!$C$21:$C$23,$H433)&gt;0,IFERROR(VALUE(LEFT(TRIM($Q433),FIND(" ",TRIM($Q433)&amp;" ")-1)),0),0))</f>
        <v>0</v>
      </c>
      <c r="V433" s="109">
        <f t="shared" si="72"/>
        <v>4</v>
      </c>
      <c r="W433" s="108">
        <f>IF($A433="",0,IF(AND($C433&gt;=Config!$C$7,$C433&lt;=Config!$C$8),1,0))</f>
        <v>1</v>
      </c>
      <c r="X433" s="108">
        <f>IF($A433="",0,IF(COUNTIF(Config!$C$21:$C$23,$H433)&gt;0,1,0))</f>
        <v>0</v>
      </c>
      <c r="Y433" s="108">
        <f t="shared" si="73"/>
        <v>6</v>
      </c>
      <c r="Z433" s="108" t="str">
        <f t="shared" si="74"/>
        <v/>
      </c>
      <c r="AB433" s="108">
        <f t="shared" si="75"/>
        <v>0</v>
      </c>
      <c r="AC433" s="108">
        <f>IF($A433="",0,IF(AND($AB433=1,COUNTIF($A$2:$A433,$A433)=1),1,0))</f>
        <v>0</v>
      </c>
      <c r="AD433" s="108">
        <f t="shared" si="76"/>
        <v>1</v>
      </c>
      <c r="AE433" s="108" t="str">
        <f t="shared" si="77"/>
        <v/>
      </c>
      <c r="AF433" s="108">
        <f t="shared" si="78"/>
        <v>0</v>
      </c>
      <c r="AG433" s="108">
        <f t="shared" si="79"/>
        <v>0</v>
      </c>
      <c r="AH433" s="110" t="str">
        <f t="shared" si="80"/>
        <v>J. Warlick|20260902|Review|0.500|Review</v>
      </c>
      <c r="AI433" s="108">
        <f t="shared" si="81"/>
        <v>0</v>
      </c>
      <c r="AJ433" s="108">
        <f t="shared" si="82"/>
        <v>0</v>
      </c>
      <c r="AK433" s="108">
        <f>IF($A433="",0,IF(AND($S433=1,$W433=1,$X433=1,$U433&gt;Config!$C$9),1,0))</f>
        <v>0</v>
      </c>
      <c r="AL433" s="108">
        <f t="shared" si="83"/>
        <v>0</v>
      </c>
    </row>
    <row r="434" spans="1:38" x14ac:dyDescent="0.25">
      <c r="A434" s="106" t="s">
        <v>663</v>
      </c>
      <c r="B434" s="106" t="s">
        <v>618</v>
      </c>
      <c r="C434" s="107">
        <v>46267</v>
      </c>
      <c r="D434" s="106" t="s">
        <v>635</v>
      </c>
      <c r="E434" s="106" t="s">
        <v>636</v>
      </c>
      <c r="F434" s="106" t="s">
        <v>637</v>
      </c>
      <c r="G434" s="106" t="s">
        <v>1244</v>
      </c>
      <c r="H434" s="106" t="s">
        <v>639</v>
      </c>
      <c r="I434" s="106"/>
      <c r="J434" s="106"/>
      <c r="K434" s="106">
        <v>1</v>
      </c>
      <c r="L434" s="106">
        <v>0</v>
      </c>
      <c r="M434" s="106">
        <v>0</v>
      </c>
      <c r="N434" s="106"/>
      <c r="O434" s="106"/>
      <c r="P434" s="106">
        <v>0</v>
      </c>
      <c r="Q434" s="106" t="s">
        <v>1245</v>
      </c>
      <c r="S434" s="108">
        <f>IF($A434="","",COUNTIF(BPOworkers!$B$6:$B$105,$A434))</f>
        <v>0</v>
      </c>
      <c r="T434" s="109">
        <f>IF($A434="","",$K434*Config!$C$9)</f>
        <v>8</v>
      </c>
      <c r="U434" s="109">
        <f>IF($A434="","",IF(COUNTIF(Config!$C$21:$C$23,$H434)&gt;0,IFERROR(VALUE(LEFT(TRIM($Q434),FIND(" ",TRIM($Q434)&amp;" ")-1)),0),0))</f>
        <v>0</v>
      </c>
      <c r="V434" s="109">
        <f t="shared" si="72"/>
        <v>8</v>
      </c>
      <c r="W434" s="108">
        <f>IF($A434="",0,IF(AND($C434&gt;=Config!$C$7,$C434&lt;=Config!$C$8),1,0))</f>
        <v>1</v>
      </c>
      <c r="X434" s="108">
        <f>IF($A434="",0,IF(COUNTIF(Config!$C$21:$C$23,$H434)&gt;0,1,0))</f>
        <v>0</v>
      </c>
      <c r="Y434" s="108">
        <f t="shared" si="73"/>
        <v>6</v>
      </c>
      <c r="Z434" s="108" t="str">
        <f t="shared" si="74"/>
        <v/>
      </c>
      <c r="AB434" s="108">
        <f t="shared" si="75"/>
        <v>0</v>
      </c>
      <c r="AC434" s="108">
        <f>IF($A434="",0,IF(AND($AB434=1,COUNTIF($A$2:$A434,$A434)=1),1,0))</f>
        <v>0</v>
      </c>
      <c r="AD434" s="108">
        <f t="shared" si="76"/>
        <v>1</v>
      </c>
      <c r="AE434" s="108" t="str">
        <f t="shared" si="77"/>
        <v/>
      </c>
      <c r="AF434" s="108">
        <f t="shared" si="78"/>
        <v>0</v>
      </c>
      <c r="AG434" s="108">
        <f t="shared" si="79"/>
        <v>0</v>
      </c>
      <c r="AH434" s="110" t="str">
        <f t="shared" si="80"/>
        <v>J. Jinkins|20260902|Review|1.000|Reviewing NMNM105463682 (NMLC 0068379), and working on ORRI and WI as instructed.</v>
      </c>
      <c r="AI434" s="108">
        <f t="shared" si="81"/>
        <v>0</v>
      </c>
      <c r="AJ434" s="108">
        <f t="shared" si="82"/>
        <v>0</v>
      </c>
      <c r="AK434" s="108">
        <f>IF($A434="",0,IF(AND($S434=1,$W434=1,$X434=1,$U434&gt;Config!$C$9),1,0))</f>
        <v>0</v>
      </c>
      <c r="AL434" s="108">
        <f t="shared" si="83"/>
        <v>0</v>
      </c>
    </row>
    <row r="435" spans="1:38" x14ac:dyDescent="0.25">
      <c r="A435" s="106" t="s">
        <v>946</v>
      </c>
      <c r="B435" s="106" t="s">
        <v>618</v>
      </c>
      <c r="C435" s="107">
        <v>46267</v>
      </c>
      <c r="D435" s="106" t="s">
        <v>680</v>
      </c>
      <c r="E435" s="106" t="s">
        <v>681</v>
      </c>
      <c r="F435" s="106" t="s">
        <v>893</v>
      </c>
      <c r="G435" s="106" t="s">
        <v>894</v>
      </c>
      <c r="H435" s="106" t="s">
        <v>656</v>
      </c>
      <c r="I435" s="106"/>
      <c r="J435" s="106"/>
      <c r="K435" s="106">
        <v>0.5</v>
      </c>
      <c r="L435" s="106">
        <v>0</v>
      </c>
      <c r="M435" s="106">
        <v>0</v>
      </c>
      <c r="N435" s="106"/>
      <c r="O435" s="106"/>
      <c r="P435" s="106">
        <v>0</v>
      </c>
      <c r="Q435" s="106" t="s">
        <v>1246</v>
      </c>
      <c r="S435" s="108">
        <f>IF($A435="","",COUNTIF(BPOworkers!$B$6:$B$105,$A435))</f>
        <v>0</v>
      </c>
      <c r="T435" s="109">
        <f>IF($A435="","",$K435*Config!$C$9)</f>
        <v>4</v>
      </c>
      <c r="U435" s="109">
        <f>IF($A435="","",IF(COUNTIF(Config!$C$21:$C$23,$H435)&gt;0,IFERROR(VALUE(LEFT(TRIM($Q435),FIND(" ",TRIM($Q435)&amp;" ")-1)),0),0))</f>
        <v>0</v>
      </c>
      <c r="V435" s="109">
        <f t="shared" si="72"/>
        <v>4</v>
      </c>
      <c r="W435" s="108">
        <f>IF($A435="",0,IF(AND($C435&gt;=Config!$C$7,$C435&lt;=Config!$C$8),1,0))</f>
        <v>1</v>
      </c>
      <c r="X435" s="108">
        <f>IF($A435="",0,IF(COUNTIF(Config!$C$21:$C$23,$H435)&gt;0,1,0))</f>
        <v>0</v>
      </c>
      <c r="Y435" s="108">
        <f t="shared" si="73"/>
        <v>6</v>
      </c>
      <c r="Z435" s="108" t="str">
        <f t="shared" si="74"/>
        <v/>
      </c>
      <c r="AB435" s="108">
        <f t="shared" si="75"/>
        <v>0</v>
      </c>
      <c r="AC435" s="108">
        <f>IF($A435="",0,IF(AND($AB435=1,COUNTIF($A$2:$A435,$A435)=1),1,0))</f>
        <v>0</v>
      </c>
      <c r="AD435" s="108">
        <f t="shared" si="76"/>
        <v>1</v>
      </c>
      <c r="AE435" s="108" t="str">
        <f t="shared" si="77"/>
        <v/>
      </c>
      <c r="AF435" s="108">
        <f t="shared" si="78"/>
        <v>0</v>
      </c>
      <c r="AG435" s="108">
        <f t="shared" si="79"/>
        <v>0</v>
      </c>
      <c r="AH435" s="110" t="str">
        <f t="shared" si="80"/>
        <v>L. Carollo|20260902|Project Management|0.500|Onboarding; assisting team with questions and assignments.</v>
      </c>
      <c r="AI435" s="108">
        <f t="shared" si="81"/>
        <v>0</v>
      </c>
      <c r="AJ435" s="108">
        <f t="shared" si="82"/>
        <v>0</v>
      </c>
      <c r="AK435" s="108">
        <f>IF($A435="",0,IF(AND($S435=1,$W435=1,$X435=1,$U435&gt;Config!$C$9),1,0))</f>
        <v>0</v>
      </c>
      <c r="AL435" s="108">
        <f t="shared" si="83"/>
        <v>0</v>
      </c>
    </row>
    <row r="436" spans="1:38" x14ac:dyDescent="0.25">
      <c r="A436" s="106" t="s">
        <v>946</v>
      </c>
      <c r="B436" s="106" t="s">
        <v>618</v>
      </c>
      <c r="C436" s="107">
        <v>46267</v>
      </c>
      <c r="D436" s="106" t="s">
        <v>623</v>
      </c>
      <c r="E436" s="106" t="s">
        <v>128</v>
      </c>
      <c r="F436" s="106" t="s">
        <v>615</v>
      </c>
      <c r="G436" s="106"/>
      <c r="H436" s="106" t="s">
        <v>819</v>
      </c>
      <c r="I436" s="106"/>
      <c r="J436" s="106"/>
      <c r="K436" s="106">
        <v>0.5</v>
      </c>
      <c r="L436" s="106">
        <v>0</v>
      </c>
      <c r="M436" s="106">
        <v>0</v>
      </c>
      <c r="N436" s="106"/>
      <c r="O436" s="106"/>
      <c r="P436" s="106">
        <v>0</v>
      </c>
      <c r="Q436" s="106" t="s">
        <v>948</v>
      </c>
      <c r="S436" s="108">
        <f>IF($A436="","",COUNTIF(BPOworkers!$B$6:$B$105,$A436))</f>
        <v>0</v>
      </c>
      <c r="T436" s="109">
        <f>IF($A436="","",$K436*Config!$C$9)</f>
        <v>4</v>
      </c>
      <c r="U436" s="109">
        <f>IF($A436="","",IF(COUNTIF(Config!$C$21:$C$23,$H436)&gt;0,IFERROR(VALUE(LEFT(TRIM($Q436),FIND(" ",TRIM($Q436)&amp;" ")-1)),0),0))</f>
        <v>0</v>
      </c>
      <c r="V436" s="109">
        <f t="shared" si="72"/>
        <v>4</v>
      </c>
      <c r="W436" s="108">
        <f>IF($A436="",0,IF(AND($C436&gt;=Config!$C$7,$C436&lt;=Config!$C$8),1,0))</f>
        <v>1</v>
      </c>
      <c r="X436" s="108">
        <f>IF($A436="",0,IF(COUNTIF(Config!$C$21:$C$23,$H436)&gt;0,1,0))</f>
        <v>0</v>
      </c>
      <c r="Y436" s="108">
        <f t="shared" si="73"/>
        <v>6</v>
      </c>
      <c r="Z436" s="108" t="str">
        <f t="shared" si="74"/>
        <v/>
      </c>
      <c r="AB436" s="108">
        <f t="shared" si="75"/>
        <v>0</v>
      </c>
      <c r="AC436" s="108">
        <f>IF($A436="",0,IF(AND($AB436=1,COUNTIF($A$2:$A436,$A436)=1),1,0))</f>
        <v>0</v>
      </c>
      <c r="AD436" s="108">
        <f t="shared" si="76"/>
        <v>1</v>
      </c>
      <c r="AE436" s="108" t="str">
        <f t="shared" si="77"/>
        <v/>
      </c>
      <c r="AF436" s="108">
        <f t="shared" si="78"/>
        <v>0</v>
      </c>
      <c r="AG436" s="108">
        <f t="shared" si="79"/>
        <v>0</v>
      </c>
      <c r="AH436" s="110" t="str">
        <f t="shared" si="80"/>
        <v>L. Carollo|20260902|Training - BPO|0.500|Worked on training materials, assisted training team</v>
      </c>
      <c r="AI436" s="108">
        <f t="shared" si="81"/>
        <v>0</v>
      </c>
      <c r="AJ436" s="108">
        <f t="shared" si="82"/>
        <v>0</v>
      </c>
      <c r="AK436" s="108">
        <f>IF($A436="",0,IF(AND($S436=1,$W436=1,$X436=1,$U436&gt;Config!$C$9),1,0))</f>
        <v>0</v>
      </c>
      <c r="AL436" s="108">
        <f t="shared" si="83"/>
        <v>0</v>
      </c>
    </row>
    <row r="437" spans="1:38" x14ac:dyDescent="0.25">
      <c r="A437" s="106" t="s">
        <v>665</v>
      </c>
      <c r="B437" s="106" t="s">
        <v>618</v>
      </c>
      <c r="C437" s="107">
        <v>46267</v>
      </c>
      <c r="D437" s="106" t="s">
        <v>635</v>
      </c>
      <c r="E437" s="106" t="s">
        <v>636</v>
      </c>
      <c r="F437" s="106" t="s">
        <v>637</v>
      </c>
      <c r="G437" s="106" t="s">
        <v>1244</v>
      </c>
      <c r="H437" s="106" t="s">
        <v>639</v>
      </c>
      <c r="I437" s="106"/>
      <c r="J437" s="106" t="s">
        <v>1247</v>
      </c>
      <c r="K437" s="106">
        <v>0.375</v>
      </c>
      <c r="L437" s="106">
        <v>0</v>
      </c>
      <c r="M437" s="106">
        <v>0</v>
      </c>
      <c r="N437" s="106"/>
      <c r="O437" s="106"/>
      <c r="P437" s="106">
        <v>0</v>
      </c>
      <c r="Q437" s="106" t="s">
        <v>1248</v>
      </c>
      <c r="S437" s="108">
        <f>IF($A437="","",COUNTIF(BPOworkers!$B$6:$B$105,$A437))</f>
        <v>0</v>
      </c>
      <c r="T437" s="109">
        <f>IF($A437="","",$K437*Config!$C$9)</f>
        <v>3</v>
      </c>
      <c r="U437" s="109">
        <f>IF($A437="","",IF(COUNTIF(Config!$C$21:$C$23,$H437)&gt;0,IFERROR(VALUE(LEFT(TRIM($Q437),FIND(" ",TRIM($Q437)&amp;" ")-1)),0),0))</f>
        <v>0</v>
      </c>
      <c r="V437" s="109">
        <f t="shared" si="72"/>
        <v>3</v>
      </c>
      <c r="W437" s="108">
        <f>IF($A437="",0,IF(AND($C437&gt;=Config!$C$7,$C437&lt;=Config!$C$8),1,0))</f>
        <v>1</v>
      </c>
      <c r="X437" s="108">
        <f>IF($A437="",0,IF(COUNTIF(Config!$C$21:$C$23,$H437)&gt;0,1,0))</f>
        <v>0</v>
      </c>
      <c r="Y437" s="108">
        <f t="shared" si="73"/>
        <v>6</v>
      </c>
      <c r="Z437" s="108" t="str">
        <f t="shared" si="74"/>
        <v/>
      </c>
      <c r="AB437" s="108">
        <f t="shared" si="75"/>
        <v>0</v>
      </c>
      <c r="AC437" s="108">
        <f>IF($A437="",0,IF(AND($AB437=1,COUNTIF($A$2:$A437,$A437)=1),1,0))</f>
        <v>0</v>
      </c>
      <c r="AD437" s="108">
        <f t="shared" si="76"/>
        <v>1</v>
      </c>
      <c r="AE437" s="108" t="str">
        <f t="shared" si="77"/>
        <v/>
      </c>
      <c r="AF437" s="108">
        <f t="shared" si="78"/>
        <v>0</v>
      </c>
      <c r="AG437" s="108">
        <f t="shared" si="79"/>
        <v>0</v>
      </c>
      <c r="AH437" s="110" t="str">
        <f t="shared" si="80"/>
        <v>M. Tamez|20260902|Review|0.375|Assisted reviewer Justin Jinkins with locating and interpreting documents.</v>
      </c>
      <c r="AI437" s="108">
        <f t="shared" si="81"/>
        <v>0</v>
      </c>
      <c r="AJ437" s="108">
        <f t="shared" si="82"/>
        <v>0</v>
      </c>
      <c r="AK437" s="108">
        <f>IF($A437="",0,IF(AND($S437=1,$W437=1,$X437=1,$U437&gt;Config!$C$9),1,0))</f>
        <v>0</v>
      </c>
      <c r="AL437" s="108">
        <f t="shared" si="83"/>
        <v>0</v>
      </c>
    </row>
    <row r="438" spans="1:38" x14ac:dyDescent="0.25">
      <c r="A438" s="106" t="s">
        <v>665</v>
      </c>
      <c r="B438" s="106" t="s">
        <v>618</v>
      </c>
      <c r="C438" s="107">
        <v>46267</v>
      </c>
      <c r="D438" s="106" t="s">
        <v>635</v>
      </c>
      <c r="E438" s="106" t="s">
        <v>636</v>
      </c>
      <c r="F438" s="106" t="s">
        <v>637</v>
      </c>
      <c r="G438" s="106" t="s">
        <v>1244</v>
      </c>
      <c r="H438" s="106" t="s">
        <v>639</v>
      </c>
      <c r="I438" s="106"/>
      <c r="J438" s="106"/>
      <c r="K438" s="106">
        <v>0.625</v>
      </c>
      <c r="L438" s="106">
        <v>0</v>
      </c>
      <c r="M438" s="106">
        <v>0</v>
      </c>
      <c r="N438" s="106"/>
      <c r="O438" s="106"/>
      <c r="P438" s="106">
        <v>0</v>
      </c>
      <c r="Q438" s="106" t="s">
        <v>1111</v>
      </c>
      <c r="S438" s="108">
        <f>IF($A438="","",COUNTIF(BPOworkers!$B$6:$B$105,$A438))</f>
        <v>0</v>
      </c>
      <c r="T438" s="109">
        <f>IF($A438="","",$K438*Config!$C$9)</f>
        <v>5</v>
      </c>
      <c r="U438" s="109">
        <f>IF($A438="","",IF(COUNTIF(Config!$C$21:$C$23,$H438)&gt;0,IFERROR(VALUE(LEFT(TRIM($Q438),FIND(" ",TRIM($Q438)&amp;" ")-1)),0),0))</f>
        <v>0</v>
      </c>
      <c r="V438" s="109">
        <f t="shared" si="72"/>
        <v>5</v>
      </c>
      <c r="W438" s="108">
        <f>IF($A438="",0,IF(AND($C438&gt;=Config!$C$7,$C438&lt;=Config!$C$8),1,0))</f>
        <v>1</v>
      </c>
      <c r="X438" s="108">
        <f>IF($A438="",0,IF(COUNTIF(Config!$C$21:$C$23,$H438)&gt;0,1,0))</f>
        <v>0</v>
      </c>
      <c r="Y438" s="108">
        <f t="shared" si="73"/>
        <v>6</v>
      </c>
      <c r="Z438" s="108" t="str">
        <f t="shared" si="74"/>
        <v/>
      </c>
      <c r="AB438" s="108">
        <f t="shared" si="75"/>
        <v>0</v>
      </c>
      <c r="AC438" s="108">
        <f>IF($A438="",0,IF(AND($AB438=1,COUNTIF($A$2:$A438,$A438)=1),1,0))</f>
        <v>0</v>
      </c>
      <c r="AD438" s="108">
        <f t="shared" si="76"/>
        <v>1</v>
      </c>
      <c r="AE438" s="108" t="str">
        <f t="shared" si="77"/>
        <v/>
      </c>
      <c r="AF438" s="108">
        <f t="shared" si="78"/>
        <v>0</v>
      </c>
      <c r="AG438" s="108">
        <f t="shared" si="79"/>
        <v>0</v>
      </c>
      <c r="AH438" s="110" t="str">
        <f t="shared" si="80"/>
        <v>M. Tamez|20260902|Review|0.625|Went through previously reviewed AOIs and ran the current ORRI owners forward to present to catch any additional conveya</v>
      </c>
      <c r="AI438" s="108">
        <f t="shared" si="81"/>
        <v>0</v>
      </c>
      <c r="AJ438" s="108">
        <f t="shared" si="82"/>
        <v>0</v>
      </c>
      <c r="AK438" s="108">
        <f>IF($A438="",0,IF(AND($S438=1,$W438=1,$X438=1,$U438&gt;Config!$C$9),1,0))</f>
        <v>0</v>
      </c>
      <c r="AL438" s="108">
        <f t="shared" si="83"/>
        <v>0</v>
      </c>
    </row>
    <row r="439" spans="1:38" ht="156.75" x14ac:dyDescent="0.25">
      <c r="A439" s="106" t="s">
        <v>668</v>
      </c>
      <c r="B439" s="106" t="s">
        <v>614</v>
      </c>
      <c r="C439" s="107">
        <v>46267</v>
      </c>
      <c r="D439" s="106" t="s">
        <v>669</v>
      </c>
      <c r="E439" s="106" t="s">
        <v>669</v>
      </c>
      <c r="F439" s="106" t="s">
        <v>670</v>
      </c>
      <c r="G439" s="106"/>
      <c r="H439" s="106" t="s">
        <v>656</v>
      </c>
      <c r="I439" s="106"/>
      <c r="J439" s="106" t="s">
        <v>950</v>
      </c>
      <c r="K439" s="106">
        <v>1</v>
      </c>
      <c r="L439" s="106">
        <v>0</v>
      </c>
      <c r="M439" s="106">
        <v>0</v>
      </c>
      <c r="N439" s="106"/>
      <c r="O439" s="106"/>
      <c r="P439" s="106">
        <v>0</v>
      </c>
      <c r="Q439" s="111" t="s">
        <v>1249</v>
      </c>
      <c r="S439" s="108">
        <f>IF($A439="","",COUNTIF(BPOworkers!$B$6:$B$105,$A439))</f>
        <v>0</v>
      </c>
      <c r="T439" s="109">
        <f>IF($A439="","",$K439*Config!$C$9)</f>
        <v>8</v>
      </c>
      <c r="U439" s="109">
        <f>IF($A439="","",IF(COUNTIF(Config!$C$21:$C$23,$H439)&gt;0,IFERROR(VALUE(LEFT(TRIM($Q439),FIND(" ",TRIM($Q439)&amp;" ")-1)),0),0))</f>
        <v>0</v>
      </c>
      <c r="V439" s="109">
        <f t="shared" si="72"/>
        <v>8</v>
      </c>
      <c r="W439" s="108">
        <f>IF($A439="",0,IF(AND($C439&gt;=Config!$C$7,$C439&lt;=Config!$C$8),1,0))</f>
        <v>1</v>
      </c>
      <c r="X439" s="108">
        <f>IF($A439="",0,IF(COUNTIF(Config!$C$21:$C$23,$H439)&gt;0,1,0))</f>
        <v>0</v>
      </c>
      <c r="Y439" s="108">
        <f t="shared" si="73"/>
        <v>6</v>
      </c>
      <c r="Z439" s="108" t="str">
        <f t="shared" si="74"/>
        <v/>
      </c>
      <c r="AB439" s="108">
        <f t="shared" si="75"/>
        <v>0</v>
      </c>
      <c r="AC439" s="108">
        <f>IF($A439="",0,IF(AND($AB439=1,COUNTIF($A$2:$A439,$A439)=1),1,0))</f>
        <v>0</v>
      </c>
      <c r="AD439" s="108">
        <f t="shared" si="76"/>
        <v>1</v>
      </c>
      <c r="AE439" s="108" t="str">
        <f t="shared" si="77"/>
        <v/>
      </c>
      <c r="AF439" s="108">
        <f t="shared" si="78"/>
        <v>0</v>
      </c>
      <c r="AG439" s="108">
        <f t="shared" si="79"/>
        <v>0</v>
      </c>
      <c r="AH439" s="112" t="str">
        <f t="shared" si="80"/>
        <v>M. Bearrow|20260902|Project Management|1.000|Title notes analysis and management.
 46 Documents
 384 Transactions</v>
      </c>
      <c r="AI439" s="108">
        <f t="shared" si="81"/>
        <v>0</v>
      </c>
      <c r="AJ439" s="108">
        <f t="shared" si="82"/>
        <v>0</v>
      </c>
      <c r="AK439" s="108">
        <f>IF($A439="",0,IF(AND($S439=1,$W439=1,$X439=1,$U439&gt;Config!$C$9),1,0))</f>
        <v>0</v>
      </c>
      <c r="AL439" s="108">
        <f t="shared" si="83"/>
        <v>0</v>
      </c>
    </row>
    <row r="440" spans="1:38" x14ac:dyDescent="0.25">
      <c r="A440" s="106" t="s">
        <v>679</v>
      </c>
      <c r="B440" s="106" t="s">
        <v>618</v>
      </c>
      <c r="C440" s="107">
        <v>46267</v>
      </c>
      <c r="D440" s="106" t="s">
        <v>680</v>
      </c>
      <c r="E440" s="106" t="s">
        <v>681</v>
      </c>
      <c r="F440" s="106" t="s">
        <v>686</v>
      </c>
      <c r="G440" s="106" t="s">
        <v>1113</v>
      </c>
      <c r="H440" s="106" t="s">
        <v>631</v>
      </c>
      <c r="I440" s="106"/>
      <c r="J440" s="106" t="s">
        <v>1250</v>
      </c>
      <c r="K440" s="106">
        <v>1</v>
      </c>
      <c r="L440" s="106">
        <v>0</v>
      </c>
      <c r="M440" s="106">
        <v>0</v>
      </c>
      <c r="N440" s="106"/>
      <c r="O440" s="106"/>
      <c r="P440" s="106">
        <v>0</v>
      </c>
      <c r="Q440" s="106" t="s">
        <v>952</v>
      </c>
      <c r="S440" s="108">
        <f>IF($A440="","",COUNTIF(BPOworkers!$B$6:$B$105,$A440))</f>
        <v>0</v>
      </c>
      <c r="T440" s="109">
        <f>IF($A440="","",$K440*Config!$C$9)</f>
        <v>8</v>
      </c>
      <c r="U440" s="109">
        <f>IF($A440="","",IF(COUNTIF(Config!$C$21:$C$23,$H440)&gt;0,IFERROR(VALUE(LEFT(TRIM($Q440),FIND(" ",TRIM($Q440)&amp;" ")-1)),0),0))</f>
        <v>0</v>
      </c>
      <c r="V440" s="109">
        <f t="shared" si="72"/>
        <v>8</v>
      </c>
      <c r="W440" s="108">
        <f>IF($A440="",0,IF(AND($C440&gt;=Config!$C$7,$C440&lt;=Config!$C$8),1,0))</f>
        <v>1</v>
      </c>
      <c r="X440" s="108">
        <f>IF($A440="",0,IF(COUNTIF(Config!$C$21:$C$23,$H440)&gt;0,1,0))</f>
        <v>0</v>
      </c>
      <c r="Y440" s="108">
        <f t="shared" si="73"/>
        <v>6</v>
      </c>
      <c r="Z440" s="108" t="str">
        <f t="shared" si="74"/>
        <v/>
      </c>
      <c r="AB440" s="108">
        <f t="shared" si="75"/>
        <v>0</v>
      </c>
      <c r="AC440" s="108">
        <f>IF($A440="",0,IF(AND($AB440=1,COUNTIF($A$2:$A440,$A440)=1),1,0))</f>
        <v>0</v>
      </c>
      <c r="AD440" s="108">
        <f t="shared" si="76"/>
        <v>1</v>
      </c>
      <c r="AE440" s="108" t="str">
        <f t="shared" si="77"/>
        <v/>
      </c>
      <c r="AF440" s="108">
        <f t="shared" si="78"/>
        <v>0</v>
      </c>
      <c r="AG440" s="108">
        <f t="shared" si="79"/>
        <v>0</v>
      </c>
      <c r="AH440" s="110" t="str">
        <f t="shared" si="80"/>
        <v>M. Soter|20260902|Title|1.000|Indexed for Parcel 01-0000041.000 S 19 NE 1/4 T 15 R 5.</v>
      </c>
      <c r="AI440" s="108">
        <f t="shared" si="81"/>
        <v>0</v>
      </c>
      <c r="AJ440" s="108">
        <f t="shared" si="82"/>
        <v>0</v>
      </c>
      <c r="AK440" s="108">
        <f>IF($A440="",0,IF(AND($S440=1,$W440=1,$X440=1,$U440&gt;Config!$C$9),1,0))</f>
        <v>0</v>
      </c>
      <c r="AL440" s="108">
        <f t="shared" si="83"/>
        <v>0</v>
      </c>
    </row>
    <row r="441" spans="1:38" x14ac:dyDescent="0.25">
      <c r="A441" s="106" t="s">
        <v>953</v>
      </c>
      <c r="B441" s="106" t="s">
        <v>618</v>
      </c>
      <c r="C441" s="107">
        <v>46267</v>
      </c>
      <c r="D441" s="106" t="s">
        <v>529</v>
      </c>
      <c r="E441" s="106" t="s">
        <v>529</v>
      </c>
      <c r="F441" s="106" t="s">
        <v>615</v>
      </c>
      <c r="G441" s="106"/>
      <c r="H441" s="106" t="s">
        <v>529</v>
      </c>
      <c r="I441" s="106"/>
      <c r="J441" s="106" t="s">
        <v>529</v>
      </c>
      <c r="K441" s="106">
        <v>0</v>
      </c>
      <c r="L441" s="106">
        <v>0</v>
      </c>
      <c r="M441" s="106">
        <v>0</v>
      </c>
      <c r="N441" s="106"/>
      <c r="O441" s="106"/>
      <c r="P441" s="106">
        <v>0</v>
      </c>
      <c r="Q441" s="106" t="s">
        <v>1251</v>
      </c>
      <c r="S441" s="108">
        <f>IF($A441="","",COUNTIF(BPOworkers!$B$6:$B$105,$A441))</f>
        <v>0</v>
      </c>
      <c r="T441" s="109">
        <f>IF($A441="","",$K441*Config!$C$9)</f>
        <v>0</v>
      </c>
      <c r="U441" s="109">
        <f>IF($A441="","",IF(COUNTIF(Config!$C$21:$C$23,$H441)&gt;0,IFERROR(VALUE(LEFT(TRIM($Q441),FIND(" ",TRIM($Q441)&amp;" ")-1)),0),0))</f>
        <v>8</v>
      </c>
      <c r="V441" s="109">
        <f t="shared" si="72"/>
        <v>8</v>
      </c>
      <c r="W441" s="108">
        <f>IF($A441="",0,IF(AND($C441&gt;=Config!$C$7,$C441&lt;=Config!$C$8),1,0))</f>
        <v>1</v>
      </c>
      <c r="X441" s="108">
        <f>IF($A441="",0,IF(COUNTIF(Config!$C$21:$C$23,$H441)&gt;0,1,0))</f>
        <v>1</v>
      </c>
      <c r="Y441" s="108">
        <f t="shared" si="73"/>
        <v>6</v>
      </c>
      <c r="Z441" s="108" t="str">
        <f t="shared" si="74"/>
        <v/>
      </c>
      <c r="AB441" s="108">
        <f t="shared" si="75"/>
        <v>0</v>
      </c>
      <c r="AC441" s="108">
        <f>IF($A441="",0,IF(AND($AB441=1,COUNTIF($A$2:$A441,$A441)=1),1,0))</f>
        <v>0</v>
      </c>
      <c r="AD441" s="108">
        <f t="shared" si="76"/>
        <v>1</v>
      </c>
      <c r="AE441" s="108" t="str">
        <f t="shared" si="77"/>
        <v/>
      </c>
      <c r="AF441" s="108">
        <f t="shared" si="78"/>
        <v>0</v>
      </c>
      <c r="AG441" s="108">
        <f t="shared" si="79"/>
        <v>0</v>
      </c>
      <c r="AH441" s="110" t="str">
        <f t="shared" si="80"/>
        <v>B. Gmutza|20260902|Time Off|0.000|8 Hrs Time Off</v>
      </c>
      <c r="AI441" s="108">
        <f t="shared" si="81"/>
        <v>0</v>
      </c>
      <c r="AJ441" s="108">
        <f t="shared" si="82"/>
        <v>0</v>
      </c>
      <c r="AK441" s="108">
        <f>IF($A441="",0,IF(AND($S441=1,$W441=1,$X441=1,$U441&gt;Config!$C$9),1,0))</f>
        <v>0</v>
      </c>
      <c r="AL441" s="108">
        <f t="shared" si="83"/>
        <v>0</v>
      </c>
    </row>
    <row r="442" spans="1:38" ht="168.75" x14ac:dyDescent="0.25">
      <c r="A442" s="106" t="s">
        <v>689</v>
      </c>
      <c r="B442" s="106" t="s">
        <v>618</v>
      </c>
      <c r="C442" s="107">
        <v>46267</v>
      </c>
      <c r="D442" s="106" t="s">
        <v>720</v>
      </c>
      <c r="E442" s="106" t="s">
        <v>721</v>
      </c>
      <c r="F442" s="106" t="s">
        <v>722</v>
      </c>
      <c r="G442" s="106" t="s">
        <v>725</v>
      </c>
      <c r="H442" s="106" t="s">
        <v>631</v>
      </c>
      <c r="I442" s="106"/>
      <c r="J442" s="106"/>
      <c r="K442" s="106">
        <v>0.625</v>
      </c>
      <c r="L442" s="106">
        <v>0</v>
      </c>
      <c r="M442" s="106">
        <v>0</v>
      </c>
      <c r="N442" s="106"/>
      <c r="O442" s="106"/>
      <c r="P442" s="106">
        <v>0</v>
      </c>
      <c r="Q442" s="111" t="s">
        <v>1252</v>
      </c>
      <c r="S442" s="108">
        <f>IF($A442="","",COUNTIF(BPOworkers!$B$6:$B$105,$A442))</f>
        <v>0</v>
      </c>
      <c r="T442" s="109">
        <f>IF($A442="","",$K442*Config!$C$9)</f>
        <v>5</v>
      </c>
      <c r="U442" s="109">
        <f>IF($A442="","",IF(COUNTIF(Config!$C$21:$C$23,$H442)&gt;0,IFERROR(VALUE(LEFT(TRIM($Q442),FIND(" ",TRIM($Q442)&amp;" ")-1)),0),0))</f>
        <v>0</v>
      </c>
      <c r="V442" s="109">
        <f t="shared" si="72"/>
        <v>5</v>
      </c>
      <c r="W442" s="108">
        <f>IF($A442="",0,IF(AND($C442&gt;=Config!$C$7,$C442&lt;=Config!$C$8),1,0))</f>
        <v>1</v>
      </c>
      <c r="X442" s="108">
        <f>IF($A442="",0,IF(COUNTIF(Config!$C$21:$C$23,$H442)&gt;0,1,0))</f>
        <v>0</v>
      </c>
      <c r="Y442" s="108">
        <f t="shared" si="73"/>
        <v>6</v>
      </c>
      <c r="Z442" s="108" t="str">
        <f t="shared" si="74"/>
        <v/>
      </c>
      <c r="AB442" s="108">
        <f t="shared" si="75"/>
        <v>0</v>
      </c>
      <c r="AC442" s="108">
        <f>IF($A442="",0,IF(AND($AB442=1,COUNTIF($A$2:$A442,$A442)=1),1,0))</f>
        <v>0</v>
      </c>
      <c r="AD442" s="108">
        <f t="shared" si="76"/>
        <v>1</v>
      </c>
      <c r="AE442" s="108" t="str">
        <f t="shared" si="77"/>
        <v/>
      </c>
      <c r="AF442" s="108">
        <f t="shared" si="78"/>
        <v>0</v>
      </c>
      <c r="AG442" s="108">
        <f t="shared" si="79"/>
        <v>0</v>
      </c>
      <c r="AH442" s="112" t="str">
        <f t="shared" si="80"/>
        <v>M. Avery|20260902|Title|0.625|Continued Indexing Parties via Enverus File Viewer; Gray/Roberts County Records and Texas File.
 Documents Added: 2</v>
      </c>
      <c r="AI442" s="108">
        <f t="shared" si="81"/>
        <v>0</v>
      </c>
      <c r="AJ442" s="108">
        <f t="shared" si="82"/>
        <v>0</v>
      </c>
      <c r="AK442" s="108">
        <f>IF($A442="",0,IF(AND($S442=1,$W442=1,$X442=1,$U442&gt;Config!$C$9),1,0))</f>
        <v>0</v>
      </c>
      <c r="AL442" s="108">
        <f t="shared" si="83"/>
        <v>0</v>
      </c>
    </row>
    <row r="443" spans="1:38" x14ac:dyDescent="0.25">
      <c r="A443" s="106" t="s">
        <v>689</v>
      </c>
      <c r="B443" s="106" t="s">
        <v>618</v>
      </c>
      <c r="C443" s="107">
        <v>46267</v>
      </c>
      <c r="D443" s="106" t="s">
        <v>529</v>
      </c>
      <c r="E443" s="106" t="s">
        <v>529</v>
      </c>
      <c r="F443" s="106" t="s">
        <v>615</v>
      </c>
      <c r="G443" s="106"/>
      <c r="H443" s="106" t="s">
        <v>529</v>
      </c>
      <c r="I443" s="106"/>
      <c r="J443" s="106"/>
      <c r="K443" s="106">
        <v>0</v>
      </c>
      <c r="L443" s="106">
        <v>0</v>
      </c>
      <c r="M443" s="106">
        <v>0</v>
      </c>
      <c r="N443" s="106"/>
      <c r="O443" s="106"/>
      <c r="P443" s="106">
        <v>0</v>
      </c>
      <c r="Q443" s="106" t="s">
        <v>1253</v>
      </c>
      <c r="S443" s="108">
        <f>IF($A443="","",COUNTIF(BPOworkers!$B$6:$B$105,$A443))</f>
        <v>0</v>
      </c>
      <c r="T443" s="109">
        <f>IF($A443="","",$K443*Config!$C$9)</f>
        <v>0</v>
      </c>
      <c r="U443" s="109">
        <f>IF($A443="","",IF(COUNTIF(Config!$C$21:$C$23,$H443)&gt;0,IFERROR(VALUE(LEFT(TRIM($Q443),FIND(" ",TRIM($Q443)&amp;" ")-1)),0),0))</f>
        <v>3</v>
      </c>
      <c r="V443" s="109">
        <f t="shared" si="72"/>
        <v>3</v>
      </c>
      <c r="W443" s="108">
        <f>IF($A443="",0,IF(AND($C443&gt;=Config!$C$7,$C443&lt;=Config!$C$8),1,0))</f>
        <v>1</v>
      </c>
      <c r="X443" s="108">
        <f>IF($A443="",0,IF(COUNTIF(Config!$C$21:$C$23,$H443)&gt;0,1,0))</f>
        <v>1</v>
      </c>
      <c r="Y443" s="108">
        <f t="shared" si="73"/>
        <v>6</v>
      </c>
      <c r="Z443" s="108" t="str">
        <f t="shared" si="74"/>
        <v/>
      </c>
      <c r="AB443" s="108">
        <f t="shared" si="75"/>
        <v>0</v>
      </c>
      <c r="AC443" s="108">
        <f>IF($A443="",0,IF(AND($AB443=1,COUNTIF($A$2:$A443,$A443)=1),1,0))</f>
        <v>0</v>
      </c>
      <c r="AD443" s="108">
        <f t="shared" si="76"/>
        <v>1</v>
      </c>
      <c r="AE443" s="108" t="str">
        <f t="shared" si="77"/>
        <v/>
      </c>
      <c r="AF443" s="108">
        <f t="shared" si="78"/>
        <v>0</v>
      </c>
      <c r="AG443" s="108">
        <f t="shared" si="79"/>
        <v>0</v>
      </c>
      <c r="AH443" s="110" t="str">
        <f t="shared" si="80"/>
        <v>M. Avery|20260902|Time Off|0.000|3 hours time off...project paused due to indexing issues.</v>
      </c>
      <c r="AI443" s="108">
        <f t="shared" si="81"/>
        <v>0</v>
      </c>
      <c r="AJ443" s="108">
        <f t="shared" si="82"/>
        <v>0</v>
      </c>
      <c r="AK443" s="108">
        <f>IF($A443="",0,IF(AND($S443=1,$W443=1,$X443=1,$U443&gt;Config!$C$9),1,0))</f>
        <v>0</v>
      </c>
      <c r="AL443" s="108">
        <f t="shared" si="83"/>
        <v>0</v>
      </c>
    </row>
    <row r="444" spans="1:38" ht="132.75" x14ac:dyDescent="0.25">
      <c r="A444" s="106" t="s">
        <v>478</v>
      </c>
      <c r="B444" s="106" t="s">
        <v>618</v>
      </c>
      <c r="C444" s="107">
        <v>46267</v>
      </c>
      <c r="D444" s="106" t="s">
        <v>623</v>
      </c>
      <c r="E444" s="106" t="s">
        <v>624</v>
      </c>
      <c r="F444" s="106" t="s">
        <v>615</v>
      </c>
      <c r="G444" s="106" t="s">
        <v>625</v>
      </c>
      <c r="H444" s="106" t="s">
        <v>691</v>
      </c>
      <c r="I444" s="106"/>
      <c r="J444" s="106" t="s">
        <v>699</v>
      </c>
      <c r="K444" s="106">
        <v>0.875</v>
      </c>
      <c r="L444" s="106">
        <v>0</v>
      </c>
      <c r="M444" s="106">
        <v>0</v>
      </c>
      <c r="N444" s="106"/>
      <c r="O444" s="106"/>
      <c r="P444" s="106">
        <v>0</v>
      </c>
      <c r="Q444" s="111" t="s">
        <v>1254</v>
      </c>
      <c r="S444" s="108">
        <f>IF($A444="","",COUNTIF(BPOworkers!$B$6:$B$105,$A444))</f>
        <v>1</v>
      </c>
      <c r="T444" s="109">
        <f>IF($A444="","",$K444*Config!$C$9)</f>
        <v>7</v>
      </c>
      <c r="U444" s="109">
        <f>IF($A444="","",IF(COUNTIF(Config!$C$21:$C$23,$H444)&gt;0,IFERROR(VALUE(LEFT(TRIM($Q444),FIND(" ",TRIM($Q444)&amp;" ")-1)),0),0))</f>
        <v>0</v>
      </c>
      <c r="V444" s="109">
        <f t="shared" si="72"/>
        <v>7</v>
      </c>
      <c r="W444" s="108">
        <f>IF($A444="",0,IF(AND($C444&gt;=Config!$C$7,$C444&lt;=Config!$C$8),1,0))</f>
        <v>1</v>
      </c>
      <c r="X444" s="108">
        <f>IF($A444="",0,IF(COUNTIF(Config!$C$21:$C$23,$H444)&gt;0,1,0))</f>
        <v>0</v>
      </c>
      <c r="Y444" s="108">
        <f t="shared" si="73"/>
        <v>6</v>
      </c>
      <c r="Z444" s="108" t="str">
        <f t="shared" si="74"/>
        <v/>
      </c>
      <c r="AB444" s="108">
        <f t="shared" si="75"/>
        <v>0</v>
      </c>
      <c r="AC444" s="108">
        <f>IF($A444="",0,IF(AND($AB444=1,COUNTIF($A$2:$A444,$A444)=1),1,0))</f>
        <v>0</v>
      </c>
      <c r="AD444" s="108">
        <f t="shared" si="76"/>
        <v>1</v>
      </c>
      <c r="AE444" s="108" t="str">
        <f t="shared" si="77"/>
        <v/>
      </c>
      <c r="AF444" s="108">
        <f t="shared" si="78"/>
        <v>0</v>
      </c>
      <c r="AG444" s="108">
        <f t="shared" si="79"/>
        <v>0</v>
      </c>
      <c r="AH444" s="112" t="str">
        <f t="shared" si="80"/>
        <v>L Silva|20260902|BPO Project Management|0.875|New hires onboarding.
 Training planning.</v>
      </c>
      <c r="AI444" s="108">
        <f t="shared" si="81"/>
        <v>0</v>
      </c>
      <c r="AJ444" s="108">
        <f t="shared" si="82"/>
        <v>0</v>
      </c>
      <c r="AK444" s="108">
        <f>IF($A444="",0,IF(AND($S444=1,$W444=1,$X444=1,$U444&gt;Config!$C$9),1,0))</f>
        <v>0</v>
      </c>
      <c r="AL444" s="108">
        <f t="shared" si="83"/>
        <v>0</v>
      </c>
    </row>
    <row r="445" spans="1:38" ht="108.75" x14ac:dyDescent="0.25">
      <c r="A445" s="106" t="s">
        <v>478</v>
      </c>
      <c r="B445" s="106" t="s">
        <v>618</v>
      </c>
      <c r="C445" s="107">
        <v>46267</v>
      </c>
      <c r="D445" s="106" t="s">
        <v>712</v>
      </c>
      <c r="E445" s="106" t="s">
        <v>713</v>
      </c>
      <c r="F445" s="106" t="s">
        <v>714</v>
      </c>
      <c r="G445" s="106" t="s">
        <v>873</v>
      </c>
      <c r="H445" s="106" t="s">
        <v>631</v>
      </c>
      <c r="I445" s="106"/>
      <c r="J445" s="106" t="s">
        <v>1255</v>
      </c>
      <c r="K445" s="106">
        <v>0.125</v>
      </c>
      <c r="L445" s="106">
        <v>0</v>
      </c>
      <c r="M445" s="106">
        <v>0</v>
      </c>
      <c r="N445" s="106"/>
      <c r="O445" s="106"/>
      <c r="P445" s="106">
        <v>0</v>
      </c>
      <c r="Q445" s="111" t="s">
        <v>1256</v>
      </c>
      <c r="S445" s="108">
        <f>IF($A445="","",COUNTIF(BPOworkers!$B$6:$B$105,$A445))</f>
        <v>1</v>
      </c>
      <c r="T445" s="109">
        <f>IF($A445="","",$K445*Config!$C$9)</f>
        <v>1</v>
      </c>
      <c r="U445" s="109">
        <f>IF($A445="","",IF(COUNTIF(Config!$C$21:$C$23,$H445)&gt;0,IFERROR(VALUE(LEFT(TRIM($Q445),FIND(" ",TRIM($Q445)&amp;" ")-1)),0),0))</f>
        <v>0</v>
      </c>
      <c r="V445" s="109">
        <f t="shared" si="72"/>
        <v>1</v>
      </c>
      <c r="W445" s="108">
        <f>IF($A445="",0,IF(AND($C445&gt;=Config!$C$7,$C445&lt;=Config!$C$8),1,0))</f>
        <v>1</v>
      </c>
      <c r="X445" s="108">
        <f>IF($A445="",0,IF(COUNTIF(Config!$C$21:$C$23,$H445)&gt;0,1,0))</f>
        <v>0</v>
      </c>
      <c r="Y445" s="108">
        <f t="shared" si="73"/>
        <v>6</v>
      </c>
      <c r="Z445" s="108" t="str">
        <f t="shared" si="74"/>
        <v/>
      </c>
      <c r="AB445" s="108">
        <f t="shared" si="75"/>
        <v>0</v>
      </c>
      <c r="AC445" s="108">
        <f>IF($A445="",0,IF(AND($AB445=1,COUNTIF($A$2:$A445,$A445)=1),1,0))</f>
        <v>0</v>
      </c>
      <c r="AD445" s="108">
        <f t="shared" si="76"/>
        <v>1</v>
      </c>
      <c r="AE445" s="108" t="str">
        <f t="shared" si="77"/>
        <v/>
      </c>
      <c r="AF445" s="108">
        <f t="shared" si="78"/>
        <v>0</v>
      </c>
      <c r="AG445" s="108">
        <f t="shared" si="79"/>
        <v>0</v>
      </c>
      <c r="AH445" s="112" t="str">
        <f t="shared" si="80"/>
        <v>L Silva|20260902|Title|0.125|Meeting.
 Updating PM.
 Helping out landman.</v>
      </c>
      <c r="AI445" s="108">
        <f t="shared" si="81"/>
        <v>0</v>
      </c>
      <c r="AJ445" s="108">
        <f t="shared" si="82"/>
        <v>0</v>
      </c>
      <c r="AK445" s="108">
        <f>IF($A445="",0,IF(AND($S445=1,$W445=1,$X445=1,$U445&gt;Config!$C$9),1,0))</f>
        <v>0</v>
      </c>
      <c r="AL445" s="108">
        <f t="shared" si="83"/>
        <v>0</v>
      </c>
    </row>
    <row r="446" spans="1:38" x14ac:dyDescent="0.25">
      <c r="A446" s="106" t="s">
        <v>127</v>
      </c>
      <c r="B446" s="106" t="s">
        <v>618</v>
      </c>
      <c r="C446" s="107">
        <v>46267</v>
      </c>
      <c r="D446" s="106" t="s">
        <v>694</v>
      </c>
      <c r="E446" s="106" t="s">
        <v>695</v>
      </c>
      <c r="F446" s="106" t="s">
        <v>766</v>
      </c>
      <c r="G446" s="106" t="s">
        <v>1257</v>
      </c>
      <c r="H446" s="106" t="s">
        <v>639</v>
      </c>
      <c r="I446" s="106"/>
      <c r="J446" s="106"/>
      <c r="K446" s="106">
        <v>0.5</v>
      </c>
      <c r="L446" s="106">
        <v>0</v>
      </c>
      <c r="M446" s="106">
        <v>0</v>
      </c>
      <c r="N446" s="106"/>
      <c r="O446" s="106"/>
      <c r="P446" s="106">
        <v>0</v>
      </c>
      <c r="Q446" s="106" t="s">
        <v>698</v>
      </c>
      <c r="S446" s="108">
        <f>IF($A446="","",COUNTIF(BPOworkers!$B$6:$B$105,$A446))</f>
        <v>1</v>
      </c>
      <c r="T446" s="109">
        <f>IF($A446="","",$K446*Config!$C$9)</f>
        <v>4</v>
      </c>
      <c r="U446" s="109">
        <f>IF($A446="","",IF(COUNTIF(Config!$C$21:$C$23,$H446)&gt;0,IFERROR(VALUE(LEFT(TRIM($Q446),FIND(" ",TRIM($Q446)&amp;" ")-1)),0),0))</f>
        <v>0</v>
      </c>
      <c r="V446" s="109">
        <f t="shared" si="72"/>
        <v>4</v>
      </c>
      <c r="W446" s="108">
        <f>IF($A446="",0,IF(AND($C446&gt;=Config!$C$7,$C446&lt;=Config!$C$8),1,0))</f>
        <v>1</v>
      </c>
      <c r="X446" s="108">
        <f>IF($A446="",0,IF(COUNTIF(Config!$C$21:$C$23,$H446)&gt;0,1,0))</f>
        <v>0</v>
      </c>
      <c r="Y446" s="108">
        <f t="shared" si="73"/>
        <v>6</v>
      </c>
      <c r="Z446" s="108" t="str">
        <f t="shared" si="74"/>
        <v/>
      </c>
      <c r="AB446" s="108">
        <f t="shared" si="75"/>
        <v>0</v>
      </c>
      <c r="AC446" s="108">
        <f>IF($A446="",0,IF(AND($AB446=1,COUNTIF($A$2:$A446,$A446)=1),1,0))</f>
        <v>0</v>
      </c>
      <c r="AD446" s="108">
        <f t="shared" si="76"/>
        <v>1</v>
      </c>
      <c r="AE446" s="108" t="str">
        <f t="shared" si="77"/>
        <v/>
      </c>
      <c r="AF446" s="108">
        <f t="shared" si="78"/>
        <v>0</v>
      </c>
      <c r="AG446" s="108">
        <f t="shared" si="79"/>
        <v>0</v>
      </c>
      <c r="AH446" s="110" t="str">
        <f t="shared" si="80"/>
        <v>S Romero|20260902|Review|0.500|Reviewed subject assignment</v>
      </c>
      <c r="AI446" s="108">
        <f t="shared" si="81"/>
        <v>1</v>
      </c>
      <c r="AJ446" s="108">
        <f t="shared" si="82"/>
        <v>0</v>
      </c>
      <c r="AK446" s="108">
        <f>IF($A446="",0,IF(AND($S446=1,$W446=1,$X446=1,$U446&gt;Config!$C$9),1,0))</f>
        <v>0</v>
      </c>
      <c r="AL446" s="108">
        <f t="shared" si="83"/>
        <v>0</v>
      </c>
    </row>
    <row r="447" spans="1:38" x14ac:dyDescent="0.25">
      <c r="A447" s="106" t="s">
        <v>127</v>
      </c>
      <c r="B447" s="106" t="s">
        <v>618</v>
      </c>
      <c r="C447" s="107">
        <v>46267</v>
      </c>
      <c r="D447" s="106" t="s">
        <v>694</v>
      </c>
      <c r="E447" s="106" t="s">
        <v>695</v>
      </c>
      <c r="F447" s="106" t="s">
        <v>696</v>
      </c>
      <c r="G447" s="106" t="s">
        <v>697</v>
      </c>
      <c r="H447" s="106" t="s">
        <v>639</v>
      </c>
      <c r="I447" s="106"/>
      <c r="J447" s="106"/>
      <c r="K447" s="106">
        <v>0.5</v>
      </c>
      <c r="L447" s="106">
        <v>0</v>
      </c>
      <c r="M447" s="106">
        <v>0</v>
      </c>
      <c r="N447" s="106"/>
      <c r="O447" s="106"/>
      <c r="P447" s="106">
        <v>0</v>
      </c>
      <c r="Q447" s="106" t="s">
        <v>698</v>
      </c>
      <c r="S447" s="108">
        <f>IF($A447="","",COUNTIF(BPOworkers!$B$6:$B$105,$A447))</f>
        <v>1</v>
      </c>
      <c r="T447" s="109">
        <f>IF($A447="","",$K447*Config!$C$9)</f>
        <v>4</v>
      </c>
      <c r="U447" s="109">
        <f>IF($A447="","",IF(COUNTIF(Config!$C$21:$C$23,$H447)&gt;0,IFERROR(VALUE(LEFT(TRIM($Q447),FIND(" ",TRIM($Q447)&amp;" ")-1)),0),0))</f>
        <v>0</v>
      </c>
      <c r="V447" s="109">
        <f t="shared" si="72"/>
        <v>4</v>
      </c>
      <c r="W447" s="108">
        <f>IF($A447="",0,IF(AND($C447&gt;=Config!$C$7,$C447&lt;=Config!$C$8),1,0))</f>
        <v>1</v>
      </c>
      <c r="X447" s="108">
        <f>IF($A447="",0,IF(COUNTIF(Config!$C$21:$C$23,$H447)&gt;0,1,0))</f>
        <v>0</v>
      </c>
      <c r="Y447" s="108">
        <f t="shared" si="73"/>
        <v>6</v>
      </c>
      <c r="Z447" s="108" t="str">
        <f t="shared" si="74"/>
        <v/>
      </c>
      <c r="AB447" s="108">
        <f t="shared" si="75"/>
        <v>0</v>
      </c>
      <c r="AC447" s="108">
        <f>IF($A447="",0,IF(AND($AB447=1,COUNTIF($A$2:$A447,$A447)=1),1,0))</f>
        <v>0</v>
      </c>
      <c r="AD447" s="108">
        <f t="shared" si="76"/>
        <v>1</v>
      </c>
      <c r="AE447" s="108" t="str">
        <f t="shared" si="77"/>
        <v/>
      </c>
      <c r="AF447" s="108">
        <f t="shared" si="78"/>
        <v>0</v>
      </c>
      <c r="AG447" s="108">
        <f t="shared" si="79"/>
        <v>0</v>
      </c>
      <c r="AH447" s="110" t="str">
        <f t="shared" si="80"/>
        <v>S Romero|20260902|Review|0.500|Reviewed subject assignment</v>
      </c>
      <c r="AI447" s="108">
        <f t="shared" si="81"/>
        <v>1</v>
      </c>
      <c r="AJ447" s="108">
        <f t="shared" si="82"/>
        <v>0</v>
      </c>
      <c r="AK447" s="108">
        <f>IF($A447="",0,IF(AND($S447=1,$W447=1,$X447=1,$U447&gt;Config!$C$9),1,0))</f>
        <v>0</v>
      </c>
      <c r="AL447" s="108">
        <f t="shared" si="83"/>
        <v>0</v>
      </c>
    </row>
    <row r="448" spans="1:38" x14ac:dyDescent="0.25">
      <c r="A448" s="106" t="s">
        <v>123</v>
      </c>
      <c r="B448" s="106" t="s">
        <v>618</v>
      </c>
      <c r="C448" s="107">
        <v>46267</v>
      </c>
      <c r="D448" s="106" t="s">
        <v>628</v>
      </c>
      <c r="E448" s="106" t="s">
        <v>793</v>
      </c>
      <c r="F448" s="106" t="s">
        <v>670</v>
      </c>
      <c r="G448" s="106" t="s">
        <v>1258</v>
      </c>
      <c r="H448" s="106" t="s">
        <v>702</v>
      </c>
      <c r="I448" s="106"/>
      <c r="J448" s="106"/>
      <c r="K448" s="106">
        <v>0.375</v>
      </c>
      <c r="L448" s="106">
        <v>0</v>
      </c>
      <c r="M448" s="106">
        <v>0</v>
      </c>
      <c r="N448" s="106"/>
      <c r="O448" s="106"/>
      <c r="P448" s="106">
        <v>0</v>
      </c>
      <c r="Q448" s="106" t="s">
        <v>1259</v>
      </c>
      <c r="S448" s="108">
        <f>IF($A448="","",COUNTIF(BPOworkers!$B$6:$B$105,$A448))</f>
        <v>1</v>
      </c>
      <c r="T448" s="109">
        <f>IF($A448="","",$K448*Config!$C$9)</f>
        <v>3</v>
      </c>
      <c r="U448" s="109">
        <f>IF($A448="","",IF(COUNTIF(Config!$C$21:$C$23,$H448)&gt;0,IFERROR(VALUE(LEFT(TRIM($Q448),FIND(" ",TRIM($Q448)&amp;" ")-1)),0),0))</f>
        <v>0</v>
      </c>
      <c r="V448" s="109">
        <f t="shared" si="72"/>
        <v>3</v>
      </c>
      <c r="W448" s="108">
        <f>IF($A448="",0,IF(AND($C448&gt;=Config!$C$7,$C448&lt;=Config!$C$8),1,0))</f>
        <v>1</v>
      </c>
      <c r="X448" s="108">
        <f>IF($A448="",0,IF(COUNTIF(Config!$C$21:$C$23,$H448)&gt;0,1,0))</f>
        <v>0</v>
      </c>
      <c r="Y448" s="108">
        <f t="shared" si="73"/>
        <v>6</v>
      </c>
      <c r="Z448" s="108" t="str">
        <f t="shared" si="74"/>
        <v/>
      </c>
      <c r="AB448" s="108">
        <f t="shared" si="75"/>
        <v>0</v>
      </c>
      <c r="AC448" s="108">
        <f>IF($A448="",0,IF(AND($AB448=1,COUNTIF($A$2:$A448,$A448)=1),1,0))</f>
        <v>0</v>
      </c>
      <c r="AD448" s="108">
        <f t="shared" si="76"/>
        <v>1</v>
      </c>
      <c r="AE448" s="108" t="str">
        <f t="shared" si="77"/>
        <v/>
      </c>
      <c r="AF448" s="108">
        <f t="shared" si="78"/>
        <v>0</v>
      </c>
      <c r="AG448" s="108">
        <f t="shared" si="79"/>
        <v>0</v>
      </c>
      <c r="AH448" s="110" t="str">
        <f t="shared" si="80"/>
        <v>H Daza|20260902|Data Processing|0.375|Managin the buildup of skeleton chains with the runsheets provided by the client, follow up on each AOI</v>
      </c>
      <c r="AI448" s="108">
        <f t="shared" si="81"/>
        <v>0</v>
      </c>
      <c r="AJ448" s="108">
        <f t="shared" si="82"/>
        <v>0</v>
      </c>
      <c r="AK448" s="108">
        <f>IF($A448="",0,IF(AND($S448=1,$W448=1,$X448=1,$U448&gt;Config!$C$9),1,0))</f>
        <v>0</v>
      </c>
      <c r="AL448" s="108">
        <f t="shared" si="83"/>
        <v>0</v>
      </c>
    </row>
    <row r="449" spans="1:38" x14ac:dyDescent="0.25">
      <c r="A449" s="106" t="s">
        <v>123</v>
      </c>
      <c r="B449" s="106" t="s">
        <v>618</v>
      </c>
      <c r="C449" s="107">
        <v>46267</v>
      </c>
      <c r="D449" s="106" t="s">
        <v>628</v>
      </c>
      <c r="E449" s="106" t="s">
        <v>705</v>
      </c>
      <c r="F449" s="106" t="s">
        <v>630</v>
      </c>
      <c r="G449" s="106" t="s">
        <v>706</v>
      </c>
      <c r="H449" s="106" t="s">
        <v>631</v>
      </c>
      <c r="I449" s="106"/>
      <c r="J449" s="106"/>
      <c r="K449" s="106">
        <v>0.5</v>
      </c>
      <c r="L449" s="106">
        <v>0</v>
      </c>
      <c r="M449" s="106">
        <v>0</v>
      </c>
      <c r="N449" s="106"/>
      <c r="O449" s="106"/>
      <c r="P449" s="106">
        <v>0</v>
      </c>
      <c r="Q449" s="106" t="s">
        <v>1260</v>
      </c>
      <c r="S449" s="108">
        <f>IF($A449="","",COUNTIF(BPOworkers!$B$6:$B$105,$A449))</f>
        <v>1</v>
      </c>
      <c r="T449" s="109">
        <f>IF($A449="","",$K449*Config!$C$9)</f>
        <v>4</v>
      </c>
      <c r="U449" s="109">
        <f>IF($A449="","",IF(COUNTIF(Config!$C$21:$C$23,$H449)&gt;0,IFERROR(VALUE(LEFT(TRIM($Q449),FIND(" ",TRIM($Q449)&amp;" ")-1)),0),0))</f>
        <v>0</v>
      </c>
      <c r="V449" s="109">
        <f t="shared" si="72"/>
        <v>4</v>
      </c>
      <c r="W449" s="108">
        <f>IF($A449="",0,IF(AND($C449&gt;=Config!$C$7,$C449&lt;=Config!$C$8),1,0))</f>
        <v>1</v>
      </c>
      <c r="X449" s="108">
        <f>IF($A449="",0,IF(COUNTIF(Config!$C$21:$C$23,$H449)&gt;0,1,0))</f>
        <v>0</v>
      </c>
      <c r="Y449" s="108">
        <f t="shared" si="73"/>
        <v>6</v>
      </c>
      <c r="Z449" s="108" t="str">
        <f t="shared" si="74"/>
        <v/>
      </c>
      <c r="AB449" s="108">
        <f t="shared" si="75"/>
        <v>0</v>
      </c>
      <c r="AC449" s="108">
        <f>IF($A449="",0,IF(AND($AB449=1,COUNTIF($A$2:$A449,$A449)=1),1,0))</f>
        <v>0</v>
      </c>
      <c r="AD449" s="108">
        <f t="shared" si="76"/>
        <v>1</v>
      </c>
      <c r="AE449" s="108" t="str">
        <f t="shared" si="77"/>
        <v/>
      </c>
      <c r="AF449" s="108">
        <f t="shared" si="78"/>
        <v>0</v>
      </c>
      <c r="AG449" s="108">
        <f t="shared" si="79"/>
        <v>0</v>
      </c>
      <c r="AH449" s="110" t="str">
        <f t="shared" si="80"/>
        <v>H Daza|20260902|Title|0.500|Identiiying subject lands and drawing polygon, dowloading documents from the provided runsheet into the skeleton chain i</v>
      </c>
      <c r="AI449" s="108">
        <f t="shared" si="81"/>
        <v>0</v>
      </c>
      <c r="AJ449" s="108">
        <f t="shared" si="82"/>
        <v>0</v>
      </c>
      <c r="AK449" s="108">
        <f>IF($A449="",0,IF(AND($S449=1,$W449=1,$X449=1,$U449&gt;Config!$C$9),1,0))</f>
        <v>0</v>
      </c>
      <c r="AL449" s="108">
        <f t="shared" si="83"/>
        <v>0</v>
      </c>
    </row>
    <row r="450" spans="1:38" x14ac:dyDescent="0.25">
      <c r="A450" s="106" t="s">
        <v>123</v>
      </c>
      <c r="B450" s="106" t="s">
        <v>618</v>
      </c>
      <c r="C450" s="107">
        <v>46267</v>
      </c>
      <c r="D450" s="106" t="s">
        <v>623</v>
      </c>
      <c r="E450" s="106" t="s">
        <v>624</v>
      </c>
      <c r="F450" s="106" t="s">
        <v>615</v>
      </c>
      <c r="G450" s="106" t="s">
        <v>625</v>
      </c>
      <c r="H450" s="106" t="s">
        <v>691</v>
      </c>
      <c r="I450" s="106"/>
      <c r="J450" s="106" t="s">
        <v>691</v>
      </c>
      <c r="K450" s="106">
        <v>0.125</v>
      </c>
      <c r="L450" s="106">
        <v>0</v>
      </c>
      <c r="M450" s="106">
        <v>0</v>
      </c>
      <c r="N450" s="106"/>
      <c r="O450" s="106"/>
      <c r="P450" s="106">
        <v>0</v>
      </c>
      <c r="Q450" s="106" t="s">
        <v>1261</v>
      </c>
      <c r="S450" s="108">
        <f>IF($A450="","",COUNTIF(BPOworkers!$B$6:$B$105,$A450))</f>
        <v>1</v>
      </c>
      <c r="T450" s="109">
        <f>IF($A450="","",$K450*Config!$C$9)</f>
        <v>1</v>
      </c>
      <c r="U450" s="109">
        <f>IF($A450="","",IF(COUNTIF(Config!$C$21:$C$23,$H450)&gt;0,IFERROR(VALUE(LEFT(TRIM($Q450),FIND(" ",TRIM($Q450)&amp;" ")-1)),0),0))</f>
        <v>0</v>
      </c>
      <c r="V450" s="109">
        <f t="shared" ref="V450:V513" si="84">IF($A450="","",$T450+$U450)</f>
        <v>1</v>
      </c>
      <c r="W450" s="108">
        <f>IF($A450="",0,IF(AND($C450&gt;=Config!$C$7,$C450&lt;=Config!$C$8),1,0))</f>
        <v>1</v>
      </c>
      <c r="X450" s="108">
        <f>IF($A450="",0,IF(COUNTIF(Config!$C$21:$C$23,$H450)&gt;0,1,0))</f>
        <v>0</v>
      </c>
      <c r="Y450" s="108">
        <f t="shared" ref="Y450:Y513" si="85">IF($A450="",MAX(0,Y449),MAX(0,Y449)+IF(AND($W450=1,$X450=1,$S450=1),1,0))</f>
        <v>6</v>
      </c>
      <c r="Z450" s="108" t="str">
        <f t="shared" ref="Z450:Z513" si="86">IF($A450="","",IF(AND($W450=1,$X450=1,$S450=1),$Y450,""))</f>
        <v/>
      </c>
      <c r="AB450" s="108">
        <f t="shared" ref="AB450:AB513" si="87">IF($A450="",0,IF(AND($S450=0,ISERROR(FIND(".",$A450))),1,0))</f>
        <v>0</v>
      </c>
      <c r="AC450" s="108">
        <f>IF($A450="",0,IF(AND($AB450=1,COUNTIF($A$2:$A450,$A450)=1),1,0))</f>
        <v>0</v>
      </c>
      <c r="AD450" s="108">
        <f t="shared" ref="AD450:AD513" si="88">IF($A450="",MAX(0,AD449),MAX(0,AD449)+$AC450)</f>
        <v>1</v>
      </c>
      <c r="AE450" s="108" t="str">
        <f t="shared" ref="AE450:AE513" si="89">IF($AC450=1,$AD450,"")</f>
        <v/>
      </c>
      <c r="AF450" s="108">
        <f t="shared" ref="AF450:AF513" si="90">IF($A450="",0,IFERROR(IF(AND($S450=1,WEEKDAY($C450,2)&gt;5),1,0),0))</f>
        <v>0</v>
      </c>
      <c r="AG450" s="108">
        <f t="shared" ref="AG450:AG513" si="91">IF($A450="",0,IF(AND($S450=1,$W450=0),1,0))</f>
        <v>0</v>
      </c>
      <c r="AH450" s="110" t="str">
        <f t="shared" ref="AH450:AH513" si="92">IF($A450="","",$A450&amp;"|"&amp;TEXT($C450,"yyyymmdd")&amp;"|"&amp;$H450&amp;"|"&amp;TEXT($K450,"0.000")&amp;"|"&amp;SUBSTITUTE(SUBSTITUTE(SUBSTITUTE(LEFT($Q450,120),"~",""),"*",""),"?",""))</f>
        <v>H Daza|20260902|BPO Project Management|0.125|Prepared the Oil an gas presentation with pertinent corrections and</v>
      </c>
      <c r="AI450" s="108">
        <f t="shared" ref="AI450:AI513" si="93">IF($A450="",0,IF(AND($S450=1,$W450=1,COUNTIF($AH$2:$AH$1500,$AH450)&gt;1),1,0))</f>
        <v>0</v>
      </c>
      <c r="AJ450" s="108">
        <f t="shared" ref="AJ450:AJ513" si="94">IF($A450="",0,IF(AND($S450=1,$W450=1,ABS($K450*8-ROUND($K450*8,0))&gt;0.0001),1,0))</f>
        <v>0</v>
      </c>
      <c r="AK450" s="108">
        <f>IF($A450="",0,IF(AND($S450=1,$W450=1,$X450=1,$U450&gt;Config!$C$9),1,0))</f>
        <v>0</v>
      </c>
      <c r="AL450" s="108">
        <f t="shared" ref="AL450:AL513" si="95">IF($A450="",0,IF(AND($S450=1,$W450=1,$X450=1,$U450=0),1,0))</f>
        <v>0</v>
      </c>
    </row>
    <row r="451" spans="1:38" ht="108.75" x14ac:dyDescent="0.25">
      <c r="A451" s="106" t="s">
        <v>126</v>
      </c>
      <c r="B451" s="106" t="s">
        <v>618</v>
      </c>
      <c r="C451" s="107">
        <v>46267</v>
      </c>
      <c r="D451" s="106" t="s">
        <v>623</v>
      </c>
      <c r="E451" s="106" t="s">
        <v>624</v>
      </c>
      <c r="F451" s="106" t="s">
        <v>615</v>
      </c>
      <c r="G451" s="106" t="s">
        <v>625</v>
      </c>
      <c r="H451" s="106" t="s">
        <v>671</v>
      </c>
      <c r="I451" s="106" t="s">
        <v>657</v>
      </c>
      <c r="J451" s="106"/>
      <c r="K451" s="106">
        <v>0.125</v>
      </c>
      <c r="L451" s="106">
        <v>0</v>
      </c>
      <c r="M451" s="106">
        <v>0</v>
      </c>
      <c r="N451" s="106"/>
      <c r="O451" s="106"/>
      <c r="P451" s="106">
        <v>0</v>
      </c>
      <c r="Q451" s="111" t="s">
        <v>1262</v>
      </c>
      <c r="S451" s="108">
        <f>IF($A451="","",COUNTIF(BPOworkers!$B$6:$B$105,$A451))</f>
        <v>1</v>
      </c>
      <c r="T451" s="109">
        <f>IF($A451="","",$K451*Config!$C$9)</f>
        <v>1</v>
      </c>
      <c r="U451" s="109">
        <f>IF($A451="","",IF(COUNTIF(Config!$C$21:$C$23,$H451)&gt;0,IFERROR(VALUE(LEFT(TRIM($Q451),FIND(" ",TRIM($Q451)&amp;" ")-1)),0),0))</f>
        <v>0</v>
      </c>
      <c r="V451" s="109">
        <f t="shared" si="84"/>
        <v>1</v>
      </c>
      <c r="W451" s="108">
        <f>IF($A451="",0,IF(AND($C451&gt;=Config!$C$7,$C451&lt;=Config!$C$8),1,0))</f>
        <v>1</v>
      </c>
      <c r="X451" s="108">
        <f>IF($A451="",0,IF(COUNTIF(Config!$C$21:$C$23,$H451)&gt;0,1,0))</f>
        <v>0</v>
      </c>
      <c r="Y451" s="108">
        <f t="shared" si="85"/>
        <v>6</v>
      </c>
      <c r="Z451" s="108" t="str">
        <f t="shared" si="86"/>
        <v/>
      </c>
      <c r="AB451" s="108">
        <f t="shared" si="87"/>
        <v>0</v>
      </c>
      <c r="AC451" s="108">
        <f>IF($A451="",0,IF(AND($AB451=1,COUNTIF($A$2:$A451,$A451)=1),1,0))</f>
        <v>0</v>
      </c>
      <c r="AD451" s="108">
        <f t="shared" si="88"/>
        <v>1</v>
      </c>
      <c r="AE451" s="108" t="str">
        <f t="shared" si="89"/>
        <v/>
      </c>
      <c r="AF451" s="108">
        <f t="shared" si="90"/>
        <v>0</v>
      </c>
      <c r="AG451" s="108">
        <f t="shared" si="91"/>
        <v>0</v>
      </c>
      <c r="AH451" s="112" t="str">
        <f t="shared" si="92"/>
        <v>R Sanchez|20260902|TitleNotes - Library|0.125|10 instruments
 12 transactions</v>
      </c>
      <c r="AI451" s="108">
        <f t="shared" si="93"/>
        <v>0</v>
      </c>
      <c r="AJ451" s="108">
        <f t="shared" si="94"/>
        <v>0</v>
      </c>
      <c r="AK451" s="108">
        <f>IF($A451="",0,IF(AND($S451=1,$W451=1,$X451=1,$U451&gt;Config!$C$9),1,0))</f>
        <v>0</v>
      </c>
      <c r="AL451" s="108">
        <f t="shared" si="95"/>
        <v>0</v>
      </c>
    </row>
    <row r="452" spans="1:38" x14ac:dyDescent="0.25">
      <c r="A452" s="106" t="s">
        <v>126</v>
      </c>
      <c r="B452" s="106" t="s">
        <v>618</v>
      </c>
      <c r="C452" s="107">
        <v>46267</v>
      </c>
      <c r="D452" s="106" t="s">
        <v>623</v>
      </c>
      <c r="E452" s="106" t="s">
        <v>624</v>
      </c>
      <c r="F452" s="106" t="s">
        <v>615</v>
      </c>
      <c r="G452" s="106" t="s">
        <v>625</v>
      </c>
      <c r="H452" s="106" t="s">
        <v>691</v>
      </c>
      <c r="I452" s="106"/>
      <c r="J452" s="106" t="s">
        <v>691</v>
      </c>
      <c r="K452" s="106">
        <v>0.125</v>
      </c>
      <c r="L452" s="106">
        <v>0</v>
      </c>
      <c r="M452" s="106">
        <v>0</v>
      </c>
      <c r="N452" s="106"/>
      <c r="O452" s="106"/>
      <c r="P452" s="106">
        <v>0</v>
      </c>
      <c r="Q452" s="106" t="s">
        <v>1263</v>
      </c>
      <c r="S452" s="108">
        <f>IF($A452="","",COUNTIF(BPOworkers!$B$6:$B$105,$A452))</f>
        <v>1</v>
      </c>
      <c r="T452" s="109">
        <f>IF($A452="","",$K452*Config!$C$9)</f>
        <v>1</v>
      </c>
      <c r="U452" s="109">
        <f>IF($A452="","",IF(COUNTIF(Config!$C$21:$C$23,$H452)&gt;0,IFERROR(VALUE(LEFT(TRIM($Q452),FIND(" ",TRIM($Q452)&amp;" ")-1)),0),0))</f>
        <v>0</v>
      </c>
      <c r="V452" s="109">
        <f t="shared" si="84"/>
        <v>1</v>
      </c>
      <c r="W452" s="108">
        <f>IF($A452="",0,IF(AND($C452&gt;=Config!$C$7,$C452&lt;=Config!$C$8),1,0))</f>
        <v>1</v>
      </c>
      <c r="X452" s="108">
        <f>IF($A452="",0,IF(COUNTIF(Config!$C$21:$C$23,$H452)&gt;0,1,0))</f>
        <v>0</v>
      </c>
      <c r="Y452" s="108">
        <f t="shared" si="85"/>
        <v>6</v>
      </c>
      <c r="Z452" s="108" t="str">
        <f t="shared" si="86"/>
        <v/>
      </c>
      <c r="AB452" s="108">
        <f t="shared" si="87"/>
        <v>0</v>
      </c>
      <c r="AC452" s="108">
        <f>IF($A452="",0,IF(AND($AB452=1,COUNTIF($A$2:$A452,$A452)=1),1,0))</f>
        <v>0</v>
      </c>
      <c r="AD452" s="108">
        <f t="shared" si="88"/>
        <v>1</v>
      </c>
      <c r="AE452" s="108" t="str">
        <f t="shared" si="89"/>
        <v/>
      </c>
      <c r="AF452" s="108">
        <f t="shared" si="90"/>
        <v>0</v>
      </c>
      <c r="AG452" s="108">
        <f t="shared" si="91"/>
        <v>0</v>
      </c>
      <c r="AH452" s="110" t="str">
        <f t="shared" si="92"/>
        <v xml:space="preserve">R Sanchez|20260902|BPO Project Management|0.125|Prepared the property description presentation with pertinent corrections and structured the workshop around some legal </v>
      </c>
      <c r="AI452" s="108">
        <f t="shared" si="93"/>
        <v>0</v>
      </c>
      <c r="AJ452" s="108">
        <f t="shared" si="94"/>
        <v>0</v>
      </c>
      <c r="AK452" s="108">
        <f>IF($A452="",0,IF(AND($S452=1,$W452=1,$X452=1,$U452&gt;Config!$C$9),1,0))</f>
        <v>0</v>
      </c>
      <c r="AL452" s="108">
        <f t="shared" si="95"/>
        <v>0</v>
      </c>
    </row>
    <row r="453" spans="1:38" x14ac:dyDescent="0.25">
      <c r="A453" s="106" t="s">
        <v>126</v>
      </c>
      <c r="B453" s="106" t="s">
        <v>618</v>
      </c>
      <c r="C453" s="107">
        <v>46267</v>
      </c>
      <c r="D453" s="106" t="s">
        <v>628</v>
      </c>
      <c r="E453" s="106" t="s">
        <v>793</v>
      </c>
      <c r="F453" s="106" t="s">
        <v>670</v>
      </c>
      <c r="G453" s="106" t="s">
        <v>1258</v>
      </c>
      <c r="H453" s="106" t="s">
        <v>702</v>
      </c>
      <c r="I453" s="106"/>
      <c r="J453" s="106"/>
      <c r="K453" s="106">
        <v>0.25</v>
      </c>
      <c r="L453" s="106">
        <v>0</v>
      </c>
      <c r="M453" s="106">
        <v>0</v>
      </c>
      <c r="N453" s="106"/>
      <c r="O453" s="106"/>
      <c r="P453" s="106">
        <v>0</v>
      </c>
      <c r="Q453" s="106" t="s">
        <v>1259</v>
      </c>
      <c r="S453" s="108">
        <f>IF($A453="","",COUNTIF(BPOworkers!$B$6:$B$105,$A453))</f>
        <v>1</v>
      </c>
      <c r="T453" s="109">
        <f>IF($A453="","",$K453*Config!$C$9)</f>
        <v>2</v>
      </c>
      <c r="U453" s="109">
        <f>IF($A453="","",IF(COUNTIF(Config!$C$21:$C$23,$H453)&gt;0,IFERROR(VALUE(LEFT(TRIM($Q453),FIND(" ",TRIM($Q453)&amp;" ")-1)),0),0))</f>
        <v>0</v>
      </c>
      <c r="V453" s="109">
        <f t="shared" si="84"/>
        <v>2</v>
      </c>
      <c r="W453" s="108">
        <f>IF($A453="",0,IF(AND($C453&gt;=Config!$C$7,$C453&lt;=Config!$C$8),1,0))</f>
        <v>1</v>
      </c>
      <c r="X453" s="108">
        <f>IF($A453="",0,IF(COUNTIF(Config!$C$21:$C$23,$H453)&gt;0,1,0))</f>
        <v>0</v>
      </c>
      <c r="Y453" s="108">
        <f t="shared" si="85"/>
        <v>6</v>
      </c>
      <c r="Z453" s="108" t="str">
        <f t="shared" si="86"/>
        <v/>
      </c>
      <c r="AB453" s="108">
        <f t="shared" si="87"/>
        <v>0</v>
      </c>
      <c r="AC453" s="108">
        <f>IF($A453="",0,IF(AND($AB453=1,COUNTIF($A$2:$A453,$A453)=1),1,0))</f>
        <v>0</v>
      </c>
      <c r="AD453" s="108">
        <f t="shared" si="88"/>
        <v>1</v>
      </c>
      <c r="AE453" s="108" t="str">
        <f t="shared" si="89"/>
        <v/>
      </c>
      <c r="AF453" s="108">
        <f t="shared" si="90"/>
        <v>0</v>
      </c>
      <c r="AG453" s="108">
        <f t="shared" si="91"/>
        <v>0</v>
      </c>
      <c r="AH453" s="110" t="str">
        <f t="shared" si="92"/>
        <v>R Sanchez|20260902|Data Processing|0.250|Managin the buildup of skeleton chains with the runsheets provided by the client, follow up on each AOI</v>
      </c>
      <c r="AI453" s="108">
        <f t="shared" si="93"/>
        <v>0</v>
      </c>
      <c r="AJ453" s="108">
        <f t="shared" si="94"/>
        <v>0</v>
      </c>
      <c r="AK453" s="108">
        <f>IF($A453="",0,IF(AND($S453=1,$W453=1,$X453=1,$U453&gt;Config!$C$9),1,0))</f>
        <v>0</v>
      </c>
      <c r="AL453" s="108">
        <f t="shared" si="95"/>
        <v>0</v>
      </c>
    </row>
    <row r="454" spans="1:38" x14ac:dyDescent="0.25">
      <c r="A454" s="106" t="s">
        <v>126</v>
      </c>
      <c r="B454" s="106" t="s">
        <v>618</v>
      </c>
      <c r="C454" s="107">
        <v>46267</v>
      </c>
      <c r="D454" s="106" t="s">
        <v>628</v>
      </c>
      <c r="E454" s="106" t="s">
        <v>705</v>
      </c>
      <c r="F454" s="106" t="s">
        <v>630</v>
      </c>
      <c r="G454" s="106" t="s">
        <v>706</v>
      </c>
      <c r="H454" s="106" t="s">
        <v>707</v>
      </c>
      <c r="I454" s="106"/>
      <c r="J454" s="106"/>
      <c r="K454" s="106">
        <v>0.5</v>
      </c>
      <c r="L454" s="106">
        <v>0</v>
      </c>
      <c r="M454" s="106">
        <v>0</v>
      </c>
      <c r="N454" s="106"/>
      <c r="O454" s="106"/>
      <c r="P454" s="106">
        <v>0</v>
      </c>
      <c r="Q454" s="106" t="s">
        <v>1260</v>
      </c>
      <c r="S454" s="108">
        <f>IF($A454="","",COUNTIF(BPOworkers!$B$6:$B$105,$A454))</f>
        <v>1</v>
      </c>
      <c r="T454" s="109">
        <f>IF($A454="","",$K454*Config!$C$9)</f>
        <v>4</v>
      </c>
      <c r="U454" s="109">
        <f>IF($A454="","",IF(COUNTIF(Config!$C$21:$C$23,$H454)&gt;0,IFERROR(VALUE(LEFT(TRIM($Q454),FIND(" ",TRIM($Q454)&amp;" ")-1)),0),0))</f>
        <v>0</v>
      </c>
      <c r="V454" s="109">
        <f t="shared" si="84"/>
        <v>4</v>
      </c>
      <c r="W454" s="108">
        <f>IF($A454="",0,IF(AND($C454&gt;=Config!$C$7,$C454&lt;=Config!$C$8),1,0))</f>
        <v>1</v>
      </c>
      <c r="X454" s="108">
        <f>IF($A454="",0,IF(COUNTIF(Config!$C$21:$C$23,$H454)&gt;0,1,0))</f>
        <v>0</v>
      </c>
      <c r="Y454" s="108">
        <f t="shared" si="85"/>
        <v>6</v>
      </c>
      <c r="Z454" s="108" t="str">
        <f t="shared" si="86"/>
        <v/>
      </c>
      <c r="AB454" s="108">
        <f t="shared" si="87"/>
        <v>0</v>
      </c>
      <c r="AC454" s="108">
        <f>IF($A454="",0,IF(AND($AB454=1,COUNTIF($A$2:$A454,$A454)=1),1,0))</f>
        <v>0</v>
      </c>
      <c r="AD454" s="108">
        <f t="shared" si="88"/>
        <v>1</v>
      </c>
      <c r="AE454" s="108" t="str">
        <f t="shared" si="89"/>
        <v/>
      </c>
      <c r="AF454" s="108">
        <f t="shared" si="90"/>
        <v>0</v>
      </c>
      <c r="AG454" s="108">
        <f t="shared" si="91"/>
        <v>0</v>
      </c>
      <c r="AH454" s="110" t="str">
        <f t="shared" si="92"/>
        <v>R Sanchez|20260902|Title Opinion data entry|0.500|Identiiying subject lands and drawing polygon, dowloading documents from the provided runsheet into the skeleton chain i</v>
      </c>
      <c r="AI454" s="108">
        <f t="shared" si="93"/>
        <v>0</v>
      </c>
      <c r="AJ454" s="108">
        <f t="shared" si="94"/>
        <v>0</v>
      </c>
      <c r="AK454" s="108">
        <f>IF($A454="",0,IF(AND($S454=1,$W454=1,$X454=1,$U454&gt;Config!$C$9),1,0))</f>
        <v>0</v>
      </c>
      <c r="AL454" s="108">
        <f t="shared" si="95"/>
        <v>0</v>
      </c>
    </row>
    <row r="455" spans="1:38" x14ac:dyDescent="0.25">
      <c r="A455" s="106" t="s">
        <v>122</v>
      </c>
      <c r="B455" s="106" t="s">
        <v>618</v>
      </c>
      <c r="C455" s="107">
        <v>46267</v>
      </c>
      <c r="D455" s="106" t="s">
        <v>694</v>
      </c>
      <c r="E455" s="106" t="s">
        <v>709</v>
      </c>
      <c r="F455" s="106" t="s">
        <v>615</v>
      </c>
      <c r="G455" s="106"/>
      <c r="H455" s="106" t="s">
        <v>709</v>
      </c>
      <c r="I455" s="106"/>
      <c r="J455" s="106" t="s">
        <v>710</v>
      </c>
      <c r="K455" s="106">
        <v>1</v>
      </c>
      <c r="L455" s="106">
        <v>0</v>
      </c>
      <c r="M455" s="106">
        <v>0</v>
      </c>
      <c r="N455" s="106"/>
      <c r="O455" s="106"/>
      <c r="P455" s="106">
        <v>0</v>
      </c>
      <c r="Q455" s="106" t="s">
        <v>711</v>
      </c>
      <c r="S455" s="108">
        <f>IF($A455="","",COUNTIF(BPOworkers!$B$6:$B$105,$A455))</f>
        <v>1</v>
      </c>
      <c r="T455" s="109">
        <f>IF($A455="","",$K455*Config!$C$9)</f>
        <v>8</v>
      </c>
      <c r="U455" s="109">
        <f>IF($A455="","",IF(COUNTIF(Config!$C$21:$C$23,$H455)&gt;0,IFERROR(VALUE(LEFT(TRIM($Q455),FIND(" ",TRIM($Q455)&amp;" ")-1)),0),0))</f>
        <v>0</v>
      </c>
      <c r="V455" s="109">
        <f t="shared" si="84"/>
        <v>8</v>
      </c>
      <c r="W455" s="108">
        <f>IF($A455="",0,IF(AND($C455&gt;=Config!$C$7,$C455&lt;=Config!$C$8),1,0))</f>
        <v>1</v>
      </c>
      <c r="X455" s="108">
        <f>IF($A455="",0,IF(COUNTIF(Config!$C$21:$C$23,$H455)&gt;0,1,0))</f>
        <v>0</v>
      </c>
      <c r="Y455" s="108">
        <f t="shared" si="85"/>
        <v>6</v>
      </c>
      <c r="Z455" s="108" t="str">
        <f t="shared" si="86"/>
        <v/>
      </c>
      <c r="AB455" s="108">
        <f t="shared" si="87"/>
        <v>0</v>
      </c>
      <c r="AC455" s="108">
        <f>IF($A455="",0,IF(AND($AB455=1,COUNTIF($A$2:$A455,$A455)=1),1,0))</f>
        <v>0</v>
      </c>
      <c r="AD455" s="108">
        <f t="shared" si="88"/>
        <v>1</v>
      </c>
      <c r="AE455" s="108" t="str">
        <f t="shared" si="89"/>
        <v/>
      </c>
      <c r="AF455" s="108">
        <f t="shared" si="90"/>
        <v>0</v>
      </c>
      <c r="AG455" s="108">
        <f t="shared" si="91"/>
        <v>0</v>
      </c>
      <c r="AH455" s="110" t="str">
        <f t="shared" si="92"/>
        <v>A Lorenzo|20260902|Land Admin|1.000|Data reconciliation</v>
      </c>
      <c r="AI455" s="108">
        <f t="shared" si="93"/>
        <v>0</v>
      </c>
      <c r="AJ455" s="108">
        <f t="shared" si="94"/>
        <v>0</v>
      </c>
      <c r="AK455" s="108">
        <f>IF($A455="",0,IF(AND($S455=1,$W455=1,$X455=1,$U455&gt;Config!$C$9),1,0))</f>
        <v>0</v>
      </c>
      <c r="AL455" s="108">
        <f t="shared" si="95"/>
        <v>0</v>
      </c>
    </row>
    <row r="456" spans="1:38" ht="192.75" x14ac:dyDescent="0.25">
      <c r="A456" s="106" t="s">
        <v>120</v>
      </c>
      <c r="B456" s="106" t="s">
        <v>618</v>
      </c>
      <c r="C456" s="107">
        <v>46267</v>
      </c>
      <c r="D456" s="106" t="s">
        <v>623</v>
      </c>
      <c r="E456" s="106" t="s">
        <v>624</v>
      </c>
      <c r="F456" s="106" t="s">
        <v>615</v>
      </c>
      <c r="G456" s="106" t="s">
        <v>625</v>
      </c>
      <c r="H456" s="106" t="s">
        <v>691</v>
      </c>
      <c r="I456" s="106"/>
      <c r="J456" s="106" t="s">
        <v>1264</v>
      </c>
      <c r="K456" s="106">
        <v>0.25</v>
      </c>
      <c r="L456" s="106">
        <v>0</v>
      </c>
      <c r="M456" s="106">
        <v>0</v>
      </c>
      <c r="N456" s="106"/>
      <c r="O456" s="106"/>
      <c r="P456" s="106">
        <v>0</v>
      </c>
      <c r="Q456" s="111" t="s">
        <v>1265</v>
      </c>
      <c r="S456" s="108">
        <f>IF($A456="","",COUNTIF(BPOworkers!$B$6:$B$105,$A456))</f>
        <v>1</v>
      </c>
      <c r="T456" s="109">
        <f>IF($A456="","",$K456*Config!$C$9)</f>
        <v>2</v>
      </c>
      <c r="U456" s="109">
        <f>IF($A456="","",IF(COUNTIF(Config!$C$21:$C$23,$H456)&gt;0,IFERROR(VALUE(LEFT(TRIM($Q456),FIND(" ",TRIM($Q456)&amp;" ")-1)),0),0))</f>
        <v>0</v>
      </c>
      <c r="V456" s="109">
        <f t="shared" si="84"/>
        <v>2</v>
      </c>
      <c r="W456" s="108">
        <f>IF($A456="",0,IF(AND($C456&gt;=Config!$C$7,$C456&lt;=Config!$C$8),1,0))</f>
        <v>1</v>
      </c>
      <c r="X456" s="108">
        <f>IF($A456="",0,IF(COUNTIF(Config!$C$21:$C$23,$H456)&gt;0,1,0))</f>
        <v>0</v>
      </c>
      <c r="Y456" s="108">
        <f t="shared" si="85"/>
        <v>6</v>
      </c>
      <c r="Z456" s="108" t="str">
        <f t="shared" si="86"/>
        <v/>
      </c>
      <c r="AB456" s="108">
        <f t="shared" si="87"/>
        <v>0</v>
      </c>
      <c r="AC456" s="108">
        <f>IF($A456="",0,IF(AND($AB456=1,COUNTIF($A$2:$A456,$A456)=1),1,0))</f>
        <v>0</v>
      </c>
      <c r="AD456" s="108">
        <f t="shared" si="88"/>
        <v>1</v>
      </c>
      <c r="AE456" s="108" t="str">
        <f t="shared" si="89"/>
        <v/>
      </c>
      <c r="AF456" s="108">
        <f t="shared" si="90"/>
        <v>0</v>
      </c>
      <c r="AG456" s="108">
        <f t="shared" si="91"/>
        <v>0</v>
      </c>
      <c r="AH456" s="112" t="str">
        <f t="shared" si="92"/>
        <v>A Camargo|20260902|BPO Project Management|0.250|- Met with Monica, Daniel and Laura
 - Mentoring program meeting
 - Assistance with project related questions</v>
      </c>
      <c r="AI456" s="108">
        <f t="shared" si="93"/>
        <v>0</v>
      </c>
      <c r="AJ456" s="108">
        <f t="shared" si="94"/>
        <v>0</v>
      </c>
      <c r="AK456" s="108">
        <f>IF($A456="",0,IF(AND($S456=1,$W456=1,$X456=1,$U456&gt;Config!$C$9),1,0))</f>
        <v>0</v>
      </c>
      <c r="AL456" s="108">
        <f t="shared" si="95"/>
        <v>0</v>
      </c>
    </row>
    <row r="457" spans="1:38" x14ac:dyDescent="0.25">
      <c r="A457" s="106" t="s">
        <v>120</v>
      </c>
      <c r="B457" s="106" t="s">
        <v>618</v>
      </c>
      <c r="C457" s="107">
        <v>46267</v>
      </c>
      <c r="D457" s="106" t="s">
        <v>712</v>
      </c>
      <c r="E457" s="106" t="s">
        <v>713</v>
      </c>
      <c r="F457" s="106" t="s">
        <v>714</v>
      </c>
      <c r="G457" s="106" t="s">
        <v>1122</v>
      </c>
      <c r="H457" s="106" t="s">
        <v>639</v>
      </c>
      <c r="I457" s="106"/>
      <c r="J457" s="106"/>
      <c r="K457" s="106">
        <v>0.75</v>
      </c>
      <c r="L457" s="106">
        <v>0</v>
      </c>
      <c r="M457" s="106">
        <v>0</v>
      </c>
      <c r="N457" s="106"/>
      <c r="O457" s="106"/>
      <c r="P457" s="106">
        <v>0</v>
      </c>
      <c r="Q457" s="106" t="s">
        <v>1266</v>
      </c>
      <c r="S457" s="108">
        <f>IF($A457="","",COUNTIF(BPOworkers!$B$6:$B$105,$A457))</f>
        <v>1</v>
      </c>
      <c r="T457" s="109">
        <f>IF($A457="","",$K457*Config!$C$9)</f>
        <v>6</v>
      </c>
      <c r="U457" s="109">
        <f>IF($A457="","",IF(COUNTIF(Config!$C$21:$C$23,$H457)&gt;0,IFERROR(VALUE(LEFT(TRIM($Q457),FIND(" ",TRIM($Q457)&amp;" ")-1)),0),0))</f>
        <v>0</v>
      </c>
      <c r="V457" s="109">
        <f t="shared" si="84"/>
        <v>6</v>
      </c>
      <c r="W457" s="108">
        <f>IF($A457="",0,IF(AND($C457&gt;=Config!$C$7,$C457&lt;=Config!$C$8),1,0))</f>
        <v>1</v>
      </c>
      <c r="X457" s="108">
        <f>IF($A457="",0,IF(COUNTIF(Config!$C$21:$C$23,$H457)&gt;0,1,0))</f>
        <v>0</v>
      </c>
      <c r="Y457" s="108">
        <f t="shared" si="85"/>
        <v>6</v>
      </c>
      <c r="Z457" s="108" t="str">
        <f t="shared" si="86"/>
        <v/>
      </c>
      <c r="AB457" s="108">
        <f t="shared" si="87"/>
        <v>0</v>
      </c>
      <c r="AC457" s="108">
        <f>IF($A457="",0,IF(AND($AB457=1,COUNTIF($A$2:$A457,$A457)=1),1,0))</f>
        <v>0</v>
      </c>
      <c r="AD457" s="108">
        <f t="shared" si="88"/>
        <v>1</v>
      </c>
      <c r="AE457" s="108" t="str">
        <f t="shared" si="89"/>
        <v/>
      </c>
      <c r="AF457" s="108">
        <f t="shared" si="90"/>
        <v>0</v>
      </c>
      <c r="AG457" s="108">
        <f t="shared" si="91"/>
        <v>0</v>
      </c>
      <c r="AH457" s="110" t="str">
        <f t="shared" si="92"/>
        <v>A Camargo|20260902|Review|0.750|A discrepancy exists between the client-reported data and the AOI data. Consequently, multiple parties were re-indexed t</v>
      </c>
      <c r="AI457" s="108">
        <f t="shared" si="93"/>
        <v>0</v>
      </c>
      <c r="AJ457" s="108">
        <f t="shared" si="94"/>
        <v>0</v>
      </c>
      <c r="AK457" s="108">
        <f>IF($A457="",0,IF(AND($S457=1,$W457=1,$X457=1,$U457&gt;Config!$C$9),1,0))</f>
        <v>0</v>
      </c>
      <c r="AL457" s="108">
        <f t="shared" si="95"/>
        <v>0</v>
      </c>
    </row>
    <row r="458" spans="1:38" x14ac:dyDescent="0.25">
      <c r="A458" s="106" t="s">
        <v>718</v>
      </c>
      <c r="B458" s="106" t="s">
        <v>618</v>
      </c>
      <c r="C458" s="107">
        <v>46267</v>
      </c>
      <c r="D458" s="106" t="s">
        <v>694</v>
      </c>
      <c r="E458" s="106" t="s">
        <v>765</v>
      </c>
      <c r="F458" s="106" t="s">
        <v>766</v>
      </c>
      <c r="G458" s="106" t="s">
        <v>1267</v>
      </c>
      <c r="H458" s="106" t="s">
        <v>639</v>
      </c>
      <c r="I458" s="106"/>
      <c r="J458" s="106"/>
      <c r="K458" s="106">
        <v>0.5</v>
      </c>
      <c r="L458" s="106">
        <v>0</v>
      </c>
      <c r="M458" s="106">
        <v>0</v>
      </c>
      <c r="N458" s="106"/>
      <c r="O458" s="106"/>
      <c r="P458" s="106">
        <v>0</v>
      </c>
      <c r="Q458" s="106" t="s">
        <v>1268</v>
      </c>
      <c r="S458" s="108">
        <f>IF($A458="","",COUNTIF(BPOworkers!$B$6:$B$105,$A458))</f>
        <v>0</v>
      </c>
      <c r="T458" s="109">
        <f>IF($A458="","",$K458*Config!$C$9)</f>
        <v>4</v>
      </c>
      <c r="U458" s="109">
        <f>IF($A458="","",IF(COUNTIF(Config!$C$21:$C$23,$H458)&gt;0,IFERROR(VALUE(LEFT(TRIM($Q458),FIND(" ",TRIM($Q458)&amp;" ")-1)),0),0))</f>
        <v>0</v>
      </c>
      <c r="V458" s="109">
        <f t="shared" si="84"/>
        <v>4</v>
      </c>
      <c r="W458" s="108">
        <f>IF($A458="",0,IF(AND($C458&gt;=Config!$C$7,$C458&lt;=Config!$C$8),1,0))</f>
        <v>1</v>
      </c>
      <c r="X458" s="108">
        <f>IF($A458="",0,IF(COUNTIF(Config!$C$21:$C$23,$H458)&gt;0,1,0))</f>
        <v>0</v>
      </c>
      <c r="Y458" s="108">
        <f t="shared" si="85"/>
        <v>6</v>
      </c>
      <c r="Z458" s="108" t="str">
        <f t="shared" si="86"/>
        <v/>
      </c>
      <c r="AB458" s="108">
        <f t="shared" si="87"/>
        <v>0</v>
      </c>
      <c r="AC458" s="108">
        <f>IF($A458="",0,IF(AND($AB458=1,COUNTIF($A$2:$A458,$A458)=1),1,0))</f>
        <v>0</v>
      </c>
      <c r="AD458" s="108">
        <f t="shared" si="88"/>
        <v>1</v>
      </c>
      <c r="AE458" s="108" t="str">
        <f t="shared" si="89"/>
        <v/>
      </c>
      <c r="AF458" s="108">
        <f t="shared" si="90"/>
        <v>0</v>
      </c>
      <c r="AG458" s="108">
        <f t="shared" si="91"/>
        <v>0</v>
      </c>
      <c r="AH458" s="110" t="str">
        <f t="shared" si="92"/>
        <v>B. Lukes|20260902|Review|0.500|Reviewing AOI, adding documents to AOI to complete COT from latest leases (1963) to present.</v>
      </c>
      <c r="AI458" s="108">
        <f t="shared" si="93"/>
        <v>0</v>
      </c>
      <c r="AJ458" s="108">
        <f t="shared" si="94"/>
        <v>0</v>
      </c>
      <c r="AK458" s="108">
        <f>IF($A458="",0,IF(AND($S458=1,$W458=1,$X458=1,$U458&gt;Config!$C$9),1,0))</f>
        <v>0</v>
      </c>
      <c r="AL458" s="108">
        <f t="shared" si="95"/>
        <v>0</v>
      </c>
    </row>
    <row r="459" spans="1:38" x14ac:dyDescent="0.25">
      <c r="A459" s="106" t="s">
        <v>718</v>
      </c>
      <c r="B459" s="106" t="s">
        <v>618</v>
      </c>
      <c r="C459" s="107">
        <v>46267</v>
      </c>
      <c r="D459" s="106" t="s">
        <v>628</v>
      </c>
      <c r="E459" s="106" t="s">
        <v>705</v>
      </c>
      <c r="F459" s="106" t="s">
        <v>630</v>
      </c>
      <c r="G459" s="106" t="s">
        <v>910</v>
      </c>
      <c r="H459" s="106" t="s">
        <v>631</v>
      </c>
      <c r="I459" s="106"/>
      <c r="J459" s="106"/>
      <c r="K459" s="106">
        <v>0.5</v>
      </c>
      <c r="L459" s="106">
        <v>0</v>
      </c>
      <c r="M459" s="106">
        <v>0</v>
      </c>
      <c r="N459" s="106"/>
      <c r="O459" s="106"/>
      <c r="P459" s="106">
        <v>0</v>
      </c>
      <c r="Q459" s="106" t="s">
        <v>969</v>
      </c>
      <c r="S459" s="108">
        <f>IF($A459="","",COUNTIF(BPOworkers!$B$6:$B$105,$A459))</f>
        <v>0</v>
      </c>
      <c r="T459" s="109">
        <f>IF($A459="","",$K459*Config!$C$9)</f>
        <v>4</v>
      </c>
      <c r="U459" s="109">
        <f>IF($A459="","",IF(COUNTIF(Config!$C$21:$C$23,$H459)&gt;0,IFERROR(VALUE(LEFT(TRIM($Q459),FIND(" ",TRIM($Q459)&amp;" ")-1)),0),0))</f>
        <v>0</v>
      </c>
      <c r="V459" s="109">
        <f t="shared" si="84"/>
        <v>4</v>
      </c>
      <c r="W459" s="108">
        <f>IF($A459="",0,IF(AND($C459&gt;=Config!$C$7,$C459&lt;=Config!$C$8),1,0))</f>
        <v>1</v>
      </c>
      <c r="X459" s="108">
        <f>IF($A459="",0,IF(COUNTIF(Config!$C$21:$C$23,$H459)&gt;0,1,0))</f>
        <v>0</v>
      </c>
      <c r="Y459" s="108">
        <f t="shared" si="85"/>
        <v>6</v>
      </c>
      <c r="Z459" s="108" t="str">
        <f t="shared" si="86"/>
        <v/>
      </c>
      <c r="AB459" s="108">
        <f t="shared" si="87"/>
        <v>0</v>
      </c>
      <c r="AC459" s="108">
        <f>IF($A459="",0,IF(AND($AB459=1,COUNTIF($A$2:$A459,$A459)=1),1,0))</f>
        <v>0</v>
      </c>
      <c r="AD459" s="108">
        <f t="shared" si="88"/>
        <v>1</v>
      </c>
      <c r="AE459" s="108" t="str">
        <f t="shared" si="89"/>
        <v/>
      </c>
      <c r="AF459" s="108">
        <f t="shared" si="90"/>
        <v>0</v>
      </c>
      <c r="AG459" s="108">
        <f t="shared" si="91"/>
        <v>0</v>
      </c>
      <c r="AH459" s="110" t="str">
        <f t="shared" si="92"/>
        <v>B. Lukes|20260902|Title|0.500|Uploading and organizing DTO data into AOI.</v>
      </c>
      <c r="AI459" s="108">
        <f t="shared" si="93"/>
        <v>0</v>
      </c>
      <c r="AJ459" s="108">
        <f t="shared" si="94"/>
        <v>0</v>
      </c>
      <c r="AK459" s="108">
        <f>IF($A459="",0,IF(AND($S459=1,$W459=1,$X459=1,$U459&gt;Config!$C$9),1,0))</f>
        <v>0</v>
      </c>
      <c r="AL459" s="108">
        <f t="shared" si="95"/>
        <v>0</v>
      </c>
    </row>
    <row r="460" spans="1:38" ht="168.75" x14ac:dyDescent="0.25">
      <c r="A460" s="106" t="s">
        <v>125</v>
      </c>
      <c r="B460" s="106" t="s">
        <v>618</v>
      </c>
      <c r="C460" s="107">
        <v>46267</v>
      </c>
      <c r="D460" s="106" t="s">
        <v>720</v>
      </c>
      <c r="E460" s="106" t="s">
        <v>721</v>
      </c>
      <c r="F460" s="106" t="s">
        <v>722</v>
      </c>
      <c r="G460" s="106" t="s">
        <v>1126</v>
      </c>
      <c r="H460" s="106" t="s">
        <v>631</v>
      </c>
      <c r="I460" s="106"/>
      <c r="J460" s="106" t="s">
        <v>1127</v>
      </c>
      <c r="K460" s="106">
        <v>0.75</v>
      </c>
      <c r="L460" s="106">
        <v>0</v>
      </c>
      <c r="M460" s="106">
        <v>0</v>
      </c>
      <c r="N460" s="106"/>
      <c r="O460" s="106"/>
      <c r="P460" s="106">
        <v>0</v>
      </c>
      <c r="Q460" s="111" t="s">
        <v>1269</v>
      </c>
      <c r="S460" s="108">
        <f>IF($A460="","",COUNTIF(BPOworkers!$B$6:$B$105,$A460))</f>
        <v>1</v>
      </c>
      <c r="T460" s="109">
        <f>IF($A460="","",$K460*Config!$C$9)</f>
        <v>6</v>
      </c>
      <c r="U460" s="109">
        <f>IF($A460="","",IF(COUNTIF(Config!$C$21:$C$23,$H460)&gt;0,IFERROR(VALUE(LEFT(TRIM($Q460),FIND(" ",TRIM($Q460)&amp;" ")-1)),0),0))</f>
        <v>0</v>
      </c>
      <c r="V460" s="109">
        <f t="shared" si="84"/>
        <v>6</v>
      </c>
      <c r="W460" s="108">
        <f>IF($A460="",0,IF(AND($C460&gt;=Config!$C$7,$C460&lt;=Config!$C$8),1,0))</f>
        <v>1</v>
      </c>
      <c r="X460" s="108">
        <f>IF($A460="",0,IF(COUNTIF(Config!$C$21:$C$23,$H460)&gt;0,1,0))</f>
        <v>0</v>
      </c>
      <c r="Y460" s="108">
        <f t="shared" si="85"/>
        <v>6</v>
      </c>
      <c r="Z460" s="108" t="str">
        <f t="shared" si="86"/>
        <v/>
      </c>
      <c r="AB460" s="108">
        <f t="shared" si="87"/>
        <v>0</v>
      </c>
      <c r="AC460" s="108">
        <f>IF($A460="",0,IF(AND($AB460=1,COUNTIF($A$2:$A460,$A460)=1),1,0))</f>
        <v>0</v>
      </c>
      <c r="AD460" s="108">
        <f t="shared" si="88"/>
        <v>1</v>
      </c>
      <c r="AE460" s="108" t="str">
        <f t="shared" si="89"/>
        <v/>
      </c>
      <c r="AF460" s="108">
        <f t="shared" si="90"/>
        <v>0</v>
      </c>
      <c r="AG460" s="108">
        <f t="shared" si="91"/>
        <v>0</v>
      </c>
      <c r="AH460" s="112" t="str">
        <f t="shared" si="92"/>
        <v>M Leon|20260902|Title|0.750|Created AOI
 . Created indexing spreadsheet
 Added source deed
 - Indexed to the present from source deed
 Started index</v>
      </c>
      <c r="AI460" s="108">
        <f t="shared" si="93"/>
        <v>0</v>
      </c>
      <c r="AJ460" s="108">
        <f t="shared" si="94"/>
        <v>0</v>
      </c>
      <c r="AK460" s="108">
        <f>IF($A460="",0,IF(AND($S460=1,$W460=1,$X460=1,$U460&gt;Config!$C$9),1,0))</f>
        <v>0</v>
      </c>
      <c r="AL460" s="108">
        <f t="shared" si="95"/>
        <v>0</v>
      </c>
    </row>
    <row r="461" spans="1:38" ht="144.75" x14ac:dyDescent="0.25">
      <c r="A461" s="106" t="s">
        <v>125</v>
      </c>
      <c r="B461" s="106" t="s">
        <v>618</v>
      </c>
      <c r="C461" s="107">
        <v>46267</v>
      </c>
      <c r="D461" s="106" t="s">
        <v>623</v>
      </c>
      <c r="E461" s="106" t="s">
        <v>624</v>
      </c>
      <c r="F461" s="106" t="s">
        <v>615</v>
      </c>
      <c r="G461" s="106" t="s">
        <v>625</v>
      </c>
      <c r="H461" s="106" t="s">
        <v>671</v>
      </c>
      <c r="I461" s="106" t="s">
        <v>657</v>
      </c>
      <c r="J461" s="106"/>
      <c r="K461" s="106">
        <v>0.25</v>
      </c>
      <c r="L461" s="106">
        <v>0</v>
      </c>
      <c r="M461" s="106">
        <v>0</v>
      </c>
      <c r="N461" s="106"/>
      <c r="O461" s="106"/>
      <c r="P461" s="106">
        <v>0</v>
      </c>
      <c r="Q461" s="111" t="s">
        <v>1270</v>
      </c>
      <c r="S461" s="108">
        <f>IF($A461="","",COUNTIF(BPOworkers!$B$6:$B$105,$A461))</f>
        <v>1</v>
      </c>
      <c r="T461" s="109">
        <f>IF($A461="","",$K461*Config!$C$9)</f>
        <v>2</v>
      </c>
      <c r="U461" s="109">
        <f>IF($A461="","",IF(COUNTIF(Config!$C$21:$C$23,$H461)&gt;0,IFERROR(VALUE(LEFT(TRIM($Q461),FIND(" ",TRIM($Q461)&amp;" ")-1)),0),0))</f>
        <v>0</v>
      </c>
      <c r="V461" s="109">
        <f t="shared" si="84"/>
        <v>2</v>
      </c>
      <c r="W461" s="108">
        <f>IF($A461="",0,IF(AND($C461&gt;=Config!$C$7,$C461&lt;=Config!$C$8),1,0))</f>
        <v>1</v>
      </c>
      <c r="X461" s="108">
        <f>IF($A461="",0,IF(COUNTIF(Config!$C$21:$C$23,$H461)&gt;0,1,0))</f>
        <v>0</v>
      </c>
      <c r="Y461" s="108">
        <f t="shared" si="85"/>
        <v>6</v>
      </c>
      <c r="Z461" s="108" t="str">
        <f t="shared" si="86"/>
        <v/>
      </c>
      <c r="AB461" s="108">
        <f t="shared" si="87"/>
        <v>0</v>
      </c>
      <c r="AC461" s="108">
        <f>IF($A461="",0,IF(AND($AB461=1,COUNTIF($A$2:$A461,$A461)=1),1,0))</f>
        <v>0</v>
      </c>
      <c r="AD461" s="108">
        <f t="shared" si="88"/>
        <v>1</v>
      </c>
      <c r="AE461" s="108" t="str">
        <f t="shared" si="89"/>
        <v/>
      </c>
      <c r="AF461" s="108">
        <f t="shared" si="90"/>
        <v>0</v>
      </c>
      <c r="AG461" s="108">
        <f t="shared" si="91"/>
        <v>0</v>
      </c>
      <c r="AH461" s="112" t="str">
        <f t="shared" si="92"/>
        <v>M Leon|20260902|TitleNotes - Library|0.250|4 documents
 23 transactions
 Back to title notes since Energy Miami project was paused</v>
      </c>
      <c r="AI461" s="108">
        <f t="shared" si="93"/>
        <v>0</v>
      </c>
      <c r="AJ461" s="108">
        <f t="shared" si="94"/>
        <v>0</v>
      </c>
      <c r="AK461" s="108">
        <f>IF($A461="",0,IF(AND($S461=1,$W461=1,$X461=1,$U461&gt;Config!$C$9),1,0))</f>
        <v>0</v>
      </c>
      <c r="AL461" s="108">
        <f t="shared" si="95"/>
        <v>0</v>
      </c>
    </row>
    <row r="462" spans="1:38" x14ac:dyDescent="0.25">
      <c r="A462" s="106" t="s">
        <v>468</v>
      </c>
      <c r="B462" s="106" t="s">
        <v>618</v>
      </c>
      <c r="C462" s="107">
        <v>46267</v>
      </c>
      <c r="D462" s="106" t="s">
        <v>529</v>
      </c>
      <c r="E462" s="106" t="s">
        <v>529</v>
      </c>
      <c r="F462" s="106" t="s">
        <v>615</v>
      </c>
      <c r="G462" s="106"/>
      <c r="H462" s="106" t="s">
        <v>529</v>
      </c>
      <c r="I462" s="106"/>
      <c r="J462" s="106" t="s">
        <v>727</v>
      </c>
      <c r="K462" s="106">
        <v>0</v>
      </c>
      <c r="L462" s="106">
        <v>0</v>
      </c>
      <c r="M462" s="106">
        <v>0</v>
      </c>
      <c r="N462" s="106"/>
      <c r="O462" s="106"/>
      <c r="P462" s="106">
        <v>0</v>
      </c>
      <c r="Q462" s="106" t="s">
        <v>728</v>
      </c>
      <c r="S462" s="108">
        <f>IF($A462="","",COUNTIF(BPOworkers!$B$6:$B$105,$A462))</f>
        <v>1</v>
      </c>
      <c r="T462" s="109">
        <f>IF($A462="","",$K462*Config!$C$9)</f>
        <v>0</v>
      </c>
      <c r="U462" s="109">
        <f>IF($A462="","",IF(COUNTIF(Config!$C$21:$C$23,$H462)&gt;0,IFERROR(VALUE(LEFT(TRIM($Q462),FIND(" ",TRIM($Q462)&amp;" ")-1)),0),0))</f>
        <v>8</v>
      </c>
      <c r="V462" s="109">
        <f t="shared" si="84"/>
        <v>8</v>
      </c>
      <c r="W462" s="108">
        <f>IF($A462="",0,IF(AND($C462&gt;=Config!$C$7,$C462&lt;=Config!$C$8),1,0))</f>
        <v>1</v>
      </c>
      <c r="X462" s="108">
        <f>IF($A462="",0,IF(COUNTIF(Config!$C$21:$C$23,$H462)&gt;0,1,0))</f>
        <v>1</v>
      </c>
      <c r="Y462" s="108">
        <f t="shared" si="85"/>
        <v>7</v>
      </c>
      <c r="Z462" s="108">
        <f t="shared" si="86"/>
        <v>7</v>
      </c>
      <c r="AB462" s="108">
        <f t="shared" si="87"/>
        <v>0</v>
      </c>
      <c r="AC462" s="108">
        <f>IF($A462="",0,IF(AND($AB462=1,COUNTIF($A$2:$A462,$A462)=1),1,0))</f>
        <v>0</v>
      </c>
      <c r="AD462" s="108">
        <f t="shared" si="88"/>
        <v>1</v>
      </c>
      <c r="AE462" s="108" t="str">
        <f t="shared" si="89"/>
        <v/>
      </c>
      <c r="AF462" s="108">
        <f t="shared" si="90"/>
        <v>0</v>
      </c>
      <c r="AG462" s="108">
        <f t="shared" si="91"/>
        <v>0</v>
      </c>
      <c r="AH462" s="110" t="str">
        <f t="shared" si="92"/>
        <v>J Castillo|20260902|Time Off|0.000|8 hours not worked medical leave. 8 Hours not billed</v>
      </c>
      <c r="AI462" s="108">
        <f t="shared" si="93"/>
        <v>0</v>
      </c>
      <c r="AJ462" s="108">
        <f t="shared" si="94"/>
        <v>0</v>
      </c>
      <c r="AK462" s="108">
        <f>IF($A462="",0,IF(AND($S462=1,$W462=1,$X462=1,$U462&gt;Config!$C$9),1,0))</f>
        <v>0</v>
      </c>
      <c r="AL462" s="108">
        <f t="shared" si="95"/>
        <v>0</v>
      </c>
    </row>
    <row r="463" spans="1:38" x14ac:dyDescent="0.25">
      <c r="A463" s="106" t="s">
        <v>729</v>
      </c>
      <c r="B463" s="106" t="s">
        <v>618</v>
      </c>
      <c r="C463" s="107">
        <v>46267</v>
      </c>
      <c r="D463" s="106" t="s">
        <v>712</v>
      </c>
      <c r="E463" s="106" t="s">
        <v>713</v>
      </c>
      <c r="F463" s="106" t="s">
        <v>866</v>
      </c>
      <c r="G463" s="106" t="s">
        <v>873</v>
      </c>
      <c r="H463" s="106" t="s">
        <v>656</v>
      </c>
      <c r="I463" s="106"/>
      <c r="J463" s="106"/>
      <c r="K463" s="106">
        <v>0.25</v>
      </c>
      <c r="L463" s="106">
        <v>0</v>
      </c>
      <c r="M463" s="106">
        <v>0</v>
      </c>
      <c r="N463" s="106"/>
      <c r="O463" s="106"/>
      <c r="P463" s="106">
        <v>0</v>
      </c>
      <c r="Q463" s="106" t="s">
        <v>1271</v>
      </c>
      <c r="S463" s="108">
        <f>IF($A463="","",COUNTIF(BPOworkers!$B$6:$B$105,$A463))</f>
        <v>0</v>
      </c>
      <c r="T463" s="109">
        <f>IF($A463="","",$K463*Config!$C$9)</f>
        <v>2</v>
      </c>
      <c r="U463" s="109">
        <f>IF($A463="","",IF(COUNTIF(Config!$C$21:$C$23,$H463)&gt;0,IFERROR(VALUE(LEFT(TRIM($Q463),FIND(" ",TRIM($Q463)&amp;" ")-1)),0),0))</f>
        <v>0</v>
      </c>
      <c r="V463" s="109">
        <f t="shared" si="84"/>
        <v>2</v>
      </c>
      <c r="W463" s="108">
        <f>IF($A463="",0,IF(AND($C463&gt;=Config!$C$7,$C463&lt;=Config!$C$8),1,0))</f>
        <v>1</v>
      </c>
      <c r="X463" s="108">
        <f>IF($A463="",0,IF(COUNTIF(Config!$C$21:$C$23,$H463)&gt;0,1,0))</f>
        <v>0</v>
      </c>
      <c r="Y463" s="108">
        <f t="shared" si="85"/>
        <v>7</v>
      </c>
      <c r="Z463" s="108" t="str">
        <f t="shared" si="86"/>
        <v/>
      </c>
      <c r="AB463" s="108">
        <f t="shared" si="87"/>
        <v>0</v>
      </c>
      <c r="AC463" s="108">
        <f>IF($A463="",0,IF(AND($AB463=1,COUNTIF($A$2:$A463,$A463)=1),1,0))</f>
        <v>0</v>
      </c>
      <c r="AD463" s="108">
        <f t="shared" si="88"/>
        <v>1</v>
      </c>
      <c r="AE463" s="108" t="str">
        <f t="shared" si="89"/>
        <v/>
      </c>
      <c r="AF463" s="108">
        <f t="shared" si="90"/>
        <v>0</v>
      </c>
      <c r="AG463" s="108">
        <f t="shared" si="91"/>
        <v>0</v>
      </c>
      <c r="AH463" s="110" t="str">
        <f t="shared" si="92"/>
        <v>Z. Greenlee|20260902|Project Management|0.250|Assisted team with title research and AOI completion. Answered best practice questions and assigned task for review.</v>
      </c>
      <c r="AI463" s="108">
        <f t="shared" si="93"/>
        <v>0</v>
      </c>
      <c r="AJ463" s="108">
        <f t="shared" si="94"/>
        <v>0</v>
      </c>
      <c r="AK463" s="108">
        <f>IF($A463="",0,IF(AND($S463=1,$W463=1,$X463=1,$U463&gt;Config!$C$9),1,0))</f>
        <v>0</v>
      </c>
      <c r="AL463" s="108">
        <f t="shared" si="95"/>
        <v>0</v>
      </c>
    </row>
    <row r="464" spans="1:38" x14ac:dyDescent="0.25">
      <c r="A464" s="106" t="s">
        <v>729</v>
      </c>
      <c r="B464" s="106" t="s">
        <v>618</v>
      </c>
      <c r="C464" s="107">
        <v>46267</v>
      </c>
      <c r="D464" s="106" t="s">
        <v>529</v>
      </c>
      <c r="E464" s="106" t="s">
        <v>529</v>
      </c>
      <c r="F464" s="106" t="s">
        <v>615</v>
      </c>
      <c r="G464" s="106"/>
      <c r="H464" s="106" t="s">
        <v>529</v>
      </c>
      <c r="I464" s="106"/>
      <c r="J464" s="106"/>
      <c r="K464" s="106">
        <v>0</v>
      </c>
      <c r="L464" s="106">
        <v>0</v>
      </c>
      <c r="M464" s="106">
        <v>0</v>
      </c>
      <c r="N464" s="106"/>
      <c r="O464" s="106"/>
      <c r="P464" s="106">
        <v>0</v>
      </c>
      <c r="Q464" s="106" t="s">
        <v>1272</v>
      </c>
      <c r="S464" s="108">
        <f>IF($A464="","",COUNTIF(BPOworkers!$B$6:$B$105,$A464))</f>
        <v>0</v>
      </c>
      <c r="T464" s="109">
        <f>IF($A464="","",$K464*Config!$C$9)</f>
        <v>0</v>
      </c>
      <c r="U464" s="109">
        <f>IF($A464="","",IF(COUNTIF(Config!$C$21:$C$23,$H464)&gt;0,IFERROR(VALUE(LEFT(TRIM($Q464),FIND(" ",TRIM($Q464)&amp;" ")-1)),0),0))</f>
        <v>6</v>
      </c>
      <c r="V464" s="109">
        <f t="shared" si="84"/>
        <v>6</v>
      </c>
      <c r="W464" s="108">
        <f>IF($A464="",0,IF(AND($C464&gt;=Config!$C$7,$C464&lt;=Config!$C$8),1,0))</f>
        <v>1</v>
      </c>
      <c r="X464" s="108">
        <f>IF($A464="",0,IF(COUNTIF(Config!$C$21:$C$23,$H464)&gt;0,1,0))</f>
        <v>1</v>
      </c>
      <c r="Y464" s="108">
        <f t="shared" si="85"/>
        <v>7</v>
      </c>
      <c r="Z464" s="108" t="str">
        <f t="shared" si="86"/>
        <v/>
      </c>
      <c r="AB464" s="108">
        <f t="shared" si="87"/>
        <v>0</v>
      </c>
      <c r="AC464" s="108">
        <f>IF($A464="",0,IF(AND($AB464=1,COUNTIF($A$2:$A464,$A464)=1),1,0))</f>
        <v>0</v>
      </c>
      <c r="AD464" s="108">
        <f t="shared" si="88"/>
        <v>1</v>
      </c>
      <c r="AE464" s="108" t="str">
        <f t="shared" si="89"/>
        <v/>
      </c>
      <c r="AF464" s="108">
        <f t="shared" si="90"/>
        <v>0</v>
      </c>
      <c r="AG464" s="108">
        <f t="shared" si="91"/>
        <v>0</v>
      </c>
      <c r="AH464" s="110" t="str">
        <f t="shared" si="92"/>
        <v>Z. Greenlee|20260902|Time Off|0.000|6 hours not worked.</v>
      </c>
      <c r="AI464" s="108">
        <f t="shared" si="93"/>
        <v>0</v>
      </c>
      <c r="AJ464" s="108">
        <f t="shared" si="94"/>
        <v>0</v>
      </c>
      <c r="AK464" s="108">
        <f>IF($A464="",0,IF(AND($S464=1,$W464=1,$X464=1,$U464&gt;Config!$C$9),1,0))</f>
        <v>0</v>
      </c>
      <c r="AL464" s="108">
        <f t="shared" si="95"/>
        <v>0</v>
      </c>
    </row>
    <row r="465" spans="1:38" x14ac:dyDescent="0.25">
      <c r="A465" s="106" t="s">
        <v>733</v>
      </c>
      <c r="B465" s="106" t="s">
        <v>618</v>
      </c>
      <c r="C465" s="107">
        <v>46267</v>
      </c>
      <c r="D465" s="106" t="s">
        <v>712</v>
      </c>
      <c r="E465" s="106" t="s">
        <v>713</v>
      </c>
      <c r="F465" s="106" t="s">
        <v>866</v>
      </c>
      <c r="G465" s="106" t="s">
        <v>939</v>
      </c>
      <c r="H465" s="106" t="s">
        <v>631</v>
      </c>
      <c r="I465" s="106"/>
      <c r="J465" s="106" t="s">
        <v>1132</v>
      </c>
      <c r="K465" s="106">
        <v>1</v>
      </c>
      <c r="L465" s="106">
        <v>0</v>
      </c>
      <c r="M465" s="106">
        <v>0</v>
      </c>
      <c r="N465" s="106"/>
      <c r="O465" s="106"/>
      <c r="P465" s="106">
        <v>0</v>
      </c>
      <c r="Q465" s="106" t="s">
        <v>1273</v>
      </c>
      <c r="S465" s="108">
        <f>IF($A465="","",COUNTIF(BPOworkers!$B$6:$B$105,$A465))</f>
        <v>0</v>
      </c>
      <c r="T465" s="109">
        <f>IF($A465="","",$K465*Config!$C$9)</f>
        <v>8</v>
      </c>
      <c r="U465" s="109">
        <f>IF($A465="","",IF(COUNTIF(Config!$C$21:$C$23,$H465)&gt;0,IFERROR(VALUE(LEFT(TRIM($Q465),FIND(" ",TRIM($Q465)&amp;" ")-1)),0),0))</f>
        <v>0</v>
      </c>
      <c r="V465" s="109">
        <f t="shared" si="84"/>
        <v>8</v>
      </c>
      <c r="W465" s="108">
        <f>IF($A465="",0,IF(AND($C465&gt;=Config!$C$7,$C465&lt;=Config!$C$8),1,0))</f>
        <v>1</v>
      </c>
      <c r="X465" s="108">
        <f>IF($A465="",0,IF(COUNTIF(Config!$C$21:$C$23,$H465)&gt;0,1,0))</f>
        <v>0</v>
      </c>
      <c r="Y465" s="108">
        <f t="shared" si="85"/>
        <v>7</v>
      </c>
      <c r="Z465" s="108" t="str">
        <f t="shared" si="86"/>
        <v/>
      </c>
      <c r="AB465" s="108">
        <f t="shared" si="87"/>
        <v>0</v>
      </c>
      <c r="AC465" s="108">
        <f>IF($A465="",0,IF(AND($AB465=1,COUNTIF($A$2:$A465,$A465)=1),1,0))</f>
        <v>0</v>
      </c>
      <c r="AD465" s="108">
        <f t="shared" si="88"/>
        <v>1</v>
      </c>
      <c r="AE465" s="108" t="str">
        <f t="shared" si="89"/>
        <v/>
      </c>
      <c r="AF465" s="108">
        <f t="shared" si="90"/>
        <v>0</v>
      </c>
      <c r="AG465" s="108">
        <f t="shared" si="91"/>
        <v>0</v>
      </c>
      <c r="AH465" s="110" t="str">
        <f t="shared" si="92"/>
        <v>R. Norris|20260902|Title|1.000|Completed the Indexing for 10 party names and added in 9 documents into the AOI making the chain closer to being done. T</v>
      </c>
      <c r="AI465" s="108">
        <f t="shared" si="93"/>
        <v>0</v>
      </c>
      <c r="AJ465" s="108">
        <f t="shared" si="94"/>
        <v>0</v>
      </c>
      <c r="AK465" s="108">
        <f>IF($A465="",0,IF(AND($S465=1,$W465=1,$X465=1,$U465&gt;Config!$C$9),1,0))</f>
        <v>0</v>
      </c>
      <c r="AL465" s="108">
        <f t="shared" si="95"/>
        <v>0</v>
      </c>
    </row>
    <row r="466" spans="1:38" x14ac:dyDescent="0.25">
      <c r="A466" s="106" t="s">
        <v>735</v>
      </c>
      <c r="B466" s="106" t="s">
        <v>618</v>
      </c>
      <c r="C466" s="107">
        <v>46267</v>
      </c>
      <c r="D466" s="106" t="s">
        <v>680</v>
      </c>
      <c r="E466" s="106" t="s">
        <v>681</v>
      </c>
      <c r="F466" s="106" t="s">
        <v>682</v>
      </c>
      <c r="G466" s="106" t="s">
        <v>978</v>
      </c>
      <c r="H466" s="106" t="s">
        <v>631</v>
      </c>
      <c r="I466" s="106"/>
      <c r="J466" s="106" t="s">
        <v>979</v>
      </c>
      <c r="K466" s="106">
        <v>1</v>
      </c>
      <c r="L466" s="106">
        <v>0</v>
      </c>
      <c r="M466" s="106">
        <v>0</v>
      </c>
      <c r="N466" s="106"/>
      <c r="O466" s="106"/>
      <c r="P466" s="106">
        <v>0</v>
      </c>
      <c r="Q466" s="106" t="s">
        <v>1274</v>
      </c>
      <c r="S466" s="108">
        <f>IF($A466="","",COUNTIF(BPOworkers!$B$6:$B$105,$A466))</f>
        <v>0</v>
      </c>
      <c r="T466" s="109">
        <f>IF($A466="","",$K466*Config!$C$9)</f>
        <v>8</v>
      </c>
      <c r="U466" s="109">
        <f>IF($A466="","",IF(COUNTIF(Config!$C$21:$C$23,$H466)&gt;0,IFERROR(VALUE(LEFT(TRIM($Q466),FIND(" ",TRIM($Q466)&amp;" ")-1)),0),0))</f>
        <v>0</v>
      </c>
      <c r="V466" s="109">
        <f t="shared" si="84"/>
        <v>8</v>
      </c>
      <c r="W466" s="108">
        <f>IF($A466="",0,IF(AND($C466&gt;=Config!$C$7,$C466&lt;=Config!$C$8),1,0))</f>
        <v>1</v>
      </c>
      <c r="X466" s="108">
        <f>IF($A466="",0,IF(COUNTIF(Config!$C$21:$C$23,$H466)&gt;0,1,0))</f>
        <v>0</v>
      </c>
      <c r="Y466" s="108">
        <f t="shared" si="85"/>
        <v>7</v>
      </c>
      <c r="Z466" s="108" t="str">
        <f t="shared" si="86"/>
        <v/>
      </c>
      <c r="AB466" s="108">
        <f t="shared" si="87"/>
        <v>0</v>
      </c>
      <c r="AC466" s="108">
        <f>IF($A466="",0,IF(AND($AB466=1,COUNTIF($A$2:$A466,$A466)=1),1,0))</f>
        <v>0</v>
      </c>
      <c r="AD466" s="108">
        <f t="shared" si="88"/>
        <v>1</v>
      </c>
      <c r="AE466" s="108" t="str">
        <f t="shared" si="89"/>
        <v/>
      </c>
      <c r="AF466" s="108">
        <f t="shared" si="90"/>
        <v>0</v>
      </c>
      <c r="AG466" s="108">
        <f t="shared" si="91"/>
        <v>0</v>
      </c>
      <c r="AH466" s="110" t="str">
        <f t="shared" si="92"/>
        <v>R. Liska|20260902|Title|1.000|8 Names Indexed, 8 Documents entered. Title back to 1951</v>
      </c>
      <c r="AI466" s="108">
        <f t="shared" si="93"/>
        <v>0</v>
      </c>
      <c r="AJ466" s="108">
        <f t="shared" si="94"/>
        <v>0</v>
      </c>
      <c r="AK466" s="108">
        <f>IF($A466="",0,IF(AND($S466=1,$W466=1,$X466=1,$U466&gt;Config!$C$9),1,0))</f>
        <v>0</v>
      </c>
      <c r="AL466" s="108">
        <f t="shared" si="95"/>
        <v>0</v>
      </c>
    </row>
    <row r="467" spans="1:38" ht="180.75" x14ac:dyDescent="0.25">
      <c r="A467" s="106" t="s">
        <v>473</v>
      </c>
      <c r="B467" s="106" t="s">
        <v>618</v>
      </c>
      <c r="C467" s="107">
        <v>46267</v>
      </c>
      <c r="D467" s="106" t="s">
        <v>680</v>
      </c>
      <c r="E467" s="106" t="s">
        <v>681</v>
      </c>
      <c r="F467" s="106" t="s">
        <v>686</v>
      </c>
      <c r="G467" s="106" t="s">
        <v>739</v>
      </c>
      <c r="H467" s="106" t="s">
        <v>631</v>
      </c>
      <c r="I467" s="106"/>
      <c r="J467" s="106" t="s">
        <v>740</v>
      </c>
      <c r="K467" s="106">
        <v>1</v>
      </c>
      <c r="L467" s="106">
        <v>0</v>
      </c>
      <c r="M467" s="106">
        <v>0</v>
      </c>
      <c r="N467" s="106"/>
      <c r="O467" s="106"/>
      <c r="P467" s="106">
        <v>0</v>
      </c>
      <c r="Q467" s="111" t="s">
        <v>1275</v>
      </c>
      <c r="S467" s="108">
        <f>IF($A467="","",COUNTIF(BPOworkers!$B$6:$B$105,$A467))</f>
        <v>1</v>
      </c>
      <c r="T467" s="109">
        <f>IF($A467="","",$K467*Config!$C$9)</f>
        <v>8</v>
      </c>
      <c r="U467" s="109">
        <f>IF($A467="","",IF(COUNTIF(Config!$C$21:$C$23,$H467)&gt;0,IFERROR(VALUE(LEFT(TRIM($Q467),FIND(" ",TRIM($Q467)&amp;" ")-1)),0),0))</f>
        <v>0</v>
      </c>
      <c r="V467" s="109">
        <f t="shared" si="84"/>
        <v>8</v>
      </c>
      <c r="W467" s="108">
        <f>IF($A467="",0,IF(AND($C467&gt;=Config!$C$7,$C467&lt;=Config!$C$8),1,0))</f>
        <v>1</v>
      </c>
      <c r="X467" s="108">
        <f>IF($A467="",0,IF(COUNTIF(Config!$C$21:$C$23,$H467)&gt;0,1,0))</f>
        <v>0</v>
      </c>
      <c r="Y467" s="108">
        <f t="shared" si="85"/>
        <v>7</v>
      </c>
      <c r="Z467" s="108" t="str">
        <f t="shared" si="86"/>
        <v/>
      </c>
      <c r="AB467" s="108">
        <f t="shared" si="87"/>
        <v>0</v>
      </c>
      <c r="AC467" s="108">
        <f>IF($A467="",0,IF(AND($AB467=1,COUNTIF($A$2:$A467,$A467)=1),1,0))</f>
        <v>0</v>
      </c>
      <c r="AD467" s="108">
        <f t="shared" si="88"/>
        <v>1</v>
      </c>
      <c r="AE467" s="108" t="str">
        <f t="shared" si="89"/>
        <v/>
      </c>
      <c r="AF467" s="108">
        <f t="shared" si="90"/>
        <v>0</v>
      </c>
      <c r="AG467" s="108">
        <f t="shared" si="91"/>
        <v>0</v>
      </c>
      <c r="AH467" s="112" t="str">
        <f t="shared" si="92"/>
        <v>J Rincon|20260902|Title|1.000|Indexed 14 parties
 indexed 394 documents 
 Added 9 notecards
 SIV Title: 17-0000058.000 et al, CARROLL (OH), SMELTZ</v>
      </c>
      <c r="AI467" s="108">
        <f t="shared" si="93"/>
        <v>0</v>
      </c>
      <c r="AJ467" s="108">
        <f t="shared" si="94"/>
        <v>0</v>
      </c>
      <c r="AK467" s="108">
        <f>IF($A467="",0,IF(AND($S467=1,$W467=1,$X467=1,$U467&gt;Config!$C$9),1,0))</f>
        <v>0</v>
      </c>
      <c r="AL467" s="108">
        <f t="shared" si="95"/>
        <v>0</v>
      </c>
    </row>
    <row r="468" spans="1:38" ht="204.75" x14ac:dyDescent="0.25">
      <c r="A468" s="106" t="s">
        <v>474</v>
      </c>
      <c r="B468" s="106" t="s">
        <v>618</v>
      </c>
      <c r="C468" s="107">
        <v>46267</v>
      </c>
      <c r="D468" s="106" t="s">
        <v>669</v>
      </c>
      <c r="E468" s="106" t="s">
        <v>669</v>
      </c>
      <c r="F468" s="106" t="s">
        <v>670</v>
      </c>
      <c r="G468" s="106"/>
      <c r="H468" s="106" t="s">
        <v>671</v>
      </c>
      <c r="I468" s="106"/>
      <c r="J468" s="106" t="s">
        <v>669</v>
      </c>
      <c r="K468" s="106">
        <v>0.25</v>
      </c>
      <c r="L468" s="106">
        <v>0</v>
      </c>
      <c r="M468" s="106">
        <v>0</v>
      </c>
      <c r="N468" s="106"/>
      <c r="O468" s="106"/>
      <c r="P468" s="106">
        <v>0</v>
      </c>
      <c r="Q468" s="111" t="s">
        <v>672</v>
      </c>
      <c r="S468" s="108">
        <f>IF($A468="","",COUNTIF(BPOworkers!$B$6:$B$105,$A468))</f>
        <v>1</v>
      </c>
      <c r="T468" s="109">
        <f>IF($A468="","",$K468*Config!$C$9)</f>
        <v>2</v>
      </c>
      <c r="U468" s="109">
        <f>IF($A468="","",IF(COUNTIF(Config!$C$21:$C$23,$H468)&gt;0,IFERROR(VALUE(LEFT(TRIM($Q468),FIND(" ",TRIM($Q468)&amp;" ")-1)),0),0))</f>
        <v>0</v>
      </c>
      <c r="V468" s="109">
        <f t="shared" si="84"/>
        <v>2</v>
      </c>
      <c r="W468" s="108">
        <f>IF($A468="",0,IF(AND($C468&gt;=Config!$C$7,$C468&lt;=Config!$C$8),1,0))</f>
        <v>1</v>
      </c>
      <c r="X468" s="108">
        <f>IF($A468="",0,IF(COUNTIF(Config!$C$21:$C$23,$H468)&gt;0,1,0))</f>
        <v>0</v>
      </c>
      <c r="Y468" s="108">
        <f t="shared" si="85"/>
        <v>7</v>
      </c>
      <c r="Z468" s="108" t="str">
        <f t="shared" si="86"/>
        <v/>
      </c>
      <c r="AB468" s="108">
        <f t="shared" si="87"/>
        <v>0</v>
      </c>
      <c r="AC468" s="108">
        <f>IF($A468="",0,IF(AND($AB468=1,COUNTIF($A$2:$A468,$A468)=1),1,0))</f>
        <v>0</v>
      </c>
      <c r="AD468" s="108">
        <f t="shared" si="88"/>
        <v>1</v>
      </c>
      <c r="AE468" s="108" t="str">
        <f t="shared" si="89"/>
        <v/>
      </c>
      <c r="AF468" s="108">
        <f t="shared" si="90"/>
        <v>0</v>
      </c>
      <c r="AG468" s="108">
        <f t="shared" si="91"/>
        <v>0</v>
      </c>
      <c r="AH468" s="112" t="str">
        <f t="shared" si="92"/>
        <v xml:space="preserve">J Valbuena|20260902|TitleNotes - Library|0.250|I am currently training with Matt regarding the library title
 notes. I am encountering some issues with documents that
</v>
      </c>
      <c r="AI468" s="108">
        <f t="shared" si="93"/>
        <v>0</v>
      </c>
      <c r="AJ468" s="108">
        <f t="shared" si="94"/>
        <v>0</v>
      </c>
      <c r="AK468" s="108">
        <f>IF($A468="",0,IF(AND($S468=1,$W468=1,$X468=1,$U468&gt;Config!$C$9),1,0))</f>
        <v>0</v>
      </c>
      <c r="AL468" s="108">
        <f t="shared" si="95"/>
        <v>0</v>
      </c>
    </row>
    <row r="469" spans="1:38" ht="180.75" x14ac:dyDescent="0.25">
      <c r="A469" s="106" t="s">
        <v>474</v>
      </c>
      <c r="B469" s="106" t="s">
        <v>618</v>
      </c>
      <c r="C469" s="107">
        <v>46267</v>
      </c>
      <c r="D469" s="106" t="s">
        <v>720</v>
      </c>
      <c r="E469" s="106" t="s">
        <v>721</v>
      </c>
      <c r="F469" s="106" t="s">
        <v>722</v>
      </c>
      <c r="G469" s="106" t="s">
        <v>982</v>
      </c>
      <c r="H469" s="106" t="s">
        <v>631</v>
      </c>
      <c r="I469" s="106"/>
      <c r="J469" s="106" t="s">
        <v>983</v>
      </c>
      <c r="K469" s="106">
        <v>0.75</v>
      </c>
      <c r="L469" s="106">
        <v>0</v>
      </c>
      <c r="M469" s="106">
        <v>0</v>
      </c>
      <c r="N469" s="106"/>
      <c r="O469" s="106"/>
      <c r="P469" s="106">
        <v>0</v>
      </c>
      <c r="Q469" s="111" t="s">
        <v>1276</v>
      </c>
      <c r="S469" s="108">
        <f>IF($A469="","",COUNTIF(BPOworkers!$B$6:$B$105,$A469))</f>
        <v>1</v>
      </c>
      <c r="T469" s="109">
        <f>IF($A469="","",$K469*Config!$C$9)</f>
        <v>6</v>
      </c>
      <c r="U469" s="109">
        <f>IF($A469="","",IF(COUNTIF(Config!$C$21:$C$23,$H469)&gt;0,IFERROR(VALUE(LEFT(TRIM($Q469),FIND(" ",TRIM($Q469)&amp;" ")-1)),0),0))</f>
        <v>0</v>
      </c>
      <c r="V469" s="109">
        <f t="shared" si="84"/>
        <v>6</v>
      </c>
      <c r="W469" s="108">
        <f>IF($A469="",0,IF(AND($C469&gt;=Config!$C$7,$C469&lt;=Config!$C$8),1,0))</f>
        <v>1</v>
      </c>
      <c r="X469" s="108">
        <f>IF($A469="",0,IF(COUNTIF(Config!$C$21:$C$23,$H469)&gt;0,1,0))</f>
        <v>0</v>
      </c>
      <c r="Y469" s="108">
        <f t="shared" si="85"/>
        <v>7</v>
      </c>
      <c r="Z469" s="108" t="str">
        <f t="shared" si="86"/>
        <v/>
      </c>
      <c r="AB469" s="108">
        <f t="shared" si="87"/>
        <v>0</v>
      </c>
      <c r="AC469" s="108">
        <f>IF($A469="",0,IF(AND($AB469=1,COUNTIF($A$2:$A469,$A469)=1),1,0))</f>
        <v>0</v>
      </c>
      <c r="AD469" s="108">
        <f t="shared" si="88"/>
        <v>1</v>
      </c>
      <c r="AE469" s="108" t="str">
        <f t="shared" si="89"/>
        <v/>
      </c>
      <c r="AF469" s="108">
        <f t="shared" si="90"/>
        <v>0</v>
      </c>
      <c r="AG469" s="108">
        <f t="shared" si="91"/>
        <v>0</v>
      </c>
      <c r="AH469" s="112" t="str">
        <f t="shared" si="92"/>
        <v>J Valbuena|20260902|Title|0.750|- Created AOI
 - Created indexing spreadsheet
 - Added source deed
 - Indexed to the present from source deed
 - Started</v>
      </c>
      <c r="AI469" s="108">
        <f t="shared" si="93"/>
        <v>0</v>
      </c>
      <c r="AJ469" s="108">
        <f t="shared" si="94"/>
        <v>0</v>
      </c>
      <c r="AK469" s="108">
        <f>IF($A469="",0,IF(AND($S469=1,$W469=1,$X469=1,$U469&gt;Config!$C$9),1,0))</f>
        <v>0</v>
      </c>
      <c r="AL469" s="108">
        <f t="shared" si="95"/>
        <v>0</v>
      </c>
    </row>
    <row r="470" spans="1:38" x14ac:dyDescent="0.25">
      <c r="A470" s="106" t="s">
        <v>742</v>
      </c>
      <c r="B470" s="106" t="s">
        <v>618</v>
      </c>
      <c r="C470" s="107">
        <v>46267</v>
      </c>
      <c r="D470" s="106" t="s">
        <v>635</v>
      </c>
      <c r="E470" s="106" t="s">
        <v>636</v>
      </c>
      <c r="F470" s="106" t="s">
        <v>637</v>
      </c>
      <c r="G470" s="106" t="s">
        <v>985</v>
      </c>
      <c r="H470" s="106" t="s">
        <v>631</v>
      </c>
      <c r="I470" s="106"/>
      <c r="J470" s="106" t="s">
        <v>986</v>
      </c>
      <c r="K470" s="106">
        <v>1</v>
      </c>
      <c r="L470" s="106">
        <v>0</v>
      </c>
      <c r="M470" s="106">
        <v>0</v>
      </c>
      <c r="N470" s="106"/>
      <c r="O470" s="106"/>
      <c r="P470" s="106">
        <v>0</v>
      </c>
      <c r="Q470" s="106" t="s">
        <v>1140</v>
      </c>
      <c r="S470" s="108">
        <f>IF($A470="","",COUNTIF(BPOworkers!$B$6:$B$105,$A470))</f>
        <v>0</v>
      </c>
      <c r="T470" s="109">
        <f>IF($A470="","",$K470*Config!$C$9)</f>
        <v>8</v>
      </c>
      <c r="U470" s="109">
        <f>IF($A470="","",IF(COUNTIF(Config!$C$21:$C$23,$H470)&gt;0,IFERROR(VALUE(LEFT(TRIM($Q470),FIND(" ",TRIM($Q470)&amp;" ")-1)),0),0))</f>
        <v>0</v>
      </c>
      <c r="V470" s="109">
        <f t="shared" si="84"/>
        <v>8</v>
      </c>
      <c r="W470" s="108">
        <f>IF($A470="",0,IF(AND($C470&gt;=Config!$C$7,$C470&lt;=Config!$C$8),1,0))</f>
        <v>1</v>
      </c>
      <c r="X470" s="108">
        <f>IF($A470="",0,IF(COUNTIF(Config!$C$21:$C$23,$H470)&gt;0,1,0))</f>
        <v>0</v>
      </c>
      <c r="Y470" s="108">
        <f t="shared" si="85"/>
        <v>7</v>
      </c>
      <c r="Z470" s="108" t="str">
        <f t="shared" si="86"/>
        <v/>
      </c>
      <c r="AB470" s="108">
        <f t="shared" si="87"/>
        <v>0</v>
      </c>
      <c r="AC470" s="108">
        <f>IF($A470="",0,IF(AND($AB470=1,COUNTIF($A$2:$A470,$A470)=1),1,0))</f>
        <v>0</v>
      </c>
      <c r="AD470" s="108">
        <f t="shared" si="88"/>
        <v>1</v>
      </c>
      <c r="AE470" s="108" t="str">
        <f t="shared" si="89"/>
        <v/>
      </c>
      <c r="AF470" s="108">
        <f t="shared" si="90"/>
        <v>0</v>
      </c>
      <c r="AG470" s="108">
        <f t="shared" si="91"/>
        <v>0</v>
      </c>
      <c r="AH470" s="110" t="str">
        <f t="shared" si="92"/>
        <v>J. Edwards|20260902|Title|1.000|Continued review of the leasehold research and reconciliation for the Federal BLM Leasehold specifically focusing on ORR</v>
      </c>
      <c r="AI470" s="108">
        <f t="shared" si="93"/>
        <v>0</v>
      </c>
      <c r="AJ470" s="108">
        <f t="shared" si="94"/>
        <v>0</v>
      </c>
      <c r="AK470" s="108">
        <f>IF($A470="",0,IF(AND($S470=1,$W470=1,$X470=1,$U470&gt;Config!$C$9),1,0))</f>
        <v>0</v>
      </c>
      <c r="AL470" s="108">
        <f t="shared" si="95"/>
        <v>0</v>
      </c>
    </row>
    <row r="471" spans="1:38" x14ac:dyDescent="0.25">
      <c r="A471" s="106" t="s">
        <v>457</v>
      </c>
      <c r="B471" s="106" t="s">
        <v>618</v>
      </c>
      <c r="C471" s="107">
        <v>46267</v>
      </c>
      <c r="D471" s="106" t="s">
        <v>529</v>
      </c>
      <c r="E471" s="106" t="s">
        <v>529</v>
      </c>
      <c r="F471" s="106" t="s">
        <v>615</v>
      </c>
      <c r="G471" s="106"/>
      <c r="H471" s="106" t="s">
        <v>529</v>
      </c>
      <c r="I471" s="106"/>
      <c r="J471" s="106" t="s">
        <v>749</v>
      </c>
      <c r="K471" s="106">
        <v>0</v>
      </c>
      <c r="L471" s="106">
        <v>0</v>
      </c>
      <c r="M471" s="106">
        <v>0</v>
      </c>
      <c r="N471" s="106"/>
      <c r="O471" s="106"/>
      <c r="P471" s="106">
        <v>0</v>
      </c>
      <c r="Q471" s="106" t="s">
        <v>1277</v>
      </c>
      <c r="S471" s="108">
        <f>IF($A471="","",COUNTIF(BPOworkers!$B$6:$B$105,$A471))</f>
        <v>1</v>
      </c>
      <c r="T471" s="109">
        <f>IF($A471="","",$K471*Config!$C$9)</f>
        <v>0</v>
      </c>
      <c r="U471" s="109">
        <f>IF($A471="","",IF(COUNTIF(Config!$C$21:$C$23,$H471)&gt;0,IFERROR(VALUE(LEFT(TRIM($Q471),FIND(" ",TRIM($Q471)&amp;" ")-1)),0),0))</f>
        <v>3</v>
      </c>
      <c r="V471" s="109">
        <f t="shared" si="84"/>
        <v>3</v>
      </c>
      <c r="W471" s="108">
        <f>IF($A471="",0,IF(AND($C471&gt;=Config!$C$7,$C471&lt;=Config!$C$8),1,0))</f>
        <v>1</v>
      </c>
      <c r="X471" s="108">
        <f>IF($A471="",0,IF(COUNTIF(Config!$C$21:$C$23,$H471)&gt;0,1,0))</f>
        <v>1</v>
      </c>
      <c r="Y471" s="108">
        <f t="shared" si="85"/>
        <v>8</v>
      </c>
      <c r="Z471" s="108">
        <f t="shared" si="86"/>
        <v>8</v>
      </c>
      <c r="AB471" s="108">
        <f t="shared" si="87"/>
        <v>0</v>
      </c>
      <c r="AC471" s="108">
        <f>IF($A471="",0,IF(AND($AB471=1,COUNTIF($A$2:$A471,$A471)=1),1,0))</f>
        <v>0</v>
      </c>
      <c r="AD471" s="108">
        <f t="shared" si="88"/>
        <v>1</v>
      </c>
      <c r="AE471" s="108" t="str">
        <f t="shared" si="89"/>
        <v/>
      </c>
      <c r="AF471" s="108">
        <f t="shared" si="90"/>
        <v>0</v>
      </c>
      <c r="AG471" s="108">
        <f t="shared" si="91"/>
        <v>0</v>
      </c>
      <c r="AH471" s="110" t="str">
        <f t="shared" si="92"/>
        <v>A Lopez|20260902|Time Off|0.000|3 hours</v>
      </c>
      <c r="AI471" s="108">
        <f t="shared" si="93"/>
        <v>0</v>
      </c>
      <c r="AJ471" s="108">
        <f t="shared" si="94"/>
        <v>0</v>
      </c>
      <c r="AK471" s="108">
        <f>IF($A471="",0,IF(AND($S471=1,$W471=1,$X471=1,$U471&gt;Config!$C$9),1,0))</f>
        <v>0</v>
      </c>
      <c r="AL471" s="108">
        <f t="shared" si="95"/>
        <v>0</v>
      </c>
    </row>
    <row r="472" spans="1:38" x14ac:dyDescent="0.25">
      <c r="A472" s="106" t="s">
        <v>457</v>
      </c>
      <c r="B472" s="106" t="s">
        <v>618</v>
      </c>
      <c r="C472" s="107">
        <v>46267</v>
      </c>
      <c r="D472" s="106" t="s">
        <v>680</v>
      </c>
      <c r="E472" s="106" t="s">
        <v>681</v>
      </c>
      <c r="F472" s="106" t="s">
        <v>745</v>
      </c>
      <c r="G472" s="106" t="s">
        <v>746</v>
      </c>
      <c r="H472" s="106" t="s">
        <v>631</v>
      </c>
      <c r="I472" s="106"/>
      <c r="J472" s="106"/>
      <c r="K472" s="106">
        <v>0.625</v>
      </c>
      <c r="L472" s="106">
        <v>0</v>
      </c>
      <c r="M472" s="106">
        <v>0</v>
      </c>
      <c r="N472" s="106"/>
      <c r="O472" s="106"/>
      <c r="P472" s="106">
        <v>0</v>
      </c>
      <c r="Q472" s="106" t="s">
        <v>1142</v>
      </c>
      <c r="S472" s="108">
        <f>IF($A472="","",COUNTIF(BPOworkers!$B$6:$B$105,$A472))</f>
        <v>1</v>
      </c>
      <c r="T472" s="109">
        <f>IF($A472="","",$K472*Config!$C$9)</f>
        <v>5</v>
      </c>
      <c r="U472" s="109">
        <f>IF($A472="","",IF(COUNTIF(Config!$C$21:$C$23,$H472)&gt;0,IFERROR(VALUE(LEFT(TRIM($Q472),FIND(" ",TRIM($Q472)&amp;" ")-1)),0),0))</f>
        <v>0</v>
      </c>
      <c r="V472" s="109">
        <f t="shared" si="84"/>
        <v>5</v>
      </c>
      <c r="W472" s="108">
        <f>IF($A472="",0,IF(AND($C472&gt;=Config!$C$7,$C472&lt;=Config!$C$8),1,0))</f>
        <v>1</v>
      </c>
      <c r="X472" s="108">
        <f>IF($A472="",0,IF(COUNTIF(Config!$C$21:$C$23,$H472)&gt;0,1,0))</f>
        <v>0</v>
      </c>
      <c r="Y472" s="108">
        <f t="shared" si="85"/>
        <v>8</v>
      </c>
      <c r="Z472" s="108" t="str">
        <f t="shared" si="86"/>
        <v/>
      </c>
      <c r="AB472" s="108">
        <f t="shared" si="87"/>
        <v>0</v>
      </c>
      <c r="AC472" s="108">
        <f>IF($A472="",0,IF(AND($AB472=1,COUNTIF($A$2:$A472,$A472)=1),1,0))</f>
        <v>0</v>
      </c>
      <c r="AD472" s="108">
        <f t="shared" si="88"/>
        <v>1</v>
      </c>
      <c r="AE472" s="108" t="str">
        <f t="shared" si="89"/>
        <v/>
      </c>
      <c r="AF472" s="108">
        <f t="shared" si="90"/>
        <v>0</v>
      </c>
      <c r="AG472" s="108">
        <f t="shared" si="91"/>
        <v>0</v>
      </c>
      <c r="AH472" s="110" t="str">
        <f t="shared" si="92"/>
        <v>A Lopez|20260902|Title|0.625|Identified source deed, indexed parties and started the SIV</v>
      </c>
      <c r="AI472" s="108">
        <f t="shared" si="93"/>
        <v>0</v>
      </c>
      <c r="AJ472" s="108">
        <f t="shared" si="94"/>
        <v>0</v>
      </c>
      <c r="AK472" s="108">
        <f>IF($A472="",0,IF(AND($S472=1,$W472=1,$X472=1,$U472&gt;Config!$C$9),1,0))</f>
        <v>0</v>
      </c>
      <c r="AL472" s="108">
        <f t="shared" si="95"/>
        <v>0</v>
      </c>
    </row>
    <row r="473" spans="1:38" ht="132.75" x14ac:dyDescent="0.25">
      <c r="A473" s="106" t="s">
        <v>482</v>
      </c>
      <c r="B473" s="106" t="s">
        <v>618</v>
      </c>
      <c r="C473" s="107">
        <v>46267</v>
      </c>
      <c r="D473" s="106" t="s">
        <v>680</v>
      </c>
      <c r="E473" s="106" t="s">
        <v>681</v>
      </c>
      <c r="F473" s="106" t="s">
        <v>686</v>
      </c>
      <c r="G473" s="106" t="s">
        <v>751</v>
      </c>
      <c r="H473" s="106" t="s">
        <v>631</v>
      </c>
      <c r="I473" s="106"/>
      <c r="J473" s="106" t="s">
        <v>752</v>
      </c>
      <c r="K473" s="106">
        <v>1</v>
      </c>
      <c r="L473" s="106">
        <v>0</v>
      </c>
      <c r="M473" s="106">
        <v>0</v>
      </c>
      <c r="N473" s="106"/>
      <c r="O473" s="106"/>
      <c r="P473" s="106">
        <v>0</v>
      </c>
      <c r="Q473" s="111" t="s">
        <v>1278</v>
      </c>
      <c r="S473" s="108">
        <f>IF($A473="","",COUNTIF(BPOworkers!$B$6:$B$105,$A473))</f>
        <v>1</v>
      </c>
      <c r="T473" s="109">
        <f>IF($A473="","",$K473*Config!$C$9)</f>
        <v>8</v>
      </c>
      <c r="U473" s="109">
        <f>IF($A473="","",IF(COUNTIF(Config!$C$21:$C$23,$H473)&gt;0,IFERROR(VALUE(LEFT(TRIM($Q473),FIND(" ",TRIM($Q473)&amp;" ")-1)),0),0))</f>
        <v>0</v>
      </c>
      <c r="V473" s="109">
        <f t="shared" si="84"/>
        <v>8</v>
      </c>
      <c r="W473" s="108">
        <f>IF($A473="",0,IF(AND($C473&gt;=Config!$C$7,$C473&lt;=Config!$C$8),1,0))</f>
        <v>1</v>
      </c>
      <c r="X473" s="108">
        <f>IF($A473="",0,IF(COUNTIF(Config!$C$21:$C$23,$H473)&gt;0,1,0))</f>
        <v>0</v>
      </c>
      <c r="Y473" s="108">
        <f t="shared" si="85"/>
        <v>8</v>
      </c>
      <c r="Z473" s="108" t="str">
        <f t="shared" si="86"/>
        <v/>
      </c>
      <c r="AB473" s="108">
        <f t="shared" si="87"/>
        <v>0</v>
      </c>
      <c r="AC473" s="108">
        <f>IF($A473="",0,IF(AND($AB473=1,COUNTIF($A$2:$A473,$A473)=1),1,0))</f>
        <v>0</v>
      </c>
      <c r="AD473" s="108">
        <f t="shared" si="88"/>
        <v>1</v>
      </c>
      <c r="AE473" s="108" t="str">
        <f t="shared" si="89"/>
        <v/>
      </c>
      <c r="AF473" s="108">
        <f t="shared" si="90"/>
        <v>0</v>
      </c>
      <c r="AG473" s="108">
        <f t="shared" si="91"/>
        <v>0</v>
      </c>
      <c r="AH473" s="112" t="str">
        <f t="shared" si="92"/>
        <v>M Grazziani|20260902|Title|1.000|12 party names indexed.
 6 notecards created.
 387 Documents indexed.</v>
      </c>
      <c r="AI473" s="108">
        <f t="shared" si="93"/>
        <v>0</v>
      </c>
      <c r="AJ473" s="108">
        <f t="shared" si="94"/>
        <v>0</v>
      </c>
      <c r="AK473" s="108">
        <f>IF($A473="",0,IF(AND($S473=1,$W473=1,$X473=1,$U473&gt;Config!$C$9),1,0))</f>
        <v>0</v>
      </c>
      <c r="AL473" s="108">
        <f t="shared" si="95"/>
        <v>0</v>
      </c>
    </row>
    <row r="474" spans="1:38" ht="96.75" x14ac:dyDescent="0.25">
      <c r="A474" s="106" t="s">
        <v>464</v>
      </c>
      <c r="B474" s="106" t="s">
        <v>618</v>
      </c>
      <c r="C474" s="107">
        <v>46267</v>
      </c>
      <c r="D474" s="106" t="s">
        <v>694</v>
      </c>
      <c r="E474" s="106" t="s">
        <v>709</v>
      </c>
      <c r="F474" s="106" t="s">
        <v>615</v>
      </c>
      <c r="G474" s="106"/>
      <c r="H474" s="106" t="s">
        <v>709</v>
      </c>
      <c r="I474" s="106"/>
      <c r="J474" s="106" t="s">
        <v>992</v>
      </c>
      <c r="K474" s="106">
        <v>1</v>
      </c>
      <c r="L474" s="106">
        <v>0</v>
      </c>
      <c r="M474" s="106">
        <v>0</v>
      </c>
      <c r="N474" s="106"/>
      <c r="O474" s="106"/>
      <c r="P474" s="106">
        <v>0</v>
      </c>
      <c r="Q474" s="111" t="s">
        <v>1279</v>
      </c>
      <c r="S474" s="108">
        <f>IF($A474="","",COUNTIF(BPOworkers!$B$6:$B$105,$A474))</f>
        <v>1</v>
      </c>
      <c r="T474" s="109">
        <f>IF($A474="","",$K474*Config!$C$9)</f>
        <v>8</v>
      </c>
      <c r="U474" s="109">
        <f>IF($A474="","",IF(COUNTIF(Config!$C$21:$C$23,$H474)&gt;0,IFERROR(VALUE(LEFT(TRIM($Q474),FIND(" ",TRIM($Q474)&amp;" ")-1)),0),0))</f>
        <v>0</v>
      </c>
      <c r="V474" s="109">
        <f t="shared" si="84"/>
        <v>8</v>
      </c>
      <c r="W474" s="108">
        <f>IF($A474="",0,IF(AND($C474&gt;=Config!$C$7,$C474&lt;=Config!$C$8),1,0))</f>
        <v>1</v>
      </c>
      <c r="X474" s="108">
        <f>IF($A474="",0,IF(COUNTIF(Config!$C$21:$C$23,$H474)&gt;0,1,0))</f>
        <v>0</v>
      </c>
      <c r="Y474" s="108">
        <f t="shared" si="85"/>
        <v>8</v>
      </c>
      <c r="Z474" s="108" t="str">
        <f t="shared" si="86"/>
        <v/>
      </c>
      <c r="AB474" s="108">
        <f t="shared" si="87"/>
        <v>0</v>
      </c>
      <c r="AC474" s="108">
        <f>IF($A474="",0,IF(AND($AB474=1,COUNTIF($A$2:$A474,$A474)=1),1,0))</f>
        <v>0</v>
      </c>
      <c r="AD474" s="108">
        <f t="shared" si="88"/>
        <v>1</v>
      </c>
      <c r="AE474" s="108" t="str">
        <f t="shared" si="89"/>
        <v/>
      </c>
      <c r="AF474" s="108">
        <f t="shared" si="90"/>
        <v>0</v>
      </c>
      <c r="AG474" s="108">
        <f t="shared" si="91"/>
        <v>0</v>
      </c>
      <c r="AH474" s="112" t="str">
        <f t="shared" si="92"/>
        <v>I De La Parra|20260902|Land Admin|1.000|- DO tracker
 - ACP &amp; AIP Well List Trackers</v>
      </c>
      <c r="AI474" s="108">
        <f t="shared" si="93"/>
        <v>0</v>
      </c>
      <c r="AJ474" s="108">
        <f t="shared" si="94"/>
        <v>0</v>
      </c>
      <c r="AK474" s="108">
        <f>IF($A474="",0,IF(AND($S474=1,$W474=1,$X474=1,$U474&gt;Config!$C$9),1,0))</f>
        <v>0</v>
      </c>
      <c r="AL474" s="108">
        <f t="shared" si="95"/>
        <v>0</v>
      </c>
    </row>
    <row r="475" spans="1:38" x14ac:dyDescent="0.25">
      <c r="A475" s="106" t="s">
        <v>460</v>
      </c>
      <c r="B475" s="106" t="s">
        <v>618</v>
      </c>
      <c r="C475" s="107">
        <v>46267</v>
      </c>
      <c r="D475" s="106" t="s">
        <v>529</v>
      </c>
      <c r="E475" s="106" t="s">
        <v>529</v>
      </c>
      <c r="F475" s="106" t="s">
        <v>615</v>
      </c>
      <c r="G475" s="106"/>
      <c r="H475" s="106" t="s">
        <v>531</v>
      </c>
      <c r="I475" s="106"/>
      <c r="J475" s="106" t="s">
        <v>756</v>
      </c>
      <c r="K475" s="106">
        <v>0</v>
      </c>
      <c r="L475" s="106">
        <v>0</v>
      </c>
      <c r="M475" s="106">
        <v>0</v>
      </c>
      <c r="N475" s="106"/>
      <c r="O475" s="106"/>
      <c r="P475" s="106">
        <v>0</v>
      </c>
      <c r="Q475" s="106" t="s">
        <v>757</v>
      </c>
      <c r="S475" s="108">
        <f>IF($A475="","",COUNTIF(BPOworkers!$B$6:$B$105,$A475))</f>
        <v>1</v>
      </c>
      <c r="T475" s="109">
        <f>IF($A475="","",$K475*Config!$C$9)</f>
        <v>0</v>
      </c>
      <c r="U475" s="109">
        <f>IF($A475="","",IF(COUNTIF(Config!$C$21:$C$23,$H475)&gt;0,IFERROR(VALUE(LEFT(TRIM($Q475),FIND(" ",TRIM($Q475)&amp;" ")-1)),0),0))</f>
        <v>8</v>
      </c>
      <c r="V475" s="109">
        <f t="shared" si="84"/>
        <v>8</v>
      </c>
      <c r="W475" s="108">
        <f>IF($A475="",0,IF(AND($C475&gt;=Config!$C$7,$C475&lt;=Config!$C$8),1,0))</f>
        <v>1</v>
      </c>
      <c r="X475" s="108">
        <f>IF($A475="",0,IF(COUNTIF(Config!$C$21:$C$23,$H475)&gt;0,1,0))</f>
        <v>1</v>
      </c>
      <c r="Y475" s="108">
        <f t="shared" si="85"/>
        <v>9</v>
      </c>
      <c r="Z475" s="108">
        <f t="shared" si="86"/>
        <v>9</v>
      </c>
      <c r="AB475" s="108">
        <f t="shared" si="87"/>
        <v>0</v>
      </c>
      <c r="AC475" s="108">
        <f>IF($A475="",0,IF(AND($AB475=1,COUNTIF($A$2:$A475,$A475)=1),1,0))</f>
        <v>0</v>
      </c>
      <c r="AD475" s="108">
        <f t="shared" si="88"/>
        <v>1</v>
      </c>
      <c r="AE475" s="108" t="str">
        <f t="shared" si="89"/>
        <v/>
      </c>
      <c r="AF475" s="108">
        <f t="shared" si="90"/>
        <v>0</v>
      </c>
      <c r="AG475" s="108">
        <f t="shared" si="91"/>
        <v>0</v>
      </c>
      <c r="AH475" s="110" t="str">
        <f t="shared" si="92"/>
        <v>C Mesa|20260902|BPO Vacation|0.000|8 hours of paid vacations</v>
      </c>
      <c r="AI475" s="108">
        <f t="shared" si="93"/>
        <v>0</v>
      </c>
      <c r="AJ475" s="108">
        <f t="shared" si="94"/>
        <v>0</v>
      </c>
      <c r="AK475" s="108">
        <f>IF($A475="",0,IF(AND($S475=1,$W475=1,$X475=1,$U475&gt;Config!$C$9),1,0))</f>
        <v>0</v>
      </c>
      <c r="AL475" s="108">
        <f t="shared" si="95"/>
        <v>0</v>
      </c>
    </row>
    <row r="476" spans="1:38" x14ac:dyDescent="0.25">
      <c r="A476" s="106" t="s">
        <v>470</v>
      </c>
      <c r="B476" s="106" t="s">
        <v>618</v>
      </c>
      <c r="C476" s="107">
        <v>46267</v>
      </c>
      <c r="D476" s="106" t="s">
        <v>529</v>
      </c>
      <c r="E476" s="106" t="s">
        <v>529</v>
      </c>
      <c r="F476" s="106" t="s">
        <v>615</v>
      </c>
      <c r="G476" s="106"/>
      <c r="H476" s="106" t="s">
        <v>531</v>
      </c>
      <c r="I476" s="106"/>
      <c r="J476" s="106" t="s">
        <v>1280</v>
      </c>
      <c r="K476" s="106">
        <v>0</v>
      </c>
      <c r="L476" s="106">
        <v>0</v>
      </c>
      <c r="M476" s="106">
        <v>0</v>
      </c>
      <c r="N476" s="106"/>
      <c r="O476" s="106"/>
      <c r="P476" s="106">
        <v>0</v>
      </c>
      <c r="Q476" s="106" t="s">
        <v>757</v>
      </c>
      <c r="S476" s="108">
        <f>IF($A476="","",COUNTIF(BPOworkers!$B$6:$B$105,$A476))</f>
        <v>1</v>
      </c>
      <c r="T476" s="109">
        <f>IF($A476="","",$K476*Config!$C$9)</f>
        <v>0</v>
      </c>
      <c r="U476" s="109">
        <f>IF($A476="","",IF(COUNTIF(Config!$C$21:$C$23,$H476)&gt;0,IFERROR(VALUE(LEFT(TRIM($Q476),FIND(" ",TRIM($Q476)&amp;" ")-1)),0),0))</f>
        <v>8</v>
      </c>
      <c r="V476" s="109">
        <f t="shared" si="84"/>
        <v>8</v>
      </c>
      <c r="W476" s="108">
        <f>IF($A476="",0,IF(AND($C476&gt;=Config!$C$7,$C476&lt;=Config!$C$8),1,0))</f>
        <v>1</v>
      </c>
      <c r="X476" s="108">
        <f>IF($A476="",0,IF(COUNTIF(Config!$C$21:$C$23,$H476)&gt;0,1,0))</f>
        <v>1</v>
      </c>
      <c r="Y476" s="108">
        <f t="shared" si="85"/>
        <v>10</v>
      </c>
      <c r="Z476" s="108">
        <f t="shared" si="86"/>
        <v>10</v>
      </c>
      <c r="AB476" s="108">
        <f t="shared" si="87"/>
        <v>0</v>
      </c>
      <c r="AC476" s="108">
        <f>IF($A476="",0,IF(AND($AB476=1,COUNTIF($A$2:$A476,$A476)=1),1,0))</f>
        <v>0</v>
      </c>
      <c r="AD476" s="108">
        <f t="shared" si="88"/>
        <v>1</v>
      </c>
      <c r="AE476" s="108" t="str">
        <f t="shared" si="89"/>
        <v/>
      </c>
      <c r="AF476" s="108">
        <f t="shared" si="90"/>
        <v>0</v>
      </c>
      <c r="AG476" s="108">
        <f t="shared" si="91"/>
        <v>0</v>
      </c>
      <c r="AH476" s="110" t="str">
        <f t="shared" si="92"/>
        <v>J Gonzalez|20260902|BPO Vacation|0.000|8 hours of paid vacations</v>
      </c>
      <c r="AI476" s="108">
        <f t="shared" si="93"/>
        <v>0</v>
      </c>
      <c r="AJ476" s="108">
        <f t="shared" si="94"/>
        <v>0</v>
      </c>
      <c r="AK476" s="108">
        <f>IF($A476="",0,IF(AND($S476=1,$W476=1,$X476=1,$U476&gt;Config!$C$9),1,0))</f>
        <v>0</v>
      </c>
      <c r="AL476" s="108">
        <f t="shared" si="95"/>
        <v>0</v>
      </c>
    </row>
    <row r="477" spans="1:38" x14ac:dyDescent="0.25">
      <c r="A477" s="106" t="s">
        <v>759</v>
      </c>
      <c r="B477" s="106" t="s">
        <v>618</v>
      </c>
      <c r="C477" s="107">
        <v>46267</v>
      </c>
      <c r="D477" s="106" t="s">
        <v>712</v>
      </c>
      <c r="E477" s="106" t="s">
        <v>713</v>
      </c>
      <c r="F477" s="106" t="s">
        <v>714</v>
      </c>
      <c r="G477" s="106" t="s">
        <v>1146</v>
      </c>
      <c r="H477" s="106" t="s">
        <v>631</v>
      </c>
      <c r="I477" s="106"/>
      <c r="J477" s="106"/>
      <c r="K477" s="106">
        <v>1</v>
      </c>
      <c r="L477" s="106">
        <v>0</v>
      </c>
      <c r="M477" s="106">
        <v>0</v>
      </c>
      <c r="N477" s="106"/>
      <c r="O477" s="106"/>
      <c r="P477" s="106">
        <v>0</v>
      </c>
      <c r="Q477" s="106" t="s">
        <v>1147</v>
      </c>
      <c r="S477" s="108">
        <f>IF($A477="","",COUNTIF(BPOworkers!$B$6:$B$105,$A477))</f>
        <v>0</v>
      </c>
      <c r="T477" s="109">
        <f>IF($A477="","",$K477*Config!$C$9)</f>
        <v>8</v>
      </c>
      <c r="U477" s="109">
        <f>IF($A477="","",IF(COUNTIF(Config!$C$21:$C$23,$H477)&gt;0,IFERROR(VALUE(LEFT(TRIM($Q477),FIND(" ",TRIM($Q477)&amp;" ")-1)),0),0))</f>
        <v>0</v>
      </c>
      <c r="V477" s="109">
        <f t="shared" si="84"/>
        <v>8</v>
      </c>
      <c r="W477" s="108">
        <f>IF($A477="",0,IF(AND($C477&gt;=Config!$C$7,$C477&lt;=Config!$C$8),1,0))</f>
        <v>1</v>
      </c>
      <c r="X477" s="108">
        <f>IF($A477="",0,IF(COUNTIF(Config!$C$21:$C$23,$H477)&gt;0,1,0))</f>
        <v>0</v>
      </c>
      <c r="Y477" s="108">
        <f t="shared" si="85"/>
        <v>10</v>
      </c>
      <c r="Z477" s="108" t="str">
        <f t="shared" si="86"/>
        <v/>
      </c>
      <c r="AB477" s="108">
        <f t="shared" si="87"/>
        <v>0</v>
      </c>
      <c r="AC477" s="108">
        <f>IF($A477="",0,IF(AND($AB477=1,COUNTIF($A$2:$A477,$A477)=1),1,0))</f>
        <v>0</v>
      </c>
      <c r="AD477" s="108">
        <f t="shared" si="88"/>
        <v>1</v>
      </c>
      <c r="AE477" s="108" t="str">
        <f t="shared" si="89"/>
        <v/>
      </c>
      <c r="AF477" s="108">
        <f t="shared" si="90"/>
        <v>0</v>
      </c>
      <c r="AG477" s="108">
        <f t="shared" si="91"/>
        <v>0</v>
      </c>
      <c r="AH477" s="110" t="str">
        <f t="shared" si="92"/>
        <v>T. Aguillard|20260902|Title|1.000|Indexing</v>
      </c>
      <c r="AI477" s="108">
        <f t="shared" si="93"/>
        <v>0</v>
      </c>
      <c r="AJ477" s="108">
        <f t="shared" si="94"/>
        <v>0</v>
      </c>
      <c r="AK477" s="108">
        <f>IF($A477="",0,IF(AND($S477=1,$W477=1,$X477=1,$U477&gt;Config!$C$9),1,0))</f>
        <v>0</v>
      </c>
      <c r="AL477" s="108">
        <f t="shared" si="95"/>
        <v>0</v>
      </c>
    </row>
    <row r="478" spans="1:38" x14ac:dyDescent="0.25">
      <c r="A478" s="106" t="s">
        <v>761</v>
      </c>
      <c r="B478" s="106" t="s">
        <v>618</v>
      </c>
      <c r="C478" s="107">
        <v>46267</v>
      </c>
      <c r="D478" s="106" t="s">
        <v>529</v>
      </c>
      <c r="E478" s="106" t="s">
        <v>529</v>
      </c>
      <c r="F478" s="106" t="s">
        <v>615</v>
      </c>
      <c r="G478" s="106"/>
      <c r="H478" s="106" t="s">
        <v>529</v>
      </c>
      <c r="I478" s="106"/>
      <c r="J478" s="106"/>
      <c r="K478" s="106">
        <v>0</v>
      </c>
      <c r="L478" s="106">
        <v>0</v>
      </c>
      <c r="M478" s="106">
        <v>0</v>
      </c>
      <c r="N478" s="106"/>
      <c r="O478" s="106"/>
      <c r="P478" s="106">
        <v>0</v>
      </c>
      <c r="Q478" s="106" t="s">
        <v>661</v>
      </c>
      <c r="S478" s="108">
        <f>IF($A478="","",COUNTIF(BPOworkers!$B$6:$B$105,$A478))</f>
        <v>0</v>
      </c>
      <c r="T478" s="109">
        <f>IF($A478="","",$K478*Config!$C$9)</f>
        <v>0</v>
      </c>
      <c r="U478" s="109">
        <f>IF($A478="","",IF(COUNTIF(Config!$C$21:$C$23,$H478)&gt;0,IFERROR(VALUE(LEFT(TRIM($Q478),FIND(" ",TRIM($Q478)&amp;" ")-1)),0),0))</f>
        <v>8</v>
      </c>
      <c r="V478" s="109">
        <f t="shared" si="84"/>
        <v>8</v>
      </c>
      <c r="W478" s="108">
        <f>IF($A478="",0,IF(AND($C478&gt;=Config!$C$7,$C478&lt;=Config!$C$8),1,0))</f>
        <v>1</v>
      </c>
      <c r="X478" s="108">
        <f>IF($A478="",0,IF(COUNTIF(Config!$C$21:$C$23,$H478)&gt;0,1,0))</f>
        <v>1</v>
      </c>
      <c r="Y478" s="108">
        <f t="shared" si="85"/>
        <v>10</v>
      </c>
      <c r="Z478" s="108" t="str">
        <f t="shared" si="86"/>
        <v/>
      </c>
      <c r="AB478" s="108">
        <f t="shared" si="87"/>
        <v>0</v>
      </c>
      <c r="AC478" s="108">
        <f>IF($A478="",0,IF(AND($AB478=1,COUNTIF($A$2:$A478,$A478)=1),1,0))</f>
        <v>0</v>
      </c>
      <c r="AD478" s="108">
        <f t="shared" si="88"/>
        <v>1</v>
      </c>
      <c r="AE478" s="108" t="str">
        <f t="shared" si="89"/>
        <v/>
      </c>
      <c r="AF478" s="108">
        <f t="shared" si="90"/>
        <v>0</v>
      </c>
      <c r="AG478" s="108">
        <f t="shared" si="91"/>
        <v>0</v>
      </c>
      <c r="AH478" s="110" t="str">
        <f t="shared" si="92"/>
        <v>J. Smallridge|20260902|Time Off|0.000|8 hours not billed</v>
      </c>
      <c r="AI478" s="108">
        <f t="shared" si="93"/>
        <v>0</v>
      </c>
      <c r="AJ478" s="108">
        <f t="shared" si="94"/>
        <v>0</v>
      </c>
      <c r="AK478" s="108">
        <f>IF($A478="",0,IF(AND($S478=1,$W478=1,$X478=1,$U478&gt;Config!$C$9),1,0))</f>
        <v>0</v>
      </c>
      <c r="AL478" s="108">
        <f t="shared" si="95"/>
        <v>0</v>
      </c>
    </row>
    <row r="479" spans="1:38" x14ac:dyDescent="0.25">
      <c r="A479" s="106" t="s">
        <v>994</v>
      </c>
      <c r="B479" s="106" t="s">
        <v>618</v>
      </c>
      <c r="C479" s="107">
        <v>46267</v>
      </c>
      <c r="D479" s="106" t="s">
        <v>720</v>
      </c>
      <c r="E479" s="106" t="s">
        <v>721</v>
      </c>
      <c r="F479" s="106" t="s">
        <v>722</v>
      </c>
      <c r="G479" s="106" t="s">
        <v>1148</v>
      </c>
      <c r="H479" s="106" t="s">
        <v>631</v>
      </c>
      <c r="I479" s="106"/>
      <c r="J479" s="106" t="s">
        <v>1149</v>
      </c>
      <c r="K479" s="106">
        <v>1</v>
      </c>
      <c r="L479" s="106">
        <v>0</v>
      </c>
      <c r="M479" s="106">
        <v>0</v>
      </c>
      <c r="N479" s="106"/>
      <c r="O479" s="106"/>
      <c r="P479" s="106">
        <v>0</v>
      </c>
      <c r="Q479" s="106" t="s">
        <v>1281</v>
      </c>
      <c r="S479" s="108">
        <f>IF($A479="","",COUNTIF(BPOworkers!$B$6:$B$105,$A479))</f>
        <v>0</v>
      </c>
      <c r="T479" s="109">
        <f>IF($A479="","",$K479*Config!$C$9)</f>
        <v>8</v>
      </c>
      <c r="U479" s="109">
        <f>IF($A479="","",IF(COUNTIF(Config!$C$21:$C$23,$H479)&gt;0,IFERROR(VALUE(LEFT(TRIM($Q479),FIND(" ",TRIM($Q479)&amp;" ")-1)),0),0))</f>
        <v>0</v>
      </c>
      <c r="V479" s="109">
        <f t="shared" si="84"/>
        <v>8</v>
      </c>
      <c r="W479" s="108">
        <f>IF($A479="",0,IF(AND($C479&gt;=Config!$C$7,$C479&lt;=Config!$C$8),1,0))</f>
        <v>1</v>
      </c>
      <c r="X479" s="108">
        <f>IF($A479="",0,IF(COUNTIF(Config!$C$21:$C$23,$H479)&gt;0,1,0))</f>
        <v>0</v>
      </c>
      <c r="Y479" s="108">
        <f t="shared" si="85"/>
        <v>10</v>
      </c>
      <c r="Z479" s="108" t="str">
        <f t="shared" si="86"/>
        <v/>
      </c>
      <c r="AB479" s="108">
        <f t="shared" si="87"/>
        <v>0</v>
      </c>
      <c r="AC479" s="108">
        <f>IF($A479="",0,IF(AND($AB479=1,COUNTIF($A$2:$A479,$A479)=1),1,0))</f>
        <v>0</v>
      </c>
      <c r="AD479" s="108">
        <f t="shared" si="88"/>
        <v>1</v>
      </c>
      <c r="AE479" s="108" t="str">
        <f t="shared" si="89"/>
        <v/>
      </c>
      <c r="AF479" s="108">
        <f t="shared" si="90"/>
        <v>0</v>
      </c>
      <c r="AG479" s="108">
        <f t="shared" si="91"/>
        <v>0</v>
      </c>
      <c r="AH479" s="110" t="str">
        <f t="shared" si="92"/>
        <v>R. Hufnagel|20260902|Title|1.000|Meeting, set up AOI, input source deed, indexed, and entered notecards into tracts</v>
      </c>
      <c r="AI479" s="108">
        <f t="shared" si="93"/>
        <v>0</v>
      </c>
      <c r="AJ479" s="108">
        <f t="shared" si="94"/>
        <v>0</v>
      </c>
      <c r="AK479" s="108">
        <f>IF($A479="",0,IF(AND($S479=1,$W479=1,$X479=1,$U479&gt;Config!$C$9),1,0))</f>
        <v>0</v>
      </c>
      <c r="AL479" s="108">
        <f t="shared" si="95"/>
        <v>0</v>
      </c>
    </row>
    <row r="480" spans="1:38" x14ac:dyDescent="0.25">
      <c r="A480" s="106" t="s">
        <v>994</v>
      </c>
      <c r="B480" s="106" t="s">
        <v>618</v>
      </c>
      <c r="C480" s="107">
        <v>46267</v>
      </c>
      <c r="D480" s="106" t="s">
        <v>720</v>
      </c>
      <c r="E480" s="106" t="s">
        <v>721</v>
      </c>
      <c r="F480" s="106" t="s">
        <v>722</v>
      </c>
      <c r="G480" s="106" t="s">
        <v>1148</v>
      </c>
      <c r="H480" s="106" t="s">
        <v>631</v>
      </c>
      <c r="I480" s="106"/>
      <c r="J480" s="106" t="s">
        <v>1149</v>
      </c>
      <c r="K480" s="106">
        <v>0.25</v>
      </c>
      <c r="L480" s="106">
        <v>0</v>
      </c>
      <c r="M480" s="106">
        <v>0</v>
      </c>
      <c r="N480" s="106"/>
      <c r="O480" s="106"/>
      <c r="P480" s="106">
        <v>0</v>
      </c>
      <c r="Q480" s="106" t="s">
        <v>1281</v>
      </c>
      <c r="S480" s="108">
        <f>IF($A480="","",COUNTIF(BPOworkers!$B$6:$B$105,$A480))</f>
        <v>0</v>
      </c>
      <c r="T480" s="109">
        <f>IF($A480="","",$K480*Config!$C$9)</f>
        <v>2</v>
      </c>
      <c r="U480" s="109">
        <f>IF($A480="","",IF(COUNTIF(Config!$C$21:$C$23,$H480)&gt;0,IFERROR(VALUE(LEFT(TRIM($Q480),FIND(" ",TRIM($Q480)&amp;" ")-1)),0),0))</f>
        <v>0</v>
      </c>
      <c r="V480" s="109">
        <f t="shared" si="84"/>
        <v>2</v>
      </c>
      <c r="W480" s="108">
        <f>IF($A480="",0,IF(AND($C480&gt;=Config!$C$7,$C480&lt;=Config!$C$8),1,0))</f>
        <v>1</v>
      </c>
      <c r="X480" s="108">
        <f>IF($A480="",0,IF(COUNTIF(Config!$C$21:$C$23,$H480)&gt;0,1,0))</f>
        <v>0</v>
      </c>
      <c r="Y480" s="108">
        <f t="shared" si="85"/>
        <v>10</v>
      </c>
      <c r="Z480" s="108" t="str">
        <f t="shared" si="86"/>
        <v/>
      </c>
      <c r="AB480" s="108">
        <f t="shared" si="87"/>
        <v>0</v>
      </c>
      <c r="AC480" s="108">
        <f>IF($A480="",0,IF(AND($AB480=1,COUNTIF($A$2:$A480,$A480)=1),1,0))</f>
        <v>0</v>
      </c>
      <c r="AD480" s="108">
        <f t="shared" si="88"/>
        <v>1</v>
      </c>
      <c r="AE480" s="108" t="str">
        <f t="shared" si="89"/>
        <v/>
      </c>
      <c r="AF480" s="108">
        <f t="shared" si="90"/>
        <v>0</v>
      </c>
      <c r="AG480" s="108">
        <f t="shared" si="91"/>
        <v>0</v>
      </c>
      <c r="AH480" s="110" t="str">
        <f t="shared" si="92"/>
        <v>R. Hufnagel|20260902|Title|0.250|Meeting, set up AOI, input source deed, indexed, and entered notecards into tracts</v>
      </c>
      <c r="AI480" s="108">
        <f t="shared" si="93"/>
        <v>0</v>
      </c>
      <c r="AJ480" s="108">
        <f t="shared" si="94"/>
        <v>0</v>
      </c>
      <c r="AK480" s="108">
        <f>IF($A480="",0,IF(AND($S480=1,$W480=1,$X480=1,$U480&gt;Config!$C$9),1,0))</f>
        <v>0</v>
      </c>
      <c r="AL480" s="108">
        <f t="shared" si="95"/>
        <v>0</v>
      </c>
    </row>
    <row r="481" spans="1:38" x14ac:dyDescent="0.25">
      <c r="A481" s="106" t="s">
        <v>996</v>
      </c>
      <c r="B481" s="106" t="s">
        <v>618</v>
      </c>
      <c r="C481" s="107">
        <v>46267</v>
      </c>
      <c r="D481" s="106" t="s">
        <v>628</v>
      </c>
      <c r="E481" s="106" t="s">
        <v>701</v>
      </c>
      <c r="F481" s="106" t="s">
        <v>630</v>
      </c>
      <c r="G481" s="106" t="s">
        <v>1282</v>
      </c>
      <c r="H481" s="106" t="s">
        <v>656</v>
      </c>
      <c r="I481" s="106"/>
      <c r="J481" s="106"/>
      <c r="K481" s="106">
        <v>0.75</v>
      </c>
      <c r="L481" s="106">
        <v>0</v>
      </c>
      <c r="M481" s="106">
        <v>0</v>
      </c>
      <c r="N481" s="106"/>
      <c r="O481" s="106"/>
      <c r="P481" s="106">
        <v>0</v>
      </c>
      <c r="Q481" s="106" t="s">
        <v>1283</v>
      </c>
      <c r="S481" s="108">
        <f>IF($A481="","",COUNTIF(BPOworkers!$B$6:$B$105,$A481))</f>
        <v>0</v>
      </c>
      <c r="T481" s="109">
        <f>IF($A481="","",$K481*Config!$C$9)</f>
        <v>6</v>
      </c>
      <c r="U481" s="109">
        <f>IF($A481="","",IF(COUNTIF(Config!$C$21:$C$23,$H481)&gt;0,IFERROR(VALUE(LEFT(TRIM($Q481),FIND(" ",TRIM($Q481)&amp;" ")-1)),0),0))</f>
        <v>0</v>
      </c>
      <c r="V481" s="109">
        <f t="shared" si="84"/>
        <v>6</v>
      </c>
      <c r="W481" s="108">
        <f>IF($A481="",0,IF(AND($C481&gt;=Config!$C$7,$C481&lt;=Config!$C$8),1,0))</f>
        <v>1</v>
      </c>
      <c r="X481" s="108">
        <f>IF($A481="",0,IF(COUNTIF(Config!$C$21:$C$23,$H481)&gt;0,1,0))</f>
        <v>0</v>
      </c>
      <c r="Y481" s="108">
        <f t="shared" si="85"/>
        <v>10</v>
      </c>
      <c r="Z481" s="108" t="str">
        <f t="shared" si="86"/>
        <v/>
      </c>
      <c r="AB481" s="108">
        <f t="shared" si="87"/>
        <v>0</v>
      </c>
      <c r="AC481" s="108">
        <f>IF($A481="",0,IF(AND($AB481=1,COUNTIF($A$2:$A481,$A481)=1),1,0))</f>
        <v>0</v>
      </c>
      <c r="AD481" s="108">
        <f t="shared" si="88"/>
        <v>1</v>
      </c>
      <c r="AE481" s="108" t="str">
        <f t="shared" si="89"/>
        <v/>
      </c>
      <c r="AF481" s="108">
        <f t="shared" si="90"/>
        <v>0</v>
      </c>
      <c r="AG481" s="108">
        <f t="shared" si="91"/>
        <v>0</v>
      </c>
      <c r="AH481" s="110" t="str">
        <f t="shared" si="92"/>
        <v>D. Woodall|20260902|Project Management|0.750|Project Scope edit &amp; Landman assignment review and feedback</v>
      </c>
      <c r="AI481" s="108">
        <f t="shared" si="93"/>
        <v>0</v>
      </c>
      <c r="AJ481" s="108">
        <f t="shared" si="94"/>
        <v>0</v>
      </c>
      <c r="AK481" s="108">
        <f>IF($A481="",0,IF(AND($S481=1,$W481=1,$X481=1,$U481&gt;Config!$C$9),1,0))</f>
        <v>0</v>
      </c>
      <c r="AL481" s="108">
        <f t="shared" si="95"/>
        <v>0</v>
      </c>
    </row>
    <row r="482" spans="1:38" x14ac:dyDescent="0.25">
      <c r="A482" s="106" t="s">
        <v>996</v>
      </c>
      <c r="B482" s="106" t="s">
        <v>618</v>
      </c>
      <c r="C482" s="107">
        <v>46267</v>
      </c>
      <c r="D482" s="106" t="s">
        <v>529</v>
      </c>
      <c r="E482" s="106" t="s">
        <v>529</v>
      </c>
      <c r="F482" s="106" t="s">
        <v>615</v>
      </c>
      <c r="G482" s="106"/>
      <c r="H482" s="106" t="s">
        <v>529</v>
      </c>
      <c r="I482" s="106"/>
      <c r="J482" s="106"/>
      <c r="K482" s="106">
        <v>0</v>
      </c>
      <c r="L482" s="106">
        <v>0</v>
      </c>
      <c r="M482" s="106">
        <v>0</v>
      </c>
      <c r="N482" s="106"/>
      <c r="O482" s="106"/>
      <c r="P482" s="106">
        <v>0</v>
      </c>
      <c r="Q482" s="106" t="s">
        <v>1284</v>
      </c>
      <c r="S482" s="108">
        <f>IF($A482="","",COUNTIF(BPOworkers!$B$6:$B$105,$A482))</f>
        <v>0</v>
      </c>
      <c r="T482" s="109">
        <f>IF($A482="","",$K482*Config!$C$9)</f>
        <v>0</v>
      </c>
      <c r="U482" s="109">
        <f>IF($A482="","",IF(COUNTIF(Config!$C$21:$C$23,$H482)&gt;0,IFERROR(VALUE(LEFT(TRIM($Q482),FIND(" ",TRIM($Q482)&amp;" ")-1)),0),0))</f>
        <v>2</v>
      </c>
      <c r="V482" s="109">
        <f t="shared" si="84"/>
        <v>2</v>
      </c>
      <c r="W482" s="108">
        <f>IF($A482="",0,IF(AND($C482&gt;=Config!$C$7,$C482&lt;=Config!$C$8),1,0))</f>
        <v>1</v>
      </c>
      <c r="X482" s="108">
        <f>IF($A482="",0,IF(COUNTIF(Config!$C$21:$C$23,$H482)&gt;0,1,0))</f>
        <v>1</v>
      </c>
      <c r="Y482" s="108">
        <f t="shared" si="85"/>
        <v>10</v>
      </c>
      <c r="Z482" s="108" t="str">
        <f t="shared" si="86"/>
        <v/>
      </c>
      <c r="AB482" s="108">
        <f t="shared" si="87"/>
        <v>0</v>
      </c>
      <c r="AC482" s="108">
        <f>IF($A482="",0,IF(AND($AB482=1,COUNTIF($A$2:$A482,$A482)=1),1,0))</f>
        <v>0</v>
      </c>
      <c r="AD482" s="108">
        <f t="shared" si="88"/>
        <v>1</v>
      </c>
      <c r="AE482" s="108" t="str">
        <f t="shared" si="89"/>
        <v/>
      </c>
      <c r="AF482" s="108">
        <f t="shared" si="90"/>
        <v>0</v>
      </c>
      <c r="AG482" s="108">
        <f t="shared" si="91"/>
        <v>0</v>
      </c>
      <c r="AH482" s="110" t="str">
        <f t="shared" si="92"/>
        <v>D. Woodall|20260902|Time Off|0.000|2 hrs not billed</v>
      </c>
      <c r="AI482" s="108">
        <f t="shared" si="93"/>
        <v>0</v>
      </c>
      <c r="AJ482" s="108">
        <f t="shared" si="94"/>
        <v>0</v>
      </c>
      <c r="AK482" s="108">
        <f>IF($A482="",0,IF(AND($S482=1,$W482=1,$X482=1,$U482&gt;Config!$C$9),1,0))</f>
        <v>0</v>
      </c>
      <c r="AL482" s="108">
        <f t="shared" si="95"/>
        <v>0</v>
      </c>
    </row>
    <row r="483" spans="1:38" ht="108.75" x14ac:dyDescent="0.25">
      <c r="A483" s="106" t="s">
        <v>458</v>
      </c>
      <c r="B483" s="106" t="s">
        <v>618</v>
      </c>
      <c r="C483" s="107">
        <v>46267</v>
      </c>
      <c r="D483" s="106" t="s">
        <v>669</v>
      </c>
      <c r="E483" s="106" t="s">
        <v>669</v>
      </c>
      <c r="F483" s="106" t="s">
        <v>670</v>
      </c>
      <c r="G483" s="106"/>
      <c r="H483" s="106" t="s">
        <v>671</v>
      </c>
      <c r="I483" s="106"/>
      <c r="J483" s="106"/>
      <c r="K483" s="106">
        <v>0.75</v>
      </c>
      <c r="L483" s="106">
        <v>0</v>
      </c>
      <c r="M483" s="106">
        <v>0</v>
      </c>
      <c r="N483" s="106"/>
      <c r="O483" s="106"/>
      <c r="P483" s="106">
        <v>0</v>
      </c>
      <c r="Q483" s="111" t="s">
        <v>1285</v>
      </c>
      <c r="S483" s="108">
        <f>IF($A483="","",COUNTIF(BPOworkers!$B$6:$B$105,$A483))</f>
        <v>1</v>
      </c>
      <c r="T483" s="109">
        <f>IF($A483="","",$K483*Config!$C$9)</f>
        <v>6</v>
      </c>
      <c r="U483" s="109">
        <f>IF($A483="","",IF(COUNTIF(Config!$C$21:$C$23,$H483)&gt;0,IFERROR(VALUE(LEFT(TRIM($Q483),FIND(" ",TRIM($Q483)&amp;" ")-1)),0),0))</f>
        <v>0</v>
      </c>
      <c r="V483" s="109">
        <f t="shared" si="84"/>
        <v>6</v>
      </c>
      <c r="W483" s="108">
        <f>IF($A483="",0,IF(AND($C483&gt;=Config!$C$7,$C483&lt;=Config!$C$8),1,0))</f>
        <v>1</v>
      </c>
      <c r="X483" s="108">
        <f>IF($A483="",0,IF(COUNTIF(Config!$C$21:$C$23,$H483)&gt;0,1,0))</f>
        <v>0</v>
      </c>
      <c r="Y483" s="108">
        <f t="shared" si="85"/>
        <v>10</v>
      </c>
      <c r="Z483" s="108" t="str">
        <f t="shared" si="86"/>
        <v/>
      </c>
      <c r="AB483" s="108">
        <f t="shared" si="87"/>
        <v>0</v>
      </c>
      <c r="AC483" s="108">
        <f>IF($A483="",0,IF(AND($AB483=1,COUNTIF($A$2:$A483,$A483)=1),1,0))</f>
        <v>0</v>
      </c>
      <c r="AD483" s="108">
        <f t="shared" si="88"/>
        <v>1</v>
      </c>
      <c r="AE483" s="108" t="str">
        <f t="shared" si="89"/>
        <v/>
      </c>
      <c r="AF483" s="108">
        <f t="shared" si="90"/>
        <v>0</v>
      </c>
      <c r="AG483" s="108">
        <f t="shared" si="91"/>
        <v>0</v>
      </c>
      <c r="AH483" s="112" t="str">
        <f t="shared" si="92"/>
        <v>C Castellanos|20260902|TitleNotes - Library|0.750|42 Documents 
 186 Transactions</v>
      </c>
      <c r="AI483" s="108">
        <f t="shared" si="93"/>
        <v>0</v>
      </c>
      <c r="AJ483" s="108">
        <f t="shared" si="94"/>
        <v>0</v>
      </c>
      <c r="AK483" s="108">
        <f>IF($A483="",0,IF(AND($S483=1,$W483=1,$X483=1,$U483&gt;Config!$C$9),1,0))</f>
        <v>0</v>
      </c>
      <c r="AL483" s="108">
        <f t="shared" si="95"/>
        <v>0</v>
      </c>
    </row>
    <row r="484" spans="1:38" ht="120.75" x14ac:dyDescent="0.25">
      <c r="A484" s="106" t="s">
        <v>458</v>
      </c>
      <c r="B484" s="106" t="s">
        <v>618</v>
      </c>
      <c r="C484" s="107">
        <v>46267</v>
      </c>
      <c r="D484" s="106" t="s">
        <v>902</v>
      </c>
      <c r="E484" s="106" t="s">
        <v>903</v>
      </c>
      <c r="F484" s="106" t="s">
        <v>1108</v>
      </c>
      <c r="G484" s="106" t="s">
        <v>1109</v>
      </c>
      <c r="H484" s="106" t="s">
        <v>702</v>
      </c>
      <c r="I484" s="106"/>
      <c r="J484" s="106"/>
      <c r="K484" s="106">
        <v>0.25</v>
      </c>
      <c r="L484" s="106">
        <v>0</v>
      </c>
      <c r="M484" s="106">
        <v>0</v>
      </c>
      <c r="N484" s="106"/>
      <c r="O484" s="106"/>
      <c r="P484" s="106">
        <v>0</v>
      </c>
      <c r="Q484" s="111" t="s">
        <v>1286</v>
      </c>
      <c r="S484" s="108">
        <f>IF($A484="","",COUNTIF(BPOworkers!$B$6:$B$105,$A484))</f>
        <v>1</v>
      </c>
      <c r="T484" s="109">
        <f>IF($A484="","",$K484*Config!$C$9)</f>
        <v>2</v>
      </c>
      <c r="U484" s="109">
        <f>IF($A484="","",IF(COUNTIF(Config!$C$21:$C$23,$H484)&gt;0,IFERROR(VALUE(LEFT(TRIM($Q484),FIND(" ",TRIM($Q484)&amp;" ")-1)),0),0))</f>
        <v>0</v>
      </c>
      <c r="V484" s="109">
        <f t="shared" si="84"/>
        <v>2</v>
      </c>
      <c r="W484" s="108">
        <f>IF($A484="",0,IF(AND($C484&gt;=Config!$C$7,$C484&lt;=Config!$C$8),1,0))</f>
        <v>1</v>
      </c>
      <c r="X484" s="108">
        <f>IF($A484="",0,IF(COUNTIF(Config!$C$21:$C$23,$H484)&gt;0,1,0))</f>
        <v>0</v>
      </c>
      <c r="Y484" s="108">
        <f t="shared" si="85"/>
        <v>10</v>
      </c>
      <c r="Z484" s="108" t="str">
        <f t="shared" si="86"/>
        <v/>
      </c>
      <c r="AB484" s="108">
        <f t="shared" si="87"/>
        <v>0</v>
      </c>
      <c r="AC484" s="108">
        <f>IF($A484="",0,IF(AND($AB484=1,COUNTIF($A$2:$A484,$A484)=1),1,0))</f>
        <v>0</v>
      </c>
      <c r="AD484" s="108">
        <f t="shared" si="88"/>
        <v>1</v>
      </c>
      <c r="AE484" s="108" t="str">
        <f t="shared" si="89"/>
        <v/>
      </c>
      <c r="AF484" s="108">
        <f t="shared" si="90"/>
        <v>0</v>
      </c>
      <c r="AG484" s="108">
        <f t="shared" si="91"/>
        <v>0</v>
      </c>
      <c r="AH484" s="112" t="str">
        <f t="shared" si="92"/>
        <v>C Castellanos|20260902|Data Processing|0.250|14 Folders processed
 6 Folders pending</v>
      </c>
      <c r="AI484" s="108">
        <f t="shared" si="93"/>
        <v>0</v>
      </c>
      <c r="AJ484" s="108">
        <f t="shared" si="94"/>
        <v>0</v>
      </c>
      <c r="AK484" s="108">
        <f>IF($A484="",0,IF(AND($S484=1,$W484=1,$X484=1,$U484&gt;Config!$C$9),1,0))</f>
        <v>0</v>
      </c>
      <c r="AL484" s="108">
        <f t="shared" si="95"/>
        <v>0</v>
      </c>
    </row>
    <row r="485" spans="1:38" ht="204.75" x14ac:dyDescent="0.25">
      <c r="A485" s="106" t="s">
        <v>461</v>
      </c>
      <c r="B485" s="106" t="s">
        <v>614</v>
      </c>
      <c r="C485" s="107">
        <v>46267</v>
      </c>
      <c r="D485" s="106" t="s">
        <v>623</v>
      </c>
      <c r="E485" s="106" t="s">
        <v>624</v>
      </c>
      <c r="F485" s="106" t="s">
        <v>615</v>
      </c>
      <c r="G485" s="106" t="s">
        <v>625</v>
      </c>
      <c r="H485" s="106" t="s">
        <v>691</v>
      </c>
      <c r="I485" s="106"/>
      <c r="J485" s="106" t="s">
        <v>691</v>
      </c>
      <c r="K485" s="106">
        <v>1</v>
      </c>
      <c r="L485" s="106">
        <v>0</v>
      </c>
      <c r="M485" s="106">
        <v>0</v>
      </c>
      <c r="N485" s="106"/>
      <c r="O485" s="106"/>
      <c r="P485" s="106">
        <v>0</v>
      </c>
      <c r="Q485" s="111" t="s">
        <v>764</v>
      </c>
      <c r="S485" s="108">
        <f>IF($A485="","",COUNTIF(BPOworkers!$B$6:$B$105,$A485))</f>
        <v>1</v>
      </c>
      <c r="T485" s="109">
        <f>IF($A485="","",$K485*Config!$C$9)</f>
        <v>8</v>
      </c>
      <c r="U485" s="109">
        <f>IF($A485="","",IF(COUNTIF(Config!$C$21:$C$23,$H485)&gt;0,IFERROR(VALUE(LEFT(TRIM($Q485),FIND(" ",TRIM($Q485)&amp;" ")-1)),0),0))</f>
        <v>0</v>
      </c>
      <c r="V485" s="109">
        <f t="shared" si="84"/>
        <v>8</v>
      </c>
      <c r="W485" s="108">
        <f>IF($A485="",0,IF(AND($C485&gt;=Config!$C$7,$C485&lt;=Config!$C$8),1,0))</f>
        <v>1</v>
      </c>
      <c r="X485" s="108">
        <f>IF($A485="",0,IF(COUNTIF(Config!$C$21:$C$23,$H485)&gt;0,1,0))</f>
        <v>0</v>
      </c>
      <c r="Y485" s="108">
        <f t="shared" si="85"/>
        <v>10</v>
      </c>
      <c r="Z485" s="108" t="str">
        <f t="shared" si="86"/>
        <v/>
      </c>
      <c r="AB485" s="108">
        <f t="shared" si="87"/>
        <v>0</v>
      </c>
      <c r="AC485" s="108">
        <f>IF($A485="",0,IF(AND($AB485=1,COUNTIF($A$2:$A485,$A485)=1),1,0))</f>
        <v>0</v>
      </c>
      <c r="AD485" s="108">
        <f t="shared" si="88"/>
        <v>1</v>
      </c>
      <c r="AE485" s="108" t="str">
        <f t="shared" si="89"/>
        <v/>
      </c>
      <c r="AF485" s="108">
        <f t="shared" si="90"/>
        <v>0</v>
      </c>
      <c r="AG485" s="108">
        <f t="shared" si="91"/>
        <v>0</v>
      </c>
      <c r="AH485" s="112" t="str">
        <f t="shared" si="92"/>
        <v xml:space="preserve">D Trujillo|20260902|BPO Project Management|1.000|BTABs Checkings Approval
 Adding legals in BTABs
 Extra Hours Spreadsheet
 Office mgmt
 Onboarding process fort the new </v>
      </c>
      <c r="AI485" s="108">
        <f t="shared" si="93"/>
        <v>0</v>
      </c>
      <c r="AJ485" s="108">
        <f t="shared" si="94"/>
        <v>0</v>
      </c>
      <c r="AK485" s="108">
        <f>IF($A485="",0,IF(AND($S485=1,$W485=1,$X485=1,$U485&gt;Config!$C$9),1,0))</f>
        <v>0</v>
      </c>
      <c r="AL485" s="108">
        <f t="shared" si="95"/>
        <v>0</v>
      </c>
    </row>
    <row r="486" spans="1:38" ht="216.75" x14ac:dyDescent="0.25">
      <c r="A486" s="106" t="s">
        <v>465</v>
      </c>
      <c r="B486" s="106" t="s">
        <v>618</v>
      </c>
      <c r="C486" s="107">
        <v>46267</v>
      </c>
      <c r="D486" s="106" t="s">
        <v>694</v>
      </c>
      <c r="E486" s="106" t="s">
        <v>765</v>
      </c>
      <c r="F486" s="106" t="s">
        <v>766</v>
      </c>
      <c r="G486" s="106" t="s">
        <v>1156</v>
      </c>
      <c r="H486" s="106" t="s">
        <v>765</v>
      </c>
      <c r="I486" s="106"/>
      <c r="J486" s="106" t="s">
        <v>807</v>
      </c>
      <c r="K486" s="106">
        <v>1</v>
      </c>
      <c r="L486" s="106">
        <v>0</v>
      </c>
      <c r="M486" s="106">
        <v>0</v>
      </c>
      <c r="N486" s="106"/>
      <c r="O486" s="106"/>
      <c r="P486" s="106">
        <v>0</v>
      </c>
      <c r="Q486" s="111" t="s">
        <v>1287</v>
      </c>
      <c r="S486" s="108">
        <f>IF($A486="","",COUNTIF(BPOworkers!$B$6:$B$105,$A486))</f>
        <v>1</v>
      </c>
      <c r="T486" s="109">
        <f>IF($A486="","",$K486*Config!$C$9)</f>
        <v>8</v>
      </c>
      <c r="U486" s="109">
        <f>IF($A486="","",IF(COUNTIF(Config!$C$21:$C$23,$H486)&gt;0,IFERROR(VALUE(LEFT(TRIM($Q486),FIND(" ",TRIM($Q486)&amp;" ")-1)),0),0))</f>
        <v>0</v>
      </c>
      <c r="V486" s="109">
        <f t="shared" si="84"/>
        <v>8</v>
      </c>
      <c r="W486" s="108">
        <f>IF($A486="",0,IF(AND($C486&gt;=Config!$C$7,$C486&lt;=Config!$C$8),1,0))</f>
        <v>1</v>
      </c>
      <c r="X486" s="108">
        <f>IF($A486="",0,IF(COUNTIF(Config!$C$21:$C$23,$H486)&gt;0,1,0))</f>
        <v>0</v>
      </c>
      <c r="Y486" s="108">
        <f t="shared" si="85"/>
        <v>10</v>
      </c>
      <c r="Z486" s="108" t="str">
        <f t="shared" si="86"/>
        <v/>
      </c>
      <c r="AB486" s="108">
        <f t="shared" si="87"/>
        <v>0</v>
      </c>
      <c r="AC486" s="108">
        <f>IF($A486="",0,IF(AND($AB486=1,COUNTIF($A$2:$A486,$A486)=1),1,0))</f>
        <v>0</v>
      </c>
      <c r="AD486" s="108">
        <f t="shared" si="88"/>
        <v>1</v>
      </c>
      <c r="AE486" s="108" t="str">
        <f t="shared" si="89"/>
        <v/>
      </c>
      <c r="AF486" s="108">
        <f t="shared" si="90"/>
        <v>0</v>
      </c>
      <c r="AG486" s="108">
        <f t="shared" si="91"/>
        <v>0</v>
      </c>
      <c r="AH486" s="112" t="str">
        <f t="shared" si="92"/>
        <v>I Salamanca|20260902|Lease Bringdown|1.000|Added last leases and run title forward to present
 Indexed 15 names and download/check the historical index
 Filled 2</v>
      </c>
      <c r="AI486" s="108">
        <f t="shared" si="93"/>
        <v>0</v>
      </c>
      <c r="AJ486" s="108">
        <f t="shared" si="94"/>
        <v>0</v>
      </c>
      <c r="AK486" s="108">
        <f>IF($A486="",0,IF(AND($S486=1,$W486=1,$X486=1,$U486&gt;Config!$C$9),1,0))</f>
        <v>0</v>
      </c>
      <c r="AL486" s="108">
        <f t="shared" si="95"/>
        <v>0</v>
      </c>
    </row>
    <row r="487" spans="1:38" ht="120.75" x14ac:dyDescent="0.25">
      <c r="A487" s="106" t="s">
        <v>466</v>
      </c>
      <c r="B487" s="106" t="s">
        <v>618</v>
      </c>
      <c r="C487" s="107">
        <v>46267</v>
      </c>
      <c r="D487" s="106" t="s">
        <v>623</v>
      </c>
      <c r="E487" s="106" t="s">
        <v>624</v>
      </c>
      <c r="F487" s="106" t="s">
        <v>615</v>
      </c>
      <c r="G487" s="106" t="s">
        <v>625</v>
      </c>
      <c r="H487" s="106" t="s">
        <v>671</v>
      </c>
      <c r="I487" s="106" t="s">
        <v>657</v>
      </c>
      <c r="J487" s="106" t="s">
        <v>669</v>
      </c>
      <c r="K487" s="106">
        <v>0.75</v>
      </c>
      <c r="L487" s="106">
        <v>0</v>
      </c>
      <c r="M487" s="106">
        <v>0</v>
      </c>
      <c r="N487" s="106"/>
      <c r="O487" s="106"/>
      <c r="P487" s="106">
        <v>0</v>
      </c>
      <c r="Q487" s="111" t="s">
        <v>1288</v>
      </c>
      <c r="S487" s="108">
        <f>IF($A487="","",COUNTIF(BPOworkers!$B$6:$B$105,$A487))</f>
        <v>1</v>
      </c>
      <c r="T487" s="109">
        <f>IF($A487="","",$K487*Config!$C$9)</f>
        <v>6</v>
      </c>
      <c r="U487" s="109">
        <f>IF($A487="","",IF(COUNTIF(Config!$C$21:$C$23,$H487)&gt;0,IFERROR(VALUE(LEFT(TRIM($Q487),FIND(" ",TRIM($Q487)&amp;" ")-1)),0),0))</f>
        <v>0</v>
      </c>
      <c r="V487" s="109">
        <f t="shared" si="84"/>
        <v>6</v>
      </c>
      <c r="W487" s="108">
        <f>IF($A487="",0,IF(AND($C487&gt;=Config!$C$7,$C487&lt;=Config!$C$8),1,0))</f>
        <v>1</v>
      </c>
      <c r="X487" s="108">
        <f>IF($A487="",0,IF(COUNTIF(Config!$C$21:$C$23,$H487)&gt;0,1,0))</f>
        <v>0</v>
      </c>
      <c r="Y487" s="108">
        <f t="shared" si="85"/>
        <v>10</v>
      </c>
      <c r="Z487" s="108" t="str">
        <f t="shared" si="86"/>
        <v/>
      </c>
      <c r="AB487" s="108">
        <f t="shared" si="87"/>
        <v>0</v>
      </c>
      <c r="AC487" s="108">
        <f>IF($A487="",0,IF(AND($AB487=1,COUNTIF($A$2:$A487,$A487)=1),1,0))</f>
        <v>0</v>
      </c>
      <c r="AD487" s="108">
        <f t="shared" si="88"/>
        <v>1</v>
      </c>
      <c r="AE487" s="108" t="str">
        <f t="shared" si="89"/>
        <v/>
      </c>
      <c r="AF487" s="108">
        <f t="shared" si="90"/>
        <v>0</v>
      </c>
      <c r="AG487" s="108">
        <f t="shared" si="91"/>
        <v>0</v>
      </c>
      <c r="AH487" s="112" t="str">
        <f t="shared" si="92"/>
        <v>J Abay|20260902|TitleNotes - Library|0.750|Title Notes 
 17 Documents 
 58 Transactions</v>
      </c>
      <c r="AI487" s="108">
        <f t="shared" si="93"/>
        <v>0</v>
      </c>
      <c r="AJ487" s="108">
        <f t="shared" si="94"/>
        <v>0</v>
      </c>
      <c r="AK487" s="108">
        <f>IF($A487="",0,IF(AND($S487=1,$W487=1,$X487=1,$U487&gt;Config!$C$9),1,0))</f>
        <v>0</v>
      </c>
      <c r="AL487" s="108">
        <f t="shared" si="95"/>
        <v>0</v>
      </c>
    </row>
    <row r="488" spans="1:38" x14ac:dyDescent="0.25">
      <c r="A488" s="106" t="s">
        <v>466</v>
      </c>
      <c r="B488" s="106" t="s">
        <v>618</v>
      </c>
      <c r="C488" s="107">
        <v>46267</v>
      </c>
      <c r="D488" s="106" t="s">
        <v>902</v>
      </c>
      <c r="E488" s="106" t="s">
        <v>903</v>
      </c>
      <c r="F488" s="106" t="s">
        <v>1108</v>
      </c>
      <c r="G488" s="106" t="s">
        <v>1109</v>
      </c>
      <c r="H488" s="106" t="s">
        <v>702</v>
      </c>
      <c r="I488" s="106"/>
      <c r="J488" s="106"/>
      <c r="K488" s="106">
        <v>0.25</v>
      </c>
      <c r="L488" s="106">
        <v>0</v>
      </c>
      <c r="M488" s="106">
        <v>0</v>
      </c>
      <c r="N488" s="106"/>
      <c r="O488" s="106"/>
      <c r="P488" s="106">
        <v>0</v>
      </c>
      <c r="Q488" s="106" t="s">
        <v>1145</v>
      </c>
      <c r="S488" s="108">
        <f>IF($A488="","",COUNTIF(BPOworkers!$B$6:$B$105,$A488))</f>
        <v>1</v>
      </c>
      <c r="T488" s="109">
        <f>IF($A488="","",$K488*Config!$C$9)</f>
        <v>2</v>
      </c>
      <c r="U488" s="109">
        <f>IF($A488="","",IF(COUNTIF(Config!$C$21:$C$23,$H488)&gt;0,IFERROR(VALUE(LEFT(TRIM($Q488),FIND(" ",TRIM($Q488)&amp;" ")-1)),0),0))</f>
        <v>0</v>
      </c>
      <c r="V488" s="109">
        <f t="shared" si="84"/>
        <v>2</v>
      </c>
      <c r="W488" s="108">
        <f>IF($A488="",0,IF(AND($C488&gt;=Config!$C$7,$C488&lt;=Config!$C$8),1,0))</f>
        <v>1</v>
      </c>
      <c r="X488" s="108">
        <f>IF($A488="",0,IF(COUNTIF(Config!$C$21:$C$23,$H488)&gt;0,1,0))</f>
        <v>0</v>
      </c>
      <c r="Y488" s="108">
        <f t="shared" si="85"/>
        <v>10</v>
      </c>
      <c r="Z488" s="108" t="str">
        <f t="shared" si="86"/>
        <v/>
      </c>
      <c r="AB488" s="108">
        <f t="shared" si="87"/>
        <v>0</v>
      </c>
      <c r="AC488" s="108">
        <f>IF($A488="",0,IF(AND($AB488=1,COUNTIF($A$2:$A488,$A488)=1),1,0))</f>
        <v>0</v>
      </c>
      <c r="AD488" s="108">
        <f t="shared" si="88"/>
        <v>1</v>
      </c>
      <c r="AE488" s="108" t="str">
        <f t="shared" si="89"/>
        <v/>
      </c>
      <c r="AF488" s="108">
        <f t="shared" si="90"/>
        <v>0</v>
      </c>
      <c r="AG488" s="108">
        <f t="shared" si="91"/>
        <v>0</v>
      </c>
      <c r="AH488" s="110" t="str">
        <f t="shared" si="92"/>
        <v>J Abay|20260902|Data Processing|0.250|Clean and process STR reports, then move completed files to the Processed folder</v>
      </c>
      <c r="AI488" s="108">
        <f t="shared" si="93"/>
        <v>0</v>
      </c>
      <c r="AJ488" s="108">
        <f t="shared" si="94"/>
        <v>0</v>
      </c>
      <c r="AK488" s="108">
        <f>IF($A488="",0,IF(AND($S488=1,$W488=1,$X488=1,$U488&gt;Config!$C$9),1,0))</f>
        <v>0</v>
      </c>
      <c r="AL488" s="108">
        <f t="shared" si="95"/>
        <v>0</v>
      </c>
    </row>
    <row r="489" spans="1:38" ht="132.75" x14ac:dyDescent="0.25">
      <c r="A489" s="106" t="s">
        <v>472</v>
      </c>
      <c r="B489" s="106" t="s">
        <v>618</v>
      </c>
      <c r="C489" s="107">
        <v>46267</v>
      </c>
      <c r="D489" s="106" t="s">
        <v>623</v>
      </c>
      <c r="E489" s="106" t="s">
        <v>624</v>
      </c>
      <c r="F489" s="106" t="s">
        <v>615</v>
      </c>
      <c r="G489" s="106" t="s">
        <v>625</v>
      </c>
      <c r="H489" s="106" t="s">
        <v>671</v>
      </c>
      <c r="I489" s="106" t="s">
        <v>657</v>
      </c>
      <c r="J489" s="106" t="s">
        <v>669</v>
      </c>
      <c r="K489" s="106">
        <v>0.375</v>
      </c>
      <c r="L489" s="106">
        <v>0</v>
      </c>
      <c r="M489" s="106">
        <v>0</v>
      </c>
      <c r="N489" s="106"/>
      <c r="O489" s="106"/>
      <c r="P489" s="106">
        <v>0</v>
      </c>
      <c r="Q489" s="111" t="s">
        <v>1289</v>
      </c>
      <c r="S489" s="108">
        <f>IF($A489="","",COUNTIF(BPOworkers!$B$6:$B$105,$A489))</f>
        <v>1</v>
      </c>
      <c r="T489" s="109">
        <f>IF($A489="","",$K489*Config!$C$9)</f>
        <v>3</v>
      </c>
      <c r="U489" s="109">
        <f>IF($A489="","",IF(COUNTIF(Config!$C$21:$C$23,$H489)&gt;0,IFERROR(VALUE(LEFT(TRIM($Q489),FIND(" ",TRIM($Q489)&amp;" ")-1)),0),0))</f>
        <v>0</v>
      </c>
      <c r="V489" s="109">
        <f t="shared" si="84"/>
        <v>3</v>
      </c>
      <c r="W489" s="108">
        <f>IF($A489="",0,IF(AND($C489&gt;=Config!$C$7,$C489&lt;=Config!$C$8),1,0))</f>
        <v>1</v>
      </c>
      <c r="X489" s="108">
        <f>IF($A489="",0,IF(COUNTIF(Config!$C$21:$C$23,$H489)&gt;0,1,0))</f>
        <v>0</v>
      </c>
      <c r="Y489" s="108">
        <f t="shared" si="85"/>
        <v>10</v>
      </c>
      <c r="Z489" s="108" t="str">
        <f t="shared" si="86"/>
        <v/>
      </c>
      <c r="AB489" s="108">
        <f t="shared" si="87"/>
        <v>0</v>
      </c>
      <c r="AC489" s="108">
        <f>IF($A489="",0,IF(AND($AB489=1,COUNTIF($A$2:$A489,$A489)=1),1,0))</f>
        <v>0</v>
      </c>
      <c r="AD489" s="108">
        <f t="shared" si="88"/>
        <v>1</v>
      </c>
      <c r="AE489" s="108" t="str">
        <f t="shared" si="89"/>
        <v/>
      </c>
      <c r="AF489" s="108">
        <f t="shared" si="90"/>
        <v>0</v>
      </c>
      <c r="AG489" s="108">
        <f t="shared" si="91"/>
        <v>0</v>
      </c>
      <c r="AH489" s="112" t="str">
        <f t="shared" si="92"/>
        <v>J Reyes|20260902|TitleNotes - Library|0.375|Title Notes
 12 documents
 35 transactions</v>
      </c>
      <c r="AI489" s="108">
        <f t="shared" si="93"/>
        <v>0</v>
      </c>
      <c r="AJ489" s="108">
        <f t="shared" si="94"/>
        <v>0</v>
      </c>
      <c r="AK489" s="108">
        <f>IF($A489="",0,IF(AND($S489=1,$W489=1,$X489=1,$U489&gt;Config!$C$9),1,0))</f>
        <v>0</v>
      </c>
      <c r="AL489" s="108">
        <f t="shared" si="95"/>
        <v>0</v>
      </c>
    </row>
    <row r="490" spans="1:38" x14ac:dyDescent="0.25">
      <c r="A490" s="106" t="s">
        <v>472</v>
      </c>
      <c r="B490" s="106" t="s">
        <v>618</v>
      </c>
      <c r="C490" s="107">
        <v>46267</v>
      </c>
      <c r="D490" s="106" t="s">
        <v>628</v>
      </c>
      <c r="E490" s="106" t="s">
        <v>701</v>
      </c>
      <c r="F490" s="106" t="s">
        <v>630</v>
      </c>
      <c r="G490" s="106" t="s">
        <v>770</v>
      </c>
      <c r="H490" s="106" t="s">
        <v>702</v>
      </c>
      <c r="I490" s="106"/>
      <c r="J490" s="106"/>
      <c r="K490" s="106">
        <v>0.625</v>
      </c>
      <c r="L490" s="106">
        <v>0</v>
      </c>
      <c r="M490" s="106">
        <v>0</v>
      </c>
      <c r="N490" s="106"/>
      <c r="O490" s="106"/>
      <c r="P490" s="106">
        <v>0</v>
      </c>
      <c r="Q490" s="106" t="s">
        <v>1290</v>
      </c>
      <c r="S490" s="108">
        <f>IF($A490="","",COUNTIF(BPOworkers!$B$6:$B$105,$A490))</f>
        <v>1</v>
      </c>
      <c r="T490" s="109">
        <f>IF($A490="","",$K490*Config!$C$9)</f>
        <v>5</v>
      </c>
      <c r="U490" s="109">
        <f>IF($A490="","",IF(COUNTIF(Config!$C$21:$C$23,$H490)&gt;0,IFERROR(VALUE(LEFT(TRIM($Q490),FIND(" ",TRIM($Q490)&amp;" ")-1)),0),0))</f>
        <v>0</v>
      </c>
      <c r="V490" s="109">
        <f t="shared" si="84"/>
        <v>5</v>
      </c>
      <c r="W490" s="108">
        <f>IF($A490="",0,IF(AND($C490&gt;=Config!$C$7,$C490&lt;=Config!$C$8),1,0))</f>
        <v>1</v>
      </c>
      <c r="X490" s="108">
        <f>IF($A490="",0,IF(COUNTIF(Config!$C$21:$C$23,$H490)&gt;0,1,0))</f>
        <v>0</v>
      </c>
      <c r="Y490" s="108">
        <f t="shared" si="85"/>
        <v>10</v>
      </c>
      <c r="Z490" s="108" t="str">
        <f t="shared" si="86"/>
        <v/>
      </c>
      <c r="AB490" s="108">
        <f t="shared" si="87"/>
        <v>0</v>
      </c>
      <c r="AC490" s="108">
        <f>IF($A490="",0,IF(AND($AB490=1,COUNTIF($A$2:$A490,$A490)=1),1,0))</f>
        <v>0</v>
      </c>
      <c r="AD490" s="108">
        <f t="shared" si="88"/>
        <v>1</v>
      </c>
      <c r="AE490" s="108" t="str">
        <f t="shared" si="89"/>
        <v/>
      </c>
      <c r="AF490" s="108">
        <f t="shared" si="90"/>
        <v>0</v>
      </c>
      <c r="AG490" s="108">
        <f t="shared" si="91"/>
        <v>0</v>
      </c>
      <c r="AH490" s="110" t="str">
        <f t="shared" si="92"/>
        <v>J Reyes|20260902|Data Processing|0.625|Title Opinion data entry - Defining scope, drawing polygons.</v>
      </c>
      <c r="AI490" s="108">
        <f t="shared" si="93"/>
        <v>0</v>
      </c>
      <c r="AJ490" s="108">
        <f t="shared" si="94"/>
        <v>0</v>
      </c>
      <c r="AK490" s="108">
        <f>IF($A490="",0,IF(AND($S490=1,$W490=1,$X490=1,$U490&gt;Config!$C$9),1,0))</f>
        <v>0</v>
      </c>
      <c r="AL490" s="108">
        <f t="shared" si="95"/>
        <v>0</v>
      </c>
    </row>
    <row r="491" spans="1:38" x14ac:dyDescent="0.25">
      <c r="A491" s="106" t="s">
        <v>124</v>
      </c>
      <c r="B491" s="106" t="s">
        <v>618</v>
      </c>
      <c r="C491" s="107">
        <v>46267</v>
      </c>
      <c r="D491" s="106" t="s">
        <v>628</v>
      </c>
      <c r="E491" s="106" t="s">
        <v>793</v>
      </c>
      <c r="F491" s="106" t="s">
        <v>670</v>
      </c>
      <c r="G491" s="106" t="s">
        <v>1258</v>
      </c>
      <c r="H491" s="106" t="s">
        <v>702</v>
      </c>
      <c r="I491" s="106"/>
      <c r="J491" s="106" t="s">
        <v>795</v>
      </c>
      <c r="K491" s="106">
        <v>0.5</v>
      </c>
      <c r="L491" s="106">
        <v>0</v>
      </c>
      <c r="M491" s="106">
        <v>0</v>
      </c>
      <c r="N491" s="106"/>
      <c r="O491" s="106"/>
      <c r="P491" s="106">
        <v>0</v>
      </c>
      <c r="Q491" s="106" t="s">
        <v>1291</v>
      </c>
      <c r="S491" s="108">
        <f>IF($A491="","",COUNTIF(BPOworkers!$B$6:$B$105,$A491))</f>
        <v>1</v>
      </c>
      <c r="T491" s="109">
        <f>IF($A491="","",$K491*Config!$C$9)</f>
        <v>4</v>
      </c>
      <c r="U491" s="109">
        <f>IF($A491="","",IF(COUNTIF(Config!$C$21:$C$23,$H491)&gt;0,IFERROR(VALUE(LEFT(TRIM($Q491),FIND(" ",TRIM($Q491)&amp;" ")-1)),0),0))</f>
        <v>0</v>
      </c>
      <c r="V491" s="109">
        <f t="shared" si="84"/>
        <v>4</v>
      </c>
      <c r="W491" s="108">
        <f>IF($A491="",0,IF(AND($C491&gt;=Config!$C$7,$C491&lt;=Config!$C$8),1,0))</f>
        <v>1</v>
      </c>
      <c r="X491" s="108">
        <f>IF($A491="",0,IF(COUNTIF(Config!$C$21:$C$23,$H491)&gt;0,1,0))</f>
        <v>0</v>
      </c>
      <c r="Y491" s="108">
        <f t="shared" si="85"/>
        <v>10</v>
      </c>
      <c r="Z491" s="108" t="str">
        <f t="shared" si="86"/>
        <v/>
      </c>
      <c r="AB491" s="108">
        <f t="shared" si="87"/>
        <v>0</v>
      </c>
      <c r="AC491" s="108">
        <f>IF($A491="",0,IF(AND($AB491=1,COUNTIF($A$2:$A491,$A491)=1),1,0))</f>
        <v>0</v>
      </c>
      <c r="AD491" s="108">
        <f t="shared" si="88"/>
        <v>1</v>
      </c>
      <c r="AE491" s="108" t="str">
        <f t="shared" si="89"/>
        <v/>
      </c>
      <c r="AF491" s="108">
        <f t="shared" si="90"/>
        <v>0</v>
      </c>
      <c r="AG491" s="108">
        <f t="shared" si="91"/>
        <v>0</v>
      </c>
      <c r="AH491" s="110" t="str">
        <f t="shared" si="92"/>
        <v>J S Bermudez|20260902|Data Processing|0.500|Fix the runsheet issues and upload some runsheet to each Tracts AOI link.</v>
      </c>
      <c r="AI491" s="108">
        <f t="shared" si="93"/>
        <v>0</v>
      </c>
      <c r="AJ491" s="108">
        <f t="shared" si="94"/>
        <v>0</v>
      </c>
      <c r="AK491" s="108">
        <f>IF($A491="",0,IF(AND($S491=1,$W491=1,$X491=1,$U491&gt;Config!$C$9),1,0))</f>
        <v>0</v>
      </c>
      <c r="AL491" s="108">
        <f t="shared" si="95"/>
        <v>0</v>
      </c>
    </row>
    <row r="492" spans="1:38" x14ac:dyDescent="0.25">
      <c r="A492" s="106" t="s">
        <v>124</v>
      </c>
      <c r="B492" s="106" t="s">
        <v>618</v>
      </c>
      <c r="C492" s="107">
        <v>46267</v>
      </c>
      <c r="D492" s="106" t="s">
        <v>772</v>
      </c>
      <c r="E492" s="106" t="s">
        <v>773</v>
      </c>
      <c r="F492" s="106" t="s">
        <v>774</v>
      </c>
      <c r="G492" s="106" t="s">
        <v>775</v>
      </c>
      <c r="H492" s="106" t="s">
        <v>631</v>
      </c>
      <c r="I492" s="106"/>
      <c r="J492" s="106"/>
      <c r="K492" s="106">
        <v>0.5</v>
      </c>
      <c r="L492" s="106">
        <v>0</v>
      </c>
      <c r="M492" s="106">
        <v>0</v>
      </c>
      <c r="N492" s="106"/>
      <c r="O492" s="106"/>
      <c r="P492" s="106">
        <v>0</v>
      </c>
      <c r="Q492" s="106" t="s">
        <v>776</v>
      </c>
      <c r="S492" s="108">
        <f>IF($A492="","",COUNTIF(BPOworkers!$B$6:$B$105,$A492))</f>
        <v>1</v>
      </c>
      <c r="T492" s="109">
        <f>IF($A492="","",$K492*Config!$C$9)</f>
        <v>4</v>
      </c>
      <c r="U492" s="109">
        <f>IF($A492="","",IF(COUNTIF(Config!$C$21:$C$23,$H492)&gt;0,IFERROR(VALUE(LEFT(TRIM($Q492),FIND(" ",TRIM($Q492)&amp;" ")-1)),0),0))</f>
        <v>0</v>
      </c>
      <c r="V492" s="109">
        <f t="shared" si="84"/>
        <v>4</v>
      </c>
      <c r="W492" s="108">
        <f>IF($A492="",0,IF(AND($C492&gt;=Config!$C$7,$C492&lt;=Config!$C$8),1,0))</f>
        <v>1</v>
      </c>
      <c r="X492" s="108">
        <f>IF($A492="",0,IF(COUNTIF(Config!$C$21:$C$23,$H492)&gt;0,1,0))</f>
        <v>0</v>
      </c>
      <c r="Y492" s="108">
        <f t="shared" si="85"/>
        <v>10</v>
      </c>
      <c r="Z492" s="108" t="str">
        <f t="shared" si="86"/>
        <v/>
      </c>
      <c r="AB492" s="108">
        <f t="shared" si="87"/>
        <v>0</v>
      </c>
      <c r="AC492" s="108">
        <f>IF($A492="",0,IF(AND($AB492=1,COUNTIF($A$2:$A492,$A492)=1),1,0))</f>
        <v>0</v>
      </c>
      <c r="AD492" s="108">
        <f t="shared" si="88"/>
        <v>1</v>
      </c>
      <c r="AE492" s="108" t="str">
        <f t="shared" si="89"/>
        <v/>
      </c>
      <c r="AF492" s="108">
        <f t="shared" si="90"/>
        <v>0</v>
      </c>
      <c r="AG492" s="108">
        <f t="shared" si="91"/>
        <v>0</v>
      </c>
      <c r="AH492" s="110" t="str">
        <f t="shared" si="92"/>
        <v>J S Bermudez|20260902|Title|0.500|Runsheet created and uploaded, all the documents are uploaded to the AOI, started to verify interest</v>
      </c>
      <c r="AI492" s="108">
        <f t="shared" si="93"/>
        <v>0</v>
      </c>
      <c r="AJ492" s="108">
        <f t="shared" si="94"/>
        <v>0</v>
      </c>
      <c r="AK492" s="108">
        <f>IF($A492="",0,IF(AND($S492=1,$W492=1,$X492=1,$U492&gt;Config!$C$9),1,0))</f>
        <v>0</v>
      </c>
      <c r="AL492" s="108">
        <f t="shared" si="95"/>
        <v>0</v>
      </c>
    </row>
    <row r="493" spans="1:38" x14ac:dyDescent="0.25">
      <c r="A493" s="106" t="s">
        <v>475</v>
      </c>
      <c r="B493" s="106" t="s">
        <v>618</v>
      </c>
      <c r="C493" s="107">
        <v>46267</v>
      </c>
      <c r="D493" s="106" t="s">
        <v>669</v>
      </c>
      <c r="E493" s="106" t="s">
        <v>669</v>
      </c>
      <c r="F493" s="106" t="s">
        <v>670</v>
      </c>
      <c r="G493" s="106"/>
      <c r="H493" s="106" t="s">
        <v>671</v>
      </c>
      <c r="I493" s="106"/>
      <c r="J493" s="106"/>
      <c r="K493" s="106">
        <v>1</v>
      </c>
      <c r="L493" s="106">
        <v>0</v>
      </c>
      <c r="M493" s="106">
        <v>0</v>
      </c>
      <c r="N493" s="106"/>
      <c r="O493" s="106"/>
      <c r="P493" s="106">
        <v>0</v>
      </c>
      <c r="Q493" s="106" t="s">
        <v>1292</v>
      </c>
      <c r="S493" s="108">
        <f>IF($A493="","",COUNTIF(BPOworkers!$B$6:$B$105,$A493))</f>
        <v>1</v>
      </c>
      <c r="T493" s="109">
        <f>IF($A493="","",$K493*Config!$C$9)</f>
        <v>8</v>
      </c>
      <c r="U493" s="109">
        <f>IF($A493="","",IF(COUNTIF(Config!$C$21:$C$23,$H493)&gt;0,IFERROR(VALUE(LEFT(TRIM($Q493),FIND(" ",TRIM($Q493)&amp;" ")-1)),0),0))</f>
        <v>0</v>
      </c>
      <c r="V493" s="109">
        <f t="shared" si="84"/>
        <v>8</v>
      </c>
      <c r="W493" s="108">
        <f>IF($A493="",0,IF(AND($C493&gt;=Config!$C$7,$C493&lt;=Config!$C$8),1,0))</f>
        <v>1</v>
      </c>
      <c r="X493" s="108">
        <f>IF($A493="",0,IF(COUNTIF(Config!$C$21:$C$23,$H493)&gt;0,1,0))</f>
        <v>0</v>
      </c>
      <c r="Y493" s="108">
        <f t="shared" si="85"/>
        <v>10</v>
      </c>
      <c r="Z493" s="108" t="str">
        <f t="shared" si="86"/>
        <v/>
      </c>
      <c r="AB493" s="108">
        <f t="shared" si="87"/>
        <v>0</v>
      </c>
      <c r="AC493" s="108">
        <f>IF($A493="",0,IF(AND($AB493=1,COUNTIF($A$2:$A493,$A493)=1),1,0))</f>
        <v>0</v>
      </c>
      <c r="AD493" s="108">
        <f t="shared" si="88"/>
        <v>1</v>
      </c>
      <c r="AE493" s="108" t="str">
        <f t="shared" si="89"/>
        <v/>
      </c>
      <c r="AF493" s="108">
        <f t="shared" si="90"/>
        <v>0</v>
      </c>
      <c r="AG493" s="108">
        <f t="shared" si="91"/>
        <v>0</v>
      </c>
      <c r="AH493" s="110" t="str">
        <f t="shared" si="92"/>
        <v>L Alfonso|20260902|TitleNotes - Library|1.000|Title Notes: 15 AOI's, internet failures at the office</v>
      </c>
      <c r="AI493" s="108">
        <f t="shared" si="93"/>
        <v>0</v>
      </c>
      <c r="AJ493" s="108">
        <f t="shared" si="94"/>
        <v>0</v>
      </c>
      <c r="AK493" s="108">
        <f>IF($A493="",0,IF(AND($S493=1,$W493=1,$X493=1,$U493&gt;Config!$C$9),1,0))</f>
        <v>0</v>
      </c>
      <c r="AL493" s="108">
        <f t="shared" si="95"/>
        <v>0</v>
      </c>
    </row>
    <row r="494" spans="1:38" ht="180.75" x14ac:dyDescent="0.25">
      <c r="A494" s="106" t="s">
        <v>477</v>
      </c>
      <c r="B494" s="106" t="s">
        <v>618</v>
      </c>
      <c r="C494" s="107">
        <v>46267</v>
      </c>
      <c r="D494" s="106" t="s">
        <v>623</v>
      </c>
      <c r="E494" s="106" t="s">
        <v>624</v>
      </c>
      <c r="F494" s="106" t="s">
        <v>615</v>
      </c>
      <c r="G494" s="106" t="s">
        <v>625</v>
      </c>
      <c r="H494" s="106" t="s">
        <v>671</v>
      </c>
      <c r="I494" s="106" t="s">
        <v>657</v>
      </c>
      <c r="J494" s="106"/>
      <c r="K494" s="106">
        <v>0.375</v>
      </c>
      <c r="L494" s="106">
        <v>0</v>
      </c>
      <c r="M494" s="106">
        <v>0</v>
      </c>
      <c r="N494" s="106"/>
      <c r="O494" s="106"/>
      <c r="P494" s="106">
        <v>0</v>
      </c>
      <c r="Q494" s="111" t="s">
        <v>1293</v>
      </c>
      <c r="S494" s="108">
        <f>IF($A494="","",COUNTIF(BPOworkers!$B$6:$B$105,$A494))</f>
        <v>1</v>
      </c>
      <c r="T494" s="109">
        <f>IF($A494="","",$K494*Config!$C$9)</f>
        <v>3</v>
      </c>
      <c r="U494" s="109">
        <f>IF($A494="","",IF(COUNTIF(Config!$C$21:$C$23,$H494)&gt;0,IFERROR(VALUE(LEFT(TRIM($Q494),FIND(" ",TRIM($Q494)&amp;" ")-1)),0),0))</f>
        <v>0</v>
      </c>
      <c r="V494" s="109">
        <f t="shared" si="84"/>
        <v>3</v>
      </c>
      <c r="W494" s="108">
        <f>IF($A494="",0,IF(AND($C494&gt;=Config!$C$7,$C494&lt;=Config!$C$8),1,0))</f>
        <v>1</v>
      </c>
      <c r="X494" s="108">
        <f>IF($A494="",0,IF(COUNTIF(Config!$C$21:$C$23,$H494)&gt;0,1,0))</f>
        <v>0</v>
      </c>
      <c r="Y494" s="108">
        <f t="shared" si="85"/>
        <v>10</v>
      </c>
      <c r="Z494" s="108" t="str">
        <f t="shared" si="86"/>
        <v/>
      </c>
      <c r="AB494" s="108">
        <f t="shared" si="87"/>
        <v>0</v>
      </c>
      <c r="AC494" s="108">
        <f>IF($A494="",0,IF(AND($AB494=1,COUNTIF($A$2:$A494,$A494)=1),1,0))</f>
        <v>0</v>
      </c>
      <c r="AD494" s="108">
        <f t="shared" si="88"/>
        <v>1</v>
      </c>
      <c r="AE494" s="108" t="str">
        <f t="shared" si="89"/>
        <v/>
      </c>
      <c r="AF494" s="108">
        <f t="shared" si="90"/>
        <v>0</v>
      </c>
      <c r="AG494" s="108">
        <f t="shared" si="91"/>
        <v>0</v>
      </c>
      <c r="AH494" s="112" t="str">
        <f t="shared" si="92"/>
        <v>L Escobar|20260902|TitleNotes - Library|0.375|6 Documents
 12 Transactions
 Completion of this was delayed due to multiple internet interruptions.</v>
      </c>
      <c r="AI494" s="108">
        <f t="shared" si="93"/>
        <v>0</v>
      </c>
      <c r="AJ494" s="108">
        <f t="shared" si="94"/>
        <v>0</v>
      </c>
      <c r="AK494" s="108">
        <f>IF($A494="",0,IF(AND($S494=1,$W494=1,$X494=1,$U494&gt;Config!$C$9),1,0))</f>
        <v>0</v>
      </c>
      <c r="AL494" s="108">
        <f t="shared" si="95"/>
        <v>0</v>
      </c>
    </row>
    <row r="495" spans="1:38" x14ac:dyDescent="0.25">
      <c r="A495" s="106" t="s">
        <v>477</v>
      </c>
      <c r="B495" s="106" t="s">
        <v>618</v>
      </c>
      <c r="C495" s="107">
        <v>46267</v>
      </c>
      <c r="D495" s="106" t="s">
        <v>694</v>
      </c>
      <c r="E495" s="106" t="s">
        <v>778</v>
      </c>
      <c r="F495" s="106" t="s">
        <v>779</v>
      </c>
      <c r="G495" s="106" t="s">
        <v>780</v>
      </c>
      <c r="H495" s="106" t="s">
        <v>781</v>
      </c>
      <c r="I495" s="106"/>
      <c r="J495" s="106"/>
      <c r="K495" s="106">
        <v>0.625</v>
      </c>
      <c r="L495" s="106">
        <v>0</v>
      </c>
      <c r="M495" s="106">
        <v>0</v>
      </c>
      <c r="N495" s="106"/>
      <c r="O495" s="106"/>
      <c r="P495" s="106">
        <v>0</v>
      </c>
      <c r="Q495" s="106" t="s">
        <v>1294</v>
      </c>
      <c r="S495" s="108">
        <f>IF($A495="","",COUNTIF(BPOworkers!$B$6:$B$105,$A495))</f>
        <v>1</v>
      </c>
      <c r="T495" s="109">
        <f>IF($A495="","",$K495*Config!$C$9)</f>
        <v>5</v>
      </c>
      <c r="U495" s="109">
        <f>IF($A495="","",IF(COUNTIF(Config!$C$21:$C$23,$H495)&gt;0,IFERROR(VALUE(LEFT(TRIM($Q495),FIND(" ",TRIM($Q495)&amp;" ")-1)),0),0))</f>
        <v>0</v>
      </c>
      <c r="V495" s="109">
        <f t="shared" si="84"/>
        <v>5</v>
      </c>
      <c r="W495" s="108">
        <f>IF($A495="",0,IF(AND($C495&gt;=Config!$C$7,$C495&lt;=Config!$C$8),1,0))</f>
        <v>1</v>
      </c>
      <c r="X495" s="108">
        <f>IF($A495="",0,IF(COUNTIF(Config!$C$21:$C$23,$H495)&gt;0,1,0))</f>
        <v>0</v>
      </c>
      <c r="Y495" s="108">
        <f t="shared" si="85"/>
        <v>10</v>
      </c>
      <c r="Z495" s="108" t="str">
        <f t="shared" si="86"/>
        <v/>
      </c>
      <c r="AB495" s="108">
        <f t="shared" si="87"/>
        <v>0</v>
      </c>
      <c r="AC495" s="108">
        <f>IF($A495="",0,IF(AND($AB495=1,COUNTIF($A$2:$A495,$A495)=1),1,0))</f>
        <v>0</v>
      </c>
      <c r="AD495" s="108">
        <f t="shared" si="88"/>
        <v>1</v>
      </c>
      <c r="AE495" s="108" t="str">
        <f t="shared" si="89"/>
        <v/>
      </c>
      <c r="AF495" s="108">
        <f t="shared" si="90"/>
        <v>0</v>
      </c>
      <c r="AG495" s="108">
        <f t="shared" si="91"/>
        <v>0</v>
      </c>
      <c r="AH495" s="110" t="str">
        <f t="shared" si="92"/>
        <v>L Escobar|20260902|Single Interest Verification|0.625|I have started indexing and am waiting for access to the AOI. I am also reviewing the project scope.</v>
      </c>
      <c r="AI495" s="108">
        <f t="shared" si="93"/>
        <v>0</v>
      </c>
      <c r="AJ495" s="108">
        <f t="shared" si="94"/>
        <v>0</v>
      </c>
      <c r="AK495" s="108">
        <f>IF($A495="",0,IF(AND($S495=1,$W495=1,$X495=1,$U495&gt;Config!$C$9),1,0))</f>
        <v>0</v>
      </c>
      <c r="AL495" s="108">
        <f t="shared" si="95"/>
        <v>0</v>
      </c>
    </row>
    <row r="496" spans="1:38" x14ac:dyDescent="0.25">
      <c r="A496" s="106" t="s">
        <v>483</v>
      </c>
      <c r="B496" s="106" t="s">
        <v>618</v>
      </c>
      <c r="C496" s="107">
        <v>46267</v>
      </c>
      <c r="D496" s="106" t="s">
        <v>694</v>
      </c>
      <c r="E496" s="106" t="s">
        <v>765</v>
      </c>
      <c r="F496" s="106" t="s">
        <v>766</v>
      </c>
      <c r="G496" s="106" t="s">
        <v>1295</v>
      </c>
      <c r="H496" s="106" t="s">
        <v>765</v>
      </c>
      <c r="I496" s="106"/>
      <c r="J496" s="106" t="s">
        <v>807</v>
      </c>
      <c r="K496" s="106">
        <v>0.25</v>
      </c>
      <c r="L496" s="106">
        <v>0</v>
      </c>
      <c r="M496" s="106">
        <v>0</v>
      </c>
      <c r="N496" s="106"/>
      <c r="O496" s="106"/>
      <c r="P496" s="106">
        <v>0</v>
      </c>
      <c r="Q496" s="106" t="s">
        <v>1296</v>
      </c>
      <c r="S496" s="108">
        <f>IF($A496="","",COUNTIF(BPOworkers!$B$6:$B$105,$A496))</f>
        <v>1</v>
      </c>
      <c r="T496" s="109">
        <f>IF($A496="","",$K496*Config!$C$9)</f>
        <v>2</v>
      </c>
      <c r="U496" s="109">
        <f>IF($A496="","",IF(COUNTIF(Config!$C$21:$C$23,$H496)&gt;0,IFERROR(VALUE(LEFT(TRIM($Q496),FIND(" ",TRIM($Q496)&amp;" ")-1)),0),0))</f>
        <v>0</v>
      </c>
      <c r="V496" s="109">
        <f t="shared" si="84"/>
        <v>2</v>
      </c>
      <c r="W496" s="108">
        <f>IF($A496="",0,IF(AND($C496&gt;=Config!$C$7,$C496&lt;=Config!$C$8),1,0))</f>
        <v>1</v>
      </c>
      <c r="X496" s="108">
        <f>IF($A496="",0,IF(COUNTIF(Config!$C$21:$C$23,$H496)&gt;0,1,0))</f>
        <v>0</v>
      </c>
      <c r="Y496" s="108">
        <f t="shared" si="85"/>
        <v>10</v>
      </c>
      <c r="Z496" s="108" t="str">
        <f t="shared" si="86"/>
        <v/>
      </c>
      <c r="AB496" s="108">
        <f t="shared" si="87"/>
        <v>0</v>
      </c>
      <c r="AC496" s="108">
        <f>IF($A496="",0,IF(AND($AB496=1,COUNTIF($A$2:$A496,$A496)=1),1,0))</f>
        <v>0</v>
      </c>
      <c r="AD496" s="108">
        <f t="shared" si="88"/>
        <v>1</v>
      </c>
      <c r="AE496" s="108" t="str">
        <f t="shared" si="89"/>
        <v/>
      </c>
      <c r="AF496" s="108">
        <f t="shared" si="90"/>
        <v>0</v>
      </c>
      <c r="AG496" s="108">
        <f t="shared" si="91"/>
        <v>0</v>
      </c>
      <c r="AH496" s="110" t="str">
        <f t="shared" si="92"/>
        <v>M Lopez|20260902|Lease Bringdown|0.250|Since the Integrity Miami project I was reassigned to has been put on hold, I have resumed my work on the Lease Bringdow</v>
      </c>
      <c r="AI496" s="108">
        <f t="shared" si="93"/>
        <v>0</v>
      </c>
      <c r="AJ496" s="108">
        <f t="shared" si="94"/>
        <v>0</v>
      </c>
      <c r="AK496" s="108">
        <f>IF($A496="",0,IF(AND($S496=1,$W496=1,$X496=1,$U496&gt;Config!$C$9),1,0))</f>
        <v>0</v>
      </c>
      <c r="AL496" s="108">
        <f t="shared" si="95"/>
        <v>0</v>
      </c>
    </row>
    <row r="497" spans="1:38" ht="168.75" x14ac:dyDescent="0.25">
      <c r="A497" s="106" t="s">
        <v>483</v>
      </c>
      <c r="B497" s="106" t="s">
        <v>618</v>
      </c>
      <c r="C497" s="107">
        <v>46267</v>
      </c>
      <c r="D497" s="106" t="s">
        <v>720</v>
      </c>
      <c r="E497" s="106" t="s">
        <v>721</v>
      </c>
      <c r="F497" s="106" t="s">
        <v>722</v>
      </c>
      <c r="G497" s="106" t="s">
        <v>790</v>
      </c>
      <c r="H497" s="106" t="s">
        <v>631</v>
      </c>
      <c r="I497" s="106"/>
      <c r="J497" s="106" t="s">
        <v>791</v>
      </c>
      <c r="K497" s="106">
        <v>0.75</v>
      </c>
      <c r="L497" s="106">
        <v>0</v>
      </c>
      <c r="M497" s="106">
        <v>0</v>
      </c>
      <c r="N497" s="106"/>
      <c r="O497" s="106"/>
      <c r="P497" s="106">
        <v>0</v>
      </c>
      <c r="Q497" s="111" t="s">
        <v>1297</v>
      </c>
      <c r="S497" s="108">
        <f>IF($A497="","",COUNTIF(BPOworkers!$B$6:$B$105,$A497))</f>
        <v>1</v>
      </c>
      <c r="T497" s="109">
        <f>IF($A497="","",$K497*Config!$C$9)</f>
        <v>6</v>
      </c>
      <c r="U497" s="109">
        <f>IF($A497="","",IF(COUNTIF(Config!$C$21:$C$23,$H497)&gt;0,IFERROR(VALUE(LEFT(TRIM($Q497),FIND(" ",TRIM($Q497)&amp;" ")-1)),0),0))</f>
        <v>0</v>
      </c>
      <c r="V497" s="109">
        <f t="shared" si="84"/>
        <v>6</v>
      </c>
      <c r="W497" s="108">
        <f>IF($A497="",0,IF(AND($C497&gt;=Config!$C$7,$C497&lt;=Config!$C$8),1,0))</f>
        <v>1</v>
      </c>
      <c r="X497" s="108">
        <f>IF($A497="",0,IF(COUNTIF(Config!$C$21:$C$23,$H497)&gt;0,1,0))</f>
        <v>0</v>
      </c>
      <c r="Y497" s="108">
        <f t="shared" si="85"/>
        <v>10</v>
      </c>
      <c r="Z497" s="108" t="str">
        <f t="shared" si="86"/>
        <v/>
      </c>
      <c r="AB497" s="108">
        <f t="shared" si="87"/>
        <v>0</v>
      </c>
      <c r="AC497" s="108">
        <f>IF($A497="",0,IF(AND($AB497=1,COUNTIF($A$2:$A497,$A497)=1),1,0))</f>
        <v>0</v>
      </c>
      <c r="AD497" s="108">
        <f t="shared" si="88"/>
        <v>1</v>
      </c>
      <c r="AE497" s="108" t="str">
        <f t="shared" si="89"/>
        <v/>
      </c>
      <c r="AF497" s="108">
        <f t="shared" si="90"/>
        <v>0</v>
      </c>
      <c r="AG497" s="108">
        <f t="shared" si="91"/>
        <v>0</v>
      </c>
      <c r="AH497" s="112" t="str">
        <f t="shared" si="92"/>
        <v>M Lopez|20260902|Title|0.750|- Indexed to the present from source deed
 - Started indexing from the source deed back to the patent
 while adding rele</v>
      </c>
      <c r="AI497" s="108">
        <f t="shared" si="93"/>
        <v>0</v>
      </c>
      <c r="AJ497" s="108">
        <f t="shared" si="94"/>
        <v>0</v>
      </c>
      <c r="AK497" s="108">
        <f>IF($A497="",0,IF(AND($S497=1,$W497=1,$X497=1,$U497&gt;Config!$C$9),1,0))</f>
        <v>0</v>
      </c>
      <c r="AL497" s="108">
        <f t="shared" si="95"/>
        <v>0</v>
      </c>
    </row>
    <row r="498" spans="1:38" x14ac:dyDescent="0.25">
      <c r="A498" s="106" t="s">
        <v>484</v>
      </c>
      <c r="B498" s="106" t="s">
        <v>618</v>
      </c>
      <c r="C498" s="107">
        <v>46267</v>
      </c>
      <c r="D498" s="106" t="s">
        <v>712</v>
      </c>
      <c r="E498" s="106" t="s">
        <v>713</v>
      </c>
      <c r="F498" s="106" t="s">
        <v>866</v>
      </c>
      <c r="G498" s="106" t="s">
        <v>867</v>
      </c>
      <c r="H498" s="106" t="s">
        <v>631</v>
      </c>
      <c r="I498" s="106"/>
      <c r="J498" s="106" t="s">
        <v>1298</v>
      </c>
      <c r="K498" s="106">
        <v>0.625</v>
      </c>
      <c r="L498" s="106">
        <v>0</v>
      </c>
      <c r="M498" s="106">
        <v>0</v>
      </c>
      <c r="N498" s="106"/>
      <c r="O498" s="106"/>
      <c r="P498" s="106">
        <v>0</v>
      </c>
      <c r="Q498" s="106" t="s">
        <v>1299</v>
      </c>
      <c r="S498" s="108">
        <f>IF($A498="","",COUNTIF(BPOworkers!$B$6:$B$105,$A498))</f>
        <v>1</v>
      </c>
      <c r="T498" s="109">
        <f>IF($A498="","",$K498*Config!$C$9)</f>
        <v>5</v>
      </c>
      <c r="U498" s="109">
        <f>IF($A498="","",IF(COUNTIF(Config!$C$21:$C$23,$H498)&gt;0,IFERROR(VALUE(LEFT(TRIM($Q498),FIND(" ",TRIM($Q498)&amp;" ")-1)),0),0))</f>
        <v>0</v>
      </c>
      <c r="V498" s="109">
        <f t="shared" si="84"/>
        <v>5</v>
      </c>
      <c r="W498" s="108">
        <f>IF($A498="",0,IF(AND($C498&gt;=Config!$C$7,$C498&lt;=Config!$C$8),1,0))</f>
        <v>1</v>
      </c>
      <c r="X498" s="108">
        <f>IF($A498="",0,IF(COUNTIF(Config!$C$21:$C$23,$H498)&gt;0,1,0))</f>
        <v>0</v>
      </c>
      <c r="Y498" s="108">
        <f t="shared" si="85"/>
        <v>10</v>
      </c>
      <c r="Z498" s="108" t="str">
        <f t="shared" si="86"/>
        <v/>
      </c>
      <c r="AB498" s="108">
        <f t="shared" si="87"/>
        <v>0</v>
      </c>
      <c r="AC498" s="108">
        <f>IF($A498="",0,IF(AND($AB498=1,COUNTIF($A$2:$A498,$A498)=1),1,0))</f>
        <v>0</v>
      </c>
      <c r="AD498" s="108">
        <f t="shared" si="88"/>
        <v>1</v>
      </c>
      <c r="AE498" s="108" t="str">
        <f t="shared" si="89"/>
        <v/>
      </c>
      <c r="AF498" s="108">
        <f t="shared" si="90"/>
        <v>0</v>
      </c>
      <c r="AG498" s="108">
        <f t="shared" si="91"/>
        <v>0</v>
      </c>
      <c r="AH498" s="110" t="str">
        <f t="shared" si="92"/>
        <v>M Verdooren|20260902|Title|0.625|Well Production Report and Landman Statement</v>
      </c>
      <c r="AI498" s="108">
        <f t="shared" si="93"/>
        <v>0</v>
      </c>
      <c r="AJ498" s="108">
        <f t="shared" si="94"/>
        <v>0</v>
      </c>
      <c r="AK498" s="108">
        <f>IF($A498="",0,IF(AND($S498=1,$W498=1,$X498=1,$U498&gt;Config!$C$9),1,0))</f>
        <v>0</v>
      </c>
      <c r="AL498" s="108">
        <f t="shared" si="95"/>
        <v>0</v>
      </c>
    </row>
    <row r="499" spans="1:38" x14ac:dyDescent="0.25">
      <c r="A499" s="106" t="s">
        <v>484</v>
      </c>
      <c r="B499" s="106" t="s">
        <v>618</v>
      </c>
      <c r="C499" s="107">
        <v>46267</v>
      </c>
      <c r="D499" s="106" t="s">
        <v>680</v>
      </c>
      <c r="E499" s="106" t="s">
        <v>681</v>
      </c>
      <c r="F499" s="106" t="s">
        <v>893</v>
      </c>
      <c r="G499" s="106" t="s">
        <v>894</v>
      </c>
      <c r="H499" s="106" t="s">
        <v>1162</v>
      </c>
      <c r="I499" s="106"/>
      <c r="J499" s="106" t="s">
        <v>1163</v>
      </c>
      <c r="K499" s="106">
        <v>0.375</v>
      </c>
      <c r="L499" s="106">
        <v>0</v>
      </c>
      <c r="M499" s="106">
        <v>0</v>
      </c>
      <c r="N499" s="106"/>
      <c r="O499" s="106"/>
      <c r="P499" s="106">
        <v>0</v>
      </c>
      <c r="Q499" s="106" t="s">
        <v>1164</v>
      </c>
      <c r="S499" s="108">
        <f>IF($A499="","",COUNTIF(BPOworkers!$B$6:$B$105,$A499))</f>
        <v>1</v>
      </c>
      <c r="T499" s="109">
        <f>IF($A499="","",$K499*Config!$C$9)</f>
        <v>3</v>
      </c>
      <c r="U499" s="109">
        <f>IF($A499="","",IF(COUNTIF(Config!$C$21:$C$23,$H499)&gt;0,IFERROR(VALUE(LEFT(TRIM($Q499),FIND(" ",TRIM($Q499)&amp;" ")-1)),0),0))</f>
        <v>0</v>
      </c>
      <c r="V499" s="109">
        <f t="shared" si="84"/>
        <v>3</v>
      </c>
      <c r="W499" s="108">
        <f>IF($A499="",0,IF(AND($C499&gt;=Config!$C$7,$C499&lt;=Config!$C$8),1,0))</f>
        <v>1</v>
      </c>
      <c r="X499" s="108">
        <f>IF($A499="",0,IF(COUNTIF(Config!$C$21:$C$23,$H499)&gt;0,1,0))</f>
        <v>0</v>
      </c>
      <c r="Y499" s="108">
        <f t="shared" si="85"/>
        <v>10</v>
      </c>
      <c r="Z499" s="108" t="str">
        <f t="shared" si="86"/>
        <v/>
      </c>
      <c r="AB499" s="108">
        <f t="shared" si="87"/>
        <v>0</v>
      </c>
      <c r="AC499" s="108">
        <f>IF($A499="",0,IF(AND($AB499=1,COUNTIF($A$2:$A499,$A499)=1),1,0))</f>
        <v>0</v>
      </c>
      <c r="AD499" s="108">
        <f t="shared" si="88"/>
        <v>1</v>
      </c>
      <c r="AE499" s="108" t="str">
        <f t="shared" si="89"/>
        <v/>
      </c>
      <c r="AF499" s="108">
        <f t="shared" si="90"/>
        <v>0</v>
      </c>
      <c r="AG499" s="108">
        <f t="shared" si="91"/>
        <v>0</v>
      </c>
      <c r="AH499" s="110" t="str">
        <f t="shared" si="92"/>
        <v>M Verdooren|20260902|Data Entry|0.375|Worked on Columbiana County Inventory - FamilySearch</v>
      </c>
      <c r="AI499" s="108">
        <f t="shared" si="93"/>
        <v>0</v>
      </c>
      <c r="AJ499" s="108">
        <f t="shared" si="94"/>
        <v>0</v>
      </c>
      <c r="AK499" s="108">
        <f>IF($A499="",0,IF(AND($S499=1,$W499=1,$X499=1,$U499&gt;Config!$C$9),1,0))</f>
        <v>0</v>
      </c>
      <c r="AL499" s="108">
        <f t="shared" si="95"/>
        <v>0</v>
      </c>
    </row>
    <row r="500" spans="1:38" x14ac:dyDescent="0.25">
      <c r="A500" s="106" t="s">
        <v>481</v>
      </c>
      <c r="B500" s="106" t="s">
        <v>618</v>
      </c>
      <c r="C500" s="107">
        <v>46267</v>
      </c>
      <c r="D500" s="106" t="s">
        <v>680</v>
      </c>
      <c r="E500" s="106" t="s">
        <v>681</v>
      </c>
      <c r="F500" s="106" t="s">
        <v>745</v>
      </c>
      <c r="G500" s="106" t="s">
        <v>784</v>
      </c>
      <c r="H500" s="106" t="s">
        <v>631</v>
      </c>
      <c r="I500" s="106"/>
      <c r="J500" s="106"/>
      <c r="K500" s="106">
        <v>1</v>
      </c>
      <c r="L500" s="106">
        <v>0</v>
      </c>
      <c r="M500" s="106">
        <v>0</v>
      </c>
      <c r="N500" s="106"/>
      <c r="O500" s="106"/>
      <c r="P500" s="106">
        <v>0</v>
      </c>
      <c r="Q500" s="106" t="s">
        <v>1300</v>
      </c>
      <c r="S500" s="108">
        <f>IF($A500="","",COUNTIF(BPOworkers!$B$6:$B$105,$A500))</f>
        <v>1</v>
      </c>
      <c r="T500" s="109">
        <f>IF($A500="","",$K500*Config!$C$9)</f>
        <v>8</v>
      </c>
      <c r="U500" s="109">
        <f>IF($A500="","",IF(COUNTIF(Config!$C$21:$C$23,$H500)&gt;0,IFERROR(VALUE(LEFT(TRIM($Q500),FIND(" ",TRIM($Q500)&amp;" ")-1)),0),0))</f>
        <v>0</v>
      </c>
      <c r="V500" s="109">
        <f t="shared" si="84"/>
        <v>8</v>
      </c>
      <c r="W500" s="108">
        <f>IF($A500="",0,IF(AND($C500&gt;=Config!$C$7,$C500&lt;=Config!$C$8),1,0))</f>
        <v>1</v>
      </c>
      <c r="X500" s="108">
        <f>IF($A500="",0,IF(COUNTIF(Config!$C$21:$C$23,$H500)&gt;0,1,0))</f>
        <v>0</v>
      </c>
      <c r="Y500" s="108">
        <f t="shared" si="85"/>
        <v>10</v>
      </c>
      <c r="Z500" s="108" t="str">
        <f t="shared" si="86"/>
        <v/>
      </c>
      <c r="AB500" s="108">
        <f t="shared" si="87"/>
        <v>0</v>
      </c>
      <c r="AC500" s="108">
        <f>IF($A500="",0,IF(AND($AB500=1,COUNTIF($A$2:$A500,$A500)=1),1,0))</f>
        <v>0</v>
      </c>
      <c r="AD500" s="108">
        <f t="shared" si="88"/>
        <v>1</v>
      </c>
      <c r="AE500" s="108" t="str">
        <f t="shared" si="89"/>
        <v/>
      </c>
      <c r="AF500" s="108">
        <f t="shared" si="90"/>
        <v>0</v>
      </c>
      <c r="AG500" s="108">
        <f t="shared" si="91"/>
        <v>0</v>
      </c>
      <c r="AH500" s="110" t="str">
        <f t="shared" si="92"/>
        <v>M Fernandez|20260902|Title|1.000|Created 11 notecards, indexed different parents, located source deed, created map GIS</v>
      </c>
      <c r="AI500" s="108">
        <f t="shared" si="93"/>
        <v>0</v>
      </c>
      <c r="AJ500" s="108">
        <f t="shared" si="94"/>
        <v>0</v>
      </c>
      <c r="AK500" s="108">
        <f>IF($A500="",0,IF(AND($S500=1,$W500=1,$X500=1,$U500&gt;Config!$C$9),1,0))</f>
        <v>0</v>
      </c>
      <c r="AL500" s="108">
        <f t="shared" si="95"/>
        <v>0</v>
      </c>
    </row>
    <row r="501" spans="1:38" ht="192.75" x14ac:dyDescent="0.25">
      <c r="A501" s="106" t="s">
        <v>462</v>
      </c>
      <c r="B501" s="106" t="s">
        <v>618</v>
      </c>
      <c r="C501" s="107">
        <v>46267</v>
      </c>
      <c r="D501" s="106" t="s">
        <v>680</v>
      </c>
      <c r="E501" s="106" t="s">
        <v>681</v>
      </c>
      <c r="F501" s="106" t="s">
        <v>745</v>
      </c>
      <c r="G501" s="106" t="s">
        <v>787</v>
      </c>
      <c r="H501" s="106" t="s">
        <v>631</v>
      </c>
      <c r="I501" s="106"/>
      <c r="J501" s="106" t="s">
        <v>788</v>
      </c>
      <c r="K501" s="106">
        <v>1</v>
      </c>
      <c r="L501" s="106">
        <v>0</v>
      </c>
      <c r="M501" s="106">
        <v>0</v>
      </c>
      <c r="N501" s="106"/>
      <c r="O501" s="106"/>
      <c r="P501" s="106">
        <v>0</v>
      </c>
      <c r="Q501" s="111" t="s">
        <v>1301</v>
      </c>
      <c r="S501" s="108">
        <f>IF($A501="","",COUNTIF(BPOworkers!$B$6:$B$105,$A501))</f>
        <v>1</v>
      </c>
      <c r="T501" s="109">
        <f>IF($A501="","",$K501*Config!$C$9)</f>
        <v>8</v>
      </c>
      <c r="U501" s="109">
        <f>IF($A501="","",IF(COUNTIF(Config!$C$21:$C$23,$H501)&gt;0,IFERROR(VALUE(LEFT(TRIM($Q501),FIND(" ",TRIM($Q501)&amp;" ")-1)),0),0))</f>
        <v>0</v>
      </c>
      <c r="V501" s="109">
        <f t="shared" si="84"/>
        <v>8</v>
      </c>
      <c r="W501" s="108">
        <f>IF($A501="",0,IF(AND($C501&gt;=Config!$C$7,$C501&lt;=Config!$C$8),1,0))</f>
        <v>1</v>
      </c>
      <c r="X501" s="108">
        <f>IF($A501="",0,IF(COUNTIF(Config!$C$21:$C$23,$H501)&gt;0,1,0))</f>
        <v>0</v>
      </c>
      <c r="Y501" s="108">
        <f t="shared" si="85"/>
        <v>10</v>
      </c>
      <c r="Z501" s="108" t="str">
        <f t="shared" si="86"/>
        <v/>
      </c>
      <c r="AB501" s="108">
        <f t="shared" si="87"/>
        <v>0</v>
      </c>
      <c r="AC501" s="108">
        <f>IF($A501="",0,IF(AND($AB501=1,COUNTIF($A$2:$A501,$A501)=1),1,0))</f>
        <v>0</v>
      </c>
      <c r="AD501" s="108">
        <f t="shared" si="88"/>
        <v>1</v>
      </c>
      <c r="AE501" s="108" t="str">
        <f t="shared" si="89"/>
        <v/>
      </c>
      <c r="AF501" s="108">
        <f t="shared" si="90"/>
        <v>0</v>
      </c>
      <c r="AG501" s="108">
        <f t="shared" si="91"/>
        <v>0</v>
      </c>
      <c r="AH501" s="112" t="str">
        <f t="shared" si="92"/>
        <v>F Montañez|20260902|Title|1.000|Created AOI. Drawn tax parcel. Indexing spreadsheet attached to folder.
 Documents added in AOI: 10
 Indexed documents</v>
      </c>
      <c r="AI501" s="108">
        <f t="shared" si="93"/>
        <v>0</v>
      </c>
      <c r="AJ501" s="108">
        <f t="shared" si="94"/>
        <v>0</v>
      </c>
      <c r="AK501" s="108">
        <f>IF($A501="",0,IF(AND($S501=1,$W501=1,$X501=1,$U501&gt;Config!$C$9),1,0))</f>
        <v>0</v>
      </c>
      <c r="AL501" s="108">
        <f t="shared" si="95"/>
        <v>0</v>
      </c>
    </row>
    <row r="502" spans="1:38" x14ac:dyDescent="0.25">
      <c r="A502" s="106" t="s">
        <v>459</v>
      </c>
      <c r="B502" s="106" t="s">
        <v>618</v>
      </c>
      <c r="C502" s="107">
        <v>46267</v>
      </c>
      <c r="D502" s="106" t="s">
        <v>680</v>
      </c>
      <c r="E502" s="106" t="s">
        <v>681</v>
      </c>
      <c r="F502" s="106" t="s">
        <v>745</v>
      </c>
      <c r="G502" s="106"/>
      <c r="H502" s="106" t="s">
        <v>631</v>
      </c>
      <c r="I502" s="106"/>
      <c r="J502" s="106"/>
      <c r="K502" s="106">
        <v>0.125</v>
      </c>
      <c r="L502" s="106">
        <v>0</v>
      </c>
      <c r="M502" s="106">
        <v>0</v>
      </c>
      <c r="N502" s="106"/>
      <c r="O502" s="106"/>
      <c r="P502" s="106">
        <v>0</v>
      </c>
      <c r="Q502" s="106" t="s">
        <v>1302</v>
      </c>
      <c r="S502" s="108">
        <f>IF($A502="","",COUNTIF(BPOworkers!$B$6:$B$105,$A502))</f>
        <v>0</v>
      </c>
      <c r="T502" s="109">
        <f>IF($A502="","",$K502*Config!$C$9)</f>
        <v>1</v>
      </c>
      <c r="U502" s="109">
        <f>IF($A502="","",IF(COUNTIF(Config!$C$21:$C$23,$H502)&gt;0,IFERROR(VALUE(LEFT(TRIM($Q502),FIND(" ",TRIM($Q502)&amp;" ")-1)),0),0))</f>
        <v>0</v>
      </c>
      <c r="V502" s="109">
        <f t="shared" si="84"/>
        <v>1</v>
      </c>
      <c r="W502" s="108">
        <f>IF($A502="",0,IF(AND($C502&gt;=Config!$C$7,$C502&lt;=Config!$C$8),1,0))</f>
        <v>1</v>
      </c>
      <c r="X502" s="108">
        <f>IF($A502="",0,IF(COUNTIF(Config!$C$21:$C$23,$H502)&gt;0,1,0))</f>
        <v>0</v>
      </c>
      <c r="Y502" s="108">
        <f t="shared" si="85"/>
        <v>10</v>
      </c>
      <c r="Z502" s="108" t="str">
        <f t="shared" si="86"/>
        <v/>
      </c>
      <c r="AB502" s="108">
        <f t="shared" si="87"/>
        <v>1</v>
      </c>
      <c r="AC502" s="108">
        <f>IF($A502="",0,IF(AND($AB502=1,COUNTIF($A$2:$A502,$A502)=1),1,0))</f>
        <v>0</v>
      </c>
      <c r="AD502" s="108">
        <f t="shared" si="88"/>
        <v>1</v>
      </c>
      <c r="AE502" s="108" t="str">
        <f t="shared" si="89"/>
        <v/>
      </c>
      <c r="AF502" s="108">
        <f t="shared" si="90"/>
        <v>0</v>
      </c>
      <c r="AG502" s="108">
        <f t="shared" si="91"/>
        <v>0</v>
      </c>
      <c r="AH502" s="110" t="str">
        <f t="shared" si="92"/>
        <v>C Lara|20260902|Title|0.125|Source deed for 04-0000077-001; 04-0000074-000; 04-000073-000; 04-0000223-001 NE and NW.</v>
      </c>
      <c r="AI502" s="108">
        <f t="shared" si="93"/>
        <v>0</v>
      </c>
      <c r="AJ502" s="108">
        <f t="shared" si="94"/>
        <v>0</v>
      </c>
      <c r="AK502" s="108">
        <f>IF($A502="",0,IF(AND($S502=1,$W502=1,$X502=1,$U502&gt;Config!$C$9),1,0))</f>
        <v>0</v>
      </c>
      <c r="AL502" s="108">
        <f t="shared" si="95"/>
        <v>0</v>
      </c>
    </row>
    <row r="503" spans="1:38" x14ac:dyDescent="0.25">
      <c r="A503" s="106" t="s">
        <v>459</v>
      </c>
      <c r="B503" s="106" t="s">
        <v>618</v>
      </c>
      <c r="C503" s="107">
        <v>46267</v>
      </c>
      <c r="D503" s="106" t="s">
        <v>680</v>
      </c>
      <c r="E503" s="106" t="s">
        <v>681</v>
      </c>
      <c r="F503" s="106" t="s">
        <v>1168</v>
      </c>
      <c r="G503" s="106" t="s">
        <v>1169</v>
      </c>
      <c r="H503" s="106" t="s">
        <v>631</v>
      </c>
      <c r="I503" s="106"/>
      <c r="J503" s="106"/>
      <c r="K503" s="106">
        <v>0.875</v>
      </c>
      <c r="L503" s="106">
        <v>0</v>
      </c>
      <c r="M503" s="106">
        <v>0</v>
      </c>
      <c r="N503" s="106"/>
      <c r="O503" s="106"/>
      <c r="P503" s="106">
        <v>0</v>
      </c>
      <c r="Q503" s="106" t="s">
        <v>1303</v>
      </c>
      <c r="S503" s="108">
        <f>IF($A503="","",COUNTIF(BPOworkers!$B$6:$B$105,$A503))</f>
        <v>0</v>
      </c>
      <c r="T503" s="109">
        <f>IF($A503="","",$K503*Config!$C$9)</f>
        <v>7</v>
      </c>
      <c r="U503" s="109">
        <f>IF($A503="","",IF(COUNTIF(Config!$C$21:$C$23,$H503)&gt;0,IFERROR(VALUE(LEFT(TRIM($Q503),FIND(" ",TRIM($Q503)&amp;" ")-1)),0),0))</f>
        <v>0</v>
      </c>
      <c r="V503" s="109">
        <f t="shared" si="84"/>
        <v>7</v>
      </c>
      <c r="W503" s="108">
        <f>IF($A503="",0,IF(AND($C503&gt;=Config!$C$7,$C503&lt;=Config!$C$8),1,0))</f>
        <v>1</v>
      </c>
      <c r="X503" s="108">
        <f>IF($A503="",0,IF(COUNTIF(Config!$C$21:$C$23,$H503)&gt;0,1,0))</f>
        <v>0</v>
      </c>
      <c r="Y503" s="108">
        <f t="shared" si="85"/>
        <v>10</v>
      </c>
      <c r="Z503" s="108" t="str">
        <f t="shared" si="86"/>
        <v/>
      </c>
      <c r="AB503" s="108">
        <f t="shared" si="87"/>
        <v>1</v>
      </c>
      <c r="AC503" s="108">
        <f>IF($A503="",0,IF(AND($AB503=1,COUNTIF($A$2:$A503,$A503)=1),1,0))</f>
        <v>0</v>
      </c>
      <c r="AD503" s="108">
        <f t="shared" si="88"/>
        <v>1</v>
      </c>
      <c r="AE503" s="108" t="str">
        <f t="shared" si="89"/>
        <v/>
      </c>
      <c r="AF503" s="108">
        <f t="shared" si="90"/>
        <v>0</v>
      </c>
      <c r="AG503" s="108">
        <f t="shared" si="91"/>
        <v>0</v>
      </c>
      <c r="AH503" s="110" t="str">
        <f t="shared" si="92"/>
        <v>C Lara|20260902|Title|0.875|Dowloaded and uploaded to AOI source deed, identified polygon, GIS verification and started looking for corresponding de</v>
      </c>
      <c r="AI503" s="108">
        <f t="shared" si="93"/>
        <v>0</v>
      </c>
      <c r="AJ503" s="108">
        <f t="shared" si="94"/>
        <v>0</v>
      </c>
      <c r="AK503" s="108">
        <f>IF($A503="",0,IF(AND($S503=1,$W503=1,$X503=1,$U503&gt;Config!$C$9),1,0))</f>
        <v>0</v>
      </c>
      <c r="AL503" s="108">
        <f t="shared" si="95"/>
        <v>0</v>
      </c>
    </row>
    <row r="504" spans="1:38" ht="180.75" x14ac:dyDescent="0.25">
      <c r="A504" s="106" t="s">
        <v>494</v>
      </c>
      <c r="B504" s="106" t="s">
        <v>618</v>
      </c>
      <c r="C504" s="107">
        <v>46267</v>
      </c>
      <c r="D504" s="106" t="s">
        <v>720</v>
      </c>
      <c r="E504" s="106" t="s">
        <v>721</v>
      </c>
      <c r="F504" s="106" t="s">
        <v>722</v>
      </c>
      <c r="G504" s="106" t="s">
        <v>1014</v>
      </c>
      <c r="H504" s="106" t="s">
        <v>631</v>
      </c>
      <c r="I504" s="106"/>
      <c r="J504" s="106" t="s">
        <v>1015</v>
      </c>
      <c r="K504" s="106">
        <v>0.75</v>
      </c>
      <c r="L504" s="106">
        <v>0</v>
      </c>
      <c r="M504" s="106">
        <v>0</v>
      </c>
      <c r="N504" s="106"/>
      <c r="O504" s="106"/>
      <c r="P504" s="106">
        <v>0</v>
      </c>
      <c r="Q504" s="111" t="s">
        <v>1304</v>
      </c>
      <c r="S504" s="108">
        <f>IF($A504="","",COUNTIF(BPOworkers!$B$6:$B$105,$A504))</f>
        <v>1</v>
      </c>
      <c r="T504" s="109">
        <f>IF($A504="","",$K504*Config!$C$9)</f>
        <v>6</v>
      </c>
      <c r="U504" s="109">
        <f>IF($A504="","",IF(COUNTIF(Config!$C$21:$C$23,$H504)&gt;0,IFERROR(VALUE(LEFT(TRIM($Q504),FIND(" ",TRIM($Q504)&amp;" ")-1)),0),0))</f>
        <v>0</v>
      </c>
      <c r="V504" s="109">
        <f t="shared" si="84"/>
        <v>6</v>
      </c>
      <c r="W504" s="108">
        <f>IF($A504="",0,IF(AND($C504&gt;=Config!$C$7,$C504&lt;=Config!$C$8),1,0))</f>
        <v>1</v>
      </c>
      <c r="X504" s="108">
        <f>IF($A504="",0,IF(COUNTIF(Config!$C$21:$C$23,$H504)&gt;0,1,0))</f>
        <v>0</v>
      </c>
      <c r="Y504" s="108">
        <f t="shared" si="85"/>
        <v>10</v>
      </c>
      <c r="Z504" s="108" t="str">
        <f t="shared" si="86"/>
        <v/>
      </c>
      <c r="AB504" s="108">
        <f t="shared" si="87"/>
        <v>0</v>
      </c>
      <c r="AC504" s="108">
        <f>IF($A504="",0,IF(AND($AB504=1,COUNTIF($A$2:$A504,$A504)=1),1,0))</f>
        <v>0</v>
      </c>
      <c r="AD504" s="108">
        <f t="shared" si="88"/>
        <v>1</v>
      </c>
      <c r="AE504" s="108" t="str">
        <f t="shared" si="89"/>
        <v/>
      </c>
      <c r="AF504" s="108">
        <f t="shared" si="90"/>
        <v>0</v>
      </c>
      <c r="AG504" s="108">
        <f t="shared" si="91"/>
        <v>0</v>
      </c>
      <c r="AH504" s="112" t="str">
        <f t="shared" si="92"/>
        <v>J Ramos|20260902|Title|0.750|-Indexing from the source deed back to the patent
 while adding relevant documents required in the scope
 -Documents add</v>
      </c>
      <c r="AI504" s="108">
        <f t="shared" si="93"/>
        <v>0</v>
      </c>
      <c r="AJ504" s="108">
        <f t="shared" si="94"/>
        <v>0</v>
      </c>
      <c r="AK504" s="108">
        <f>IF($A504="",0,IF(AND($S504=1,$W504=1,$X504=1,$U504&gt;Config!$C$9),1,0))</f>
        <v>0</v>
      </c>
      <c r="AL504" s="108">
        <f t="shared" si="95"/>
        <v>0</v>
      </c>
    </row>
    <row r="505" spans="1:38" ht="132.75" x14ac:dyDescent="0.25">
      <c r="A505" s="106" t="s">
        <v>494</v>
      </c>
      <c r="B505" s="106" t="s">
        <v>618</v>
      </c>
      <c r="C505" s="107">
        <v>46267</v>
      </c>
      <c r="D505" s="106" t="s">
        <v>623</v>
      </c>
      <c r="E505" s="106" t="s">
        <v>624</v>
      </c>
      <c r="F505" s="106" t="s">
        <v>615</v>
      </c>
      <c r="G505" s="106" t="s">
        <v>625</v>
      </c>
      <c r="H505" s="106" t="s">
        <v>671</v>
      </c>
      <c r="I505" s="106" t="s">
        <v>657</v>
      </c>
      <c r="J505" s="106"/>
      <c r="K505" s="106">
        <v>0.25</v>
      </c>
      <c r="L505" s="106">
        <v>0</v>
      </c>
      <c r="M505" s="106">
        <v>0</v>
      </c>
      <c r="N505" s="106"/>
      <c r="O505" s="106"/>
      <c r="P505" s="106">
        <v>0</v>
      </c>
      <c r="Q505" s="111" t="s">
        <v>1305</v>
      </c>
      <c r="S505" s="108">
        <f>IF($A505="","",COUNTIF(BPOworkers!$B$6:$B$105,$A505))</f>
        <v>1</v>
      </c>
      <c r="T505" s="109">
        <f>IF($A505="","",$K505*Config!$C$9)</f>
        <v>2</v>
      </c>
      <c r="U505" s="109">
        <f>IF($A505="","",IF(COUNTIF(Config!$C$21:$C$23,$H505)&gt;0,IFERROR(VALUE(LEFT(TRIM($Q505),FIND(" ",TRIM($Q505)&amp;" ")-1)),0),0))</f>
        <v>0</v>
      </c>
      <c r="V505" s="109">
        <f t="shared" si="84"/>
        <v>2</v>
      </c>
      <c r="W505" s="108">
        <f>IF($A505="",0,IF(AND($C505&gt;=Config!$C$7,$C505&lt;=Config!$C$8),1,0))</f>
        <v>1</v>
      </c>
      <c r="X505" s="108">
        <f>IF($A505="",0,IF(COUNTIF(Config!$C$21:$C$23,$H505)&gt;0,1,0))</f>
        <v>0</v>
      </c>
      <c r="Y505" s="108">
        <f t="shared" si="85"/>
        <v>10</v>
      </c>
      <c r="Z505" s="108" t="str">
        <f t="shared" si="86"/>
        <v/>
      </c>
      <c r="AB505" s="108">
        <f t="shared" si="87"/>
        <v>0</v>
      </c>
      <c r="AC505" s="108">
        <f>IF($A505="",0,IF(AND($AB505=1,COUNTIF($A$2:$A505,$A505)=1),1,0))</f>
        <v>0</v>
      </c>
      <c r="AD505" s="108">
        <f t="shared" si="88"/>
        <v>1</v>
      </c>
      <c r="AE505" s="108" t="str">
        <f t="shared" si="89"/>
        <v/>
      </c>
      <c r="AF505" s="108">
        <f t="shared" si="90"/>
        <v>0</v>
      </c>
      <c r="AG505" s="108">
        <f t="shared" si="91"/>
        <v>0</v>
      </c>
      <c r="AH505" s="112" t="str">
        <f t="shared" si="92"/>
        <v>J Ramos|20260902|TitleNotes - Library|0.250|23 documents reviewed
 56 Transactions</v>
      </c>
      <c r="AI505" s="108">
        <f t="shared" si="93"/>
        <v>0</v>
      </c>
      <c r="AJ505" s="108">
        <f t="shared" si="94"/>
        <v>0</v>
      </c>
      <c r="AK505" s="108">
        <f>IF($A505="",0,IF(AND($S505=1,$W505=1,$X505=1,$U505&gt;Config!$C$9),1,0))</f>
        <v>0</v>
      </c>
      <c r="AL505" s="108">
        <f t="shared" si="95"/>
        <v>0</v>
      </c>
    </row>
    <row r="506" spans="1:38" x14ac:dyDescent="0.25">
      <c r="A506" s="106" t="s">
        <v>493</v>
      </c>
      <c r="B506" s="106" t="s">
        <v>618</v>
      </c>
      <c r="C506" s="107">
        <v>46267</v>
      </c>
      <c r="D506" s="106" t="s">
        <v>623</v>
      </c>
      <c r="E506" s="106" t="s">
        <v>624</v>
      </c>
      <c r="F506" s="106" t="s">
        <v>615</v>
      </c>
      <c r="G506" s="106" t="s">
        <v>625</v>
      </c>
      <c r="H506" s="106" t="s">
        <v>671</v>
      </c>
      <c r="I506" s="106" t="s">
        <v>657</v>
      </c>
      <c r="J506" s="106"/>
      <c r="K506" s="106">
        <v>0.75</v>
      </c>
      <c r="L506" s="106">
        <v>0</v>
      </c>
      <c r="M506" s="106">
        <v>0</v>
      </c>
      <c r="N506" s="106"/>
      <c r="O506" s="106"/>
      <c r="P506" s="106">
        <v>0</v>
      </c>
      <c r="Q506" s="106" t="s">
        <v>1306</v>
      </c>
      <c r="S506" s="108">
        <f>IF($A506="","",COUNTIF(BPOworkers!$B$6:$B$105,$A506))</f>
        <v>1</v>
      </c>
      <c r="T506" s="109">
        <f>IF($A506="","",$K506*Config!$C$9)</f>
        <v>6</v>
      </c>
      <c r="U506" s="109">
        <f>IF($A506="","",IF(COUNTIF(Config!$C$21:$C$23,$H506)&gt;0,IFERROR(VALUE(LEFT(TRIM($Q506),FIND(" ",TRIM($Q506)&amp;" ")-1)),0),0))</f>
        <v>0</v>
      </c>
      <c r="V506" s="109">
        <f t="shared" si="84"/>
        <v>6</v>
      </c>
      <c r="W506" s="108">
        <f>IF($A506="",0,IF(AND($C506&gt;=Config!$C$7,$C506&lt;=Config!$C$8),1,0))</f>
        <v>1</v>
      </c>
      <c r="X506" s="108">
        <f>IF($A506="",0,IF(COUNTIF(Config!$C$21:$C$23,$H506)&gt;0,1,0))</f>
        <v>0</v>
      </c>
      <c r="Y506" s="108">
        <f t="shared" si="85"/>
        <v>10</v>
      </c>
      <c r="Z506" s="108" t="str">
        <f t="shared" si="86"/>
        <v/>
      </c>
      <c r="AB506" s="108">
        <f t="shared" si="87"/>
        <v>0</v>
      </c>
      <c r="AC506" s="108">
        <f>IF($A506="",0,IF(AND($AB506=1,COUNTIF($A$2:$A506,$A506)=1),1,0))</f>
        <v>0</v>
      </c>
      <c r="AD506" s="108">
        <f t="shared" si="88"/>
        <v>1</v>
      </c>
      <c r="AE506" s="108" t="str">
        <f t="shared" si="89"/>
        <v/>
      </c>
      <c r="AF506" s="108">
        <f t="shared" si="90"/>
        <v>0</v>
      </c>
      <c r="AG506" s="108">
        <f t="shared" si="91"/>
        <v>0</v>
      </c>
      <c r="AH506" s="110" t="str">
        <f t="shared" si="92"/>
        <v>J Macias|20260902|TitleNotes - Library|0.750|28 notecards and 62 transactions</v>
      </c>
      <c r="AI506" s="108">
        <f t="shared" si="93"/>
        <v>0</v>
      </c>
      <c r="AJ506" s="108">
        <f t="shared" si="94"/>
        <v>0</v>
      </c>
      <c r="AK506" s="108">
        <f>IF($A506="",0,IF(AND($S506=1,$W506=1,$X506=1,$U506&gt;Config!$C$9),1,0))</f>
        <v>0</v>
      </c>
      <c r="AL506" s="108">
        <f t="shared" si="95"/>
        <v>0</v>
      </c>
    </row>
    <row r="507" spans="1:38" x14ac:dyDescent="0.25">
      <c r="A507" s="106" t="s">
        <v>493</v>
      </c>
      <c r="B507" s="106" t="s">
        <v>618</v>
      </c>
      <c r="C507" s="107">
        <v>46267</v>
      </c>
      <c r="D507" s="106" t="s">
        <v>902</v>
      </c>
      <c r="E507" s="106" t="s">
        <v>903</v>
      </c>
      <c r="F507" s="106" t="s">
        <v>1108</v>
      </c>
      <c r="G507" s="106" t="s">
        <v>1109</v>
      </c>
      <c r="H507" s="106" t="s">
        <v>702</v>
      </c>
      <c r="I507" s="106"/>
      <c r="J507" s="106"/>
      <c r="K507" s="106">
        <v>0.25</v>
      </c>
      <c r="L507" s="106">
        <v>0</v>
      </c>
      <c r="M507" s="106">
        <v>0</v>
      </c>
      <c r="N507" s="106"/>
      <c r="O507" s="106"/>
      <c r="P507" s="106">
        <v>0</v>
      </c>
      <c r="Q507" s="106" t="s">
        <v>1145</v>
      </c>
      <c r="S507" s="108">
        <f>IF($A507="","",COUNTIF(BPOworkers!$B$6:$B$105,$A507))</f>
        <v>1</v>
      </c>
      <c r="T507" s="109">
        <f>IF($A507="","",$K507*Config!$C$9)</f>
        <v>2</v>
      </c>
      <c r="U507" s="109">
        <f>IF($A507="","",IF(COUNTIF(Config!$C$21:$C$23,$H507)&gt;0,IFERROR(VALUE(LEFT(TRIM($Q507),FIND(" ",TRIM($Q507)&amp;" ")-1)),0),0))</f>
        <v>0</v>
      </c>
      <c r="V507" s="109">
        <f t="shared" si="84"/>
        <v>2</v>
      </c>
      <c r="W507" s="108">
        <f>IF($A507="",0,IF(AND($C507&gt;=Config!$C$7,$C507&lt;=Config!$C$8),1,0))</f>
        <v>1</v>
      </c>
      <c r="X507" s="108">
        <f>IF($A507="",0,IF(COUNTIF(Config!$C$21:$C$23,$H507)&gt;0,1,0))</f>
        <v>0</v>
      </c>
      <c r="Y507" s="108">
        <f t="shared" si="85"/>
        <v>10</v>
      </c>
      <c r="Z507" s="108" t="str">
        <f t="shared" si="86"/>
        <v/>
      </c>
      <c r="AB507" s="108">
        <f t="shared" si="87"/>
        <v>0</v>
      </c>
      <c r="AC507" s="108">
        <f>IF($A507="",0,IF(AND($AB507=1,COUNTIF($A$2:$A507,$A507)=1),1,0))</f>
        <v>0</v>
      </c>
      <c r="AD507" s="108">
        <f t="shared" si="88"/>
        <v>1</v>
      </c>
      <c r="AE507" s="108" t="str">
        <f t="shared" si="89"/>
        <v/>
      </c>
      <c r="AF507" s="108">
        <f t="shared" si="90"/>
        <v>0</v>
      </c>
      <c r="AG507" s="108">
        <f t="shared" si="91"/>
        <v>0</v>
      </c>
      <c r="AH507" s="110" t="str">
        <f t="shared" si="92"/>
        <v>J Macias|20260902|Data Processing|0.250|Clean and process STR reports, then move completed files to the Processed folder</v>
      </c>
      <c r="AI507" s="108">
        <f t="shared" si="93"/>
        <v>0</v>
      </c>
      <c r="AJ507" s="108">
        <f t="shared" si="94"/>
        <v>0</v>
      </c>
      <c r="AK507" s="108">
        <f>IF($A507="",0,IF(AND($S507=1,$W507=1,$X507=1,$U507&gt;Config!$C$9),1,0))</f>
        <v>0</v>
      </c>
      <c r="AL507" s="108">
        <f t="shared" si="95"/>
        <v>0</v>
      </c>
    </row>
    <row r="508" spans="1:38" ht="192.75" x14ac:dyDescent="0.25">
      <c r="A508" s="106" t="s">
        <v>496</v>
      </c>
      <c r="B508" s="106" t="s">
        <v>618</v>
      </c>
      <c r="C508" s="107">
        <v>46267</v>
      </c>
      <c r="D508" s="106" t="s">
        <v>902</v>
      </c>
      <c r="E508" s="106" t="s">
        <v>903</v>
      </c>
      <c r="F508" s="106" t="s">
        <v>1108</v>
      </c>
      <c r="G508" s="106" t="s">
        <v>1109</v>
      </c>
      <c r="H508" s="106" t="s">
        <v>639</v>
      </c>
      <c r="I508" s="106"/>
      <c r="J508" s="106"/>
      <c r="K508" s="106">
        <v>0.125</v>
      </c>
      <c r="L508" s="106">
        <v>0</v>
      </c>
      <c r="M508" s="106">
        <v>0</v>
      </c>
      <c r="N508" s="106"/>
      <c r="O508" s="106"/>
      <c r="P508" s="106">
        <v>0</v>
      </c>
      <c r="Q508" s="111" t="s">
        <v>1307</v>
      </c>
      <c r="S508" s="108">
        <f>IF($A508="","",COUNTIF(BPOworkers!$B$6:$B$105,$A508))</f>
        <v>1</v>
      </c>
      <c r="T508" s="109">
        <f>IF($A508="","",$K508*Config!$C$9)</f>
        <v>1</v>
      </c>
      <c r="U508" s="109">
        <f>IF($A508="","",IF(COUNTIF(Config!$C$21:$C$23,$H508)&gt;0,IFERROR(VALUE(LEFT(TRIM($Q508),FIND(" ",TRIM($Q508)&amp;" ")-1)),0),0))</f>
        <v>0</v>
      </c>
      <c r="V508" s="109">
        <f t="shared" si="84"/>
        <v>1</v>
      </c>
      <c r="W508" s="108">
        <f>IF($A508="",0,IF(AND($C508&gt;=Config!$C$7,$C508&lt;=Config!$C$8),1,0))</f>
        <v>1</v>
      </c>
      <c r="X508" s="108">
        <f>IF($A508="",0,IF(COUNTIF(Config!$C$21:$C$23,$H508)&gt;0,1,0))</f>
        <v>0</v>
      </c>
      <c r="Y508" s="108">
        <f t="shared" si="85"/>
        <v>10</v>
      </c>
      <c r="Z508" s="108" t="str">
        <f t="shared" si="86"/>
        <v/>
      </c>
      <c r="AB508" s="108">
        <f t="shared" si="87"/>
        <v>0</v>
      </c>
      <c r="AC508" s="108">
        <f>IF($A508="",0,IF(AND($AB508=1,COUNTIF($A$2:$A508,$A508)=1),1,0))</f>
        <v>0</v>
      </c>
      <c r="AD508" s="108">
        <f t="shared" si="88"/>
        <v>1</v>
      </c>
      <c r="AE508" s="108" t="str">
        <f t="shared" si="89"/>
        <v/>
      </c>
      <c r="AF508" s="108">
        <f t="shared" si="90"/>
        <v>0</v>
      </c>
      <c r="AG508" s="108">
        <f t="shared" si="91"/>
        <v>0</v>
      </c>
      <c r="AH508" s="112" t="str">
        <f t="shared" si="92"/>
        <v>N Espitia|20260902|Review|0.125|- Continued reviewing and correcting assignments following the client responses/corrections/changes
 - 7-41N-72W (Lots</v>
      </c>
      <c r="AI508" s="108">
        <f t="shared" si="93"/>
        <v>0</v>
      </c>
      <c r="AJ508" s="108">
        <f t="shared" si="94"/>
        <v>0</v>
      </c>
      <c r="AK508" s="108">
        <f>IF($A508="",0,IF(AND($S508=1,$W508=1,$X508=1,$U508&gt;Config!$C$9),1,0))</f>
        <v>0</v>
      </c>
      <c r="AL508" s="108">
        <f t="shared" si="95"/>
        <v>0</v>
      </c>
    </row>
    <row r="509" spans="1:38" x14ac:dyDescent="0.25">
      <c r="A509" s="106" t="s">
        <v>496</v>
      </c>
      <c r="B509" s="106" t="s">
        <v>618</v>
      </c>
      <c r="C509" s="107">
        <v>46267</v>
      </c>
      <c r="D509" s="106" t="s">
        <v>623</v>
      </c>
      <c r="E509" s="106" t="s">
        <v>624</v>
      </c>
      <c r="F509" s="106" t="s">
        <v>615</v>
      </c>
      <c r="G509" s="106" t="s">
        <v>625</v>
      </c>
      <c r="H509" s="106" t="s">
        <v>671</v>
      </c>
      <c r="I509" s="106" t="s">
        <v>657</v>
      </c>
      <c r="J509" s="106"/>
      <c r="K509" s="106">
        <v>0.25</v>
      </c>
      <c r="L509" s="106">
        <v>0</v>
      </c>
      <c r="M509" s="106">
        <v>0</v>
      </c>
      <c r="N509" s="106"/>
      <c r="O509" s="106"/>
      <c r="P509" s="106">
        <v>0</v>
      </c>
      <c r="Q509" s="106" t="s">
        <v>1308</v>
      </c>
      <c r="S509" s="108">
        <f>IF($A509="","",COUNTIF(BPOworkers!$B$6:$B$105,$A509))</f>
        <v>1</v>
      </c>
      <c r="T509" s="109">
        <f>IF($A509="","",$K509*Config!$C$9)</f>
        <v>2</v>
      </c>
      <c r="U509" s="109">
        <f>IF($A509="","",IF(COUNTIF(Config!$C$21:$C$23,$H509)&gt;0,IFERROR(VALUE(LEFT(TRIM($Q509),FIND(" ",TRIM($Q509)&amp;" ")-1)),0),0))</f>
        <v>0</v>
      </c>
      <c r="V509" s="109">
        <f t="shared" si="84"/>
        <v>2</v>
      </c>
      <c r="W509" s="108">
        <f>IF($A509="",0,IF(AND($C509&gt;=Config!$C$7,$C509&lt;=Config!$C$8),1,0))</f>
        <v>1</v>
      </c>
      <c r="X509" s="108">
        <f>IF($A509="",0,IF(COUNTIF(Config!$C$21:$C$23,$H509)&gt;0,1,0))</f>
        <v>0</v>
      </c>
      <c r="Y509" s="108">
        <f t="shared" si="85"/>
        <v>10</v>
      </c>
      <c r="Z509" s="108" t="str">
        <f t="shared" si="86"/>
        <v/>
      </c>
      <c r="AB509" s="108">
        <f t="shared" si="87"/>
        <v>0</v>
      </c>
      <c r="AC509" s="108">
        <f>IF($A509="",0,IF(AND($AB509=1,COUNTIF($A$2:$A509,$A509)=1),1,0))</f>
        <v>0</v>
      </c>
      <c r="AD509" s="108">
        <f t="shared" si="88"/>
        <v>1</v>
      </c>
      <c r="AE509" s="108" t="str">
        <f t="shared" si="89"/>
        <v/>
      </c>
      <c r="AF509" s="108">
        <f t="shared" si="90"/>
        <v>0</v>
      </c>
      <c r="AG509" s="108">
        <f t="shared" si="91"/>
        <v>0</v>
      </c>
      <c r="AH509" s="110" t="str">
        <f t="shared" si="92"/>
        <v>N Espitia|20260902|TitleNotes - Library|0.250|- Completed 15 notecards</v>
      </c>
      <c r="AI509" s="108">
        <f t="shared" si="93"/>
        <v>0</v>
      </c>
      <c r="AJ509" s="108">
        <f t="shared" si="94"/>
        <v>0</v>
      </c>
      <c r="AK509" s="108">
        <f>IF($A509="",0,IF(AND($S509=1,$W509=1,$X509=1,$U509&gt;Config!$C$9),1,0))</f>
        <v>0</v>
      </c>
      <c r="AL509" s="108">
        <f t="shared" si="95"/>
        <v>0</v>
      </c>
    </row>
    <row r="510" spans="1:38" ht="180.75" x14ac:dyDescent="0.25">
      <c r="A510" s="106" t="s">
        <v>496</v>
      </c>
      <c r="B510" s="106" t="s">
        <v>618</v>
      </c>
      <c r="C510" s="107">
        <v>46267</v>
      </c>
      <c r="D510" s="106" t="s">
        <v>720</v>
      </c>
      <c r="E510" s="106" t="s">
        <v>721</v>
      </c>
      <c r="F510" s="106" t="s">
        <v>722</v>
      </c>
      <c r="G510" s="106" t="s">
        <v>970</v>
      </c>
      <c r="H510" s="106" t="s">
        <v>631</v>
      </c>
      <c r="I510" s="106"/>
      <c r="J510" s="106" t="s">
        <v>1019</v>
      </c>
      <c r="K510" s="106">
        <v>0.375</v>
      </c>
      <c r="L510" s="106">
        <v>0</v>
      </c>
      <c r="M510" s="106">
        <v>0</v>
      </c>
      <c r="N510" s="106"/>
      <c r="O510" s="106"/>
      <c r="P510" s="106">
        <v>0</v>
      </c>
      <c r="Q510" s="111" t="s">
        <v>1309</v>
      </c>
      <c r="S510" s="108">
        <f>IF($A510="","",COUNTIF(BPOworkers!$B$6:$B$105,$A510))</f>
        <v>1</v>
      </c>
      <c r="T510" s="109">
        <f>IF($A510="","",$K510*Config!$C$9)</f>
        <v>3</v>
      </c>
      <c r="U510" s="109">
        <f>IF($A510="","",IF(COUNTIF(Config!$C$21:$C$23,$H510)&gt;0,IFERROR(VALUE(LEFT(TRIM($Q510),FIND(" ",TRIM($Q510)&amp;" ")-1)),0),0))</f>
        <v>0</v>
      </c>
      <c r="V510" s="109">
        <f t="shared" si="84"/>
        <v>3</v>
      </c>
      <c r="W510" s="108">
        <f>IF($A510="",0,IF(AND($C510&gt;=Config!$C$7,$C510&lt;=Config!$C$8),1,0))</f>
        <v>1</v>
      </c>
      <c r="X510" s="108">
        <f>IF($A510="",0,IF(COUNTIF(Config!$C$21:$C$23,$H510)&gt;0,1,0))</f>
        <v>0</v>
      </c>
      <c r="Y510" s="108">
        <f t="shared" si="85"/>
        <v>10</v>
      </c>
      <c r="Z510" s="108" t="str">
        <f t="shared" si="86"/>
        <v/>
      </c>
      <c r="AB510" s="108">
        <f t="shared" si="87"/>
        <v>0</v>
      </c>
      <c r="AC510" s="108">
        <f>IF($A510="",0,IF(AND($AB510=1,COUNTIF($A$2:$A510,$A510)=1),1,0))</f>
        <v>0</v>
      </c>
      <c r="AD510" s="108">
        <f t="shared" si="88"/>
        <v>1</v>
      </c>
      <c r="AE510" s="108" t="str">
        <f t="shared" si="89"/>
        <v/>
      </c>
      <c r="AF510" s="108">
        <f t="shared" si="90"/>
        <v>0</v>
      </c>
      <c r="AG510" s="108">
        <f t="shared" si="91"/>
        <v>0</v>
      </c>
      <c r="AH510" s="112" t="str">
        <f t="shared" si="92"/>
        <v>N Espitia|20260902|Title|0.375|- Created AOI
 - Created indexing spreadsheet
 - Added source deed
 - Indexed to the present from source deed
 - Started</v>
      </c>
      <c r="AI510" s="108">
        <f t="shared" si="93"/>
        <v>0</v>
      </c>
      <c r="AJ510" s="108">
        <f t="shared" si="94"/>
        <v>0</v>
      </c>
      <c r="AK510" s="108">
        <f>IF($A510="",0,IF(AND($S510=1,$W510=1,$X510=1,$U510&gt;Config!$C$9),1,0))</f>
        <v>0</v>
      </c>
      <c r="AL510" s="108">
        <f t="shared" si="95"/>
        <v>0</v>
      </c>
    </row>
    <row r="511" spans="1:38" x14ac:dyDescent="0.25">
      <c r="A511" s="106" t="s">
        <v>496</v>
      </c>
      <c r="B511" s="106" t="s">
        <v>618</v>
      </c>
      <c r="C511" s="107">
        <v>46267</v>
      </c>
      <c r="D511" s="106" t="s">
        <v>720</v>
      </c>
      <c r="E511" s="106" t="s">
        <v>721</v>
      </c>
      <c r="F511" s="106" t="s">
        <v>722</v>
      </c>
      <c r="G511" s="106" t="s">
        <v>933</v>
      </c>
      <c r="H511" s="106" t="s">
        <v>656</v>
      </c>
      <c r="I511" s="106"/>
      <c r="J511" s="106"/>
      <c r="K511" s="106">
        <v>0.25</v>
      </c>
      <c r="L511" s="106">
        <v>0</v>
      </c>
      <c r="M511" s="106">
        <v>0</v>
      </c>
      <c r="N511" s="106"/>
      <c r="O511" s="106"/>
      <c r="P511" s="106">
        <v>0</v>
      </c>
      <c r="Q511" s="106" t="s">
        <v>1018</v>
      </c>
      <c r="S511" s="108">
        <f>IF($A511="","",COUNTIF(BPOworkers!$B$6:$B$105,$A511))</f>
        <v>1</v>
      </c>
      <c r="T511" s="109">
        <f>IF($A511="","",$K511*Config!$C$9)</f>
        <v>2</v>
      </c>
      <c r="U511" s="109">
        <f>IF($A511="","",IF(COUNTIF(Config!$C$21:$C$23,$H511)&gt;0,IFERROR(VALUE(LEFT(TRIM($Q511),FIND(" ",TRIM($Q511)&amp;" ")-1)),0),0))</f>
        <v>0</v>
      </c>
      <c r="V511" s="109">
        <f t="shared" si="84"/>
        <v>2</v>
      </c>
      <c r="W511" s="108">
        <f>IF($A511="",0,IF(AND($C511&gt;=Config!$C$7,$C511&lt;=Config!$C$8),1,0))</f>
        <v>1</v>
      </c>
      <c r="X511" s="108">
        <f>IF($A511="",0,IF(COUNTIF(Config!$C$21:$C$23,$H511)&gt;0,1,0))</f>
        <v>0</v>
      </c>
      <c r="Y511" s="108">
        <f t="shared" si="85"/>
        <v>10</v>
      </c>
      <c r="Z511" s="108" t="str">
        <f t="shared" si="86"/>
        <v/>
      </c>
      <c r="AB511" s="108">
        <f t="shared" si="87"/>
        <v>0</v>
      </c>
      <c r="AC511" s="108">
        <f>IF($A511="",0,IF(AND($AB511=1,COUNTIF($A$2:$A511,$A511)=1),1,0))</f>
        <v>0</v>
      </c>
      <c r="AD511" s="108">
        <f t="shared" si="88"/>
        <v>1</v>
      </c>
      <c r="AE511" s="108" t="str">
        <f t="shared" si="89"/>
        <v/>
      </c>
      <c r="AF511" s="108">
        <f t="shared" si="90"/>
        <v>0</v>
      </c>
      <c r="AG511" s="108">
        <f t="shared" si="91"/>
        <v>0</v>
      </c>
      <c r="AH511" s="110" t="str">
        <f t="shared" si="92"/>
        <v>N Espitia|20260902|Project Management|0.250|- Approved billing &amp; provided support + daily meeting</v>
      </c>
      <c r="AI511" s="108">
        <f t="shared" si="93"/>
        <v>0</v>
      </c>
      <c r="AJ511" s="108">
        <f t="shared" si="94"/>
        <v>0</v>
      </c>
      <c r="AK511" s="108">
        <f>IF($A511="",0,IF(AND($S511=1,$W511=1,$X511=1,$U511&gt;Config!$C$9),1,0))</f>
        <v>0</v>
      </c>
      <c r="AL511" s="108">
        <f t="shared" si="95"/>
        <v>0</v>
      </c>
    </row>
    <row r="512" spans="1:38" ht="180.75" x14ac:dyDescent="0.25">
      <c r="A512" s="106" t="s">
        <v>491</v>
      </c>
      <c r="B512" s="106" t="s">
        <v>618</v>
      </c>
      <c r="C512" s="107">
        <v>46267</v>
      </c>
      <c r="D512" s="106" t="s">
        <v>623</v>
      </c>
      <c r="E512" s="106" t="s">
        <v>624</v>
      </c>
      <c r="F512" s="106" t="s">
        <v>615</v>
      </c>
      <c r="G512" s="106" t="s">
        <v>625</v>
      </c>
      <c r="H512" s="106" t="s">
        <v>671</v>
      </c>
      <c r="I512" s="106"/>
      <c r="J512" s="106"/>
      <c r="K512" s="106">
        <v>0.25</v>
      </c>
      <c r="L512" s="106">
        <v>0</v>
      </c>
      <c r="M512" s="106">
        <v>0</v>
      </c>
      <c r="N512" s="106"/>
      <c r="O512" s="106"/>
      <c r="P512" s="106">
        <v>0</v>
      </c>
      <c r="Q512" s="111" t="s">
        <v>1310</v>
      </c>
      <c r="S512" s="108">
        <f>IF($A512="","",COUNTIF(BPOworkers!$B$6:$B$105,$A512))</f>
        <v>1</v>
      </c>
      <c r="T512" s="109">
        <f>IF($A512="","",$K512*Config!$C$9)</f>
        <v>2</v>
      </c>
      <c r="U512" s="109">
        <f>IF($A512="","",IF(COUNTIF(Config!$C$21:$C$23,$H512)&gt;0,IFERROR(VALUE(LEFT(TRIM($Q512),FIND(" ",TRIM($Q512)&amp;" ")-1)),0),0))</f>
        <v>0</v>
      </c>
      <c r="V512" s="109">
        <f t="shared" si="84"/>
        <v>2</v>
      </c>
      <c r="W512" s="108">
        <f>IF($A512="",0,IF(AND($C512&gt;=Config!$C$7,$C512&lt;=Config!$C$8),1,0))</f>
        <v>1</v>
      </c>
      <c r="X512" s="108">
        <f>IF($A512="",0,IF(COUNTIF(Config!$C$21:$C$23,$H512)&gt;0,1,0))</f>
        <v>0</v>
      </c>
      <c r="Y512" s="108">
        <f t="shared" si="85"/>
        <v>10</v>
      </c>
      <c r="Z512" s="108" t="str">
        <f t="shared" si="86"/>
        <v/>
      </c>
      <c r="AB512" s="108">
        <f t="shared" si="87"/>
        <v>0</v>
      </c>
      <c r="AC512" s="108">
        <f>IF($A512="",0,IF(AND($AB512=1,COUNTIF($A$2:$A512,$A512)=1),1,0))</f>
        <v>0</v>
      </c>
      <c r="AD512" s="108">
        <f t="shared" si="88"/>
        <v>1</v>
      </c>
      <c r="AE512" s="108" t="str">
        <f t="shared" si="89"/>
        <v/>
      </c>
      <c r="AF512" s="108">
        <f t="shared" si="90"/>
        <v>0</v>
      </c>
      <c r="AG512" s="108">
        <f t="shared" si="91"/>
        <v>0</v>
      </c>
      <c r="AH512" s="112" t="str">
        <f t="shared" si="92"/>
        <v>N Lozano|20260902|TitleNotes - Library|0.250|Documents 10
 Trnsactions 40
 The Title Notes website was very glitchy today</v>
      </c>
      <c r="AI512" s="108">
        <f t="shared" si="93"/>
        <v>0</v>
      </c>
      <c r="AJ512" s="108">
        <f t="shared" si="94"/>
        <v>0</v>
      </c>
      <c r="AK512" s="108">
        <f>IF($A512="",0,IF(AND($S512=1,$W512=1,$X512=1,$U512&gt;Config!$C$9),1,0))</f>
        <v>0</v>
      </c>
      <c r="AL512" s="108">
        <f t="shared" si="95"/>
        <v>0</v>
      </c>
    </row>
    <row r="513" spans="1:38" ht="132.75" x14ac:dyDescent="0.25">
      <c r="A513" s="106" t="s">
        <v>491</v>
      </c>
      <c r="B513" s="106" t="s">
        <v>618</v>
      </c>
      <c r="C513" s="107">
        <v>46267</v>
      </c>
      <c r="D513" s="106" t="s">
        <v>720</v>
      </c>
      <c r="E513" s="106" t="s">
        <v>721</v>
      </c>
      <c r="F513" s="106" t="s">
        <v>722</v>
      </c>
      <c r="G513" s="106" t="s">
        <v>1022</v>
      </c>
      <c r="H513" s="106" t="s">
        <v>631</v>
      </c>
      <c r="I513" s="106"/>
      <c r="J513" s="106" t="s">
        <v>1023</v>
      </c>
      <c r="K513" s="106">
        <v>0.75</v>
      </c>
      <c r="L513" s="106">
        <v>0</v>
      </c>
      <c r="M513" s="106">
        <v>0</v>
      </c>
      <c r="N513" s="106"/>
      <c r="O513" s="106"/>
      <c r="P513" s="106">
        <v>0</v>
      </c>
      <c r="Q513" s="111" t="s">
        <v>1311</v>
      </c>
      <c r="S513" s="108">
        <f>IF($A513="","",COUNTIF(BPOworkers!$B$6:$B$105,$A513))</f>
        <v>1</v>
      </c>
      <c r="T513" s="109">
        <f>IF($A513="","",$K513*Config!$C$9)</f>
        <v>6</v>
      </c>
      <c r="U513" s="109">
        <f>IF($A513="","",IF(COUNTIF(Config!$C$21:$C$23,$H513)&gt;0,IFERROR(VALUE(LEFT(TRIM($Q513),FIND(" ",TRIM($Q513)&amp;" ")-1)),0),0))</f>
        <v>0</v>
      </c>
      <c r="V513" s="109">
        <f t="shared" si="84"/>
        <v>6</v>
      </c>
      <c r="W513" s="108">
        <f>IF($A513="",0,IF(AND($C513&gt;=Config!$C$7,$C513&lt;=Config!$C$8),1,0))</f>
        <v>1</v>
      </c>
      <c r="X513" s="108">
        <f>IF($A513="",0,IF(COUNTIF(Config!$C$21:$C$23,$H513)&gt;0,1,0))</f>
        <v>0</v>
      </c>
      <c r="Y513" s="108">
        <f t="shared" si="85"/>
        <v>10</v>
      </c>
      <c r="Z513" s="108" t="str">
        <f t="shared" si="86"/>
        <v/>
      </c>
      <c r="AB513" s="108">
        <f t="shared" si="87"/>
        <v>0</v>
      </c>
      <c r="AC513" s="108">
        <f>IF($A513="",0,IF(AND($AB513=1,COUNTIF($A$2:$A513,$A513)=1),1,0))</f>
        <v>0</v>
      </c>
      <c r="AD513" s="108">
        <f t="shared" si="88"/>
        <v>1</v>
      </c>
      <c r="AE513" s="108" t="str">
        <f t="shared" si="89"/>
        <v/>
      </c>
      <c r="AF513" s="108">
        <f t="shared" si="90"/>
        <v>0</v>
      </c>
      <c r="AG513" s="108">
        <f t="shared" si="91"/>
        <v>0</v>
      </c>
      <c r="AH513" s="110" t="str">
        <f t="shared" si="92"/>
        <v>N Lozano|20260902|Title|0.750|During the day, I approached the project team lead, Nicolas Espitia, as I couldn't find much relevant information for th</v>
      </c>
      <c r="AI513" s="108">
        <f t="shared" si="93"/>
        <v>0</v>
      </c>
      <c r="AJ513" s="108">
        <f t="shared" si="94"/>
        <v>0</v>
      </c>
      <c r="AK513" s="108">
        <f>IF($A513="",0,IF(AND($S513=1,$W513=1,$X513=1,$U513&gt;Config!$C$9),1,0))</f>
        <v>0</v>
      </c>
      <c r="AL513" s="108">
        <f t="shared" si="95"/>
        <v>0</v>
      </c>
    </row>
    <row r="514" spans="1:38" x14ac:dyDescent="0.25">
      <c r="A514" s="106" t="s">
        <v>503</v>
      </c>
      <c r="B514" s="106" t="s">
        <v>618</v>
      </c>
      <c r="C514" s="107">
        <v>46267</v>
      </c>
      <c r="D514" s="106" t="s">
        <v>712</v>
      </c>
      <c r="E514" s="106" t="s">
        <v>713</v>
      </c>
      <c r="F514" s="106" t="s">
        <v>714</v>
      </c>
      <c r="G514" s="106" t="s">
        <v>913</v>
      </c>
      <c r="H514" s="106" t="s">
        <v>631</v>
      </c>
      <c r="I514" s="106"/>
      <c r="J514" s="106"/>
      <c r="K514" s="106">
        <v>1</v>
      </c>
      <c r="L514" s="106">
        <v>0</v>
      </c>
      <c r="M514" s="106">
        <v>0</v>
      </c>
      <c r="N514" s="106"/>
      <c r="O514" s="106"/>
      <c r="P514" s="106">
        <v>0</v>
      </c>
      <c r="Q514" s="106" t="s">
        <v>1312</v>
      </c>
      <c r="S514" s="108">
        <f>IF($A514="","",COUNTIF(BPOworkers!$B$6:$B$105,$A514))</f>
        <v>1</v>
      </c>
      <c r="T514" s="109">
        <f>IF($A514="","",$K514*Config!$C$9)</f>
        <v>8</v>
      </c>
      <c r="U514" s="109">
        <f>IF($A514="","",IF(COUNTIF(Config!$C$21:$C$23,$H514)&gt;0,IFERROR(VALUE(LEFT(TRIM($Q514),FIND(" ",TRIM($Q514)&amp;" ")-1)),0),0))</f>
        <v>0</v>
      </c>
      <c r="V514" s="109">
        <f t="shared" ref="V514:V577" si="96">IF($A514="","",$T514+$U514)</f>
        <v>8</v>
      </c>
      <c r="W514" s="108">
        <f>IF($A514="",0,IF(AND($C514&gt;=Config!$C$7,$C514&lt;=Config!$C$8),1,0))</f>
        <v>1</v>
      </c>
      <c r="X514" s="108">
        <f>IF($A514="",0,IF(COUNTIF(Config!$C$21:$C$23,$H514)&gt;0,1,0))</f>
        <v>0</v>
      </c>
      <c r="Y514" s="108">
        <f t="shared" ref="Y514:Y577" si="97">IF($A514="",MAX(0,Y513),MAX(0,Y513)+IF(AND($W514=1,$X514=1,$S514=1),1,0))</f>
        <v>10</v>
      </c>
      <c r="Z514" s="108" t="str">
        <f t="shared" ref="Z514:Z577" si="98">IF($A514="","",IF(AND($W514=1,$X514=1,$S514=1),$Y514,""))</f>
        <v/>
      </c>
      <c r="AB514" s="108">
        <f t="shared" ref="AB514:AB577" si="99">IF($A514="",0,IF(AND($S514=0,ISERROR(FIND(".",$A514))),1,0))</f>
        <v>0</v>
      </c>
      <c r="AC514" s="108">
        <f>IF($A514="",0,IF(AND($AB514=1,COUNTIF($A$2:$A514,$A514)=1),1,0))</f>
        <v>0</v>
      </c>
      <c r="AD514" s="108">
        <f t="shared" ref="AD514:AD577" si="100">IF($A514="",MAX(0,AD513),MAX(0,AD513)+$AC514)</f>
        <v>1</v>
      </c>
      <c r="AE514" s="108" t="str">
        <f t="shared" ref="AE514:AE577" si="101">IF($AC514=1,$AD514,"")</f>
        <v/>
      </c>
      <c r="AF514" s="108">
        <f t="shared" ref="AF514:AF577" si="102">IF($A514="",0,IFERROR(IF(AND($S514=1,WEEKDAY($C514,2)&gt;5),1,0),0))</f>
        <v>0</v>
      </c>
      <c r="AG514" s="108">
        <f t="shared" ref="AG514:AG577" si="103">IF($A514="",0,IF(AND($S514=1,$W514=0),1,0))</f>
        <v>0</v>
      </c>
      <c r="AH514" s="110" t="str">
        <f t="shared" ref="AH514:AH577" si="104">IF($A514="","",$A514&amp;"|"&amp;TEXT($C514,"yyyymmdd")&amp;"|"&amp;$H514&amp;"|"&amp;TEXT($K514,"0.000")&amp;"|"&amp;SUBSTITUTE(SUBSTITUTE(SUBSTITUTE(LEFT($Q514,120),"~",""),"*",""),"?",""))</f>
        <v>T Vargas|20260902|Title|1.000|Gaps solved and indexing completed with the King family. Currently checking details in AOI.</v>
      </c>
      <c r="AI514" s="108">
        <f t="shared" ref="AI514:AI577" si="105">IF($A514="",0,IF(AND($S514=1,$W514=1,COUNTIF($AH$2:$AH$1500,$AH514)&gt;1),1,0))</f>
        <v>0</v>
      </c>
      <c r="AJ514" s="108">
        <f t="shared" ref="AJ514:AJ577" si="106">IF($A514="",0,IF(AND($S514=1,$W514=1,ABS($K514*8-ROUND($K514*8,0))&gt;0.0001),1,0))</f>
        <v>0</v>
      </c>
      <c r="AK514" s="108">
        <f>IF($A514="",0,IF(AND($S514=1,$W514=1,$X514=1,$U514&gt;Config!$C$9),1,0))</f>
        <v>0</v>
      </c>
      <c r="AL514" s="108">
        <f t="shared" ref="AL514:AL577" si="107">IF($A514="",0,IF(AND($S514=1,$W514=1,$X514=1,$U514=0),1,0))</f>
        <v>0</v>
      </c>
    </row>
    <row r="515" spans="1:38" x14ac:dyDescent="0.25">
      <c r="A515" s="106" t="s">
        <v>500</v>
      </c>
      <c r="B515" s="106" t="s">
        <v>618</v>
      </c>
      <c r="C515" s="107">
        <v>46267</v>
      </c>
      <c r="D515" s="106" t="s">
        <v>680</v>
      </c>
      <c r="E515" s="106" t="s">
        <v>681</v>
      </c>
      <c r="F515" s="106" t="s">
        <v>745</v>
      </c>
      <c r="G515" s="106" t="s">
        <v>797</v>
      </c>
      <c r="H515" s="106" t="s">
        <v>631</v>
      </c>
      <c r="I515" s="106"/>
      <c r="J515" s="106" t="s">
        <v>788</v>
      </c>
      <c r="K515" s="106">
        <v>1</v>
      </c>
      <c r="L515" s="106">
        <v>0</v>
      </c>
      <c r="M515" s="106">
        <v>0</v>
      </c>
      <c r="N515" s="106"/>
      <c r="O515" s="106"/>
      <c r="P515" s="106">
        <v>0</v>
      </c>
      <c r="Q515" s="106" t="s">
        <v>1313</v>
      </c>
      <c r="S515" s="108">
        <f>IF($A515="","",COUNTIF(BPOworkers!$B$6:$B$105,$A515))</f>
        <v>1</v>
      </c>
      <c r="T515" s="109">
        <f>IF($A515="","",$K515*Config!$C$9)</f>
        <v>8</v>
      </c>
      <c r="U515" s="109">
        <f>IF($A515="","",IF(COUNTIF(Config!$C$21:$C$23,$H515)&gt;0,IFERROR(VALUE(LEFT(TRIM($Q515),FIND(" ",TRIM($Q515)&amp;" ")-1)),0),0))</f>
        <v>0</v>
      </c>
      <c r="V515" s="109">
        <f t="shared" si="96"/>
        <v>8</v>
      </c>
      <c r="W515" s="108">
        <f>IF($A515="",0,IF(AND($C515&gt;=Config!$C$7,$C515&lt;=Config!$C$8),1,0))</f>
        <v>1</v>
      </c>
      <c r="X515" s="108">
        <f>IF($A515="",0,IF(COUNTIF(Config!$C$21:$C$23,$H515)&gt;0,1,0))</f>
        <v>0</v>
      </c>
      <c r="Y515" s="108">
        <f t="shared" si="97"/>
        <v>10</v>
      </c>
      <c r="Z515" s="108" t="str">
        <f t="shared" si="98"/>
        <v/>
      </c>
      <c r="AB515" s="108">
        <f t="shared" si="99"/>
        <v>0</v>
      </c>
      <c r="AC515" s="108">
        <f>IF($A515="",0,IF(AND($AB515=1,COUNTIF($A$2:$A515,$A515)=1),1,0))</f>
        <v>0</v>
      </c>
      <c r="AD515" s="108">
        <f t="shared" si="100"/>
        <v>1</v>
      </c>
      <c r="AE515" s="108" t="str">
        <f t="shared" si="101"/>
        <v/>
      </c>
      <c r="AF515" s="108">
        <f t="shared" si="102"/>
        <v>0</v>
      </c>
      <c r="AG515" s="108">
        <f t="shared" si="103"/>
        <v>0</v>
      </c>
      <c r="AH515" s="110" t="str">
        <f t="shared" si="104"/>
        <v>K Martínez|20260902|Title|1.000|Started with SIV, created AOI for both legal and started to look the county record and opened documents to find, also re</v>
      </c>
      <c r="AI515" s="108">
        <f t="shared" si="105"/>
        <v>0</v>
      </c>
      <c r="AJ515" s="108">
        <f t="shared" si="106"/>
        <v>0</v>
      </c>
      <c r="AK515" s="108">
        <f>IF($A515="",0,IF(AND($S515=1,$W515=1,$X515=1,$U515&gt;Config!$C$9),1,0))</f>
        <v>0</v>
      </c>
      <c r="AL515" s="108">
        <f t="shared" si="107"/>
        <v>0</v>
      </c>
    </row>
    <row r="516" spans="1:38" x14ac:dyDescent="0.25">
      <c r="A516" s="106" t="s">
        <v>488</v>
      </c>
      <c r="B516" s="106" t="s">
        <v>618</v>
      </c>
      <c r="C516" s="107">
        <v>46267</v>
      </c>
      <c r="D516" s="106" t="s">
        <v>623</v>
      </c>
      <c r="E516" s="106" t="s">
        <v>624</v>
      </c>
      <c r="F516" s="106" t="s">
        <v>615</v>
      </c>
      <c r="G516" s="106" t="s">
        <v>625</v>
      </c>
      <c r="H516" s="106" t="s">
        <v>671</v>
      </c>
      <c r="I516" s="106" t="s">
        <v>657</v>
      </c>
      <c r="J516" s="106"/>
      <c r="K516" s="106">
        <v>0.75</v>
      </c>
      <c r="L516" s="106">
        <v>0</v>
      </c>
      <c r="M516" s="106">
        <v>0</v>
      </c>
      <c r="N516" s="106"/>
      <c r="O516" s="106"/>
      <c r="P516" s="106">
        <v>0</v>
      </c>
      <c r="Q516" s="106" t="s">
        <v>1314</v>
      </c>
      <c r="S516" s="108">
        <f>IF($A516="","",COUNTIF(BPOworkers!$B$6:$B$105,$A516))</f>
        <v>1</v>
      </c>
      <c r="T516" s="109">
        <f>IF($A516="","",$K516*Config!$C$9)</f>
        <v>6</v>
      </c>
      <c r="U516" s="109">
        <f>IF($A516="","",IF(COUNTIF(Config!$C$21:$C$23,$H516)&gt;0,IFERROR(VALUE(LEFT(TRIM($Q516),FIND(" ",TRIM($Q516)&amp;" ")-1)),0),0))</f>
        <v>0</v>
      </c>
      <c r="V516" s="109">
        <f t="shared" si="96"/>
        <v>6</v>
      </c>
      <c r="W516" s="108">
        <f>IF($A516="",0,IF(AND($C516&gt;=Config!$C$7,$C516&lt;=Config!$C$8),1,0))</f>
        <v>1</v>
      </c>
      <c r="X516" s="108">
        <f>IF($A516="",0,IF(COUNTIF(Config!$C$21:$C$23,$H516)&gt;0,1,0))</f>
        <v>0</v>
      </c>
      <c r="Y516" s="108">
        <f t="shared" si="97"/>
        <v>10</v>
      </c>
      <c r="Z516" s="108" t="str">
        <f t="shared" si="98"/>
        <v/>
      </c>
      <c r="AB516" s="108">
        <f t="shared" si="99"/>
        <v>0</v>
      </c>
      <c r="AC516" s="108">
        <f>IF($A516="",0,IF(AND($AB516=1,COUNTIF($A$2:$A516,$A516)=1),1,0))</f>
        <v>0</v>
      </c>
      <c r="AD516" s="108">
        <f t="shared" si="100"/>
        <v>1</v>
      </c>
      <c r="AE516" s="108" t="str">
        <f t="shared" si="101"/>
        <v/>
      </c>
      <c r="AF516" s="108">
        <f t="shared" si="102"/>
        <v>0</v>
      </c>
      <c r="AG516" s="108">
        <f t="shared" si="103"/>
        <v>0</v>
      </c>
      <c r="AH516" s="110" t="str">
        <f t="shared" si="104"/>
        <v>D Chinchilla|20260902|TitleNotes - Library|0.750|21 Documents 33 Transactions</v>
      </c>
      <c r="AI516" s="108">
        <f t="shared" si="105"/>
        <v>0</v>
      </c>
      <c r="AJ516" s="108">
        <f t="shared" si="106"/>
        <v>0</v>
      </c>
      <c r="AK516" s="108">
        <f>IF($A516="",0,IF(AND($S516=1,$W516=1,$X516=1,$U516&gt;Config!$C$9),1,0))</f>
        <v>0</v>
      </c>
      <c r="AL516" s="108">
        <f t="shared" si="107"/>
        <v>0</v>
      </c>
    </row>
    <row r="517" spans="1:38" ht="192.75" x14ac:dyDescent="0.25">
      <c r="A517" s="106" t="s">
        <v>488</v>
      </c>
      <c r="B517" s="106" t="s">
        <v>618</v>
      </c>
      <c r="C517" s="107">
        <v>46267</v>
      </c>
      <c r="D517" s="106" t="s">
        <v>902</v>
      </c>
      <c r="E517" s="106" t="s">
        <v>903</v>
      </c>
      <c r="F517" s="106" t="s">
        <v>1108</v>
      </c>
      <c r="G517" s="106" t="s">
        <v>1109</v>
      </c>
      <c r="H517" s="106" t="s">
        <v>702</v>
      </c>
      <c r="I517" s="106"/>
      <c r="J517" s="106"/>
      <c r="K517" s="106">
        <v>0.25</v>
      </c>
      <c r="L517" s="106">
        <v>0</v>
      </c>
      <c r="M517" s="106">
        <v>0</v>
      </c>
      <c r="N517" s="106"/>
      <c r="O517" s="106"/>
      <c r="P517" s="106">
        <v>0</v>
      </c>
      <c r="Q517" s="111" t="s">
        <v>1315</v>
      </c>
      <c r="S517" s="108">
        <f>IF($A517="","",COUNTIF(BPOworkers!$B$6:$B$105,$A517))</f>
        <v>1</v>
      </c>
      <c r="T517" s="109">
        <f>IF($A517="","",$K517*Config!$C$9)</f>
        <v>2</v>
      </c>
      <c r="U517" s="109">
        <f>IF($A517="","",IF(COUNTIF(Config!$C$21:$C$23,$H517)&gt;0,IFERROR(VALUE(LEFT(TRIM($Q517),FIND(" ",TRIM($Q517)&amp;" ")-1)),0),0))</f>
        <v>0</v>
      </c>
      <c r="V517" s="109">
        <f t="shared" si="96"/>
        <v>2</v>
      </c>
      <c r="W517" s="108">
        <f>IF($A517="",0,IF(AND($C517&gt;=Config!$C$7,$C517&lt;=Config!$C$8),1,0))</f>
        <v>1</v>
      </c>
      <c r="X517" s="108">
        <f>IF($A517="",0,IF(COUNTIF(Config!$C$21:$C$23,$H517)&gt;0,1,0))</f>
        <v>0</v>
      </c>
      <c r="Y517" s="108">
        <f t="shared" si="97"/>
        <v>10</v>
      </c>
      <c r="Z517" s="108" t="str">
        <f t="shared" si="98"/>
        <v/>
      </c>
      <c r="AB517" s="108">
        <f t="shared" si="99"/>
        <v>0</v>
      </c>
      <c r="AC517" s="108">
        <f>IF($A517="",0,IF(AND($AB517=1,COUNTIF($A$2:$A517,$A517)=1),1,0))</f>
        <v>0</v>
      </c>
      <c r="AD517" s="108">
        <f t="shared" si="100"/>
        <v>1</v>
      </c>
      <c r="AE517" s="108" t="str">
        <f t="shared" si="101"/>
        <v/>
      </c>
      <c r="AF517" s="108">
        <f t="shared" si="102"/>
        <v>0</v>
      </c>
      <c r="AG517" s="108">
        <f t="shared" si="103"/>
        <v>0</v>
      </c>
      <c r="AH517" s="112" t="str">
        <f t="shared" si="104"/>
        <v>D Chinchilla|20260902|Data Processing|0.250|Deleted notes, comment, requirement, etc. from history of title, lease analysis, and runsheets
 15 folders processed.</v>
      </c>
      <c r="AI517" s="108">
        <f t="shared" si="105"/>
        <v>0</v>
      </c>
      <c r="AJ517" s="108">
        <f t="shared" si="106"/>
        <v>0</v>
      </c>
      <c r="AK517" s="108">
        <f>IF($A517="",0,IF(AND($S517=1,$W517=1,$X517=1,$U517&gt;Config!$C$9),1,0))</f>
        <v>0</v>
      </c>
      <c r="AL517" s="108">
        <f t="shared" si="107"/>
        <v>0</v>
      </c>
    </row>
    <row r="518" spans="1:38" x14ac:dyDescent="0.25">
      <c r="A518" s="106" t="s">
        <v>487</v>
      </c>
      <c r="B518" s="106" t="s">
        <v>618</v>
      </c>
      <c r="C518" s="107">
        <v>46267</v>
      </c>
      <c r="D518" s="106" t="s">
        <v>712</v>
      </c>
      <c r="E518" s="106" t="s">
        <v>713</v>
      </c>
      <c r="F518" s="106" t="s">
        <v>714</v>
      </c>
      <c r="G518" s="106" t="s">
        <v>800</v>
      </c>
      <c r="H518" s="106" t="s">
        <v>631</v>
      </c>
      <c r="I518" s="106"/>
      <c r="J518" s="106" t="s">
        <v>801</v>
      </c>
      <c r="K518" s="106">
        <v>1</v>
      </c>
      <c r="L518" s="106">
        <v>0</v>
      </c>
      <c r="M518" s="106">
        <v>0</v>
      </c>
      <c r="N518" s="106"/>
      <c r="O518" s="106"/>
      <c r="P518" s="106">
        <v>0</v>
      </c>
      <c r="Q518" s="106" t="s">
        <v>1316</v>
      </c>
      <c r="S518" s="108">
        <f>IF($A518="","",COUNTIF(BPOworkers!$B$6:$B$105,$A518))</f>
        <v>1</v>
      </c>
      <c r="T518" s="109">
        <f>IF($A518="","",$K518*Config!$C$9)</f>
        <v>8</v>
      </c>
      <c r="U518" s="109">
        <f>IF($A518="","",IF(COUNTIF(Config!$C$21:$C$23,$H518)&gt;0,IFERROR(VALUE(LEFT(TRIM($Q518),FIND(" ",TRIM($Q518)&amp;" ")-1)),0),0))</f>
        <v>0</v>
      </c>
      <c r="V518" s="109">
        <f t="shared" si="96"/>
        <v>8</v>
      </c>
      <c r="W518" s="108">
        <f>IF($A518="",0,IF(AND($C518&gt;=Config!$C$7,$C518&lt;=Config!$C$8),1,0))</f>
        <v>1</v>
      </c>
      <c r="X518" s="108">
        <f>IF($A518="",0,IF(COUNTIF(Config!$C$21:$C$23,$H518)&gt;0,1,0))</f>
        <v>0</v>
      </c>
      <c r="Y518" s="108">
        <f t="shared" si="97"/>
        <v>10</v>
      </c>
      <c r="Z518" s="108" t="str">
        <f t="shared" si="98"/>
        <v/>
      </c>
      <c r="AB518" s="108">
        <f t="shared" si="99"/>
        <v>0</v>
      </c>
      <c r="AC518" s="108">
        <f>IF($A518="",0,IF(AND($AB518=1,COUNTIF($A$2:$A518,$A518)=1),1,0))</f>
        <v>0</v>
      </c>
      <c r="AD518" s="108">
        <f t="shared" si="100"/>
        <v>1</v>
      </c>
      <c r="AE518" s="108" t="str">
        <f t="shared" si="101"/>
        <v/>
      </c>
      <c r="AF518" s="108">
        <f t="shared" si="102"/>
        <v>0</v>
      </c>
      <c r="AG518" s="108">
        <f t="shared" si="103"/>
        <v>0</v>
      </c>
      <c r="AH518" s="110" t="str">
        <f t="shared" si="104"/>
        <v>A Guerra|20260902|Title|1.000|Indexing the chain of title back to patent to investigate and resolve a discrepancy in the reported interest.</v>
      </c>
      <c r="AI518" s="108">
        <f t="shared" si="105"/>
        <v>0</v>
      </c>
      <c r="AJ518" s="108">
        <f t="shared" si="106"/>
        <v>0</v>
      </c>
      <c r="AK518" s="108">
        <f>IF($A518="",0,IF(AND($S518=1,$W518=1,$X518=1,$U518&gt;Config!$C$9),1,0))</f>
        <v>0</v>
      </c>
      <c r="AL518" s="108">
        <f t="shared" si="107"/>
        <v>0</v>
      </c>
    </row>
    <row r="519" spans="1:38" x14ac:dyDescent="0.25">
      <c r="A519" s="106" t="s">
        <v>489</v>
      </c>
      <c r="B519" s="106" t="s">
        <v>618</v>
      </c>
      <c r="C519" s="107">
        <v>46267</v>
      </c>
      <c r="D519" s="106" t="s">
        <v>628</v>
      </c>
      <c r="E519" s="106" t="s">
        <v>793</v>
      </c>
      <c r="F519" s="106" t="s">
        <v>670</v>
      </c>
      <c r="G519" s="106" t="s">
        <v>1258</v>
      </c>
      <c r="H519" s="106" t="s">
        <v>702</v>
      </c>
      <c r="I519" s="106"/>
      <c r="J519" s="106" t="s">
        <v>1317</v>
      </c>
      <c r="K519" s="106">
        <v>0.5</v>
      </c>
      <c r="L519" s="106">
        <v>0</v>
      </c>
      <c r="M519" s="106">
        <v>0</v>
      </c>
      <c r="N519" s="106"/>
      <c r="O519" s="106"/>
      <c r="P519" s="106">
        <v>0</v>
      </c>
      <c r="Q519" s="106" t="s">
        <v>1318</v>
      </c>
      <c r="S519" s="108">
        <f>IF($A519="","",COUNTIF(BPOworkers!$B$6:$B$105,$A519))</f>
        <v>1</v>
      </c>
      <c r="T519" s="109">
        <f>IF($A519="","",$K519*Config!$C$9)</f>
        <v>4</v>
      </c>
      <c r="U519" s="109">
        <f>IF($A519="","",IF(COUNTIF(Config!$C$21:$C$23,$H519)&gt;0,IFERROR(VALUE(LEFT(TRIM($Q519),FIND(" ",TRIM($Q519)&amp;" ")-1)),0),0))</f>
        <v>0</v>
      </c>
      <c r="V519" s="109">
        <f t="shared" si="96"/>
        <v>4</v>
      </c>
      <c r="W519" s="108">
        <f>IF($A519="",0,IF(AND($C519&gt;=Config!$C$7,$C519&lt;=Config!$C$8),1,0))</f>
        <v>1</v>
      </c>
      <c r="X519" s="108">
        <f>IF($A519="",0,IF(COUNTIF(Config!$C$21:$C$23,$H519)&gt;0,1,0))</f>
        <v>0</v>
      </c>
      <c r="Y519" s="108">
        <f t="shared" si="97"/>
        <v>10</v>
      </c>
      <c r="Z519" s="108" t="str">
        <f t="shared" si="98"/>
        <v/>
      </c>
      <c r="AB519" s="108">
        <f t="shared" si="99"/>
        <v>0</v>
      </c>
      <c r="AC519" s="108">
        <f>IF($A519="",0,IF(AND($AB519=1,COUNTIF($A$2:$A519,$A519)=1),1,0))</f>
        <v>0</v>
      </c>
      <c r="AD519" s="108">
        <f t="shared" si="100"/>
        <v>1</v>
      </c>
      <c r="AE519" s="108" t="str">
        <f t="shared" si="101"/>
        <v/>
      </c>
      <c r="AF519" s="108">
        <f t="shared" si="102"/>
        <v>0</v>
      </c>
      <c r="AG519" s="108">
        <f t="shared" si="103"/>
        <v>0</v>
      </c>
      <c r="AH519" s="110" t="str">
        <f t="shared" si="104"/>
        <v>G Pereira|20260902|Data Processing|0.500|Importing Runsheet's into AOI's</v>
      </c>
      <c r="AI519" s="108">
        <f t="shared" si="105"/>
        <v>0</v>
      </c>
      <c r="AJ519" s="108">
        <f t="shared" si="106"/>
        <v>0</v>
      </c>
      <c r="AK519" s="108">
        <f>IF($A519="",0,IF(AND($S519=1,$W519=1,$X519=1,$U519&gt;Config!$C$9),1,0))</f>
        <v>0</v>
      </c>
      <c r="AL519" s="108">
        <f t="shared" si="107"/>
        <v>0</v>
      </c>
    </row>
    <row r="520" spans="1:38" ht="144.75" x14ac:dyDescent="0.25">
      <c r="A520" s="106" t="s">
        <v>489</v>
      </c>
      <c r="B520" s="106" t="s">
        <v>618</v>
      </c>
      <c r="C520" s="107">
        <v>46267</v>
      </c>
      <c r="D520" s="106" t="s">
        <v>712</v>
      </c>
      <c r="E520" s="106" t="s">
        <v>713</v>
      </c>
      <c r="F520" s="106" t="s">
        <v>714</v>
      </c>
      <c r="G520" s="106" t="s">
        <v>715</v>
      </c>
      <c r="H520" s="106" t="s">
        <v>631</v>
      </c>
      <c r="I520" s="106"/>
      <c r="J520" s="106" t="s">
        <v>1319</v>
      </c>
      <c r="K520" s="106">
        <v>0.5</v>
      </c>
      <c r="L520" s="106">
        <v>0</v>
      </c>
      <c r="M520" s="106">
        <v>0</v>
      </c>
      <c r="N520" s="106"/>
      <c r="O520" s="106"/>
      <c r="P520" s="106">
        <v>0</v>
      </c>
      <c r="Q520" s="111" t="s">
        <v>1320</v>
      </c>
      <c r="S520" s="108">
        <f>IF($A520="","",COUNTIF(BPOworkers!$B$6:$B$105,$A520))</f>
        <v>1</v>
      </c>
      <c r="T520" s="109">
        <f>IF($A520="","",$K520*Config!$C$9)</f>
        <v>4</v>
      </c>
      <c r="U520" s="109">
        <f>IF($A520="","",IF(COUNTIF(Config!$C$21:$C$23,$H520)&gt;0,IFERROR(VALUE(LEFT(TRIM($Q520),FIND(" ",TRIM($Q520)&amp;" ")-1)),0),0))</f>
        <v>0</v>
      </c>
      <c r="V520" s="109">
        <f t="shared" si="96"/>
        <v>4</v>
      </c>
      <c r="W520" s="108">
        <f>IF($A520="",0,IF(AND($C520&gt;=Config!$C$7,$C520&lt;=Config!$C$8),1,0))</f>
        <v>1</v>
      </c>
      <c r="X520" s="108">
        <f>IF($A520="",0,IF(COUNTIF(Config!$C$21:$C$23,$H520)&gt;0,1,0))</f>
        <v>0</v>
      </c>
      <c r="Y520" s="108">
        <f t="shared" si="97"/>
        <v>10</v>
      </c>
      <c r="Z520" s="108" t="str">
        <f t="shared" si="98"/>
        <v/>
      </c>
      <c r="AB520" s="108">
        <f t="shared" si="99"/>
        <v>0</v>
      </c>
      <c r="AC520" s="108">
        <f>IF($A520="",0,IF(AND($AB520=1,COUNTIF($A$2:$A520,$A520)=1),1,0))</f>
        <v>0</v>
      </c>
      <c r="AD520" s="108">
        <f t="shared" si="100"/>
        <v>1</v>
      </c>
      <c r="AE520" s="108" t="str">
        <f t="shared" si="101"/>
        <v/>
      </c>
      <c r="AF520" s="108">
        <f t="shared" si="102"/>
        <v>0</v>
      </c>
      <c r="AG520" s="108">
        <f t="shared" si="103"/>
        <v>0</v>
      </c>
      <c r="AH520" s="112" t="str">
        <f t="shared" si="104"/>
        <v>G Pereira|20260902|Title|0.500|SIV Verification
 Assignment Completed, well production report + gaps in the chain + LMS</v>
      </c>
      <c r="AI520" s="108">
        <f t="shared" si="105"/>
        <v>0</v>
      </c>
      <c r="AJ520" s="108">
        <f t="shared" si="106"/>
        <v>0</v>
      </c>
      <c r="AK520" s="108">
        <f>IF($A520="",0,IF(AND($S520=1,$W520=1,$X520=1,$U520&gt;Config!$C$9),1,0))</f>
        <v>0</v>
      </c>
      <c r="AL520" s="108">
        <f t="shared" si="107"/>
        <v>0</v>
      </c>
    </row>
    <row r="521" spans="1:38" x14ac:dyDescent="0.25">
      <c r="A521" s="106" t="s">
        <v>501</v>
      </c>
      <c r="B521" s="106" t="s">
        <v>618</v>
      </c>
      <c r="C521" s="107">
        <v>46267</v>
      </c>
      <c r="D521" s="106" t="s">
        <v>680</v>
      </c>
      <c r="E521" s="106" t="s">
        <v>681</v>
      </c>
      <c r="F521" s="106" t="s">
        <v>745</v>
      </c>
      <c r="G521" s="106" t="s">
        <v>804</v>
      </c>
      <c r="H521" s="106" t="s">
        <v>631</v>
      </c>
      <c r="I521" s="106"/>
      <c r="J521" s="106"/>
      <c r="K521" s="106">
        <v>1</v>
      </c>
      <c r="L521" s="106">
        <v>0</v>
      </c>
      <c r="M521" s="106">
        <v>0</v>
      </c>
      <c r="N521" s="106"/>
      <c r="O521" s="106"/>
      <c r="P521" s="106">
        <v>0</v>
      </c>
      <c r="Q521" s="106" t="s">
        <v>1180</v>
      </c>
      <c r="S521" s="108">
        <f>IF($A521="","",COUNTIF(BPOworkers!$B$6:$B$105,$A521))</f>
        <v>1</v>
      </c>
      <c r="T521" s="109">
        <f>IF($A521="","",$K521*Config!$C$9)</f>
        <v>8</v>
      </c>
      <c r="U521" s="109">
        <f>IF($A521="","",IF(COUNTIF(Config!$C$21:$C$23,$H521)&gt;0,IFERROR(VALUE(LEFT(TRIM($Q521),FIND(" ",TRIM($Q521)&amp;" ")-1)),0),0))</f>
        <v>0</v>
      </c>
      <c r="V521" s="109">
        <f t="shared" si="96"/>
        <v>8</v>
      </c>
      <c r="W521" s="108">
        <f>IF($A521="",0,IF(AND($C521&gt;=Config!$C$7,$C521&lt;=Config!$C$8),1,0))</f>
        <v>1</v>
      </c>
      <c r="X521" s="108">
        <f>IF($A521="",0,IF(COUNTIF(Config!$C$21:$C$23,$H521)&gt;0,1,0))</f>
        <v>0</v>
      </c>
      <c r="Y521" s="108">
        <f t="shared" si="97"/>
        <v>10</v>
      </c>
      <c r="Z521" s="108" t="str">
        <f t="shared" si="98"/>
        <v/>
      </c>
      <c r="AB521" s="108">
        <f t="shared" si="99"/>
        <v>0</v>
      </c>
      <c r="AC521" s="108">
        <f>IF($A521="",0,IF(AND($AB521=1,COUNTIF($A$2:$A521,$A521)=1),1,0))</f>
        <v>0</v>
      </c>
      <c r="AD521" s="108">
        <f t="shared" si="100"/>
        <v>1</v>
      </c>
      <c r="AE521" s="108" t="str">
        <f t="shared" si="101"/>
        <v/>
      </c>
      <c r="AF521" s="108">
        <f t="shared" si="102"/>
        <v>0</v>
      </c>
      <c r="AG521" s="108">
        <f t="shared" si="103"/>
        <v>0</v>
      </c>
      <c r="AH521" s="110" t="str">
        <f t="shared" si="104"/>
        <v>O Moreno|20260902|Title|1.000|SIV patent to present.</v>
      </c>
      <c r="AI521" s="108">
        <f t="shared" si="105"/>
        <v>0</v>
      </c>
      <c r="AJ521" s="108">
        <f t="shared" si="106"/>
        <v>0</v>
      </c>
      <c r="AK521" s="108">
        <f>IF($A521="",0,IF(AND($S521=1,$W521=1,$X521=1,$U521&gt;Config!$C$9),1,0))</f>
        <v>0</v>
      </c>
      <c r="AL521" s="108">
        <f t="shared" si="107"/>
        <v>0</v>
      </c>
    </row>
    <row r="522" spans="1:38" x14ac:dyDescent="0.25">
      <c r="A522" s="106" t="s">
        <v>502</v>
      </c>
      <c r="B522" s="106" t="s">
        <v>618</v>
      </c>
      <c r="C522" s="107">
        <v>46267</v>
      </c>
      <c r="D522" s="106" t="s">
        <v>694</v>
      </c>
      <c r="E522" s="106" t="s">
        <v>765</v>
      </c>
      <c r="F522" s="106" t="s">
        <v>766</v>
      </c>
      <c r="G522" s="106" t="s">
        <v>1031</v>
      </c>
      <c r="H522" s="106" t="s">
        <v>765</v>
      </c>
      <c r="I522" s="106"/>
      <c r="J522" s="106" t="s">
        <v>807</v>
      </c>
      <c r="K522" s="106">
        <v>1</v>
      </c>
      <c r="L522" s="106">
        <v>0</v>
      </c>
      <c r="M522" s="106">
        <v>0</v>
      </c>
      <c r="N522" s="106"/>
      <c r="O522" s="106"/>
      <c r="P522" s="106">
        <v>0</v>
      </c>
      <c r="Q522" s="106" t="s">
        <v>808</v>
      </c>
      <c r="S522" s="108">
        <f>IF($A522="","",COUNTIF(BPOworkers!$B$6:$B$105,$A522))</f>
        <v>1</v>
      </c>
      <c r="T522" s="109">
        <f>IF($A522="","",$K522*Config!$C$9)</f>
        <v>8</v>
      </c>
      <c r="U522" s="109">
        <f>IF($A522="","",IF(COUNTIF(Config!$C$21:$C$23,$H522)&gt;0,IFERROR(VALUE(LEFT(TRIM($Q522),FIND(" ",TRIM($Q522)&amp;" ")-1)),0),0))</f>
        <v>0</v>
      </c>
      <c r="V522" s="109">
        <f t="shared" si="96"/>
        <v>8</v>
      </c>
      <c r="W522" s="108">
        <f>IF($A522="",0,IF(AND($C522&gt;=Config!$C$7,$C522&lt;=Config!$C$8),1,0))</f>
        <v>1</v>
      </c>
      <c r="X522" s="108">
        <f>IF($A522="",0,IF(COUNTIF(Config!$C$21:$C$23,$H522)&gt;0,1,0))</f>
        <v>0</v>
      </c>
      <c r="Y522" s="108">
        <f t="shared" si="97"/>
        <v>10</v>
      </c>
      <c r="Z522" s="108" t="str">
        <f t="shared" si="98"/>
        <v/>
      </c>
      <c r="AB522" s="108">
        <f t="shared" si="99"/>
        <v>0</v>
      </c>
      <c r="AC522" s="108">
        <f>IF($A522="",0,IF(AND($AB522=1,COUNTIF($A$2:$A522,$A522)=1),1,0))</f>
        <v>0</v>
      </c>
      <c r="AD522" s="108">
        <f t="shared" si="100"/>
        <v>1</v>
      </c>
      <c r="AE522" s="108" t="str">
        <f t="shared" si="101"/>
        <v/>
      </c>
      <c r="AF522" s="108">
        <f t="shared" si="102"/>
        <v>0</v>
      </c>
      <c r="AG522" s="108">
        <f t="shared" si="103"/>
        <v>0</v>
      </c>
      <c r="AH522" s="110" t="str">
        <f t="shared" si="104"/>
        <v>S Calderon|20260902|Lease Bringdown|1.000|Added last leases and ran title forward to present.</v>
      </c>
      <c r="AI522" s="108">
        <f t="shared" si="105"/>
        <v>0</v>
      </c>
      <c r="AJ522" s="108">
        <f t="shared" si="106"/>
        <v>0</v>
      </c>
      <c r="AK522" s="108">
        <f>IF($A522="",0,IF(AND($S522=1,$W522=1,$X522=1,$U522&gt;Config!$C$9),1,0))</f>
        <v>0</v>
      </c>
      <c r="AL522" s="108">
        <f t="shared" si="107"/>
        <v>0</v>
      </c>
    </row>
    <row r="523" spans="1:38" x14ac:dyDescent="0.25">
      <c r="A523" s="106" t="s">
        <v>1032</v>
      </c>
      <c r="B523" s="106" t="s">
        <v>618</v>
      </c>
      <c r="C523" s="107">
        <v>46267</v>
      </c>
      <c r="D523" s="106" t="s">
        <v>643</v>
      </c>
      <c r="E523" s="106" t="s">
        <v>644</v>
      </c>
      <c r="F523" s="106" t="s">
        <v>645</v>
      </c>
      <c r="G523" s="106" t="s">
        <v>646</v>
      </c>
      <c r="H523" s="106" t="s">
        <v>631</v>
      </c>
      <c r="I523" s="106"/>
      <c r="J523" s="106" t="s">
        <v>1033</v>
      </c>
      <c r="K523" s="106">
        <v>1</v>
      </c>
      <c r="L523" s="106">
        <v>0</v>
      </c>
      <c r="M523" s="106">
        <v>0</v>
      </c>
      <c r="N523" s="106"/>
      <c r="O523" s="106"/>
      <c r="P523" s="106">
        <v>0</v>
      </c>
      <c r="Q523" s="106" t="s">
        <v>1321</v>
      </c>
      <c r="S523" s="108">
        <f>IF($A523="","",COUNTIF(BPOworkers!$B$6:$B$105,$A523))</f>
        <v>0</v>
      </c>
      <c r="T523" s="109">
        <f>IF($A523="","",$K523*Config!$C$9)</f>
        <v>8</v>
      </c>
      <c r="U523" s="109">
        <f>IF($A523="","",IF(COUNTIF(Config!$C$21:$C$23,$H523)&gt;0,IFERROR(VALUE(LEFT(TRIM($Q523),FIND(" ",TRIM($Q523)&amp;" ")-1)),0),0))</f>
        <v>0</v>
      </c>
      <c r="V523" s="109">
        <f t="shared" si="96"/>
        <v>8</v>
      </c>
      <c r="W523" s="108">
        <f>IF($A523="",0,IF(AND($C523&gt;=Config!$C$7,$C523&lt;=Config!$C$8),1,0))</f>
        <v>1</v>
      </c>
      <c r="X523" s="108">
        <f>IF($A523="",0,IF(COUNTIF(Config!$C$21:$C$23,$H523)&gt;0,1,0))</f>
        <v>0</v>
      </c>
      <c r="Y523" s="108">
        <f t="shared" si="97"/>
        <v>10</v>
      </c>
      <c r="Z523" s="108" t="str">
        <f t="shared" si="98"/>
        <v/>
      </c>
      <c r="AB523" s="108">
        <f t="shared" si="99"/>
        <v>0</v>
      </c>
      <c r="AC523" s="108">
        <f>IF($A523="",0,IF(AND($AB523=1,COUNTIF($A$2:$A523,$A523)=1),1,0))</f>
        <v>0</v>
      </c>
      <c r="AD523" s="108">
        <f t="shared" si="100"/>
        <v>1</v>
      </c>
      <c r="AE523" s="108" t="str">
        <f t="shared" si="101"/>
        <v/>
      </c>
      <c r="AF523" s="108">
        <f t="shared" si="102"/>
        <v>0</v>
      </c>
      <c r="AG523" s="108">
        <f t="shared" si="103"/>
        <v>0</v>
      </c>
      <c r="AH523" s="110" t="str">
        <f t="shared" si="104"/>
        <v>R. Llanes|20260902|Title|1.000|Continued work on Sec 19, EOG Pilot. 55 notecards completed, reviewed, or deleted.</v>
      </c>
      <c r="AI523" s="108">
        <f t="shared" si="105"/>
        <v>0</v>
      </c>
      <c r="AJ523" s="108">
        <f t="shared" si="106"/>
        <v>0</v>
      </c>
      <c r="AK523" s="108">
        <f>IF($A523="",0,IF(AND($S523=1,$W523=1,$X523=1,$U523&gt;Config!$C$9),1,0))</f>
        <v>0</v>
      </c>
      <c r="AL523" s="108">
        <f t="shared" si="107"/>
        <v>0</v>
      </c>
    </row>
    <row r="524" spans="1:38" x14ac:dyDescent="0.25">
      <c r="A524" s="106" t="s">
        <v>810</v>
      </c>
      <c r="B524" s="106" t="s">
        <v>618</v>
      </c>
      <c r="C524" s="107">
        <v>46267</v>
      </c>
      <c r="D524" s="106" t="s">
        <v>694</v>
      </c>
      <c r="E524" s="106" t="s">
        <v>862</v>
      </c>
      <c r="F524" s="106" t="s">
        <v>766</v>
      </c>
      <c r="G524" s="106" t="s">
        <v>1322</v>
      </c>
      <c r="H524" s="106" t="s">
        <v>781</v>
      </c>
      <c r="I524" s="106"/>
      <c r="J524" s="106"/>
      <c r="K524" s="106">
        <v>1</v>
      </c>
      <c r="L524" s="106">
        <v>0</v>
      </c>
      <c r="M524" s="106">
        <v>0</v>
      </c>
      <c r="N524" s="106"/>
      <c r="O524" s="106"/>
      <c r="P524" s="106">
        <v>0</v>
      </c>
      <c r="Q524" s="106" t="s">
        <v>1323</v>
      </c>
      <c r="S524" s="108">
        <f>IF($A524="","",COUNTIF(BPOworkers!$B$6:$B$105,$A524))</f>
        <v>0</v>
      </c>
      <c r="T524" s="109">
        <f>IF($A524="","",$K524*Config!$C$9)</f>
        <v>8</v>
      </c>
      <c r="U524" s="109">
        <f>IF($A524="","",IF(COUNTIF(Config!$C$21:$C$23,$H524)&gt;0,IFERROR(VALUE(LEFT(TRIM($Q524),FIND(" ",TRIM($Q524)&amp;" ")-1)),0),0))</f>
        <v>0</v>
      </c>
      <c r="V524" s="109">
        <f t="shared" si="96"/>
        <v>8</v>
      </c>
      <c r="W524" s="108">
        <f>IF($A524="",0,IF(AND($C524&gt;=Config!$C$7,$C524&lt;=Config!$C$8),1,0))</f>
        <v>1</v>
      </c>
      <c r="X524" s="108">
        <f>IF($A524="",0,IF(COUNTIF(Config!$C$21:$C$23,$H524)&gt;0,1,0))</f>
        <v>0</v>
      </c>
      <c r="Y524" s="108">
        <f t="shared" si="97"/>
        <v>10</v>
      </c>
      <c r="Z524" s="108" t="str">
        <f t="shared" si="98"/>
        <v/>
      </c>
      <c r="AB524" s="108">
        <f t="shared" si="99"/>
        <v>0</v>
      </c>
      <c r="AC524" s="108">
        <f>IF($A524="",0,IF(AND($AB524=1,COUNTIF($A$2:$A524,$A524)=1),1,0))</f>
        <v>0</v>
      </c>
      <c r="AD524" s="108">
        <f t="shared" si="100"/>
        <v>1</v>
      </c>
      <c r="AE524" s="108" t="str">
        <f t="shared" si="101"/>
        <v/>
      </c>
      <c r="AF524" s="108">
        <f t="shared" si="102"/>
        <v>0</v>
      </c>
      <c r="AG524" s="108">
        <f t="shared" si="103"/>
        <v>0</v>
      </c>
      <c r="AH524" s="110" t="str">
        <f t="shared" si="104"/>
        <v>T. Allerman|20260902|Single Interest Verification|1.000|Pulled index and documents to create chain of title for 29-4S-4W.</v>
      </c>
      <c r="AI524" s="108">
        <f t="shared" si="105"/>
        <v>0</v>
      </c>
      <c r="AJ524" s="108">
        <f t="shared" si="106"/>
        <v>0</v>
      </c>
      <c r="AK524" s="108">
        <f>IF($A524="",0,IF(AND($S524=1,$W524=1,$X524=1,$U524&gt;Config!$C$9),1,0))</f>
        <v>0</v>
      </c>
      <c r="AL524" s="108">
        <f t="shared" si="107"/>
        <v>0</v>
      </c>
    </row>
    <row r="525" spans="1:38" x14ac:dyDescent="0.25">
      <c r="A525" s="106" t="s">
        <v>813</v>
      </c>
      <c r="B525" s="106" t="s">
        <v>618</v>
      </c>
      <c r="C525" s="107">
        <v>46267</v>
      </c>
      <c r="D525" s="106" t="s">
        <v>694</v>
      </c>
      <c r="E525" s="106" t="s">
        <v>765</v>
      </c>
      <c r="F525" s="106" t="s">
        <v>696</v>
      </c>
      <c r="G525" s="106" t="s">
        <v>1182</v>
      </c>
      <c r="H525" s="106" t="s">
        <v>765</v>
      </c>
      <c r="I525" s="106"/>
      <c r="J525" s="106"/>
      <c r="K525" s="106">
        <v>1</v>
      </c>
      <c r="L525" s="106">
        <v>0</v>
      </c>
      <c r="M525" s="106">
        <v>0</v>
      </c>
      <c r="N525" s="106"/>
      <c r="O525" s="106"/>
      <c r="P525" s="106">
        <v>0</v>
      </c>
      <c r="Q525" s="106" t="s">
        <v>1324</v>
      </c>
      <c r="S525" s="108">
        <f>IF($A525="","",COUNTIF(BPOworkers!$B$6:$B$105,$A525))</f>
        <v>0</v>
      </c>
      <c r="T525" s="109">
        <f>IF($A525="","",$K525*Config!$C$9)</f>
        <v>8</v>
      </c>
      <c r="U525" s="109">
        <f>IF($A525="","",IF(COUNTIF(Config!$C$21:$C$23,$H525)&gt;0,IFERROR(VALUE(LEFT(TRIM($Q525),FIND(" ",TRIM($Q525)&amp;" ")-1)),0),0))</f>
        <v>0</v>
      </c>
      <c r="V525" s="109">
        <f t="shared" si="96"/>
        <v>8</v>
      </c>
      <c r="W525" s="108">
        <f>IF($A525="",0,IF(AND($C525&gt;=Config!$C$7,$C525&lt;=Config!$C$8),1,0))</f>
        <v>1</v>
      </c>
      <c r="X525" s="108">
        <f>IF($A525="",0,IF(COUNTIF(Config!$C$21:$C$23,$H525)&gt;0,1,0))</f>
        <v>0</v>
      </c>
      <c r="Y525" s="108">
        <f t="shared" si="97"/>
        <v>10</v>
      </c>
      <c r="Z525" s="108" t="str">
        <f t="shared" si="98"/>
        <v/>
      </c>
      <c r="AB525" s="108">
        <f t="shared" si="99"/>
        <v>0</v>
      </c>
      <c r="AC525" s="108">
        <f>IF($A525="",0,IF(AND($AB525=1,COUNTIF($A$2:$A525,$A525)=1),1,0))</f>
        <v>0</v>
      </c>
      <c r="AD525" s="108">
        <f t="shared" si="100"/>
        <v>1</v>
      </c>
      <c r="AE525" s="108" t="str">
        <f t="shared" si="101"/>
        <v/>
      </c>
      <c r="AF525" s="108">
        <f t="shared" si="102"/>
        <v>0</v>
      </c>
      <c r="AG525" s="108">
        <f t="shared" si="103"/>
        <v>0</v>
      </c>
      <c r="AH525" s="110" t="str">
        <f t="shared" si="104"/>
        <v>A. Dycus|20260902|Lease Bringdown|1.000|Filled out notecards for source leases, began indexing mineral interest, GIS</v>
      </c>
      <c r="AI525" s="108">
        <f t="shared" si="105"/>
        <v>0</v>
      </c>
      <c r="AJ525" s="108">
        <f t="shared" si="106"/>
        <v>0</v>
      </c>
      <c r="AK525" s="108">
        <f>IF($A525="",0,IF(AND($S525=1,$W525=1,$X525=1,$U525&gt;Config!$C$9),1,0))</f>
        <v>0</v>
      </c>
      <c r="AL525" s="108">
        <f t="shared" si="107"/>
        <v>0</v>
      </c>
    </row>
    <row r="526" spans="1:38" x14ac:dyDescent="0.25">
      <c r="A526" s="106" t="s">
        <v>1038</v>
      </c>
      <c r="B526" s="106" t="s">
        <v>618</v>
      </c>
      <c r="C526" s="107">
        <v>46267</v>
      </c>
      <c r="D526" s="106" t="s">
        <v>529</v>
      </c>
      <c r="E526" s="106" t="s">
        <v>529</v>
      </c>
      <c r="F526" s="106" t="s">
        <v>615</v>
      </c>
      <c r="G526" s="106"/>
      <c r="H526" s="106" t="s">
        <v>529</v>
      </c>
      <c r="I526" s="106"/>
      <c r="J526" s="106"/>
      <c r="K526" s="106">
        <v>0</v>
      </c>
      <c r="L526" s="106">
        <v>0</v>
      </c>
      <c r="M526" s="106">
        <v>0</v>
      </c>
      <c r="N526" s="106"/>
      <c r="O526" s="106"/>
      <c r="P526" s="106">
        <v>0</v>
      </c>
      <c r="Q526" s="106" t="s">
        <v>649</v>
      </c>
      <c r="S526" s="108">
        <f>IF($A526="","",COUNTIF(BPOworkers!$B$6:$B$105,$A526))</f>
        <v>0</v>
      </c>
      <c r="T526" s="109">
        <f>IF($A526="","",$K526*Config!$C$9)</f>
        <v>0</v>
      </c>
      <c r="U526" s="109">
        <f>IF($A526="","",IF(COUNTIF(Config!$C$21:$C$23,$H526)&gt;0,IFERROR(VALUE(LEFT(TRIM($Q526),FIND(" ",TRIM($Q526)&amp;" ")-1)),0),0))</f>
        <v>8</v>
      </c>
      <c r="V526" s="109">
        <f t="shared" si="96"/>
        <v>8</v>
      </c>
      <c r="W526" s="108">
        <f>IF($A526="",0,IF(AND($C526&gt;=Config!$C$7,$C526&lt;=Config!$C$8),1,0))</f>
        <v>1</v>
      </c>
      <c r="X526" s="108">
        <f>IF($A526="",0,IF(COUNTIF(Config!$C$21:$C$23,$H526)&gt;0,1,0))</f>
        <v>1</v>
      </c>
      <c r="Y526" s="108">
        <f t="shared" si="97"/>
        <v>10</v>
      </c>
      <c r="Z526" s="108" t="str">
        <f t="shared" si="98"/>
        <v/>
      </c>
      <c r="AB526" s="108">
        <f t="shared" si="99"/>
        <v>0</v>
      </c>
      <c r="AC526" s="108">
        <f>IF($A526="",0,IF(AND($AB526=1,COUNTIF($A$2:$A526,$A526)=1),1,0))</f>
        <v>0</v>
      </c>
      <c r="AD526" s="108">
        <f t="shared" si="100"/>
        <v>1</v>
      </c>
      <c r="AE526" s="108" t="str">
        <f t="shared" si="101"/>
        <v/>
      </c>
      <c r="AF526" s="108">
        <f t="shared" si="102"/>
        <v>0</v>
      </c>
      <c r="AG526" s="108">
        <f t="shared" si="103"/>
        <v>0</v>
      </c>
      <c r="AH526" s="110" t="str">
        <f t="shared" si="104"/>
        <v>D. Beeson|20260902|Time Off|0.000|8 hours unpaid</v>
      </c>
      <c r="AI526" s="108">
        <f t="shared" si="105"/>
        <v>0</v>
      </c>
      <c r="AJ526" s="108">
        <f t="shared" si="106"/>
        <v>0</v>
      </c>
      <c r="AK526" s="108">
        <f>IF($A526="",0,IF(AND($S526=1,$W526=1,$X526=1,$U526&gt;Config!$C$9),1,0))</f>
        <v>0</v>
      </c>
      <c r="AL526" s="108">
        <f t="shared" si="107"/>
        <v>0</v>
      </c>
    </row>
    <row r="527" spans="1:38" x14ac:dyDescent="0.25">
      <c r="A527" s="106" t="s">
        <v>1038</v>
      </c>
      <c r="B527" s="106" t="s">
        <v>618</v>
      </c>
      <c r="C527" s="107">
        <v>46267</v>
      </c>
      <c r="D527" s="106" t="s">
        <v>712</v>
      </c>
      <c r="E527" s="106" t="s">
        <v>713</v>
      </c>
      <c r="F527" s="106" t="s">
        <v>714</v>
      </c>
      <c r="G527" s="106" t="s">
        <v>1325</v>
      </c>
      <c r="H527" s="106" t="s">
        <v>631</v>
      </c>
      <c r="I527" s="106"/>
      <c r="J527" s="106"/>
      <c r="K527" s="106">
        <v>0.5</v>
      </c>
      <c r="L527" s="106">
        <v>0</v>
      </c>
      <c r="M527" s="106">
        <v>0</v>
      </c>
      <c r="N527" s="106"/>
      <c r="O527" s="106"/>
      <c r="P527" s="106">
        <v>0</v>
      </c>
      <c r="Q527" s="106"/>
      <c r="S527" s="108">
        <f>IF($A527="","",COUNTIF(BPOworkers!$B$6:$B$105,$A527))</f>
        <v>0</v>
      </c>
      <c r="T527" s="109">
        <f>IF($A527="","",$K527*Config!$C$9)</f>
        <v>4</v>
      </c>
      <c r="U527" s="109">
        <f>IF($A527="","",IF(COUNTIF(Config!$C$21:$C$23,$H527)&gt;0,IFERROR(VALUE(LEFT(TRIM($Q527),FIND(" ",TRIM($Q527)&amp;" ")-1)),0),0))</f>
        <v>0</v>
      </c>
      <c r="V527" s="109">
        <f t="shared" si="96"/>
        <v>4</v>
      </c>
      <c r="W527" s="108">
        <f>IF($A527="",0,IF(AND($C527&gt;=Config!$C$7,$C527&lt;=Config!$C$8),1,0))</f>
        <v>1</v>
      </c>
      <c r="X527" s="108">
        <f>IF($A527="",0,IF(COUNTIF(Config!$C$21:$C$23,$H527)&gt;0,1,0))</f>
        <v>0</v>
      </c>
      <c r="Y527" s="108">
        <f t="shared" si="97"/>
        <v>10</v>
      </c>
      <c r="Z527" s="108" t="str">
        <f t="shared" si="98"/>
        <v/>
      </c>
      <c r="AB527" s="108">
        <f t="shared" si="99"/>
        <v>0</v>
      </c>
      <c r="AC527" s="108">
        <f>IF($A527="",0,IF(AND($AB527=1,COUNTIF($A$2:$A527,$A527)=1),1,0))</f>
        <v>0</v>
      </c>
      <c r="AD527" s="108">
        <f t="shared" si="100"/>
        <v>1</v>
      </c>
      <c r="AE527" s="108" t="str">
        <f t="shared" si="101"/>
        <v/>
      </c>
      <c r="AF527" s="108">
        <f t="shared" si="102"/>
        <v>0</v>
      </c>
      <c r="AG527" s="108">
        <f t="shared" si="103"/>
        <v>0</v>
      </c>
      <c r="AH527" s="110" t="str">
        <f t="shared" si="104"/>
        <v>D. Beeson|20260902|Title|0.500|</v>
      </c>
      <c r="AI527" s="108">
        <f t="shared" si="105"/>
        <v>0</v>
      </c>
      <c r="AJ527" s="108">
        <f t="shared" si="106"/>
        <v>0</v>
      </c>
      <c r="AK527" s="108">
        <f>IF($A527="",0,IF(AND($S527=1,$W527=1,$X527=1,$U527&gt;Config!$C$9),1,0))</f>
        <v>0</v>
      </c>
      <c r="AL527" s="108">
        <f t="shared" si="107"/>
        <v>0</v>
      </c>
    </row>
    <row r="528" spans="1:38" ht="180.75" x14ac:dyDescent="0.25">
      <c r="A528" s="106" t="s">
        <v>1039</v>
      </c>
      <c r="B528" s="106" t="s">
        <v>618</v>
      </c>
      <c r="C528" s="107">
        <v>46267</v>
      </c>
      <c r="D528" s="106" t="s">
        <v>720</v>
      </c>
      <c r="E528" s="106" t="s">
        <v>721</v>
      </c>
      <c r="F528" s="106" t="s">
        <v>722</v>
      </c>
      <c r="G528" s="106" t="s">
        <v>1040</v>
      </c>
      <c r="H528" s="106" t="s">
        <v>631</v>
      </c>
      <c r="I528" s="106"/>
      <c r="J528" s="106"/>
      <c r="K528" s="106">
        <v>1</v>
      </c>
      <c r="L528" s="106">
        <v>0</v>
      </c>
      <c r="M528" s="106">
        <v>0</v>
      </c>
      <c r="N528" s="106"/>
      <c r="O528" s="106"/>
      <c r="P528" s="106">
        <v>0</v>
      </c>
      <c r="Q528" s="111" t="s">
        <v>1184</v>
      </c>
      <c r="S528" s="108">
        <f>IF($A528="","",COUNTIF(BPOworkers!$B$6:$B$105,$A528))</f>
        <v>0</v>
      </c>
      <c r="T528" s="109">
        <f>IF($A528="","",$K528*Config!$C$9)</f>
        <v>8</v>
      </c>
      <c r="U528" s="109">
        <f>IF($A528="","",IF(COUNTIF(Config!$C$21:$C$23,$H528)&gt;0,IFERROR(VALUE(LEFT(TRIM($Q528),FIND(" ",TRIM($Q528)&amp;" ")-1)),0),0))</f>
        <v>0</v>
      </c>
      <c r="V528" s="109">
        <f t="shared" si="96"/>
        <v>8</v>
      </c>
      <c r="W528" s="108">
        <f>IF($A528="",0,IF(AND($C528&gt;=Config!$C$7,$C528&lt;=Config!$C$8),1,0))</f>
        <v>1</v>
      </c>
      <c r="X528" s="108">
        <f>IF($A528="",0,IF(COUNTIF(Config!$C$21:$C$23,$H528)&gt;0,1,0))</f>
        <v>0</v>
      </c>
      <c r="Y528" s="108">
        <f t="shared" si="97"/>
        <v>10</v>
      </c>
      <c r="Z528" s="108" t="str">
        <f t="shared" si="98"/>
        <v/>
      </c>
      <c r="AB528" s="108">
        <f t="shared" si="99"/>
        <v>0</v>
      </c>
      <c r="AC528" s="108">
        <f>IF($A528="",0,IF(AND($AB528=1,COUNTIF($A$2:$A528,$A528)=1),1,0))</f>
        <v>0</v>
      </c>
      <c r="AD528" s="108">
        <f t="shared" si="100"/>
        <v>1</v>
      </c>
      <c r="AE528" s="108" t="str">
        <f t="shared" si="101"/>
        <v/>
      </c>
      <c r="AF528" s="108">
        <f t="shared" si="102"/>
        <v>0</v>
      </c>
      <c r="AG528" s="108">
        <f t="shared" si="103"/>
        <v>0</v>
      </c>
      <c r="AH528" s="112" t="str">
        <f t="shared" si="104"/>
        <v>B. Sayadeth|20260902|Title|1.000|-Created AOI
 -Created Indexing Spreadsheet
 -Indexed to the present from source deed
 -Started indexing from the source</v>
      </c>
      <c r="AI528" s="108">
        <f t="shared" si="105"/>
        <v>0</v>
      </c>
      <c r="AJ528" s="108">
        <f t="shared" si="106"/>
        <v>0</v>
      </c>
      <c r="AK528" s="108">
        <f>IF($A528="",0,IF(AND($S528=1,$W528=1,$X528=1,$U528&gt;Config!$C$9),1,0))</f>
        <v>0</v>
      </c>
      <c r="AL528" s="108">
        <f t="shared" si="107"/>
        <v>0</v>
      </c>
    </row>
    <row r="529" spans="1:38" x14ac:dyDescent="0.25">
      <c r="A529" s="106" t="s">
        <v>1042</v>
      </c>
      <c r="B529" s="106" t="s">
        <v>618</v>
      </c>
      <c r="C529" s="107">
        <v>46267</v>
      </c>
      <c r="D529" s="106" t="s">
        <v>694</v>
      </c>
      <c r="E529" s="106" t="s">
        <v>765</v>
      </c>
      <c r="F529" s="106" t="s">
        <v>766</v>
      </c>
      <c r="G529" s="106" t="s">
        <v>1043</v>
      </c>
      <c r="H529" s="106" t="s">
        <v>765</v>
      </c>
      <c r="I529" s="106"/>
      <c r="J529" s="106"/>
      <c r="K529" s="106">
        <v>1</v>
      </c>
      <c r="L529" s="106">
        <v>0</v>
      </c>
      <c r="M529" s="106">
        <v>0</v>
      </c>
      <c r="N529" s="106"/>
      <c r="O529" s="106"/>
      <c r="P529" s="106">
        <v>0</v>
      </c>
      <c r="Q529" s="106" t="s">
        <v>1326</v>
      </c>
      <c r="S529" s="108">
        <f>IF($A529="","",COUNTIF(BPOworkers!$B$6:$B$105,$A529))</f>
        <v>0</v>
      </c>
      <c r="T529" s="109">
        <f>IF($A529="","",$K529*Config!$C$9)</f>
        <v>8</v>
      </c>
      <c r="U529" s="109">
        <f>IF($A529="","",IF(COUNTIF(Config!$C$21:$C$23,$H529)&gt;0,IFERROR(VALUE(LEFT(TRIM($Q529),FIND(" ",TRIM($Q529)&amp;" ")-1)),0),0))</f>
        <v>0</v>
      </c>
      <c r="V529" s="109">
        <f t="shared" si="96"/>
        <v>8</v>
      </c>
      <c r="W529" s="108">
        <f>IF($A529="",0,IF(AND($C529&gt;=Config!$C$7,$C529&lt;=Config!$C$8),1,0))</f>
        <v>1</v>
      </c>
      <c r="X529" s="108">
        <f>IF($A529="",0,IF(COUNTIF(Config!$C$21:$C$23,$H529)&gt;0,1,0))</f>
        <v>0</v>
      </c>
      <c r="Y529" s="108">
        <f t="shared" si="97"/>
        <v>10</v>
      </c>
      <c r="Z529" s="108" t="str">
        <f t="shared" si="98"/>
        <v/>
      </c>
      <c r="AB529" s="108">
        <f t="shared" si="99"/>
        <v>0</v>
      </c>
      <c r="AC529" s="108">
        <f>IF($A529="",0,IF(AND($AB529=1,COUNTIF($A$2:$A529,$A529)=1),1,0))</f>
        <v>0</v>
      </c>
      <c r="AD529" s="108">
        <f t="shared" si="100"/>
        <v>1</v>
      </c>
      <c r="AE529" s="108" t="str">
        <f t="shared" si="101"/>
        <v/>
      </c>
      <c r="AF529" s="108">
        <f t="shared" si="102"/>
        <v>0</v>
      </c>
      <c r="AG529" s="108">
        <f t="shared" si="103"/>
        <v>0</v>
      </c>
      <c r="AH529" s="110" t="str">
        <f t="shared" si="104"/>
        <v>N. Jones|20260902|Lease Bringdown|1.000|Input 38 notecards, finishing off the last of the 78 originally uploaded docs. Began inputing interests. Starting second</v>
      </c>
      <c r="AI529" s="108">
        <f t="shared" si="105"/>
        <v>0</v>
      </c>
      <c r="AJ529" s="108">
        <f t="shared" si="106"/>
        <v>0</v>
      </c>
      <c r="AK529" s="108">
        <f>IF($A529="",0,IF(AND($S529=1,$W529=1,$X529=1,$U529&gt;Config!$C$9),1,0))</f>
        <v>0</v>
      </c>
      <c r="AL529" s="108">
        <f t="shared" si="107"/>
        <v>0</v>
      </c>
    </row>
    <row r="530" spans="1:38" x14ac:dyDescent="0.25">
      <c r="A530" s="106" t="s">
        <v>1045</v>
      </c>
      <c r="B530" s="106" t="s">
        <v>618</v>
      </c>
      <c r="C530" s="107">
        <v>46267</v>
      </c>
      <c r="D530" s="106" t="s">
        <v>720</v>
      </c>
      <c r="E530" s="106" t="s">
        <v>721</v>
      </c>
      <c r="F530" s="106" t="s">
        <v>722</v>
      </c>
      <c r="G530" s="106" t="s">
        <v>723</v>
      </c>
      <c r="H530" s="106" t="s">
        <v>631</v>
      </c>
      <c r="I530" s="106"/>
      <c r="J530" s="106"/>
      <c r="K530" s="106">
        <v>1</v>
      </c>
      <c r="L530" s="106">
        <v>0</v>
      </c>
      <c r="M530" s="106">
        <v>0</v>
      </c>
      <c r="N530" s="106"/>
      <c r="O530" s="106"/>
      <c r="P530" s="106">
        <v>0</v>
      </c>
      <c r="Q530" s="106" t="s">
        <v>1327</v>
      </c>
      <c r="S530" s="108">
        <f>IF($A530="","",COUNTIF(BPOworkers!$B$6:$B$105,$A530))</f>
        <v>0</v>
      </c>
      <c r="T530" s="109">
        <f>IF($A530="","",$K530*Config!$C$9)</f>
        <v>8</v>
      </c>
      <c r="U530" s="109">
        <f>IF($A530="","",IF(COUNTIF(Config!$C$21:$C$23,$H530)&gt;0,IFERROR(VALUE(LEFT(TRIM($Q530),FIND(" ",TRIM($Q530)&amp;" ")-1)),0),0))</f>
        <v>0</v>
      </c>
      <c r="V530" s="109">
        <f t="shared" si="96"/>
        <v>8</v>
      </c>
      <c r="W530" s="108">
        <f>IF($A530="",0,IF(AND($C530&gt;=Config!$C$7,$C530&lt;=Config!$C$8),1,0))</f>
        <v>1</v>
      </c>
      <c r="X530" s="108">
        <f>IF($A530="",0,IF(COUNTIF(Config!$C$21:$C$23,$H530)&gt;0,1,0))</f>
        <v>0</v>
      </c>
      <c r="Y530" s="108">
        <f t="shared" si="97"/>
        <v>10</v>
      </c>
      <c r="Z530" s="108" t="str">
        <f t="shared" si="98"/>
        <v/>
      </c>
      <c r="AB530" s="108">
        <f t="shared" si="99"/>
        <v>0</v>
      </c>
      <c r="AC530" s="108">
        <f>IF($A530="",0,IF(AND($AB530=1,COUNTIF($A$2:$A530,$A530)=1),1,0))</f>
        <v>0</v>
      </c>
      <c r="AD530" s="108">
        <f t="shared" si="100"/>
        <v>1</v>
      </c>
      <c r="AE530" s="108" t="str">
        <f t="shared" si="101"/>
        <v/>
      </c>
      <c r="AF530" s="108">
        <f t="shared" si="102"/>
        <v>0</v>
      </c>
      <c r="AG530" s="108">
        <f t="shared" si="103"/>
        <v>0</v>
      </c>
      <c r="AH530" s="110" t="str">
        <f t="shared" si="104"/>
        <v>E. Lee|20260902|Title|1.000|SIV Title Surface Only: Documents Analyzed: 36 Parties Added: 3 Index Pages Viewed: 50.</v>
      </c>
      <c r="AI530" s="108">
        <f t="shared" si="105"/>
        <v>0</v>
      </c>
      <c r="AJ530" s="108">
        <f t="shared" si="106"/>
        <v>0</v>
      </c>
      <c r="AK530" s="108">
        <f>IF($A530="",0,IF(AND($S530=1,$W530=1,$X530=1,$U530&gt;Config!$C$9),1,0))</f>
        <v>0</v>
      </c>
      <c r="AL530" s="108">
        <f t="shared" si="107"/>
        <v>0</v>
      </c>
    </row>
    <row r="531" spans="1:38" x14ac:dyDescent="0.25">
      <c r="A531" s="106" t="s">
        <v>816</v>
      </c>
      <c r="B531" s="106" t="s">
        <v>618</v>
      </c>
      <c r="C531" s="107">
        <v>46267</v>
      </c>
      <c r="D531" s="106" t="s">
        <v>694</v>
      </c>
      <c r="E531" s="106" t="s">
        <v>862</v>
      </c>
      <c r="F531" s="106" t="s">
        <v>766</v>
      </c>
      <c r="G531" s="106" t="s">
        <v>1328</v>
      </c>
      <c r="H531" s="106" t="s">
        <v>781</v>
      </c>
      <c r="I531" s="106"/>
      <c r="J531" s="106"/>
      <c r="K531" s="106">
        <v>1</v>
      </c>
      <c r="L531" s="106">
        <v>0</v>
      </c>
      <c r="M531" s="106">
        <v>0</v>
      </c>
      <c r="N531" s="106"/>
      <c r="O531" s="106"/>
      <c r="P531" s="106">
        <v>0</v>
      </c>
      <c r="Q531" s="106" t="s">
        <v>1329</v>
      </c>
      <c r="S531" s="108">
        <f>IF($A531="","",COUNTIF(BPOworkers!$B$6:$B$105,$A531))</f>
        <v>0</v>
      </c>
      <c r="T531" s="109">
        <f>IF($A531="","",$K531*Config!$C$9)</f>
        <v>8</v>
      </c>
      <c r="U531" s="109">
        <f>IF($A531="","",IF(COUNTIF(Config!$C$21:$C$23,$H531)&gt;0,IFERROR(VALUE(LEFT(TRIM($Q531),FIND(" ",TRIM($Q531)&amp;" ")-1)),0),0))</f>
        <v>0</v>
      </c>
      <c r="V531" s="109">
        <f t="shared" si="96"/>
        <v>8</v>
      </c>
      <c r="W531" s="108">
        <f>IF($A531="",0,IF(AND($C531&gt;=Config!$C$7,$C531&lt;=Config!$C$8),1,0))</f>
        <v>1</v>
      </c>
      <c r="X531" s="108">
        <f>IF($A531="",0,IF(COUNTIF(Config!$C$21:$C$23,$H531)&gt;0,1,0))</f>
        <v>0</v>
      </c>
      <c r="Y531" s="108">
        <f t="shared" si="97"/>
        <v>10</v>
      </c>
      <c r="Z531" s="108" t="str">
        <f t="shared" si="98"/>
        <v/>
      </c>
      <c r="AB531" s="108">
        <f t="shared" si="99"/>
        <v>0</v>
      </c>
      <c r="AC531" s="108">
        <f>IF($A531="",0,IF(AND($AB531=1,COUNTIF($A$2:$A531,$A531)=1),1,0))</f>
        <v>0</v>
      </c>
      <c r="AD531" s="108">
        <f t="shared" si="100"/>
        <v>1</v>
      </c>
      <c r="AE531" s="108" t="str">
        <f t="shared" si="101"/>
        <v/>
      </c>
      <c r="AF531" s="108">
        <f t="shared" si="102"/>
        <v>0</v>
      </c>
      <c r="AG531" s="108">
        <f t="shared" si="103"/>
        <v>0</v>
      </c>
      <c r="AH531" s="110" t="str">
        <f t="shared" si="104"/>
        <v>S. Bacot|20260902|Single Interest Verification|1.000|Running out mineral interest from deed to current date.</v>
      </c>
      <c r="AI531" s="108">
        <f t="shared" si="105"/>
        <v>0</v>
      </c>
      <c r="AJ531" s="108">
        <f t="shared" si="106"/>
        <v>0</v>
      </c>
      <c r="AK531" s="108">
        <f>IF($A531="",0,IF(AND($S531=1,$W531=1,$X531=1,$U531&gt;Config!$C$9),1,0))</f>
        <v>0</v>
      </c>
      <c r="AL531" s="108">
        <f t="shared" si="107"/>
        <v>0</v>
      </c>
    </row>
    <row r="532" spans="1:38" x14ac:dyDescent="0.25">
      <c r="A532" s="106" t="s">
        <v>1048</v>
      </c>
      <c r="B532" s="106" t="s">
        <v>618</v>
      </c>
      <c r="C532" s="107">
        <v>46267</v>
      </c>
      <c r="D532" s="106" t="s">
        <v>680</v>
      </c>
      <c r="E532" s="106" t="s">
        <v>681</v>
      </c>
      <c r="F532" s="106" t="s">
        <v>682</v>
      </c>
      <c r="G532" s="106" t="s">
        <v>1049</v>
      </c>
      <c r="H532" s="106" t="s">
        <v>631</v>
      </c>
      <c r="I532" s="106"/>
      <c r="J532" s="106"/>
      <c r="K532" s="106">
        <v>1</v>
      </c>
      <c r="L532" s="106">
        <v>55.1</v>
      </c>
      <c r="M532" s="106">
        <v>76</v>
      </c>
      <c r="N532" s="106">
        <v>0.72499999999999998</v>
      </c>
      <c r="O532" s="106" t="s">
        <v>1330</v>
      </c>
      <c r="P532" s="106">
        <v>55.1</v>
      </c>
      <c r="Q532" s="106" t="s">
        <v>1331</v>
      </c>
      <c r="S532" s="108">
        <f>IF($A532="","",COUNTIF(BPOworkers!$B$6:$B$105,$A532))</f>
        <v>0</v>
      </c>
      <c r="T532" s="109">
        <f>IF($A532="","",$K532*Config!$C$9)</f>
        <v>8</v>
      </c>
      <c r="U532" s="109">
        <f>IF($A532="","",IF(COUNTIF(Config!$C$21:$C$23,$H532)&gt;0,IFERROR(VALUE(LEFT(TRIM($Q532),FIND(" ",TRIM($Q532)&amp;" ")-1)),0),0))</f>
        <v>0</v>
      </c>
      <c r="V532" s="109">
        <f t="shared" si="96"/>
        <v>8</v>
      </c>
      <c r="W532" s="108">
        <f>IF($A532="",0,IF(AND($C532&gt;=Config!$C$7,$C532&lt;=Config!$C$8),1,0))</f>
        <v>1</v>
      </c>
      <c r="X532" s="108">
        <f>IF($A532="",0,IF(COUNTIF(Config!$C$21:$C$23,$H532)&gt;0,1,0))</f>
        <v>0</v>
      </c>
      <c r="Y532" s="108">
        <f t="shared" si="97"/>
        <v>10</v>
      </c>
      <c r="Z532" s="108" t="str">
        <f t="shared" si="98"/>
        <v/>
      </c>
      <c r="AB532" s="108">
        <f t="shared" si="99"/>
        <v>0</v>
      </c>
      <c r="AC532" s="108">
        <f>IF($A532="",0,IF(AND($AB532=1,COUNTIF($A$2:$A532,$A532)=1),1,0))</f>
        <v>0</v>
      </c>
      <c r="AD532" s="108">
        <f t="shared" si="100"/>
        <v>1</v>
      </c>
      <c r="AE532" s="108" t="str">
        <f t="shared" si="101"/>
        <v/>
      </c>
      <c r="AF532" s="108">
        <f t="shared" si="102"/>
        <v>0</v>
      </c>
      <c r="AG532" s="108">
        <f t="shared" si="103"/>
        <v>0</v>
      </c>
      <c r="AH532" s="110" t="str">
        <f t="shared" si="104"/>
        <v>M. Freshwater|20260902|Title|1.000|Columbiana County research at the courthouse in Lisbon, OH</v>
      </c>
      <c r="AI532" s="108">
        <f t="shared" si="105"/>
        <v>0</v>
      </c>
      <c r="AJ532" s="108">
        <f t="shared" si="106"/>
        <v>0</v>
      </c>
      <c r="AK532" s="108">
        <f>IF($A532="",0,IF(AND($S532=1,$W532=1,$X532=1,$U532&gt;Config!$C$9),1,0))</f>
        <v>0</v>
      </c>
      <c r="AL532" s="108">
        <f t="shared" si="107"/>
        <v>0</v>
      </c>
    </row>
    <row r="533" spans="1:38" x14ac:dyDescent="0.25">
      <c r="A533" s="106" t="s">
        <v>818</v>
      </c>
      <c r="B533" s="106" t="s">
        <v>618</v>
      </c>
      <c r="C533" s="107">
        <v>46267</v>
      </c>
      <c r="D533" s="106" t="s">
        <v>623</v>
      </c>
      <c r="E533" s="106" t="s">
        <v>624</v>
      </c>
      <c r="F533" s="106" t="s">
        <v>615</v>
      </c>
      <c r="G533" s="106" t="s">
        <v>625</v>
      </c>
      <c r="H533" s="106" t="s">
        <v>819</v>
      </c>
      <c r="I533" s="106"/>
      <c r="J533" s="106" t="s">
        <v>1332</v>
      </c>
      <c r="K533" s="106">
        <v>1</v>
      </c>
      <c r="L533" s="106">
        <v>0</v>
      </c>
      <c r="M533" s="106">
        <v>0</v>
      </c>
      <c r="N533" s="106"/>
      <c r="O533" s="106"/>
      <c r="P533" s="106">
        <v>0</v>
      </c>
      <c r="Q533" s="106" t="s">
        <v>1333</v>
      </c>
      <c r="S533" s="108">
        <f>IF($A533="","",COUNTIF(BPOworkers!$B$6:$B$105,$A533))</f>
        <v>0</v>
      </c>
      <c r="T533" s="109">
        <f>IF($A533="","",$K533*Config!$C$9)</f>
        <v>8</v>
      </c>
      <c r="U533" s="109">
        <f>IF($A533="","",IF(COUNTIF(Config!$C$21:$C$23,$H533)&gt;0,IFERROR(VALUE(LEFT(TRIM($Q533),FIND(" ",TRIM($Q533)&amp;" ")-1)),0),0))</f>
        <v>0</v>
      </c>
      <c r="V533" s="109">
        <f t="shared" si="96"/>
        <v>8</v>
      </c>
      <c r="W533" s="108">
        <f>IF($A533="",0,IF(AND($C533&gt;=Config!$C$7,$C533&lt;=Config!$C$8),1,0))</f>
        <v>1</v>
      </c>
      <c r="X533" s="108">
        <f>IF($A533="",0,IF(COUNTIF(Config!$C$21:$C$23,$H533)&gt;0,1,0))</f>
        <v>0</v>
      </c>
      <c r="Y533" s="108">
        <f t="shared" si="97"/>
        <v>10</v>
      </c>
      <c r="Z533" s="108" t="str">
        <f t="shared" si="98"/>
        <v/>
      </c>
      <c r="AB533" s="108">
        <f t="shared" si="99"/>
        <v>0</v>
      </c>
      <c r="AC533" s="108">
        <f>IF($A533="",0,IF(AND($AB533=1,COUNTIF($A$2:$A533,$A533)=1),1,0))</f>
        <v>0</v>
      </c>
      <c r="AD533" s="108">
        <f t="shared" si="100"/>
        <v>1</v>
      </c>
      <c r="AE533" s="108" t="str">
        <f t="shared" si="101"/>
        <v/>
      </c>
      <c r="AF533" s="108">
        <f t="shared" si="102"/>
        <v>0</v>
      </c>
      <c r="AG533" s="108">
        <f t="shared" si="103"/>
        <v>0</v>
      </c>
      <c r="AH533" s="110" t="str">
        <f t="shared" si="104"/>
        <v xml:space="preserve">J. Burgos|20260902|Training - BPO|1.000|• Finish Rise/ELT lesson: “Texas Probate, Estates, and Trusts”. Carried over to preview Thursday's Chapter 5 material — </v>
      </c>
      <c r="AI533" s="108">
        <f t="shared" si="105"/>
        <v>0</v>
      </c>
      <c r="AJ533" s="108">
        <f t="shared" si="106"/>
        <v>0</v>
      </c>
      <c r="AK533" s="108">
        <f>IF($A533="",0,IF(AND($S533=1,$W533=1,$X533=1,$U533&gt;Config!$C$9),1,0))</f>
        <v>0</v>
      </c>
      <c r="AL533" s="108">
        <f t="shared" si="107"/>
        <v>0</v>
      </c>
    </row>
    <row r="534" spans="1:38" x14ac:dyDescent="0.25">
      <c r="A534" s="106" t="s">
        <v>822</v>
      </c>
      <c r="B534" s="106" t="s">
        <v>618</v>
      </c>
      <c r="C534" s="107">
        <v>46267</v>
      </c>
      <c r="D534" s="106" t="s">
        <v>623</v>
      </c>
      <c r="E534" s="106" t="s">
        <v>624</v>
      </c>
      <c r="F534" s="106" t="s">
        <v>615</v>
      </c>
      <c r="G534" s="106" t="s">
        <v>625</v>
      </c>
      <c r="H534" s="106" t="s">
        <v>819</v>
      </c>
      <c r="I534" s="106"/>
      <c r="J534" s="106" t="s">
        <v>823</v>
      </c>
      <c r="K534" s="106">
        <v>1</v>
      </c>
      <c r="L534" s="106">
        <v>0</v>
      </c>
      <c r="M534" s="106">
        <v>0</v>
      </c>
      <c r="N534" s="106"/>
      <c r="O534" s="106"/>
      <c r="P534" s="106">
        <v>0</v>
      </c>
      <c r="Q534" s="106" t="s">
        <v>1334</v>
      </c>
      <c r="S534" s="108">
        <f>IF($A534="","",COUNTIF(BPOworkers!$B$6:$B$105,$A534))</f>
        <v>0</v>
      </c>
      <c r="T534" s="109">
        <f>IF($A534="","",$K534*Config!$C$9)</f>
        <v>8</v>
      </c>
      <c r="U534" s="109">
        <f>IF($A534="","",IF(COUNTIF(Config!$C$21:$C$23,$H534)&gt;0,IFERROR(VALUE(LEFT(TRIM($Q534),FIND(" ",TRIM($Q534)&amp;" ")-1)),0),0))</f>
        <v>0</v>
      </c>
      <c r="V534" s="109">
        <f t="shared" si="96"/>
        <v>8</v>
      </c>
      <c r="W534" s="108">
        <f>IF($A534="",0,IF(AND($C534&gt;=Config!$C$7,$C534&lt;=Config!$C$8),1,0))</f>
        <v>1</v>
      </c>
      <c r="X534" s="108">
        <f>IF($A534="",0,IF(COUNTIF(Config!$C$21:$C$23,$H534)&gt;0,1,0))</f>
        <v>0</v>
      </c>
      <c r="Y534" s="108">
        <f t="shared" si="97"/>
        <v>10</v>
      </c>
      <c r="Z534" s="108" t="str">
        <f t="shared" si="98"/>
        <v/>
      </c>
      <c r="AB534" s="108">
        <f t="shared" si="99"/>
        <v>0</v>
      </c>
      <c r="AC534" s="108">
        <f>IF($A534="",0,IF(AND($AB534=1,COUNTIF($A$2:$A534,$A534)=1),1,0))</f>
        <v>0</v>
      </c>
      <c r="AD534" s="108">
        <f t="shared" si="100"/>
        <v>1</v>
      </c>
      <c r="AE534" s="108" t="str">
        <f t="shared" si="101"/>
        <v/>
      </c>
      <c r="AF534" s="108">
        <f t="shared" si="102"/>
        <v>0</v>
      </c>
      <c r="AG534" s="108">
        <f t="shared" si="103"/>
        <v>0</v>
      </c>
      <c r="AH534" s="110" t="str">
        <f t="shared" si="104"/>
        <v>D. Pescador|20260902|Training - BPO|1.000|Reading Chapter 3 of the AAPL STUDY GUIDE, quiz in Rise and ELT Lessons</v>
      </c>
      <c r="AI534" s="108">
        <f t="shared" si="105"/>
        <v>0</v>
      </c>
      <c r="AJ534" s="108">
        <f t="shared" si="106"/>
        <v>0</v>
      </c>
      <c r="AK534" s="108">
        <f>IF($A534="",0,IF(AND($S534=1,$W534=1,$X534=1,$U534&gt;Config!$C$9),1,0))</f>
        <v>0</v>
      </c>
      <c r="AL534" s="108">
        <f t="shared" si="107"/>
        <v>0</v>
      </c>
    </row>
    <row r="535" spans="1:38" ht="168.75" x14ac:dyDescent="0.25">
      <c r="A535" s="106" t="s">
        <v>825</v>
      </c>
      <c r="B535" s="106" t="s">
        <v>618</v>
      </c>
      <c r="C535" s="107">
        <v>46267</v>
      </c>
      <c r="D535" s="106" t="s">
        <v>623</v>
      </c>
      <c r="E535" s="106" t="s">
        <v>624</v>
      </c>
      <c r="F535" s="106" t="s">
        <v>615</v>
      </c>
      <c r="G535" s="106" t="s">
        <v>625</v>
      </c>
      <c r="H535" s="106" t="s">
        <v>819</v>
      </c>
      <c r="I535" s="106"/>
      <c r="J535" s="106" t="s">
        <v>823</v>
      </c>
      <c r="K535" s="106">
        <v>1</v>
      </c>
      <c r="L535" s="106">
        <v>0</v>
      </c>
      <c r="M535" s="106">
        <v>0</v>
      </c>
      <c r="N535" s="106"/>
      <c r="O535" s="106"/>
      <c r="P535" s="106">
        <v>0</v>
      </c>
      <c r="Q535" s="111" t="s">
        <v>1335</v>
      </c>
      <c r="S535" s="108">
        <f>IF($A535="","",COUNTIF(BPOworkers!$B$6:$B$105,$A535))</f>
        <v>0</v>
      </c>
      <c r="T535" s="109">
        <f>IF($A535="","",$K535*Config!$C$9)</f>
        <v>8</v>
      </c>
      <c r="U535" s="109">
        <f>IF($A535="","",IF(COUNTIF(Config!$C$21:$C$23,$H535)&gt;0,IFERROR(VALUE(LEFT(TRIM($Q535),FIND(" ",TRIM($Q535)&amp;" ")-1)),0),0))</f>
        <v>0</v>
      </c>
      <c r="V535" s="109">
        <f t="shared" si="96"/>
        <v>8</v>
      </c>
      <c r="W535" s="108">
        <f>IF($A535="",0,IF(AND($C535&gt;=Config!$C$7,$C535&lt;=Config!$C$8),1,0))</f>
        <v>1</v>
      </c>
      <c r="X535" s="108">
        <f>IF($A535="",0,IF(COUNTIF(Config!$C$21:$C$23,$H535)&gt;0,1,0))</f>
        <v>0</v>
      </c>
      <c r="Y535" s="108">
        <f t="shared" si="97"/>
        <v>10</v>
      </c>
      <c r="Z535" s="108" t="str">
        <f t="shared" si="98"/>
        <v/>
      </c>
      <c r="AB535" s="108">
        <f t="shared" si="99"/>
        <v>0</v>
      </c>
      <c r="AC535" s="108">
        <f>IF($A535="",0,IF(AND($AB535=1,COUNTIF($A$2:$A535,$A535)=1),1,0))</f>
        <v>0</v>
      </c>
      <c r="AD535" s="108">
        <f t="shared" si="100"/>
        <v>1</v>
      </c>
      <c r="AE535" s="108" t="str">
        <f t="shared" si="101"/>
        <v/>
      </c>
      <c r="AF535" s="108">
        <f t="shared" si="102"/>
        <v>0</v>
      </c>
      <c r="AG535" s="108">
        <f t="shared" si="103"/>
        <v>0</v>
      </c>
      <c r="AH535" s="112" t="str">
        <f t="shared" si="104"/>
        <v>L. Pinto|20260902|Training - BPO|1.000|- Read Ch. 3 Property Descriptions
 - Quiz Ch. 3
 - ELT Lessons "Texas Probate, Estates, and Trusts"</v>
      </c>
      <c r="AI535" s="108">
        <f t="shared" si="105"/>
        <v>0</v>
      </c>
      <c r="AJ535" s="108">
        <f t="shared" si="106"/>
        <v>0</v>
      </c>
      <c r="AK535" s="108">
        <f>IF($A535="",0,IF(AND($S535=1,$W535=1,$X535=1,$U535&gt;Config!$C$9),1,0))</f>
        <v>0</v>
      </c>
      <c r="AL535" s="108">
        <f t="shared" si="107"/>
        <v>0</v>
      </c>
    </row>
    <row r="536" spans="1:38" x14ac:dyDescent="0.25">
      <c r="A536" s="106" t="s">
        <v>827</v>
      </c>
      <c r="B536" s="106" t="s">
        <v>618</v>
      </c>
      <c r="C536" s="107">
        <v>46267</v>
      </c>
      <c r="D536" s="106" t="s">
        <v>623</v>
      </c>
      <c r="E536" s="106" t="s">
        <v>624</v>
      </c>
      <c r="F536" s="106" t="s">
        <v>615</v>
      </c>
      <c r="G536" s="106" t="s">
        <v>625</v>
      </c>
      <c r="H536" s="106" t="s">
        <v>819</v>
      </c>
      <c r="I536" s="106"/>
      <c r="J536" s="106" t="s">
        <v>823</v>
      </c>
      <c r="K536" s="106">
        <v>1</v>
      </c>
      <c r="L536" s="106">
        <v>0</v>
      </c>
      <c r="M536" s="106">
        <v>0</v>
      </c>
      <c r="N536" s="106"/>
      <c r="O536" s="106"/>
      <c r="P536" s="106">
        <v>0</v>
      </c>
      <c r="Q536" s="106" t="s">
        <v>1336</v>
      </c>
      <c r="S536" s="108">
        <f>IF($A536="","",COUNTIF(BPOworkers!$B$6:$B$105,$A536))</f>
        <v>0</v>
      </c>
      <c r="T536" s="109">
        <f>IF($A536="","",$K536*Config!$C$9)</f>
        <v>8</v>
      </c>
      <c r="U536" s="109">
        <f>IF($A536="","",IF(COUNTIF(Config!$C$21:$C$23,$H536)&gt;0,IFERROR(VALUE(LEFT(TRIM($Q536),FIND(" ",TRIM($Q536)&amp;" ")-1)),0),0))</f>
        <v>0</v>
      </c>
      <c r="V536" s="109">
        <f t="shared" si="96"/>
        <v>8</v>
      </c>
      <c r="W536" s="108">
        <f>IF($A536="",0,IF(AND($C536&gt;=Config!$C$7,$C536&lt;=Config!$C$8),1,0))</f>
        <v>1</v>
      </c>
      <c r="X536" s="108">
        <f>IF($A536="",0,IF(COUNTIF(Config!$C$21:$C$23,$H536)&gt;0,1,0))</f>
        <v>0</v>
      </c>
      <c r="Y536" s="108">
        <f t="shared" si="97"/>
        <v>10</v>
      </c>
      <c r="Z536" s="108" t="str">
        <f t="shared" si="98"/>
        <v/>
      </c>
      <c r="AB536" s="108">
        <f t="shared" si="99"/>
        <v>0</v>
      </c>
      <c r="AC536" s="108">
        <f>IF($A536="",0,IF(AND($AB536=1,COUNTIF($A$2:$A536,$A536)=1),1,0))</f>
        <v>0</v>
      </c>
      <c r="AD536" s="108">
        <f t="shared" si="100"/>
        <v>1</v>
      </c>
      <c r="AE536" s="108" t="str">
        <f t="shared" si="101"/>
        <v/>
      </c>
      <c r="AF536" s="108">
        <f t="shared" si="102"/>
        <v>0</v>
      </c>
      <c r="AG536" s="108">
        <f t="shared" si="103"/>
        <v>0</v>
      </c>
      <c r="AH536" s="110" t="str">
        <f t="shared" si="104"/>
        <v>J. Cañon|20260902|Training - BPO|1.000|Learn about Property description and learn about USA ubication systems</v>
      </c>
      <c r="AI536" s="108">
        <f t="shared" si="105"/>
        <v>0</v>
      </c>
      <c r="AJ536" s="108">
        <f t="shared" si="106"/>
        <v>0</v>
      </c>
      <c r="AK536" s="108">
        <f>IF($A536="",0,IF(AND($S536=1,$W536=1,$X536=1,$U536&gt;Config!$C$9),1,0))</f>
        <v>0</v>
      </c>
      <c r="AL536" s="108">
        <f t="shared" si="107"/>
        <v>0</v>
      </c>
    </row>
    <row r="537" spans="1:38" x14ac:dyDescent="0.25">
      <c r="A537" s="106" t="s">
        <v>829</v>
      </c>
      <c r="B537" s="106" t="s">
        <v>618</v>
      </c>
      <c r="C537" s="107">
        <v>46267</v>
      </c>
      <c r="D537" s="106" t="s">
        <v>623</v>
      </c>
      <c r="E537" s="106" t="s">
        <v>624</v>
      </c>
      <c r="F537" s="106" t="s">
        <v>615</v>
      </c>
      <c r="G537" s="106" t="s">
        <v>625</v>
      </c>
      <c r="H537" s="106" t="s">
        <v>819</v>
      </c>
      <c r="I537" s="106"/>
      <c r="J537" s="106" t="s">
        <v>832</v>
      </c>
      <c r="K537" s="106">
        <v>1</v>
      </c>
      <c r="L537" s="106">
        <v>0</v>
      </c>
      <c r="M537" s="106">
        <v>0</v>
      </c>
      <c r="N537" s="106"/>
      <c r="O537" s="106"/>
      <c r="P537" s="106">
        <v>0</v>
      </c>
      <c r="Q537" s="106" t="s">
        <v>1337</v>
      </c>
      <c r="S537" s="108">
        <f>IF($A537="","",COUNTIF(BPOworkers!$B$6:$B$105,$A537))</f>
        <v>0</v>
      </c>
      <c r="T537" s="109">
        <f>IF($A537="","",$K537*Config!$C$9)</f>
        <v>8</v>
      </c>
      <c r="U537" s="109">
        <f>IF($A537="","",IF(COUNTIF(Config!$C$21:$C$23,$H537)&gt;0,IFERROR(VALUE(LEFT(TRIM($Q537),FIND(" ",TRIM($Q537)&amp;" ")-1)),0),0))</f>
        <v>0</v>
      </c>
      <c r="V537" s="109">
        <f t="shared" si="96"/>
        <v>8</v>
      </c>
      <c r="W537" s="108">
        <f>IF($A537="",0,IF(AND($C537&gt;=Config!$C$7,$C537&lt;=Config!$C$8),1,0))</f>
        <v>1</v>
      </c>
      <c r="X537" s="108">
        <f>IF($A537="",0,IF(COUNTIF(Config!$C$21:$C$23,$H537)&gt;0,1,0))</f>
        <v>0</v>
      </c>
      <c r="Y537" s="108">
        <f t="shared" si="97"/>
        <v>10</v>
      </c>
      <c r="Z537" s="108" t="str">
        <f t="shared" si="98"/>
        <v/>
      </c>
      <c r="AB537" s="108">
        <f t="shared" si="99"/>
        <v>0</v>
      </c>
      <c r="AC537" s="108">
        <f>IF($A537="",0,IF(AND($AB537=1,COUNTIF($A$2:$A537,$A537)=1),1,0))</f>
        <v>0</v>
      </c>
      <c r="AD537" s="108">
        <f t="shared" si="100"/>
        <v>1</v>
      </c>
      <c r="AE537" s="108" t="str">
        <f t="shared" si="101"/>
        <v/>
      </c>
      <c r="AF537" s="108">
        <f t="shared" si="102"/>
        <v>0</v>
      </c>
      <c r="AG537" s="108">
        <f t="shared" si="103"/>
        <v>0</v>
      </c>
      <c r="AH537" s="110" t="str">
        <f t="shared" si="104"/>
        <v>S. Guataquira|20260902|Training - BPO|1.000|Today i learn about property description and how the land is divided acording to the state in U.S</v>
      </c>
      <c r="AI537" s="108">
        <f t="shared" si="105"/>
        <v>0</v>
      </c>
      <c r="AJ537" s="108">
        <f t="shared" si="106"/>
        <v>0</v>
      </c>
      <c r="AK537" s="108">
        <f>IF($A537="",0,IF(AND($S537=1,$W537=1,$X537=1,$U537&gt;Config!$C$9),1,0))</f>
        <v>0</v>
      </c>
      <c r="AL537" s="108">
        <f t="shared" si="107"/>
        <v>0</v>
      </c>
    </row>
    <row r="538" spans="1:38" ht="180.75" x14ac:dyDescent="0.25">
      <c r="A538" s="106" t="s">
        <v>834</v>
      </c>
      <c r="B538" s="106" t="s">
        <v>618</v>
      </c>
      <c r="C538" s="107">
        <v>46267</v>
      </c>
      <c r="D538" s="106" t="s">
        <v>623</v>
      </c>
      <c r="E538" s="106" t="s">
        <v>624</v>
      </c>
      <c r="F538" s="106" t="s">
        <v>615</v>
      </c>
      <c r="G538" s="106" t="s">
        <v>625</v>
      </c>
      <c r="H538" s="106" t="s">
        <v>819</v>
      </c>
      <c r="I538" s="106"/>
      <c r="J538" s="106" t="s">
        <v>823</v>
      </c>
      <c r="K538" s="106">
        <v>1</v>
      </c>
      <c r="L538" s="106">
        <v>0</v>
      </c>
      <c r="M538" s="106">
        <v>0</v>
      </c>
      <c r="N538" s="106"/>
      <c r="O538" s="106"/>
      <c r="P538" s="106">
        <v>0</v>
      </c>
      <c r="Q538" s="111" t="s">
        <v>1338</v>
      </c>
      <c r="S538" s="108">
        <f>IF($A538="","",COUNTIF(BPOworkers!$B$6:$B$105,$A538))</f>
        <v>0</v>
      </c>
      <c r="T538" s="109">
        <f>IF($A538="","",$K538*Config!$C$9)</f>
        <v>8</v>
      </c>
      <c r="U538" s="109">
        <f>IF($A538="","",IF(COUNTIF(Config!$C$21:$C$23,$H538)&gt;0,IFERROR(VALUE(LEFT(TRIM($Q538),FIND(" ",TRIM($Q538)&amp;" ")-1)),0),0))</f>
        <v>0</v>
      </c>
      <c r="V538" s="109">
        <f t="shared" si="96"/>
        <v>8</v>
      </c>
      <c r="W538" s="108">
        <f>IF($A538="",0,IF(AND($C538&gt;=Config!$C$7,$C538&lt;=Config!$C$8),1,0))</f>
        <v>1</v>
      </c>
      <c r="X538" s="108">
        <f>IF($A538="",0,IF(COUNTIF(Config!$C$21:$C$23,$H538)&gt;0,1,0))</f>
        <v>0</v>
      </c>
      <c r="Y538" s="108">
        <f t="shared" si="97"/>
        <v>10</v>
      </c>
      <c r="Z538" s="108" t="str">
        <f t="shared" si="98"/>
        <v/>
      </c>
      <c r="AB538" s="108">
        <f t="shared" si="99"/>
        <v>0</v>
      </c>
      <c r="AC538" s="108">
        <f>IF($A538="",0,IF(AND($AB538=1,COUNTIF($A$2:$A538,$A538)=1),1,0))</f>
        <v>0</v>
      </c>
      <c r="AD538" s="108">
        <f t="shared" si="100"/>
        <v>1</v>
      </c>
      <c r="AE538" s="108" t="str">
        <f t="shared" si="101"/>
        <v/>
      </c>
      <c r="AF538" s="108">
        <f t="shared" si="102"/>
        <v>0</v>
      </c>
      <c r="AG538" s="108">
        <f t="shared" si="103"/>
        <v>0</v>
      </c>
      <c r="AH538" s="112" t="str">
        <f t="shared" si="104"/>
        <v>C. Diaz|20260902|Training - BPO|1.000|Read the assigned pages of Chapter 3 and complete the Chapter 3 quiz in Rise. Afterward, read and plot a sample
 legal d</v>
      </c>
      <c r="AI538" s="108">
        <f t="shared" si="105"/>
        <v>0</v>
      </c>
      <c r="AJ538" s="108">
        <f t="shared" si="106"/>
        <v>0</v>
      </c>
      <c r="AK538" s="108">
        <f>IF($A538="",0,IF(AND($S538=1,$W538=1,$X538=1,$U538&gt;Config!$C$9),1,0))</f>
        <v>0</v>
      </c>
      <c r="AL538" s="108">
        <f t="shared" si="107"/>
        <v>0</v>
      </c>
    </row>
    <row r="539" spans="1:38" ht="216.75" x14ac:dyDescent="0.25">
      <c r="A539" s="106" t="s">
        <v>836</v>
      </c>
      <c r="B539" s="106" t="s">
        <v>618</v>
      </c>
      <c r="C539" s="107">
        <v>46267</v>
      </c>
      <c r="D539" s="106" t="s">
        <v>623</v>
      </c>
      <c r="E539" s="106" t="s">
        <v>624</v>
      </c>
      <c r="F539" s="106" t="s">
        <v>615</v>
      </c>
      <c r="G539" s="106" t="s">
        <v>625</v>
      </c>
      <c r="H539" s="106" t="s">
        <v>819</v>
      </c>
      <c r="I539" s="106"/>
      <c r="J539" s="106" t="s">
        <v>1339</v>
      </c>
      <c r="K539" s="106">
        <v>1</v>
      </c>
      <c r="L539" s="106">
        <v>0</v>
      </c>
      <c r="M539" s="106">
        <v>0</v>
      </c>
      <c r="N539" s="106"/>
      <c r="O539" s="106"/>
      <c r="P539" s="106">
        <v>0</v>
      </c>
      <c r="Q539" s="111" t="s">
        <v>1340</v>
      </c>
      <c r="S539" s="108">
        <f>IF($A539="","",COUNTIF(BPOworkers!$B$6:$B$105,$A539))</f>
        <v>0</v>
      </c>
      <c r="T539" s="109">
        <f>IF($A539="","",$K539*Config!$C$9)</f>
        <v>8</v>
      </c>
      <c r="U539" s="109">
        <f>IF($A539="","",IF(COUNTIF(Config!$C$21:$C$23,$H539)&gt;0,IFERROR(VALUE(LEFT(TRIM($Q539),FIND(" ",TRIM($Q539)&amp;" ")-1)),0),0))</f>
        <v>0</v>
      </c>
      <c r="V539" s="109">
        <f t="shared" si="96"/>
        <v>8</v>
      </c>
      <c r="W539" s="108">
        <f>IF($A539="",0,IF(AND($C539&gt;=Config!$C$7,$C539&lt;=Config!$C$8),1,0))</f>
        <v>1</v>
      </c>
      <c r="X539" s="108">
        <f>IF($A539="",0,IF(COUNTIF(Config!$C$21:$C$23,$H539)&gt;0,1,0))</f>
        <v>0</v>
      </c>
      <c r="Y539" s="108">
        <f t="shared" si="97"/>
        <v>10</v>
      </c>
      <c r="Z539" s="108" t="str">
        <f t="shared" si="98"/>
        <v/>
      </c>
      <c r="AB539" s="108">
        <f t="shared" si="99"/>
        <v>0</v>
      </c>
      <c r="AC539" s="108">
        <f>IF($A539="",0,IF(AND($AB539=1,COUNTIF($A$2:$A539,$A539)=1),1,0))</f>
        <v>0</v>
      </c>
      <c r="AD539" s="108">
        <f t="shared" si="100"/>
        <v>1</v>
      </c>
      <c r="AE539" s="108" t="str">
        <f t="shared" si="101"/>
        <v/>
      </c>
      <c r="AF539" s="108">
        <f t="shared" si="102"/>
        <v>0</v>
      </c>
      <c r="AG539" s="108">
        <f t="shared" si="103"/>
        <v>0</v>
      </c>
      <c r="AH539" s="112" t="str">
        <f t="shared" si="104"/>
        <v>T. Moreno|20260902|Training - BPO|1.000|Finish Rise/ELT lesson: “Texas Probate, Estates, and Trusts”. Carried over to preview Thursday's Chapter
 5 material — d</v>
      </c>
      <c r="AI539" s="108">
        <f t="shared" si="105"/>
        <v>0</v>
      </c>
      <c r="AJ539" s="108">
        <f t="shared" si="106"/>
        <v>0</v>
      </c>
      <c r="AK539" s="108">
        <f>IF($A539="",0,IF(AND($S539=1,$W539=1,$X539=1,$U539&gt;Config!$C$9),1,0))</f>
        <v>0</v>
      </c>
      <c r="AL539" s="108">
        <f t="shared" si="107"/>
        <v>0</v>
      </c>
    </row>
    <row r="540" spans="1:38" ht="168.75" x14ac:dyDescent="0.25">
      <c r="A540" s="106" t="s">
        <v>839</v>
      </c>
      <c r="B540" s="106" t="s">
        <v>618</v>
      </c>
      <c r="C540" s="107">
        <v>46267</v>
      </c>
      <c r="D540" s="106" t="s">
        <v>623</v>
      </c>
      <c r="E540" s="106" t="s">
        <v>624</v>
      </c>
      <c r="F540" s="106" t="s">
        <v>615</v>
      </c>
      <c r="G540" s="106" t="s">
        <v>625</v>
      </c>
      <c r="H540" s="106" t="s">
        <v>819</v>
      </c>
      <c r="I540" s="106"/>
      <c r="J540" s="106" t="s">
        <v>823</v>
      </c>
      <c r="K540" s="106">
        <v>1</v>
      </c>
      <c r="L540" s="106">
        <v>0</v>
      </c>
      <c r="M540" s="106">
        <v>0</v>
      </c>
      <c r="N540" s="106"/>
      <c r="O540" s="106"/>
      <c r="P540" s="106">
        <v>0</v>
      </c>
      <c r="Q540" s="111" t="s">
        <v>1341</v>
      </c>
      <c r="S540" s="108">
        <f>IF($A540="","",COUNTIF(BPOworkers!$B$6:$B$105,$A540))</f>
        <v>0</v>
      </c>
      <c r="T540" s="109">
        <f>IF($A540="","",$K540*Config!$C$9)</f>
        <v>8</v>
      </c>
      <c r="U540" s="109">
        <f>IF($A540="","",IF(COUNTIF(Config!$C$21:$C$23,$H540)&gt;0,IFERROR(VALUE(LEFT(TRIM($Q540),FIND(" ",TRIM($Q540)&amp;" ")-1)),0),0))</f>
        <v>0</v>
      </c>
      <c r="V540" s="109">
        <f t="shared" si="96"/>
        <v>8</v>
      </c>
      <c r="W540" s="108">
        <f>IF($A540="",0,IF(AND($C540&gt;=Config!$C$7,$C540&lt;=Config!$C$8),1,0))</f>
        <v>1</v>
      </c>
      <c r="X540" s="108">
        <f>IF($A540="",0,IF(COUNTIF(Config!$C$21:$C$23,$H540)&gt;0,1,0))</f>
        <v>0</v>
      </c>
      <c r="Y540" s="108">
        <f t="shared" si="97"/>
        <v>10</v>
      </c>
      <c r="Z540" s="108" t="str">
        <f t="shared" si="98"/>
        <v/>
      </c>
      <c r="AB540" s="108">
        <f t="shared" si="99"/>
        <v>0</v>
      </c>
      <c r="AC540" s="108">
        <f>IF($A540="",0,IF(AND($AB540=1,COUNTIF($A$2:$A540,$A540)=1),1,0))</f>
        <v>0</v>
      </c>
      <c r="AD540" s="108">
        <f t="shared" si="100"/>
        <v>1</v>
      </c>
      <c r="AE540" s="108" t="str">
        <f t="shared" si="101"/>
        <v/>
      </c>
      <c r="AF540" s="108">
        <f t="shared" si="102"/>
        <v>0</v>
      </c>
      <c r="AG540" s="108">
        <f t="shared" si="103"/>
        <v>0</v>
      </c>
      <c r="AH540" s="112" t="str">
        <f t="shared" si="104"/>
        <v xml:space="preserve">S. Lopez|20260902|Training - BPO|1.000|Reading the Chapter 3 of the Guide. 
 Diong the Quiz number 3 on the Rise platform. 
 Doing the following lesson in the </v>
      </c>
      <c r="AI540" s="108">
        <f t="shared" si="105"/>
        <v>0</v>
      </c>
      <c r="AJ540" s="108">
        <f t="shared" si="106"/>
        <v>0</v>
      </c>
      <c r="AK540" s="108">
        <f>IF($A540="",0,IF(AND($S540=1,$W540=1,$X540=1,$U540&gt;Config!$C$9),1,0))</f>
        <v>0</v>
      </c>
      <c r="AL540" s="108">
        <f t="shared" si="107"/>
        <v>0</v>
      </c>
    </row>
    <row r="541" spans="1:38" ht="180.75" x14ac:dyDescent="0.25">
      <c r="A541" s="106" t="s">
        <v>841</v>
      </c>
      <c r="B541" s="106" t="s">
        <v>618</v>
      </c>
      <c r="C541" s="107">
        <v>46267</v>
      </c>
      <c r="D541" s="106" t="s">
        <v>623</v>
      </c>
      <c r="E541" s="106" t="s">
        <v>624</v>
      </c>
      <c r="F541" s="106" t="s">
        <v>615</v>
      </c>
      <c r="G541" s="106" t="s">
        <v>625</v>
      </c>
      <c r="H541" s="106" t="s">
        <v>819</v>
      </c>
      <c r="I541" s="106"/>
      <c r="J541" s="106" t="s">
        <v>823</v>
      </c>
      <c r="K541" s="106">
        <v>1</v>
      </c>
      <c r="L541" s="106">
        <v>0</v>
      </c>
      <c r="M541" s="106">
        <v>0</v>
      </c>
      <c r="N541" s="106"/>
      <c r="O541" s="106"/>
      <c r="P541" s="106">
        <v>0</v>
      </c>
      <c r="Q541" s="111" t="s">
        <v>1338</v>
      </c>
      <c r="S541" s="108">
        <f>IF($A541="","",COUNTIF(BPOworkers!$B$6:$B$105,$A541))</f>
        <v>0</v>
      </c>
      <c r="T541" s="109">
        <f>IF($A541="","",$K541*Config!$C$9)</f>
        <v>8</v>
      </c>
      <c r="U541" s="109">
        <f>IF($A541="","",IF(COUNTIF(Config!$C$21:$C$23,$H541)&gt;0,IFERROR(VALUE(LEFT(TRIM($Q541),FIND(" ",TRIM($Q541)&amp;" ")-1)),0),0))</f>
        <v>0</v>
      </c>
      <c r="V541" s="109">
        <f t="shared" si="96"/>
        <v>8</v>
      </c>
      <c r="W541" s="108">
        <f>IF($A541="",0,IF(AND($C541&gt;=Config!$C$7,$C541&lt;=Config!$C$8),1,0))</f>
        <v>1</v>
      </c>
      <c r="X541" s="108">
        <f>IF($A541="",0,IF(COUNTIF(Config!$C$21:$C$23,$H541)&gt;0,1,0))</f>
        <v>0</v>
      </c>
      <c r="Y541" s="108">
        <f t="shared" si="97"/>
        <v>10</v>
      </c>
      <c r="Z541" s="108" t="str">
        <f t="shared" si="98"/>
        <v/>
      </c>
      <c r="AB541" s="108">
        <f t="shared" si="99"/>
        <v>0</v>
      </c>
      <c r="AC541" s="108">
        <f>IF($A541="",0,IF(AND($AB541=1,COUNTIF($A$2:$A541,$A541)=1),1,0))</f>
        <v>0</v>
      </c>
      <c r="AD541" s="108">
        <f t="shared" si="100"/>
        <v>1</v>
      </c>
      <c r="AE541" s="108" t="str">
        <f t="shared" si="101"/>
        <v/>
      </c>
      <c r="AF541" s="108">
        <f t="shared" si="102"/>
        <v>0</v>
      </c>
      <c r="AG541" s="108">
        <f t="shared" si="103"/>
        <v>0</v>
      </c>
      <c r="AH541" s="112" t="str">
        <f t="shared" si="104"/>
        <v>A. Roa|20260902|Training - BPO|1.000|Read the assigned pages of Chapter 3 and complete the Chapter 3 quiz in Rise. Afterward, read and plot a sample
 legal d</v>
      </c>
      <c r="AI541" s="108">
        <f t="shared" si="105"/>
        <v>0</v>
      </c>
      <c r="AJ541" s="108">
        <f t="shared" si="106"/>
        <v>0</v>
      </c>
      <c r="AK541" s="108">
        <f>IF($A541="",0,IF(AND($S541=1,$W541=1,$X541=1,$U541&gt;Config!$C$9),1,0))</f>
        <v>0</v>
      </c>
      <c r="AL541" s="108">
        <f t="shared" si="107"/>
        <v>0</v>
      </c>
    </row>
    <row r="542" spans="1:38" x14ac:dyDescent="0.25">
      <c r="A542" s="106" t="s">
        <v>843</v>
      </c>
      <c r="B542" s="106" t="s">
        <v>618</v>
      </c>
      <c r="C542" s="107">
        <v>46267</v>
      </c>
      <c r="D542" s="106" t="s">
        <v>623</v>
      </c>
      <c r="E542" s="106" t="s">
        <v>624</v>
      </c>
      <c r="F542" s="106" t="s">
        <v>615</v>
      </c>
      <c r="G542" s="106" t="s">
        <v>625</v>
      </c>
      <c r="H542" s="106" t="s">
        <v>819</v>
      </c>
      <c r="I542" s="106"/>
      <c r="J542" s="106" t="s">
        <v>823</v>
      </c>
      <c r="K542" s="106">
        <v>1</v>
      </c>
      <c r="L542" s="106">
        <v>0</v>
      </c>
      <c r="M542" s="106">
        <v>0</v>
      </c>
      <c r="N542" s="106"/>
      <c r="O542" s="106"/>
      <c r="P542" s="106">
        <v>0</v>
      </c>
      <c r="Q542" s="106" t="s">
        <v>1062</v>
      </c>
      <c r="S542" s="108">
        <f>IF($A542="","",COUNTIF(BPOworkers!$B$6:$B$105,$A542))</f>
        <v>0</v>
      </c>
      <c r="T542" s="109">
        <f>IF($A542="","",$K542*Config!$C$9)</f>
        <v>8</v>
      </c>
      <c r="U542" s="109">
        <f>IF($A542="","",IF(COUNTIF(Config!$C$21:$C$23,$H542)&gt;0,IFERROR(VALUE(LEFT(TRIM($Q542),FIND(" ",TRIM($Q542)&amp;" ")-1)),0),0))</f>
        <v>0</v>
      </c>
      <c r="V542" s="109">
        <f t="shared" si="96"/>
        <v>8</v>
      </c>
      <c r="W542" s="108">
        <f>IF($A542="",0,IF(AND($C542&gt;=Config!$C$7,$C542&lt;=Config!$C$8),1,0))</f>
        <v>1</v>
      </c>
      <c r="X542" s="108">
        <f>IF($A542="",0,IF(COUNTIF(Config!$C$21:$C$23,$H542)&gt;0,1,0))</f>
        <v>0</v>
      </c>
      <c r="Y542" s="108">
        <f t="shared" si="97"/>
        <v>10</v>
      </c>
      <c r="Z542" s="108" t="str">
        <f t="shared" si="98"/>
        <v/>
      </c>
      <c r="AB542" s="108">
        <f t="shared" si="99"/>
        <v>0</v>
      </c>
      <c r="AC542" s="108">
        <f>IF($A542="",0,IF(AND($AB542=1,COUNTIF($A$2:$A542,$A542)=1),1,0))</f>
        <v>0</v>
      </c>
      <c r="AD542" s="108">
        <f t="shared" si="100"/>
        <v>1</v>
      </c>
      <c r="AE542" s="108" t="str">
        <f t="shared" si="101"/>
        <v/>
      </c>
      <c r="AF542" s="108">
        <f t="shared" si="102"/>
        <v>0</v>
      </c>
      <c r="AG542" s="108">
        <f t="shared" si="103"/>
        <v>0</v>
      </c>
      <c r="AH542" s="110" t="str">
        <f t="shared" si="104"/>
        <v>G. Gonzalez|20260902|Training - BPO|1.000|Did the lectures and quiz</v>
      </c>
      <c r="AI542" s="108">
        <f t="shared" si="105"/>
        <v>0</v>
      </c>
      <c r="AJ542" s="108">
        <f t="shared" si="106"/>
        <v>0</v>
      </c>
      <c r="AK542" s="108">
        <f>IF($A542="",0,IF(AND($S542=1,$W542=1,$X542=1,$U542&gt;Config!$C$9),1,0))</f>
        <v>0</v>
      </c>
      <c r="AL542" s="108">
        <f t="shared" si="107"/>
        <v>0</v>
      </c>
    </row>
    <row r="543" spans="1:38" ht="192.75" x14ac:dyDescent="0.25">
      <c r="A543" s="106" t="s">
        <v>845</v>
      </c>
      <c r="B543" s="106" t="s">
        <v>618</v>
      </c>
      <c r="C543" s="107">
        <v>46267</v>
      </c>
      <c r="D543" s="106" t="s">
        <v>623</v>
      </c>
      <c r="E543" s="106" t="s">
        <v>624</v>
      </c>
      <c r="F543" s="106" t="s">
        <v>615</v>
      </c>
      <c r="G543" s="106" t="s">
        <v>625</v>
      </c>
      <c r="H543" s="106" t="s">
        <v>819</v>
      </c>
      <c r="I543" s="106"/>
      <c r="J543" s="106" t="s">
        <v>823</v>
      </c>
      <c r="K543" s="106">
        <v>1</v>
      </c>
      <c r="L543" s="106">
        <v>0</v>
      </c>
      <c r="M543" s="106">
        <v>0</v>
      </c>
      <c r="N543" s="106"/>
      <c r="O543" s="106"/>
      <c r="P543" s="106">
        <v>0</v>
      </c>
      <c r="Q543" s="111" t="s">
        <v>1342</v>
      </c>
      <c r="S543" s="108">
        <f>IF($A543="","",COUNTIF(BPOworkers!$B$6:$B$105,$A543))</f>
        <v>0</v>
      </c>
      <c r="T543" s="109">
        <f>IF($A543="","",$K543*Config!$C$9)</f>
        <v>8</v>
      </c>
      <c r="U543" s="109">
        <f>IF($A543="","",IF(COUNTIF(Config!$C$21:$C$23,$H543)&gt;0,IFERROR(VALUE(LEFT(TRIM($Q543),FIND(" ",TRIM($Q543)&amp;" ")-1)),0),0))</f>
        <v>0</v>
      </c>
      <c r="V543" s="109">
        <f t="shared" si="96"/>
        <v>8</v>
      </c>
      <c r="W543" s="108">
        <f>IF($A543="",0,IF(AND($C543&gt;=Config!$C$7,$C543&lt;=Config!$C$8),1,0))</f>
        <v>1</v>
      </c>
      <c r="X543" s="108">
        <f>IF($A543="",0,IF(COUNTIF(Config!$C$21:$C$23,$H543)&gt;0,1,0))</f>
        <v>0</v>
      </c>
      <c r="Y543" s="108">
        <f t="shared" si="97"/>
        <v>10</v>
      </c>
      <c r="Z543" s="108" t="str">
        <f t="shared" si="98"/>
        <v/>
      </c>
      <c r="AB543" s="108">
        <f t="shared" si="99"/>
        <v>0</v>
      </c>
      <c r="AC543" s="108">
        <f>IF($A543="",0,IF(AND($AB543=1,COUNTIF($A$2:$A543,$A543)=1),1,0))</f>
        <v>0</v>
      </c>
      <c r="AD543" s="108">
        <f t="shared" si="100"/>
        <v>1</v>
      </c>
      <c r="AE543" s="108" t="str">
        <f t="shared" si="101"/>
        <v/>
      </c>
      <c r="AF543" s="108">
        <f t="shared" si="102"/>
        <v>0</v>
      </c>
      <c r="AG543" s="108">
        <f t="shared" si="103"/>
        <v>0</v>
      </c>
      <c r="AH543" s="112" t="str">
        <f t="shared" si="104"/>
        <v>L. Rincon|20260902|Training - BPO|1.000|Finish Rise/ELT lesson: “Texas Probate, Estates, and Trusts”. 
 Chapter 5 material — do this first thing.
 Reading: Chap</v>
      </c>
      <c r="AI543" s="108">
        <f t="shared" si="105"/>
        <v>0</v>
      </c>
      <c r="AJ543" s="108">
        <f t="shared" si="106"/>
        <v>0</v>
      </c>
      <c r="AK543" s="108">
        <f>IF($A543="",0,IF(AND($S543=1,$W543=1,$X543=1,$U543&gt;Config!$C$9),1,0))</f>
        <v>0</v>
      </c>
      <c r="AL543" s="108">
        <f t="shared" si="107"/>
        <v>0</v>
      </c>
    </row>
    <row r="544" spans="1:38" ht="204.75" x14ac:dyDescent="0.25">
      <c r="A544" s="106" t="s">
        <v>847</v>
      </c>
      <c r="B544" s="106" t="s">
        <v>618</v>
      </c>
      <c r="C544" s="107">
        <v>46267</v>
      </c>
      <c r="D544" s="106" t="s">
        <v>623</v>
      </c>
      <c r="E544" s="106" t="s">
        <v>624</v>
      </c>
      <c r="F544" s="106" t="s">
        <v>615</v>
      </c>
      <c r="G544" s="106" t="s">
        <v>625</v>
      </c>
      <c r="H544" s="106" t="s">
        <v>819</v>
      </c>
      <c r="I544" s="106"/>
      <c r="J544" s="106" t="s">
        <v>1343</v>
      </c>
      <c r="K544" s="106">
        <v>1</v>
      </c>
      <c r="L544" s="106">
        <v>0</v>
      </c>
      <c r="M544" s="106">
        <v>0</v>
      </c>
      <c r="N544" s="106"/>
      <c r="O544" s="106"/>
      <c r="P544" s="106">
        <v>0</v>
      </c>
      <c r="Q544" s="111" t="s">
        <v>1344</v>
      </c>
      <c r="S544" s="108">
        <f>IF($A544="","",COUNTIF(BPOworkers!$B$6:$B$105,$A544))</f>
        <v>0</v>
      </c>
      <c r="T544" s="109">
        <f>IF($A544="","",$K544*Config!$C$9)</f>
        <v>8</v>
      </c>
      <c r="U544" s="109">
        <f>IF($A544="","",IF(COUNTIF(Config!$C$21:$C$23,$H544)&gt;0,IFERROR(VALUE(LEFT(TRIM($Q544),FIND(" ",TRIM($Q544)&amp;" ")-1)),0),0))</f>
        <v>0</v>
      </c>
      <c r="V544" s="109">
        <f t="shared" si="96"/>
        <v>8</v>
      </c>
      <c r="W544" s="108">
        <f>IF($A544="",0,IF(AND($C544&gt;=Config!$C$7,$C544&lt;=Config!$C$8),1,0))</f>
        <v>1</v>
      </c>
      <c r="X544" s="108">
        <f>IF($A544="",0,IF(COUNTIF(Config!$C$21:$C$23,$H544)&gt;0,1,0))</f>
        <v>0</v>
      </c>
      <c r="Y544" s="108">
        <f t="shared" si="97"/>
        <v>10</v>
      </c>
      <c r="Z544" s="108" t="str">
        <f t="shared" si="98"/>
        <v/>
      </c>
      <c r="AB544" s="108">
        <f t="shared" si="99"/>
        <v>0</v>
      </c>
      <c r="AC544" s="108">
        <f>IF($A544="",0,IF(AND($AB544=1,COUNTIF($A$2:$A544,$A544)=1),1,0))</f>
        <v>0</v>
      </c>
      <c r="AD544" s="108">
        <f t="shared" si="100"/>
        <v>1</v>
      </c>
      <c r="AE544" s="108" t="str">
        <f t="shared" si="101"/>
        <v/>
      </c>
      <c r="AF544" s="108">
        <f t="shared" si="102"/>
        <v>0</v>
      </c>
      <c r="AG544" s="108">
        <f t="shared" si="103"/>
        <v>0</v>
      </c>
      <c r="AH544" s="112" t="str">
        <f t="shared" si="104"/>
        <v>A. Mojica|20260902|Training - BPO|1.000|Finish Rise/ELT lesson: “Texas Intestate Succession for Title and Land Examiners: Practical Application”. 
 Reading: Cha</v>
      </c>
      <c r="AI544" s="108">
        <f t="shared" si="105"/>
        <v>0</v>
      </c>
      <c r="AJ544" s="108">
        <f t="shared" si="106"/>
        <v>0</v>
      </c>
      <c r="AK544" s="108">
        <f>IF($A544="",0,IF(AND($S544=1,$W544=1,$X544=1,$U544&gt;Config!$C$9),1,0))</f>
        <v>0</v>
      </c>
      <c r="AL544" s="108">
        <f t="shared" si="107"/>
        <v>0</v>
      </c>
    </row>
    <row r="545" spans="1:38" x14ac:dyDescent="0.25">
      <c r="A545" s="106" t="s">
        <v>850</v>
      </c>
      <c r="B545" s="106" t="s">
        <v>618</v>
      </c>
      <c r="C545" s="107">
        <v>46267</v>
      </c>
      <c r="D545" s="106" t="s">
        <v>669</v>
      </c>
      <c r="E545" s="106" t="s">
        <v>669</v>
      </c>
      <c r="F545" s="106" t="s">
        <v>615</v>
      </c>
      <c r="G545" s="106"/>
      <c r="H545" s="106" t="s">
        <v>819</v>
      </c>
      <c r="I545" s="106"/>
      <c r="J545" s="106" t="s">
        <v>823</v>
      </c>
      <c r="K545" s="106">
        <v>1</v>
      </c>
      <c r="L545" s="106">
        <v>0</v>
      </c>
      <c r="M545" s="106">
        <v>0</v>
      </c>
      <c r="N545" s="106"/>
      <c r="O545" s="106"/>
      <c r="P545" s="106">
        <v>0</v>
      </c>
      <c r="Q545" s="106" t="s">
        <v>1345</v>
      </c>
      <c r="S545" s="108">
        <f>IF($A545="","",COUNTIF(BPOworkers!$B$6:$B$105,$A545))</f>
        <v>0</v>
      </c>
      <c r="T545" s="109">
        <f>IF($A545="","",$K545*Config!$C$9)</f>
        <v>8</v>
      </c>
      <c r="U545" s="109">
        <f>IF($A545="","",IF(COUNTIF(Config!$C$21:$C$23,$H545)&gt;0,IFERROR(VALUE(LEFT(TRIM($Q545),FIND(" ",TRIM($Q545)&amp;" ")-1)),0),0))</f>
        <v>0</v>
      </c>
      <c r="V545" s="109">
        <f t="shared" si="96"/>
        <v>8</v>
      </c>
      <c r="W545" s="108">
        <f>IF($A545="",0,IF(AND($C545&gt;=Config!$C$7,$C545&lt;=Config!$C$8),1,0))</f>
        <v>1</v>
      </c>
      <c r="X545" s="108">
        <f>IF($A545="",0,IF(COUNTIF(Config!$C$21:$C$23,$H545)&gt;0,1,0))</f>
        <v>0</v>
      </c>
      <c r="Y545" s="108">
        <f t="shared" si="97"/>
        <v>10</v>
      </c>
      <c r="Z545" s="108" t="str">
        <f t="shared" si="98"/>
        <v/>
      </c>
      <c r="AB545" s="108">
        <f t="shared" si="99"/>
        <v>0</v>
      </c>
      <c r="AC545" s="108">
        <f>IF($A545="",0,IF(AND($AB545=1,COUNTIF($A$2:$A545,$A545)=1),1,0))</f>
        <v>0</v>
      </c>
      <c r="AD545" s="108">
        <f t="shared" si="100"/>
        <v>1</v>
      </c>
      <c r="AE545" s="108" t="str">
        <f t="shared" si="101"/>
        <v/>
      </c>
      <c r="AF545" s="108">
        <f t="shared" si="102"/>
        <v>0</v>
      </c>
      <c r="AG545" s="108">
        <f t="shared" si="103"/>
        <v>0</v>
      </c>
      <c r="AH545" s="110" t="str">
        <f t="shared" si="104"/>
        <v>M. Patron|20260902|Training - BPO|1.000|Reading of Chapter 3 and training exercises, execution of program activities.</v>
      </c>
      <c r="AI545" s="108">
        <f t="shared" si="105"/>
        <v>0</v>
      </c>
      <c r="AJ545" s="108">
        <f t="shared" si="106"/>
        <v>0</v>
      </c>
      <c r="AK545" s="108">
        <f>IF($A545="",0,IF(AND($S545=1,$W545=1,$X545=1,$U545&gt;Config!$C$9),1,0))</f>
        <v>0</v>
      </c>
      <c r="AL545" s="108">
        <f t="shared" si="107"/>
        <v>0</v>
      </c>
    </row>
    <row r="546" spans="1:38" x14ac:dyDescent="0.25">
      <c r="A546" s="106" t="s">
        <v>852</v>
      </c>
      <c r="B546" s="106" t="s">
        <v>618</v>
      </c>
      <c r="C546" s="107">
        <v>46267</v>
      </c>
      <c r="D546" s="106" t="s">
        <v>623</v>
      </c>
      <c r="E546" s="106" t="s">
        <v>624</v>
      </c>
      <c r="F546" s="106" t="s">
        <v>615</v>
      </c>
      <c r="G546" s="106" t="s">
        <v>625</v>
      </c>
      <c r="H546" s="106" t="s">
        <v>819</v>
      </c>
      <c r="I546" s="106"/>
      <c r="J546" s="106" t="s">
        <v>823</v>
      </c>
      <c r="K546" s="106">
        <v>1</v>
      </c>
      <c r="L546" s="106">
        <v>0</v>
      </c>
      <c r="M546" s="106">
        <v>0</v>
      </c>
      <c r="N546" s="106"/>
      <c r="O546" s="106"/>
      <c r="P546" s="106">
        <v>0</v>
      </c>
      <c r="Q546" s="106" t="s">
        <v>1346</v>
      </c>
      <c r="S546" s="108">
        <f>IF($A546="","",COUNTIF(BPOworkers!$B$6:$B$105,$A546))</f>
        <v>0</v>
      </c>
      <c r="T546" s="109">
        <f>IF($A546="","",$K546*Config!$C$9)</f>
        <v>8</v>
      </c>
      <c r="U546" s="109">
        <f>IF($A546="","",IF(COUNTIF(Config!$C$21:$C$23,$H546)&gt;0,IFERROR(VALUE(LEFT(TRIM($Q546),FIND(" ",TRIM($Q546)&amp;" ")-1)),0),0))</f>
        <v>0</v>
      </c>
      <c r="V546" s="109">
        <f t="shared" si="96"/>
        <v>8</v>
      </c>
      <c r="W546" s="108">
        <f>IF($A546="",0,IF(AND($C546&gt;=Config!$C$7,$C546&lt;=Config!$C$8),1,0))</f>
        <v>1</v>
      </c>
      <c r="X546" s="108">
        <f>IF($A546="",0,IF(COUNTIF(Config!$C$21:$C$23,$H546)&gt;0,1,0))</f>
        <v>0</v>
      </c>
      <c r="Y546" s="108">
        <f t="shared" si="97"/>
        <v>10</v>
      </c>
      <c r="Z546" s="108" t="str">
        <f t="shared" si="98"/>
        <v/>
      </c>
      <c r="AB546" s="108">
        <f t="shared" si="99"/>
        <v>0</v>
      </c>
      <c r="AC546" s="108">
        <f>IF($A546="",0,IF(AND($AB546=1,COUNTIF($A$2:$A546,$A546)=1),1,0))</f>
        <v>0</v>
      </c>
      <c r="AD546" s="108">
        <f t="shared" si="100"/>
        <v>1</v>
      </c>
      <c r="AE546" s="108" t="str">
        <f t="shared" si="101"/>
        <v/>
      </c>
      <c r="AF546" s="108">
        <f t="shared" si="102"/>
        <v>0</v>
      </c>
      <c r="AG546" s="108">
        <f t="shared" si="103"/>
        <v>0</v>
      </c>
      <c r="AH546" s="110" t="str">
        <f t="shared" si="104"/>
        <v>A. Pujana|20260902|Training - BPO|1.000|Completed onboarding training: finished Rise/ELT lesson "Texas Probate, Estates, and Trusts," read Chapter 3 (Property D</v>
      </c>
      <c r="AI546" s="108">
        <f t="shared" si="105"/>
        <v>0</v>
      </c>
      <c r="AJ546" s="108">
        <f t="shared" si="106"/>
        <v>0</v>
      </c>
      <c r="AK546" s="108">
        <f>IF($A546="",0,IF(AND($S546=1,$W546=1,$X546=1,$U546&gt;Config!$C$9),1,0))</f>
        <v>0</v>
      </c>
      <c r="AL546" s="108">
        <f t="shared" si="107"/>
        <v>0</v>
      </c>
    </row>
    <row r="547" spans="1:38" ht="192.75" x14ac:dyDescent="0.25">
      <c r="A547" s="106" t="s">
        <v>854</v>
      </c>
      <c r="B547" s="106" t="s">
        <v>618</v>
      </c>
      <c r="C547" s="107">
        <v>46267</v>
      </c>
      <c r="D547" s="106" t="s">
        <v>623</v>
      </c>
      <c r="E547" s="106" t="s">
        <v>624</v>
      </c>
      <c r="F547" s="106" t="s">
        <v>615</v>
      </c>
      <c r="G547" s="106" t="s">
        <v>625</v>
      </c>
      <c r="H547" s="106" t="s">
        <v>819</v>
      </c>
      <c r="I547" s="106"/>
      <c r="J547" s="106" t="s">
        <v>855</v>
      </c>
      <c r="K547" s="106">
        <v>1</v>
      </c>
      <c r="L547" s="106">
        <v>0</v>
      </c>
      <c r="M547" s="106">
        <v>0</v>
      </c>
      <c r="N547" s="106"/>
      <c r="O547" s="106"/>
      <c r="P547" s="106">
        <v>0</v>
      </c>
      <c r="Q547" s="111" t="s">
        <v>1347</v>
      </c>
      <c r="S547" s="108">
        <f>IF($A547="","",COUNTIF(BPOworkers!$B$6:$B$105,$A547))</f>
        <v>0</v>
      </c>
      <c r="T547" s="109">
        <f>IF($A547="","",$K547*Config!$C$9)</f>
        <v>8</v>
      </c>
      <c r="U547" s="109">
        <f>IF($A547="","",IF(COUNTIF(Config!$C$21:$C$23,$H547)&gt;0,IFERROR(VALUE(LEFT(TRIM($Q547),FIND(" ",TRIM($Q547)&amp;" ")-1)),0),0))</f>
        <v>0</v>
      </c>
      <c r="V547" s="109">
        <f t="shared" si="96"/>
        <v>8</v>
      </c>
      <c r="W547" s="108">
        <f>IF($A547="",0,IF(AND($C547&gt;=Config!$C$7,$C547&lt;=Config!$C$8),1,0))</f>
        <v>1</v>
      </c>
      <c r="X547" s="108">
        <f>IF($A547="",0,IF(COUNTIF(Config!$C$21:$C$23,$H547)&gt;0,1,0))</f>
        <v>0</v>
      </c>
      <c r="Y547" s="108">
        <f t="shared" si="97"/>
        <v>10</v>
      </c>
      <c r="Z547" s="108" t="str">
        <f t="shared" si="98"/>
        <v/>
      </c>
      <c r="AB547" s="108">
        <f t="shared" si="99"/>
        <v>0</v>
      </c>
      <c r="AC547" s="108">
        <f>IF($A547="",0,IF(AND($AB547=1,COUNTIF($A$2:$A547,$A547)=1),1,0))</f>
        <v>0</v>
      </c>
      <c r="AD547" s="108">
        <f t="shared" si="100"/>
        <v>1</v>
      </c>
      <c r="AE547" s="108" t="str">
        <f t="shared" si="101"/>
        <v/>
      </c>
      <c r="AF547" s="108">
        <f t="shared" si="102"/>
        <v>0</v>
      </c>
      <c r="AG547" s="108">
        <f t="shared" si="103"/>
        <v>0</v>
      </c>
      <c r="AH547" s="112" t="str">
        <f t="shared" si="104"/>
        <v>L. Cardenas|20260902|Training - BPO|1.000|Reading assignment chapter 3: Property Descriptions, Rise quiz and ELT Lesson:
 “Texas Probate, Estates, and Trusts”</v>
      </c>
      <c r="AI547" s="108">
        <f t="shared" si="105"/>
        <v>0</v>
      </c>
      <c r="AJ547" s="108">
        <f t="shared" si="106"/>
        <v>0</v>
      </c>
      <c r="AK547" s="108">
        <f>IF($A547="",0,IF(AND($S547=1,$W547=1,$X547=1,$U547&gt;Config!$C$9),1,0))</f>
        <v>0</v>
      </c>
      <c r="AL547" s="108">
        <f t="shared" si="107"/>
        <v>0</v>
      </c>
    </row>
    <row r="548" spans="1:38" ht="180.75" x14ac:dyDescent="0.25">
      <c r="A548" s="106" t="s">
        <v>858</v>
      </c>
      <c r="B548" s="106" t="s">
        <v>618</v>
      </c>
      <c r="C548" s="107">
        <v>46267</v>
      </c>
      <c r="D548" s="106" t="s">
        <v>623</v>
      </c>
      <c r="E548" s="106" t="s">
        <v>624</v>
      </c>
      <c r="F548" s="106" t="s">
        <v>615</v>
      </c>
      <c r="G548" s="106" t="s">
        <v>625</v>
      </c>
      <c r="H548" s="106" t="s">
        <v>819</v>
      </c>
      <c r="I548" s="106"/>
      <c r="J548" s="106" t="s">
        <v>832</v>
      </c>
      <c r="K548" s="106">
        <v>1</v>
      </c>
      <c r="L548" s="106">
        <v>0</v>
      </c>
      <c r="M548" s="106">
        <v>0</v>
      </c>
      <c r="N548" s="106"/>
      <c r="O548" s="106"/>
      <c r="P548" s="106">
        <v>0</v>
      </c>
      <c r="Q548" s="111" t="s">
        <v>1338</v>
      </c>
      <c r="S548" s="108">
        <f>IF($A548="","",COUNTIF(BPOworkers!$B$6:$B$105,$A548))</f>
        <v>0</v>
      </c>
      <c r="T548" s="109">
        <f>IF($A548="","",$K548*Config!$C$9)</f>
        <v>8</v>
      </c>
      <c r="U548" s="109">
        <f>IF($A548="","",IF(COUNTIF(Config!$C$21:$C$23,$H548)&gt;0,IFERROR(VALUE(LEFT(TRIM($Q548),FIND(" ",TRIM($Q548)&amp;" ")-1)),0),0))</f>
        <v>0</v>
      </c>
      <c r="V548" s="109">
        <f t="shared" si="96"/>
        <v>8</v>
      </c>
      <c r="W548" s="108">
        <f>IF($A548="",0,IF(AND($C548&gt;=Config!$C$7,$C548&lt;=Config!$C$8),1,0))</f>
        <v>1</v>
      </c>
      <c r="X548" s="108">
        <f>IF($A548="",0,IF(COUNTIF(Config!$C$21:$C$23,$H548)&gt;0,1,0))</f>
        <v>0</v>
      </c>
      <c r="Y548" s="108">
        <f t="shared" si="97"/>
        <v>10</v>
      </c>
      <c r="Z548" s="108" t="str">
        <f t="shared" si="98"/>
        <v/>
      </c>
      <c r="AB548" s="108">
        <f t="shared" si="99"/>
        <v>0</v>
      </c>
      <c r="AC548" s="108">
        <f>IF($A548="",0,IF(AND($AB548=1,COUNTIF($A$2:$A548,$A548)=1),1,0))</f>
        <v>0</v>
      </c>
      <c r="AD548" s="108">
        <f t="shared" si="100"/>
        <v>1</v>
      </c>
      <c r="AE548" s="108" t="str">
        <f t="shared" si="101"/>
        <v/>
      </c>
      <c r="AF548" s="108">
        <f t="shared" si="102"/>
        <v>0</v>
      </c>
      <c r="AG548" s="108">
        <f t="shared" si="103"/>
        <v>0</v>
      </c>
      <c r="AH548" s="112" t="str">
        <f t="shared" si="104"/>
        <v>S. Torres|20260902|Training - BPO|1.000|Read the assigned pages of Chapter 3 and complete the Chapter 3 quiz in Rise. Afterward, read and plot a sample
 legal d</v>
      </c>
      <c r="AI548" s="108">
        <f t="shared" si="105"/>
        <v>0</v>
      </c>
      <c r="AJ548" s="108">
        <f t="shared" si="106"/>
        <v>0</v>
      </c>
      <c r="AK548" s="108">
        <f>IF($A548="",0,IF(AND($S548=1,$W548=1,$X548=1,$U548&gt;Config!$C$9),1,0))</f>
        <v>0</v>
      </c>
      <c r="AL548" s="108">
        <f t="shared" si="107"/>
        <v>0</v>
      </c>
    </row>
    <row r="549" spans="1:38" x14ac:dyDescent="0.25">
      <c r="A549" s="106" t="s">
        <v>859</v>
      </c>
      <c r="B549" s="106" t="s">
        <v>618</v>
      </c>
      <c r="C549" s="107">
        <v>46267</v>
      </c>
      <c r="D549" s="106" t="s">
        <v>623</v>
      </c>
      <c r="E549" s="106" t="s">
        <v>624</v>
      </c>
      <c r="F549" s="106" t="s">
        <v>615</v>
      </c>
      <c r="G549" s="106" t="s">
        <v>625</v>
      </c>
      <c r="H549" s="106" t="s">
        <v>819</v>
      </c>
      <c r="I549" s="106" t="s">
        <v>831</v>
      </c>
      <c r="J549" s="106" t="s">
        <v>823</v>
      </c>
      <c r="K549" s="106">
        <v>1</v>
      </c>
      <c r="L549" s="106">
        <v>0</v>
      </c>
      <c r="M549" s="106">
        <v>0</v>
      </c>
      <c r="N549" s="106"/>
      <c r="O549" s="106"/>
      <c r="P549" s="106">
        <v>0</v>
      </c>
      <c r="Q549" s="106" t="s">
        <v>1348</v>
      </c>
      <c r="S549" s="108">
        <f>IF($A549="","",COUNTIF(BPOworkers!$B$6:$B$105,$A549))</f>
        <v>0</v>
      </c>
      <c r="T549" s="109">
        <f>IF($A549="","",$K549*Config!$C$9)</f>
        <v>8</v>
      </c>
      <c r="U549" s="109">
        <f>IF($A549="","",IF(COUNTIF(Config!$C$21:$C$23,$H549)&gt;0,IFERROR(VALUE(LEFT(TRIM($Q549),FIND(" ",TRIM($Q549)&amp;" ")-1)),0),0))</f>
        <v>0</v>
      </c>
      <c r="V549" s="109">
        <f t="shared" si="96"/>
        <v>8</v>
      </c>
      <c r="W549" s="108">
        <f>IF($A549="",0,IF(AND($C549&gt;=Config!$C$7,$C549&lt;=Config!$C$8),1,0))</f>
        <v>1</v>
      </c>
      <c r="X549" s="108">
        <f>IF($A549="",0,IF(COUNTIF(Config!$C$21:$C$23,$H549)&gt;0,1,0))</f>
        <v>0</v>
      </c>
      <c r="Y549" s="108">
        <f t="shared" si="97"/>
        <v>10</v>
      </c>
      <c r="Z549" s="108" t="str">
        <f t="shared" si="98"/>
        <v/>
      </c>
      <c r="AB549" s="108">
        <f t="shared" si="99"/>
        <v>0</v>
      </c>
      <c r="AC549" s="108">
        <f>IF($A549="",0,IF(AND($AB549=1,COUNTIF($A$2:$A549,$A549)=1),1,0))</f>
        <v>0</v>
      </c>
      <c r="AD549" s="108">
        <f t="shared" si="100"/>
        <v>1</v>
      </c>
      <c r="AE549" s="108" t="str">
        <f t="shared" si="101"/>
        <v/>
      </c>
      <c r="AF549" s="108">
        <f t="shared" si="102"/>
        <v>0</v>
      </c>
      <c r="AG549" s="108">
        <f t="shared" si="103"/>
        <v>0</v>
      </c>
      <c r="AH549" s="110" t="str">
        <f t="shared" si="104"/>
        <v>N. Parra|20260902|Training - BPO|1.000|Quiz 2 in Rise. Reading of Chapter 3 - Property Descriptions from the the AAPL Oil &amp; Gas Land Reference Volume &amp; Study G</v>
      </c>
      <c r="AI549" s="108">
        <f t="shared" si="105"/>
        <v>0</v>
      </c>
      <c r="AJ549" s="108">
        <f t="shared" si="106"/>
        <v>0</v>
      </c>
      <c r="AK549" s="108">
        <f>IF($A549="",0,IF(AND($S549=1,$W549=1,$X549=1,$U549&gt;Config!$C$9),1,0))</f>
        <v>0</v>
      </c>
      <c r="AL549" s="108">
        <f t="shared" si="107"/>
        <v>0</v>
      </c>
    </row>
    <row r="550" spans="1:38" x14ac:dyDescent="0.25">
      <c r="A550" s="106" t="s">
        <v>613</v>
      </c>
      <c r="B550" s="106" t="s">
        <v>618</v>
      </c>
      <c r="C550" s="107">
        <v>46266</v>
      </c>
      <c r="D550" s="106" t="s">
        <v>712</v>
      </c>
      <c r="E550" s="106" t="s">
        <v>713</v>
      </c>
      <c r="F550" s="106" t="s">
        <v>714</v>
      </c>
      <c r="G550" s="106" t="s">
        <v>715</v>
      </c>
      <c r="H550" s="106" t="s">
        <v>631</v>
      </c>
      <c r="I550" s="106"/>
      <c r="J550" s="106" t="s">
        <v>1349</v>
      </c>
      <c r="K550" s="106">
        <v>1</v>
      </c>
      <c r="L550" s="106">
        <v>0</v>
      </c>
      <c r="M550" s="106">
        <v>0</v>
      </c>
      <c r="N550" s="106"/>
      <c r="O550" s="106"/>
      <c r="P550" s="106">
        <v>0</v>
      </c>
      <c r="Q550" s="106" t="s">
        <v>1350</v>
      </c>
      <c r="S550" s="108">
        <f>IF($A550="","",COUNTIF(BPOworkers!$B$6:$B$105,$A550))</f>
        <v>0</v>
      </c>
      <c r="T550" s="109">
        <f>IF($A550="","",$K550*Config!$C$9)</f>
        <v>8</v>
      </c>
      <c r="U550" s="109">
        <f>IF($A550="","",IF(COUNTIF(Config!$C$21:$C$23,$H550)&gt;0,IFERROR(VALUE(LEFT(TRIM($Q550),FIND(" ",TRIM($Q550)&amp;" ")-1)),0),0))</f>
        <v>0</v>
      </c>
      <c r="V550" s="109">
        <f t="shared" si="96"/>
        <v>8</v>
      </c>
      <c r="W550" s="108">
        <f>IF($A550="",0,IF(AND($C550&gt;=Config!$C$7,$C550&lt;=Config!$C$8),1,0))</f>
        <v>1</v>
      </c>
      <c r="X550" s="108">
        <f>IF($A550="",0,IF(COUNTIF(Config!$C$21:$C$23,$H550)&gt;0,1,0))</f>
        <v>0</v>
      </c>
      <c r="Y550" s="108">
        <f t="shared" si="97"/>
        <v>10</v>
      </c>
      <c r="Z550" s="108" t="str">
        <f t="shared" si="98"/>
        <v/>
      </c>
      <c r="AB550" s="108">
        <f t="shared" si="99"/>
        <v>0</v>
      </c>
      <c r="AC550" s="108">
        <f>IF($A550="",0,IF(AND($AB550=1,COUNTIF($A$2:$A550,$A550)=1),1,0))</f>
        <v>0</v>
      </c>
      <c r="AD550" s="108">
        <f t="shared" si="100"/>
        <v>1</v>
      </c>
      <c r="AE550" s="108" t="str">
        <f t="shared" si="101"/>
        <v/>
      </c>
      <c r="AF550" s="108">
        <f t="shared" si="102"/>
        <v>0</v>
      </c>
      <c r="AG550" s="108">
        <f t="shared" si="103"/>
        <v>0</v>
      </c>
      <c r="AH550" s="110" t="str">
        <f t="shared" si="104"/>
        <v>V. Toran|20260901|Title|1.000|3 doc added (multiple docs per instrument); 231 docs viewed during indexing (many M&amp;B descriptions of land); depth subtr</v>
      </c>
      <c r="AI550" s="108">
        <f t="shared" si="105"/>
        <v>0</v>
      </c>
      <c r="AJ550" s="108">
        <f t="shared" si="106"/>
        <v>0</v>
      </c>
      <c r="AK550" s="108">
        <f>IF($A550="",0,IF(AND($S550=1,$W550=1,$X550=1,$U550&gt;Config!$C$9),1,0))</f>
        <v>0</v>
      </c>
      <c r="AL550" s="108">
        <f t="shared" si="107"/>
        <v>0</v>
      </c>
    </row>
    <row r="551" spans="1:38" x14ac:dyDescent="0.25">
      <c r="A551" s="106" t="s">
        <v>869</v>
      </c>
      <c r="B551" s="106" t="s">
        <v>618</v>
      </c>
      <c r="C551" s="107">
        <v>46266</v>
      </c>
      <c r="D551" s="106" t="s">
        <v>694</v>
      </c>
      <c r="E551" s="106" t="s">
        <v>695</v>
      </c>
      <c r="F551" s="106" t="s">
        <v>696</v>
      </c>
      <c r="G551" s="106" t="s">
        <v>870</v>
      </c>
      <c r="H551" s="106" t="s">
        <v>639</v>
      </c>
      <c r="I551" s="106"/>
      <c r="J551" s="106"/>
      <c r="K551" s="106">
        <v>0.75</v>
      </c>
      <c r="L551" s="106">
        <v>0</v>
      </c>
      <c r="M551" s="106">
        <v>0</v>
      </c>
      <c r="N551" s="106"/>
      <c r="O551" s="106"/>
      <c r="P551" s="106">
        <v>0</v>
      </c>
      <c r="Q551" s="106" t="s">
        <v>871</v>
      </c>
      <c r="S551" s="108">
        <f>IF($A551="","",COUNTIF(BPOworkers!$B$6:$B$105,$A551))</f>
        <v>0</v>
      </c>
      <c r="T551" s="109">
        <f>IF($A551="","",$K551*Config!$C$9)</f>
        <v>6</v>
      </c>
      <c r="U551" s="109">
        <f>IF($A551="","",IF(COUNTIF(Config!$C$21:$C$23,$H551)&gt;0,IFERROR(VALUE(LEFT(TRIM($Q551),FIND(" ",TRIM($Q551)&amp;" ")-1)),0),0))</f>
        <v>0</v>
      </c>
      <c r="V551" s="109">
        <f t="shared" si="96"/>
        <v>6</v>
      </c>
      <c r="W551" s="108">
        <f>IF($A551="",0,IF(AND($C551&gt;=Config!$C$7,$C551&lt;=Config!$C$8),1,0))</f>
        <v>1</v>
      </c>
      <c r="X551" s="108">
        <f>IF($A551="",0,IF(COUNTIF(Config!$C$21:$C$23,$H551)&gt;0,1,0))</f>
        <v>0</v>
      </c>
      <c r="Y551" s="108">
        <f t="shared" si="97"/>
        <v>10</v>
      </c>
      <c r="Z551" s="108" t="str">
        <f t="shared" si="98"/>
        <v/>
      </c>
      <c r="AB551" s="108">
        <f t="shared" si="99"/>
        <v>0</v>
      </c>
      <c r="AC551" s="108">
        <f>IF($A551="",0,IF(AND($AB551=1,COUNTIF($A$2:$A551,$A551)=1),1,0))</f>
        <v>0</v>
      </c>
      <c r="AD551" s="108">
        <f t="shared" si="100"/>
        <v>1</v>
      </c>
      <c r="AE551" s="108" t="str">
        <f t="shared" si="101"/>
        <v/>
      </c>
      <c r="AF551" s="108">
        <f t="shared" si="102"/>
        <v>0</v>
      </c>
      <c r="AG551" s="108">
        <f t="shared" si="103"/>
        <v>0</v>
      </c>
      <c r="AH551" s="110" t="str">
        <f t="shared" si="104"/>
        <v>K. Mainard|20260901|Review|0.750|Reviewed remainder of report and rebuilt GIS polygons</v>
      </c>
      <c r="AI551" s="108">
        <f t="shared" si="105"/>
        <v>0</v>
      </c>
      <c r="AJ551" s="108">
        <f t="shared" si="106"/>
        <v>0</v>
      </c>
      <c r="AK551" s="108">
        <f>IF($A551="",0,IF(AND($S551=1,$W551=1,$X551=1,$U551&gt;Config!$C$9),1,0))</f>
        <v>0</v>
      </c>
      <c r="AL551" s="108">
        <f t="shared" si="107"/>
        <v>0</v>
      </c>
    </row>
    <row r="552" spans="1:38" x14ac:dyDescent="0.25">
      <c r="A552" s="106" t="s">
        <v>869</v>
      </c>
      <c r="B552" s="106" t="s">
        <v>618</v>
      </c>
      <c r="C552" s="107">
        <v>46266</v>
      </c>
      <c r="D552" s="106" t="s">
        <v>628</v>
      </c>
      <c r="E552" s="106" t="s">
        <v>629</v>
      </c>
      <c r="F552" s="106" t="s">
        <v>630</v>
      </c>
      <c r="G552" s="106" t="s">
        <v>873</v>
      </c>
      <c r="H552" s="106" t="s">
        <v>656</v>
      </c>
      <c r="I552" s="106"/>
      <c r="J552" s="106"/>
      <c r="K552" s="106">
        <v>0.25</v>
      </c>
      <c r="L552" s="106">
        <v>0</v>
      </c>
      <c r="M552" s="106">
        <v>0</v>
      </c>
      <c r="N552" s="106"/>
      <c r="O552" s="106"/>
      <c r="P552" s="106">
        <v>0</v>
      </c>
      <c r="Q552" s="106" t="s">
        <v>1351</v>
      </c>
      <c r="S552" s="108">
        <f>IF($A552="","",COUNTIF(BPOworkers!$B$6:$B$105,$A552))</f>
        <v>0</v>
      </c>
      <c r="T552" s="109">
        <f>IF($A552="","",$K552*Config!$C$9)</f>
        <v>2</v>
      </c>
      <c r="U552" s="109">
        <f>IF($A552="","",IF(COUNTIF(Config!$C$21:$C$23,$H552)&gt;0,IFERROR(VALUE(LEFT(TRIM($Q552),FIND(" ",TRIM($Q552)&amp;" ")-1)),0),0))</f>
        <v>0</v>
      </c>
      <c r="V552" s="109">
        <f t="shared" si="96"/>
        <v>2</v>
      </c>
      <c r="W552" s="108">
        <f>IF($A552="",0,IF(AND($C552&gt;=Config!$C$7,$C552&lt;=Config!$C$8),1,0))</f>
        <v>1</v>
      </c>
      <c r="X552" s="108">
        <f>IF($A552="",0,IF(COUNTIF(Config!$C$21:$C$23,$H552)&gt;0,1,0))</f>
        <v>0</v>
      </c>
      <c r="Y552" s="108">
        <f t="shared" si="97"/>
        <v>10</v>
      </c>
      <c r="Z552" s="108" t="str">
        <f t="shared" si="98"/>
        <v/>
      </c>
      <c r="AB552" s="108">
        <f t="shared" si="99"/>
        <v>0</v>
      </c>
      <c r="AC552" s="108">
        <f>IF($A552="",0,IF(AND($AB552=1,COUNTIF($A$2:$A552,$A552)=1),1,0))</f>
        <v>0</v>
      </c>
      <c r="AD552" s="108">
        <f t="shared" si="100"/>
        <v>1</v>
      </c>
      <c r="AE552" s="108" t="str">
        <f t="shared" si="101"/>
        <v/>
      </c>
      <c r="AF552" s="108">
        <f t="shared" si="102"/>
        <v>0</v>
      </c>
      <c r="AG552" s="108">
        <f t="shared" si="103"/>
        <v>0</v>
      </c>
      <c r="AH552" s="110" t="str">
        <f t="shared" si="104"/>
        <v>K. Mainard|20260901|Project Management|0.250|On-board team to start running title and answered landman questions</v>
      </c>
      <c r="AI552" s="108">
        <f t="shared" si="105"/>
        <v>0</v>
      </c>
      <c r="AJ552" s="108">
        <f t="shared" si="106"/>
        <v>0</v>
      </c>
      <c r="AK552" s="108">
        <f>IF($A552="",0,IF(AND($S552=1,$W552=1,$X552=1,$U552&gt;Config!$C$9),1,0))</f>
        <v>0</v>
      </c>
      <c r="AL552" s="108">
        <f t="shared" si="107"/>
        <v>0</v>
      </c>
    </row>
    <row r="553" spans="1:38" x14ac:dyDescent="0.25">
      <c r="A553" s="106" t="s">
        <v>617</v>
      </c>
      <c r="B553" s="106" t="s">
        <v>618</v>
      </c>
      <c r="C553" s="107">
        <v>46266</v>
      </c>
      <c r="D553" s="106" t="s">
        <v>720</v>
      </c>
      <c r="E553" s="106" t="s">
        <v>721</v>
      </c>
      <c r="F553" s="106" t="s">
        <v>722</v>
      </c>
      <c r="G553" s="106" t="s">
        <v>933</v>
      </c>
      <c r="H553" s="106" t="s">
        <v>656</v>
      </c>
      <c r="I553" s="106"/>
      <c r="J553" s="106"/>
      <c r="K553" s="106">
        <v>0.125</v>
      </c>
      <c r="L553" s="106">
        <v>0</v>
      </c>
      <c r="M553" s="106">
        <v>0</v>
      </c>
      <c r="N553" s="106"/>
      <c r="O553" s="106"/>
      <c r="P553" s="106">
        <v>0</v>
      </c>
      <c r="Q553" s="106" t="s">
        <v>1352</v>
      </c>
      <c r="S553" s="108">
        <f>IF($A553="","",COUNTIF(BPOworkers!$B$6:$B$105,$A553))</f>
        <v>0</v>
      </c>
      <c r="T553" s="109">
        <f>IF($A553="","",$K553*Config!$C$9)</f>
        <v>1</v>
      </c>
      <c r="U553" s="109">
        <f>IF($A553="","",IF(COUNTIF(Config!$C$21:$C$23,$H553)&gt;0,IFERROR(VALUE(LEFT(TRIM($Q553),FIND(" ",TRIM($Q553)&amp;" ")-1)),0),0))</f>
        <v>0</v>
      </c>
      <c r="V553" s="109">
        <f t="shared" si="96"/>
        <v>1</v>
      </c>
      <c r="W553" s="108">
        <f>IF($A553="",0,IF(AND($C553&gt;=Config!$C$7,$C553&lt;=Config!$C$8),1,0))</f>
        <v>1</v>
      </c>
      <c r="X553" s="108">
        <f>IF($A553="",0,IF(COUNTIF(Config!$C$21:$C$23,$H553)&gt;0,1,0))</f>
        <v>0</v>
      </c>
      <c r="Y553" s="108">
        <f t="shared" si="97"/>
        <v>10</v>
      </c>
      <c r="Z553" s="108" t="str">
        <f t="shared" si="98"/>
        <v/>
      </c>
      <c r="AB553" s="108">
        <f t="shared" si="99"/>
        <v>0</v>
      </c>
      <c r="AC553" s="108">
        <f>IF($A553="",0,IF(AND($AB553=1,COUNTIF($A$2:$A553,$A553)=1),1,0))</f>
        <v>0</v>
      </c>
      <c r="AD553" s="108">
        <f t="shared" si="100"/>
        <v>1</v>
      </c>
      <c r="AE553" s="108" t="str">
        <f t="shared" si="101"/>
        <v/>
      </c>
      <c r="AF553" s="108">
        <f t="shared" si="102"/>
        <v>0</v>
      </c>
      <c r="AG553" s="108">
        <f t="shared" si="103"/>
        <v>0</v>
      </c>
      <c r="AH553" s="110" t="str">
        <f t="shared" si="104"/>
        <v>P. Tamez|20260901|Project Management|0.125|Assisted with onboarding the project, meeting with the landmen, etc.</v>
      </c>
      <c r="AI553" s="108">
        <f t="shared" si="105"/>
        <v>0</v>
      </c>
      <c r="AJ553" s="108">
        <f t="shared" si="106"/>
        <v>0</v>
      </c>
      <c r="AK553" s="108">
        <f>IF($A553="",0,IF(AND($S553=1,$W553=1,$X553=1,$U553&gt;Config!$C$9),1,0))</f>
        <v>0</v>
      </c>
      <c r="AL553" s="108">
        <f t="shared" si="107"/>
        <v>0</v>
      </c>
    </row>
    <row r="554" spans="1:38" x14ac:dyDescent="0.25">
      <c r="A554" s="106" t="s">
        <v>617</v>
      </c>
      <c r="B554" s="106" t="s">
        <v>618</v>
      </c>
      <c r="C554" s="107">
        <v>46266</v>
      </c>
      <c r="D554" s="106" t="s">
        <v>881</v>
      </c>
      <c r="E554" s="106" t="s">
        <v>906</v>
      </c>
      <c r="F554" s="106" t="s">
        <v>1085</v>
      </c>
      <c r="G554" s="106" t="s">
        <v>1213</v>
      </c>
      <c r="H554" s="106" t="s">
        <v>639</v>
      </c>
      <c r="I554" s="106"/>
      <c r="J554" s="106"/>
      <c r="K554" s="106">
        <v>0.875</v>
      </c>
      <c r="L554" s="106">
        <v>0</v>
      </c>
      <c r="M554" s="106">
        <v>0</v>
      </c>
      <c r="N554" s="106"/>
      <c r="O554" s="106"/>
      <c r="P554" s="106">
        <v>0</v>
      </c>
      <c r="Q554" s="106" t="s">
        <v>1353</v>
      </c>
      <c r="S554" s="108">
        <f>IF($A554="","",COUNTIF(BPOworkers!$B$6:$B$105,$A554))</f>
        <v>0</v>
      </c>
      <c r="T554" s="109">
        <f>IF($A554="","",$K554*Config!$C$9)</f>
        <v>7</v>
      </c>
      <c r="U554" s="109">
        <f>IF($A554="","",IF(COUNTIF(Config!$C$21:$C$23,$H554)&gt;0,IFERROR(VALUE(LEFT(TRIM($Q554),FIND(" ",TRIM($Q554)&amp;" ")-1)),0),0))</f>
        <v>0</v>
      </c>
      <c r="V554" s="109">
        <f t="shared" si="96"/>
        <v>7</v>
      </c>
      <c r="W554" s="108">
        <f>IF($A554="",0,IF(AND($C554&gt;=Config!$C$7,$C554&lt;=Config!$C$8),1,0))</f>
        <v>1</v>
      </c>
      <c r="X554" s="108">
        <f>IF($A554="",0,IF(COUNTIF(Config!$C$21:$C$23,$H554)&gt;0,1,0))</f>
        <v>0</v>
      </c>
      <c r="Y554" s="108">
        <f t="shared" si="97"/>
        <v>10</v>
      </c>
      <c r="Z554" s="108" t="str">
        <f t="shared" si="98"/>
        <v/>
      </c>
      <c r="AB554" s="108">
        <f t="shared" si="99"/>
        <v>0</v>
      </c>
      <c r="AC554" s="108">
        <f>IF($A554="",0,IF(AND($AB554=1,COUNTIF($A$2:$A554,$A554)=1),1,0))</f>
        <v>0</v>
      </c>
      <c r="AD554" s="108">
        <f t="shared" si="100"/>
        <v>1</v>
      </c>
      <c r="AE554" s="108" t="str">
        <f t="shared" si="101"/>
        <v/>
      </c>
      <c r="AF554" s="108">
        <f t="shared" si="102"/>
        <v>0</v>
      </c>
      <c r="AG554" s="108">
        <f t="shared" si="103"/>
        <v>0</v>
      </c>
      <c r="AH554" s="110" t="str">
        <f t="shared" si="104"/>
        <v>P. Tamez|20260901|Review|0.875|Continued reviewing AOI.</v>
      </c>
      <c r="AI554" s="108">
        <f t="shared" si="105"/>
        <v>0</v>
      </c>
      <c r="AJ554" s="108">
        <f t="shared" si="106"/>
        <v>0</v>
      </c>
      <c r="AK554" s="108">
        <f>IF($A554="",0,IF(AND($S554=1,$W554=1,$X554=1,$U554&gt;Config!$C$9),1,0))</f>
        <v>0</v>
      </c>
      <c r="AL554" s="108">
        <f t="shared" si="107"/>
        <v>0</v>
      </c>
    </row>
    <row r="555" spans="1:38" x14ac:dyDescent="0.25">
      <c r="A555" s="106" t="s">
        <v>620</v>
      </c>
      <c r="B555" s="106" t="s">
        <v>618</v>
      </c>
      <c r="C555" s="107">
        <v>46266</v>
      </c>
      <c r="D555" s="106" t="s">
        <v>885</v>
      </c>
      <c r="E555" s="106" t="s">
        <v>773</v>
      </c>
      <c r="F555" s="106" t="s">
        <v>886</v>
      </c>
      <c r="G555" s="106" t="s">
        <v>887</v>
      </c>
      <c r="H555" s="106" t="s">
        <v>639</v>
      </c>
      <c r="I555" s="106"/>
      <c r="J555" s="106"/>
      <c r="K555" s="106">
        <v>0.75</v>
      </c>
      <c r="L555" s="106">
        <v>0</v>
      </c>
      <c r="M555" s="106">
        <v>0</v>
      </c>
      <c r="N555" s="106"/>
      <c r="O555" s="106"/>
      <c r="P555" s="106">
        <v>0</v>
      </c>
      <c r="Q555" s="106" t="s">
        <v>1354</v>
      </c>
      <c r="S555" s="108">
        <f>IF($A555="","",COUNTIF(BPOworkers!$B$6:$B$105,$A555))</f>
        <v>0</v>
      </c>
      <c r="T555" s="109">
        <f>IF($A555="","",$K555*Config!$C$9)</f>
        <v>6</v>
      </c>
      <c r="U555" s="109">
        <f>IF($A555="","",IF(COUNTIF(Config!$C$21:$C$23,$H555)&gt;0,IFERROR(VALUE(LEFT(TRIM($Q555),FIND(" ",TRIM($Q555)&amp;" ")-1)),0),0))</f>
        <v>0</v>
      </c>
      <c r="V555" s="109">
        <f t="shared" si="96"/>
        <v>6</v>
      </c>
      <c r="W555" s="108">
        <f>IF($A555="",0,IF(AND($C555&gt;=Config!$C$7,$C555&lt;=Config!$C$8),1,0))</f>
        <v>1</v>
      </c>
      <c r="X555" s="108">
        <f>IF($A555="",0,IF(COUNTIF(Config!$C$21:$C$23,$H555)&gt;0,1,0))</f>
        <v>0</v>
      </c>
      <c r="Y555" s="108">
        <f t="shared" si="97"/>
        <v>10</v>
      </c>
      <c r="Z555" s="108" t="str">
        <f t="shared" si="98"/>
        <v/>
      </c>
      <c r="AB555" s="108">
        <f t="shared" si="99"/>
        <v>0</v>
      </c>
      <c r="AC555" s="108">
        <f>IF($A555="",0,IF(AND($AB555=1,COUNTIF($A$2:$A555,$A555)=1),1,0))</f>
        <v>0</v>
      </c>
      <c r="AD555" s="108">
        <f t="shared" si="100"/>
        <v>1</v>
      </c>
      <c r="AE555" s="108" t="str">
        <f t="shared" si="101"/>
        <v/>
      </c>
      <c r="AF555" s="108">
        <f t="shared" si="102"/>
        <v>0</v>
      </c>
      <c r="AG555" s="108">
        <f t="shared" si="103"/>
        <v>0</v>
      </c>
      <c r="AH555" s="110" t="str">
        <f t="shared" si="104"/>
        <v>I. Rice|20260901|Review|0.750|Review and revision of approximately 50 notecards in addition to making revisions as needed in common title AOIs.</v>
      </c>
      <c r="AI555" s="108">
        <f t="shared" si="105"/>
        <v>0</v>
      </c>
      <c r="AJ555" s="108">
        <f t="shared" si="106"/>
        <v>0</v>
      </c>
      <c r="AK555" s="108">
        <f>IF($A555="",0,IF(AND($S555=1,$W555=1,$X555=1,$U555&gt;Config!$C$9),1,0))</f>
        <v>0</v>
      </c>
      <c r="AL555" s="108">
        <f t="shared" si="107"/>
        <v>0</v>
      </c>
    </row>
    <row r="556" spans="1:38" x14ac:dyDescent="0.25">
      <c r="A556" s="106" t="s">
        <v>620</v>
      </c>
      <c r="B556" s="106" t="s">
        <v>618</v>
      </c>
      <c r="C556" s="107">
        <v>46266</v>
      </c>
      <c r="D556" s="106" t="s">
        <v>885</v>
      </c>
      <c r="E556" s="106" t="s">
        <v>773</v>
      </c>
      <c r="F556" s="106" t="s">
        <v>886</v>
      </c>
      <c r="G556" s="106" t="s">
        <v>1074</v>
      </c>
      <c r="H556" s="106" t="s">
        <v>639</v>
      </c>
      <c r="I556" s="106"/>
      <c r="J556" s="106"/>
      <c r="K556" s="106">
        <v>0.125</v>
      </c>
      <c r="L556" s="106">
        <v>0</v>
      </c>
      <c r="M556" s="106">
        <v>0</v>
      </c>
      <c r="N556" s="106"/>
      <c r="O556" s="106"/>
      <c r="P556" s="106">
        <v>0</v>
      </c>
      <c r="Q556" s="106" t="s">
        <v>1354</v>
      </c>
      <c r="S556" s="108">
        <f>IF($A556="","",COUNTIF(BPOworkers!$B$6:$B$105,$A556))</f>
        <v>0</v>
      </c>
      <c r="T556" s="109">
        <f>IF($A556="","",$K556*Config!$C$9)</f>
        <v>1</v>
      </c>
      <c r="U556" s="109">
        <f>IF($A556="","",IF(COUNTIF(Config!$C$21:$C$23,$H556)&gt;0,IFERROR(VALUE(LEFT(TRIM($Q556),FIND(" ",TRIM($Q556)&amp;" ")-1)),0),0))</f>
        <v>0</v>
      </c>
      <c r="V556" s="109">
        <f t="shared" si="96"/>
        <v>1</v>
      </c>
      <c r="W556" s="108">
        <f>IF($A556="",0,IF(AND($C556&gt;=Config!$C$7,$C556&lt;=Config!$C$8),1,0))</f>
        <v>1</v>
      </c>
      <c r="X556" s="108">
        <f>IF($A556="",0,IF(COUNTIF(Config!$C$21:$C$23,$H556)&gt;0,1,0))</f>
        <v>0</v>
      </c>
      <c r="Y556" s="108">
        <f t="shared" si="97"/>
        <v>10</v>
      </c>
      <c r="Z556" s="108" t="str">
        <f t="shared" si="98"/>
        <v/>
      </c>
      <c r="AB556" s="108">
        <f t="shared" si="99"/>
        <v>0</v>
      </c>
      <c r="AC556" s="108">
        <f>IF($A556="",0,IF(AND($AB556=1,COUNTIF($A$2:$A556,$A556)=1),1,0))</f>
        <v>0</v>
      </c>
      <c r="AD556" s="108">
        <f t="shared" si="100"/>
        <v>1</v>
      </c>
      <c r="AE556" s="108" t="str">
        <f t="shared" si="101"/>
        <v/>
      </c>
      <c r="AF556" s="108">
        <f t="shared" si="102"/>
        <v>0</v>
      </c>
      <c r="AG556" s="108">
        <f t="shared" si="103"/>
        <v>0</v>
      </c>
      <c r="AH556" s="110" t="str">
        <f t="shared" si="104"/>
        <v>I. Rice|20260901|Review|0.125|Review and revision of approximately 50 notecards in addition to making revisions as needed in common title AOIs.</v>
      </c>
      <c r="AI556" s="108">
        <f t="shared" si="105"/>
        <v>0</v>
      </c>
      <c r="AJ556" s="108">
        <f t="shared" si="106"/>
        <v>0</v>
      </c>
      <c r="AK556" s="108">
        <f>IF($A556="",0,IF(AND($S556=1,$W556=1,$X556=1,$U556&gt;Config!$C$9),1,0))</f>
        <v>0</v>
      </c>
      <c r="AL556" s="108">
        <f t="shared" si="107"/>
        <v>0</v>
      </c>
    </row>
    <row r="557" spans="1:38" x14ac:dyDescent="0.25">
      <c r="A557" s="106" t="s">
        <v>620</v>
      </c>
      <c r="B557" s="106" t="s">
        <v>618</v>
      </c>
      <c r="C557" s="107">
        <v>46266</v>
      </c>
      <c r="D557" s="106" t="s">
        <v>885</v>
      </c>
      <c r="E557" s="106" t="s">
        <v>773</v>
      </c>
      <c r="F557" s="106" t="s">
        <v>886</v>
      </c>
      <c r="G557" s="106" t="s">
        <v>1217</v>
      </c>
      <c r="H557" s="106" t="s">
        <v>639</v>
      </c>
      <c r="I557" s="106"/>
      <c r="J557" s="106"/>
      <c r="K557" s="106">
        <v>0.125</v>
      </c>
      <c r="L557" s="106">
        <v>0</v>
      </c>
      <c r="M557" s="106">
        <v>0</v>
      </c>
      <c r="N557" s="106"/>
      <c r="O557" s="106"/>
      <c r="P557" s="106">
        <v>0</v>
      </c>
      <c r="Q557" s="106" t="s">
        <v>1354</v>
      </c>
      <c r="S557" s="108">
        <f>IF($A557="","",COUNTIF(BPOworkers!$B$6:$B$105,$A557))</f>
        <v>0</v>
      </c>
      <c r="T557" s="109">
        <f>IF($A557="","",$K557*Config!$C$9)</f>
        <v>1</v>
      </c>
      <c r="U557" s="109">
        <f>IF($A557="","",IF(COUNTIF(Config!$C$21:$C$23,$H557)&gt;0,IFERROR(VALUE(LEFT(TRIM($Q557),FIND(" ",TRIM($Q557)&amp;" ")-1)),0),0))</f>
        <v>0</v>
      </c>
      <c r="V557" s="109">
        <f t="shared" si="96"/>
        <v>1</v>
      </c>
      <c r="W557" s="108">
        <f>IF($A557="",0,IF(AND($C557&gt;=Config!$C$7,$C557&lt;=Config!$C$8),1,0))</f>
        <v>1</v>
      </c>
      <c r="X557" s="108">
        <f>IF($A557="",0,IF(COUNTIF(Config!$C$21:$C$23,$H557)&gt;0,1,0))</f>
        <v>0</v>
      </c>
      <c r="Y557" s="108">
        <f t="shared" si="97"/>
        <v>10</v>
      </c>
      <c r="Z557" s="108" t="str">
        <f t="shared" si="98"/>
        <v/>
      </c>
      <c r="AB557" s="108">
        <f t="shared" si="99"/>
        <v>0</v>
      </c>
      <c r="AC557" s="108">
        <f>IF($A557="",0,IF(AND($AB557=1,COUNTIF($A$2:$A557,$A557)=1),1,0))</f>
        <v>0</v>
      </c>
      <c r="AD557" s="108">
        <f t="shared" si="100"/>
        <v>1</v>
      </c>
      <c r="AE557" s="108" t="str">
        <f t="shared" si="101"/>
        <v/>
      </c>
      <c r="AF557" s="108">
        <f t="shared" si="102"/>
        <v>0</v>
      </c>
      <c r="AG557" s="108">
        <f t="shared" si="103"/>
        <v>0</v>
      </c>
      <c r="AH557" s="110" t="str">
        <f t="shared" si="104"/>
        <v>I. Rice|20260901|Review|0.125|Review and revision of approximately 50 notecards in addition to making revisions as needed in common title AOIs.</v>
      </c>
      <c r="AI557" s="108">
        <f t="shared" si="105"/>
        <v>0</v>
      </c>
      <c r="AJ557" s="108">
        <f t="shared" si="106"/>
        <v>0</v>
      </c>
      <c r="AK557" s="108">
        <f>IF($A557="",0,IF(AND($S557=1,$W557=1,$X557=1,$U557&gt;Config!$C$9),1,0))</f>
        <v>0</v>
      </c>
      <c r="AL557" s="108">
        <f t="shared" si="107"/>
        <v>0</v>
      </c>
    </row>
    <row r="558" spans="1:38" x14ac:dyDescent="0.25">
      <c r="A558" s="106" t="s">
        <v>622</v>
      </c>
      <c r="B558" s="106" t="s">
        <v>618</v>
      </c>
      <c r="C558" s="107">
        <v>46266</v>
      </c>
      <c r="D558" s="106" t="s">
        <v>712</v>
      </c>
      <c r="E558" s="106" t="s">
        <v>713</v>
      </c>
      <c r="F558" s="106" t="s">
        <v>866</v>
      </c>
      <c r="G558" s="106" t="s">
        <v>873</v>
      </c>
      <c r="H558" s="106" t="s">
        <v>656</v>
      </c>
      <c r="I558" s="106"/>
      <c r="J558" s="106"/>
      <c r="K558" s="106">
        <v>0.125</v>
      </c>
      <c r="L558" s="106">
        <v>0</v>
      </c>
      <c r="M558" s="106">
        <v>0</v>
      </c>
      <c r="N558" s="106"/>
      <c r="O558" s="106"/>
      <c r="P558" s="106">
        <v>0</v>
      </c>
      <c r="Q558" s="106" t="s">
        <v>1220</v>
      </c>
      <c r="S558" s="108">
        <f>IF($A558="","",COUNTIF(BPOworkers!$B$6:$B$105,$A558))</f>
        <v>0</v>
      </c>
      <c r="T558" s="109">
        <f>IF($A558="","",$K558*Config!$C$9)</f>
        <v>1</v>
      </c>
      <c r="U558" s="109">
        <f>IF($A558="","",IF(COUNTIF(Config!$C$21:$C$23,$H558)&gt;0,IFERROR(VALUE(LEFT(TRIM($Q558),FIND(" ",TRIM($Q558)&amp;" ")-1)),0),0))</f>
        <v>0</v>
      </c>
      <c r="V558" s="109">
        <f t="shared" si="96"/>
        <v>1</v>
      </c>
      <c r="W558" s="108">
        <f>IF($A558="",0,IF(AND($C558&gt;=Config!$C$7,$C558&lt;=Config!$C$8),1,0))</f>
        <v>1</v>
      </c>
      <c r="X558" s="108">
        <f>IF($A558="",0,IF(COUNTIF(Config!$C$21:$C$23,$H558)&gt;0,1,0))</f>
        <v>0</v>
      </c>
      <c r="Y558" s="108">
        <f t="shared" si="97"/>
        <v>10</v>
      </c>
      <c r="Z558" s="108" t="str">
        <f t="shared" si="98"/>
        <v/>
      </c>
      <c r="AB558" s="108">
        <f t="shared" si="99"/>
        <v>0</v>
      </c>
      <c r="AC558" s="108">
        <f>IF($A558="",0,IF(AND($AB558=1,COUNTIF($A$2:$A558,$A558)=1),1,0))</f>
        <v>0</v>
      </c>
      <c r="AD558" s="108">
        <f t="shared" si="100"/>
        <v>1</v>
      </c>
      <c r="AE558" s="108" t="str">
        <f t="shared" si="101"/>
        <v/>
      </c>
      <c r="AF558" s="108">
        <f t="shared" si="102"/>
        <v>0</v>
      </c>
      <c r="AG558" s="108">
        <f t="shared" si="103"/>
        <v>0</v>
      </c>
      <c r="AH558" s="110" t="str">
        <f t="shared" si="104"/>
        <v>K. Milcarzyk|20260901|Project Management|0.125|Attending daily meeting.</v>
      </c>
      <c r="AI558" s="108">
        <f t="shared" si="105"/>
        <v>0</v>
      </c>
      <c r="AJ558" s="108">
        <f t="shared" si="106"/>
        <v>0</v>
      </c>
      <c r="AK558" s="108">
        <f>IF($A558="",0,IF(AND($S558=1,$W558=1,$X558=1,$U558&gt;Config!$C$9),1,0))</f>
        <v>0</v>
      </c>
      <c r="AL558" s="108">
        <f t="shared" si="107"/>
        <v>0</v>
      </c>
    </row>
    <row r="559" spans="1:38" x14ac:dyDescent="0.25">
      <c r="A559" s="106" t="s">
        <v>622</v>
      </c>
      <c r="B559" s="106" t="s">
        <v>618</v>
      </c>
      <c r="C559" s="107">
        <v>46266</v>
      </c>
      <c r="D559" s="106" t="s">
        <v>680</v>
      </c>
      <c r="E559" s="106" t="s">
        <v>681</v>
      </c>
      <c r="F559" s="106" t="s">
        <v>893</v>
      </c>
      <c r="G559" s="106" t="s">
        <v>894</v>
      </c>
      <c r="H559" s="106" t="s">
        <v>656</v>
      </c>
      <c r="I559" s="106"/>
      <c r="J559" s="106"/>
      <c r="K559" s="106">
        <v>0.25</v>
      </c>
      <c r="L559" s="106">
        <v>0</v>
      </c>
      <c r="M559" s="106">
        <v>0</v>
      </c>
      <c r="N559" s="106"/>
      <c r="O559" s="106"/>
      <c r="P559" s="106">
        <v>0</v>
      </c>
      <c r="Q559" s="106" t="s">
        <v>1355</v>
      </c>
      <c r="S559" s="108">
        <f>IF($A559="","",COUNTIF(BPOworkers!$B$6:$B$105,$A559))</f>
        <v>0</v>
      </c>
      <c r="T559" s="109">
        <f>IF($A559="","",$K559*Config!$C$9)</f>
        <v>2</v>
      </c>
      <c r="U559" s="109">
        <f>IF($A559="","",IF(COUNTIF(Config!$C$21:$C$23,$H559)&gt;0,IFERROR(VALUE(LEFT(TRIM($Q559),FIND(" ",TRIM($Q559)&amp;" ")-1)),0),0))</f>
        <v>0</v>
      </c>
      <c r="V559" s="109">
        <f t="shared" si="96"/>
        <v>2</v>
      </c>
      <c r="W559" s="108">
        <f>IF($A559="",0,IF(AND($C559&gt;=Config!$C$7,$C559&lt;=Config!$C$8),1,0))</f>
        <v>1</v>
      </c>
      <c r="X559" s="108">
        <f>IF($A559="",0,IF(COUNTIF(Config!$C$21:$C$23,$H559)&gt;0,1,0))</f>
        <v>0</v>
      </c>
      <c r="Y559" s="108">
        <f t="shared" si="97"/>
        <v>10</v>
      </c>
      <c r="Z559" s="108" t="str">
        <f t="shared" si="98"/>
        <v/>
      </c>
      <c r="AB559" s="108">
        <f t="shared" si="99"/>
        <v>0</v>
      </c>
      <c r="AC559" s="108">
        <f>IF($A559="",0,IF(AND($AB559=1,COUNTIF($A$2:$A559,$A559)=1),1,0))</f>
        <v>0</v>
      </c>
      <c r="AD559" s="108">
        <f t="shared" si="100"/>
        <v>1</v>
      </c>
      <c r="AE559" s="108" t="str">
        <f t="shared" si="101"/>
        <v/>
      </c>
      <c r="AF559" s="108">
        <f t="shared" si="102"/>
        <v>0</v>
      </c>
      <c r="AG559" s="108">
        <f t="shared" si="103"/>
        <v>0</v>
      </c>
      <c r="AH559" s="110" t="str">
        <f t="shared" si="104"/>
        <v>K. Milcarzyk|20260901|Project Management|0.250|Onboarding meeting with landmen and helping PM with launching project.</v>
      </c>
      <c r="AI559" s="108">
        <f t="shared" si="105"/>
        <v>0</v>
      </c>
      <c r="AJ559" s="108">
        <f t="shared" si="106"/>
        <v>0</v>
      </c>
      <c r="AK559" s="108">
        <f>IF($A559="",0,IF(AND($S559=1,$W559=1,$X559=1,$U559&gt;Config!$C$9),1,0))</f>
        <v>0</v>
      </c>
      <c r="AL559" s="108">
        <f t="shared" si="107"/>
        <v>0</v>
      </c>
    </row>
    <row r="560" spans="1:38" x14ac:dyDescent="0.25">
      <c r="A560" s="106" t="s">
        <v>622</v>
      </c>
      <c r="B560" s="106" t="s">
        <v>618</v>
      </c>
      <c r="C560" s="107">
        <v>46266</v>
      </c>
      <c r="D560" s="106" t="s">
        <v>635</v>
      </c>
      <c r="E560" s="106" t="s">
        <v>636</v>
      </c>
      <c r="F560" s="106" t="s">
        <v>943</v>
      </c>
      <c r="G560" s="106"/>
      <c r="H560" s="106" t="s">
        <v>656</v>
      </c>
      <c r="I560" s="106"/>
      <c r="J560" s="106"/>
      <c r="K560" s="106">
        <v>0.125</v>
      </c>
      <c r="L560" s="106">
        <v>0</v>
      </c>
      <c r="M560" s="106">
        <v>0</v>
      </c>
      <c r="N560" s="106"/>
      <c r="O560" s="106"/>
      <c r="P560" s="106">
        <v>0</v>
      </c>
      <c r="Q560" s="106" t="s">
        <v>1356</v>
      </c>
      <c r="S560" s="108">
        <f>IF($A560="","",COUNTIF(BPOworkers!$B$6:$B$105,$A560))</f>
        <v>0</v>
      </c>
      <c r="T560" s="109">
        <f>IF($A560="","",$K560*Config!$C$9)</f>
        <v>1</v>
      </c>
      <c r="U560" s="109">
        <f>IF($A560="","",IF(COUNTIF(Config!$C$21:$C$23,$H560)&gt;0,IFERROR(VALUE(LEFT(TRIM($Q560),FIND(" ",TRIM($Q560)&amp;" ")-1)),0),0))</f>
        <v>0</v>
      </c>
      <c r="V560" s="109">
        <f t="shared" si="96"/>
        <v>1</v>
      </c>
      <c r="W560" s="108">
        <f>IF($A560="",0,IF(AND($C560&gt;=Config!$C$7,$C560&lt;=Config!$C$8),1,0))</f>
        <v>1</v>
      </c>
      <c r="X560" s="108">
        <f>IF($A560="",0,IF(COUNTIF(Config!$C$21:$C$23,$H560)&gt;0,1,0))</f>
        <v>0</v>
      </c>
      <c r="Y560" s="108">
        <f t="shared" si="97"/>
        <v>10</v>
      </c>
      <c r="Z560" s="108" t="str">
        <f t="shared" si="98"/>
        <v/>
      </c>
      <c r="AB560" s="108">
        <f t="shared" si="99"/>
        <v>0</v>
      </c>
      <c r="AC560" s="108">
        <f>IF($A560="",0,IF(AND($AB560=1,COUNTIF($A$2:$A560,$A560)=1),1,0))</f>
        <v>0</v>
      </c>
      <c r="AD560" s="108">
        <f t="shared" si="100"/>
        <v>1</v>
      </c>
      <c r="AE560" s="108" t="str">
        <f t="shared" si="101"/>
        <v/>
      </c>
      <c r="AF560" s="108">
        <f t="shared" si="102"/>
        <v>0</v>
      </c>
      <c r="AG560" s="108">
        <f t="shared" si="103"/>
        <v>0</v>
      </c>
      <c r="AH560" s="110" t="str">
        <f t="shared" si="104"/>
        <v>K. Milcarzyk|20260901|Project Management|0.125|Meeting with PM and reviewers.</v>
      </c>
      <c r="AI560" s="108">
        <f t="shared" si="105"/>
        <v>0</v>
      </c>
      <c r="AJ560" s="108">
        <f t="shared" si="106"/>
        <v>0</v>
      </c>
      <c r="AK560" s="108">
        <f>IF($A560="",0,IF(AND($S560=1,$W560=1,$X560=1,$U560&gt;Config!$C$9),1,0))</f>
        <v>0</v>
      </c>
      <c r="AL560" s="108">
        <f t="shared" si="107"/>
        <v>0</v>
      </c>
    </row>
    <row r="561" spans="1:38" x14ac:dyDescent="0.25">
      <c r="A561" s="106" t="s">
        <v>622</v>
      </c>
      <c r="B561" s="106" t="s">
        <v>618</v>
      </c>
      <c r="C561" s="107">
        <v>46266</v>
      </c>
      <c r="D561" s="106" t="s">
        <v>628</v>
      </c>
      <c r="E561" s="106" t="s">
        <v>705</v>
      </c>
      <c r="F561" s="106" t="s">
        <v>630</v>
      </c>
      <c r="G561" s="106"/>
      <c r="H561" s="106" t="s">
        <v>656</v>
      </c>
      <c r="I561" s="106"/>
      <c r="J561" s="106" t="s">
        <v>873</v>
      </c>
      <c r="K561" s="106">
        <v>0.125</v>
      </c>
      <c r="L561" s="106">
        <v>0</v>
      </c>
      <c r="M561" s="106">
        <v>0</v>
      </c>
      <c r="N561" s="106"/>
      <c r="O561" s="106"/>
      <c r="P561" s="106">
        <v>0</v>
      </c>
      <c r="Q561" s="106" t="s">
        <v>1357</v>
      </c>
      <c r="S561" s="108">
        <f>IF($A561="","",COUNTIF(BPOworkers!$B$6:$B$105,$A561))</f>
        <v>0</v>
      </c>
      <c r="T561" s="109">
        <f>IF($A561="","",$K561*Config!$C$9)</f>
        <v>1</v>
      </c>
      <c r="U561" s="109">
        <f>IF($A561="","",IF(COUNTIF(Config!$C$21:$C$23,$H561)&gt;0,IFERROR(VALUE(LEFT(TRIM($Q561),FIND(" ",TRIM($Q561)&amp;" ")-1)),0),0))</f>
        <v>0</v>
      </c>
      <c r="V561" s="109">
        <f t="shared" si="96"/>
        <v>1</v>
      </c>
      <c r="W561" s="108">
        <f>IF($A561="",0,IF(AND($C561&gt;=Config!$C$7,$C561&lt;=Config!$C$8),1,0))</f>
        <v>1</v>
      </c>
      <c r="X561" s="108">
        <f>IF($A561="",0,IF(COUNTIF(Config!$C$21:$C$23,$H561)&gt;0,1,0))</f>
        <v>0</v>
      </c>
      <c r="Y561" s="108">
        <f t="shared" si="97"/>
        <v>10</v>
      </c>
      <c r="Z561" s="108" t="str">
        <f t="shared" si="98"/>
        <v/>
      </c>
      <c r="AB561" s="108">
        <f t="shared" si="99"/>
        <v>0</v>
      </c>
      <c r="AC561" s="108">
        <f>IF($A561="",0,IF(AND($AB561=1,COUNTIF($A$2:$A561,$A561)=1),1,0))</f>
        <v>0</v>
      </c>
      <c r="AD561" s="108">
        <f t="shared" si="100"/>
        <v>1</v>
      </c>
      <c r="AE561" s="108" t="str">
        <f t="shared" si="101"/>
        <v/>
      </c>
      <c r="AF561" s="108">
        <f t="shared" si="102"/>
        <v>0</v>
      </c>
      <c r="AG561" s="108">
        <f t="shared" si="103"/>
        <v>0</v>
      </c>
      <c r="AH561" s="110" t="str">
        <f t="shared" si="104"/>
        <v>K. Milcarzyk|20260901|Project Management|0.125|Meeting with team to go over scope of project.</v>
      </c>
      <c r="AI561" s="108">
        <f t="shared" si="105"/>
        <v>0</v>
      </c>
      <c r="AJ561" s="108">
        <f t="shared" si="106"/>
        <v>0</v>
      </c>
      <c r="AK561" s="108">
        <f>IF($A561="",0,IF(AND($S561=1,$W561=1,$X561=1,$U561&gt;Config!$C$9),1,0))</f>
        <v>0</v>
      </c>
      <c r="AL561" s="108">
        <f t="shared" si="107"/>
        <v>0</v>
      </c>
    </row>
    <row r="562" spans="1:38" x14ac:dyDescent="0.25">
      <c r="A562" s="106" t="s">
        <v>622</v>
      </c>
      <c r="B562" s="106" t="s">
        <v>618</v>
      </c>
      <c r="C562" s="107">
        <v>46266</v>
      </c>
      <c r="D562" s="106" t="s">
        <v>772</v>
      </c>
      <c r="E562" s="106" t="s">
        <v>773</v>
      </c>
      <c r="F562" s="106" t="s">
        <v>774</v>
      </c>
      <c r="G562" s="106" t="s">
        <v>1078</v>
      </c>
      <c r="H562" s="106" t="s">
        <v>656</v>
      </c>
      <c r="I562" s="106"/>
      <c r="J562" s="106"/>
      <c r="K562" s="106">
        <v>0.25</v>
      </c>
      <c r="L562" s="106">
        <v>0</v>
      </c>
      <c r="M562" s="106">
        <v>0</v>
      </c>
      <c r="N562" s="106"/>
      <c r="O562" s="106"/>
      <c r="P562" s="106">
        <v>0</v>
      </c>
      <c r="Q562" s="106" t="s">
        <v>1358</v>
      </c>
      <c r="S562" s="108">
        <f>IF($A562="","",COUNTIF(BPOworkers!$B$6:$B$105,$A562))</f>
        <v>0</v>
      </c>
      <c r="T562" s="109">
        <f>IF($A562="","",$K562*Config!$C$9)</f>
        <v>2</v>
      </c>
      <c r="U562" s="109">
        <f>IF($A562="","",IF(COUNTIF(Config!$C$21:$C$23,$H562)&gt;0,IFERROR(VALUE(LEFT(TRIM($Q562),FIND(" ",TRIM($Q562)&amp;" ")-1)),0),0))</f>
        <v>0</v>
      </c>
      <c r="V562" s="109">
        <f t="shared" si="96"/>
        <v>2</v>
      </c>
      <c r="W562" s="108">
        <f>IF($A562="",0,IF(AND($C562&gt;=Config!$C$7,$C562&lt;=Config!$C$8),1,0))</f>
        <v>1</v>
      </c>
      <c r="X562" s="108">
        <f>IF($A562="",0,IF(COUNTIF(Config!$C$21:$C$23,$H562)&gt;0,1,0))</f>
        <v>0</v>
      </c>
      <c r="Y562" s="108">
        <f t="shared" si="97"/>
        <v>10</v>
      </c>
      <c r="Z562" s="108" t="str">
        <f t="shared" si="98"/>
        <v/>
      </c>
      <c r="AB562" s="108">
        <f t="shared" si="99"/>
        <v>0</v>
      </c>
      <c r="AC562" s="108">
        <f>IF($A562="",0,IF(AND($AB562=1,COUNTIF($A$2:$A562,$A562)=1),1,0))</f>
        <v>0</v>
      </c>
      <c r="AD562" s="108">
        <f t="shared" si="100"/>
        <v>1</v>
      </c>
      <c r="AE562" s="108" t="str">
        <f t="shared" si="101"/>
        <v/>
      </c>
      <c r="AF562" s="108">
        <f t="shared" si="102"/>
        <v>0</v>
      </c>
      <c r="AG562" s="108">
        <f t="shared" si="103"/>
        <v>0</v>
      </c>
      <c r="AH562" s="110" t="str">
        <f t="shared" si="104"/>
        <v>K. Milcarzyk|20260901|Project Management|0.250|Drafting scope of work and project set up.</v>
      </c>
      <c r="AI562" s="108">
        <f t="shared" si="105"/>
        <v>0</v>
      </c>
      <c r="AJ562" s="108">
        <f t="shared" si="106"/>
        <v>0</v>
      </c>
      <c r="AK562" s="108">
        <f>IF($A562="",0,IF(AND($S562=1,$W562=1,$X562=1,$U562&gt;Config!$C$9),1,0))</f>
        <v>0</v>
      </c>
      <c r="AL562" s="108">
        <f t="shared" si="107"/>
        <v>0</v>
      </c>
    </row>
    <row r="563" spans="1:38" x14ac:dyDescent="0.25">
      <c r="A563" s="106" t="s">
        <v>622</v>
      </c>
      <c r="B563" s="106" t="s">
        <v>618</v>
      </c>
      <c r="C563" s="107">
        <v>46266</v>
      </c>
      <c r="D563" s="106" t="s">
        <v>643</v>
      </c>
      <c r="E563" s="106" t="s">
        <v>644</v>
      </c>
      <c r="F563" s="106" t="s">
        <v>645</v>
      </c>
      <c r="G563" s="106"/>
      <c r="H563" s="106" t="s">
        <v>656</v>
      </c>
      <c r="I563" s="106"/>
      <c r="J563" s="106"/>
      <c r="K563" s="106">
        <v>0.125</v>
      </c>
      <c r="L563" s="106">
        <v>0</v>
      </c>
      <c r="M563" s="106">
        <v>0</v>
      </c>
      <c r="N563" s="106"/>
      <c r="O563" s="106"/>
      <c r="P563" s="106">
        <v>0</v>
      </c>
      <c r="Q563" s="106" t="s">
        <v>1081</v>
      </c>
      <c r="S563" s="108">
        <f>IF($A563="","",COUNTIF(BPOworkers!$B$6:$B$105,$A563))</f>
        <v>0</v>
      </c>
      <c r="T563" s="109">
        <f>IF($A563="","",$K563*Config!$C$9)</f>
        <v>1</v>
      </c>
      <c r="U563" s="109">
        <f>IF($A563="","",IF(COUNTIF(Config!$C$21:$C$23,$H563)&gt;0,IFERROR(VALUE(LEFT(TRIM($Q563),FIND(" ",TRIM($Q563)&amp;" ")-1)),0),0))</f>
        <v>0</v>
      </c>
      <c r="V563" s="109">
        <f t="shared" si="96"/>
        <v>1</v>
      </c>
      <c r="W563" s="108">
        <f>IF($A563="",0,IF(AND($C563&gt;=Config!$C$7,$C563&lt;=Config!$C$8),1,0))</f>
        <v>1</v>
      </c>
      <c r="X563" s="108">
        <f>IF($A563="",0,IF(COUNTIF(Config!$C$21:$C$23,$H563)&gt;0,1,0))</f>
        <v>0</v>
      </c>
      <c r="Y563" s="108">
        <f t="shared" si="97"/>
        <v>10</v>
      </c>
      <c r="Z563" s="108" t="str">
        <f t="shared" si="98"/>
        <v/>
      </c>
      <c r="AB563" s="108">
        <f t="shared" si="99"/>
        <v>0</v>
      </c>
      <c r="AC563" s="108">
        <f>IF($A563="",0,IF(AND($AB563=1,COUNTIF($A$2:$A563,$A563)=1),1,0))</f>
        <v>0</v>
      </c>
      <c r="AD563" s="108">
        <f t="shared" si="100"/>
        <v>1</v>
      </c>
      <c r="AE563" s="108" t="str">
        <f t="shared" si="101"/>
        <v/>
      </c>
      <c r="AF563" s="108">
        <f t="shared" si="102"/>
        <v>0</v>
      </c>
      <c r="AG563" s="108">
        <f t="shared" si="103"/>
        <v>0</v>
      </c>
      <c r="AH563" s="110" t="str">
        <f t="shared" si="104"/>
        <v>K. Milcarzyk|20260901|Project Management|0.125|Meeting with team to discuss overall project status.</v>
      </c>
      <c r="AI563" s="108">
        <f t="shared" si="105"/>
        <v>0</v>
      </c>
      <c r="AJ563" s="108">
        <f t="shared" si="106"/>
        <v>0</v>
      </c>
      <c r="AK563" s="108">
        <f>IF($A563="",0,IF(AND($S563=1,$W563=1,$X563=1,$U563&gt;Config!$C$9),1,0))</f>
        <v>0</v>
      </c>
      <c r="AL563" s="108">
        <f t="shared" si="107"/>
        <v>0</v>
      </c>
    </row>
    <row r="564" spans="1:38" x14ac:dyDescent="0.25">
      <c r="A564" s="106" t="s">
        <v>627</v>
      </c>
      <c r="B564" s="106" t="s">
        <v>618</v>
      </c>
      <c r="C564" s="107">
        <v>46266</v>
      </c>
      <c r="D564" s="106" t="s">
        <v>628</v>
      </c>
      <c r="E564" s="106" t="s">
        <v>705</v>
      </c>
      <c r="F564" s="106" t="s">
        <v>630</v>
      </c>
      <c r="G564" s="106"/>
      <c r="H564" s="106" t="s">
        <v>631</v>
      </c>
      <c r="I564" s="106"/>
      <c r="J564" s="106"/>
      <c r="K564" s="106">
        <v>0.5</v>
      </c>
      <c r="L564" s="106">
        <v>0</v>
      </c>
      <c r="M564" s="106">
        <v>0</v>
      </c>
      <c r="N564" s="106"/>
      <c r="O564" s="106"/>
      <c r="P564" s="106">
        <v>0</v>
      </c>
      <c r="Q564" s="106" t="s">
        <v>1359</v>
      </c>
      <c r="S564" s="108">
        <f>IF($A564="","",COUNTIF(BPOworkers!$B$6:$B$105,$A564))</f>
        <v>0</v>
      </c>
      <c r="T564" s="109">
        <f>IF($A564="","",$K564*Config!$C$9)</f>
        <v>4</v>
      </c>
      <c r="U564" s="109">
        <f>IF($A564="","",IF(COUNTIF(Config!$C$21:$C$23,$H564)&gt;0,IFERROR(VALUE(LEFT(TRIM($Q564),FIND(" ",TRIM($Q564)&amp;" ")-1)),0),0))</f>
        <v>0</v>
      </c>
      <c r="V564" s="109">
        <f t="shared" si="96"/>
        <v>4</v>
      </c>
      <c r="W564" s="108">
        <f>IF($A564="",0,IF(AND($C564&gt;=Config!$C$7,$C564&lt;=Config!$C$8),1,0))</f>
        <v>1</v>
      </c>
      <c r="X564" s="108">
        <f>IF($A564="",0,IF(COUNTIF(Config!$C$21:$C$23,$H564)&gt;0,1,0))</f>
        <v>0</v>
      </c>
      <c r="Y564" s="108">
        <f t="shared" si="97"/>
        <v>10</v>
      </c>
      <c r="Z564" s="108" t="str">
        <f t="shared" si="98"/>
        <v/>
      </c>
      <c r="AB564" s="108">
        <f t="shared" si="99"/>
        <v>0</v>
      </c>
      <c r="AC564" s="108">
        <f>IF($A564="",0,IF(AND($AB564=1,COUNTIF($A$2:$A564,$A564)=1),1,0))</f>
        <v>0</v>
      </c>
      <c r="AD564" s="108">
        <f t="shared" si="100"/>
        <v>1</v>
      </c>
      <c r="AE564" s="108" t="str">
        <f t="shared" si="101"/>
        <v/>
      </c>
      <c r="AF564" s="108">
        <f t="shared" si="102"/>
        <v>0</v>
      </c>
      <c r="AG564" s="108">
        <f t="shared" si="103"/>
        <v>0</v>
      </c>
      <c r="AH564" s="110" t="str">
        <f t="shared" si="104"/>
        <v>G. Bond|20260901|Title|0.500|Reviewing docs and adding them to AOI for landmen to begin building chain.</v>
      </c>
      <c r="AI564" s="108">
        <f t="shared" si="105"/>
        <v>0</v>
      </c>
      <c r="AJ564" s="108">
        <f t="shared" si="106"/>
        <v>0</v>
      </c>
      <c r="AK564" s="108">
        <f>IF($A564="",0,IF(AND($S564=1,$W564=1,$X564=1,$U564&gt;Config!$C$9),1,0))</f>
        <v>0</v>
      </c>
      <c r="AL564" s="108">
        <f t="shared" si="107"/>
        <v>0</v>
      </c>
    </row>
    <row r="565" spans="1:38" x14ac:dyDescent="0.25">
      <c r="A565" s="106" t="s">
        <v>627</v>
      </c>
      <c r="B565" s="106" t="s">
        <v>618</v>
      </c>
      <c r="C565" s="107">
        <v>46266</v>
      </c>
      <c r="D565" s="106" t="s">
        <v>628</v>
      </c>
      <c r="E565" s="106" t="s">
        <v>701</v>
      </c>
      <c r="F565" s="106" t="s">
        <v>630</v>
      </c>
      <c r="G565" s="106"/>
      <c r="H565" s="106" t="s">
        <v>631</v>
      </c>
      <c r="I565" s="106"/>
      <c r="J565" s="106"/>
      <c r="K565" s="106">
        <v>0.5</v>
      </c>
      <c r="L565" s="106">
        <v>0</v>
      </c>
      <c r="M565" s="106">
        <v>0</v>
      </c>
      <c r="N565" s="106"/>
      <c r="O565" s="106"/>
      <c r="P565" s="106">
        <v>0</v>
      </c>
      <c r="Q565" s="106" t="s">
        <v>1359</v>
      </c>
      <c r="S565" s="108">
        <f>IF($A565="","",COUNTIF(BPOworkers!$B$6:$B$105,$A565))</f>
        <v>0</v>
      </c>
      <c r="T565" s="109">
        <f>IF($A565="","",$K565*Config!$C$9)</f>
        <v>4</v>
      </c>
      <c r="U565" s="109">
        <f>IF($A565="","",IF(COUNTIF(Config!$C$21:$C$23,$H565)&gt;0,IFERROR(VALUE(LEFT(TRIM($Q565),FIND(" ",TRIM($Q565)&amp;" ")-1)),0),0))</f>
        <v>0</v>
      </c>
      <c r="V565" s="109">
        <f t="shared" si="96"/>
        <v>4</v>
      </c>
      <c r="W565" s="108">
        <f>IF($A565="",0,IF(AND($C565&gt;=Config!$C$7,$C565&lt;=Config!$C$8),1,0))</f>
        <v>1</v>
      </c>
      <c r="X565" s="108">
        <f>IF($A565="",0,IF(COUNTIF(Config!$C$21:$C$23,$H565)&gt;0,1,0))</f>
        <v>0</v>
      </c>
      <c r="Y565" s="108">
        <f t="shared" si="97"/>
        <v>10</v>
      </c>
      <c r="Z565" s="108" t="str">
        <f t="shared" si="98"/>
        <v/>
      </c>
      <c r="AB565" s="108">
        <f t="shared" si="99"/>
        <v>0</v>
      </c>
      <c r="AC565" s="108">
        <f>IF($A565="",0,IF(AND($AB565=1,COUNTIF($A$2:$A565,$A565)=1),1,0))</f>
        <v>0</v>
      </c>
      <c r="AD565" s="108">
        <f t="shared" si="100"/>
        <v>1</v>
      </c>
      <c r="AE565" s="108" t="str">
        <f t="shared" si="101"/>
        <v/>
      </c>
      <c r="AF565" s="108">
        <f t="shared" si="102"/>
        <v>0</v>
      </c>
      <c r="AG565" s="108">
        <f t="shared" si="103"/>
        <v>0</v>
      </c>
      <c r="AH565" s="110" t="str">
        <f t="shared" si="104"/>
        <v>G. Bond|20260901|Title|0.500|Reviewing docs and adding them to AOI for landmen to begin building chain.</v>
      </c>
      <c r="AI565" s="108">
        <f t="shared" si="105"/>
        <v>0</v>
      </c>
      <c r="AJ565" s="108">
        <f t="shared" si="106"/>
        <v>0</v>
      </c>
      <c r="AK565" s="108">
        <f>IF($A565="",0,IF(AND($S565=1,$W565=1,$X565=1,$U565&gt;Config!$C$9),1,0))</f>
        <v>0</v>
      </c>
      <c r="AL565" s="108">
        <f t="shared" si="107"/>
        <v>0</v>
      </c>
    </row>
    <row r="566" spans="1:38" x14ac:dyDescent="0.25">
      <c r="A566" s="106" t="s">
        <v>912</v>
      </c>
      <c r="B566" s="106" t="s">
        <v>618</v>
      </c>
      <c r="C566" s="107">
        <v>46266</v>
      </c>
      <c r="D566" s="106" t="s">
        <v>712</v>
      </c>
      <c r="E566" s="106" t="s">
        <v>713</v>
      </c>
      <c r="F566" s="106" t="s">
        <v>714</v>
      </c>
      <c r="G566" s="106" t="s">
        <v>1207</v>
      </c>
      <c r="H566" s="106" t="s">
        <v>631</v>
      </c>
      <c r="I566" s="106"/>
      <c r="J566" s="106"/>
      <c r="K566" s="106">
        <v>0.375</v>
      </c>
      <c r="L566" s="106">
        <v>0</v>
      </c>
      <c r="M566" s="106">
        <v>0</v>
      </c>
      <c r="N566" s="106"/>
      <c r="O566" s="106"/>
      <c r="P566" s="106">
        <v>0</v>
      </c>
      <c r="Q566" s="106" t="s">
        <v>1360</v>
      </c>
      <c r="S566" s="108">
        <f>IF($A566="","",COUNTIF(BPOworkers!$B$6:$B$105,$A566))</f>
        <v>0</v>
      </c>
      <c r="T566" s="109">
        <f>IF($A566="","",$K566*Config!$C$9)</f>
        <v>3</v>
      </c>
      <c r="U566" s="109">
        <f>IF($A566="","",IF(COUNTIF(Config!$C$21:$C$23,$H566)&gt;0,IFERROR(VALUE(LEFT(TRIM($Q566),FIND(" ",TRIM($Q566)&amp;" ")-1)),0),0))</f>
        <v>0</v>
      </c>
      <c r="V566" s="109">
        <f t="shared" si="96"/>
        <v>3</v>
      </c>
      <c r="W566" s="108">
        <f>IF($A566="",0,IF(AND($C566&gt;=Config!$C$7,$C566&lt;=Config!$C$8),1,0))</f>
        <v>1</v>
      </c>
      <c r="X566" s="108">
        <f>IF($A566="",0,IF(COUNTIF(Config!$C$21:$C$23,$H566)&gt;0,1,0))</f>
        <v>0</v>
      </c>
      <c r="Y566" s="108">
        <f t="shared" si="97"/>
        <v>10</v>
      </c>
      <c r="Z566" s="108" t="str">
        <f t="shared" si="98"/>
        <v/>
      </c>
      <c r="AB566" s="108">
        <f t="shared" si="99"/>
        <v>0</v>
      </c>
      <c r="AC566" s="108">
        <f>IF($A566="",0,IF(AND($AB566=1,COUNTIF($A$2:$A566,$A566)=1),1,0))</f>
        <v>0</v>
      </c>
      <c r="AD566" s="108">
        <f t="shared" si="100"/>
        <v>1</v>
      </c>
      <c r="AE566" s="108" t="str">
        <f t="shared" si="101"/>
        <v/>
      </c>
      <c r="AF566" s="108">
        <f t="shared" si="102"/>
        <v>0</v>
      </c>
      <c r="AG566" s="108">
        <f t="shared" si="103"/>
        <v>0</v>
      </c>
      <c r="AH566" s="110" t="str">
        <f t="shared" si="104"/>
        <v>R. Willis|20260901|Title|0.375|Indexed party names, made sure notecard information was correct, entered notecard information, filled out LMS, submitted</v>
      </c>
      <c r="AI566" s="108">
        <f t="shared" si="105"/>
        <v>0</v>
      </c>
      <c r="AJ566" s="108">
        <f t="shared" si="106"/>
        <v>0</v>
      </c>
      <c r="AK566" s="108">
        <f>IF($A566="",0,IF(AND($S566=1,$W566=1,$X566=1,$U566&gt;Config!$C$9),1,0))</f>
        <v>0</v>
      </c>
      <c r="AL566" s="108">
        <f t="shared" si="107"/>
        <v>0</v>
      </c>
    </row>
    <row r="567" spans="1:38" x14ac:dyDescent="0.25">
      <c r="A567" s="106" t="s">
        <v>912</v>
      </c>
      <c r="B567" s="106" t="s">
        <v>618</v>
      </c>
      <c r="C567" s="107">
        <v>46266</v>
      </c>
      <c r="D567" s="106" t="s">
        <v>712</v>
      </c>
      <c r="E567" s="106" t="s">
        <v>713</v>
      </c>
      <c r="F567" s="106" t="s">
        <v>714</v>
      </c>
      <c r="G567" s="106" t="s">
        <v>1225</v>
      </c>
      <c r="H567" s="106" t="s">
        <v>639</v>
      </c>
      <c r="I567" s="106"/>
      <c r="J567" s="106"/>
      <c r="K567" s="106">
        <v>0.25</v>
      </c>
      <c r="L567" s="106">
        <v>0</v>
      </c>
      <c r="M567" s="106">
        <v>0</v>
      </c>
      <c r="N567" s="106"/>
      <c r="O567" s="106"/>
      <c r="P567" s="106">
        <v>0</v>
      </c>
      <c r="Q567" s="106" t="s">
        <v>1361</v>
      </c>
      <c r="S567" s="108">
        <f>IF($A567="","",COUNTIF(BPOworkers!$B$6:$B$105,$A567))</f>
        <v>0</v>
      </c>
      <c r="T567" s="109">
        <f>IF($A567="","",$K567*Config!$C$9)</f>
        <v>2</v>
      </c>
      <c r="U567" s="109">
        <f>IF($A567="","",IF(COUNTIF(Config!$C$21:$C$23,$H567)&gt;0,IFERROR(VALUE(LEFT(TRIM($Q567),FIND(" ",TRIM($Q567)&amp;" ")-1)),0),0))</f>
        <v>0</v>
      </c>
      <c r="V567" s="109">
        <f t="shared" si="96"/>
        <v>2</v>
      </c>
      <c r="W567" s="108">
        <f>IF($A567="",0,IF(AND($C567&gt;=Config!$C$7,$C567&lt;=Config!$C$8),1,0))</f>
        <v>1</v>
      </c>
      <c r="X567" s="108">
        <f>IF($A567="",0,IF(COUNTIF(Config!$C$21:$C$23,$H567)&gt;0,1,0))</f>
        <v>0</v>
      </c>
      <c r="Y567" s="108">
        <f t="shared" si="97"/>
        <v>10</v>
      </c>
      <c r="Z567" s="108" t="str">
        <f t="shared" si="98"/>
        <v/>
      </c>
      <c r="AB567" s="108">
        <f t="shared" si="99"/>
        <v>0</v>
      </c>
      <c r="AC567" s="108">
        <f>IF($A567="",0,IF(AND($AB567=1,COUNTIF($A$2:$A567,$A567)=1),1,0))</f>
        <v>0</v>
      </c>
      <c r="AD567" s="108">
        <f t="shared" si="100"/>
        <v>1</v>
      </c>
      <c r="AE567" s="108" t="str">
        <f t="shared" si="101"/>
        <v/>
      </c>
      <c r="AF567" s="108">
        <f t="shared" si="102"/>
        <v>0</v>
      </c>
      <c r="AG567" s="108">
        <f t="shared" si="103"/>
        <v>0</v>
      </c>
      <c r="AH567" s="110" t="str">
        <f t="shared" si="104"/>
        <v>R. Willis|20260901|Review|0.250|Followed review checklist, began correcting notecards, tracking any changes i made for landman feedback.</v>
      </c>
      <c r="AI567" s="108">
        <f t="shared" si="105"/>
        <v>0</v>
      </c>
      <c r="AJ567" s="108">
        <f t="shared" si="106"/>
        <v>0</v>
      </c>
      <c r="AK567" s="108">
        <f>IF($A567="",0,IF(AND($S567=1,$W567=1,$X567=1,$U567&gt;Config!$C$9),1,0))</f>
        <v>0</v>
      </c>
      <c r="AL567" s="108">
        <f t="shared" si="107"/>
        <v>0</v>
      </c>
    </row>
    <row r="568" spans="1:38" x14ac:dyDescent="0.25">
      <c r="A568" s="106" t="s">
        <v>912</v>
      </c>
      <c r="B568" s="106" t="s">
        <v>618</v>
      </c>
      <c r="C568" s="107">
        <v>46266</v>
      </c>
      <c r="D568" s="106" t="s">
        <v>529</v>
      </c>
      <c r="E568" s="106" t="s">
        <v>529</v>
      </c>
      <c r="F568" s="106" t="s">
        <v>615</v>
      </c>
      <c r="G568" s="106"/>
      <c r="H568" s="106" t="s">
        <v>529</v>
      </c>
      <c r="I568" s="106"/>
      <c r="J568" s="106"/>
      <c r="K568" s="106">
        <v>0</v>
      </c>
      <c r="L568" s="106">
        <v>0</v>
      </c>
      <c r="M568" s="106">
        <v>0</v>
      </c>
      <c r="N568" s="106"/>
      <c r="O568" s="106"/>
      <c r="P568" s="106">
        <v>0</v>
      </c>
      <c r="Q568" s="106" t="s">
        <v>1362</v>
      </c>
      <c r="S568" s="108">
        <f>IF($A568="","",COUNTIF(BPOworkers!$B$6:$B$105,$A568))</f>
        <v>0</v>
      </c>
      <c r="T568" s="109">
        <f>IF($A568="","",$K568*Config!$C$9)</f>
        <v>0</v>
      </c>
      <c r="U568" s="109">
        <f>IF($A568="","",IF(COUNTIF(Config!$C$21:$C$23,$H568)&gt;0,IFERROR(VALUE(LEFT(TRIM($Q568),FIND(" ",TRIM($Q568)&amp;" ")-1)),0),0))</f>
        <v>3</v>
      </c>
      <c r="V568" s="109">
        <f t="shared" si="96"/>
        <v>3</v>
      </c>
      <c r="W568" s="108">
        <f>IF($A568="",0,IF(AND($C568&gt;=Config!$C$7,$C568&lt;=Config!$C$8),1,0))</f>
        <v>1</v>
      </c>
      <c r="X568" s="108">
        <f>IF($A568="",0,IF(COUNTIF(Config!$C$21:$C$23,$H568)&gt;0,1,0))</f>
        <v>1</v>
      </c>
      <c r="Y568" s="108">
        <f t="shared" si="97"/>
        <v>10</v>
      </c>
      <c r="Z568" s="108" t="str">
        <f t="shared" si="98"/>
        <v/>
      </c>
      <c r="AB568" s="108">
        <f t="shared" si="99"/>
        <v>0</v>
      </c>
      <c r="AC568" s="108">
        <f>IF($A568="",0,IF(AND($AB568=1,COUNTIF($A$2:$A568,$A568)=1),1,0))</f>
        <v>0</v>
      </c>
      <c r="AD568" s="108">
        <f t="shared" si="100"/>
        <v>1</v>
      </c>
      <c r="AE568" s="108" t="str">
        <f t="shared" si="101"/>
        <v/>
      </c>
      <c r="AF568" s="108">
        <f t="shared" si="102"/>
        <v>0</v>
      </c>
      <c r="AG568" s="108">
        <f t="shared" si="103"/>
        <v>0</v>
      </c>
      <c r="AH568" s="110" t="str">
        <f t="shared" si="104"/>
        <v>R. Willis|20260901|Time Off|0.000|3 hours unpaid - technical difficulties.</v>
      </c>
      <c r="AI568" s="108">
        <f t="shared" si="105"/>
        <v>0</v>
      </c>
      <c r="AJ568" s="108">
        <f t="shared" si="106"/>
        <v>0</v>
      </c>
      <c r="AK568" s="108">
        <f>IF($A568="",0,IF(AND($S568=1,$W568=1,$X568=1,$U568&gt;Config!$C$9),1,0))</f>
        <v>0</v>
      </c>
      <c r="AL568" s="108">
        <f t="shared" si="107"/>
        <v>0</v>
      </c>
    </row>
    <row r="569" spans="1:38" x14ac:dyDescent="0.25">
      <c r="A569" s="106" t="s">
        <v>634</v>
      </c>
      <c r="B569" s="106" t="s">
        <v>618</v>
      </c>
      <c r="C569" s="107">
        <v>46266</v>
      </c>
      <c r="D569" s="106" t="s">
        <v>529</v>
      </c>
      <c r="E569" s="106" t="s">
        <v>529</v>
      </c>
      <c r="F569" s="106" t="s">
        <v>615</v>
      </c>
      <c r="G569" s="106"/>
      <c r="H569" s="106" t="s">
        <v>529</v>
      </c>
      <c r="I569" s="106"/>
      <c r="J569" s="106"/>
      <c r="K569" s="106">
        <v>0</v>
      </c>
      <c r="L569" s="106">
        <v>0</v>
      </c>
      <c r="M569" s="106">
        <v>0</v>
      </c>
      <c r="N569" s="106"/>
      <c r="O569" s="106"/>
      <c r="P569" s="106">
        <v>0</v>
      </c>
      <c r="Q569" s="106" t="s">
        <v>1363</v>
      </c>
      <c r="S569" s="108">
        <f>IF($A569="","",COUNTIF(BPOworkers!$B$6:$B$105,$A569))</f>
        <v>0</v>
      </c>
      <c r="T569" s="109">
        <f>IF($A569="","",$K569*Config!$C$9)</f>
        <v>0</v>
      </c>
      <c r="U569" s="109">
        <f>IF($A569="","",IF(COUNTIF(Config!$C$21:$C$23,$H569)&gt;0,IFERROR(VALUE(LEFT(TRIM($Q569),FIND(" ",TRIM($Q569)&amp;" ")-1)),0),0))</f>
        <v>4</v>
      </c>
      <c r="V569" s="109">
        <f t="shared" si="96"/>
        <v>4</v>
      </c>
      <c r="W569" s="108">
        <f>IF($A569="",0,IF(AND($C569&gt;=Config!$C$7,$C569&lt;=Config!$C$8),1,0))</f>
        <v>1</v>
      </c>
      <c r="X569" s="108">
        <f>IF($A569="",0,IF(COUNTIF(Config!$C$21:$C$23,$H569)&gt;0,1,0))</f>
        <v>1</v>
      </c>
      <c r="Y569" s="108">
        <f t="shared" si="97"/>
        <v>10</v>
      </c>
      <c r="Z569" s="108" t="str">
        <f t="shared" si="98"/>
        <v/>
      </c>
      <c r="AB569" s="108">
        <f t="shared" si="99"/>
        <v>0</v>
      </c>
      <c r="AC569" s="108">
        <f>IF($A569="",0,IF(AND($AB569=1,COUNTIF($A$2:$A569,$A569)=1),1,0))</f>
        <v>0</v>
      </c>
      <c r="AD569" s="108">
        <f t="shared" si="100"/>
        <v>1</v>
      </c>
      <c r="AE569" s="108" t="str">
        <f t="shared" si="101"/>
        <v/>
      </c>
      <c r="AF569" s="108">
        <f t="shared" si="102"/>
        <v>0</v>
      </c>
      <c r="AG569" s="108">
        <f t="shared" si="103"/>
        <v>0</v>
      </c>
      <c r="AH569" s="110" t="str">
        <f t="shared" si="104"/>
        <v>L. Bailiff|20260901|Time Off|0.000|4 hours time off due to illness.</v>
      </c>
      <c r="AI569" s="108">
        <f t="shared" si="105"/>
        <v>0</v>
      </c>
      <c r="AJ569" s="108">
        <f t="shared" si="106"/>
        <v>0</v>
      </c>
      <c r="AK569" s="108">
        <f>IF($A569="",0,IF(AND($S569=1,$W569=1,$X569=1,$U569&gt;Config!$C$9),1,0))</f>
        <v>0</v>
      </c>
      <c r="AL569" s="108">
        <f t="shared" si="107"/>
        <v>0</v>
      </c>
    </row>
    <row r="570" spans="1:38" x14ac:dyDescent="0.25">
      <c r="A570" s="106" t="s">
        <v>634</v>
      </c>
      <c r="B570" s="106" t="s">
        <v>618</v>
      </c>
      <c r="C570" s="107">
        <v>46266</v>
      </c>
      <c r="D570" s="106" t="s">
        <v>635</v>
      </c>
      <c r="E570" s="106" t="s">
        <v>636</v>
      </c>
      <c r="F570" s="106" t="s">
        <v>637</v>
      </c>
      <c r="G570" s="106" t="s">
        <v>638</v>
      </c>
      <c r="H570" s="106" t="s">
        <v>639</v>
      </c>
      <c r="I570" s="106"/>
      <c r="J570" s="106"/>
      <c r="K570" s="106">
        <v>0.5</v>
      </c>
      <c r="L570" s="106">
        <v>0</v>
      </c>
      <c r="M570" s="106">
        <v>0</v>
      </c>
      <c r="N570" s="106"/>
      <c r="O570" s="106"/>
      <c r="P570" s="106">
        <v>0</v>
      </c>
      <c r="Q570" s="106" t="s">
        <v>861</v>
      </c>
      <c r="S570" s="108">
        <f>IF($A570="","",COUNTIF(BPOworkers!$B$6:$B$105,$A570))</f>
        <v>0</v>
      </c>
      <c r="T570" s="109">
        <f>IF($A570="","",$K570*Config!$C$9)</f>
        <v>4</v>
      </c>
      <c r="U570" s="109">
        <f>IF($A570="","",IF(COUNTIF(Config!$C$21:$C$23,$H570)&gt;0,IFERROR(VALUE(LEFT(TRIM($Q570),FIND(" ",TRIM($Q570)&amp;" ")-1)),0),0))</f>
        <v>0</v>
      </c>
      <c r="V570" s="109">
        <f t="shared" si="96"/>
        <v>4</v>
      </c>
      <c r="W570" s="108">
        <f>IF($A570="",0,IF(AND($C570&gt;=Config!$C$7,$C570&lt;=Config!$C$8),1,0))</f>
        <v>1</v>
      </c>
      <c r="X570" s="108">
        <f>IF($A570="",0,IF(COUNTIF(Config!$C$21:$C$23,$H570)&gt;0,1,0))</f>
        <v>0</v>
      </c>
      <c r="Y570" s="108">
        <f t="shared" si="97"/>
        <v>10</v>
      </c>
      <c r="Z570" s="108" t="str">
        <f t="shared" si="98"/>
        <v/>
      </c>
      <c r="AB570" s="108">
        <f t="shared" si="99"/>
        <v>0</v>
      </c>
      <c r="AC570" s="108">
        <f>IF($A570="",0,IF(AND($AB570=1,COUNTIF($A$2:$A570,$A570)=1),1,0))</f>
        <v>0</v>
      </c>
      <c r="AD570" s="108">
        <f t="shared" si="100"/>
        <v>1</v>
      </c>
      <c r="AE570" s="108" t="str">
        <f t="shared" si="101"/>
        <v/>
      </c>
      <c r="AF570" s="108">
        <f t="shared" si="102"/>
        <v>0</v>
      </c>
      <c r="AG570" s="108">
        <f t="shared" si="103"/>
        <v>0</v>
      </c>
      <c r="AH570" s="110" t="str">
        <f t="shared" si="104"/>
        <v xml:space="preserve">L. Bailiff|20260901|Review|0.500|Reviewed AOI for Section 28, Township 19 South, Range 34 East in Lea County, NM associated with Federal Lease NM057285. </v>
      </c>
      <c r="AI570" s="108">
        <f t="shared" si="105"/>
        <v>0</v>
      </c>
      <c r="AJ570" s="108">
        <f t="shared" si="106"/>
        <v>0</v>
      </c>
      <c r="AK570" s="108">
        <f>IF($A570="",0,IF(AND($S570=1,$W570=1,$X570=1,$U570&gt;Config!$C$9),1,0))</f>
        <v>0</v>
      </c>
      <c r="AL570" s="108">
        <f t="shared" si="107"/>
        <v>0</v>
      </c>
    </row>
    <row r="571" spans="1:38" x14ac:dyDescent="0.25">
      <c r="A571" s="106" t="s">
        <v>641</v>
      </c>
      <c r="B571" s="106" t="s">
        <v>618</v>
      </c>
      <c r="C571" s="107">
        <v>46266</v>
      </c>
      <c r="D571" s="106" t="s">
        <v>643</v>
      </c>
      <c r="E571" s="106" t="s">
        <v>644</v>
      </c>
      <c r="F571" s="106" t="s">
        <v>645</v>
      </c>
      <c r="G571" s="106" t="s">
        <v>1070</v>
      </c>
      <c r="H571" s="106" t="s">
        <v>639</v>
      </c>
      <c r="I571" s="106"/>
      <c r="J571" s="106"/>
      <c r="K571" s="106">
        <v>0.25</v>
      </c>
      <c r="L571" s="106">
        <v>0</v>
      </c>
      <c r="M571" s="106">
        <v>0</v>
      </c>
      <c r="N571" s="106"/>
      <c r="O571" s="106"/>
      <c r="P571" s="106">
        <v>0</v>
      </c>
      <c r="Q571" s="106" t="s">
        <v>1364</v>
      </c>
      <c r="S571" s="108">
        <f>IF($A571="","",COUNTIF(BPOworkers!$B$6:$B$105,$A571))</f>
        <v>0</v>
      </c>
      <c r="T571" s="109">
        <f>IF($A571="","",$K571*Config!$C$9)</f>
        <v>2</v>
      </c>
      <c r="U571" s="109">
        <f>IF($A571="","",IF(COUNTIF(Config!$C$21:$C$23,$H571)&gt;0,IFERROR(VALUE(LEFT(TRIM($Q571),FIND(" ",TRIM($Q571)&amp;" ")-1)),0),0))</f>
        <v>0</v>
      </c>
      <c r="V571" s="109">
        <f t="shared" si="96"/>
        <v>2</v>
      </c>
      <c r="W571" s="108">
        <f>IF($A571="",0,IF(AND($C571&gt;=Config!$C$7,$C571&lt;=Config!$C$8),1,0))</f>
        <v>1</v>
      </c>
      <c r="X571" s="108">
        <f>IF($A571="",0,IF(COUNTIF(Config!$C$21:$C$23,$H571)&gt;0,1,0))</f>
        <v>0</v>
      </c>
      <c r="Y571" s="108">
        <f t="shared" si="97"/>
        <v>10</v>
      </c>
      <c r="Z571" s="108" t="str">
        <f t="shared" si="98"/>
        <v/>
      </c>
      <c r="AB571" s="108">
        <f t="shared" si="99"/>
        <v>0</v>
      </c>
      <c r="AC571" s="108">
        <f>IF($A571="",0,IF(AND($AB571=1,COUNTIF($A$2:$A571,$A571)=1),1,0))</f>
        <v>0</v>
      </c>
      <c r="AD571" s="108">
        <f t="shared" si="100"/>
        <v>1</v>
      </c>
      <c r="AE571" s="108" t="str">
        <f t="shared" si="101"/>
        <v/>
      </c>
      <c r="AF571" s="108">
        <f t="shared" si="102"/>
        <v>0</v>
      </c>
      <c r="AG571" s="108">
        <f t="shared" si="103"/>
        <v>0</v>
      </c>
      <c r="AH571" s="110" t="str">
        <f t="shared" si="104"/>
        <v>M. Young|20260901|Review|0.250|Review cards, look for another deed out of Standard Oil of Kansas (we believe all of their interest should be conveyed o</v>
      </c>
      <c r="AI571" s="108">
        <f t="shared" si="105"/>
        <v>0</v>
      </c>
      <c r="AJ571" s="108">
        <f t="shared" si="106"/>
        <v>0</v>
      </c>
      <c r="AK571" s="108">
        <f>IF($A571="",0,IF(AND($S571=1,$W571=1,$X571=1,$U571&gt;Config!$C$9),1,0))</f>
        <v>0</v>
      </c>
      <c r="AL571" s="108">
        <f t="shared" si="107"/>
        <v>0</v>
      </c>
    </row>
    <row r="572" spans="1:38" x14ac:dyDescent="0.25">
      <c r="A572" s="106" t="s">
        <v>641</v>
      </c>
      <c r="B572" s="106" t="s">
        <v>618</v>
      </c>
      <c r="C572" s="107">
        <v>46266</v>
      </c>
      <c r="D572" s="106" t="s">
        <v>643</v>
      </c>
      <c r="E572" s="106" t="s">
        <v>644</v>
      </c>
      <c r="F572" s="106" t="s">
        <v>645</v>
      </c>
      <c r="G572" s="106" t="s">
        <v>646</v>
      </c>
      <c r="H572" s="106" t="s">
        <v>639</v>
      </c>
      <c r="I572" s="106"/>
      <c r="J572" s="106"/>
      <c r="K572" s="106">
        <v>0.125</v>
      </c>
      <c r="L572" s="106">
        <v>0</v>
      </c>
      <c r="M572" s="106">
        <v>0</v>
      </c>
      <c r="N572" s="106"/>
      <c r="O572" s="106"/>
      <c r="P572" s="106">
        <v>0</v>
      </c>
      <c r="Q572" s="106" t="s">
        <v>647</v>
      </c>
      <c r="S572" s="108">
        <f>IF($A572="","",COUNTIF(BPOworkers!$B$6:$B$105,$A572))</f>
        <v>0</v>
      </c>
      <c r="T572" s="109">
        <f>IF($A572="","",$K572*Config!$C$9)</f>
        <v>1</v>
      </c>
      <c r="U572" s="109">
        <f>IF($A572="","",IF(COUNTIF(Config!$C$21:$C$23,$H572)&gt;0,IFERROR(VALUE(LEFT(TRIM($Q572),FIND(" ",TRIM($Q572)&amp;" ")-1)),0),0))</f>
        <v>0</v>
      </c>
      <c r="V572" s="109">
        <f t="shared" si="96"/>
        <v>1</v>
      </c>
      <c r="W572" s="108">
        <f>IF($A572="",0,IF(AND($C572&gt;=Config!$C$7,$C572&lt;=Config!$C$8),1,0))</f>
        <v>1</v>
      </c>
      <c r="X572" s="108">
        <f>IF($A572="",0,IF(COUNTIF(Config!$C$21:$C$23,$H572)&gt;0,1,0))</f>
        <v>0</v>
      </c>
      <c r="Y572" s="108">
        <f t="shared" si="97"/>
        <v>10</v>
      </c>
      <c r="Z572" s="108" t="str">
        <f t="shared" si="98"/>
        <v/>
      </c>
      <c r="AB572" s="108">
        <f t="shared" si="99"/>
        <v>0</v>
      </c>
      <c r="AC572" s="108">
        <f>IF($A572="",0,IF(AND($AB572=1,COUNTIF($A$2:$A572,$A572)=1),1,0))</f>
        <v>0</v>
      </c>
      <c r="AD572" s="108">
        <f t="shared" si="100"/>
        <v>1</v>
      </c>
      <c r="AE572" s="108" t="str">
        <f t="shared" si="101"/>
        <v/>
      </c>
      <c r="AF572" s="108">
        <f t="shared" si="102"/>
        <v>0</v>
      </c>
      <c r="AG572" s="108">
        <f t="shared" si="103"/>
        <v>0</v>
      </c>
      <c r="AH572" s="110" t="str">
        <f t="shared" si="104"/>
        <v>M. Young|20260901|Review|0.125|Review cards</v>
      </c>
      <c r="AI572" s="108">
        <f t="shared" si="105"/>
        <v>0</v>
      </c>
      <c r="AJ572" s="108">
        <f t="shared" si="106"/>
        <v>0</v>
      </c>
      <c r="AK572" s="108">
        <f>IF($A572="",0,IF(AND($S572=1,$W572=1,$X572=1,$U572&gt;Config!$C$9),1,0))</f>
        <v>0</v>
      </c>
      <c r="AL572" s="108">
        <f t="shared" si="107"/>
        <v>0</v>
      </c>
    </row>
    <row r="573" spans="1:38" x14ac:dyDescent="0.25">
      <c r="A573" s="106" t="s">
        <v>641</v>
      </c>
      <c r="B573" s="106" t="s">
        <v>618</v>
      </c>
      <c r="C573" s="107">
        <v>46266</v>
      </c>
      <c r="D573" s="106" t="s">
        <v>529</v>
      </c>
      <c r="E573" s="106" t="s">
        <v>529</v>
      </c>
      <c r="F573" s="106" t="s">
        <v>615</v>
      </c>
      <c r="G573" s="106"/>
      <c r="H573" s="106" t="s">
        <v>529</v>
      </c>
      <c r="I573" s="106"/>
      <c r="J573" s="106"/>
      <c r="K573" s="106">
        <v>0</v>
      </c>
      <c r="L573" s="106">
        <v>0</v>
      </c>
      <c r="M573" s="106">
        <v>0</v>
      </c>
      <c r="N573" s="106"/>
      <c r="O573" s="106"/>
      <c r="P573" s="106">
        <v>0</v>
      </c>
      <c r="Q573" s="106" t="s">
        <v>1365</v>
      </c>
      <c r="S573" s="108">
        <f>IF($A573="","",COUNTIF(BPOworkers!$B$6:$B$105,$A573))</f>
        <v>0</v>
      </c>
      <c r="T573" s="109">
        <f>IF($A573="","",$K573*Config!$C$9)</f>
        <v>0</v>
      </c>
      <c r="U573" s="109">
        <f>IF($A573="","",IF(COUNTIF(Config!$C$21:$C$23,$H573)&gt;0,IFERROR(VALUE(LEFT(TRIM($Q573),FIND(" ",TRIM($Q573)&amp;" ")-1)),0),0))</f>
        <v>0</v>
      </c>
      <c r="V573" s="109">
        <f t="shared" si="96"/>
        <v>0</v>
      </c>
      <c r="W573" s="108">
        <f>IF($A573="",0,IF(AND($C573&gt;=Config!$C$7,$C573&lt;=Config!$C$8),1,0))</f>
        <v>1</v>
      </c>
      <c r="X573" s="108">
        <f>IF($A573="",0,IF(COUNTIF(Config!$C$21:$C$23,$H573)&gt;0,1,0))</f>
        <v>1</v>
      </c>
      <c r="Y573" s="108">
        <f t="shared" si="97"/>
        <v>10</v>
      </c>
      <c r="Z573" s="108" t="str">
        <f t="shared" si="98"/>
        <v/>
      </c>
      <c r="AB573" s="108">
        <f t="shared" si="99"/>
        <v>0</v>
      </c>
      <c r="AC573" s="108">
        <f>IF($A573="",0,IF(AND($AB573=1,COUNTIF($A$2:$A573,$A573)=1),1,0))</f>
        <v>0</v>
      </c>
      <c r="AD573" s="108">
        <f t="shared" si="100"/>
        <v>1</v>
      </c>
      <c r="AE573" s="108" t="str">
        <f t="shared" si="101"/>
        <v/>
      </c>
      <c r="AF573" s="108">
        <f t="shared" si="102"/>
        <v>0</v>
      </c>
      <c r="AG573" s="108">
        <f t="shared" si="103"/>
        <v>0</v>
      </c>
      <c r="AH573" s="110" t="str">
        <f t="shared" si="104"/>
        <v>M. Young|20260901|Time Off|0.000|Not Billed - 5 hours</v>
      </c>
      <c r="AI573" s="108">
        <f t="shared" si="105"/>
        <v>0</v>
      </c>
      <c r="AJ573" s="108">
        <f t="shared" si="106"/>
        <v>0</v>
      </c>
      <c r="AK573" s="108">
        <f>IF($A573="",0,IF(AND($S573=1,$W573=1,$X573=1,$U573&gt;Config!$C$9),1,0))</f>
        <v>0</v>
      </c>
      <c r="AL573" s="108">
        <f t="shared" si="107"/>
        <v>0</v>
      </c>
    </row>
    <row r="574" spans="1:38" x14ac:dyDescent="0.25">
      <c r="A574" s="106" t="s">
        <v>648</v>
      </c>
      <c r="B574" s="106" t="s">
        <v>618</v>
      </c>
      <c r="C574" s="107">
        <v>46266</v>
      </c>
      <c r="D574" s="106" t="s">
        <v>694</v>
      </c>
      <c r="E574" s="106" t="s">
        <v>695</v>
      </c>
      <c r="F574" s="106" t="s">
        <v>696</v>
      </c>
      <c r="G574" s="106"/>
      <c r="H574" s="106" t="s">
        <v>656</v>
      </c>
      <c r="I574" s="106"/>
      <c r="J574" s="106"/>
      <c r="K574" s="106">
        <v>0.125</v>
      </c>
      <c r="L574" s="106">
        <v>0</v>
      </c>
      <c r="M574" s="106">
        <v>0</v>
      </c>
      <c r="N574" s="106"/>
      <c r="O574" s="106"/>
      <c r="P574" s="106">
        <v>0</v>
      </c>
      <c r="Q574" s="106" t="s">
        <v>1366</v>
      </c>
      <c r="S574" s="108">
        <f>IF($A574="","",COUNTIF(BPOworkers!$B$6:$B$105,$A574))</f>
        <v>0</v>
      </c>
      <c r="T574" s="109">
        <f>IF($A574="","",$K574*Config!$C$9)</f>
        <v>1</v>
      </c>
      <c r="U574" s="109">
        <f>IF($A574="","",IF(COUNTIF(Config!$C$21:$C$23,$H574)&gt;0,IFERROR(VALUE(LEFT(TRIM($Q574),FIND(" ",TRIM($Q574)&amp;" ")-1)),0),0))</f>
        <v>0</v>
      </c>
      <c r="V574" s="109">
        <f t="shared" si="96"/>
        <v>1</v>
      </c>
      <c r="W574" s="108">
        <f>IF($A574="",0,IF(AND($C574&gt;=Config!$C$7,$C574&lt;=Config!$C$8),1,0))</f>
        <v>1</v>
      </c>
      <c r="X574" s="108">
        <f>IF($A574="",0,IF(COUNTIF(Config!$C$21:$C$23,$H574)&gt;0,1,0))</f>
        <v>0</v>
      </c>
      <c r="Y574" s="108">
        <f t="shared" si="97"/>
        <v>10</v>
      </c>
      <c r="Z574" s="108" t="str">
        <f t="shared" si="98"/>
        <v/>
      </c>
      <c r="AB574" s="108">
        <f t="shared" si="99"/>
        <v>0</v>
      </c>
      <c r="AC574" s="108">
        <f>IF($A574="",0,IF(AND($AB574=1,COUNTIF($A$2:$A574,$A574)=1),1,0))</f>
        <v>0</v>
      </c>
      <c r="AD574" s="108">
        <f t="shared" si="100"/>
        <v>1</v>
      </c>
      <c r="AE574" s="108" t="str">
        <f t="shared" si="101"/>
        <v/>
      </c>
      <c r="AF574" s="108">
        <f t="shared" si="102"/>
        <v>0</v>
      </c>
      <c r="AG574" s="108">
        <f t="shared" si="103"/>
        <v>0</v>
      </c>
      <c r="AH574" s="110" t="str">
        <f t="shared" si="104"/>
        <v>M. Witheridge|20260901|Project Management|0.125|Finished indexing and highlighting documents fr a doc count in the historical index.</v>
      </c>
      <c r="AI574" s="108">
        <f t="shared" si="105"/>
        <v>0</v>
      </c>
      <c r="AJ574" s="108">
        <f t="shared" si="106"/>
        <v>0</v>
      </c>
      <c r="AK574" s="108">
        <f>IF($A574="",0,IF(AND($S574=1,$W574=1,$X574=1,$U574&gt;Config!$C$9),1,0))</f>
        <v>0</v>
      </c>
      <c r="AL574" s="108">
        <f t="shared" si="107"/>
        <v>0</v>
      </c>
    </row>
    <row r="575" spans="1:38" x14ac:dyDescent="0.25">
      <c r="A575" s="106" t="s">
        <v>648</v>
      </c>
      <c r="B575" s="106" t="s">
        <v>618</v>
      </c>
      <c r="C575" s="107">
        <v>46266</v>
      </c>
      <c r="D575" s="106" t="s">
        <v>694</v>
      </c>
      <c r="E575" s="106" t="s">
        <v>872</v>
      </c>
      <c r="F575" s="106" t="s">
        <v>766</v>
      </c>
      <c r="G575" s="106"/>
      <c r="H575" s="106" t="s">
        <v>656</v>
      </c>
      <c r="I575" s="106"/>
      <c r="J575" s="106"/>
      <c r="K575" s="106">
        <v>0.875</v>
      </c>
      <c r="L575" s="106">
        <v>0</v>
      </c>
      <c r="M575" s="106">
        <v>0</v>
      </c>
      <c r="N575" s="106"/>
      <c r="O575" s="106"/>
      <c r="P575" s="106">
        <v>0</v>
      </c>
      <c r="Q575" s="106" t="s">
        <v>1367</v>
      </c>
      <c r="S575" s="108">
        <f>IF($A575="","",COUNTIF(BPOworkers!$B$6:$B$105,$A575))</f>
        <v>0</v>
      </c>
      <c r="T575" s="109">
        <f>IF($A575="","",$K575*Config!$C$9)</f>
        <v>7</v>
      </c>
      <c r="U575" s="109">
        <f>IF($A575="","",IF(COUNTIF(Config!$C$21:$C$23,$H575)&gt;0,IFERROR(VALUE(LEFT(TRIM($Q575),FIND(" ",TRIM($Q575)&amp;" ")-1)),0),0))</f>
        <v>0</v>
      </c>
      <c r="V575" s="109">
        <f t="shared" si="96"/>
        <v>7</v>
      </c>
      <c r="W575" s="108">
        <f>IF($A575="",0,IF(AND($C575&gt;=Config!$C$7,$C575&lt;=Config!$C$8),1,0))</f>
        <v>1</v>
      </c>
      <c r="X575" s="108">
        <f>IF($A575="",0,IF(COUNTIF(Config!$C$21:$C$23,$H575)&gt;0,1,0))</f>
        <v>0</v>
      </c>
      <c r="Y575" s="108">
        <f t="shared" si="97"/>
        <v>10</v>
      </c>
      <c r="Z575" s="108" t="str">
        <f t="shared" si="98"/>
        <v/>
      </c>
      <c r="AB575" s="108">
        <f t="shared" si="99"/>
        <v>0</v>
      </c>
      <c r="AC575" s="108">
        <f>IF($A575="",0,IF(AND($AB575=1,COUNTIF($A$2:$A575,$A575)=1),1,0))</f>
        <v>0</v>
      </c>
      <c r="AD575" s="108">
        <f t="shared" si="100"/>
        <v>1</v>
      </c>
      <c r="AE575" s="108" t="str">
        <f t="shared" si="101"/>
        <v/>
      </c>
      <c r="AF575" s="108">
        <f t="shared" si="102"/>
        <v>0</v>
      </c>
      <c r="AG575" s="108">
        <f t="shared" si="103"/>
        <v>0</v>
      </c>
      <c r="AH575" s="110" t="str">
        <f t="shared" si="104"/>
        <v>M. Witheridge|20260901|Project Management|0.875|Finish pricing and project scoping based on document counts for the following subject lands 8-3S-5W, 16-2S-1E, 16-3S-6W,</v>
      </c>
      <c r="AI575" s="108">
        <f t="shared" si="105"/>
        <v>0</v>
      </c>
      <c r="AJ575" s="108">
        <f t="shared" si="106"/>
        <v>0</v>
      </c>
      <c r="AK575" s="108">
        <f>IF($A575="",0,IF(AND($S575=1,$W575=1,$X575=1,$U575&gt;Config!$C$9),1,0))</f>
        <v>0</v>
      </c>
      <c r="AL575" s="108">
        <f t="shared" si="107"/>
        <v>0</v>
      </c>
    </row>
    <row r="576" spans="1:38" x14ac:dyDescent="0.25">
      <c r="A576" s="106" t="s">
        <v>650</v>
      </c>
      <c r="B576" s="106" t="s">
        <v>618</v>
      </c>
      <c r="C576" s="107">
        <v>46266</v>
      </c>
      <c r="D576" s="106" t="s">
        <v>694</v>
      </c>
      <c r="E576" s="106" t="s">
        <v>862</v>
      </c>
      <c r="F576" s="106" t="s">
        <v>766</v>
      </c>
      <c r="G576" s="106" t="s">
        <v>1368</v>
      </c>
      <c r="H576" s="106" t="s">
        <v>631</v>
      </c>
      <c r="I576" s="106"/>
      <c r="J576" s="106"/>
      <c r="K576" s="106">
        <v>1</v>
      </c>
      <c r="L576" s="106">
        <v>0</v>
      </c>
      <c r="M576" s="106">
        <v>0</v>
      </c>
      <c r="N576" s="106"/>
      <c r="O576" s="106"/>
      <c r="P576" s="106">
        <v>0</v>
      </c>
      <c r="Q576" s="106" t="s">
        <v>1369</v>
      </c>
      <c r="S576" s="108">
        <f>IF($A576="","",COUNTIF(BPOworkers!$B$6:$B$105,$A576))</f>
        <v>0</v>
      </c>
      <c r="T576" s="109">
        <f>IF($A576="","",$K576*Config!$C$9)</f>
        <v>8</v>
      </c>
      <c r="U576" s="109">
        <f>IF($A576="","",IF(COUNTIF(Config!$C$21:$C$23,$H576)&gt;0,IFERROR(VALUE(LEFT(TRIM($Q576),FIND(" ",TRIM($Q576)&amp;" ")-1)),0),0))</f>
        <v>0</v>
      </c>
      <c r="V576" s="109">
        <f t="shared" si="96"/>
        <v>8</v>
      </c>
      <c r="W576" s="108">
        <f>IF($A576="",0,IF(AND($C576&gt;=Config!$C$7,$C576&lt;=Config!$C$8),1,0))</f>
        <v>1</v>
      </c>
      <c r="X576" s="108">
        <f>IF($A576="",0,IF(COUNTIF(Config!$C$21:$C$23,$H576)&gt;0,1,0))</f>
        <v>0</v>
      </c>
      <c r="Y576" s="108">
        <f t="shared" si="97"/>
        <v>10</v>
      </c>
      <c r="Z576" s="108" t="str">
        <f t="shared" si="98"/>
        <v/>
      </c>
      <c r="AB576" s="108">
        <f t="shared" si="99"/>
        <v>0</v>
      </c>
      <c r="AC576" s="108">
        <f>IF($A576="",0,IF(AND($AB576=1,COUNTIF($A$2:$A576,$A576)=1),1,0))</f>
        <v>0</v>
      </c>
      <c r="AD576" s="108">
        <f t="shared" si="100"/>
        <v>1</v>
      </c>
      <c r="AE576" s="108" t="str">
        <f t="shared" si="101"/>
        <v/>
      </c>
      <c r="AF576" s="108">
        <f t="shared" si="102"/>
        <v>0</v>
      </c>
      <c r="AG576" s="108">
        <f t="shared" si="103"/>
        <v>0</v>
      </c>
      <c r="AH576" s="110" t="str">
        <f t="shared" si="104"/>
        <v>P. Elliott|20260901|Title|1.000|Continued trying to close gap in title with little luck. Reviewed 115 index pages and found some documents but not enoug</v>
      </c>
      <c r="AI576" s="108">
        <f t="shared" si="105"/>
        <v>0</v>
      </c>
      <c r="AJ576" s="108">
        <f t="shared" si="106"/>
        <v>0</v>
      </c>
      <c r="AK576" s="108">
        <f>IF($A576="",0,IF(AND($S576=1,$W576=1,$X576=1,$U576&gt;Config!$C$9),1,0))</f>
        <v>0</v>
      </c>
      <c r="AL576" s="108">
        <f t="shared" si="107"/>
        <v>0</v>
      </c>
    </row>
    <row r="577" spans="1:38" x14ac:dyDescent="0.25">
      <c r="A577" s="106" t="s">
        <v>922</v>
      </c>
      <c r="B577" s="106" t="s">
        <v>618</v>
      </c>
      <c r="C577" s="107">
        <v>46266</v>
      </c>
      <c r="D577" s="106" t="s">
        <v>712</v>
      </c>
      <c r="E577" s="106" t="s">
        <v>713</v>
      </c>
      <c r="F577" s="106" t="s">
        <v>866</v>
      </c>
      <c r="G577" s="106" t="s">
        <v>1231</v>
      </c>
      <c r="H577" s="106" t="s">
        <v>631</v>
      </c>
      <c r="I577" s="106"/>
      <c r="J577" s="106"/>
      <c r="K577" s="106">
        <v>0.5</v>
      </c>
      <c r="L577" s="106">
        <v>0</v>
      </c>
      <c r="M577" s="106">
        <v>0</v>
      </c>
      <c r="N577" s="106"/>
      <c r="O577" s="106"/>
      <c r="P577" s="106">
        <v>0</v>
      </c>
      <c r="Q577" s="106" t="s">
        <v>1370</v>
      </c>
      <c r="S577" s="108">
        <f>IF($A577="","",COUNTIF(BPOworkers!$B$6:$B$105,$A577))</f>
        <v>0</v>
      </c>
      <c r="T577" s="109">
        <f>IF($A577="","",$K577*Config!$C$9)</f>
        <v>4</v>
      </c>
      <c r="U577" s="109">
        <f>IF($A577="","",IF(COUNTIF(Config!$C$21:$C$23,$H577)&gt;0,IFERROR(VALUE(LEFT(TRIM($Q577),FIND(" ",TRIM($Q577)&amp;" ")-1)),0),0))</f>
        <v>0</v>
      </c>
      <c r="V577" s="109">
        <f t="shared" si="96"/>
        <v>4</v>
      </c>
      <c r="W577" s="108">
        <f>IF($A577="",0,IF(AND($C577&gt;=Config!$C$7,$C577&lt;=Config!$C$8),1,0))</f>
        <v>1</v>
      </c>
      <c r="X577" s="108">
        <f>IF($A577="",0,IF(COUNTIF(Config!$C$21:$C$23,$H577)&gt;0,1,0))</f>
        <v>0</v>
      </c>
      <c r="Y577" s="108">
        <f t="shared" si="97"/>
        <v>10</v>
      </c>
      <c r="Z577" s="108" t="str">
        <f t="shared" si="98"/>
        <v/>
      </c>
      <c r="AB577" s="108">
        <f t="shared" si="99"/>
        <v>0</v>
      </c>
      <c r="AC577" s="108">
        <f>IF($A577="",0,IF(AND($AB577=1,COUNTIF($A$2:$A577,$A577)=1),1,0))</f>
        <v>0</v>
      </c>
      <c r="AD577" s="108">
        <f t="shared" si="100"/>
        <v>1</v>
      </c>
      <c r="AE577" s="108" t="str">
        <f t="shared" si="101"/>
        <v/>
      </c>
      <c r="AF577" s="108">
        <f t="shared" si="102"/>
        <v>0</v>
      </c>
      <c r="AG577" s="108">
        <f t="shared" si="103"/>
        <v>0</v>
      </c>
      <c r="AH577" s="110" t="str">
        <f t="shared" si="104"/>
        <v>S. Laine|20260901|Title|0.500|Continue indexing and adding notecards to AOI.</v>
      </c>
      <c r="AI577" s="108">
        <f t="shared" si="105"/>
        <v>0</v>
      </c>
      <c r="AJ577" s="108">
        <f t="shared" si="106"/>
        <v>0</v>
      </c>
      <c r="AK577" s="108">
        <f>IF($A577="",0,IF(AND($S577=1,$W577=1,$X577=1,$U577&gt;Config!$C$9),1,0))</f>
        <v>0</v>
      </c>
      <c r="AL577" s="108">
        <f t="shared" si="107"/>
        <v>0</v>
      </c>
    </row>
    <row r="578" spans="1:38" x14ac:dyDescent="0.25">
      <c r="A578" s="106" t="s">
        <v>922</v>
      </c>
      <c r="B578" s="106" t="s">
        <v>618</v>
      </c>
      <c r="C578" s="107">
        <v>46266</v>
      </c>
      <c r="D578" s="106" t="s">
        <v>529</v>
      </c>
      <c r="E578" s="106" t="s">
        <v>529</v>
      </c>
      <c r="F578" s="106" t="s">
        <v>615</v>
      </c>
      <c r="G578" s="106"/>
      <c r="H578" s="106" t="s">
        <v>529</v>
      </c>
      <c r="I578" s="106"/>
      <c r="J578" s="106"/>
      <c r="K578" s="106">
        <v>0</v>
      </c>
      <c r="L578" s="106">
        <v>0</v>
      </c>
      <c r="M578" s="106">
        <v>0</v>
      </c>
      <c r="N578" s="106"/>
      <c r="O578" s="106"/>
      <c r="P578" s="106">
        <v>0</v>
      </c>
      <c r="Q578" s="106" t="s">
        <v>1188</v>
      </c>
      <c r="S578" s="108">
        <f>IF($A578="","",COUNTIF(BPOworkers!$B$6:$B$105,$A578))</f>
        <v>0</v>
      </c>
      <c r="T578" s="109">
        <f>IF($A578="","",$K578*Config!$C$9)</f>
        <v>0</v>
      </c>
      <c r="U578" s="109">
        <f>IF($A578="","",IF(COUNTIF(Config!$C$21:$C$23,$H578)&gt;0,IFERROR(VALUE(LEFT(TRIM($Q578),FIND(" ",TRIM($Q578)&amp;" ")-1)),0),0))</f>
        <v>4</v>
      </c>
      <c r="V578" s="109">
        <f t="shared" ref="V578:V641" si="108">IF($A578="","",$T578+$U578)</f>
        <v>4</v>
      </c>
      <c r="W578" s="108">
        <f>IF($A578="",0,IF(AND($C578&gt;=Config!$C$7,$C578&lt;=Config!$C$8),1,0))</f>
        <v>1</v>
      </c>
      <c r="X578" s="108">
        <f>IF($A578="",0,IF(COUNTIF(Config!$C$21:$C$23,$H578)&gt;0,1,0))</f>
        <v>1</v>
      </c>
      <c r="Y578" s="108">
        <f t="shared" ref="Y578:Y641" si="109">IF($A578="",MAX(0,Y577),MAX(0,Y577)+IF(AND($W578=1,$X578=1,$S578=1),1,0))</f>
        <v>10</v>
      </c>
      <c r="Z578" s="108" t="str">
        <f t="shared" ref="Z578:Z641" si="110">IF($A578="","",IF(AND($W578=1,$X578=1,$S578=1),$Y578,""))</f>
        <v/>
      </c>
      <c r="AB578" s="108">
        <f t="shared" ref="AB578:AB641" si="111">IF($A578="",0,IF(AND($S578=0,ISERROR(FIND(".",$A578))),1,0))</f>
        <v>0</v>
      </c>
      <c r="AC578" s="108">
        <f>IF($A578="",0,IF(AND($AB578=1,COUNTIF($A$2:$A578,$A578)=1),1,0))</f>
        <v>0</v>
      </c>
      <c r="AD578" s="108">
        <f t="shared" ref="AD578:AD641" si="112">IF($A578="",MAX(0,AD577),MAX(0,AD577)+$AC578)</f>
        <v>1</v>
      </c>
      <c r="AE578" s="108" t="str">
        <f t="shared" ref="AE578:AE641" si="113">IF($AC578=1,$AD578,"")</f>
        <v/>
      </c>
      <c r="AF578" s="108">
        <f t="shared" ref="AF578:AF641" si="114">IF($A578="",0,IFERROR(IF(AND($S578=1,WEEKDAY($C578,2)&gt;5),1,0),0))</f>
        <v>0</v>
      </c>
      <c r="AG578" s="108">
        <f t="shared" ref="AG578:AG641" si="115">IF($A578="",0,IF(AND($S578=1,$W578=0),1,0))</f>
        <v>0</v>
      </c>
      <c r="AH578" s="110" t="str">
        <f t="shared" ref="AH578:AH641" si="116">IF($A578="","",$A578&amp;"|"&amp;TEXT($C578,"yyyymmdd")&amp;"|"&amp;$H578&amp;"|"&amp;TEXT($K578,"0.000")&amp;"|"&amp;SUBSTITUTE(SUBSTITUTE(SUBSTITUTE(LEFT($Q578,120),"~",""),"*",""),"?",""))</f>
        <v>S. Laine|20260901|Time Off|0.000|4 hours time off</v>
      </c>
      <c r="AI578" s="108">
        <f t="shared" ref="AI578:AI641" si="117">IF($A578="",0,IF(AND($S578=1,$W578=1,COUNTIF($AH$2:$AH$1500,$AH578)&gt;1),1,0))</f>
        <v>0</v>
      </c>
      <c r="AJ578" s="108">
        <f t="shared" ref="AJ578:AJ641" si="118">IF($A578="",0,IF(AND($S578=1,$W578=1,ABS($K578*8-ROUND($K578*8,0))&gt;0.0001),1,0))</f>
        <v>0</v>
      </c>
      <c r="AK578" s="108">
        <f>IF($A578="",0,IF(AND($S578=1,$W578=1,$X578=1,$U578&gt;Config!$C$9),1,0))</f>
        <v>0</v>
      </c>
      <c r="AL578" s="108">
        <f t="shared" ref="AL578:AL641" si="119">IF($A578="",0,IF(AND($S578=1,$W578=1,$X578=1,$U578=0),1,0))</f>
        <v>0</v>
      </c>
    </row>
    <row r="579" spans="1:38" x14ac:dyDescent="0.25">
      <c r="A579" s="106" t="s">
        <v>924</v>
      </c>
      <c r="B579" s="106" t="s">
        <v>618</v>
      </c>
      <c r="C579" s="107">
        <v>46266</v>
      </c>
      <c r="D579" s="106" t="s">
        <v>529</v>
      </c>
      <c r="E579" s="106" t="s">
        <v>529</v>
      </c>
      <c r="F579" s="106" t="s">
        <v>615</v>
      </c>
      <c r="G579" s="106"/>
      <c r="H579" s="106" t="s">
        <v>529</v>
      </c>
      <c r="I579" s="106"/>
      <c r="J579" s="106"/>
      <c r="K579" s="106">
        <v>0</v>
      </c>
      <c r="L579" s="106">
        <v>0</v>
      </c>
      <c r="M579" s="106">
        <v>0</v>
      </c>
      <c r="N579" s="106"/>
      <c r="O579" s="106"/>
      <c r="P579" s="106">
        <v>0</v>
      </c>
      <c r="Q579" s="106" t="s">
        <v>661</v>
      </c>
      <c r="S579" s="108">
        <f>IF($A579="","",COUNTIF(BPOworkers!$B$6:$B$105,$A579))</f>
        <v>0</v>
      </c>
      <c r="T579" s="109">
        <f>IF($A579="","",$K579*Config!$C$9)</f>
        <v>0</v>
      </c>
      <c r="U579" s="109">
        <f>IF($A579="","",IF(COUNTIF(Config!$C$21:$C$23,$H579)&gt;0,IFERROR(VALUE(LEFT(TRIM($Q579),FIND(" ",TRIM($Q579)&amp;" ")-1)),0),0))</f>
        <v>8</v>
      </c>
      <c r="V579" s="109">
        <f t="shared" si="108"/>
        <v>8</v>
      </c>
      <c r="W579" s="108">
        <f>IF($A579="",0,IF(AND($C579&gt;=Config!$C$7,$C579&lt;=Config!$C$8),1,0))</f>
        <v>1</v>
      </c>
      <c r="X579" s="108">
        <f>IF($A579="",0,IF(COUNTIF(Config!$C$21:$C$23,$H579)&gt;0,1,0))</f>
        <v>1</v>
      </c>
      <c r="Y579" s="108">
        <f t="shared" si="109"/>
        <v>10</v>
      </c>
      <c r="Z579" s="108" t="str">
        <f t="shared" si="110"/>
        <v/>
      </c>
      <c r="AB579" s="108">
        <f t="shared" si="111"/>
        <v>0</v>
      </c>
      <c r="AC579" s="108">
        <f>IF($A579="",0,IF(AND($AB579=1,COUNTIF($A$2:$A579,$A579)=1),1,0))</f>
        <v>0</v>
      </c>
      <c r="AD579" s="108">
        <f t="shared" si="112"/>
        <v>1</v>
      </c>
      <c r="AE579" s="108" t="str">
        <f t="shared" si="113"/>
        <v/>
      </c>
      <c r="AF579" s="108">
        <f t="shared" si="114"/>
        <v>0</v>
      </c>
      <c r="AG579" s="108">
        <f t="shared" si="115"/>
        <v>0</v>
      </c>
      <c r="AH579" s="110" t="str">
        <f t="shared" si="116"/>
        <v>B. Shlemon|20260901|Time Off|0.000|8 hours not billed</v>
      </c>
      <c r="AI579" s="108">
        <f t="shared" si="117"/>
        <v>0</v>
      </c>
      <c r="AJ579" s="108">
        <f t="shared" si="118"/>
        <v>0</v>
      </c>
      <c r="AK579" s="108">
        <f>IF($A579="",0,IF(AND($S579=1,$W579=1,$X579=1,$U579&gt;Config!$C$9),1,0))</f>
        <v>0</v>
      </c>
      <c r="AL579" s="108">
        <f t="shared" si="119"/>
        <v>0</v>
      </c>
    </row>
    <row r="580" spans="1:38" x14ac:dyDescent="0.25">
      <c r="A580" s="106" t="s">
        <v>652</v>
      </c>
      <c r="B580" s="106" t="s">
        <v>618</v>
      </c>
      <c r="C580" s="107">
        <v>46266</v>
      </c>
      <c r="D580" s="106" t="s">
        <v>635</v>
      </c>
      <c r="E580" s="106" t="s">
        <v>636</v>
      </c>
      <c r="F580" s="106" t="s">
        <v>637</v>
      </c>
      <c r="G580" s="106" t="s">
        <v>925</v>
      </c>
      <c r="H580" s="106" t="s">
        <v>656</v>
      </c>
      <c r="I580" s="106"/>
      <c r="J580" s="106"/>
      <c r="K580" s="106">
        <v>0.75</v>
      </c>
      <c r="L580" s="106">
        <v>0</v>
      </c>
      <c r="M580" s="106">
        <v>0</v>
      </c>
      <c r="N580" s="106"/>
      <c r="O580" s="106"/>
      <c r="P580" s="106">
        <v>0</v>
      </c>
      <c r="Q580" s="106" t="s">
        <v>1233</v>
      </c>
      <c r="S580" s="108">
        <f>IF($A580="","",COUNTIF(BPOworkers!$B$6:$B$105,$A580))</f>
        <v>0</v>
      </c>
      <c r="T580" s="109">
        <f>IF($A580="","",$K580*Config!$C$9)</f>
        <v>6</v>
      </c>
      <c r="U580" s="109">
        <f>IF($A580="","",IF(COUNTIF(Config!$C$21:$C$23,$H580)&gt;0,IFERROR(VALUE(LEFT(TRIM($Q580),FIND(" ",TRIM($Q580)&amp;" ")-1)),0),0))</f>
        <v>0</v>
      </c>
      <c r="V580" s="109">
        <f t="shared" si="108"/>
        <v>6</v>
      </c>
      <c r="W580" s="108">
        <f>IF($A580="",0,IF(AND($C580&gt;=Config!$C$7,$C580&lt;=Config!$C$8),1,0))</f>
        <v>1</v>
      </c>
      <c r="X580" s="108">
        <f>IF($A580="",0,IF(COUNTIF(Config!$C$21:$C$23,$H580)&gt;0,1,0))</f>
        <v>0</v>
      </c>
      <c r="Y580" s="108">
        <f t="shared" si="109"/>
        <v>10</v>
      </c>
      <c r="Z580" s="108" t="str">
        <f t="shared" si="110"/>
        <v/>
      </c>
      <c r="AB580" s="108">
        <f t="shared" si="111"/>
        <v>0</v>
      </c>
      <c r="AC580" s="108">
        <f>IF($A580="",0,IF(AND($AB580=1,COUNTIF($A$2:$A580,$A580)=1),1,0))</f>
        <v>0</v>
      </c>
      <c r="AD580" s="108">
        <f t="shared" si="112"/>
        <v>1</v>
      </c>
      <c r="AE580" s="108" t="str">
        <f t="shared" si="113"/>
        <v/>
      </c>
      <c r="AF580" s="108">
        <f t="shared" si="114"/>
        <v>0</v>
      </c>
      <c r="AG580" s="108">
        <f t="shared" si="115"/>
        <v>0</v>
      </c>
      <c r="AH580" s="110" t="str">
        <f t="shared" si="116"/>
        <v>J. Greenlee|20260901|Project Management|0.750|Direction of reviewers. Correspondence with team and management. Prep of client deliverables and addresses lookup and re</v>
      </c>
      <c r="AI580" s="108">
        <f t="shared" si="117"/>
        <v>0</v>
      </c>
      <c r="AJ580" s="108">
        <f t="shared" si="118"/>
        <v>0</v>
      </c>
      <c r="AK580" s="108">
        <f>IF($A580="",0,IF(AND($S580=1,$W580=1,$X580=1,$U580&gt;Config!$C$9),1,0))</f>
        <v>0</v>
      </c>
      <c r="AL580" s="108">
        <f t="shared" si="119"/>
        <v>0</v>
      </c>
    </row>
    <row r="581" spans="1:38" x14ac:dyDescent="0.25">
      <c r="A581" s="106" t="s">
        <v>652</v>
      </c>
      <c r="B581" s="106" t="s">
        <v>618</v>
      </c>
      <c r="C581" s="107">
        <v>46266</v>
      </c>
      <c r="D581" s="106" t="s">
        <v>1082</v>
      </c>
      <c r="E581" s="106" t="s">
        <v>773</v>
      </c>
      <c r="F581" s="106" t="s">
        <v>943</v>
      </c>
      <c r="G581" s="106" t="s">
        <v>1234</v>
      </c>
      <c r="H581" s="106" t="s">
        <v>631</v>
      </c>
      <c r="I581" s="106"/>
      <c r="J581" s="106"/>
      <c r="K581" s="106">
        <v>0.25</v>
      </c>
      <c r="L581" s="106">
        <v>0</v>
      </c>
      <c r="M581" s="106">
        <v>0</v>
      </c>
      <c r="N581" s="106"/>
      <c r="O581" s="106"/>
      <c r="P581" s="106">
        <v>0</v>
      </c>
      <c r="Q581" s="106" t="s">
        <v>1235</v>
      </c>
      <c r="S581" s="108">
        <f>IF($A581="","",COUNTIF(BPOworkers!$B$6:$B$105,$A581))</f>
        <v>0</v>
      </c>
      <c r="T581" s="109">
        <f>IF($A581="","",$K581*Config!$C$9)</f>
        <v>2</v>
      </c>
      <c r="U581" s="109">
        <f>IF($A581="","",IF(COUNTIF(Config!$C$21:$C$23,$H581)&gt;0,IFERROR(VALUE(LEFT(TRIM($Q581),FIND(" ",TRIM($Q581)&amp;" ")-1)),0),0))</f>
        <v>0</v>
      </c>
      <c r="V581" s="109">
        <f t="shared" si="108"/>
        <v>2</v>
      </c>
      <c r="W581" s="108">
        <f>IF($A581="",0,IF(AND($C581&gt;=Config!$C$7,$C581&lt;=Config!$C$8),1,0))</f>
        <v>1</v>
      </c>
      <c r="X581" s="108">
        <f>IF($A581="",0,IF(COUNTIF(Config!$C$21:$C$23,$H581)&gt;0,1,0))</f>
        <v>0</v>
      </c>
      <c r="Y581" s="108">
        <f t="shared" si="109"/>
        <v>10</v>
      </c>
      <c r="Z581" s="108" t="str">
        <f t="shared" si="110"/>
        <v/>
      </c>
      <c r="AB581" s="108">
        <f t="shared" si="111"/>
        <v>0</v>
      </c>
      <c r="AC581" s="108">
        <f>IF($A581="",0,IF(AND($AB581=1,COUNTIF($A$2:$A581,$A581)=1),1,0))</f>
        <v>0</v>
      </c>
      <c r="AD581" s="108">
        <f t="shared" si="112"/>
        <v>1</v>
      </c>
      <c r="AE581" s="108" t="str">
        <f t="shared" si="113"/>
        <v/>
      </c>
      <c r="AF581" s="108">
        <f t="shared" si="114"/>
        <v>0</v>
      </c>
      <c r="AG581" s="108">
        <f t="shared" si="115"/>
        <v>0</v>
      </c>
      <c r="AH581" s="110" t="str">
        <f t="shared" si="116"/>
        <v>J. Greenlee|20260901|Title|0.250|BLM title review and begin of county reconciliation and location of docs prior to lease file availability.</v>
      </c>
      <c r="AI581" s="108">
        <f t="shared" si="117"/>
        <v>0</v>
      </c>
      <c r="AJ581" s="108">
        <f t="shared" si="118"/>
        <v>0</v>
      </c>
      <c r="AK581" s="108">
        <f>IF($A581="",0,IF(AND($S581=1,$W581=1,$X581=1,$U581&gt;Config!$C$9),1,0))</f>
        <v>0</v>
      </c>
      <c r="AL581" s="108">
        <f t="shared" si="119"/>
        <v>0</v>
      </c>
    </row>
    <row r="582" spans="1:38" x14ac:dyDescent="0.25">
      <c r="A582" s="106" t="s">
        <v>653</v>
      </c>
      <c r="B582" s="106" t="s">
        <v>614</v>
      </c>
      <c r="C582" s="107">
        <v>46266</v>
      </c>
      <c r="D582" s="106" t="s">
        <v>623</v>
      </c>
      <c r="E582" s="106" t="s">
        <v>624</v>
      </c>
      <c r="F582" s="106" t="s">
        <v>615</v>
      </c>
      <c r="G582" s="106" t="s">
        <v>625</v>
      </c>
      <c r="H582" s="106" t="s">
        <v>830</v>
      </c>
      <c r="I582" s="106" t="s">
        <v>657</v>
      </c>
      <c r="J582" s="106"/>
      <c r="K582" s="106">
        <v>0.25</v>
      </c>
      <c r="L582" s="106">
        <v>0</v>
      </c>
      <c r="M582" s="106">
        <v>0</v>
      </c>
      <c r="N582" s="106"/>
      <c r="O582" s="106"/>
      <c r="P582" s="106">
        <v>0</v>
      </c>
      <c r="Q582" s="106" t="s">
        <v>928</v>
      </c>
      <c r="S582" s="108">
        <f>IF($A582="","",COUNTIF(BPOworkers!$B$6:$B$105,$A582))</f>
        <v>0</v>
      </c>
      <c r="T582" s="109">
        <f>IF($A582="","",$K582*Config!$C$9)</f>
        <v>2</v>
      </c>
      <c r="U582" s="109">
        <f>IF($A582="","",IF(COUNTIF(Config!$C$21:$C$23,$H582)&gt;0,IFERROR(VALUE(LEFT(TRIM($Q582),FIND(" ",TRIM($Q582)&amp;" ")-1)),0),0))</f>
        <v>0</v>
      </c>
      <c r="V582" s="109">
        <f t="shared" si="108"/>
        <v>2</v>
      </c>
      <c r="W582" s="108">
        <f>IF($A582="",0,IF(AND($C582&gt;=Config!$C$7,$C582&lt;=Config!$C$8),1,0))</f>
        <v>1</v>
      </c>
      <c r="X582" s="108">
        <f>IF($A582="",0,IF(COUNTIF(Config!$C$21:$C$23,$H582)&gt;0,1,0))</f>
        <v>0</v>
      </c>
      <c r="Y582" s="108">
        <f t="shared" si="109"/>
        <v>10</v>
      </c>
      <c r="Z582" s="108" t="str">
        <f t="shared" si="110"/>
        <v/>
      </c>
      <c r="AB582" s="108">
        <f t="shared" si="111"/>
        <v>0</v>
      </c>
      <c r="AC582" s="108">
        <f>IF($A582="",0,IF(AND($AB582=1,COUNTIF($A$2:$A582,$A582)=1),1,0))</f>
        <v>0</v>
      </c>
      <c r="AD582" s="108">
        <f t="shared" si="112"/>
        <v>1</v>
      </c>
      <c r="AE582" s="108" t="str">
        <f t="shared" si="113"/>
        <v/>
      </c>
      <c r="AF582" s="108">
        <f t="shared" si="114"/>
        <v>0</v>
      </c>
      <c r="AG582" s="108">
        <f t="shared" si="115"/>
        <v>0</v>
      </c>
      <c r="AH582" s="110" t="str">
        <f t="shared" si="116"/>
        <v>J. Howell|20260901|Training - TLS|0.250|Sponsored</v>
      </c>
      <c r="AI582" s="108">
        <f t="shared" si="117"/>
        <v>0</v>
      </c>
      <c r="AJ582" s="108">
        <f t="shared" si="118"/>
        <v>0</v>
      </c>
      <c r="AK582" s="108">
        <f>IF($A582="",0,IF(AND($S582=1,$W582=1,$X582=1,$U582&gt;Config!$C$9),1,0))</f>
        <v>0</v>
      </c>
      <c r="AL582" s="108">
        <f t="shared" si="119"/>
        <v>0</v>
      </c>
    </row>
    <row r="583" spans="1:38" x14ac:dyDescent="0.25">
      <c r="A583" s="106" t="s">
        <v>653</v>
      </c>
      <c r="B583" s="106" t="s">
        <v>614</v>
      </c>
      <c r="C583" s="107">
        <v>46266</v>
      </c>
      <c r="D583" s="106" t="s">
        <v>623</v>
      </c>
      <c r="E583" s="106" t="s">
        <v>624</v>
      </c>
      <c r="F583" s="106" t="s">
        <v>615</v>
      </c>
      <c r="G583" s="106" t="s">
        <v>625</v>
      </c>
      <c r="H583" s="106" t="s">
        <v>929</v>
      </c>
      <c r="I583" s="106" t="s">
        <v>657</v>
      </c>
      <c r="J583" s="106"/>
      <c r="K583" s="106">
        <v>0.5</v>
      </c>
      <c r="L583" s="106">
        <v>0</v>
      </c>
      <c r="M583" s="106">
        <v>0</v>
      </c>
      <c r="N583" s="106"/>
      <c r="O583" s="106"/>
      <c r="P583" s="106">
        <v>0</v>
      </c>
      <c r="Q583" s="106" t="s">
        <v>1371</v>
      </c>
      <c r="S583" s="108">
        <f>IF($A583="","",COUNTIF(BPOworkers!$B$6:$B$105,$A583))</f>
        <v>0</v>
      </c>
      <c r="T583" s="109">
        <f>IF($A583="","",$K583*Config!$C$9)</f>
        <v>4</v>
      </c>
      <c r="U583" s="109">
        <f>IF($A583="","",IF(COUNTIF(Config!$C$21:$C$23,$H583)&gt;0,IFERROR(VALUE(LEFT(TRIM($Q583),FIND(" ",TRIM($Q583)&amp;" ")-1)),0),0))</f>
        <v>0</v>
      </c>
      <c r="V583" s="109">
        <f t="shared" si="108"/>
        <v>4</v>
      </c>
      <c r="W583" s="108">
        <f>IF($A583="",0,IF(AND($C583&gt;=Config!$C$7,$C583&lt;=Config!$C$8),1,0))</f>
        <v>1</v>
      </c>
      <c r="X583" s="108">
        <f>IF($A583="",0,IF(COUNTIF(Config!$C$21:$C$23,$H583)&gt;0,1,0))</f>
        <v>0</v>
      </c>
      <c r="Y583" s="108">
        <f t="shared" si="109"/>
        <v>10</v>
      </c>
      <c r="Z583" s="108" t="str">
        <f t="shared" si="110"/>
        <v/>
      </c>
      <c r="AB583" s="108">
        <f t="shared" si="111"/>
        <v>0</v>
      </c>
      <c r="AC583" s="108">
        <f>IF($A583="",0,IF(AND($AB583=1,COUNTIF($A$2:$A583,$A583)=1),1,0))</f>
        <v>0</v>
      </c>
      <c r="AD583" s="108">
        <f t="shared" si="112"/>
        <v>1</v>
      </c>
      <c r="AE583" s="108" t="str">
        <f t="shared" si="113"/>
        <v/>
      </c>
      <c r="AF583" s="108">
        <f t="shared" si="114"/>
        <v>0</v>
      </c>
      <c r="AG583" s="108">
        <f t="shared" si="115"/>
        <v>0</v>
      </c>
      <c r="AH583" s="110" t="str">
        <f t="shared" si="116"/>
        <v>J. Howell|20260901|Business Development|0.500|Support Request - Atlassian</v>
      </c>
      <c r="AI583" s="108">
        <f t="shared" si="117"/>
        <v>0</v>
      </c>
      <c r="AJ583" s="108">
        <f t="shared" si="118"/>
        <v>0</v>
      </c>
      <c r="AK583" s="108">
        <f>IF($A583="",0,IF(AND($S583=1,$W583=1,$X583=1,$U583&gt;Config!$C$9),1,0))</f>
        <v>0</v>
      </c>
      <c r="AL583" s="108">
        <f t="shared" si="119"/>
        <v>0</v>
      </c>
    </row>
    <row r="584" spans="1:38" x14ac:dyDescent="0.25">
      <c r="A584" s="106" t="s">
        <v>653</v>
      </c>
      <c r="B584" s="106" t="s">
        <v>614</v>
      </c>
      <c r="C584" s="107">
        <v>46266</v>
      </c>
      <c r="D584" s="106" t="s">
        <v>623</v>
      </c>
      <c r="E584" s="106" t="s">
        <v>624</v>
      </c>
      <c r="F584" s="106" t="s">
        <v>615</v>
      </c>
      <c r="G584" s="106" t="s">
        <v>625</v>
      </c>
      <c r="H584" s="106" t="s">
        <v>931</v>
      </c>
      <c r="I584" s="106" t="s">
        <v>657</v>
      </c>
      <c r="J584" s="106"/>
      <c r="K584" s="106">
        <v>0.375</v>
      </c>
      <c r="L584" s="106">
        <v>0</v>
      </c>
      <c r="M584" s="106">
        <v>0</v>
      </c>
      <c r="N584" s="106"/>
      <c r="O584" s="106"/>
      <c r="P584" s="106">
        <v>0</v>
      </c>
      <c r="Q584" s="106"/>
      <c r="S584" s="108">
        <f>IF($A584="","",COUNTIF(BPOworkers!$B$6:$B$105,$A584))</f>
        <v>0</v>
      </c>
      <c r="T584" s="109">
        <f>IF($A584="","",$K584*Config!$C$9)</f>
        <v>3</v>
      </c>
      <c r="U584" s="109">
        <f>IF($A584="","",IF(COUNTIF(Config!$C$21:$C$23,$H584)&gt;0,IFERROR(VALUE(LEFT(TRIM($Q584),FIND(" ",TRIM($Q584)&amp;" ")-1)),0),0))</f>
        <v>0</v>
      </c>
      <c r="V584" s="109">
        <f t="shared" si="108"/>
        <v>3</v>
      </c>
      <c r="W584" s="108">
        <f>IF($A584="",0,IF(AND($C584&gt;=Config!$C$7,$C584&lt;=Config!$C$8),1,0))</f>
        <v>1</v>
      </c>
      <c r="X584" s="108">
        <f>IF($A584="",0,IF(COUNTIF(Config!$C$21:$C$23,$H584)&gt;0,1,0))</f>
        <v>0</v>
      </c>
      <c r="Y584" s="108">
        <f t="shared" si="109"/>
        <v>10</v>
      </c>
      <c r="Z584" s="108" t="str">
        <f t="shared" si="110"/>
        <v/>
      </c>
      <c r="AB584" s="108">
        <f t="shared" si="111"/>
        <v>0</v>
      </c>
      <c r="AC584" s="108">
        <f>IF($A584="",0,IF(AND($AB584=1,COUNTIF($A$2:$A584,$A584)=1),1,0))</f>
        <v>0</v>
      </c>
      <c r="AD584" s="108">
        <f t="shared" si="112"/>
        <v>1</v>
      </c>
      <c r="AE584" s="108" t="str">
        <f t="shared" si="113"/>
        <v/>
      </c>
      <c r="AF584" s="108">
        <f t="shared" si="114"/>
        <v>0</v>
      </c>
      <c r="AG584" s="108">
        <f t="shared" si="115"/>
        <v>0</v>
      </c>
      <c r="AH584" s="110" t="str">
        <f t="shared" si="116"/>
        <v>J. Howell|20260901|Support|0.375|</v>
      </c>
      <c r="AI584" s="108">
        <f t="shared" si="117"/>
        <v>0</v>
      </c>
      <c r="AJ584" s="108">
        <f t="shared" si="118"/>
        <v>0</v>
      </c>
      <c r="AK584" s="108">
        <f>IF($A584="",0,IF(AND($S584=1,$W584=1,$X584=1,$U584&gt;Config!$C$9),1,0))</f>
        <v>0</v>
      </c>
      <c r="AL584" s="108">
        <f t="shared" si="119"/>
        <v>0</v>
      </c>
    </row>
    <row r="585" spans="1:38" x14ac:dyDescent="0.25">
      <c r="A585" s="106" t="s">
        <v>655</v>
      </c>
      <c r="B585" s="106" t="s">
        <v>618</v>
      </c>
      <c r="C585" s="107">
        <v>46266</v>
      </c>
      <c r="D585" s="106" t="s">
        <v>720</v>
      </c>
      <c r="E585" s="106" t="s">
        <v>721</v>
      </c>
      <c r="F585" s="106" t="s">
        <v>722</v>
      </c>
      <c r="G585" s="106" t="s">
        <v>933</v>
      </c>
      <c r="H585" s="106" t="s">
        <v>656</v>
      </c>
      <c r="I585" s="106"/>
      <c r="J585" s="106"/>
      <c r="K585" s="106">
        <v>0.375</v>
      </c>
      <c r="L585" s="106">
        <v>0</v>
      </c>
      <c r="M585" s="106">
        <v>0</v>
      </c>
      <c r="N585" s="106"/>
      <c r="O585" s="106"/>
      <c r="P585" s="106">
        <v>0</v>
      </c>
      <c r="Q585" s="106" t="s">
        <v>1372</v>
      </c>
      <c r="S585" s="108">
        <f>IF($A585="","",COUNTIF(BPOworkers!$B$6:$B$105,$A585))</f>
        <v>0</v>
      </c>
      <c r="T585" s="109">
        <f>IF($A585="","",$K585*Config!$C$9)</f>
        <v>3</v>
      </c>
      <c r="U585" s="109">
        <f>IF($A585="","",IF(COUNTIF(Config!$C$21:$C$23,$H585)&gt;0,IFERROR(VALUE(LEFT(TRIM($Q585),FIND(" ",TRIM($Q585)&amp;" ")-1)),0),0))</f>
        <v>0</v>
      </c>
      <c r="V585" s="109">
        <f t="shared" si="108"/>
        <v>3</v>
      </c>
      <c r="W585" s="108">
        <f>IF($A585="",0,IF(AND($C585&gt;=Config!$C$7,$C585&lt;=Config!$C$8),1,0))</f>
        <v>1</v>
      </c>
      <c r="X585" s="108">
        <f>IF($A585="",0,IF(COUNTIF(Config!$C$21:$C$23,$H585)&gt;0,1,0))</f>
        <v>0</v>
      </c>
      <c r="Y585" s="108">
        <f t="shared" si="109"/>
        <v>10</v>
      </c>
      <c r="Z585" s="108" t="str">
        <f t="shared" si="110"/>
        <v/>
      </c>
      <c r="AB585" s="108">
        <f t="shared" si="111"/>
        <v>0</v>
      </c>
      <c r="AC585" s="108">
        <f>IF($A585="",0,IF(AND($AB585=1,COUNTIF($A$2:$A585,$A585)=1),1,0))</f>
        <v>0</v>
      </c>
      <c r="AD585" s="108">
        <f t="shared" si="112"/>
        <v>1</v>
      </c>
      <c r="AE585" s="108" t="str">
        <f t="shared" si="113"/>
        <v/>
      </c>
      <c r="AF585" s="108">
        <f t="shared" si="114"/>
        <v>0</v>
      </c>
      <c r="AG585" s="108">
        <f t="shared" si="115"/>
        <v>0</v>
      </c>
      <c r="AH585" s="110" t="str">
        <f t="shared" si="116"/>
        <v xml:space="preserve">A. Beato|20260901|Project Management|0.375|Held the kickoff meeting for Integrity Title Company’s Energy Miami Project, outlining the project scope, expectations, </v>
      </c>
      <c r="AI585" s="108">
        <f t="shared" si="117"/>
        <v>0</v>
      </c>
      <c r="AJ585" s="108">
        <f t="shared" si="118"/>
        <v>0</v>
      </c>
      <c r="AK585" s="108">
        <f>IF($A585="",0,IF(AND($S585=1,$W585=1,$X585=1,$U585&gt;Config!$C$9),1,0))</f>
        <v>0</v>
      </c>
      <c r="AL585" s="108">
        <f t="shared" si="119"/>
        <v>0</v>
      </c>
    </row>
    <row r="586" spans="1:38" x14ac:dyDescent="0.25">
      <c r="A586" s="106" t="s">
        <v>655</v>
      </c>
      <c r="B586" s="106" t="s">
        <v>618</v>
      </c>
      <c r="C586" s="107">
        <v>46266</v>
      </c>
      <c r="D586" s="106" t="s">
        <v>720</v>
      </c>
      <c r="E586" s="106" t="s">
        <v>721</v>
      </c>
      <c r="F586" s="106" t="s">
        <v>722</v>
      </c>
      <c r="G586" s="106" t="s">
        <v>933</v>
      </c>
      <c r="H586" s="106" t="s">
        <v>656</v>
      </c>
      <c r="I586" s="106"/>
      <c r="J586" s="106" t="s">
        <v>1373</v>
      </c>
      <c r="K586" s="106">
        <v>0.25</v>
      </c>
      <c r="L586" s="106">
        <v>0</v>
      </c>
      <c r="M586" s="106">
        <v>0</v>
      </c>
      <c r="N586" s="106"/>
      <c r="O586" s="106"/>
      <c r="P586" s="106">
        <v>0</v>
      </c>
      <c r="Q586" s="106" t="s">
        <v>1374</v>
      </c>
      <c r="S586" s="108">
        <f>IF($A586="","",COUNTIF(BPOworkers!$B$6:$B$105,$A586))</f>
        <v>0</v>
      </c>
      <c r="T586" s="109">
        <f>IF($A586="","",$K586*Config!$C$9)</f>
        <v>2</v>
      </c>
      <c r="U586" s="109">
        <f>IF($A586="","",IF(COUNTIF(Config!$C$21:$C$23,$H586)&gt;0,IFERROR(VALUE(LEFT(TRIM($Q586),FIND(" ",TRIM($Q586)&amp;" ")-1)),0),0))</f>
        <v>0</v>
      </c>
      <c r="V586" s="109">
        <f t="shared" si="108"/>
        <v>2</v>
      </c>
      <c r="W586" s="108">
        <f>IF($A586="",0,IF(AND($C586&gt;=Config!$C$7,$C586&lt;=Config!$C$8),1,0))</f>
        <v>1</v>
      </c>
      <c r="X586" s="108">
        <f>IF($A586="",0,IF(COUNTIF(Config!$C$21:$C$23,$H586)&gt;0,1,0))</f>
        <v>0</v>
      </c>
      <c r="Y586" s="108">
        <f t="shared" si="109"/>
        <v>10</v>
      </c>
      <c r="Z586" s="108" t="str">
        <f t="shared" si="110"/>
        <v/>
      </c>
      <c r="AB586" s="108">
        <f t="shared" si="111"/>
        <v>0</v>
      </c>
      <c r="AC586" s="108">
        <f>IF($A586="",0,IF(AND($AB586=1,COUNTIF($A$2:$A586,$A586)=1),1,0))</f>
        <v>0</v>
      </c>
      <c r="AD586" s="108">
        <f t="shared" si="112"/>
        <v>1</v>
      </c>
      <c r="AE586" s="108" t="str">
        <f t="shared" si="113"/>
        <v/>
      </c>
      <c r="AF586" s="108">
        <f t="shared" si="114"/>
        <v>0</v>
      </c>
      <c r="AG586" s="108">
        <f t="shared" si="115"/>
        <v>0</v>
      </c>
      <c r="AH586" s="110" t="str">
        <f t="shared" si="116"/>
        <v xml:space="preserve">A. Beato|20260901|Project Management|0.250|Met one-on-one with Bobby to provide support and workshop a title research dead end involving a party whose interest he </v>
      </c>
      <c r="AI586" s="108">
        <f t="shared" si="117"/>
        <v>0</v>
      </c>
      <c r="AJ586" s="108">
        <f t="shared" si="118"/>
        <v>0</v>
      </c>
      <c r="AK586" s="108">
        <f>IF($A586="",0,IF(AND($S586=1,$W586=1,$X586=1,$U586&gt;Config!$C$9),1,0))</f>
        <v>0</v>
      </c>
      <c r="AL586" s="108">
        <f t="shared" si="119"/>
        <v>0</v>
      </c>
    </row>
    <row r="587" spans="1:38" x14ac:dyDescent="0.25">
      <c r="A587" s="106" t="s">
        <v>655</v>
      </c>
      <c r="B587" s="106" t="s">
        <v>618</v>
      </c>
      <c r="C587" s="107">
        <v>46266</v>
      </c>
      <c r="D587" s="106" t="s">
        <v>623</v>
      </c>
      <c r="E587" s="106" t="s">
        <v>624</v>
      </c>
      <c r="F587" s="106" t="s">
        <v>615</v>
      </c>
      <c r="G587" s="106" t="s">
        <v>625</v>
      </c>
      <c r="H587" s="106" t="s">
        <v>656</v>
      </c>
      <c r="I587" s="106" t="s">
        <v>657</v>
      </c>
      <c r="J587" s="106" t="s">
        <v>1375</v>
      </c>
      <c r="K587" s="106">
        <v>0.75</v>
      </c>
      <c r="L587" s="106">
        <v>0</v>
      </c>
      <c r="M587" s="106">
        <v>0</v>
      </c>
      <c r="N587" s="106"/>
      <c r="O587" s="106"/>
      <c r="P587" s="106">
        <v>0</v>
      </c>
      <c r="Q587" s="106" t="s">
        <v>1376</v>
      </c>
      <c r="S587" s="108">
        <f>IF($A587="","",COUNTIF(BPOworkers!$B$6:$B$105,$A587))</f>
        <v>0</v>
      </c>
      <c r="T587" s="109">
        <f>IF($A587="","",$K587*Config!$C$9)</f>
        <v>6</v>
      </c>
      <c r="U587" s="109">
        <f>IF($A587="","",IF(COUNTIF(Config!$C$21:$C$23,$H587)&gt;0,IFERROR(VALUE(LEFT(TRIM($Q587),FIND(" ",TRIM($Q587)&amp;" ")-1)),0),0))</f>
        <v>0</v>
      </c>
      <c r="V587" s="109">
        <f t="shared" si="108"/>
        <v>6</v>
      </c>
      <c r="W587" s="108">
        <f>IF($A587="",0,IF(AND($C587&gt;=Config!$C$7,$C587&lt;=Config!$C$8),1,0))</f>
        <v>1</v>
      </c>
      <c r="X587" s="108">
        <f>IF($A587="",0,IF(COUNTIF(Config!$C$21:$C$23,$H587)&gt;0,1,0))</f>
        <v>0</v>
      </c>
      <c r="Y587" s="108">
        <f t="shared" si="109"/>
        <v>10</v>
      </c>
      <c r="Z587" s="108" t="str">
        <f t="shared" si="110"/>
        <v/>
      </c>
      <c r="AB587" s="108">
        <f t="shared" si="111"/>
        <v>0</v>
      </c>
      <c r="AC587" s="108">
        <f>IF($A587="",0,IF(AND($AB587=1,COUNTIF($A$2:$A587,$A587)=1),1,0))</f>
        <v>0</v>
      </c>
      <c r="AD587" s="108">
        <f t="shared" si="112"/>
        <v>1</v>
      </c>
      <c r="AE587" s="108" t="str">
        <f t="shared" si="113"/>
        <v/>
      </c>
      <c r="AF587" s="108">
        <f t="shared" si="114"/>
        <v>0</v>
      </c>
      <c r="AG587" s="108">
        <f t="shared" si="115"/>
        <v>0</v>
      </c>
      <c r="AH587" s="110" t="str">
        <f t="shared" si="116"/>
        <v>A. Beato|20260901|Project Management|0.750|Tested, updated, and deployed Tracts Command Center changes requested during the most recent meeting with Kristen and Ka</v>
      </c>
      <c r="AI587" s="108">
        <f t="shared" si="117"/>
        <v>0</v>
      </c>
      <c r="AJ587" s="108">
        <f t="shared" si="118"/>
        <v>0</v>
      </c>
      <c r="AK587" s="108">
        <f>IF($A587="",0,IF(AND($S587=1,$W587=1,$X587=1,$U587&gt;Config!$C$9),1,0))</f>
        <v>0</v>
      </c>
      <c r="AL587" s="108">
        <f t="shared" si="119"/>
        <v>0</v>
      </c>
    </row>
    <row r="588" spans="1:38" x14ac:dyDescent="0.25">
      <c r="A588" s="106" t="s">
        <v>660</v>
      </c>
      <c r="B588" s="106" t="s">
        <v>618</v>
      </c>
      <c r="C588" s="107">
        <v>46266</v>
      </c>
      <c r="D588" s="106" t="s">
        <v>712</v>
      </c>
      <c r="E588" s="106" t="s">
        <v>713</v>
      </c>
      <c r="F588" s="106" t="s">
        <v>714</v>
      </c>
      <c r="G588" s="106" t="s">
        <v>730</v>
      </c>
      <c r="H588" s="106" t="s">
        <v>631</v>
      </c>
      <c r="I588" s="106"/>
      <c r="J588" s="106"/>
      <c r="K588" s="106">
        <v>0.75</v>
      </c>
      <c r="L588" s="106">
        <v>0</v>
      </c>
      <c r="M588" s="106">
        <v>0</v>
      </c>
      <c r="N588" s="106"/>
      <c r="O588" s="106"/>
      <c r="P588" s="106">
        <v>0</v>
      </c>
      <c r="Q588" s="106" t="s">
        <v>1243</v>
      </c>
      <c r="S588" s="108">
        <f>IF($A588="","",COUNTIF(BPOworkers!$B$6:$B$105,$A588))</f>
        <v>0</v>
      </c>
      <c r="T588" s="109">
        <f>IF($A588="","",$K588*Config!$C$9)</f>
        <v>6</v>
      </c>
      <c r="U588" s="109">
        <f>IF($A588="","",IF(COUNTIF(Config!$C$21:$C$23,$H588)&gt;0,IFERROR(VALUE(LEFT(TRIM($Q588),FIND(" ",TRIM($Q588)&amp;" ")-1)),0),0))</f>
        <v>0</v>
      </c>
      <c r="V588" s="109">
        <f t="shared" si="108"/>
        <v>6</v>
      </c>
      <c r="W588" s="108">
        <f>IF($A588="",0,IF(AND($C588&gt;=Config!$C$7,$C588&lt;=Config!$C$8),1,0))</f>
        <v>1</v>
      </c>
      <c r="X588" s="108">
        <f>IF($A588="",0,IF(COUNTIF(Config!$C$21:$C$23,$H588)&gt;0,1,0))</f>
        <v>0</v>
      </c>
      <c r="Y588" s="108">
        <f t="shared" si="109"/>
        <v>10</v>
      </c>
      <c r="Z588" s="108" t="str">
        <f t="shared" si="110"/>
        <v/>
      </c>
      <c r="AB588" s="108">
        <f t="shared" si="111"/>
        <v>0</v>
      </c>
      <c r="AC588" s="108">
        <f>IF($A588="",0,IF(AND($AB588=1,COUNTIF($A$2:$A588,$A588)=1),1,0))</f>
        <v>0</v>
      </c>
      <c r="AD588" s="108">
        <f t="shared" si="112"/>
        <v>1</v>
      </c>
      <c r="AE588" s="108" t="str">
        <f t="shared" si="113"/>
        <v/>
      </c>
      <c r="AF588" s="108">
        <f t="shared" si="114"/>
        <v>0</v>
      </c>
      <c r="AG588" s="108">
        <f t="shared" si="115"/>
        <v>0</v>
      </c>
      <c r="AH588" s="110" t="str">
        <f t="shared" si="116"/>
        <v>L. Yasir|20260901|Title|0.750|Searched for documents and inputted documents related to this AOI.</v>
      </c>
      <c r="AI588" s="108">
        <f t="shared" si="117"/>
        <v>0</v>
      </c>
      <c r="AJ588" s="108">
        <f t="shared" si="118"/>
        <v>0</v>
      </c>
      <c r="AK588" s="108">
        <f>IF($A588="",0,IF(AND($S588=1,$W588=1,$X588=1,$U588&gt;Config!$C$9),1,0))</f>
        <v>0</v>
      </c>
      <c r="AL588" s="108">
        <f t="shared" si="119"/>
        <v>0</v>
      </c>
    </row>
    <row r="589" spans="1:38" x14ac:dyDescent="0.25">
      <c r="A589" s="106" t="s">
        <v>660</v>
      </c>
      <c r="B589" s="106" t="s">
        <v>618</v>
      </c>
      <c r="C589" s="107">
        <v>46266</v>
      </c>
      <c r="D589" s="106" t="s">
        <v>529</v>
      </c>
      <c r="E589" s="106" t="s">
        <v>529</v>
      </c>
      <c r="F589" s="106" t="s">
        <v>615</v>
      </c>
      <c r="G589" s="106"/>
      <c r="H589" s="106" t="s">
        <v>529</v>
      </c>
      <c r="I589" s="106"/>
      <c r="J589" s="106"/>
      <c r="K589" s="106">
        <v>0</v>
      </c>
      <c r="L589" s="106">
        <v>0</v>
      </c>
      <c r="M589" s="106">
        <v>0</v>
      </c>
      <c r="N589" s="106"/>
      <c r="O589" s="106"/>
      <c r="P589" s="106">
        <v>0</v>
      </c>
      <c r="Q589" s="106" t="s">
        <v>1137</v>
      </c>
      <c r="S589" s="108">
        <f>IF($A589="","",COUNTIF(BPOworkers!$B$6:$B$105,$A589))</f>
        <v>0</v>
      </c>
      <c r="T589" s="109">
        <f>IF($A589="","",$K589*Config!$C$9)</f>
        <v>0</v>
      </c>
      <c r="U589" s="109">
        <f>IF($A589="","",IF(COUNTIF(Config!$C$21:$C$23,$H589)&gt;0,IFERROR(VALUE(LEFT(TRIM($Q589),FIND(" ",TRIM($Q589)&amp;" ")-1)),0),0))</f>
        <v>2</v>
      </c>
      <c r="V589" s="109">
        <f t="shared" si="108"/>
        <v>2</v>
      </c>
      <c r="W589" s="108">
        <f>IF($A589="",0,IF(AND($C589&gt;=Config!$C$7,$C589&lt;=Config!$C$8),1,0))</f>
        <v>1</v>
      </c>
      <c r="X589" s="108">
        <f>IF($A589="",0,IF(COUNTIF(Config!$C$21:$C$23,$H589)&gt;0,1,0))</f>
        <v>1</v>
      </c>
      <c r="Y589" s="108">
        <f t="shared" si="109"/>
        <v>10</v>
      </c>
      <c r="Z589" s="108" t="str">
        <f t="shared" si="110"/>
        <v/>
      </c>
      <c r="AB589" s="108">
        <f t="shared" si="111"/>
        <v>0</v>
      </c>
      <c r="AC589" s="108">
        <f>IF($A589="",0,IF(AND($AB589=1,COUNTIF($A$2:$A589,$A589)=1),1,0))</f>
        <v>0</v>
      </c>
      <c r="AD589" s="108">
        <f t="shared" si="112"/>
        <v>1</v>
      </c>
      <c r="AE589" s="108" t="str">
        <f t="shared" si="113"/>
        <v/>
      </c>
      <c r="AF589" s="108">
        <f t="shared" si="114"/>
        <v>0</v>
      </c>
      <c r="AG589" s="108">
        <f t="shared" si="115"/>
        <v>0</v>
      </c>
      <c r="AH589" s="110" t="str">
        <f t="shared" si="116"/>
        <v>L. Yasir|20260901|Time Off|0.000|2 hours not billed</v>
      </c>
      <c r="AI589" s="108">
        <f t="shared" si="117"/>
        <v>0</v>
      </c>
      <c r="AJ589" s="108">
        <f t="shared" si="118"/>
        <v>0</v>
      </c>
      <c r="AK589" s="108">
        <f>IF($A589="",0,IF(AND($S589=1,$W589=1,$X589=1,$U589&gt;Config!$C$9),1,0))</f>
        <v>0</v>
      </c>
      <c r="AL589" s="108">
        <f t="shared" si="119"/>
        <v>0</v>
      </c>
    </row>
    <row r="590" spans="1:38" x14ac:dyDescent="0.25">
      <c r="A590" s="106" t="s">
        <v>662</v>
      </c>
      <c r="B590" s="106" t="s">
        <v>618</v>
      </c>
      <c r="C590" s="107">
        <v>46266</v>
      </c>
      <c r="D590" s="106" t="s">
        <v>529</v>
      </c>
      <c r="E590" s="106" t="s">
        <v>529</v>
      </c>
      <c r="F590" s="106" t="s">
        <v>615</v>
      </c>
      <c r="G590" s="106"/>
      <c r="H590" s="106" t="s">
        <v>529</v>
      </c>
      <c r="I590" s="106"/>
      <c r="J590" s="106"/>
      <c r="K590" s="106">
        <v>0</v>
      </c>
      <c r="L590" s="106">
        <v>0</v>
      </c>
      <c r="M590" s="106">
        <v>0</v>
      </c>
      <c r="N590" s="106"/>
      <c r="O590" s="106"/>
      <c r="P590" s="106">
        <v>0</v>
      </c>
      <c r="Q590" s="106" t="s">
        <v>661</v>
      </c>
      <c r="S590" s="108">
        <f>IF($A590="","",COUNTIF(BPOworkers!$B$6:$B$105,$A590))</f>
        <v>0</v>
      </c>
      <c r="T590" s="109">
        <f>IF($A590="","",$K590*Config!$C$9)</f>
        <v>0</v>
      </c>
      <c r="U590" s="109">
        <f>IF($A590="","",IF(COUNTIF(Config!$C$21:$C$23,$H590)&gt;0,IFERROR(VALUE(LEFT(TRIM($Q590),FIND(" ",TRIM($Q590)&amp;" ")-1)),0),0))</f>
        <v>8</v>
      </c>
      <c r="V590" s="109">
        <f t="shared" si="108"/>
        <v>8</v>
      </c>
      <c r="W590" s="108">
        <f>IF($A590="",0,IF(AND($C590&gt;=Config!$C$7,$C590&lt;=Config!$C$8),1,0))</f>
        <v>1</v>
      </c>
      <c r="X590" s="108">
        <f>IF($A590="",0,IF(COUNTIF(Config!$C$21:$C$23,$H590)&gt;0,1,0))</f>
        <v>1</v>
      </c>
      <c r="Y590" s="108">
        <f t="shared" si="109"/>
        <v>10</v>
      </c>
      <c r="Z590" s="108" t="str">
        <f t="shared" si="110"/>
        <v/>
      </c>
      <c r="AB590" s="108">
        <f t="shared" si="111"/>
        <v>0</v>
      </c>
      <c r="AC590" s="108">
        <f>IF($A590="",0,IF(AND($AB590=1,COUNTIF($A$2:$A590,$A590)=1),1,0))</f>
        <v>0</v>
      </c>
      <c r="AD590" s="108">
        <f t="shared" si="112"/>
        <v>1</v>
      </c>
      <c r="AE590" s="108" t="str">
        <f t="shared" si="113"/>
        <v/>
      </c>
      <c r="AF590" s="108">
        <f t="shared" si="114"/>
        <v>0</v>
      </c>
      <c r="AG590" s="108">
        <f t="shared" si="115"/>
        <v>0</v>
      </c>
      <c r="AH590" s="110" t="str">
        <f t="shared" si="116"/>
        <v>M. Svatek|20260901|Time Off|0.000|8 hours not billed</v>
      </c>
      <c r="AI590" s="108">
        <f t="shared" si="117"/>
        <v>0</v>
      </c>
      <c r="AJ590" s="108">
        <f t="shared" si="118"/>
        <v>0</v>
      </c>
      <c r="AK590" s="108">
        <f>IF($A590="",0,IF(AND($S590=1,$W590=1,$X590=1,$U590&gt;Config!$C$9),1,0))</f>
        <v>0</v>
      </c>
      <c r="AL590" s="108">
        <f t="shared" si="119"/>
        <v>0</v>
      </c>
    </row>
    <row r="591" spans="1:38" x14ac:dyDescent="0.25">
      <c r="A591" s="106" t="s">
        <v>942</v>
      </c>
      <c r="B591" s="106" t="s">
        <v>618</v>
      </c>
      <c r="C591" s="107">
        <v>46266</v>
      </c>
      <c r="D591" s="106" t="s">
        <v>635</v>
      </c>
      <c r="E591" s="106" t="s">
        <v>636</v>
      </c>
      <c r="F591" s="106" t="s">
        <v>943</v>
      </c>
      <c r="G591" s="106"/>
      <c r="H591" s="106" t="s">
        <v>639</v>
      </c>
      <c r="I591" s="106"/>
      <c r="J591" s="106" t="s">
        <v>807</v>
      </c>
      <c r="K591" s="106">
        <v>1</v>
      </c>
      <c r="L591" s="106">
        <v>0</v>
      </c>
      <c r="M591" s="106">
        <v>0</v>
      </c>
      <c r="N591" s="106"/>
      <c r="O591" s="106"/>
      <c r="P591" s="106">
        <v>0</v>
      </c>
      <c r="Q591" s="106" t="s">
        <v>639</v>
      </c>
      <c r="S591" s="108">
        <f>IF($A591="","",COUNTIF(BPOworkers!$B$6:$B$105,$A591))</f>
        <v>0</v>
      </c>
      <c r="T591" s="109">
        <f>IF($A591="","",$K591*Config!$C$9)</f>
        <v>8</v>
      </c>
      <c r="U591" s="109">
        <f>IF($A591="","",IF(COUNTIF(Config!$C$21:$C$23,$H591)&gt;0,IFERROR(VALUE(LEFT(TRIM($Q591),FIND(" ",TRIM($Q591)&amp;" ")-1)),0),0))</f>
        <v>0</v>
      </c>
      <c r="V591" s="109">
        <f t="shared" si="108"/>
        <v>8</v>
      </c>
      <c r="W591" s="108">
        <f>IF($A591="",0,IF(AND($C591&gt;=Config!$C$7,$C591&lt;=Config!$C$8),1,0))</f>
        <v>1</v>
      </c>
      <c r="X591" s="108">
        <f>IF($A591="",0,IF(COUNTIF(Config!$C$21:$C$23,$H591)&gt;0,1,0))</f>
        <v>0</v>
      </c>
      <c r="Y591" s="108">
        <f t="shared" si="109"/>
        <v>10</v>
      </c>
      <c r="Z591" s="108" t="str">
        <f t="shared" si="110"/>
        <v/>
      </c>
      <c r="AB591" s="108">
        <f t="shared" si="111"/>
        <v>0</v>
      </c>
      <c r="AC591" s="108">
        <f>IF($A591="",0,IF(AND($AB591=1,COUNTIF($A$2:$A591,$A591)=1),1,0))</f>
        <v>0</v>
      </c>
      <c r="AD591" s="108">
        <f t="shared" si="112"/>
        <v>1</v>
      </c>
      <c r="AE591" s="108" t="str">
        <f t="shared" si="113"/>
        <v/>
      </c>
      <c r="AF591" s="108">
        <f t="shared" si="114"/>
        <v>0</v>
      </c>
      <c r="AG591" s="108">
        <f t="shared" si="115"/>
        <v>0</v>
      </c>
      <c r="AH591" s="110" t="str">
        <f t="shared" si="116"/>
        <v>J. Warlick|20260901|Review|1.000|Review</v>
      </c>
      <c r="AI591" s="108">
        <f t="shared" si="117"/>
        <v>0</v>
      </c>
      <c r="AJ591" s="108">
        <f t="shared" si="118"/>
        <v>0</v>
      </c>
      <c r="AK591" s="108">
        <f>IF($A591="",0,IF(AND($S591=1,$W591=1,$X591=1,$U591&gt;Config!$C$9),1,0))</f>
        <v>0</v>
      </c>
      <c r="AL591" s="108">
        <f t="shared" si="119"/>
        <v>0</v>
      </c>
    </row>
    <row r="592" spans="1:38" x14ac:dyDescent="0.25">
      <c r="A592" s="106" t="s">
        <v>663</v>
      </c>
      <c r="B592" s="106" t="s">
        <v>618</v>
      </c>
      <c r="C592" s="107">
        <v>46266</v>
      </c>
      <c r="D592" s="106" t="s">
        <v>635</v>
      </c>
      <c r="E592" s="106" t="s">
        <v>636</v>
      </c>
      <c r="F592" s="106" t="s">
        <v>637</v>
      </c>
      <c r="G592" s="106" t="s">
        <v>1244</v>
      </c>
      <c r="H592" s="106" t="s">
        <v>639</v>
      </c>
      <c r="I592" s="106"/>
      <c r="J592" s="106"/>
      <c r="K592" s="106">
        <v>1</v>
      </c>
      <c r="L592" s="106">
        <v>0</v>
      </c>
      <c r="M592" s="106">
        <v>0</v>
      </c>
      <c r="N592" s="106"/>
      <c r="O592" s="106"/>
      <c r="P592" s="106">
        <v>0</v>
      </c>
      <c r="Q592" s="106" t="s">
        <v>1245</v>
      </c>
      <c r="S592" s="108">
        <f>IF($A592="","",COUNTIF(BPOworkers!$B$6:$B$105,$A592))</f>
        <v>0</v>
      </c>
      <c r="T592" s="109">
        <f>IF($A592="","",$K592*Config!$C$9)</f>
        <v>8</v>
      </c>
      <c r="U592" s="109">
        <f>IF($A592="","",IF(COUNTIF(Config!$C$21:$C$23,$H592)&gt;0,IFERROR(VALUE(LEFT(TRIM($Q592),FIND(" ",TRIM($Q592)&amp;" ")-1)),0),0))</f>
        <v>0</v>
      </c>
      <c r="V592" s="109">
        <f t="shared" si="108"/>
        <v>8</v>
      </c>
      <c r="W592" s="108">
        <f>IF($A592="",0,IF(AND($C592&gt;=Config!$C$7,$C592&lt;=Config!$C$8),1,0))</f>
        <v>1</v>
      </c>
      <c r="X592" s="108">
        <f>IF($A592="",0,IF(COUNTIF(Config!$C$21:$C$23,$H592)&gt;0,1,0))</f>
        <v>0</v>
      </c>
      <c r="Y592" s="108">
        <f t="shared" si="109"/>
        <v>10</v>
      </c>
      <c r="Z592" s="108" t="str">
        <f t="shared" si="110"/>
        <v/>
      </c>
      <c r="AB592" s="108">
        <f t="shared" si="111"/>
        <v>0</v>
      </c>
      <c r="AC592" s="108">
        <f>IF($A592="",0,IF(AND($AB592=1,COUNTIF($A$2:$A592,$A592)=1),1,0))</f>
        <v>0</v>
      </c>
      <c r="AD592" s="108">
        <f t="shared" si="112"/>
        <v>1</v>
      </c>
      <c r="AE592" s="108" t="str">
        <f t="shared" si="113"/>
        <v/>
      </c>
      <c r="AF592" s="108">
        <f t="shared" si="114"/>
        <v>0</v>
      </c>
      <c r="AG592" s="108">
        <f t="shared" si="115"/>
        <v>0</v>
      </c>
      <c r="AH592" s="110" t="str">
        <f t="shared" si="116"/>
        <v>J. Jinkins|20260901|Review|1.000|Reviewing NMNM105463682 (NMLC 0068379), and working on ORRI and WI as instructed.</v>
      </c>
      <c r="AI592" s="108">
        <f t="shared" si="117"/>
        <v>0</v>
      </c>
      <c r="AJ592" s="108">
        <f t="shared" si="118"/>
        <v>0</v>
      </c>
      <c r="AK592" s="108">
        <f>IF($A592="",0,IF(AND($S592=1,$W592=1,$X592=1,$U592&gt;Config!$C$9),1,0))</f>
        <v>0</v>
      </c>
      <c r="AL592" s="108">
        <f t="shared" si="119"/>
        <v>0</v>
      </c>
    </row>
    <row r="593" spans="1:38" x14ac:dyDescent="0.25">
      <c r="A593" s="106" t="s">
        <v>946</v>
      </c>
      <c r="B593" s="106" t="s">
        <v>618</v>
      </c>
      <c r="C593" s="107">
        <v>46266</v>
      </c>
      <c r="D593" s="106" t="s">
        <v>680</v>
      </c>
      <c r="E593" s="106" t="s">
        <v>681</v>
      </c>
      <c r="F593" s="106" t="s">
        <v>893</v>
      </c>
      <c r="G593" s="106" t="s">
        <v>894</v>
      </c>
      <c r="H593" s="106" t="s">
        <v>656</v>
      </c>
      <c r="I593" s="106"/>
      <c r="J593" s="106"/>
      <c r="K593" s="106">
        <v>0.625</v>
      </c>
      <c r="L593" s="106">
        <v>0</v>
      </c>
      <c r="M593" s="106">
        <v>0</v>
      </c>
      <c r="N593" s="106"/>
      <c r="O593" s="106"/>
      <c r="P593" s="106">
        <v>0</v>
      </c>
      <c r="Q593" s="106" t="s">
        <v>1377</v>
      </c>
      <c r="S593" s="108">
        <f>IF($A593="","",COUNTIF(BPOworkers!$B$6:$B$105,$A593))</f>
        <v>0</v>
      </c>
      <c r="T593" s="109">
        <f>IF($A593="","",$K593*Config!$C$9)</f>
        <v>5</v>
      </c>
      <c r="U593" s="109">
        <f>IF($A593="","",IF(COUNTIF(Config!$C$21:$C$23,$H593)&gt;0,IFERROR(VALUE(LEFT(TRIM($Q593),FIND(" ",TRIM($Q593)&amp;" ")-1)),0),0))</f>
        <v>0</v>
      </c>
      <c r="V593" s="109">
        <f t="shared" si="108"/>
        <v>5</v>
      </c>
      <c r="W593" s="108">
        <f>IF($A593="",0,IF(AND($C593&gt;=Config!$C$7,$C593&lt;=Config!$C$8),1,0))</f>
        <v>1</v>
      </c>
      <c r="X593" s="108">
        <f>IF($A593="",0,IF(COUNTIF(Config!$C$21:$C$23,$H593)&gt;0,1,0))</f>
        <v>0</v>
      </c>
      <c r="Y593" s="108">
        <f t="shared" si="109"/>
        <v>10</v>
      </c>
      <c r="Z593" s="108" t="str">
        <f t="shared" si="110"/>
        <v/>
      </c>
      <c r="AB593" s="108">
        <f t="shared" si="111"/>
        <v>0</v>
      </c>
      <c r="AC593" s="108">
        <f>IF($A593="",0,IF(AND($AB593=1,COUNTIF($A$2:$A593,$A593)=1),1,0))</f>
        <v>0</v>
      </c>
      <c r="AD593" s="108">
        <f t="shared" si="112"/>
        <v>1</v>
      </c>
      <c r="AE593" s="108" t="str">
        <f t="shared" si="113"/>
        <v/>
      </c>
      <c r="AF593" s="108">
        <f t="shared" si="114"/>
        <v>0</v>
      </c>
      <c r="AG593" s="108">
        <f t="shared" si="115"/>
        <v>0</v>
      </c>
      <c r="AH593" s="110" t="str">
        <f t="shared" si="116"/>
        <v>L. Carollo|20260901|Project Management|0.625|Setup of project and onboarding of all team members.</v>
      </c>
      <c r="AI593" s="108">
        <f t="shared" si="117"/>
        <v>0</v>
      </c>
      <c r="AJ593" s="108">
        <f t="shared" si="118"/>
        <v>0</v>
      </c>
      <c r="AK593" s="108">
        <f>IF($A593="",0,IF(AND($S593=1,$W593=1,$X593=1,$U593&gt;Config!$C$9),1,0))</f>
        <v>0</v>
      </c>
      <c r="AL593" s="108">
        <f t="shared" si="119"/>
        <v>0</v>
      </c>
    </row>
    <row r="594" spans="1:38" x14ac:dyDescent="0.25">
      <c r="A594" s="106" t="s">
        <v>946</v>
      </c>
      <c r="B594" s="106" t="s">
        <v>618</v>
      </c>
      <c r="C594" s="107">
        <v>46266</v>
      </c>
      <c r="D594" s="106" t="s">
        <v>902</v>
      </c>
      <c r="E594" s="106" t="s">
        <v>903</v>
      </c>
      <c r="F594" s="106" t="s">
        <v>1108</v>
      </c>
      <c r="G594" s="106" t="s">
        <v>1109</v>
      </c>
      <c r="H594" s="106" t="s">
        <v>639</v>
      </c>
      <c r="I594" s="106"/>
      <c r="J594" s="106"/>
      <c r="K594" s="106">
        <v>0.25</v>
      </c>
      <c r="L594" s="106">
        <v>0</v>
      </c>
      <c r="M594" s="106">
        <v>0</v>
      </c>
      <c r="N594" s="106"/>
      <c r="O594" s="106"/>
      <c r="P594" s="106">
        <v>0</v>
      </c>
      <c r="Q594" s="106" t="s">
        <v>1378</v>
      </c>
      <c r="S594" s="108">
        <f>IF($A594="","",COUNTIF(BPOworkers!$B$6:$B$105,$A594))</f>
        <v>0</v>
      </c>
      <c r="T594" s="109">
        <f>IF($A594="","",$K594*Config!$C$9)</f>
        <v>2</v>
      </c>
      <c r="U594" s="109">
        <f>IF($A594="","",IF(COUNTIF(Config!$C$21:$C$23,$H594)&gt;0,IFERROR(VALUE(LEFT(TRIM($Q594),FIND(" ",TRIM($Q594)&amp;" ")-1)),0),0))</f>
        <v>0</v>
      </c>
      <c r="V594" s="109">
        <f t="shared" si="108"/>
        <v>2</v>
      </c>
      <c r="W594" s="108">
        <f>IF($A594="",0,IF(AND($C594&gt;=Config!$C$7,$C594&lt;=Config!$C$8),1,0))</f>
        <v>1</v>
      </c>
      <c r="X594" s="108">
        <f>IF($A594="",0,IF(COUNTIF(Config!$C$21:$C$23,$H594)&gt;0,1,0))</f>
        <v>0</v>
      </c>
      <c r="Y594" s="108">
        <f t="shared" si="109"/>
        <v>10</v>
      </c>
      <c r="Z594" s="108" t="str">
        <f t="shared" si="110"/>
        <v/>
      </c>
      <c r="AB594" s="108">
        <f t="shared" si="111"/>
        <v>0</v>
      </c>
      <c r="AC594" s="108">
        <f>IF($A594="",0,IF(AND($AB594=1,COUNTIF($A$2:$A594,$A594)=1),1,0))</f>
        <v>0</v>
      </c>
      <c r="AD594" s="108">
        <f t="shared" si="112"/>
        <v>1</v>
      </c>
      <c r="AE594" s="108" t="str">
        <f t="shared" si="113"/>
        <v/>
      </c>
      <c r="AF594" s="108">
        <f t="shared" si="114"/>
        <v>0</v>
      </c>
      <c r="AG594" s="108">
        <f t="shared" si="115"/>
        <v>0</v>
      </c>
      <c r="AH594" s="110" t="str">
        <f t="shared" si="116"/>
        <v>L. Carollo|20260901|Review|0.250|Worked on final revisions of completed AOIs</v>
      </c>
      <c r="AI594" s="108">
        <f t="shared" si="117"/>
        <v>0</v>
      </c>
      <c r="AJ594" s="108">
        <f t="shared" si="118"/>
        <v>0</v>
      </c>
      <c r="AK594" s="108">
        <f>IF($A594="",0,IF(AND($S594=1,$W594=1,$X594=1,$U594&gt;Config!$C$9),1,0))</f>
        <v>0</v>
      </c>
      <c r="AL594" s="108">
        <f t="shared" si="119"/>
        <v>0</v>
      </c>
    </row>
    <row r="595" spans="1:38" x14ac:dyDescent="0.25">
      <c r="A595" s="106" t="s">
        <v>946</v>
      </c>
      <c r="B595" s="106" t="s">
        <v>618</v>
      </c>
      <c r="C595" s="107">
        <v>46266</v>
      </c>
      <c r="D595" s="106" t="s">
        <v>623</v>
      </c>
      <c r="E595" s="106" t="s">
        <v>128</v>
      </c>
      <c r="F595" s="106" t="s">
        <v>615</v>
      </c>
      <c r="G595" s="106"/>
      <c r="H595" s="106" t="s">
        <v>819</v>
      </c>
      <c r="I595" s="106"/>
      <c r="J595" s="106"/>
      <c r="K595" s="106">
        <v>0.375</v>
      </c>
      <c r="L595" s="106">
        <v>0</v>
      </c>
      <c r="M595" s="106">
        <v>0</v>
      </c>
      <c r="N595" s="106"/>
      <c r="O595" s="106"/>
      <c r="P595" s="106">
        <v>0</v>
      </c>
      <c r="Q595" s="106" t="s">
        <v>1379</v>
      </c>
      <c r="S595" s="108">
        <f>IF($A595="","",COUNTIF(BPOworkers!$B$6:$B$105,$A595))</f>
        <v>0</v>
      </c>
      <c r="T595" s="109">
        <f>IF($A595="","",$K595*Config!$C$9)</f>
        <v>3</v>
      </c>
      <c r="U595" s="109">
        <f>IF($A595="","",IF(COUNTIF(Config!$C$21:$C$23,$H595)&gt;0,IFERROR(VALUE(LEFT(TRIM($Q595),FIND(" ",TRIM($Q595)&amp;" ")-1)),0),0))</f>
        <v>0</v>
      </c>
      <c r="V595" s="109">
        <f t="shared" si="108"/>
        <v>3</v>
      </c>
      <c r="W595" s="108">
        <f>IF($A595="",0,IF(AND($C595&gt;=Config!$C$7,$C595&lt;=Config!$C$8),1,0))</f>
        <v>1</v>
      </c>
      <c r="X595" s="108">
        <f>IF($A595="",0,IF(COUNTIF(Config!$C$21:$C$23,$H595)&gt;0,1,0))</f>
        <v>0</v>
      </c>
      <c r="Y595" s="108">
        <f t="shared" si="109"/>
        <v>10</v>
      </c>
      <c r="Z595" s="108" t="str">
        <f t="shared" si="110"/>
        <v/>
      </c>
      <c r="AB595" s="108">
        <f t="shared" si="111"/>
        <v>0</v>
      </c>
      <c r="AC595" s="108">
        <f>IF($A595="",0,IF(AND($AB595=1,COUNTIF($A$2:$A595,$A595)=1),1,0))</f>
        <v>0</v>
      </c>
      <c r="AD595" s="108">
        <f t="shared" si="112"/>
        <v>1</v>
      </c>
      <c r="AE595" s="108" t="str">
        <f t="shared" si="113"/>
        <v/>
      </c>
      <c r="AF595" s="108">
        <f t="shared" si="114"/>
        <v>0</v>
      </c>
      <c r="AG595" s="108">
        <f t="shared" si="115"/>
        <v>0</v>
      </c>
      <c r="AH595" s="110" t="str">
        <f t="shared" si="116"/>
        <v>L. Carollo|20260901|Training - BPO|0.375|Worked on training materials for presentation with Laura Silva.</v>
      </c>
      <c r="AI595" s="108">
        <f t="shared" si="117"/>
        <v>0</v>
      </c>
      <c r="AJ595" s="108">
        <f t="shared" si="118"/>
        <v>0</v>
      </c>
      <c r="AK595" s="108">
        <f>IF($A595="",0,IF(AND($S595=1,$W595=1,$X595=1,$U595&gt;Config!$C$9),1,0))</f>
        <v>0</v>
      </c>
      <c r="AL595" s="108">
        <f t="shared" si="119"/>
        <v>0</v>
      </c>
    </row>
    <row r="596" spans="1:38" x14ac:dyDescent="0.25">
      <c r="A596" s="106" t="s">
        <v>665</v>
      </c>
      <c r="B596" s="106" t="s">
        <v>618</v>
      </c>
      <c r="C596" s="107">
        <v>46266</v>
      </c>
      <c r="D596" s="106" t="s">
        <v>635</v>
      </c>
      <c r="E596" s="106" t="s">
        <v>636</v>
      </c>
      <c r="F596" s="106" t="s">
        <v>943</v>
      </c>
      <c r="G596" s="106"/>
      <c r="H596" s="106" t="s">
        <v>639</v>
      </c>
      <c r="I596" s="106"/>
      <c r="J596" s="106" t="s">
        <v>1380</v>
      </c>
      <c r="K596" s="106">
        <v>0.25</v>
      </c>
      <c r="L596" s="106">
        <v>0</v>
      </c>
      <c r="M596" s="106">
        <v>0</v>
      </c>
      <c r="N596" s="106"/>
      <c r="O596" s="106"/>
      <c r="P596" s="106">
        <v>0</v>
      </c>
      <c r="Q596" s="106" t="s">
        <v>1381</v>
      </c>
      <c r="S596" s="108">
        <f>IF($A596="","",COUNTIF(BPOworkers!$B$6:$B$105,$A596))</f>
        <v>0</v>
      </c>
      <c r="T596" s="109">
        <f>IF($A596="","",$K596*Config!$C$9)</f>
        <v>2</v>
      </c>
      <c r="U596" s="109">
        <f>IF($A596="","",IF(COUNTIF(Config!$C$21:$C$23,$H596)&gt;0,IFERROR(VALUE(LEFT(TRIM($Q596),FIND(" ",TRIM($Q596)&amp;" ")-1)),0),0))</f>
        <v>0</v>
      </c>
      <c r="V596" s="109">
        <f t="shared" si="108"/>
        <v>2</v>
      </c>
      <c r="W596" s="108">
        <f>IF($A596="",0,IF(AND($C596&gt;=Config!$C$7,$C596&lt;=Config!$C$8),1,0))</f>
        <v>1</v>
      </c>
      <c r="X596" s="108">
        <f>IF($A596="",0,IF(COUNTIF(Config!$C$21:$C$23,$H596)&gt;0,1,0))</f>
        <v>0</v>
      </c>
      <c r="Y596" s="108">
        <f t="shared" si="109"/>
        <v>10</v>
      </c>
      <c r="Z596" s="108" t="str">
        <f t="shared" si="110"/>
        <v/>
      </c>
      <c r="AB596" s="108">
        <f t="shared" si="111"/>
        <v>0</v>
      </c>
      <c r="AC596" s="108">
        <f>IF($A596="",0,IF(AND($AB596=1,COUNTIF($A$2:$A596,$A596)=1),1,0))</f>
        <v>0</v>
      </c>
      <c r="AD596" s="108">
        <f t="shared" si="112"/>
        <v>1</v>
      </c>
      <c r="AE596" s="108" t="str">
        <f t="shared" si="113"/>
        <v/>
      </c>
      <c r="AF596" s="108">
        <f t="shared" si="114"/>
        <v>0</v>
      </c>
      <c r="AG596" s="108">
        <f t="shared" si="115"/>
        <v>0</v>
      </c>
      <c r="AH596" s="110" t="str">
        <f t="shared" si="116"/>
        <v>M. Tamez|20260901|Review|0.250|Completed review of the subject AOI.</v>
      </c>
      <c r="AI596" s="108">
        <f t="shared" si="117"/>
        <v>0</v>
      </c>
      <c r="AJ596" s="108">
        <f t="shared" si="118"/>
        <v>0</v>
      </c>
      <c r="AK596" s="108">
        <f>IF($A596="",0,IF(AND($S596=1,$W596=1,$X596=1,$U596&gt;Config!$C$9),1,0))</f>
        <v>0</v>
      </c>
      <c r="AL596" s="108">
        <f t="shared" si="119"/>
        <v>0</v>
      </c>
    </row>
    <row r="597" spans="1:38" x14ac:dyDescent="0.25">
      <c r="A597" s="106" t="s">
        <v>665</v>
      </c>
      <c r="B597" s="106" t="s">
        <v>618</v>
      </c>
      <c r="C597" s="107">
        <v>46266</v>
      </c>
      <c r="D597" s="106" t="s">
        <v>635</v>
      </c>
      <c r="E597" s="106" t="s">
        <v>636</v>
      </c>
      <c r="F597" s="106" t="s">
        <v>637</v>
      </c>
      <c r="G597" s="106" t="s">
        <v>1382</v>
      </c>
      <c r="H597" s="106" t="s">
        <v>639</v>
      </c>
      <c r="I597" s="106"/>
      <c r="J597" s="106" t="s">
        <v>1383</v>
      </c>
      <c r="K597" s="106">
        <v>0.25</v>
      </c>
      <c r="L597" s="106">
        <v>0</v>
      </c>
      <c r="M597" s="106">
        <v>0</v>
      </c>
      <c r="N597" s="106"/>
      <c r="O597" s="106"/>
      <c r="P597" s="106">
        <v>0</v>
      </c>
      <c r="Q597" s="106" t="s">
        <v>1384</v>
      </c>
      <c r="S597" s="108">
        <f>IF($A597="","",COUNTIF(BPOworkers!$B$6:$B$105,$A597))</f>
        <v>0</v>
      </c>
      <c r="T597" s="109">
        <f>IF($A597="","",$K597*Config!$C$9)</f>
        <v>2</v>
      </c>
      <c r="U597" s="109">
        <f>IF($A597="","",IF(COUNTIF(Config!$C$21:$C$23,$H597)&gt;0,IFERROR(VALUE(LEFT(TRIM($Q597),FIND(" ",TRIM($Q597)&amp;" ")-1)),0),0))</f>
        <v>0</v>
      </c>
      <c r="V597" s="109">
        <f t="shared" si="108"/>
        <v>2</v>
      </c>
      <c r="W597" s="108">
        <f>IF($A597="",0,IF(AND($C597&gt;=Config!$C$7,$C597&lt;=Config!$C$8),1,0))</f>
        <v>1</v>
      </c>
      <c r="X597" s="108">
        <f>IF($A597="",0,IF(COUNTIF(Config!$C$21:$C$23,$H597)&gt;0,1,0))</f>
        <v>0</v>
      </c>
      <c r="Y597" s="108">
        <f t="shared" si="109"/>
        <v>10</v>
      </c>
      <c r="Z597" s="108" t="str">
        <f t="shared" si="110"/>
        <v/>
      </c>
      <c r="AB597" s="108">
        <f t="shared" si="111"/>
        <v>0</v>
      </c>
      <c r="AC597" s="108">
        <f>IF($A597="",0,IF(AND($AB597=1,COUNTIF($A$2:$A597,$A597)=1),1,0))</f>
        <v>0</v>
      </c>
      <c r="AD597" s="108">
        <f t="shared" si="112"/>
        <v>1</v>
      </c>
      <c r="AE597" s="108" t="str">
        <f t="shared" si="113"/>
        <v/>
      </c>
      <c r="AF597" s="108">
        <f t="shared" si="114"/>
        <v>0</v>
      </c>
      <c r="AG597" s="108">
        <f t="shared" si="115"/>
        <v>0</v>
      </c>
      <c r="AH597" s="110" t="str">
        <f t="shared" si="116"/>
        <v>M. Tamez|20260901|Review|0.250|Met with Peter Tamez for direction and opinion on the subject AOI. Continued review for subject AOI.</v>
      </c>
      <c r="AI597" s="108">
        <f t="shared" si="117"/>
        <v>0</v>
      </c>
      <c r="AJ597" s="108">
        <f t="shared" si="118"/>
        <v>0</v>
      </c>
      <c r="AK597" s="108">
        <f>IF($A597="",0,IF(AND($S597=1,$W597=1,$X597=1,$U597&gt;Config!$C$9),1,0))</f>
        <v>0</v>
      </c>
      <c r="AL597" s="108">
        <f t="shared" si="119"/>
        <v>0</v>
      </c>
    </row>
    <row r="598" spans="1:38" x14ac:dyDescent="0.25">
      <c r="A598" s="106" t="s">
        <v>665</v>
      </c>
      <c r="B598" s="106" t="s">
        <v>618</v>
      </c>
      <c r="C598" s="107">
        <v>46266</v>
      </c>
      <c r="D598" s="106" t="s">
        <v>635</v>
      </c>
      <c r="E598" s="106" t="s">
        <v>636</v>
      </c>
      <c r="F598" s="106" t="s">
        <v>637</v>
      </c>
      <c r="G598" s="106" t="s">
        <v>1385</v>
      </c>
      <c r="H598" s="106" t="s">
        <v>639</v>
      </c>
      <c r="I598" s="106"/>
      <c r="J598" s="106" t="s">
        <v>1383</v>
      </c>
      <c r="K598" s="106">
        <v>0.5</v>
      </c>
      <c r="L598" s="106">
        <v>0</v>
      </c>
      <c r="M598" s="106">
        <v>0</v>
      </c>
      <c r="N598" s="106"/>
      <c r="O598" s="106"/>
      <c r="P598" s="106">
        <v>0</v>
      </c>
      <c r="Q598" s="106" t="s">
        <v>1386</v>
      </c>
      <c r="S598" s="108">
        <f>IF($A598="","",COUNTIF(BPOworkers!$B$6:$B$105,$A598))</f>
        <v>0</v>
      </c>
      <c r="T598" s="109">
        <f>IF($A598="","",$K598*Config!$C$9)</f>
        <v>4</v>
      </c>
      <c r="U598" s="109">
        <f>IF($A598="","",IF(COUNTIF(Config!$C$21:$C$23,$H598)&gt;0,IFERROR(VALUE(LEFT(TRIM($Q598),FIND(" ",TRIM($Q598)&amp;" ")-1)),0),0))</f>
        <v>0</v>
      </c>
      <c r="V598" s="109">
        <f t="shared" si="108"/>
        <v>4</v>
      </c>
      <c r="W598" s="108">
        <f>IF($A598="",0,IF(AND($C598&gt;=Config!$C$7,$C598&lt;=Config!$C$8),1,0))</f>
        <v>1</v>
      </c>
      <c r="X598" s="108">
        <f>IF($A598="",0,IF(COUNTIF(Config!$C$21:$C$23,$H598)&gt;0,1,0))</f>
        <v>0</v>
      </c>
      <c r="Y598" s="108">
        <f t="shared" si="109"/>
        <v>10</v>
      </c>
      <c r="Z598" s="108" t="str">
        <f t="shared" si="110"/>
        <v/>
      </c>
      <c r="AB598" s="108">
        <f t="shared" si="111"/>
        <v>0</v>
      </c>
      <c r="AC598" s="108">
        <f>IF($A598="",0,IF(AND($AB598=1,COUNTIF($A$2:$A598,$A598)=1),1,0))</f>
        <v>0</v>
      </c>
      <c r="AD598" s="108">
        <f t="shared" si="112"/>
        <v>1</v>
      </c>
      <c r="AE598" s="108" t="str">
        <f t="shared" si="113"/>
        <v/>
      </c>
      <c r="AF598" s="108">
        <f t="shared" si="114"/>
        <v>0</v>
      </c>
      <c r="AG598" s="108">
        <f t="shared" si="115"/>
        <v>0</v>
      </c>
      <c r="AH598" s="110" t="str">
        <f t="shared" si="116"/>
        <v>M. Tamez|20260901|Review|0.500|Completed due diligence indexing of last known ORRI owners per PM instructions. Indexed approximately 400 documents. Com</v>
      </c>
      <c r="AI598" s="108">
        <f t="shared" si="117"/>
        <v>0</v>
      </c>
      <c r="AJ598" s="108">
        <f t="shared" si="118"/>
        <v>0</v>
      </c>
      <c r="AK598" s="108">
        <f>IF($A598="",0,IF(AND($S598=1,$W598=1,$X598=1,$U598&gt;Config!$C$9),1,0))</f>
        <v>0</v>
      </c>
      <c r="AL598" s="108">
        <f t="shared" si="119"/>
        <v>0</v>
      </c>
    </row>
    <row r="599" spans="1:38" x14ac:dyDescent="0.25">
      <c r="A599" s="106" t="s">
        <v>668</v>
      </c>
      <c r="B599" s="106" t="s">
        <v>614</v>
      </c>
      <c r="C599" s="107">
        <v>46266</v>
      </c>
      <c r="D599" s="106" t="s">
        <v>669</v>
      </c>
      <c r="E599" s="106" t="s">
        <v>669</v>
      </c>
      <c r="F599" s="106" t="s">
        <v>670</v>
      </c>
      <c r="G599" s="106"/>
      <c r="H599" s="106" t="s">
        <v>656</v>
      </c>
      <c r="I599" s="106"/>
      <c r="J599" s="106" t="s">
        <v>950</v>
      </c>
      <c r="K599" s="106">
        <v>1</v>
      </c>
      <c r="L599" s="106">
        <v>0</v>
      </c>
      <c r="M599" s="106">
        <v>0</v>
      </c>
      <c r="N599" s="106"/>
      <c r="O599" s="106"/>
      <c r="P599" s="106">
        <v>0</v>
      </c>
      <c r="Q599" s="106" t="s">
        <v>951</v>
      </c>
      <c r="S599" s="108">
        <f>IF($A599="","",COUNTIF(BPOworkers!$B$6:$B$105,$A599))</f>
        <v>0</v>
      </c>
      <c r="T599" s="109">
        <f>IF($A599="","",$K599*Config!$C$9)</f>
        <v>8</v>
      </c>
      <c r="U599" s="109">
        <f>IF($A599="","",IF(COUNTIF(Config!$C$21:$C$23,$H599)&gt;0,IFERROR(VALUE(LEFT(TRIM($Q599),FIND(" ",TRIM($Q599)&amp;" ")-1)),0),0))</f>
        <v>0</v>
      </c>
      <c r="V599" s="109">
        <f t="shared" si="108"/>
        <v>8</v>
      </c>
      <c r="W599" s="108">
        <f>IF($A599="",0,IF(AND($C599&gt;=Config!$C$7,$C599&lt;=Config!$C$8),1,0))</f>
        <v>1</v>
      </c>
      <c r="X599" s="108">
        <f>IF($A599="",0,IF(COUNTIF(Config!$C$21:$C$23,$H599)&gt;0,1,0))</f>
        <v>0</v>
      </c>
      <c r="Y599" s="108">
        <f t="shared" si="109"/>
        <v>10</v>
      </c>
      <c r="Z599" s="108" t="str">
        <f t="shared" si="110"/>
        <v/>
      </c>
      <c r="AB599" s="108">
        <f t="shared" si="111"/>
        <v>0</v>
      </c>
      <c r="AC599" s="108">
        <f>IF($A599="",0,IF(AND($AB599=1,COUNTIF($A$2:$A599,$A599)=1),1,0))</f>
        <v>0</v>
      </c>
      <c r="AD599" s="108">
        <f t="shared" si="112"/>
        <v>1</v>
      </c>
      <c r="AE599" s="108" t="str">
        <f t="shared" si="113"/>
        <v/>
      </c>
      <c r="AF599" s="108">
        <f t="shared" si="114"/>
        <v>0</v>
      </c>
      <c r="AG599" s="108">
        <f t="shared" si="115"/>
        <v>0</v>
      </c>
      <c r="AH599" s="110" t="str">
        <f t="shared" si="116"/>
        <v>M. Bearrow|20260901|Project Management|1.000|Title notes analysis and management.</v>
      </c>
      <c r="AI599" s="108">
        <f t="shared" si="117"/>
        <v>0</v>
      </c>
      <c r="AJ599" s="108">
        <f t="shared" si="118"/>
        <v>0</v>
      </c>
      <c r="AK599" s="108">
        <f>IF($A599="",0,IF(AND($S599=1,$W599=1,$X599=1,$U599&gt;Config!$C$9),1,0))</f>
        <v>0</v>
      </c>
      <c r="AL599" s="108">
        <f t="shared" si="119"/>
        <v>0</v>
      </c>
    </row>
    <row r="600" spans="1:38" ht="96.75" x14ac:dyDescent="0.25">
      <c r="A600" s="106" t="s">
        <v>679</v>
      </c>
      <c r="B600" s="106" t="s">
        <v>618</v>
      </c>
      <c r="C600" s="107">
        <v>46266</v>
      </c>
      <c r="D600" s="106" t="s">
        <v>680</v>
      </c>
      <c r="E600" s="106" t="s">
        <v>681</v>
      </c>
      <c r="F600" s="106" t="s">
        <v>686</v>
      </c>
      <c r="G600" s="106" t="s">
        <v>1113</v>
      </c>
      <c r="H600" s="106" t="s">
        <v>631</v>
      </c>
      <c r="I600" s="106"/>
      <c r="J600" s="106" t="s">
        <v>1250</v>
      </c>
      <c r="K600" s="106">
        <v>1</v>
      </c>
      <c r="L600" s="106">
        <v>0</v>
      </c>
      <c r="M600" s="106">
        <v>0</v>
      </c>
      <c r="N600" s="106"/>
      <c r="O600" s="106"/>
      <c r="P600" s="106">
        <v>0</v>
      </c>
      <c r="Q600" s="111" t="s">
        <v>1387</v>
      </c>
      <c r="S600" s="108">
        <f>IF($A600="","",COUNTIF(BPOworkers!$B$6:$B$105,$A600))</f>
        <v>0</v>
      </c>
      <c r="T600" s="109">
        <f>IF($A600="","",$K600*Config!$C$9)</f>
        <v>8</v>
      </c>
      <c r="U600" s="109">
        <f>IF($A600="","",IF(COUNTIF(Config!$C$21:$C$23,$H600)&gt;0,IFERROR(VALUE(LEFT(TRIM($Q600),FIND(" ",TRIM($Q600)&amp;" ")-1)),0),0))</f>
        <v>0</v>
      </c>
      <c r="V600" s="109">
        <f t="shared" si="108"/>
        <v>8</v>
      </c>
      <c r="W600" s="108">
        <f>IF($A600="",0,IF(AND($C600&gt;=Config!$C$7,$C600&lt;=Config!$C$8),1,0))</f>
        <v>1</v>
      </c>
      <c r="X600" s="108">
        <f>IF($A600="",0,IF(COUNTIF(Config!$C$21:$C$23,$H600)&gt;0,1,0))</f>
        <v>0</v>
      </c>
      <c r="Y600" s="108">
        <f t="shared" si="109"/>
        <v>10</v>
      </c>
      <c r="Z600" s="108" t="str">
        <f t="shared" si="110"/>
        <v/>
      </c>
      <c r="AB600" s="108">
        <f t="shared" si="111"/>
        <v>0</v>
      </c>
      <c r="AC600" s="108">
        <f>IF($A600="",0,IF(AND($AB600=1,COUNTIF($A$2:$A600,$A600)=1),1,0))</f>
        <v>0</v>
      </c>
      <c r="AD600" s="108">
        <f t="shared" si="112"/>
        <v>1</v>
      </c>
      <c r="AE600" s="108" t="str">
        <f t="shared" si="113"/>
        <v/>
      </c>
      <c r="AF600" s="108">
        <f t="shared" si="114"/>
        <v>0</v>
      </c>
      <c r="AG600" s="108">
        <f t="shared" si="115"/>
        <v>0</v>
      </c>
      <c r="AH600" s="112" t="str">
        <f t="shared" si="116"/>
        <v>M. Soter|20260901|Title|1.000|Indexed for Parcel 01-0000041.000
 S 19 NE 1/4 T 15 R 5.</v>
      </c>
      <c r="AI600" s="108">
        <f t="shared" si="117"/>
        <v>0</v>
      </c>
      <c r="AJ600" s="108">
        <f t="shared" si="118"/>
        <v>0</v>
      </c>
      <c r="AK600" s="108">
        <f>IF($A600="",0,IF(AND($S600=1,$W600=1,$X600=1,$U600&gt;Config!$C$9),1,0))</f>
        <v>0</v>
      </c>
      <c r="AL600" s="108">
        <f t="shared" si="119"/>
        <v>0</v>
      </c>
    </row>
    <row r="601" spans="1:38" x14ac:dyDescent="0.25">
      <c r="A601" s="106" t="s">
        <v>953</v>
      </c>
      <c r="B601" s="106" t="s">
        <v>618</v>
      </c>
      <c r="C601" s="107">
        <v>46266</v>
      </c>
      <c r="D601" s="106" t="s">
        <v>954</v>
      </c>
      <c r="E601" s="106" t="s">
        <v>955</v>
      </c>
      <c r="F601" s="106" t="s">
        <v>893</v>
      </c>
      <c r="G601" s="106" t="s">
        <v>894</v>
      </c>
      <c r="H601" s="106" t="s">
        <v>656</v>
      </c>
      <c r="I601" s="106"/>
      <c r="J601" s="106"/>
      <c r="K601" s="106">
        <v>1</v>
      </c>
      <c r="L601" s="106">
        <v>0</v>
      </c>
      <c r="M601" s="106">
        <v>0</v>
      </c>
      <c r="N601" s="106"/>
      <c r="O601" s="106"/>
      <c r="P601" s="106">
        <v>0</v>
      </c>
      <c r="Q601" s="106" t="s">
        <v>956</v>
      </c>
      <c r="S601" s="108">
        <f>IF($A601="","",COUNTIF(BPOworkers!$B$6:$B$105,$A601))</f>
        <v>0</v>
      </c>
      <c r="T601" s="109">
        <f>IF($A601="","",$K601*Config!$C$9)</f>
        <v>8</v>
      </c>
      <c r="U601" s="109">
        <f>IF($A601="","",IF(COUNTIF(Config!$C$21:$C$23,$H601)&gt;0,IFERROR(VALUE(LEFT(TRIM($Q601),FIND(" ",TRIM($Q601)&amp;" ")-1)),0),0))</f>
        <v>0</v>
      </c>
      <c r="V601" s="109">
        <f t="shared" si="108"/>
        <v>8</v>
      </c>
      <c r="W601" s="108">
        <f>IF($A601="",0,IF(AND($C601&gt;=Config!$C$7,$C601&lt;=Config!$C$8),1,0))</f>
        <v>1</v>
      </c>
      <c r="X601" s="108">
        <f>IF($A601="",0,IF(COUNTIF(Config!$C$21:$C$23,$H601)&gt;0,1,0))</f>
        <v>0</v>
      </c>
      <c r="Y601" s="108">
        <f t="shared" si="109"/>
        <v>10</v>
      </c>
      <c r="Z601" s="108" t="str">
        <f t="shared" si="110"/>
        <v/>
      </c>
      <c r="AB601" s="108">
        <f t="shared" si="111"/>
        <v>0</v>
      </c>
      <c r="AC601" s="108">
        <f>IF($A601="",0,IF(AND($AB601=1,COUNTIF($A$2:$A601,$A601)=1),1,0))</f>
        <v>0</v>
      </c>
      <c r="AD601" s="108">
        <f t="shared" si="112"/>
        <v>1</v>
      </c>
      <c r="AE601" s="108" t="str">
        <f t="shared" si="113"/>
        <v/>
      </c>
      <c r="AF601" s="108">
        <f t="shared" si="114"/>
        <v>0</v>
      </c>
      <c r="AG601" s="108">
        <f t="shared" si="115"/>
        <v>0</v>
      </c>
      <c r="AH601" s="110" t="str">
        <f t="shared" si="116"/>
        <v>B. Gmutza|20260901|Project Management|1.000|Spreadsheet Review Linking Parcels</v>
      </c>
      <c r="AI601" s="108">
        <f t="shared" si="117"/>
        <v>0</v>
      </c>
      <c r="AJ601" s="108">
        <f t="shared" si="118"/>
        <v>0</v>
      </c>
      <c r="AK601" s="108">
        <f>IF($A601="",0,IF(AND($S601=1,$W601=1,$X601=1,$U601&gt;Config!$C$9),1,0))</f>
        <v>0</v>
      </c>
      <c r="AL601" s="108">
        <f t="shared" si="119"/>
        <v>0</v>
      </c>
    </row>
    <row r="602" spans="1:38" ht="192.75" x14ac:dyDescent="0.25">
      <c r="A602" s="106" t="s">
        <v>689</v>
      </c>
      <c r="B602" s="106" t="s">
        <v>618</v>
      </c>
      <c r="C602" s="107">
        <v>46266</v>
      </c>
      <c r="D602" s="106" t="s">
        <v>720</v>
      </c>
      <c r="E602" s="106" t="s">
        <v>721</v>
      </c>
      <c r="F602" s="106" t="s">
        <v>722</v>
      </c>
      <c r="G602" s="106" t="s">
        <v>725</v>
      </c>
      <c r="H602" s="106" t="s">
        <v>631</v>
      </c>
      <c r="I602" s="106"/>
      <c r="J602" s="106" t="s">
        <v>1388</v>
      </c>
      <c r="K602" s="106">
        <v>1</v>
      </c>
      <c r="L602" s="106">
        <v>0</v>
      </c>
      <c r="M602" s="106">
        <v>0</v>
      </c>
      <c r="N602" s="106"/>
      <c r="O602" s="106"/>
      <c r="P602" s="106">
        <v>0</v>
      </c>
      <c r="Q602" s="111" t="s">
        <v>1389</v>
      </c>
      <c r="S602" s="108">
        <f>IF($A602="","",COUNTIF(BPOworkers!$B$6:$B$105,$A602))</f>
        <v>0</v>
      </c>
      <c r="T602" s="109">
        <f>IF($A602="","",$K602*Config!$C$9)</f>
        <v>8</v>
      </c>
      <c r="U602" s="109">
        <f>IF($A602="","",IF(COUNTIF(Config!$C$21:$C$23,$H602)&gt;0,IFERROR(VALUE(LEFT(TRIM($Q602),FIND(" ",TRIM($Q602)&amp;" ")-1)),0),0))</f>
        <v>0</v>
      </c>
      <c r="V602" s="109">
        <f t="shared" si="108"/>
        <v>8</v>
      </c>
      <c r="W602" s="108">
        <f>IF($A602="",0,IF(AND($C602&gt;=Config!$C$7,$C602&lt;=Config!$C$8),1,0))</f>
        <v>1</v>
      </c>
      <c r="X602" s="108">
        <f>IF($A602="",0,IF(COUNTIF(Config!$C$21:$C$23,$H602)&gt;0,1,0))</f>
        <v>0</v>
      </c>
      <c r="Y602" s="108">
        <f t="shared" si="109"/>
        <v>10</v>
      </c>
      <c r="Z602" s="108" t="str">
        <f t="shared" si="110"/>
        <v/>
      </c>
      <c r="AB602" s="108">
        <f t="shared" si="111"/>
        <v>0</v>
      </c>
      <c r="AC602" s="108">
        <f>IF($A602="",0,IF(AND($AB602=1,COUNTIF($A$2:$A602,$A602)=1),1,0))</f>
        <v>0</v>
      </c>
      <c r="AD602" s="108">
        <f t="shared" si="112"/>
        <v>1</v>
      </c>
      <c r="AE602" s="108" t="str">
        <f t="shared" si="113"/>
        <v/>
      </c>
      <c r="AF602" s="108">
        <f t="shared" si="114"/>
        <v>0</v>
      </c>
      <c r="AG602" s="108">
        <f t="shared" si="115"/>
        <v>0</v>
      </c>
      <c r="AH602" s="112" t="str">
        <f t="shared" si="116"/>
        <v>M. Avery|20260901|Title|1.000|Created AOI/Index Spreadsheet
 Added Source Deed
 Forward Indexed
 Started Reverse Index
 Parties Indexed: 11
 Documents</v>
      </c>
      <c r="AI602" s="108">
        <f t="shared" si="117"/>
        <v>0</v>
      </c>
      <c r="AJ602" s="108">
        <f t="shared" si="118"/>
        <v>0</v>
      </c>
      <c r="AK602" s="108">
        <f>IF($A602="",0,IF(AND($S602=1,$W602=1,$X602=1,$U602&gt;Config!$C$9),1,0))</f>
        <v>0</v>
      </c>
      <c r="AL602" s="108">
        <f t="shared" si="119"/>
        <v>0</v>
      </c>
    </row>
    <row r="603" spans="1:38" ht="132.75" x14ac:dyDescent="0.25">
      <c r="A603" s="106" t="s">
        <v>478</v>
      </c>
      <c r="B603" s="106" t="s">
        <v>618</v>
      </c>
      <c r="C603" s="107">
        <v>46266</v>
      </c>
      <c r="D603" s="106" t="s">
        <v>623</v>
      </c>
      <c r="E603" s="106" t="s">
        <v>624</v>
      </c>
      <c r="F603" s="106" t="s">
        <v>615</v>
      </c>
      <c r="G603" s="106" t="s">
        <v>625</v>
      </c>
      <c r="H603" s="106" t="s">
        <v>691</v>
      </c>
      <c r="I603" s="106"/>
      <c r="J603" s="106" t="s">
        <v>699</v>
      </c>
      <c r="K603" s="106">
        <v>1</v>
      </c>
      <c r="L603" s="106">
        <v>0</v>
      </c>
      <c r="M603" s="106">
        <v>0</v>
      </c>
      <c r="N603" s="106"/>
      <c r="O603" s="106"/>
      <c r="P603" s="106">
        <v>0</v>
      </c>
      <c r="Q603" s="111" t="s">
        <v>1254</v>
      </c>
      <c r="S603" s="108">
        <f>IF($A603="","",COUNTIF(BPOworkers!$B$6:$B$105,$A603))</f>
        <v>1</v>
      </c>
      <c r="T603" s="109">
        <f>IF($A603="","",$K603*Config!$C$9)</f>
        <v>8</v>
      </c>
      <c r="U603" s="109">
        <f>IF($A603="","",IF(COUNTIF(Config!$C$21:$C$23,$H603)&gt;0,IFERROR(VALUE(LEFT(TRIM($Q603),FIND(" ",TRIM($Q603)&amp;" ")-1)),0),0))</f>
        <v>0</v>
      </c>
      <c r="V603" s="109">
        <f t="shared" si="108"/>
        <v>8</v>
      </c>
      <c r="W603" s="108">
        <f>IF($A603="",0,IF(AND($C603&gt;=Config!$C$7,$C603&lt;=Config!$C$8),1,0))</f>
        <v>1</v>
      </c>
      <c r="X603" s="108">
        <f>IF($A603="",0,IF(COUNTIF(Config!$C$21:$C$23,$H603)&gt;0,1,0))</f>
        <v>0</v>
      </c>
      <c r="Y603" s="108">
        <f t="shared" si="109"/>
        <v>10</v>
      </c>
      <c r="Z603" s="108" t="str">
        <f t="shared" si="110"/>
        <v/>
      </c>
      <c r="AB603" s="108">
        <f t="shared" si="111"/>
        <v>0</v>
      </c>
      <c r="AC603" s="108">
        <f>IF($A603="",0,IF(AND($AB603=1,COUNTIF($A$2:$A603,$A603)=1),1,0))</f>
        <v>0</v>
      </c>
      <c r="AD603" s="108">
        <f t="shared" si="112"/>
        <v>1</v>
      </c>
      <c r="AE603" s="108" t="str">
        <f t="shared" si="113"/>
        <v/>
      </c>
      <c r="AF603" s="108">
        <f t="shared" si="114"/>
        <v>0</v>
      </c>
      <c r="AG603" s="108">
        <f t="shared" si="115"/>
        <v>0</v>
      </c>
      <c r="AH603" s="112" t="str">
        <f t="shared" si="116"/>
        <v>L Silva|20260901|BPO Project Management|1.000|New hires onboarding.
 Training planning.</v>
      </c>
      <c r="AI603" s="108">
        <f t="shared" si="117"/>
        <v>0</v>
      </c>
      <c r="AJ603" s="108">
        <f t="shared" si="118"/>
        <v>0</v>
      </c>
      <c r="AK603" s="108">
        <f>IF($A603="",0,IF(AND($S603=1,$W603=1,$X603=1,$U603&gt;Config!$C$9),1,0))</f>
        <v>0</v>
      </c>
      <c r="AL603" s="108">
        <f t="shared" si="119"/>
        <v>0</v>
      </c>
    </row>
    <row r="604" spans="1:38" x14ac:dyDescent="0.25">
      <c r="A604" s="106" t="s">
        <v>127</v>
      </c>
      <c r="B604" s="106" t="s">
        <v>618</v>
      </c>
      <c r="C604" s="107">
        <v>46266</v>
      </c>
      <c r="D604" s="106" t="s">
        <v>694</v>
      </c>
      <c r="E604" s="106" t="s">
        <v>695</v>
      </c>
      <c r="F604" s="106" t="s">
        <v>766</v>
      </c>
      <c r="G604" s="106" t="s">
        <v>1257</v>
      </c>
      <c r="H604" s="106" t="s">
        <v>639</v>
      </c>
      <c r="I604" s="106"/>
      <c r="J604" s="106"/>
      <c r="K604" s="106">
        <v>1</v>
      </c>
      <c r="L604" s="106">
        <v>0</v>
      </c>
      <c r="M604" s="106">
        <v>0</v>
      </c>
      <c r="N604" s="106"/>
      <c r="O604" s="106"/>
      <c r="P604" s="106">
        <v>0</v>
      </c>
      <c r="Q604" s="106" t="s">
        <v>698</v>
      </c>
      <c r="S604" s="108">
        <f>IF($A604="","",COUNTIF(BPOworkers!$B$6:$B$105,$A604))</f>
        <v>1</v>
      </c>
      <c r="T604" s="109">
        <f>IF($A604="","",$K604*Config!$C$9)</f>
        <v>8</v>
      </c>
      <c r="U604" s="109">
        <f>IF($A604="","",IF(COUNTIF(Config!$C$21:$C$23,$H604)&gt;0,IFERROR(VALUE(LEFT(TRIM($Q604),FIND(" ",TRIM($Q604)&amp;" ")-1)),0),0))</f>
        <v>0</v>
      </c>
      <c r="V604" s="109">
        <f t="shared" si="108"/>
        <v>8</v>
      </c>
      <c r="W604" s="108">
        <f>IF($A604="",0,IF(AND($C604&gt;=Config!$C$7,$C604&lt;=Config!$C$8),1,0))</f>
        <v>1</v>
      </c>
      <c r="X604" s="108">
        <f>IF($A604="",0,IF(COUNTIF(Config!$C$21:$C$23,$H604)&gt;0,1,0))</f>
        <v>0</v>
      </c>
      <c r="Y604" s="108">
        <f t="shared" si="109"/>
        <v>10</v>
      </c>
      <c r="Z604" s="108" t="str">
        <f t="shared" si="110"/>
        <v/>
      </c>
      <c r="AB604" s="108">
        <f t="shared" si="111"/>
        <v>0</v>
      </c>
      <c r="AC604" s="108">
        <f>IF($A604="",0,IF(AND($AB604=1,COUNTIF($A$2:$A604,$A604)=1),1,0))</f>
        <v>0</v>
      </c>
      <c r="AD604" s="108">
        <f t="shared" si="112"/>
        <v>1</v>
      </c>
      <c r="AE604" s="108" t="str">
        <f t="shared" si="113"/>
        <v/>
      </c>
      <c r="AF604" s="108">
        <f t="shared" si="114"/>
        <v>0</v>
      </c>
      <c r="AG604" s="108">
        <f t="shared" si="115"/>
        <v>0</v>
      </c>
      <c r="AH604" s="110" t="str">
        <f t="shared" si="116"/>
        <v>S Romero|20260901|Review|1.000|Reviewed subject assignment</v>
      </c>
      <c r="AI604" s="108">
        <f t="shared" si="117"/>
        <v>0</v>
      </c>
      <c r="AJ604" s="108">
        <f t="shared" si="118"/>
        <v>0</v>
      </c>
      <c r="AK604" s="108">
        <f>IF($A604="",0,IF(AND($S604=1,$W604=1,$X604=1,$U604&gt;Config!$C$9),1,0))</f>
        <v>0</v>
      </c>
      <c r="AL604" s="108">
        <f t="shared" si="119"/>
        <v>0</v>
      </c>
    </row>
    <row r="605" spans="1:38" ht="180.75" x14ac:dyDescent="0.25">
      <c r="A605" s="106" t="s">
        <v>123</v>
      </c>
      <c r="B605" s="106" t="s">
        <v>618</v>
      </c>
      <c r="C605" s="107">
        <v>46266</v>
      </c>
      <c r="D605" s="106" t="s">
        <v>628</v>
      </c>
      <c r="E605" s="106" t="s">
        <v>793</v>
      </c>
      <c r="F605" s="106" t="s">
        <v>670</v>
      </c>
      <c r="G605" s="106" t="s">
        <v>1258</v>
      </c>
      <c r="H605" s="106" t="s">
        <v>702</v>
      </c>
      <c r="I605" s="106"/>
      <c r="J605" s="106"/>
      <c r="K605" s="106">
        <v>0.75</v>
      </c>
      <c r="L605" s="106">
        <v>0</v>
      </c>
      <c r="M605" s="106">
        <v>0</v>
      </c>
      <c r="N605" s="106"/>
      <c r="O605" s="106"/>
      <c r="P605" s="106">
        <v>0</v>
      </c>
      <c r="Q605" s="111" t="s">
        <v>1390</v>
      </c>
      <c r="S605" s="108">
        <f>IF($A605="","",COUNTIF(BPOworkers!$B$6:$B$105,$A605))</f>
        <v>1</v>
      </c>
      <c r="T605" s="109">
        <f>IF($A605="","",$K605*Config!$C$9)</f>
        <v>6</v>
      </c>
      <c r="U605" s="109">
        <f>IF($A605="","",IF(COUNTIF(Config!$C$21:$C$23,$H605)&gt;0,IFERROR(VALUE(LEFT(TRIM($Q605),FIND(" ",TRIM($Q605)&amp;" ")-1)),0),0))</f>
        <v>0</v>
      </c>
      <c r="V605" s="109">
        <f t="shared" si="108"/>
        <v>6</v>
      </c>
      <c r="W605" s="108">
        <f>IF($A605="",0,IF(AND($C605&gt;=Config!$C$7,$C605&lt;=Config!$C$8),1,0))</f>
        <v>1</v>
      </c>
      <c r="X605" s="108">
        <f>IF($A605="",0,IF(COUNTIF(Config!$C$21:$C$23,$H605)&gt;0,1,0))</f>
        <v>0</v>
      </c>
      <c r="Y605" s="108">
        <f t="shared" si="109"/>
        <v>10</v>
      </c>
      <c r="Z605" s="108" t="str">
        <f t="shared" si="110"/>
        <v/>
      </c>
      <c r="AB605" s="108">
        <f t="shared" si="111"/>
        <v>0</v>
      </c>
      <c r="AC605" s="108">
        <f>IF($A605="",0,IF(AND($AB605=1,COUNTIF($A$2:$A605,$A605)=1),1,0))</f>
        <v>0</v>
      </c>
      <c r="AD605" s="108">
        <f t="shared" si="112"/>
        <v>1</v>
      </c>
      <c r="AE605" s="108" t="str">
        <f t="shared" si="113"/>
        <v/>
      </c>
      <c r="AF605" s="108">
        <f t="shared" si="114"/>
        <v>0</v>
      </c>
      <c r="AG605" s="108">
        <f t="shared" si="115"/>
        <v>0</v>
      </c>
      <c r="AH605" s="112" t="str">
        <f t="shared" si="116"/>
        <v xml:space="preserve">H Daza|20260901|Data Processing|0.750|Identiying and inputting source documents provided by the client into the project log and each specific AOI in tracts.
 </v>
      </c>
      <c r="AI605" s="108">
        <f t="shared" si="117"/>
        <v>0</v>
      </c>
      <c r="AJ605" s="108">
        <f t="shared" si="118"/>
        <v>0</v>
      </c>
      <c r="AK605" s="108">
        <f>IF($A605="",0,IF(AND($S605=1,$W605=1,$X605=1,$U605&gt;Config!$C$9),1,0))</f>
        <v>0</v>
      </c>
      <c r="AL605" s="108">
        <f t="shared" si="119"/>
        <v>0</v>
      </c>
    </row>
    <row r="606" spans="1:38" x14ac:dyDescent="0.25">
      <c r="A606" s="106" t="s">
        <v>123</v>
      </c>
      <c r="B606" s="106" t="s">
        <v>618</v>
      </c>
      <c r="C606" s="107">
        <v>46266</v>
      </c>
      <c r="D606" s="106" t="s">
        <v>623</v>
      </c>
      <c r="E606" s="106" t="s">
        <v>624</v>
      </c>
      <c r="F606" s="106" t="s">
        <v>615</v>
      </c>
      <c r="G606" s="106" t="s">
        <v>625</v>
      </c>
      <c r="H606" s="106" t="s">
        <v>691</v>
      </c>
      <c r="I606" s="106"/>
      <c r="J606" s="106" t="s">
        <v>691</v>
      </c>
      <c r="K606" s="106">
        <v>0.25</v>
      </c>
      <c r="L606" s="106">
        <v>0</v>
      </c>
      <c r="M606" s="106">
        <v>0</v>
      </c>
      <c r="N606" s="106"/>
      <c r="O606" s="106"/>
      <c r="P606" s="106">
        <v>0</v>
      </c>
      <c r="Q606" s="106" t="s">
        <v>1391</v>
      </c>
      <c r="S606" s="108">
        <f>IF($A606="","",COUNTIF(BPOworkers!$B$6:$B$105,$A606))</f>
        <v>1</v>
      </c>
      <c r="T606" s="109">
        <f>IF($A606="","",$K606*Config!$C$9)</f>
        <v>2</v>
      </c>
      <c r="U606" s="109">
        <f>IF($A606="","",IF(COUNTIF(Config!$C$21:$C$23,$H606)&gt;0,IFERROR(VALUE(LEFT(TRIM($Q606),FIND(" ",TRIM($Q606)&amp;" ")-1)),0),0))</f>
        <v>0</v>
      </c>
      <c r="V606" s="109">
        <f t="shared" si="108"/>
        <v>2</v>
      </c>
      <c r="W606" s="108">
        <f>IF($A606="",0,IF(AND($C606&gt;=Config!$C$7,$C606&lt;=Config!$C$8),1,0))</f>
        <v>1</v>
      </c>
      <c r="X606" s="108">
        <f>IF($A606="",0,IF(COUNTIF(Config!$C$21:$C$23,$H606)&gt;0,1,0))</f>
        <v>0</v>
      </c>
      <c r="Y606" s="108">
        <f t="shared" si="109"/>
        <v>10</v>
      </c>
      <c r="Z606" s="108" t="str">
        <f t="shared" si="110"/>
        <v/>
      </c>
      <c r="AB606" s="108">
        <f t="shared" si="111"/>
        <v>0</v>
      </c>
      <c r="AC606" s="108">
        <f>IF($A606="",0,IF(AND($AB606=1,COUNTIF($A$2:$A606,$A606)=1),1,0))</f>
        <v>0</v>
      </c>
      <c r="AD606" s="108">
        <f t="shared" si="112"/>
        <v>1</v>
      </c>
      <c r="AE606" s="108" t="str">
        <f t="shared" si="113"/>
        <v/>
      </c>
      <c r="AF606" s="108">
        <f t="shared" si="114"/>
        <v>0</v>
      </c>
      <c r="AG606" s="108">
        <f t="shared" si="115"/>
        <v>0</v>
      </c>
      <c r="AH606" s="110" t="str">
        <f t="shared" si="116"/>
        <v>H Daza|20260901|BPO Project Management|0.250|Q&amp;A with new trainees around the first reading chapter 2 of AAPL guide and touching point on many useful concepts</v>
      </c>
      <c r="AI606" s="108">
        <f t="shared" si="117"/>
        <v>0</v>
      </c>
      <c r="AJ606" s="108">
        <f t="shared" si="118"/>
        <v>0</v>
      </c>
      <c r="AK606" s="108">
        <f>IF($A606="",0,IF(AND($S606=1,$W606=1,$X606=1,$U606&gt;Config!$C$9),1,0))</f>
        <v>0</v>
      </c>
      <c r="AL606" s="108">
        <f t="shared" si="119"/>
        <v>0</v>
      </c>
    </row>
    <row r="607" spans="1:38" ht="204.75" x14ac:dyDescent="0.25">
      <c r="A607" s="106" t="s">
        <v>126</v>
      </c>
      <c r="B607" s="106" t="s">
        <v>618</v>
      </c>
      <c r="C607" s="107">
        <v>46266</v>
      </c>
      <c r="D607" s="106" t="s">
        <v>623</v>
      </c>
      <c r="E607" s="106" t="s">
        <v>624</v>
      </c>
      <c r="F607" s="106" t="s">
        <v>615</v>
      </c>
      <c r="G607" s="106" t="s">
        <v>625</v>
      </c>
      <c r="H607" s="106" t="s">
        <v>691</v>
      </c>
      <c r="I607" s="106"/>
      <c r="J607" s="106" t="s">
        <v>691</v>
      </c>
      <c r="K607" s="106">
        <v>0.375</v>
      </c>
      <c r="L607" s="106">
        <v>0</v>
      </c>
      <c r="M607" s="106">
        <v>0</v>
      </c>
      <c r="N607" s="106"/>
      <c r="O607" s="106"/>
      <c r="P607" s="106">
        <v>0</v>
      </c>
      <c r="Q607" s="111" t="s">
        <v>1392</v>
      </c>
      <c r="S607" s="108">
        <f>IF($A607="","",COUNTIF(BPOworkers!$B$6:$B$105,$A607))</f>
        <v>1</v>
      </c>
      <c r="T607" s="109">
        <f>IF($A607="","",$K607*Config!$C$9)</f>
        <v>3</v>
      </c>
      <c r="U607" s="109">
        <f>IF($A607="","",IF(COUNTIF(Config!$C$21:$C$23,$H607)&gt;0,IFERROR(VALUE(LEFT(TRIM($Q607),FIND(" ",TRIM($Q607)&amp;" ")-1)),0),0))</f>
        <v>0</v>
      </c>
      <c r="V607" s="109">
        <f t="shared" si="108"/>
        <v>3</v>
      </c>
      <c r="W607" s="108">
        <f>IF($A607="",0,IF(AND($C607&gt;=Config!$C$7,$C607&lt;=Config!$C$8),1,0))</f>
        <v>1</v>
      </c>
      <c r="X607" s="108">
        <f>IF($A607="",0,IF(COUNTIF(Config!$C$21:$C$23,$H607)&gt;0,1,0))</f>
        <v>0</v>
      </c>
      <c r="Y607" s="108">
        <f t="shared" si="109"/>
        <v>10</v>
      </c>
      <c r="Z607" s="108" t="str">
        <f t="shared" si="110"/>
        <v/>
      </c>
      <c r="AB607" s="108">
        <f t="shared" si="111"/>
        <v>0</v>
      </c>
      <c r="AC607" s="108">
        <f>IF($A607="",0,IF(AND($AB607=1,COUNTIF($A$2:$A607,$A607)=1),1,0))</f>
        <v>0</v>
      </c>
      <c r="AD607" s="108">
        <f t="shared" si="112"/>
        <v>1</v>
      </c>
      <c r="AE607" s="108" t="str">
        <f t="shared" si="113"/>
        <v/>
      </c>
      <c r="AF607" s="108">
        <f t="shared" si="114"/>
        <v>0</v>
      </c>
      <c r="AG607" s="108">
        <f t="shared" si="115"/>
        <v>0</v>
      </c>
      <c r="AH607" s="112" t="str">
        <f t="shared" si="116"/>
        <v>R Sanchez|20260901|BPO Project Management|0.375|TL BPO Meeting
 1:1 with Monica
 Q&amp;A with new trainees around the first reading chapter 2 of AAPL guide and touching poi</v>
      </c>
      <c r="AI607" s="108">
        <f t="shared" si="117"/>
        <v>0</v>
      </c>
      <c r="AJ607" s="108">
        <f t="shared" si="118"/>
        <v>0</v>
      </c>
      <c r="AK607" s="108">
        <f>IF($A607="",0,IF(AND($S607=1,$W607=1,$X607=1,$U607&gt;Config!$C$9),1,0))</f>
        <v>0</v>
      </c>
      <c r="AL607" s="108">
        <f t="shared" si="119"/>
        <v>0</v>
      </c>
    </row>
    <row r="608" spans="1:38" ht="180.75" x14ac:dyDescent="0.25">
      <c r="A608" s="106" t="s">
        <v>126</v>
      </c>
      <c r="B608" s="106" t="s">
        <v>618</v>
      </c>
      <c r="C608" s="107">
        <v>46266</v>
      </c>
      <c r="D608" s="106" t="s">
        <v>628</v>
      </c>
      <c r="E608" s="106" t="s">
        <v>793</v>
      </c>
      <c r="F608" s="106" t="s">
        <v>670</v>
      </c>
      <c r="G608" s="106" t="s">
        <v>1258</v>
      </c>
      <c r="H608" s="106" t="s">
        <v>702</v>
      </c>
      <c r="I608" s="106"/>
      <c r="J608" s="106"/>
      <c r="K608" s="106">
        <v>0.625</v>
      </c>
      <c r="L608" s="106">
        <v>0</v>
      </c>
      <c r="M608" s="106">
        <v>0</v>
      </c>
      <c r="N608" s="106"/>
      <c r="O608" s="106"/>
      <c r="P608" s="106">
        <v>0</v>
      </c>
      <c r="Q608" s="111" t="s">
        <v>1390</v>
      </c>
      <c r="S608" s="108">
        <f>IF($A608="","",COUNTIF(BPOworkers!$B$6:$B$105,$A608))</f>
        <v>1</v>
      </c>
      <c r="T608" s="109">
        <f>IF($A608="","",$K608*Config!$C$9)</f>
        <v>5</v>
      </c>
      <c r="U608" s="109">
        <f>IF($A608="","",IF(COUNTIF(Config!$C$21:$C$23,$H608)&gt;0,IFERROR(VALUE(LEFT(TRIM($Q608),FIND(" ",TRIM($Q608)&amp;" ")-1)),0),0))</f>
        <v>0</v>
      </c>
      <c r="V608" s="109">
        <f t="shared" si="108"/>
        <v>5</v>
      </c>
      <c r="W608" s="108">
        <f>IF($A608="",0,IF(AND($C608&gt;=Config!$C$7,$C608&lt;=Config!$C$8),1,0))</f>
        <v>1</v>
      </c>
      <c r="X608" s="108">
        <f>IF($A608="",0,IF(COUNTIF(Config!$C$21:$C$23,$H608)&gt;0,1,0))</f>
        <v>0</v>
      </c>
      <c r="Y608" s="108">
        <f t="shared" si="109"/>
        <v>10</v>
      </c>
      <c r="Z608" s="108" t="str">
        <f t="shared" si="110"/>
        <v/>
      </c>
      <c r="AB608" s="108">
        <f t="shared" si="111"/>
        <v>0</v>
      </c>
      <c r="AC608" s="108">
        <f>IF($A608="",0,IF(AND($AB608=1,COUNTIF($A$2:$A608,$A608)=1),1,0))</f>
        <v>0</v>
      </c>
      <c r="AD608" s="108">
        <f t="shared" si="112"/>
        <v>1</v>
      </c>
      <c r="AE608" s="108" t="str">
        <f t="shared" si="113"/>
        <v/>
      </c>
      <c r="AF608" s="108">
        <f t="shared" si="114"/>
        <v>0</v>
      </c>
      <c r="AG608" s="108">
        <f t="shared" si="115"/>
        <v>0</v>
      </c>
      <c r="AH608" s="112" t="str">
        <f t="shared" si="116"/>
        <v xml:space="preserve">R Sanchez|20260901|Data Processing|0.625|Identiying and inputting source documents provided by the client into the project log and each specific AOI in tracts.
 </v>
      </c>
      <c r="AI608" s="108">
        <f t="shared" si="117"/>
        <v>0</v>
      </c>
      <c r="AJ608" s="108">
        <f t="shared" si="118"/>
        <v>0</v>
      </c>
      <c r="AK608" s="108">
        <f>IF($A608="",0,IF(AND($S608=1,$W608=1,$X608=1,$U608&gt;Config!$C$9),1,0))</f>
        <v>0</v>
      </c>
      <c r="AL608" s="108">
        <f t="shared" si="119"/>
        <v>0</v>
      </c>
    </row>
    <row r="609" spans="1:38" x14ac:dyDescent="0.25">
      <c r="A609" s="106" t="s">
        <v>122</v>
      </c>
      <c r="B609" s="106" t="s">
        <v>618</v>
      </c>
      <c r="C609" s="107">
        <v>46266</v>
      </c>
      <c r="D609" s="106" t="s">
        <v>694</v>
      </c>
      <c r="E609" s="106" t="s">
        <v>709</v>
      </c>
      <c r="F609" s="106" t="s">
        <v>615</v>
      </c>
      <c r="G609" s="106"/>
      <c r="H609" s="106" t="s">
        <v>709</v>
      </c>
      <c r="I609" s="106"/>
      <c r="J609" s="106" t="s">
        <v>710</v>
      </c>
      <c r="K609" s="106">
        <v>1</v>
      </c>
      <c r="L609" s="106">
        <v>0</v>
      </c>
      <c r="M609" s="106">
        <v>0</v>
      </c>
      <c r="N609" s="106"/>
      <c r="O609" s="106"/>
      <c r="P609" s="106">
        <v>0</v>
      </c>
      <c r="Q609" s="106" t="s">
        <v>711</v>
      </c>
      <c r="S609" s="108">
        <f>IF($A609="","",COUNTIF(BPOworkers!$B$6:$B$105,$A609))</f>
        <v>1</v>
      </c>
      <c r="T609" s="109">
        <f>IF($A609="","",$K609*Config!$C$9)</f>
        <v>8</v>
      </c>
      <c r="U609" s="109">
        <f>IF($A609="","",IF(COUNTIF(Config!$C$21:$C$23,$H609)&gt;0,IFERROR(VALUE(LEFT(TRIM($Q609),FIND(" ",TRIM($Q609)&amp;" ")-1)),0),0))</f>
        <v>0</v>
      </c>
      <c r="V609" s="109">
        <f t="shared" si="108"/>
        <v>8</v>
      </c>
      <c r="W609" s="108">
        <f>IF($A609="",0,IF(AND($C609&gt;=Config!$C$7,$C609&lt;=Config!$C$8),1,0))</f>
        <v>1</v>
      </c>
      <c r="X609" s="108">
        <f>IF($A609="",0,IF(COUNTIF(Config!$C$21:$C$23,$H609)&gt;0,1,0))</f>
        <v>0</v>
      </c>
      <c r="Y609" s="108">
        <f t="shared" si="109"/>
        <v>10</v>
      </c>
      <c r="Z609" s="108" t="str">
        <f t="shared" si="110"/>
        <v/>
      </c>
      <c r="AB609" s="108">
        <f t="shared" si="111"/>
        <v>0</v>
      </c>
      <c r="AC609" s="108">
        <f>IF($A609="",0,IF(AND($AB609=1,COUNTIF($A$2:$A609,$A609)=1),1,0))</f>
        <v>0</v>
      </c>
      <c r="AD609" s="108">
        <f t="shared" si="112"/>
        <v>1</v>
      </c>
      <c r="AE609" s="108" t="str">
        <f t="shared" si="113"/>
        <v/>
      </c>
      <c r="AF609" s="108">
        <f t="shared" si="114"/>
        <v>0</v>
      </c>
      <c r="AG609" s="108">
        <f t="shared" si="115"/>
        <v>0</v>
      </c>
      <c r="AH609" s="110" t="str">
        <f t="shared" si="116"/>
        <v>A Lorenzo|20260901|Land Admin|1.000|Data reconciliation</v>
      </c>
      <c r="AI609" s="108">
        <f t="shared" si="117"/>
        <v>0</v>
      </c>
      <c r="AJ609" s="108">
        <f t="shared" si="118"/>
        <v>0</v>
      </c>
      <c r="AK609" s="108">
        <f>IF($A609="",0,IF(AND($S609=1,$W609=1,$X609=1,$U609&gt;Config!$C$9),1,0))</f>
        <v>0</v>
      </c>
      <c r="AL609" s="108">
        <f t="shared" si="119"/>
        <v>0</v>
      </c>
    </row>
    <row r="610" spans="1:38" x14ac:dyDescent="0.25">
      <c r="A610" s="106" t="s">
        <v>120</v>
      </c>
      <c r="B610" s="106" t="s">
        <v>618</v>
      </c>
      <c r="C610" s="107">
        <v>46266</v>
      </c>
      <c r="D610" s="106" t="s">
        <v>529</v>
      </c>
      <c r="E610" s="106" t="s">
        <v>529</v>
      </c>
      <c r="F610" s="106" t="s">
        <v>615</v>
      </c>
      <c r="G610" s="106"/>
      <c r="H610" s="106" t="s">
        <v>529</v>
      </c>
      <c r="I610" s="106"/>
      <c r="J610" s="106" t="s">
        <v>727</v>
      </c>
      <c r="K610" s="106">
        <v>0</v>
      </c>
      <c r="L610" s="106">
        <v>0</v>
      </c>
      <c r="M610" s="106">
        <v>0</v>
      </c>
      <c r="N610" s="106"/>
      <c r="O610" s="106"/>
      <c r="P610" s="106">
        <v>0</v>
      </c>
      <c r="Q610" s="106" t="s">
        <v>633</v>
      </c>
      <c r="S610" s="108">
        <f>IF($A610="","",COUNTIF(BPOworkers!$B$6:$B$105,$A610))</f>
        <v>1</v>
      </c>
      <c r="T610" s="109">
        <f>IF($A610="","",$K610*Config!$C$9)</f>
        <v>0</v>
      </c>
      <c r="U610" s="109">
        <f>IF($A610="","",IF(COUNTIF(Config!$C$21:$C$23,$H610)&gt;0,IFERROR(VALUE(LEFT(TRIM($Q610),FIND(" ",TRIM($Q610)&amp;" ")-1)),0),0))</f>
        <v>4</v>
      </c>
      <c r="V610" s="109">
        <f t="shared" si="108"/>
        <v>4</v>
      </c>
      <c r="W610" s="108">
        <f>IF($A610="",0,IF(AND($C610&gt;=Config!$C$7,$C610&lt;=Config!$C$8),1,0))</f>
        <v>1</v>
      </c>
      <c r="X610" s="108">
        <f>IF($A610="",0,IF(COUNTIF(Config!$C$21:$C$23,$H610)&gt;0,1,0))</f>
        <v>1</v>
      </c>
      <c r="Y610" s="108">
        <f t="shared" si="109"/>
        <v>11</v>
      </c>
      <c r="Z610" s="108">
        <f t="shared" si="110"/>
        <v>11</v>
      </c>
      <c r="AB610" s="108">
        <f t="shared" si="111"/>
        <v>0</v>
      </c>
      <c r="AC610" s="108">
        <f>IF($A610="",0,IF(AND($AB610=1,COUNTIF($A$2:$A610,$A610)=1),1,0))</f>
        <v>0</v>
      </c>
      <c r="AD610" s="108">
        <f t="shared" si="112"/>
        <v>1</v>
      </c>
      <c r="AE610" s="108" t="str">
        <f t="shared" si="113"/>
        <v/>
      </c>
      <c r="AF610" s="108">
        <f t="shared" si="114"/>
        <v>0</v>
      </c>
      <c r="AG610" s="108">
        <f t="shared" si="115"/>
        <v>0</v>
      </c>
      <c r="AH610" s="110" t="str">
        <f t="shared" si="116"/>
        <v>A Camargo|20260901|Time Off|0.000|4 hours not billed.</v>
      </c>
      <c r="AI610" s="108">
        <f t="shared" si="117"/>
        <v>0</v>
      </c>
      <c r="AJ610" s="108">
        <f t="shared" si="118"/>
        <v>0</v>
      </c>
      <c r="AK610" s="108">
        <f>IF($A610="",0,IF(AND($S610=1,$W610=1,$X610=1,$U610&gt;Config!$C$9),1,0))</f>
        <v>0</v>
      </c>
      <c r="AL610" s="108">
        <f t="shared" si="119"/>
        <v>0</v>
      </c>
    </row>
    <row r="611" spans="1:38" x14ac:dyDescent="0.25">
      <c r="A611" s="106" t="s">
        <v>120</v>
      </c>
      <c r="B611" s="106" t="s">
        <v>618</v>
      </c>
      <c r="C611" s="107">
        <v>46266</v>
      </c>
      <c r="D611" s="106" t="s">
        <v>712</v>
      </c>
      <c r="E611" s="106" t="s">
        <v>713</v>
      </c>
      <c r="F611" s="106" t="s">
        <v>714</v>
      </c>
      <c r="G611" s="106" t="s">
        <v>1122</v>
      </c>
      <c r="H611" s="106" t="s">
        <v>639</v>
      </c>
      <c r="I611" s="106"/>
      <c r="J611" s="106"/>
      <c r="K611" s="106">
        <v>0.5</v>
      </c>
      <c r="L611" s="106">
        <v>0</v>
      </c>
      <c r="M611" s="106">
        <v>0</v>
      </c>
      <c r="N611" s="106"/>
      <c r="O611" s="106"/>
      <c r="P611" s="106">
        <v>0</v>
      </c>
      <c r="Q611" s="106" t="s">
        <v>1124</v>
      </c>
      <c r="S611" s="108">
        <f>IF($A611="","",COUNTIF(BPOworkers!$B$6:$B$105,$A611))</f>
        <v>1</v>
      </c>
      <c r="T611" s="109">
        <f>IF($A611="","",$K611*Config!$C$9)</f>
        <v>4</v>
      </c>
      <c r="U611" s="109">
        <f>IF($A611="","",IF(COUNTIF(Config!$C$21:$C$23,$H611)&gt;0,IFERROR(VALUE(LEFT(TRIM($Q611),FIND(" ",TRIM($Q611)&amp;" ")-1)),0),0))</f>
        <v>0</v>
      </c>
      <c r="V611" s="109">
        <f t="shared" si="108"/>
        <v>4</v>
      </c>
      <c r="W611" s="108">
        <f>IF($A611="",0,IF(AND($C611&gt;=Config!$C$7,$C611&lt;=Config!$C$8),1,0))</f>
        <v>1</v>
      </c>
      <c r="X611" s="108">
        <f>IF($A611="",0,IF(COUNTIF(Config!$C$21:$C$23,$H611)&gt;0,1,0))</f>
        <v>0</v>
      </c>
      <c r="Y611" s="108">
        <f t="shared" si="109"/>
        <v>11</v>
      </c>
      <c r="Z611" s="108" t="str">
        <f t="shared" si="110"/>
        <v/>
      </c>
      <c r="AB611" s="108">
        <f t="shared" si="111"/>
        <v>0</v>
      </c>
      <c r="AC611" s="108">
        <f>IF($A611="",0,IF(AND($AB611=1,COUNTIF($A$2:$A611,$A611)=1),1,0))</f>
        <v>0</v>
      </c>
      <c r="AD611" s="108">
        <f t="shared" si="112"/>
        <v>1</v>
      </c>
      <c r="AE611" s="108" t="str">
        <f t="shared" si="113"/>
        <v/>
      </c>
      <c r="AF611" s="108">
        <f t="shared" si="114"/>
        <v>0</v>
      </c>
      <c r="AG611" s="108">
        <f t="shared" si="115"/>
        <v>0</v>
      </c>
      <c r="AH611" s="110" t="str">
        <f t="shared" si="116"/>
        <v>A Camargo|20260901|Review|0.500|Worked on the review of the AOI</v>
      </c>
      <c r="AI611" s="108">
        <f t="shared" si="117"/>
        <v>0</v>
      </c>
      <c r="AJ611" s="108">
        <f t="shared" si="118"/>
        <v>0</v>
      </c>
      <c r="AK611" s="108">
        <f>IF($A611="",0,IF(AND($S611=1,$W611=1,$X611=1,$U611&gt;Config!$C$9),1,0))</f>
        <v>0</v>
      </c>
      <c r="AL611" s="108">
        <f t="shared" si="119"/>
        <v>0</v>
      </c>
    </row>
    <row r="612" spans="1:38" x14ac:dyDescent="0.25">
      <c r="A612" s="106" t="s">
        <v>718</v>
      </c>
      <c r="B612" s="106" t="s">
        <v>618</v>
      </c>
      <c r="C612" s="107">
        <v>46266</v>
      </c>
      <c r="D612" s="106" t="s">
        <v>694</v>
      </c>
      <c r="E612" s="106" t="s">
        <v>862</v>
      </c>
      <c r="F612" s="106" t="s">
        <v>766</v>
      </c>
      <c r="G612" s="106" t="s">
        <v>1393</v>
      </c>
      <c r="H612" s="106" t="s">
        <v>639</v>
      </c>
      <c r="I612" s="106"/>
      <c r="J612" s="106"/>
      <c r="K612" s="106">
        <v>0.25</v>
      </c>
      <c r="L612" s="106">
        <v>0</v>
      </c>
      <c r="M612" s="106">
        <v>0</v>
      </c>
      <c r="N612" s="106"/>
      <c r="O612" s="106"/>
      <c r="P612" s="106">
        <v>0</v>
      </c>
      <c r="Q612" s="106" t="s">
        <v>1394</v>
      </c>
      <c r="S612" s="108">
        <f>IF($A612="","",COUNTIF(BPOworkers!$B$6:$B$105,$A612))</f>
        <v>0</v>
      </c>
      <c r="T612" s="109">
        <f>IF($A612="","",$K612*Config!$C$9)</f>
        <v>2</v>
      </c>
      <c r="U612" s="109">
        <f>IF($A612="","",IF(COUNTIF(Config!$C$21:$C$23,$H612)&gt;0,IFERROR(VALUE(LEFT(TRIM($Q612),FIND(" ",TRIM($Q612)&amp;" ")-1)),0),0))</f>
        <v>0</v>
      </c>
      <c r="V612" s="109">
        <f t="shared" si="108"/>
        <v>2</v>
      </c>
      <c r="W612" s="108">
        <f>IF($A612="",0,IF(AND($C612&gt;=Config!$C$7,$C612&lt;=Config!$C$8),1,0))</f>
        <v>1</v>
      </c>
      <c r="X612" s="108">
        <f>IF($A612="",0,IF(COUNTIF(Config!$C$21:$C$23,$H612)&gt;0,1,0))</f>
        <v>0</v>
      </c>
      <c r="Y612" s="108">
        <f t="shared" si="109"/>
        <v>11</v>
      </c>
      <c r="Z612" s="108" t="str">
        <f t="shared" si="110"/>
        <v/>
      </c>
      <c r="AB612" s="108">
        <f t="shared" si="111"/>
        <v>0</v>
      </c>
      <c r="AC612" s="108">
        <f>IF($A612="",0,IF(AND($AB612=1,COUNTIF($A$2:$A612,$A612)=1),1,0))</f>
        <v>0</v>
      </c>
      <c r="AD612" s="108">
        <f t="shared" si="112"/>
        <v>1</v>
      </c>
      <c r="AE612" s="108" t="str">
        <f t="shared" si="113"/>
        <v/>
      </c>
      <c r="AF612" s="108">
        <f t="shared" si="114"/>
        <v>0</v>
      </c>
      <c r="AG612" s="108">
        <f t="shared" si="115"/>
        <v>0</v>
      </c>
      <c r="AH612" s="110" t="str">
        <f t="shared" si="116"/>
        <v>B. Lukes|20260901|Review|0.250|Review AOI, searching Grantor/Grantee for gaps in COT.</v>
      </c>
      <c r="AI612" s="108">
        <f t="shared" si="117"/>
        <v>0</v>
      </c>
      <c r="AJ612" s="108">
        <f t="shared" si="118"/>
        <v>0</v>
      </c>
      <c r="AK612" s="108">
        <f>IF($A612="",0,IF(AND($S612=1,$W612=1,$X612=1,$U612&gt;Config!$C$9),1,0))</f>
        <v>0</v>
      </c>
      <c r="AL612" s="108">
        <f t="shared" si="119"/>
        <v>0</v>
      </c>
    </row>
    <row r="613" spans="1:38" x14ac:dyDescent="0.25">
      <c r="A613" s="106" t="s">
        <v>718</v>
      </c>
      <c r="B613" s="106" t="s">
        <v>618</v>
      </c>
      <c r="C613" s="107">
        <v>46266</v>
      </c>
      <c r="D613" s="106" t="s">
        <v>694</v>
      </c>
      <c r="E613" s="106" t="s">
        <v>765</v>
      </c>
      <c r="F613" s="106" t="s">
        <v>766</v>
      </c>
      <c r="G613" s="106" t="s">
        <v>1267</v>
      </c>
      <c r="H613" s="106" t="s">
        <v>639</v>
      </c>
      <c r="I613" s="106"/>
      <c r="J613" s="106"/>
      <c r="K613" s="106">
        <v>0.75</v>
      </c>
      <c r="L613" s="106">
        <v>0</v>
      </c>
      <c r="M613" s="106">
        <v>0</v>
      </c>
      <c r="N613" s="106"/>
      <c r="O613" s="106"/>
      <c r="P613" s="106">
        <v>0</v>
      </c>
      <c r="Q613" s="106" t="s">
        <v>1395</v>
      </c>
      <c r="S613" s="108">
        <f>IF($A613="","",COUNTIF(BPOworkers!$B$6:$B$105,$A613))</f>
        <v>0</v>
      </c>
      <c r="T613" s="109">
        <f>IF($A613="","",$K613*Config!$C$9)</f>
        <v>6</v>
      </c>
      <c r="U613" s="109">
        <f>IF($A613="","",IF(COUNTIF(Config!$C$21:$C$23,$H613)&gt;0,IFERROR(VALUE(LEFT(TRIM($Q613),FIND(" ",TRIM($Q613)&amp;" ")-1)),0),0))</f>
        <v>0</v>
      </c>
      <c r="V613" s="109">
        <f t="shared" si="108"/>
        <v>6</v>
      </c>
      <c r="W613" s="108">
        <f>IF($A613="",0,IF(AND($C613&gt;=Config!$C$7,$C613&lt;=Config!$C$8),1,0))</f>
        <v>1</v>
      </c>
      <c r="X613" s="108">
        <f>IF($A613="",0,IF(COUNTIF(Config!$C$21:$C$23,$H613)&gt;0,1,0))</f>
        <v>0</v>
      </c>
      <c r="Y613" s="108">
        <f t="shared" si="109"/>
        <v>11</v>
      </c>
      <c r="Z613" s="108" t="str">
        <f t="shared" si="110"/>
        <v/>
      </c>
      <c r="AB613" s="108">
        <f t="shared" si="111"/>
        <v>0</v>
      </c>
      <c r="AC613" s="108">
        <f>IF($A613="",0,IF(AND($AB613=1,COUNTIF($A$2:$A613,$A613)=1),1,0))</f>
        <v>0</v>
      </c>
      <c r="AD613" s="108">
        <f t="shared" si="112"/>
        <v>1</v>
      </c>
      <c r="AE613" s="108" t="str">
        <f t="shared" si="113"/>
        <v/>
      </c>
      <c r="AF613" s="108">
        <f t="shared" si="114"/>
        <v>0</v>
      </c>
      <c r="AG613" s="108">
        <f t="shared" si="115"/>
        <v>0</v>
      </c>
      <c r="AH613" s="110" t="str">
        <f t="shared" si="116"/>
        <v>B. Lukes|20260901|Review|0.750|Review AOI. Adding documents to AOI to bring leases froward from 1963.</v>
      </c>
      <c r="AI613" s="108">
        <f t="shared" si="117"/>
        <v>0</v>
      </c>
      <c r="AJ613" s="108">
        <f t="shared" si="118"/>
        <v>0</v>
      </c>
      <c r="AK613" s="108">
        <f>IF($A613="",0,IF(AND($S613=1,$W613=1,$X613=1,$U613&gt;Config!$C$9),1,0))</f>
        <v>0</v>
      </c>
      <c r="AL613" s="108">
        <f t="shared" si="119"/>
        <v>0</v>
      </c>
    </row>
    <row r="614" spans="1:38" ht="132.75" x14ac:dyDescent="0.25">
      <c r="A614" s="106" t="s">
        <v>125</v>
      </c>
      <c r="B614" s="106" t="s">
        <v>618</v>
      </c>
      <c r="C614" s="107">
        <v>46266</v>
      </c>
      <c r="D614" s="106" t="s">
        <v>623</v>
      </c>
      <c r="E614" s="106" t="s">
        <v>624</v>
      </c>
      <c r="F614" s="106" t="s">
        <v>615</v>
      </c>
      <c r="G614" s="106" t="s">
        <v>625</v>
      </c>
      <c r="H614" s="106" t="s">
        <v>671</v>
      </c>
      <c r="I614" s="106" t="s">
        <v>657</v>
      </c>
      <c r="J614" s="106"/>
      <c r="K614" s="106">
        <v>0.125</v>
      </c>
      <c r="L614" s="106">
        <v>0</v>
      </c>
      <c r="M614" s="106">
        <v>0</v>
      </c>
      <c r="N614" s="106"/>
      <c r="O614" s="106"/>
      <c r="P614" s="106">
        <v>0</v>
      </c>
      <c r="Q614" s="111" t="s">
        <v>1396</v>
      </c>
      <c r="S614" s="108">
        <f>IF($A614="","",COUNTIF(BPOworkers!$B$6:$B$105,$A614))</f>
        <v>1</v>
      </c>
      <c r="T614" s="109">
        <f>IF($A614="","",$K614*Config!$C$9)</f>
        <v>1</v>
      </c>
      <c r="U614" s="109">
        <f>IF($A614="","",IF(COUNTIF(Config!$C$21:$C$23,$H614)&gt;0,IFERROR(VALUE(LEFT(TRIM($Q614),FIND(" ",TRIM($Q614)&amp;" ")-1)),0),0))</f>
        <v>0</v>
      </c>
      <c r="V614" s="109">
        <f t="shared" si="108"/>
        <v>1</v>
      </c>
      <c r="W614" s="108">
        <f>IF($A614="",0,IF(AND($C614&gt;=Config!$C$7,$C614&lt;=Config!$C$8),1,0))</f>
        <v>1</v>
      </c>
      <c r="X614" s="108">
        <f>IF($A614="",0,IF(COUNTIF(Config!$C$21:$C$23,$H614)&gt;0,1,0))</f>
        <v>0</v>
      </c>
      <c r="Y614" s="108">
        <f t="shared" si="109"/>
        <v>11</v>
      </c>
      <c r="Z614" s="108" t="str">
        <f t="shared" si="110"/>
        <v/>
      </c>
      <c r="AB614" s="108">
        <f t="shared" si="111"/>
        <v>0</v>
      </c>
      <c r="AC614" s="108">
        <f>IF($A614="",0,IF(AND($AB614=1,COUNTIF($A$2:$A614,$A614)=1),1,0))</f>
        <v>0</v>
      </c>
      <c r="AD614" s="108">
        <f t="shared" si="112"/>
        <v>1</v>
      </c>
      <c r="AE614" s="108" t="str">
        <f t="shared" si="113"/>
        <v/>
      </c>
      <c r="AF614" s="108">
        <f t="shared" si="114"/>
        <v>0</v>
      </c>
      <c r="AG614" s="108">
        <f t="shared" si="115"/>
        <v>0</v>
      </c>
      <c r="AH614" s="112" t="str">
        <f t="shared" si="116"/>
        <v>M Leon|20260901|TitleNotes - Library|0.125|5 documents
 5 transactions
 Enrolled in Energy Miami project at 8 am</v>
      </c>
      <c r="AI614" s="108">
        <f t="shared" si="117"/>
        <v>0</v>
      </c>
      <c r="AJ614" s="108">
        <f t="shared" si="118"/>
        <v>0</v>
      </c>
      <c r="AK614" s="108">
        <f>IF($A614="",0,IF(AND($S614=1,$W614=1,$X614=1,$U614&gt;Config!$C$9),1,0))</f>
        <v>0</v>
      </c>
      <c r="AL614" s="108">
        <f t="shared" si="119"/>
        <v>0</v>
      </c>
    </row>
    <row r="615" spans="1:38" ht="168.75" x14ac:dyDescent="0.25">
      <c r="A615" s="106" t="s">
        <v>125</v>
      </c>
      <c r="B615" s="106" t="s">
        <v>618</v>
      </c>
      <c r="C615" s="107">
        <v>46266</v>
      </c>
      <c r="D615" s="106" t="s">
        <v>720</v>
      </c>
      <c r="E615" s="106" t="s">
        <v>721</v>
      </c>
      <c r="F615" s="106" t="s">
        <v>722</v>
      </c>
      <c r="G615" s="106" t="s">
        <v>1126</v>
      </c>
      <c r="H615" s="106" t="s">
        <v>631</v>
      </c>
      <c r="I615" s="106"/>
      <c r="J615" s="106" t="s">
        <v>1127</v>
      </c>
      <c r="K615" s="106">
        <v>0.875</v>
      </c>
      <c r="L615" s="106">
        <v>0</v>
      </c>
      <c r="M615" s="106">
        <v>0</v>
      </c>
      <c r="N615" s="106"/>
      <c r="O615" s="106"/>
      <c r="P615" s="106">
        <v>0</v>
      </c>
      <c r="Q615" s="111" t="s">
        <v>1397</v>
      </c>
      <c r="S615" s="108">
        <f>IF($A615="","",COUNTIF(BPOworkers!$B$6:$B$105,$A615))</f>
        <v>1</v>
      </c>
      <c r="T615" s="109">
        <f>IF($A615="","",$K615*Config!$C$9)</f>
        <v>7</v>
      </c>
      <c r="U615" s="109">
        <f>IF($A615="","",IF(COUNTIF(Config!$C$21:$C$23,$H615)&gt;0,IFERROR(VALUE(LEFT(TRIM($Q615),FIND(" ",TRIM($Q615)&amp;" ")-1)),0),0))</f>
        <v>0</v>
      </c>
      <c r="V615" s="109">
        <f t="shared" si="108"/>
        <v>7</v>
      </c>
      <c r="W615" s="108">
        <f>IF($A615="",0,IF(AND($C615&gt;=Config!$C$7,$C615&lt;=Config!$C$8),1,0))</f>
        <v>1</v>
      </c>
      <c r="X615" s="108">
        <f>IF($A615="",0,IF(COUNTIF(Config!$C$21:$C$23,$H615)&gt;0,1,0))</f>
        <v>0</v>
      </c>
      <c r="Y615" s="108">
        <f t="shared" si="109"/>
        <v>11</v>
      </c>
      <c r="Z615" s="108" t="str">
        <f t="shared" si="110"/>
        <v/>
      </c>
      <c r="AB615" s="108">
        <f t="shared" si="111"/>
        <v>0</v>
      </c>
      <c r="AC615" s="108">
        <f>IF($A615="",0,IF(AND($AB615=1,COUNTIF($A$2:$A615,$A615)=1),1,0))</f>
        <v>0</v>
      </c>
      <c r="AD615" s="108">
        <f t="shared" si="112"/>
        <v>1</v>
      </c>
      <c r="AE615" s="108" t="str">
        <f t="shared" si="113"/>
        <v/>
      </c>
      <c r="AF615" s="108">
        <f t="shared" si="114"/>
        <v>0</v>
      </c>
      <c r="AG615" s="108">
        <f t="shared" si="115"/>
        <v>0</v>
      </c>
      <c r="AH615" s="112" t="str">
        <f t="shared" si="116"/>
        <v>M Leon|20260901|Title|0.875|Created AOI
 . Created indexing spreadsheet
 Added source deed
 - Indexed to the present from source deed
 Started index</v>
      </c>
      <c r="AI615" s="108">
        <f t="shared" si="117"/>
        <v>0</v>
      </c>
      <c r="AJ615" s="108">
        <f t="shared" si="118"/>
        <v>0</v>
      </c>
      <c r="AK615" s="108">
        <f>IF($A615="",0,IF(AND($S615=1,$W615=1,$X615=1,$U615&gt;Config!$C$9),1,0))</f>
        <v>0</v>
      </c>
      <c r="AL615" s="108">
        <f t="shared" si="119"/>
        <v>0</v>
      </c>
    </row>
    <row r="616" spans="1:38" x14ac:dyDescent="0.25">
      <c r="A616" s="106" t="s">
        <v>468</v>
      </c>
      <c r="B616" s="106" t="s">
        <v>618</v>
      </c>
      <c r="C616" s="107">
        <v>46266</v>
      </c>
      <c r="D616" s="106" t="s">
        <v>529</v>
      </c>
      <c r="E616" s="106" t="s">
        <v>529</v>
      </c>
      <c r="F616" s="106" t="s">
        <v>615</v>
      </c>
      <c r="G616" s="106"/>
      <c r="H616" s="106" t="s">
        <v>529</v>
      </c>
      <c r="I616" s="106"/>
      <c r="J616" s="106" t="s">
        <v>727</v>
      </c>
      <c r="K616" s="106">
        <v>0</v>
      </c>
      <c r="L616" s="106">
        <v>0</v>
      </c>
      <c r="M616" s="106">
        <v>0</v>
      </c>
      <c r="N616" s="106"/>
      <c r="O616" s="106"/>
      <c r="P616" s="106">
        <v>0</v>
      </c>
      <c r="Q616" s="106" t="s">
        <v>1398</v>
      </c>
      <c r="S616" s="108">
        <f>IF($A616="","",COUNTIF(BPOworkers!$B$6:$B$105,$A616))</f>
        <v>1</v>
      </c>
      <c r="T616" s="109">
        <f>IF($A616="","",$K616*Config!$C$9)</f>
        <v>0</v>
      </c>
      <c r="U616" s="109">
        <f>IF($A616="","",IF(COUNTIF(Config!$C$21:$C$23,$H616)&gt;0,IFERROR(VALUE(LEFT(TRIM($Q616),FIND(" ",TRIM($Q616)&amp;" ")-1)),0),0))</f>
        <v>2</v>
      </c>
      <c r="V616" s="109">
        <f t="shared" si="108"/>
        <v>2</v>
      </c>
      <c r="W616" s="108">
        <f>IF($A616="",0,IF(AND($C616&gt;=Config!$C$7,$C616&lt;=Config!$C$8),1,0))</f>
        <v>1</v>
      </c>
      <c r="X616" s="108">
        <f>IF($A616="",0,IF(COUNTIF(Config!$C$21:$C$23,$H616)&gt;0,1,0))</f>
        <v>1</v>
      </c>
      <c r="Y616" s="108">
        <f t="shared" si="109"/>
        <v>12</v>
      </c>
      <c r="Z616" s="108">
        <f t="shared" si="110"/>
        <v>12</v>
      </c>
      <c r="AB616" s="108">
        <f t="shared" si="111"/>
        <v>0</v>
      </c>
      <c r="AC616" s="108">
        <f>IF($A616="",0,IF(AND($AB616=1,COUNTIF($A$2:$A616,$A616)=1),1,0))</f>
        <v>0</v>
      </c>
      <c r="AD616" s="108">
        <f t="shared" si="112"/>
        <v>1</v>
      </c>
      <c r="AE616" s="108" t="str">
        <f t="shared" si="113"/>
        <v/>
      </c>
      <c r="AF616" s="108">
        <f t="shared" si="114"/>
        <v>0</v>
      </c>
      <c r="AG616" s="108">
        <f t="shared" si="115"/>
        <v>0</v>
      </c>
      <c r="AH616" s="110" t="str">
        <f t="shared" si="116"/>
        <v>J Castillo|20260901|Time Off|0.000|2 hours not worked medical leave. 2 Hours not billed</v>
      </c>
      <c r="AI616" s="108">
        <f t="shared" si="117"/>
        <v>0</v>
      </c>
      <c r="AJ616" s="108">
        <f t="shared" si="118"/>
        <v>0</v>
      </c>
      <c r="AK616" s="108">
        <f>IF($A616="",0,IF(AND($S616=1,$W616=1,$X616=1,$U616&gt;Config!$C$9),1,0))</f>
        <v>0</v>
      </c>
      <c r="AL616" s="108">
        <f t="shared" si="119"/>
        <v>0</v>
      </c>
    </row>
    <row r="617" spans="1:38" ht="156.75" x14ac:dyDescent="0.25">
      <c r="A617" s="106" t="s">
        <v>468</v>
      </c>
      <c r="B617" s="106" t="s">
        <v>618</v>
      </c>
      <c r="C617" s="107">
        <v>46266</v>
      </c>
      <c r="D617" s="106" t="s">
        <v>680</v>
      </c>
      <c r="E617" s="106" t="s">
        <v>681</v>
      </c>
      <c r="F617" s="106" t="s">
        <v>686</v>
      </c>
      <c r="G617" s="106" t="s">
        <v>1399</v>
      </c>
      <c r="H617" s="106" t="s">
        <v>631</v>
      </c>
      <c r="I617" s="106"/>
      <c r="J617" s="106"/>
      <c r="K617" s="106">
        <v>0.75</v>
      </c>
      <c r="L617" s="106">
        <v>0</v>
      </c>
      <c r="M617" s="106">
        <v>0</v>
      </c>
      <c r="N617" s="106"/>
      <c r="O617" s="106"/>
      <c r="P617" s="106">
        <v>0</v>
      </c>
      <c r="Q617" s="111" t="s">
        <v>1400</v>
      </c>
      <c r="S617" s="108">
        <f>IF($A617="","",COUNTIF(BPOworkers!$B$6:$B$105,$A617))</f>
        <v>1</v>
      </c>
      <c r="T617" s="109">
        <f>IF($A617="","",$K617*Config!$C$9)</f>
        <v>6</v>
      </c>
      <c r="U617" s="109">
        <f>IF($A617="","",IF(COUNTIF(Config!$C$21:$C$23,$H617)&gt;0,IFERROR(VALUE(LEFT(TRIM($Q617),FIND(" ",TRIM($Q617)&amp;" ")-1)),0),0))</f>
        <v>0</v>
      </c>
      <c r="V617" s="109">
        <f t="shared" si="108"/>
        <v>6</v>
      </c>
      <c r="W617" s="108">
        <f>IF($A617="",0,IF(AND($C617&gt;=Config!$C$7,$C617&lt;=Config!$C$8),1,0))</f>
        <v>1</v>
      </c>
      <c r="X617" s="108">
        <f>IF($A617="",0,IF(COUNTIF(Config!$C$21:$C$23,$H617)&gt;0,1,0))</f>
        <v>0</v>
      </c>
      <c r="Y617" s="108">
        <f t="shared" si="109"/>
        <v>12</v>
      </c>
      <c r="Z617" s="108" t="str">
        <f t="shared" si="110"/>
        <v/>
      </c>
      <c r="AB617" s="108">
        <f t="shared" si="111"/>
        <v>0</v>
      </c>
      <c r="AC617" s="108">
        <f>IF($A617="",0,IF(AND($AB617=1,COUNTIF($A$2:$A617,$A617)=1),1,0))</f>
        <v>0</v>
      </c>
      <c r="AD617" s="108">
        <f t="shared" si="112"/>
        <v>1</v>
      </c>
      <c r="AE617" s="108" t="str">
        <f t="shared" si="113"/>
        <v/>
      </c>
      <c r="AF617" s="108">
        <f t="shared" si="114"/>
        <v>0</v>
      </c>
      <c r="AG617" s="108">
        <f t="shared" si="115"/>
        <v>0</v>
      </c>
      <c r="AH617" s="112" t="str">
        <f t="shared" si="116"/>
        <v>J Castillo|20260901|Title|0.750|Worked on: 
 15-0000428.011, Carroll (OH)
 20-0000301.000, Guernsey (OH)</v>
      </c>
      <c r="AI617" s="108">
        <f t="shared" si="117"/>
        <v>0</v>
      </c>
      <c r="AJ617" s="108">
        <f t="shared" si="118"/>
        <v>0</v>
      </c>
      <c r="AK617" s="108">
        <f>IF($A617="",0,IF(AND($S617=1,$W617=1,$X617=1,$U617&gt;Config!$C$9),1,0))</f>
        <v>0</v>
      </c>
      <c r="AL617" s="108">
        <f t="shared" si="119"/>
        <v>0</v>
      </c>
    </row>
    <row r="618" spans="1:38" x14ac:dyDescent="0.25">
      <c r="A618" s="106" t="s">
        <v>729</v>
      </c>
      <c r="B618" s="106" t="s">
        <v>618</v>
      </c>
      <c r="C618" s="107">
        <v>46266</v>
      </c>
      <c r="D618" s="106" t="s">
        <v>712</v>
      </c>
      <c r="E618" s="106" t="s">
        <v>713</v>
      </c>
      <c r="F618" s="106" t="s">
        <v>866</v>
      </c>
      <c r="G618" s="106" t="s">
        <v>873</v>
      </c>
      <c r="H618" s="106" t="s">
        <v>656</v>
      </c>
      <c r="I618" s="106"/>
      <c r="J618" s="106"/>
      <c r="K618" s="106">
        <v>1</v>
      </c>
      <c r="L618" s="106">
        <v>0</v>
      </c>
      <c r="M618" s="106">
        <v>0</v>
      </c>
      <c r="N618" s="106"/>
      <c r="O618" s="106"/>
      <c r="P618" s="106">
        <v>0</v>
      </c>
      <c r="Q618" s="106" t="s">
        <v>1401</v>
      </c>
      <c r="S618" s="108">
        <f>IF($A618="","",COUNTIF(BPOworkers!$B$6:$B$105,$A618))</f>
        <v>0</v>
      </c>
      <c r="T618" s="109">
        <f>IF($A618="","",$K618*Config!$C$9)</f>
        <v>8</v>
      </c>
      <c r="U618" s="109">
        <f>IF($A618="","",IF(COUNTIF(Config!$C$21:$C$23,$H618)&gt;0,IFERROR(VALUE(LEFT(TRIM($Q618),FIND(" ",TRIM($Q618)&amp;" ")-1)),0),0))</f>
        <v>0</v>
      </c>
      <c r="V618" s="109">
        <f t="shared" si="108"/>
        <v>8</v>
      </c>
      <c r="W618" s="108">
        <f>IF($A618="",0,IF(AND($C618&gt;=Config!$C$7,$C618&lt;=Config!$C$8),1,0))</f>
        <v>1</v>
      </c>
      <c r="X618" s="108">
        <f>IF($A618="",0,IF(COUNTIF(Config!$C$21:$C$23,$H618)&gt;0,1,0))</f>
        <v>0</v>
      </c>
      <c r="Y618" s="108">
        <f t="shared" si="109"/>
        <v>12</v>
      </c>
      <c r="Z618" s="108" t="str">
        <f t="shared" si="110"/>
        <v/>
      </c>
      <c r="AB618" s="108">
        <f t="shared" si="111"/>
        <v>0</v>
      </c>
      <c r="AC618" s="108">
        <f>IF($A618="",0,IF(AND($AB618=1,COUNTIF($A$2:$A618,$A618)=1),1,0))</f>
        <v>0</v>
      </c>
      <c r="AD618" s="108">
        <f t="shared" si="112"/>
        <v>1</v>
      </c>
      <c r="AE618" s="108" t="str">
        <f t="shared" si="113"/>
        <v/>
      </c>
      <c r="AF618" s="108">
        <f t="shared" si="114"/>
        <v>0</v>
      </c>
      <c r="AG618" s="108">
        <f t="shared" si="115"/>
        <v>0</v>
      </c>
      <c r="AH618" s="110" t="str">
        <f t="shared" si="116"/>
        <v>Z. Greenlee|20260901|Project Management|1.000|Worked with staff throughout the day, answering title questions, research issues, and best practices moving forward. Led</v>
      </c>
      <c r="AI618" s="108">
        <f t="shared" si="117"/>
        <v>0</v>
      </c>
      <c r="AJ618" s="108">
        <f t="shared" si="118"/>
        <v>0</v>
      </c>
      <c r="AK618" s="108">
        <f>IF($A618="",0,IF(AND($S618=1,$W618=1,$X618=1,$U618&gt;Config!$C$9),1,0))</f>
        <v>0</v>
      </c>
      <c r="AL618" s="108">
        <f t="shared" si="119"/>
        <v>0</v>
      </c>
    </row>
    <row r="619" spans="1:38" x14ac:dyDescent="0.25">
      <c r="A619" s="106" t="s">
        <v>733</v>
      </c>
      <c r="B619" s="106" t="s">
        <v>618</v>
      </c>
      <c r="C619" s="107">
        <v>46266</v>
      </c>
      <c r="D619" s="106" t="s">
        <v>712</v>
      </c>
      <c r="E619" s="106" t="s">
        <v>713</v>
      </c>
      <c r="F619" s="106" t="s">
        <v>866</v>
      </c>
      <c r="G619" s="106" t="s">
        <v>939</v>
      </c>
      <c r="H619" s="106" t="s">
        <v>631</v>
      </c>
      <c r="I619" s="106"/>
      <c r="J619" s="106" t="s">
        <v>1132</v>
      </c>
      <c r="K619" s="106">
        <v>1</v>
      </c>
      <c r="L619" s="106">
        <v>0</v>
      </c>
      <c r="M619" s="106">
        <v>0</v>
      </c>
      <c r="N619" s="106"/>
      <c r="O619" s="106"/>
      <c r="P619" s="106">
        <v>0</v>
      </c>
      <c r="Q619" s="106" t="s">
        <v>1402</v>
      </c>
      <c r="S619" s="108">
        <f>IF($A619="","",COUNTIF(BPOworkers!$B$6:$B$105,$A619))</f>
        <v>0</v>
      </c>
      <c r="T619" s="109">
        <f>IF($A619="","",$K619*Config!$C$9)</f>
        <v>8</v>
      </c>
      <c r="U619" s="109">
        <f>IF($A619="","",IF(COUNTIF(Config!$C$21:$C$23,$H619)&gt;0,IFERROR(VALUE(LEFT(TRIM($Q619),FIND(" ",TRIM($Q619)&amp;" ")-1)),0),0))</f>
        <v>0</v>
      </c>
      <c r="V619" s="109">
        <f t="shared" si="108"/>
        <v>8</v>
      </c>
      <c r="W619" s="108">
        <f>IF($A619="",0,IF(AND($C619&gt;=Config!$C$7,$C619&lt;=Config!$C$8),1,0))</f>
        <v>1</v>
      </c>
      <c r="X619" s="108">
        <f>IF($A619="",0,IF(COUNTIF(Config!$C$21:$C$23,$H619)&gt;0,1,0))</f>
        <v>0</v>
      </c>
      <c r="Y619" s="108">
        <f t="shared" si="109"/>
        <v>12</v>
      </c>
      <c r="Z619" s="108" t="str">
        <f t="shared" si="110"/>
        <v/>
      </c>
      <c r="AB619" s="108">
        <f t="shared" si="111"/>
        <v>0</v>
      </c>
      <c r="AC619" s="108">
        <f>IF($A619="",0,IF(AND($AB619=1,COUNTIF($A$2:$A619,$A619)=1),1,0))</f>
        <v>0</v>
      </c>
      <c r="AD619" s="108">
        <f t="shared" si="112"/>
        <v>1</v>
      </c>
      <c r="AE619" s="108" t="str">
        <f t="shared" si="113"/>
        <v/>
      </c>
      <c r="AF619" s="108">
        <f t="shared" si="114"/>
        <v>0</v>
      </c>
      <c r="AG619" s="108">
        <f t="shared" si="115"/>
        <v>0</v>
      </c>
      <c r="AH619" s="110" t="str">
        <f t="shared" si="116"/>
        <v>R. Norris|20260901|Title|1.000|Indexed and completed the indexing for 17 party names, I added in 13 documents into the AOI. I got most of the chain com</v>
      </c>
      <c r="AI619" s="108">
        <f t="shared" si="117"/>
        <v>0</v>
      </c>
      <c r="AJ619" s="108">
        <f t="shared" si="118"/>
        <v>0</v>
      </c>
      <c r="AK619" s="108">
        <f>IF($A619="",0,IF(AND($S619=1,$W619=1,$X619=1,$U619&gt;Config!$C$9),1,0))</f>
        <v>0</v>
      </c>
      <c r="AL619" s="108">
        <f t="shared" si="119"/>
        <v>0</v>
      </c>
    </row>
    <row r="620" spans="1:38" x14ac:dyDescent="0.25">
      <c r="A620" s="106" t="s">
        <v>735</v>
      </c>
      <c r="B620" s="106" t="s">
        <v>618</v>
      </c>
      <c r="C620" s="107">
        <v>46266</v>
      </c>
      <c r="D620" s="106" t="s">
        <v>680</v>
      </c>
      <c r="E620" s="106" t="s">
        <v>681</v>
      </c>
      <c r="F620" s="106" t="s">
        <v>682</v>
      </c>
      <c r="G620" s="106" t="s">
        <v>978</v>
      </c>
      <c r="H620" s="106" t="s">
        <v>631</v>
      </c>
      <c r="I620" s="106"/>
      <c r="J620" s="106" t="s">
        <v>979</v>
      </c>
      <c r="K620" s="106">
        <v>1</v>
      </c>
      <c r="L620" s="106">
        <v>0</v>
      </c>
      <c r="M620" s="106">
        <v>0</v>
      </c>
      <c r="N620" s="106"/>
      <c r="O620" s="106"/>
      <c r="P620" s="106">
        <v>0</v>
      </c>
      <c r="Q620" s="106" t="s">
        <v>1403</v>
      </c>
      <c r="S620" s="108">
        <f>IF($A620="","",COUNTIF(BPOworkers!$B$6:$B$105,$A620))</f>
        <v>0</v>
      </c>
      <c r="T620" s="109">
        <f>IF($A620="","",$K620*Config!$C$9)</f>
        <v>8</v>
      </c>
      <c r="U620" s="109">
        <f>IF($A620="","",IF(COUNTIF(Config!$C$21:$C$23,$H620)&gt;0,IFERROR(VALUE(LEFT(TRIM($Q620),FIND(" ",TRIM($Q620)&amp;" ")-1)),0),0))</f>
        <v>0</v>
      </c>
      <c r="V620" s="109">
        <f t="shared" si="108"/>
        <v>8</v>
      </c>
      <c r="W620" s="108">
        <f>IF($A620="",0,IF(AND($C620&gt;=Config!$C$7,$C620&lt;=Config!$C$8),1,0))</f>
        <v>1</v>
      </c>
      <c r="X620" s="108">
        <f>IF($A620="",0,IF(COUNTIF(Config!$C$21:$C$23,$H620)&gt;0,1,0))</f>
        <v>0</v>
      </c>
      <c r="Y620" s="108">
        <f t="shared" si="109"/>
        <v>12</v>
      </c>
      <c r="Z620" s="108" t="str">
        <f t="shared" si="110"/>
        <v/>
      </c>
      <c r="AB620" s="108">
        <f t="shared" si="111"/>
        <v>0</v>
      </c>
      <c r="AC620" s="108">
        <f>IF($A620="",0,IF(AND($AB620=1,COUNTIF($A$2:$A620,$A620)=1),1,0))</f>
        <v>0</v>
      </c>
      <c r="AD620" s="108">
        <f t="shared" si="112"/>
        <v>1</v>
      </c>
      <c r="AE620" s="108" t="str">
        <f t="shared" si="113"/>
        <v/>
      </c>
      <c r="AF620" s="108">
        <f t="shared" si="114"/>
        <v>0</v>
      </c>
      <c r="AG620" s="108">
        <f t="shared" si="115"/>
        <v>0</v>
      </c>
      <c r="AH620" s="110" t="str">
        <f t="shared" si="116"/>
        <v>R. Liska|20260901|Title|1.000|AOI Setup, SIV Indexing, locating Unit Declaration and Source Deeds.</v>
      </c>
      <c r="AI620" s="108">
        <f t="shared" si="117"/>
        <v>0</v>
      </c>
      <c r="AJ620" s="108">
        <f t="shared" si="118"/>
        <v>0</v>
      </c>
      <c r="AK620" s="108">
        <f>IF($A620="",0,IF(AND($S620=1,$W620=1,$X620=1,$U620&gt;Config!$C$9),1,0))</f>
        <v>0</v>
      </c>
      <c r="AL620" s="108">
        <f t="shared" si="119"/>
        <v>0</v>
      </c>
    </row>
    <row r="621" spans="1:38" x14ac:dyDescent="0.25">
      <c r="A621" s="106" t="s">
        <v>473</v>
      </c>
      <c r="B621" s="106" t="s">
        <v>618</v>
      </c>
      <c r="C621" s="107">
        <v>46266</v>
      </c>
      <c r="D621" s="106" t="s">
        <v>623</v>
      </c>
      <c r="E621" s="106" t="s">
        <v>624</v>
      </c>
      <c r="F621" s="106" t="s">
        <v>615</v>
      </c>
      <c r="G621" s="106" t="s">
        <v>625</v>
      </c>
      <c r="H621" s="106" t="s">
        <v>671</v>
      </c>
      <c r="I621" s="106" t="s">
        <v>657</v>
      </c>
      <c r="J621" s="106"/>
      <c r="K621" s="106">
        <v>0.5</v>
      </c>
      <c r="L621" s="106">
        <v>0</v>
      </c>
      <c r="M621" s="106">
        <v>0</v>
      </c>
      <c r="N621" s="106"/>
      <c r="O621" s="106"/>
      <c r="P621" s="106">
        <v>0</v>
      </c>
      <c r="Q621" s="106" t="s">
        <v>1404</v>
      </c>
      <c r="S621" s="108">
        <f>IF($A621="","",COUNTIF(BPOworkers!$B$6:$B$105,$A621))</f>
        <v>1</v>
      </c>
      <c r="T621" s="109">
        <f>IF($A621="","",$K621*Config!$C$9)</f>
        <v>4</v>
      </c>
      <c r="U621" s="109">
        <f>IF($A621="","",IF(COUNTIF(Config!$C$21:$C$23,$H621)&gt;0,IFERROR(VALUE(LEFT(TRIM($Q621),FIND(" ",TRIM($Q621)&amp;" ")-1)),0),0))</f>
        <v>0</v>
      </c>
      <c r="V621" s="109">
        <f t="shared" si="108"/>
        <v>4</v>
      </c>
      <c r="W621" s="108">
        <f>IF($A621="",0,IF(AND($C621&gt;=Config!$C$7,$C621&lt;=Config!$C$8),1,0))</f>
        <v>1</v>
      </c>
      <c r="X621" s="108">
        <f>IF($A621="",0,IF(COUNTIF(Config!$C$21:$C$23,$H621)&gt;0,1,0))</f>
        <v>0</v>
      </c>
      <c r="Y621" s="108">
        <f t="shared" si="109"/>
        <v>12</v>
      </c>
      <c r="Z621" s="108" t="str">
        <f t="shared" si="110"/>
        <v/>
      </c>
      <c r="AB621" s="108">
        <f t="shared" si="111"/>
        <v>0</v>
      </c>
      <c r="AC621" s="108">
        <f>IF($A621="",0,IF(AND($AB621=1,COUNTIF($A$2:$A621,$A621)=1),1,0))</f>
        <v>0</v>
      </c>
      <c r="AD621" s="108">
        <f t="shared" si="112"/>
        <v>1</v>
      </c>
      <c r="AE621" s="108" t="str">
        <f t="shared" si="113"/>
        <v/>
      </c>
      <c r="AF621" s="108">
        <f t="shared" si="114"/>
        <v>0</v>
      </c>
      <c r="AG621" s="108">
        <f t="shared" si="115"/>
        <v>0</v>
      </c>
      <c r="AH621" s="110" t="str">
        <f t="shared" si="116"/>
        <v>J Rincon|20260901|TitleNotes - Library|0.500|18 documents</v>
      </c>
      <c r="AI621" s="108">
        <f t="shared" si="117"/>
        <v>0</v>
      </c>
      <c r="AJ621" s="108">
        <f t="shared" si="118"/>
        <v>0</v>
      </c>
      <c r="AK621" s="108">
        <f>IF($A621="",0,IF(AND($S621=1,$W621=1,$X621=1,$U621&gt;Config!$C$9),1,0))</f>
        <v>0</v>
      </c>
      <c r="AL621" s="108">
        <f t="shared" si="119"/>
        <v>0</v>
      </c>
    </row>
    <row r="622" spans="1:38" ht="192.75" x14ac:dyDescent="0.25">
      <c r="A622" s="106" t="s">
        <v>473</v>
      </c>
      <c r="B622" s="106" t="s">
        <v>618</v>
      </c>
      <c r="C622" s="107">
        <v>46266</v>
      </c>
      <c r="D622" s="106" t="s">
        <v>680</v>
      </c>
      <c r="E622" s="106" t="s">
        <v>681</v>
      </c>
      <c r="F622" s="106" t="s">
        <v>686</v>
      </c>
      <c r="G622" s="106" t="s">
        <v>1405</v>
      </c>
      <c r="H622" s="106" t="s">
        <v>631</v>
      </c>
      <c r="I622" s="106"/>
      <c r="J622" s="106" t="s">
        <v>1406</v>
      </c>
      <c r="K622" s="106">
        <v>0.25</v>
      </c>
      <c r="L622" s="106">
        <v>0</v>
      </c>
      <c r="M622" s="106">
        <v>0</v>
      </c>
      <c r="N622" s="106"/>
      <c r="O622" s="106"/>
      <c r="P622" s="106">
        <v>0</v>
      </c>
      <c r="Q622" s="111" t="s">
        <v>1407</v>
      </c>
      <c r="S622" s="108">
        <f>IF($A622="","",COUNTIF(BPOworkers!$B$6:$B$105,$A622))</f>
        <v>1</v>
      </c>
      <c r="T622" s="109">
        <f>IF($A622="","",$K622*Config!$C$9)</f>
        <v>2</v>
      </c>
      <c r="U622" s="109">
        <f>IF($A622="","",IF(COUNTIF(Config!$C$21:$C$23,$H622)&gt;0,IFERROR(VALUE(LEFT(TRIM($Q622),FIND(" ",TRIM($Q622)&amp;" ")-1)),0),0))</f>
        <v>0</v>
      </c>
      <c r="V622" s="109">
        <f t="shared" si="108"/>
        <v>2</v>
      </c>
      <c r="W622" s="108">
        <f>IF($A622="",0,IF(AND($C622&gt;=Config!$C$7,$C622&lt;=Config!$C$8),1,0))</f>
        <v>1</v>
      </c>
      <c r="X622" s="108">
        <f>IF($A622="",0,IF(COUNTIF(Config!$C$21:$C$23,$H622)&gt;0,1,0))</f>
        <v>0</v>
      </c>
      <c r="Y622" s="108">
        <f t="shared" si="109"/>
        <v>12</v>
      </c>
      <c r="Z622" s="108" t="str">
        <f t="shared" si="110"/>
        <v/>
      </c>
      <c r="AB622" s="108">
        <f t="shared" si="111"/>
        <v>0</v>
      </c>
      <c r="AC622" s="108">
        <f>IF($A622="",0,IF(AND($AB622=1,COUNTIF($A$2:$A622,$A622)=1),1,0))</f>
        <v>0</v>
      </c>
      <c r="AD622" s="108">
        <f t="shared" si="112"/>
        <v>1</v>
      </c>
      <c r="AE622" s="108" t="str">
        <f t="shared" si="113"/>
        <v/>
      </c>
      <c r="AF622" s="108">
        <f t="shared" si="114"/>
        <v>0</v>
      </c>
      <c r="AG622" s="108">
        <f t="shared" si="115"/>
        <v>0</v>
      </c>
      <c r="AH622" s="112" t="str">
        <f t="shared" si="116"/>
        <v>J Rincon|20260901|Title|0.250|Indexed and located source deed for the next parcels:
 15-0000122.000; 15-0000189.000, CARROLL (OH), WINDY RIDGE
 The As</v>
      </c>
      <c r="AI622" s="108">
        <f t="shared" si="117"/>
        <v>0</v>
      </c>
      <c r="AJ622" s="108">
        <f t="shared" si="118"/>
        <v>0</v>
      </c>
      <c r="AK622" s="108">
        <f>IF($A622="",0,IF(AND($S622=1,$W622=1,$X622=1,$U622&gt;Config!$C$9),1,0))</f>
        <v>0</v>
      </c>
      <c r="AL622" s="108">
        <f t="shared" si="119"/>
        <v>0</v>
      </c>
    </row>
    <row r="623" spans="1:38" ht="204.75" x14ac:dyDescent="0.25">
      <c r="A623" s="106" t="s">
        <v>473</v>
      </c>
      <c r="B623" s="106" t="s">
        <v>618</v>
      </c>
      <c r="C623" s="107">
        <v>46266</v>
      </c>
      <c r="D623" s="106" t="s">
        <v>680</v>
      </c>
      <c r="E623" s="106" t="s">
        <v>681</v>
      </c>
      <c r="F623" s="106" t="s">
        <v>745</v>
      </c>
      <c r="G623" s="106" t="s">
        <v>1408</v>
      </c>
      <c r="H623" s="106" t="s">
        <v>631</v>
      </c>
      <c r="I623" s="106"/>
      <c r="J623" s="106" t="s">
        <v>1409</v>
      </c>
      <c r="K623" s="106">
        <v>0.25</v>
      </c>
      <c r="L623" s="106">
        <v>0</v>
      </c>
      <c r="M623" s="106">
        <v>0</v>
      </c>
      <c r="N623" s="106"/>
      <c r="O623" s="106"/>
      <c r="P623" s="106">
        <v>0</v>
      </c>
      <c r="Q623" s="111" t="s">
        <v>1410</v>
      </c>
      <c r="S623" s="108">
        <f>IF($A623="","",COUNTIF(BPOworkers!$B$6:$B$105,$A623))</f>
        <v>1</v>
      </c>
      <c r="T623" s="109">
        <f>IF($A623="","",$K623*Config!$C$9)</f>
        <v>2</v>
      </c>
      <c r="U623" s="109">
        <f>IF($A623="","",IF(COUNTIF(Config!$C$21:$C$23,$H623)&gt;0,IFERROR(VALUE(LEFT(TRIM($Q623),FIND(" ",TRIM($Q623)&amp;" ")-1)),0),0))</f>
        <v>0</v>
      </c>
      <c r="V623" s="109">
        <f t="shared" si="108"/>
        <v>2</v>
      </c>
      <c r="W623" s="108">
        <f>IF($A623="",0,IF(AND($C623&gt;=Config!$C$7,$C623&lt;=Config!$C$8),1,0))</f>
        <v>1</v>
      </c>
      <c r="X623" s="108">
        <f>IF($A623="",0,IF(COUNTIF(Config!$C$21:$C$23,$H623)&gt;0,1,0))</f>
        <v>0</v>
      </c>
      <c r="Y623" s="108">
        <f t="shared" si="109"/>
        <v>12</v>
      </c>
      <c r="Z623" s="108" t="str">
        <f t="shared" si="110"/>
        <v/>
      </c>
      <c r="AB623" s="108">
        <f t="shared" si="111"/>
        <v>0</v>
      </c>
      <c r="AC623" s="108">
        <f>IF($A623="",0,IF(AND($AB623=1,COUNTIF($A$2:$A623,$A623)=1),1,0))</f>
        <v>0</v>
      </c>
      <c r="AD623" s="108">
        <f t="shared" si="112"/>
        <v>1</v>
      </c>
      <c r="AE623" s="108" t="str">
        <f t="shared" si="113"/>
        <v/>
      </c>
      <c r="AF623" s="108">
        <f t="shared" si="114"/>
        <v>0</v>
      </c>
      <c r="AG623" s="108">
        <f t="shared" si="115"/>
        <v>0</v>
      </c>
      <c r="AH623" s="112" t="str">
        <f t="shared" si="116"/>
        <v>J Rincon|20260901|Title|0.250|Indexed and located source deed for the next parcels:
 12-0000047.002; 12-0000042.000; 12-0000042.001; 11-0000091.000, H</v>
      </c>
      <c r="AI623" s="108">
        <f t="shared" si="117"/>
        <v>0</v>
      </c>
      <c r="AJ623" s="108">
        <f t="shared" si="118"/>
        <v>0</v>
      </c>
      <c r="AK623" s="108">
        <f>IF($A623="",0,IF(AND($S623=1,$W623=1,$X623=1,$U623&gt;Config!$C$9),1,0))</f>
        <v>0</v>
      </c>
      <c r="AL623" s="108">
        <f t="shared" si="119"/>
        <v>0</v>
      </c>
    </row>
    <row r="624" spans="1:38" ht="204.75" x14ac:dyDescent="0.25">
      <c r="A624" s="106" t="s">
        <v>474</v>
      </c>
      <c r="B624" s="106" t="s">
        <v>618</v>
      </c>
      <c r="C624" s="107">
        <v>46266</v>
      </c>
      <c r="D624" s="106" t="s">
        <v>669</v>
      </c>
      <c r="E624" s="106" t="s">
        <v>669</v>
      </c>
      <c r="F624" s="106" t="s">
        <v>670</v>
      </c>
      <c r="G624" s="106"/>
      <c r="H624" s="106" t="s">
        <v>671</v>
      </c>
      <c r="I624" s="106"/>
      <c r="J624" s="106" t="s">
        <v>669</v>
      </c>
      <c r="K624" s="106">
        <v>0.5</v>
      </c>
      <c r="L624" s="106">
        <v>0</v>
      </c>
      <c r="M624" s="106">
        <v>0</v>
      </c>
      <c r="N624" s="106"/>
      <c r="O624" s="106"/>
      <c r="P624" s="106">
        <v>0</v>
      </c>
      <c r="Q624" s="111" t="s">
        <v>672</v>
      </c>
      <c r="S624" s="108">
        <f>IF($A624="","",COUNTIF(BPOworkers!$B$6:$B$105,$A624))</f>
        <v>1</v>
      </c>
      <c r="T624" s="109">
        <f>IF($A624="","",$K624*Config!$C$9)</f>
        <v>4</v>
      </c>
      <c r="U624" s="109">
        <f>IF($A624="","",IF(COUNTIF(Config!$C$21:$C$23,$H624)&gt;0,IFERROR(VALUE(LEFT(TRIM($Q624),FIND(" ",TRIM($Q624)&amp;" ")-1)),0),0))</f>
        <v>0</v>
      </c>
      <c r="V624" s="109">
        <f t="shared" si="108"/>
        <v>4</v>
      </c>
      <c r="W624" s="108">
        <f>IF($A624="",0,IF(AND($C624&gt;=Config!$C$7,$C624&lt;=Config!$C$8),1,0))</f>
        <v>1</v>
      </c>
      <c r="X624" s="108">
        <f>IF($A624="",0,IF(COUNTIF(Config!$C$21:$C$23,$H624)&gt;0,1,0))</f>
        <v>0</v>
      </c>
      <c r="Y624" s="108">
        <f t="shared" si="109"/>
        <v>12</v>
      </c>
      <c r="Z624" s="108" t="str">
        <f t="shared" si="110"/>
        <v/>
      </c>
      <c r="AB624" s="108">
        <f t="shared" si="111"/>
        <v>0</v>
      </c>
      <c r="AC624" s="108">
        <f>IF($A624="",0,IF(AND($AB624=1,COUNTIF($A$2:$A624,$A624)=1),1,0))</f>
        <v>0</v>
      </c>
      <c r="AD624" s="108">
        <f t="shared" si="112"/>
        <v>1</v>
      </c>
      <c r="AE624" s="108" t="str">
        <f t="shared" si="113"/>
        <v/>
      </c>
      <c r="AF624" s="108">
        <f t="shared" si="114"/>
        <v>0</v>
      </c>
      <c r="AG624" s="108">
        <f t="shared" si="115"/>
        <v>0</v>
      </c>
      <c r="AH624" s="112" t="str">
        <f t="shared" si="116"/>
        <v xml:space="preserve">J Valbuena|20260901|TitleNotes - Library|0.500|I am currently training with Matt regarding the library title
 notes. I am encountering some issues with documents that
</v>
      </c>
      <c r="AI624" s="108">
        <f t="shared" si="117"/>
        <v>0</v>
      </c>
      <c r="AJ624" s="108">
        <f t="shared" si="118"/>
        <v>0</v>
      </c>
      <c r="AK624" s="108">
        <f>IF($A624="",0,IF(AND($S624=1,$W624=1,$X624=1,$U624&gt;Config!$C$9),1,0))</f>
        <v>0</v>
      </c>
      <c r="AL624" s="108">
        <f t="shared" si="119"/>
        <v>0</v>
      </c>
    </row>
    <row r="625" spans="1:38" ht="180.75" x14ac:dyDescent="0.25">
      <c r="A625" s="106" t="s">
        <v>474</v>
      </c>
      <c r="B625" s="106" t="s">
        <v>618</v>
      </c>
      <c r="C625" s="107">
        <v>46266</v>
      </c>
      <c r="D625" s="106" t="s">
        <v>720</v>
      </c>
      <c r="E625" s="106" t="s">
        <v>721</v>
      </c>
      <c r="F625" s="106" t="s">
        <v>722</v>
      </c>
      <c r="G625" s="106" t="s">
        <v>982</v>
      </c>
      <c r="H625" s="106" t="s">
        <v>631</v>
      </c>
      <c r="I625" s="106"/>
      <c r="J625" s="106" t="s">
        <v>983</v>
      </c>
      <c r="K625" s="106">
        <v>0.5</v>
      </c>
      <c r="L625" s="106">
        <v>0</v>
      </c>
      <c r="M625" s="106">
        <v>0</v>
      </c>
      <c r="N625" s="106"/>
      <c r="O625" s="106"/>
      <c r="P625" s="106">
        <v>0</v>
      </c>
      <c r="Q625" s="111" t="s">
        <v>1411</v>
      </c>
      <c r="S625" s="108">
        <f>IF($A625="","",COUNTIF(BPOworkers!$B$6:$B$105,$A625))</f>
        <v>1</v>
      </c>
      <c r="T625" s="109">
        <f>IF($A625="","",$K625*Config!$C$9)</f>
        <v>4</v>
      </c>
      <c r="U625" s="109">
        <f>IF($A625="","",IF(COUNTIF(Config!$C$21:$C$23,$H625)&gt;0,IFERROR(VALUE(LEFT(TRIM($Q625),FIND(" ",TRIM($Q625)&amp;" ")-1)),0),0))</f>
        <v>0</v>
      </c>
      <c r="V625" s="109">
        <f t="shared" si="108"/>
        <v>4</v>
      </c>
      <c r="W625" s="108">
        <f>IF($A625="",0,IF(AND($C625&gt;=Config!$C$7,$C625&lt;=Config!$C$8),1,0))</f>
        <v>1</v>
      </c>
      <c r="X625" s="108">
        <f>IF($A625="",0,IF(COUNTIF(Config!$C$21:$C$23,$H625)&gt;0,1,0))</f>
        <v>0</v>
      </c>
      <c r="Y625" s="108">
        <f t="shared" si="109"/>
        <v>12</v>
      </c>
      <c r="Z625" s="108" t="str">
        <f t="shared" si="110"/>
        <v/>
      </c>
      <c r="AB625" s="108">
        <f t="shared" si="111"/>
        <v>0</v>
      </c>
      <c r="AC625" s="108">
        <f>IF($A625="",0,IF(AND($AB625=1,COUNTIF($A$2:$A625,$A625)=1),1,0))</f>
        <v>0</v>
      </c>
      <c r="AD625" s="108">
        <f t="shared" si="112"/>
        <v>1</v>
      </c>
      <c r="AE625" s="108" t="str">
        <f t="shared" si="113"/>
        <v/>
      </c>
      <c r="AF625" s="108">
        <f t="shared" si="114"/>
        <v>0</v>
      </c>
      <c r="AG625" s="108">
        <f t="shared" si="115"/>
        <v>0</v>
      </c>
      <c r="AH625" s="112" t="str">
        <f t="shared" si="116"/>
        <v>J Valbuena|20260901|Title|0.500|- Created AOI
 - Created indexing spreadsheet
 - Added source deed
 - Indexed to the present from source deed
 - Started</v>
      </c>
      <c r="AI625" s="108">
        <f t="shared" si="117"/>
        <v>0</v>
      </c>
      <c r="AJ625" s="108">
        <f t="shared" si="118"/>
        <v>0</v>
      </c>
      <c r="AK625" s="108">
        <f>IF($A625="",0,IF(AND($S625=1,$W625=1,$X625=1,$U625&gt;Config!$C$9),1,0))</f>
        <v>0</v>
      </c>
      <c r="AL625" s="108">
        <f t="shared" si="119"/>
        <v>0</v>
      </c>
    </row>
    <row r="626" spans="1:38" x14ac:dyDescent="0.25">
      <c r="A626" s="106" t="s">
        <v>742</v>
      </c>
      <c r="B626" s="106" t="s">
        <v>618</v>
      </c>
      <c r="C626" s="107">
        <v>46266</v>
      </c>
      <c r="D626" s="106" t="s">
        <v>635</v>
      </c>
      <c r="E626" s="106" t="s">
        <v>636</v>
      </c>
      <c r="F626" s="106" t="s">
        <v>637</v>
      </c>
      <c r="G626" s="106" t="s">
        <v>985</v>
      </c>
      <c r="H626" s="106" t="s">
        <v>631</v>
      </c>
      <c r="I626" s="106"/>
      <c r="J626" s="106" t="s">
        <v>986</v>
      </c>
      <c r="K626" s="106">
        <v>1</v>
      </c>
      <c r="L626" s="106">
        <v>0</v>
      </c>
      <c r="M626" s="106">
        <v>0</v>
      </c>
      <c r="N626" s="106"/>
      <c r="O626" s="106"/>
      <c r="P626" s="106">
        <v>0</v>
      </c>
      <c r="Q626" s="106" t="s">
        <v>1412</v>
      </c>
      <c r="S626" s="108">
        <f>IF($A626="","",COUNTIF(BPOworkers!$B$6:$B$105,$A626))</f>
        <v>0</v>
      </c>
      <c r="T626" s="109">
        <f>IF($A626="","",$K626*Config!$C$9)</f>
        <v>8</v>
      </c>
      <c r="U626" s="109">
        <f>IF($A626="","",IF(COUNTIF(Config!$C$21:$C$23,$H626)&gt;0,IFERROR(VALUE(LEFT(TRIM($Q626),FIND(" ",TRIM($Q626)&amp;" ")-1)),0),0))</f>
        <v>0</v>
      </c>
      <c r="V626" s="109">
        <f t="shared" si="108"/>
        <v>8</v>
      </c>
      <c r="W626" s="108">
        <f>IF($A626="",0,IF(AND($C626&gt;=Config!$C$7,$C626&lt;=Config!$C$8),1,0))</f>
        <v>1</v>
      </c>
      <c r="X626" s="108">
        <f>IF($A626="",0,IF(COUNTIF(Config!$C$21:$C$23,$H626)&gt;0,1,0))</f>
        <v>0</v>
      </c>
      <c r="Y626" s="108">
        <f t="shared" si="109"/>
        <v>12</v>
      </c>
      <c r="Z626" s="108" t="str">
        <f t="shared" si="110"/>
        <v/>
      </c>
      <c r="AB626" s="108">
        <f t="shared" si="111"/>
        <v>0</v>
      </c>
      <c r="AC626" s="108">
        <f>IF($A626="",0,IF(AND($AB626=1,COUNTIF($A$2:$A626,$A626)=1),1,0))</f>
        <v>0</v>
      </c>
      <c r="AD626" s="108">
        <f t="shared" si="112"/>
        <v>1</v>
      </c>
      <c r="AE626" s="108" t="str">
        <f t="shared" si="113"/>
        <v/>
      </c>
      <c r="AF626" s="108">
        <f t="shared" si="114"/>
        <v>0</v>
      </c>
      <c r="AG626" s="108">
        <f t="shared" si="115"/>
        <v>0</v>
      </c>
      <c r="AH626" s="110" t="str">
        <f t="shared" si="116"/>
        <v xml:space="preserve">J. Edwards|20260901|Title|1.000|Began review of the leasehold research and reconciliation for the Federal BLM Leasehold specifically focusing on ORRI's </v>
      </c>
      <c r="AI626" s="108">
        <f t="shared" si="117"/>
        <v>0</v>
      </c>
      <c r="AJ626" s="108">
        <f t="shared" si="118"/>
        <v>0</v>
      </c>
      <c r="AK626" s="108">
        <f>IF($A626="",0,IF(AND($S626=1,$W626=1,$X626=1,$U626&gt;Config!$C$9),1,0))</f>
        <v>0</v>
      </c>
      <c r="AL626" s="108">
        <f t="shared" si="119"/>
        <v>0</v>
      </c>
    </row>
    <row r="627" spans="1:38" x14ac:dyDescent="0.25">
      <c r="A627" s="106" t="s">
        <v>457</v>
      </c>
      <c r="B627" s="106" t="s">
        <v>618</v>
      </c>
      <c r="C627" s="107">
        <v>46266</v>
      </c>
      <c r="D627" s="106" t="s">
        <v>529</v>
      </c>
      <c r="E627" s="106" t="s">
        <v>529</v>
      </c>
      <c r="F627" s="106" t="s">
        <v>615</v>
      </c>
      <c r="G627" s="106"/>
      <c r="H627" s="106" t="s">
        <v>529</v>
      </c>
      <c r="I627" s="106"/>
      <c r="J627" s="106" t="s">
        <v>749</v>
      </c>
      <c r="K627" s="106">
        <v>0</v>
      </c>
      <c r="L627" s="106">
        <v>0</v>
      </c>
      <c r="M627" s="106">
        <v>0</v>
      </c>
      <c r="N627" s="106"/>
      <c r="O627" s="106"/>
      <c r="P627" s="106">
        <v>0</v>
      </c>
      <c r="Q627" s="106" t="s">
        <v>1413</v>
      </c>
      <c r="S627" s="108">
        <f>IF($A627="","",COUNTIF(BPOworkers!$B$6:$B$105,$A627))</f>
        <v>1</v>
      </c>
      <c r="T627" s="109">
        <f>IF($A627="","",$K627*Config!$C$9)</f>
        <v>0</v>
      </c>
      <c r="U627" s="109">
        <f>IF($A627="","",IF(COUNTIF(Config!$C$21:$C$23,$H627)&gt;0,IFERROR(VALUE(LEFT(TRIM($Q627),FIND(" ",TRIM($Q627)&amp;" ")-1)),0),0))</f>
        <v>1</v>
      </c>
      <c r="V627" s="109">
        <f t="shared" si="108"/>
        <v>1</v>
      </c>
      <c r="W627" s="108">
        <f>IF($A627="",0,IF(AND($C627&gt;=Config!$C$7,$C627&lt;=Config!$C$8),1,0))</f>
        <v>1</v>
      </c>
      <c r="X627" s="108">
        <f>IF($A627="",0,IF(COUNTIF(Config!$C$21:$C$23,$H627)&gt;0,1,0))</f>
        <v>1</v>
      </c>
      <c r="Y627" s="108">
        <f t="shared" si="109"/>
        <v>13</v>
      </c>
      <c r="Z627" s="108">
        <f t="shared" si="110"/>
        <v>13</v>
      </c>
      <c r="AB627" s="108">
        <f t="shared" si="111"/>
        <v>0</v>
      </c>
      <c r="AC627" s="108">
        <f>IF($A627="",0,IF(AND($AB627=1,COUNTIF($A$2:$A627,$A627)=1),1,0))</f>
        <v>0</v>
      </c>
      <c r="AD627" s="108">
        <f t="shared" si="112"/>
        <v>1</v>
      </c>
      <c r="AE627" s="108" t="str">
        <f t="shared" si="113"/>
        <v/>
      </c>
      <c r="AF627" s="108">
        <f t="shared" si="114"/>
        <v>0</v>
      </c>
      <c r="AG627" s="108">
        <f t="shared" si="115"/>
        <v>0</v>
      </c>
      <c r="AH627" s="110" t="str">
        <f t="shared" si="116"/>
        <v>A Lopez|20260901|Time Off|0.000|1 hours</v>
      </c>
      <c r="AI627" s="108">
        <f t="shared" si="117"/>
        <v>0</v>
      </c>
      <c r="AJ627" s="108">
        <f t="shared" si="118"/>
        <v>0</v>
      </c>
      <c r="AK627" s="108">
        <f>IF($A627="",0,IF(AND($S627=1,$W627=1,$X627=1,$U627&gt;Config!$C$9),1,0))</f>
        <v>0</v>
      </c>
      <c r="AL627" s="108">
        <f t="shared" si="119"/>
        <v>0</v>
      </c>
    </row>
    <row r="628" spans="1:38" x14ac:dyDescent="0.25">
      <c r="A628" s="106" t="s">
        <v>457</v>
      </c>
      <c r="B628" s="106" t="s">
        <v>618</v>
      </c>
      <c r="C628" s="107">
        <v>46266</v>
      </c>
      <c r="D628" s="106" t="s">
        <v>623</v>
      </c>
      <c r="E628" s="106" t="s">
        <v>624</v>
      </c>
      <c r="F628" s="106" t="s">
        <v>615</v>
      </c>
      <c r="G628" s="106" t="s">
        <v>625</v>
      </c>
      <c r="H628" s="106" t="s">
        <v>671</v>
      </c>
      <c r="I628" s="106" t="s">
        <v>657</v>
      </c>
      <c r="J628" s="106"/>
      <c r="K628" s="106">
        <v>0.625</v>
      </c>
      <c r="L628" s="106">
        <v>0</v>
      </c>
      <c r="M628" s="106">
        <v>0</v>
      </c>
      <c r="N628" s="106"/>
      <c r="O628" s="106"/>
      <c r="P628" s="106">
        <v>0</v>
      </c>
      <c r="Q628" s="106" t="s">
        <v>1414</v>
      </c>
      <c r="S628" s="108">
        <f>IF($A628="","",COUNTIF(BPOworkers!$B$6:$B$105,$A628))</f>
        <v>1</v>
      </c>
      <c r="T628" s="109">
        <f>IF($A628="","",$K628*Config!$C$9)</f>
        <v>5</v>
      </c>
      <c r="U628" s="109">
        <f>IF($A628="","",IF(COUNTIF(Config!$C$21:$C$23,$H628)&gt;0,IFERROR(VALUE(LEFT(TRIM($Q628),FIND(" ",TRIM($Q628)&amp;" ")-1)),0),0))</f>
        <v>0</v>
      </c>
      <c r="V628" s="109">
        <f t="shared" si="108"/>
        <v>5</v>
      </c>
      <c r="W628" s="108">
        <f>IF($A628="",0,IF(AND($C628&gt;=Config!$C$7,$C628&lt;=Config!$C$8),1,0))</f>
        <v>1</v>
      </c>
      <c r="X628" s="108">
        <f>IF($A628="",0,IF(COUNTIF(Config!$C$21:$C$23,$H628)&gt;0,1,0))</f>
        <v>0</v>
      </c>
      <c r="Y628" s="108">
        <f t="shared" si="109"/>
        <v>13</v>
      </c>
      <c r="Z628" s="108" t="str">
        <f t="shared" si="110"/>
        <v/>
      </c>
      <c r="AB628" s="108">
        <f t="shared" si="111"/>
        <v>0</v>
      </c>
      <c r="AC628" s="108">
        <f>IF($A628="",0,IF(AND($AB628=1,COUNTIF($A$2:$A628,$A628)=1),1,0))</f>
        <v>0</v>
      </c>
      <c r="AD628" s="108">
        <f t="shared" si="112"/>
        <v>1</v>
      </c>
      <c r="AE628" s="108" t="str">
        <f t="shared" si="113"/>
        <v/>
      </c>
      <c r="AF628" s="108">
        <f t="shared" si="114"/>
        <v>0</v>
      </c>
      <c r="AG628" s="108">
        <f t="shared" si="115"/>
        <v>0</v>
      </c>
      <c r="AH628" s="110" t="str">
        <f t="shared" si="116"/>
        <v>A Lopez|20260901|TitleNotes - Library|0.625|Completed the notecards.</v>
      </c>
      <c r="AI628" s="108">
        <f t="shared" si="117"/>
        <v>0</v>
      </c>
      <c r="AJ628" s="108">
        <f t="shared" si="118"/>
        <v>0</v>
      </c>
      <c r="AK628" s="108">
        <f>IF($A628="",0,IF(AND($S628=1,$W628=1,$X628=1,$U628&gt;Config!$C$9),1,0))</f>
        <v>0</v>
      </c>
      <c r="AL628" s="108">
        <f t="shared" si="119"/>
        <v>0</v>
      </c>
    </row>
    <row r="629" spans="1:38" x14ac:dyDescent="0.25">
      <c r="A629" s="106" t="s">
        <v>457</v>
      </c>
      <c r="B629" s="106" t="s">
        <v>618</v>
      </c>
      <c r="C629" s="107">
        <v>46266</v>
      </c>
      <c r="D629" s="106" t="s">
        <v>680</v>
      </c>
      <c r="E629" s="106" t="s">
        <v>681</v>
      </c>
      <c r="F629" s="106" t="s">
        <v>893</v>
      </c>
      <c r="G629" s="106" t="s">
        <v>1415</v>
      </c>
      <c r="H629" s="106" t="s">
        <v>631</v>
      </c>
      <c r="I629" s="106"/>
      <c r="J629" s="106"/>
      <c r="K629" s="106">
        <v>0.125</v>
      </c>
      <c r="L629" s="106">
        <v>0</v>
      </c>
      <c r="M629" s="106">
        <v>0</v>
      </c>
      <c r="N629" s="106"/>
      <c r="O629" s="106"/>
      <c r="P629" s="106">
        <v>0</v>
      </c>
      <c r="Q629" s="106" t="s">
        <v>1416</v>
      </c>
      <c r="S629" s="108">
        <f>IF($A629="","",COUNTIF(BPOworkers!$B$6:$B$105,$A629))</f>
        <v>1</v>
      </c>
      <c r="T629" s="109">
        <f>IF($A629="","",$K629*Config!$C$9)</f>
        <v>1</v>
      </c>
      <c r="U629" s="109">
        <f>IF($A629="","",IF(COUNTIF(Config!$C$21:$C$23,$H629)&gt;0,IFERROR(VALUE(LEFT(TRIM($Q629),FIND(" ",TRIM($Q629)&amp;" ")-1)),0),0))</f>
        <v>0</v>
      </c>
      <c r="V629" s="109">
        <f t="shared" si="108"/>
        <v>1</v>
      </c>
      <c r="W629" s="108">
        <f>IF($A629="",0,IF(AND($C629&gt;=Config!$C$7,$C629&lt;=Config!$C$8),1,0))</f>
        <v>1</v>
      </c>
      <c r="X629" s="108">
        <f>IF($A629="",0,IF(COUNTIF(Config!$C$21:$C$23,$H629)&gt;0,1,0))</f>
        <v>0</v>
      </c>
      <c r="Y629" s="108">
        <f t="shared" si="109"/>
        <v>13</v>
      </c>
      <c r="Z629" s="108" t="str">
        <f t="shared" si="110"/>
        <v/>
      </c>
      <c r="AB629" s="108">
        <f t="shared" si="111"/>
        <v>0</v>
      </c>
      <c r="AC629" s="108">
        <f>IF($A629="",0,IF(AND($AB629=1,COUNTIF($A$2:$A629,$A629)=1),1,0))</f>
        <v>0</v>
      </c>
      <c r="AD629" s="108">
        <f t="shared" si="112"/>
        <v>1</v>
      </c>
      <c r="AE629" s="108" t="str">
        <f t="shared" si="113"/>
        <v/>
      </c>
      <c r="AF629" s="108">
        <f t="shared" si="114"/>
        <v>0</v>
      </c>
      <c r="AG629" s="108">
        <f t="shared" si="115"/>
        <v>0</v>
      </c>
      <c r="AH629" s="110" t="str">
        <f t="shared" si="116"/>
        <v>A Lopez|20260901|Title|0.125|Completed the search of the source deed</v>
      </c>
      <c r="AI629" s="108">
        <f t="shared" si="117"/>
        <v>1</v>
      </c>
      <c r="AJ629" s="108">
        <f t="shared" si="118"/>
        <v>0</v>
      </c>
      <c r="AK629" s="108">
        <f>IF($A629="",0,IF(AND($S629=1,$W629=1,$X629=1,$U629&gt;Config!$C$9),1,0))</f>
        <v>0</v>
      </c>
      <c r="AL629" s="108">
        <f t="shared" si="119"/>
        <v>0</v>
      </c>
    </row>
    <row r="630" spans="1:38" x14ac:dyDescent="0.25">
      <c r="A630" s="106" t="s">
        <v>457</v>
      </c>
      <c r="B630" s="106" t="s">
        <v>618</v>
      </c>
      <c r="C630" s="107">
        <v>46266</v>
      </c>
      <c r="D630" s="106" t="s">
        <v>680</v>
      </c>
      <c r="E630" s="106" t="s">
        <v>681</v>
      </c>
      <c r="F630" s="106" t="s">
        <v>1417</v>
      </c>
      <c r="G630" s="106" t="s">
        <v>1418</v>
      </c>
      <c r="H630" s="106" t="s">
        <v>631</v>
      </c>
      <c r="I630" s="106"/>
      <c r="J630" s="106"/>
      <c r="K630" s="106">
        <v>0.125</v>
      </c>
      <c r="L630" s="106">
        <v>0</v>
      </c>
      <c r="M630" s="106">
        <v>0</v>
      </c>
      <c r="N630" s="106"/>
      <c r="O630" s="106"/>
      <c r="P630" s="106">
        <v>0</v>
      </c>
      <c r="Q630" s="106" t="s">
        <v>1416</v>
      </c>
      <c r="S630" s="108">
        <f>IF($A630="","",COUNTIF(BPOworkers!$B$6:$B$105,$A630))</f>
        <v>1</v>
      </c>
      <c r="T630" s="109">
        <f>IF($A630="","",$K630*Config!$C$9)</f>
        <v>1</v>
      </c>
      <c r="U630" s="109">
        <f>IF($A630="","",IF(COUNTIF(Config!$C$21:$C$23,$H630)&gt;0,IFERROR(VALUE(LEFT(TRIM($Q630),FIND(" ",TRIM($Q630)&amp;" ")-1)),0),0))</f>
        <v>0</v>
      </c>
      <c r="V630" s="109">
        <f t="shared" si="108"/>
        <v>1</v>
      </c>
      <c r="W630" s="108">
        <f>IF($A630="",0,IF(AND($C630&gt;=Config!$C$7,$C630&lt;=Config!$C$8),1,0))</f>
        <v>1</v>
      </c>
      <c r="X630" s="108">
        <f>IF($A630="",0,IF(COUNTIF(Config!$C$21:$C$23,$H630)&gt;0,1,0))</f>
        <v>0</v>
      </c>
      <c r="Y630" s="108">
        <f t="shared" si="109"/>
        <v>13</v>
      </c>
      <c r="Z630" s="108" t="str">
        <f t="shared" si="110"/>
        <v/>
      </c>
      <c r="AB630" s="108">
        <f t="shared" si="111"/>
        <v>0</v>
      </c>
      <c r="AC630" s="108">
        <f>IF($A630="",0,IF(AND($AB630=1,COUNTIF($A$2:$A630,$A630)=1),1,0))</f>
        <v>0</v>
      </c>
      <c r="AD630" s="108">
        <f t="shared" si="112"/>
        <v>1</v>
      </c>
      <c r="AE630" s="108" t="str">
        <f t="shared" si="113"/>
        <v/>
      </c>
      <c r="AF630" s="108">
        <f t="shared" si="114"/>
        <v>0</v>
      </c>
      <c r="AG630" s="108">
        <f t="shared" si="115"/>
        <v>0</v>
      </c>
      <c r="AH630" s="110" t="str">
        <f t="shared" si="116"/>
        <v>A Lopez|20260901|Title|0.125|Completed the search of the source deed</v>
      </c>
      <c r="AI630" s="108">
        <f t="shared" si="117"/>
        <v>1</v>
      </c>
      <c r="AJ630" s="108">
        <f t="shared" si="118"/>
        <v>0</v>
      </c>
      <c r="AK630" s="108">
        <f>IF($A630="",0,IF(AND($S630=1,$W630=1,$X630=1,$U630&gt;Config!$C$9),1,0))</f>
        <v>0</v>
      </c>
      <c r="AL630" s="108">
        <f t="shared" si="119"/>
        <v>0</v>
      </c>
    </row>
    <row r="631" spans="1:38" ht="96.75" x14ac:dyDescent="0.25">
      <c r="A631" s="106" t="s">
        <v>482</v>
      </c>
      <c r="B631" s="106" t="s">
        <v>618</v>
      </c>
      <c r="C631" s="107">
        <v>46266</v>
      </c>
      <c r="D631" s="106" t="s">
        <v>623</v>
      </c>
      <c r="E631" s="106" t="s">
        <v>624</v>
      </c>
      <c r="F631" s="106" t="s">
        <v>615</v>
      </c>
      <c r="G631" s="106" t="s">
        <v>625</v>
      </c>
      <c r="H631" s="106" t="s">
        <v>671</v>
      </c>
      <c r="I631" s="106" t="s">
        <v>657</v>
      </c>
      <c r="J631" s="106"/>
      <c r="K631" s="106">
        <v>0.25</v>
      </c>
      <c r="L631" s="106">
        <v>0</v>
      </c>
      <c r="M631" s="106">
        <v>0</v>
      </c>
      <c r="N631" s="106"/>
      <c r="O631" s="106"/>
      <c r="P631" s="106">
        <v>0</v>
      </c>
      <c r="Q631" s="111" t="s">
        <v>1419</v>
      </c>
      <c r="S631" s="108">
        <f>IF($A631="","",COUNTIF(BPOworkers!$B$6:$B$105,$A631))</f>
        <v>1</v>
      </c>
      <c r="T631" s="109">
        <f>IF($A631="","",$K631*Config!$C$9)</f>
        <v>2</v>
      </c>
      <c r="U631" s="109">
        <f>IF($A631="","",IF(COUNTIF(Config!$C$21:$C$23,$H631)&gt;0,IFERROR(VALUE(LEFT(TRIM($Q631),FIND(" ",TRIM($Q631)&amp;" ")-1)),0),0))</f>
        <v>0</v>
      </c>
      <c r="V631" s="109">
        <f t="shared" si="108"/>
        <v>2</v>
      </c>
      <c r="W631" s="108">
        <f>IF($A631="",0,IF(AND($C631&gt;=Config!$C$7,$C631&lt;=Config!$C$8),1,0))</f>
        <v>1</v>
      </c>
      <c r="X631" s="108">
        <f>IF($A631="",0,IF(COUNTIF(Config!$C$21:$C$23,$H631)&gt;0,1,0))</f>
        <v>0</v>
      </c>
      <c r="Y631" s="108">
        <f t="shared" si="109"/>
        <v>13</v>
      </c>
      <c r="Z631" s="108" t="str">
        <f t="shared" si="110"/>
        <v/>
      </c>
      <c r="AB631" s="108">
        <f t="shared" si="111"/>
        <v>0</v>
      </c>
      <c r="AC631" s="108">
        <f>IF($A631="",0,IF(AND($AB631=1,COUNTIF($A$2:$A631,$A631)=1),1,0))</f>
        <v>0</v>
      </c>
      <c r="AD631" s="108">
        <f t="shared" si="112"/>
        <v>1</v>
      </c>
      <c r="AE631" s="108" t="str">
        <f t="shared" si="113"/>
        <v/>
      </c>
      <c r="AF631" s="108">
        <f t="shared" si="114"/>
        <v>0</v>
      </c>
      <c r="AG631" s="108">
        <f t="shared" si="115"/>
        <v>0</v>
      </c>
      <c r="AH631" s="112" t="str">
        <f t="shared" si="116"/>
        <v>M Grazziani|20260901|TitleNotes - Library|0.250|11 Notecards
 46 Transactions</v>
      </c>
      <c r="AI631" s="108">
        <f t="shared" si="117"/>
        <v>0</v>
      </c>
      <c r="AJ631" s="108">
        <f t="shared" si="118"/>
        <v>0</v>
      </c>
      <c r="AK631" s="108">
        <f>IF($A631="",0,IF(AND($S631=1,$W631=1,$X631=1,$U631&gt;Config!$C$9),1,0))</f>
        <v>0</v>
      </c>
      <c r="AL631" s="108">
        <f t="shared" si="119"/>
        <v>0</v>
      </c>
    </row>
    <row r="632" spans="1:38" ht="120.75" x14ac:dyDescent="0.25">
      <c r="A632" s="106" t="s">
        <v>482</v>
      </c>
      <c r="B632" s="106" t="s">
        <v>618</v>
      </c>
      <c r="C632" s="107">
        <v>46266</v>
      </c>
      <c r="D632" s="106" t="s">
        <v>680</v>
      </c>
      <c r="E632" s="106" t="s">
        <v>681</v>
      </c>
      <c r="F632" s="106" t="s">
        <v>686</v>
      </c>
      <c r="G632" s="106" t="s">
        <v>1420</v>
      </c>
      <c r="H632" s="106" t="s">
        <v>631</v>
      </c>
      <c r="I632" s="106"/>
      <c r="J632" s="106"/>
      <c r="K632" s="106">
        <v>0.5</v>
      </c>
      <c r="L632" s="106">
        <v>0</v>
      </c>
      <c r="M632" s="106">
        <v>0</v>
      </c>
      <c r="N632" s="106"/>
      <c r="O632" s="106"/>
      <c r="P632" s="106">
        <v>0</v>
      </c>
      <c r="Q632" s="111" t="s">
        <v>1421</v>
      </c>
      <c r="S632" s="108">
        <f>IF($A632="","",COUNTIF(BPOworkers!$B$6:$B$105,$A632))</f>
        <v>1</v>
      </c>
      <c r="T632" s="109">
        <f>IF($A632="","",$K632*Config!$C$9)</f>
        <v>4</v>
      </c>
      <c r="U632" s="109">
        <f>IF($A632="","",IF(COUNTIF(Config!$C$21:$C$23,$H632)&gt;0,IFERROR(VALUE(LEFT(TRIM($Q632),FIND(" ",TRIM($Q632)&amp;" ")-1)),0),0))</f>
        <v>0</v>
      </c>
      <c r="V632" s="109">
        <f t="shared" si="108"/>
        <v>4</v>
      </c>
      <c r="W632" s="108">
        <f>IF($A632="",0,IF(AND($C632&gt;=Config!$C$7,$C632&lt;=Config!$C$8),1,0))</f>
        <v>1</v>
      </c>
      <c r="X632" s="108">
        <f>IF($A632="",0,IF(COUNTIF(Config!$C$21:$C$23,$H632)&gt;0,1,0))</f>
        <v>0</v>
      </c>
      <c r="Y632" s="108">
        <f t="shared" si="109"/>
        <v>13</v>
      </c>
      <c r="Z632" s="108" t="str">
        <f t="shared" si="110"/>
        <v/>
      </c>
      <c r="AB632" s="108">
        <f t="shared" si="111"/>
        <v>0</v>
      </c>
      <c r="AC632" s="108">
        <f>IF($A632="",0,IF(AND($AB632=1,COUNTIF($A$2:$A632,$A632)=1),1,0))</f>
        <v>0</v>
      </c>
      <c r="AD632" s="108">
        <f t="shared" si="112"/>
        <v>1</v>
      </c>
      <c r="AE632" s="108" t="str">
        <f t="shared" si="113"/>
        <v/>
      </c>
      <c r="AF632" s="108">
        <f t="shared" si="114"/>
        <v>0</v>
      </c>
      <c r="AG632" s="108">
        <f t="shared" si="115"/>
        <v>0</v>
      </c>
      <c r="AH632" s="112" t="str">
        <f t="shared" si="116"/>
        <v>M Grazziani|20260901|Title|0.500|Found the source deed for
 28-0000872.001 
 25-0000423.000</v>
      </c>
      <c r="AI632" s="108">
        <f t="shared" si="117"/>
        <v>0</v>
      </c>
      <c r="AJ632" s="108">
        <f t="shared" si="118"/>
        <v>0</v>
      </c>
      <c r="AK632" s="108">
        <f>IF($A632="",0,IF(AND($S632=1,$W632=1,$X632=1,$U632&gt;Config!$C$9),1,0))</f>
        <v>0</v>
      </c>
      <c r="AL632" s="108">
        <f t="shared" si="119"/>
        <v>0</v>
      </c>
    </row>
    <row r="633" spans="1:38" ht="96.75" x14ac:dyDescent="0.25">
      <c r="A633" s="106" t="s">
        <v>482</v>
      </c>
      <c r="B633" s="106" t="s">
        <v>618</v>
      </c>
      <c r="C633" s="107">
        <v>46266</v>
      </c>
      <c r="D633" s="106" t="s">
        <v>680</v>
      </c>
      <c r="E633" s="106" t="s">
        <v>681</v>
      </c>
      <c r="F633" s="106" t="s">
        <v>686</v>
      </c>
      <c r="G633" s="106" t="s">
        <v>1422</v>
      </c>
      <c r="H633" s="106" t="s">
        <v>631</v>
      </c>
      <c r="I633" s="106"/>
      <c r="J633" s="106"/>
      <c r="K633" s="106">
        <v>0.25</v>
      </c>
      <c r="L633" s="106">
        <v>0</v>
      </c>
      <c r="M633" s="106">
        <v>0</v>
      </c>
      <c r="N633" s="106"/>
      <c r="O633" s="106"/>
      <c r="P633" s="106">
        <v>0</v>
      </c>
      <c r="Q633" s="111" t="s">
        <v>1423</v>
      </c>
      <c r="S633" s="108">
        <f>IF($A633="","",COUNTIF(BPOworkers!$B$6:$B$105,$A633))</f>
        <v>1</v>
      </c>
      <c r="T633" s="109">
        <f>IF($A633="","",$K633*Config!$C$9)</f>
        <v>2</v>
      </c>
      <c r="U633" s="109">
        <f>IF($A633="","",IF(COUNTIF(Config!$C$21:$C$23,$H633)&gt;0,IFERROR(VALUE(LEFT(TRIM($Q633),FIND(" ",TRIM($Q633)&amp;" ")-1)),0),0))</f>
        <v>0</v>
      </c>
      <c r="V633" s="109">
        <f t="shared" si="108"/>
        <v>2</v>
      </c>
      <c r="W633" s="108">
        <f>IF($A633="",0,IF(AND($C633&gt;=Config!$C$7,$C633&lt;=Config!$C$8),1,0))</f>
        <v>1</v>
      </c>
      <c r="X633" s="108">
        <f>IF($A633="",0,IF(COUNTIF(Config!$C$21:$C$23,$H633)&gt;0,1,0))</f>
        <v>0</v>
      </c>
      <c r="Y633" s="108">
        <f t="shared" si="109"/>
        <v>13</v>
      </c>
      <c r="Z633" s="108" t="str">
        <f t="shared" si="110"/>
        <v/>
      </c>
      <c r="AB633" s="108">
        <f t="shared" si="111"/>
        <v>0</v>
      </c>
      <c r="AC633" s="108">
        <f>IF($A633="",0,IF(AND($AB633=1,COUNTIF($A$2:$A633,$A633)=1),1,0))</f>
        <v>0</v>
      </c>
      <c r="AD633" s="108">
        <f t="shared" si="112"/>
        <v>1</v>
      </c>
      <c r="AE633" s="108" t="str">
        <f t="shared" si="113"/>
        <v/>
      </c>
      <c r="AF633" s="108">
        <f t="shared" si="114"/>
        <v>0</v>
      </c>
      <c r="AG633" s="108">
        <f t="shared" si="115"/>
        <v>0</v>
      </c>
      <c r="AH633" s="112" t="str">
        <f t="shared" si="116"/>
        <v>M Grazziani|20260901|Title|0.250|Found the source deed for
 25-0000713.001</v>
      </c>
      <c r="AI633" s="108">
        <f t="shared" si="117"/>
        <v>0</v>
      </c>
      <c r="AJ633" s="108">
        <f t="shared" si="118"/>
        <v>0</v>
      </c>
      <c r="AK633" s="108">
        <f>IF($A633="",0,IF(AND($S633=1,$W633=1,$X633=1,$U633&gt;Config!$C$9),1,0))</f>
        <v>0</v>
      </c>
      <c r="AL633" s="108">
        <f t="shared" si="119"/>
        <v>0</v>
      </c>
    </row>
    <row r="634" spans="1:38" ht="96.75" x14ac:dyDescent="0.25">
      <c r="A634" s="106" t="s">
        <v>464</v>
      </c>
      <c r="B634" s="106" t="s">
        <v>618</v>
      </c>
      <c r="C634" s="107">
        <v>46266</v>
      </c>
      <c r="D634" s="106" t="s">
        <v>694</v>
      </c>
      <c r="E634" s="106" t="s">
        <v>709</v>
      </c>
      <c r="F634" s="106" t="s">
        <v>615</v>
      </c>
      <c r="G634" s="106"/>
      <c r="H634" s="106" t="s">
        <v>709</v>
      </c>
      <c r="I634" s="106"/>
      <c r="J634" s="106" t="s">
        <v>992</v>
      </c>
      <c r="K634" s="106">
        <v>1</v>
      </c>
      <c r="L634" s="106">
        <v>0</v>
      </c>
      <c r="M634" s="106">
        <v>0</v>
      </c>
      <c r="N634" s="106"/>
      <c r="O634" s="106"/>
      <c r="P634" s="106">
        <v>0</v>
      </c>
      <c r="Q634" s="111" t="s">
        <v>1279</v>
      </c>
      <c r="S634" s="108">
        <f>IF($A634="","",COUNTIF(BPOworkers!$B$6:$B$105,$A634))</f>
        <v>1</v>
      </c>
      <c r="T634" s="109">
        <f>IF($A634="","",$K634*Config!$C$9)</f>
        <v>8</v>
      </c>
      <c r="U634" s="109">
        <f>IF($A634="","",IF(COUNTIF(Config!$C$21:$C$23,$H634)&gt;0,IFERROR(VALUE(LEFT(TRIM($Q634),FIND(" ",TRIM($Q634)&amp;" ")-1)),0),0))</f>
        <v>0</v>
      </c>
      <c r="V634" s="109">
        <f t="shared" si="108"/>
        <v>8</v>
      </c>
      <c r="W634" s="108">
        <f>IF($A634="",0,IF(AND($C634&gt;=Config!$C$7,$C634&lt;=Config!$C$8),1,0))</f>
        <v>1</v>
      </c>
      <c r="X634" s="108">
        <f>IF($A634="",0,IF(COUNTIF(Config!$C$21:$C$23,$H634)&gt;0,1,0))</f>
        <v>0</v>
      </c>
      <c r="Y634" s="108">
        <f t="shared" si="109"/>
        <v>13</v>
      </c>
      <c r="Z634" s="108" t="str">
        <f t="shared" si="110"/>
        <v/>
      </c>
      <c r="AB634" s="108">
        <f t="shared" si="111"/>
        <v>0</v>
      </c>
      <c r="AC634" s="108">
        <f>IF($A634="",0,IF(AND($AB634=1,COUNTIF($A$2:$A634,$A634)=1),1,0))</f>
        <v>0</v>
      </c>
      <c r="AD634" s="108">
        <f t="shared" si="112"/>
        <v>1</v>
      </c>
      <c r="AE634" s="108" t="str">
        <f t="shared" si="113"/>
        <v/>
      </c>
      <c r="AF634" s="108">
        <f t="shared" si="114"/>
        <v>0</v>
      </c>
      <c r="AG634" s="108">
        <f t="shared" si="115"/>
        <v>0</v>
      </c>
      <c r="AH634" s="112" t="str">
        <f t="shared" si="116"/>
        <v>I De La Parra|20260901|Land Admin|1.000|- DO tracker
 - ACP &amp; AIP Well List Trackers</v>
      </c>
      <c r="AI634" s="108">
        <f t="shared" si="117"/>
        <v>0</v>
      </c>
      <c r="AJ634" s="108">
        <f t="shared" si="118"/>
        <v>0</v>
      </c>
      <c r="AK634" s="108">
        <f>IF($A634="",0,IF(AND($S634=1,$W634=1,$X634=1,$U634&gt;Config!$C$9),1,0))</f>
        <v>0</v>
      </c>
      <c r="AL634" s="108">
        <f t="shared" si="119"/>
        <v>0</v>
      </c>
    </row>
    <row r="635" spans="1:38" x14ac:dyDescent="0.25">
      <c r="A635" s="106" t="s">
        <v>460</v>
      </c>
      <c r="B635" s="106" t="s">
        <v>618</v>
      </c>
      <c r="C635" s="107">
        <v>46266</v>
      </c>
      <c r="D635" s="106" t="s">
        <v>529</v>
      </c>
      <c r="E635" s="106" t="s">
        <v>529</v>
      </c>
      <c r="F635" s="106" t="s">
        <v>615</v>
      </c>
      <c r="G635" s="106"/>
      <c r="H635" s="106" t="s">
        <v>531</v>
      </c>
      <c r="I635" s="106"/>
      <c r="J635" s="106" t="s">
        <v>756</v>
      </c>
      <c r="K635" s="106">
        <v>0</v>
      </c>
      <c r="L635" s="106">
        <v>0</v>
      </c>
      <c r="M635" s="106">
        <v>0</v>
      </c>
      <c r="N635" s="106"/>
      <c r="O635" s="106"/>
      <c r="P635" s="106">
        <v>0</v>
      </c>
      <c r="Q635" s="106" t="s">
        <v>757</v>
      </c>
      <c r="S635" s="108">
        <f>IF($A635="","",COUNTIF(BPOworkers!$B$6:$B$105,$A635))</f>
        <v>1</v>
      </c>
      <c r="T635" s="109">
        <f>IF($A635="","",$K635*Config!$C$9)</f>
        <v>0</v>
      </c>
      <c r="U635" s="109">
        <f>IF($A635="","",IF(COUNTIF(Config!$C$21:$C$23,$H635)&gt;0,IFERROR(VALUE(LEFT(TRIM($Q635),FIND(" ",TRIM($Q635)&amp;" ")-1)),0),0))</f>
        <v>8</v>
      </c>
      <c r="V635" s="109">
        <f t="shared" si="108"/>
        <v>8</v>
      </c>
      <c r="W635" s="108">
        <f>IF($A635="",0,IF(AND($C635&gt;=Config!$C$7,$C635&lt;=Config!$C$8),1,0))</f>
        <v>1</v>
      </c>
      <c r="X635" s="108">
        <f>IF($A635="",0,IF(COUNTIF(Config!$C$21:$C$23,$H635)&gt;0,1,0))</f>
        <v>1</v>
      </c>
      <c r="Y635" s="108">
        <f t="shared" si="109"/>
        <v>14</v>
      </c>
      <c r="Z635" s="108">
        <f t="shared" si="110"/>
        <v>14</v>
      </c>
      <c r="AB635" s="108">
        <f t="shared" si="111"/>
        <v>0</v>
      </c>
      <c r="AC635" s="108">
        <f>IF($A635="",0,IF(AND($AB635=1,COUNTIF($A$2:$A635,$A635)=1),1,0))</f>
        <v>0</v>
      </c>
      <c r="AD635" s="108">
        <f t="shared" si="112"/>
        <v>1</v>
      </c>
      <c r="AE635" s="108" t="str">
        <f t="shared" si="113"/>
        <v/>
      </c>
      <c r="AF635" s="108">
        <f t="shared" si="114"/>
        <v>0</v>
      </c>
      <c r="AG635" s="108">
        <f t="shared" si="115"/>
        <v>0</v>
      </c>
      <c r="AH635" s="110" t="str">
        <f t="shared" si="116"/>
        <v>C Mesa|20260901|BPO Vacation|0.000|8 hours of paid vacations</v>
      </c>
      <c r="AI635" s="108">
        <f t="shared" si="117"/>
        <v>0</v>
      </c>
      <c r="AJ635" s="108">
        <f t="shared" si="118"/>
        <v>0</v>
      </c>
      <c r="AK635" s="108">
        <f>IF($A635="",0,IF(AND($S635=1,$W635=1,$X635=1,$U635&gt;Config!$C$9),1,0))</f>
        <v>0</v>
      </c>
      <c r="AL635" s="108">
        <f t="shared" si="119"/>
        <v>0</v>
      </c>
    </row>
    <row r="636" spans="1:38" x14ac:dyDescent="0.25">
      <c r="A636" s="106" t="s">
        <v>470</v>
      </c>
      <c r="B636" s="106" t="s">
        <v>618</v>
      </c>
      <c r="C636" s="107">
        <v>46266</v>
      </c>
      <c r="D636" s="106" t="s">
        <v>529</v>
      </c>
      <c r="E636" s="106" t="s">
        <v>529</v>
      </c>
      <c r="F636" s="106" t="s">
        <v>615</v>
      </c>
      <c r="G636" s="106"/>
      <c r="H636" s="106" t="s">
        <v>531</v>
      </c>
      <c r="I636" s="106"/>
      <c r="J636" s="106" t="s">
        <v>1280</v>
      </c>
      <c r="K636" s="106">
        <v>0</v>
      </c>
      <c r="L636" s="106">
        <v>0</v>
      </c>
      <c r="M636" s="106">
        <v>0</v>
      </c>
      <c r="N636" s="106"/>
      <c r="O636" s="106"/>
      <c r="P636" s="106">
        <v>0</v>
      </c>
      <c r="Q636" s="106" t="s">
        <v>757</v>
      </c>
      <c r="S636" s="108">
        <f>IF($A636="","",COUNTIF(BPOworkers!$B$6:$B$105,$A636))</f>
        <v>1</v>
      </c>
      <c r="T636" s="109">
        <f>IF($A636="","",$K636*Config!$C$9)</f>
        <v>0</v>
      </c>
      <c r="U636" s="109">
        <f>IF($A636="","",IF(COUNTIF(Config!$C$21:$C$23,$H636)&gt;0,IFERROR(VALUE(LEFT(TRIM($Q636),FIND(" ",TRIM($Q636)&amp;" ")-1)),0),0))</f>
        <v>8</v>
      </c>
      <c r="V636" s="109">
        <f t="shared" si="108"/>
        <v>8</v>
      </c>
      <c r="W636" s="108">
        <f>IF($A636="",0,IF(AND($C636&gt;=Config!$C$7,$C636&lt;=Config!$C$8),1,0))</f>
        <v>1</v>
      </c>
      <c r="X636" s="108">
        <f>IF($A636="",0,IF(COUNTIF(Config!$C$21:$C$23,$H636)&gt;0,1,0))</f>
        <v>1</v>
      </c>
      <c r="Y636" s="108">
        <f t="shared" si="109"/>
        <v>15</v>
      </c>
      <c r="Z636" s="108">
        <f t="shared" si="110"/>
        <v>15</v>
      </c>
      <c r="AB636" s="108">
        <f t="shared" si="111"/>
        <v>0</v>
      </c>
      <c r="AC636" s="108">
        <f>IF($A636="",0,IF(AND($AB636=1,COUNTIF($A$2:$A636,$A636)=1),1,0))</f>
        <v>0</v>
      </c>
      <c r="AD636" s="108">
        <f t="shared" si="112"/>
        <v>1</v>
      </c>
      <c r="AE636" s="108" t="str">
        <f t="shared" si="113"/>
        <v/>
      </c>
      <c r="AF636" s="108">
        <f t="shared" si="114"/>
        <v>0</v>
      </c>
      <c r="AG636" s="108">
        <f t="shared" si="115"/>
        <v>0</v>
      </c>
      <c r="AH636" s="110" t="str">
        <f t="shared" si="116"/>
        <v>J Gonzalez|20260901|BPO Vacation|0.000|8 hours of paid vacations</v>
      </c>
      <c r="AI636" s="108">
        <f t="shared" si="117"/>
        <v>0</v>
      </c>
      <c r="AJ636" s="108">
        <f t="shared" si="118"/>
        <v>0</v>
      </c>
      <c r="AK636" s="108">
        <f>IF($A636="",0,IF(AND($S636=1,$W636=1,$X636=1,$U636&gt;Config!$C$9),1,0))</f>
        <v>0</v>
      </c>
      <c r="AL636" s="108">
        <f t="shared" si="119"/>
        <v>0</v>
      </c>
    </row>
    <row r="637" spans="1:38" x14ac:dyDescent="0.25">
      <c r="A637" s="106" t="s">
        <v>759</v>
      </c>
      <c r="B637" s="106" t="s">
        <v>618</v>
      </c>
      <c r="C637" s="107">
        <v>46266</v>
      </c>
      <c r="D637" s="106" t="s">
        <v>712</v>
      </c>
      <c r="E637" s="106" t="s">
        <v>713</v>
      </c>
      <c r="F637" s="106" t="s">
        <v>714</v>
      </c>
      <c r="G637" s="106" t="s">
        <v>1146</v>
      </c>
      <c r="H637" s="106" t="s">
        <v>631</v>
      </c>
      <c r="I637" s="106"/>
      <c r="J637" s="106"/>
      <c r="K637" s="106">
        <v>1</v>
      </c>
      <c r="L637" s="106">
        <v>0</v>
      </c>
      <c r="M637" s="106">
        <v>0</v>
      </c>
      <c r="N637" s="106"/>
      <c r="O637" s="106"/>
      <c r="P637" s="106">
        <v>0</v>
      </c>
      <c r="Q637" s="106" t="s">
        <v>1147</v>
      </c>
      <c r="S637" s="108">
        <f>IF($A637="","",COUNTIF(BPOworkers!$B$6:$B$105,$A637))</f>
        <v>0</v>
      </c>
      <c r="T637" s="109">
        <f>IF($A637="","",$K637*Config!$C$9)</f>
        <v>8</v>
      </c>
      <c r="U637" s="109">
        <f>IF($A637="","",IF(COUNTIF(Config!$C$21:$C$23,$H637)&gt;0,IFERROR(VALUE(LEFT(TRIM($Q637),FIND(" ",TRIM($Q637)&amp;" ")-1)),0),0))</f>
        <v>0</v>
      </c>
      <c r="V637" s="109">
        <f t="shared" si="108"/>
        <v>8</v>
      </c>
      <c r="W637" s="108">
        <f>IF($A637="",0,IF(AND($C637&gt;=Config!$C$7,$C637&lt;=Config!$C$8),1,0))</f>
        <v>1</v>
      </c>
      <c r="X637" s="108">
        <f>IF($A637="",0,IF(COUNTIF(Config!$C$21:$C$23,$H637)&gt;0,1,0))</f>
        <v>0</v>
      </c>
      <c r="Y637" s="108">
        <f t="shared" si="109"/>
        <v>15</v>
      </c>
      <c r="Z637" s="108" t="str">
        <f t="shared" si="110"/>
        <v/>
      </c>
      <c r="AB637" s="108">
        <f t="shared" si="111"/>
        <v>0</v>
      </c>
      <c r="AC637" s="108">
        <f>IF($A637="",0,IF(AND($AB637=1,COUNTIF($A$2:$A637,$A637)=1),1,0))</f>
        <v>0</v>
      </c>
      <c r="AD637" s="108">
        <f t="shared" si="112"/>
        <v>1</v>
      </c>
      <c r="AE637" s="108" t="str">
        <f t="shared" si="113"/>
        <v/>
      </c>
      <c r="AF637" s="108">
        <f t="shared" si="114"/>
        <v>0</v>
      </c>
      <c r="AG637" s="108">
        <f t="shared" si="115"/>
        <v>0</v>
      </c>
      <c r="AH637" s="110" t="str">
        <f t="shared" si="116"/>
        <v>T. Aguillard|20260901|Title|1.000|Indexing</v>
      </c>
      <c r="AI637" s="108">
        <f t="shared" si="117"/>
        <v>0</v>
      </c>
      <c r="AJ637" s="108">
        <f t="shared" si="118"/>
        <v>0</v>
      </c>
      <c r="AK637" s="108">
        <f>IF($A637="",0,IF(AND($S637=1,$W637=1,$X637=1,$U637&gt;Config!$C$9),1,0))</f>
        <v>0</v>
      </c>
      <c r="AL637" s="108">
        <f t="shared" si="119"/>
        <v>0</v>
      </c>
    </row>
    <row r="638" spans="1:38" x14ac:dyDescent="0.25">
      <c r="A638" s="106" t="s">
        <v>761</v>
      </c>
      <c r="B638" s="106" t="s">
        <v>618</v>
      </c>
      <c r="C638" s="107">
        <v>46266</v>
      </c>
      <c r="D638" s="106" t="s">
        <v>529</v>
      </c>
      <c r="E638" s="106" t="s">
        <v>529</v>
      </c>
      <c r="F638" s="106" t="s">
        <v>615</v>
      </c>
      <c r="G638" s="106"/>
      <c r="H638" s="106" t="s">
        <v>529</v>
      </c>
      <c r="I638" s="106"/>
      <c r="J638" s="106"/>
      <c r="K638" s="106">
        <v>0</v>
      </c>
      <c r="L638" s="106">
        <v>0</v>
      </c>
      <c r="M638" s="106">
        <v>0</v>
      </c>
      <c r="N638" s="106"/>
      <c r="O638" s="106"/>
      <c r="P638" s="106">
        <v>0</v>
      </c>
      <c r="Q638" s="106" t="s">
        <v>661</v>
      </c>
      <c r="S638" s="108">
        <f>IF($A638="","",COUNTIF(BPOworkers!$B$6:$B$105,$A638))</f>
        <v>0</v>
      </c>
      <c r="T638" s="109">
        <f>IF($A638="","",$K638*Config!$C$9)</f>
        <v>0</v>
      </c>
      <c r="U638" s="109">
        <f>IF($A638="","",IF(COUNTIF(Config!$C$21:$C$23,$H638)&gt;0,IFERROR(VALUE(LEFT(TRIM($Q638),FIND(" ",TRIM($Q638)&amp;" ")-1)),0),0))</f>
        <v>8</v>
      </c>
      <c r="V638" s="109">
        <f t="shared" si="108"/>
        <v>8</v>
      </c>
      <c r="W638" s="108">
        <f>IF($A638="",0,IF(AND($C638&gt;=Config!$C$7,$C638&lt;=Config!$C$8),1,0))</f>
        <v>1</v>
      </c>
      <c r="X638" s="108">
        <f>IF($A638="",0,IF(COUNTIF(Config!$C$21:$C$23,$H638)&gt;0,1,0))</f>
        <v>1</v>
      </c>
      <c r="Y638" s="108">
        <f t="shared" si="109"/>
        <v>15</v>
      </c>
      <c r="Z638" s="108" t="str">
        <f t="shared" si="110"/>
        <v/>
      </c>
      <c r="AB638" s="108">
        <f t="shared" si="111"/>
        <v>0</v>
      </c>
      <c r="AC638" s="108">
        <f>IF($A638="",0,IF(AND($AB638=1,COUNTIF($A$2:$A638,$A638)=1),1,0))</f>
        <v>0</v>
      </c>
      <c r="AD638" s="108">
        <f t="shared" si="112"/>
        <v>1</v>
      </c>
      <c r="AE638" s="108" t="str">
        <f t="shared" si="113"/>
        <v/>
      </c>
      <c r="AF638" s="108">
        <f t="shared" si="114"/>
        <v>0</v>
      </c>
      <c r="AG638" s="108">
        <f t="shared" si="115"/>
        <v>0</v>
      </c>
      <c r="AH638" s="110" t="str">
        <f t="shared" si="116"/>
        <v>J. Smallridge|20260901|Time Off|0.000|8 hours not billed</v>
      </c>
      <c r="AI638" s="108">
        <f t="shared" si="117"/>
        <v>0</v>
      </c>
      <c r="AJ638" s="108">
        <f t="shared" si="118"/>
        <v>0</v>
      </c>
      <c r="AK638" s="108">
        <f>IF($A638="",0,IF(AND($S638=1,$W638=1,$X638=1,$U638&gt;Config!$C$9),1,0))</f>
        <v>0</v>
      </c>
      <c r="AL638" s="108">
        <f t="shared" si="119"/>
        <v>0</v>
      </c>
    </row>
    <row r="639" spans="1:38" x14ac:dyDescent="0.25">
      <c r="A639" s="106" t="s">
        <v>994</v>
      </c>
      <c r="B639" s="106" t="s">
        <v>618</v>
      </c>
      <c r="C639" s="107">
        <v>46266</v>
      </c>
      <c r="D639" s="106" t="s">
        <v>529</v>
      </c>
      <c r="E639" s="106" t="s">
        <v>529</v>
      </c>
      <c r="F639" s="106" t="s">
        <v>615</v>
      </c>
      <c r="G639" s="106"/>
      <c r="H639" s="106" t="s">
        <v>529</v>
      </c>
      <c r="I639" s="106"/>
      <c r="J639" s="106"/>
      <c r="K639" s="106">
        <v>0</v>
      </c>
      <c r="L639" s="106">
        <v>0</v>
      </c>
      <c r="M639" s="106">
        <v>0</v>
      </c>
      <c r="N639" s="106"/>
      <c r="O639" s="106"/>
      <c r="P639" s="106">
        <v>0</v>
      </c>
      <c r="Q639" s="106" t="s">
        <v>995</v>
      </c>
      <c r="S639" s="108">
        <f>IF($A639="","",COUNTIF(BPOworkers!$B$6:$B$105,$A639))</f>
        <v>0</v>
      </c>
      <c r="T639" s="109">
        <f>IF($A639="","",$K639*Config!$C$9)</f>
        <v>0</v>
      </c>
      <c r="U639" s="109">
        <f>IF($A639="","",IF(COUNTIF(Config!$C$21:$C$23,$H639)&gt;0,IFERROR(VALUE(LEFT(TRIM($Q639),FIND(" ",TRIM($Q639)&amp;" ")-1)),0),0))</f>
        <v>0</v>
      </c>
      <c r="V639" s="109">
        <f t="shared" si="108"/>
        <v>0</v>
      </c>
      <c r="W639" s="108">
        <f>IF($A639="",0,IF(AND($C639&gt;=Config!$C$7,$C639&lt;=Config!$C$8),1,0))</f>
        <v>1</v>
      </c>
      <c r="X639" s="108">
        <f>IF($A639="",0,IF(COUNTIF(Config!$C$21:$C$23,$H639)&gt;0,1,0))</f>
        <v>1</v>
      </c>
      <c r="Y639" s="108">
        <f t="shared" si="109"/>
        <v>15</v>
      </c>
      <c r="Z639" s="108" t="str">
        <f t="shared" si="110"/>
        <v/>
      </c>
      <c r="AB639" s="108">
        <f t="shared" si="111"/>
        <v>0</v>
      </c>
      <c r="AC639" s="108">
        <f>IF($A639="",0,IF(AND($AB639=1,COUNTIF($A$2:$A639,$A639)=1),1,0))</f>
        <v>0</v>
      </c>
      <c r="AD639" s="108">
        <f t="shared" si="112"/>
        <v>1</v>
      </c>
      <c r="AE639" s="108" t="str">
        <f t="shared" si="113"/>
        <v/>
      </c>
      <c r="AF639" s="108">
        <f t="shared" si="114"/>
        <v>0</v>
      </c>
      <c r="AG639" s="108">
        <f t="shared" si="115"/>
        <v>0</v>
      </c>
      <c r="AH639" s="110" t="str">
        <f t="shared" si="116"/>
        <v>R. Hufnagel|20260901|Time Off|0.000|Didn't work 8 hours</v>
      </c>
      <c r="AI639" s="108">
        <f t="shared" si="117"/>
        <v>0</v>
      </c>
      <c r="AJ639" s="108">
        <f t="shared" si="118"/>
        <v>0</v>
      </c>
      <c r="AK639" s="108">
        <f>IF($A639="",0,IF(AND($S639=1,$W639=1,$X639=1,$U639&gt;Config!$C$9),1,0))</f>
        <v>0</v>
      </c>
      <c r="AL639" s="108">
        <f t="shared" si="119"/>
        <v>0</v>
      </c>
    </row>
    <row r="640" spans="1:38" x14ac:dyDescent="0.25">
      <c r="A640" s="106" t="s">
        <v>996</v>
      </c>
      <c r="B640" s="106" t="s">
        <v>618</v>
      </c>
      <c r="C640" s="107">
        <v>46266</v>
      </c>
      <c r="D640" s="106" t="s">
        <v>628</v>
      </c>
      <c r="E640" s="106" t="s">
        <v>701</v>
      </c>
      <c r="F640" s="106" t="s">
        <v>630</v>
      </c>
      <c r="G640" s="106" t="s">
        <v>1282</v>
      </c>
      <c r="H640" s="106" t="s">
        <v>656</v>
      </c>
      <c r="I640" s="106"/>
      <c r="J640" s="106"/>
      <c r="K640" s="106">
        <v>0.5</v>
      </c>
      <c r="L640" s="106">
        <v>0</v>
      </c>
      <c r="M640" s="106">
        <v>0</v>
      </c>
      <c r="N640" s="106"/>
      <c r="O640" s="106"/>
      <c r="P640" s="106">
        <v>0</v>
      </c>
      <c r="Q640" s="106" t="s">
        <v>1424</v>
      </c>
      <c r="S640" s="108">
        <f>IF($A640="","",COUNTIF(BPOworkers!$B$6:$B$105,$A640))</f>
        <v>0</v>
      </c>
      <c r="T640" s="109">
        <f>IF($A640="","",$K640*Config!$C$9)</f>
        <v>4</v>
      </c>
      <c r="U640" s="109">
        <f>IF($A640="","",IF(COUNTIF(Config!$C$21:$C$23,$H640)&gt;0,IFERROR(VALUE(LEFT(TRIM($Q640),FIND(" ",TRIM($Q640)&amp;" ")-1)),0),0))</f>
        <v>0</v>
      </c>
      <c r="V640" s="109">
        <f t="shared" si="108"/>
        <v>4</v>
      </c>
      <c r="W640" s="108">
        <f>IF($A640="",0,IF(AND($C640&gt;=Config!$C$7,$C640&lt;=Config!$C$8),1,0))</f>
        <v>1</v>
      </c>
      <c r="X640" s="108">
        <f>IF($A640="",0,IF(COUNTIF(Config!$C$21:$C$23,$H640)&gt;0,1,0))</f>
        <v>0</v>
      </c>
      <c r="Y640" s="108">
        <f t="shared" si="109"/>
        <v>15</v>
      </c>
      <c r="Z640" s="108" t="str">
        <f t="shared" si="110"/>
        <v/>
      </c>
      <c r="AB640" s="108">
        <f t="shared" si="111"/>
        <v>0</v>
      </c>
      <c r="AC640" s="108">
        <f>IF($A640="",0,IF(AND($AB640=1,COUNTIF($A$2:$A640,$A640)=1),1,0))</f>
        <v>0</v>
      </c>
      <c r="AD640" s="108">
        <f t="shared" si="112"/>
        <v>1</v>
      </c>
      <c r="AE640" s="108" t="str">
        <f t="shared" si="113"/>
        <v/>
      </c>
      <c r="AF640" s="108">
        <f t="shared" si="114"/>
        <v>0</v>
      </c>
      <c r="AG640" s="108">
        <f t="shared" si="115"/>
        <v>0</v>
      </c>
      <c r="AH640" s="110" t="str">
        <f t="shared" si="116"/>
        <v>D. Woodall|20260901|Project Management|0.500|Organizing Asana assignments, Tracts AOIs, &amp; Project Scope</v>
      </c>
      <c r="AI640" s="108">
        <f t="shared" si="117"/>
        <v>0</v>
      </c>
      <c r="AJ640" s="108">
        <f t="shared" si="118"/>
        <v>0</v>
      </c>
      <c r="AK640" s="108">
        <f>IF($A640="",0,IF(AND($S640=1,$W640=1,$X640=1,$U640&gt;Config!$C$9),1,0))</f>
        <v>0</v>
      </c>
      <c r="AL640" s="108">
        <f t="shared" si="119"/>
        <v>0</v>
      </c>
    </row>
    <row r="641" spans="1:38" x14ac:dyDescent="0.25">
      <c r="A641" s="106" t="s">
        <v>996</v>
      </c>
      <c r="B641" s="106" t="s">
        <v>618</v>
      </c>
      <c r="C641" s="107">
        <v>46266</v>
      </c>
      <c r="D641" s="106" t="s">
        <v>529</v>
      </c>
      <c r="E641" s="106" t="s">
        <v>529</v>
      </c>
      <c r="F641" s="106" t="s">
        <v>615</v>
      </c>
      <c r="G641" s="106"/>
      <c r="H641" s="106" t="s">
        <v>529</v>
      </c>
      <c r="I641" s="106"/>
      <c r="J641" s="106"/>
      <c r="K641" s="106">
        <v>0</v>
      </c>
      <c r="L641" s="106">
        <v>0</v>
      </c>
      <c r="M641" s="106">
        <v>0</v>
      </c>
      <c r="N641" s="106"/>
      <c r="O641" s="106"/>
      <c r="P641" s="106">
        <v>0</v>
      </c>
      <c r="Q641" s="106" t="s">
        <v>1425</v>
      </c>
      <c r="S641" s="108">
        <f>IF($A641="","",COUNTIF(BPOworkers!$B$6:$B$105,$A641))</f>
        <v>0</v>
      </c>
      <c r="T641" s="109">
        <f>IF($A641="","",$K641*Config!$C$9)</f>
        <v>0</v>
      </c>
      <c r="U641" s="109">
        <f>IF($A641="","",IF(COUNTIF(Config!$C$21:$C$23,$H641)&gt;0,IFERROR(VALUE(LEFT(TRIM($Q641),FIND(" ",TRIM($Q641)&amp;" ")-1)),0),0))</f>
        <v>4</v>
      </c>
      <c r="V641" s="109">
        <f t="shared" si="108"/>
        <v>4</v>
      </c>
      <c r="W641" s="108">
        <f>IF($A641="",0,IF(AND($C641&gt;=Config!$C$7,$C641&lt;=Config!$C$8),1,0))</f>
        <v>1</v>
      </c>
      <c r="X641" s="108">
        <f>IF($A641="",0,IF(COUNTIF(Config!$C$21:$C$23,$H641)&gt;0,1,0))</f>
        <v>1</v>
      </c>
      <c r="Y641" s="108">
        <f t="shared" si="109"/>
        <v>15</v>
      </c>
      <c r="Z641" s="108" t="str">
        <f t="shared" si="110"/>
        <v/>
      </c>
      <c r="AB641" s="108">
        <f t="shared" si="111"/>
        <v>0</v>
      </c>
      <c r="AC641" s="108">
        <f>IF($A641="",0,IF(AND($AB641=1,COUNTIF($A$2:$A641,$A641)=1),1,0))</f>
        <v>0</v>
      </c>
      <c r="AD641" s="108">
        <f t="shared" si="112"/>
        <v>1</v>
      </c>
      <c r="AE641" s="108" t="str">
        <f t="shared" si="113"/>
        <v/>
      </c>
      <c r="AF641" s="108">
        <f t="shared" si="114"/>
        <v>0</v>
      </c>
      <c r="AG641" s="108">
        <f t="shared" si="115"/>
        <v>0</v>
      </c>
      <c r="AH641" s="110" t="str">
        <f t="shared" si="116"/>
        <v>D. Woodall|20260901|Time Off|0.000|4 hrs not billed</v>
      </c>
      <c r="AI641" s="108">
        <f t="shared" si="117"/>
        <v>0</v>
      </c>
      <c r="AJ641" s="108">
        <f t="shared" si="118"/>
        <v>0</v>
      </c>
      <c r="AK641" s="108">
        <f>IF($A641="",0,IF(AND($S641=1,$W641=1,$X641=1,$U641&gt;Config!$C$9),1,0))</f>
        <v>0</v>
      </c>
      <c r="AL641" s="108">
        <f t="shared" si="119"/>
        <v>0</v>
      </c>
    </row>
    <row r="642" spans="1:38" ht="180.75" x14ac:dyDescent="0.25">
      <c r="A642" s="106" t="s">
        <v>458</v>
      </c>
      <c r="B642" s="106" t="s">
        <v>618</v>
      </c>
      <c r="C642" s="107">
        <v>46266</v>
      </c>
      <c r="D642" s="106" t="s">
        <v>712</v>
      </c>
      <c r="E642" s="106" t="s">
        <v>713</v>
      </c>
      <c r="F642" s="106" t="s">
        <v>714</v>
      </c>
      <c r="G642" s="106" t="s">
        <v>1122</v>
      </c>
      <c r="H642" s="106" t="s">
        <v>631</v>
      </c>
      <c r="I642" s="106"/>
      <c r="J642" s="106" t="s">
        <v>1426</v>
      </c>
      <c r="K642" s="106">
        <v>0.375</v>
      </c>
      <c r="L642" s="106">
        <v>0</v>
      </c>
      <c r="M642" s="106">
        <v>0</v>
      </c>
      <c r="N642" s="106"/>
      <c r="O642" s="106"/>
      <c r="P642" s="106">
        <v>0</v>
      </c>
      <c r="Q642" s="111" t="s">
        <v>1427</v>
      </c>
      <c r="S642" s="108">
        <f>IF($A642="","",COUNTIF(BPOworkers!$B$6:$B$105,$A642))</f>
        <v>1</v>
      </c>
      <c r="T642" s="109">
        <f>IF($A642="","",$K642*Config!$C$9)</f>
        <v>3</v>
      </c>
      <c r="U642" s="109">
        <f>IF($A642="","",IF(COUNTIF(Config!$C$21:$C$23,$H642)&gt;0,IFERROR(VALUE(LEFT(TRIM($Q642),FIND(" ",TRIM($Q642)&amp;" ")-1)),0),0))</f>
        <v>0</v>
      </c>
      <c r="V642" s="109">
        <f t="shared" ref="V642:V705" si="120">IF($A642="","",$T642+$U642)</f>
        <v>3</v>
      </c>
      <c r="W642" s="108">
        <f>IF($A642="",0,IF(AND($C642&gt;=Config!$C$7,$C642&lt;=Config!$C$8),1,0))</f>
        <v>1</v>
      </c>
      <c r="X642" s="108">
        <f>IF($A642="",0,IF(COUNTIF(Config!$C$21:$C$23,$H642)&gt;0,1,0))</f>
        <v>0</v>
      </c>
      <c r="Y642" s="108">
        <f t="shared" ref="Y642:Y705" si="121">IF($A642="",MAX(0,Y641),MAX(0,Y641)+IF(AND($W642=1,$X642=1,$S642=1),1,0))</f>
        <v>15</v>
      </c>
      <c r="Z642" s="108" t="str">
        <f t="shared" ref="Z642:Z705" si="122">IF($A642="","",IF(AND($W642=1,$X642=1,$S642=1),$Y642,""))</f>
        <v/>
      </c>
      <c r="AB642" s="108">
        <f t="shared" ref="AB642:AB705" si="123">IF($A642="",0,IF(AND($S642=0,ISERROR(FIND(".",$A642))),1,0))</f>
        <v>0</v>
      </c>
      <c r="AC642" s="108">
        <f>IF($A642="",0,IF(AND($AB642=1,COUNTIF($A$2:$A642,$A642)=1),1,0))</f>
        <v>0</v>
      </c>
      <c r="AD642" s="108">
        <f t="shared" ref="AD642:AD705" si="124">IF($A642="",MAX(0,AD641),MAX(0,AD641)+$AC642)</f>
        <v>1</v>
      </c>
      <c r="AE642" s="108" t="str">
        <f t="shared" ref="AE642:AE705" si="125">IF($AC642=1,$AD642,"")</f>
        <v/>
      </c>
      <c r="AF642" s="108">
        <f t="shared" ref="AF642:AF705" si="126">IF($A642="",0,IFERROR(IF(AND($S642=1,WEEKDAY($C642,2)&gt;5),1,0),0))</f>
        <v>0</v>
      </c>
      <c r="AG642" s="108">
        <f t="shared" ref="AG642:AG705" si="127">IF($A642="",0,IF(AND($S642=1,$W642=0),1,0))</f>
        <v>0</v>
      </c>
      <c r="AH642" s="112" t="str">
        <f t="shared" ref="AH642:AH705" si="128">IF($A642="","",$A642&amp;"|"&amp;TEXT($C642,"yyyymmdd")&amp;"|"&amp;$H642&amp;"|"&amp;TEXT($K642,"0.000")&amp;"|"&amp;SUBSTITUTE(SUBSTITUTE(SUBSTITUTE(LEFT($Q642,120),"~",""),"*",""),"?",""))</f>
        <v>C Castellanos|20260901|Title|0.375|Performed siv interest from patent
 Compared mineral interest and NRA with client info
 Redacted Landman statement</v>
      </c>
      <c r="AI642" s="108">
        <f t="shared" ref="AI642:AI705" si="129">IF($A642="",0,IF(AND($S642=1,$W642=1,COUNTIF($AH$2:$AH$1500,$AH642)&gt;1),1,0))</f>
        <v>0</v>
      </c>
      <c r="AJ642" s="108">
        <f t="shared" ref="AJ642:AJ705" si="130">IF($A642="",0,IF(AND($S642=1,$W642=1,ABS($K642*8-ROUND($K642*8,0))&gt;0.0001),1,0))</f>
        <v>0</v>
      </c>
      <c r="AK642" s="108">
        <f>IF($A642="",0,IF(AND($S642=1,$W642=1,$X642=1,$U642&gt;Config!$C$9),1,0))</f>
        <v>0</v>
      </c>
      <c r="AL642" s="108">
        <f t="shared" ref="AL642:AL705" si="131">IF($A642="",0,IF(AND($S642=1,$W642=1,$X642=1,$U642=0),1,0))</f>
        <v>0</v>
      </c>
    </row>
    <row r="643" spans="1:38" ht="96.75" x14ac:dyDescent="0.25">
      <c r="A643" s="106" t="s">
        <v>458</v>
      </c>
      <c r="B643" s="106" t="s">
        <v>618</v>
      </c>
      <c r="C643" s="107">
        <v>46266</v>
      </c>
      <c r="D643" s="106" t="s">
        <v>669</v>
      </c>
      <c r="E643" s="106" t="s">
        <v>669</v>
      </c>
      <c r="F643" s="106" t="s">
        <v>670</v>
      </c>
      <c r="G643" s="106"/>
      <c r="H643" s="106" t="s">
        <v>671</v>
      </c>
      <c r="I643" s="106"/>
      <c r="J643" s="106"/>
      <c r="K643" s="106">
        <v>0.625</v>
      </c>
      <c r="L643" s="106">
        <v>0</v>
      </c>
      <c r="M643" s="106">
        <v>0</v>
      </c>
      <c r="N643" s="106"/>
      <c r="O643" s="106"/>
      <c r="P643" s="106">
        <v>0</v>
      </c>
      <c r="Q643" s="111" t="s">
        <v>1428</v>
      </c>
      <c r="S643" s="108">
        <f>IF($A643="","",COUNTIF(BPOworkers!$B$6:$B$105,$A643))</f>
        <v>1</v>
      </c>
      <c r="T643" s="109">
        <f>IF($A643="","",$K643*Config!$C$9)</f>
        <v>5</v>
      </c>
      <c r="U643" s="109">
        <f>IF($A643="","",IF(COUNTIF(Config!$C$21:$C$23,$H643)&gt;0,IFERROR(VALUE(LEFT(TRIM($Q643),FIND(" ",TRIM($Q643)&amp;" ")-1)),0),0))</f>
        <v>0</v>
      </c>
      <c r="V643" s="109">
        <f t="shared" si="120"/>
        <v>5</v>
      </c>
      <c r="W643" s="108">
        <f>IF($A643="",0,IF(AND($C643&gt;=Config!$C$7,$C643&lt;=Config!$C$8),1,0))</f>
        <v>1</v>
      </c>
      <c r="X643" s="108">
        <f>IF($A643="",0,IF(COUNTIF(Config!$C$21:$C$23,$H643)&gt;0,1,0))</f>
        <v>0</v>
      </c>
      <c r="Y643" s="108">
        <f t="shared" si="121"/>
        <v>15</v>
      </c>
      <c r="Z643" s="108" t="str">
        <f t="shared" si="122"/>
        <v/>
      </c>
      <c r="AB643" s="108">
        <f t="shared" si="123"/>
        <v>0</v>
      </c>
      <c r="AC643" s="108">
        <f>IF($A643="",0,IF(AND($AB643=1,COUNTIF($A$2:$A643,$A643)=1),1,0))</f>
        <v>0</v>
      </c>
      <c r="AD643" s="108">
        <f t="shared" si="124"/>
        <v>1</v>
      </c>
      <c r="AE643" s="108" t="str">
        <f t="shared" si="125"/>
        <v/>
      </c>
      <c r="AF643" s="108">
        <f t="shared" si="126"/>
        <v>0</v>
      </c>
      <c r="AG643" s="108">
        <f t="shared" si="127"/>
        <v>0</v>
      </c>
      <c r="AH643" s="112" t="str">
        <f t="shared" si="128"/>
        <v>C Castellanos|20260901|TitleNotes - Library|0.625|9 Documents 
 59 Transactions</v>
      </c>
      <c r="AI643" s="108">
        <f t="shared" si="129"/>
        <v>0</v>
      </c>
      <c r="AJ643" s="108">
        <f t="shared" si="130"/>
        <v>0</v>
      </c>
      <c r="AK643" s="108">
        <f>IF($A643="",0,IF(AND($S643=1,$W643=1,$X643=1,$U643&gt;Config!$C$9),1,0))</f>
        <v>0</v>
      </c>
      <c r="AL643" s="108">
        <f t="shared" si="131"/>
        <v>0</v>
      </c>
    </row>
    <row r="644" spans="1:38" ht="204.75" x14ac:dyDescent="0.25">
      <c r="A644" s="106" t="s">
        <v>461</v>
      </c>
      <c r="B644" s="106" t="s">
        <v>614</v>
      </c>
      <c r="C644" s="107">
        <v>46266</v>
      </c>
      <c r="D644" s="106" t="s">
        <v>623</v>
      </c>
      <c r="E644" s="106" t="s">
        <v>624</v>
      </c>
      <c r="F644" s="106" t="s">
        <v>615</v>
      </c>
      <c r="G644" s="106" t="s">
        <v>625</v>
      </c>
      <c r="H644" s="106" t="s">
        <v>691</v>
      </c>
      <c r="I644" s="106"/>
      <c r="J644" s="106" t="s">
        <v>691</v>
      </c>
      <c r="K644" s="106">
        <v>0.75</v>
      </c>
      <c r="L644" s="106">
        <v>0</v>
      </c>
      <c r="M644" s="106">
        <v>0</v>
      </c>
      <c r="N644" s="106"/>
      <c r="O644" s="106"/>
      <c r="P644" s="106">
        <v>0</v>
      </c>
      <c r="Q644" s="111" t="s">
        <v>1429</v>
      </c>
      <c r="S644" s="108">
        <f>IF($A644="","",COUNTIF(BPOworkers!$B$6:$B$105,$A644))</f>
        <v>1</v>
      </c>
      <c r="T644" s="109">
        <f>IF($A644="","",$K644*Config!$C$9)</f>
        <v>6</v>
      </c>
      <c r="U644" s="109">
        <f>IF($A644="","",IF(COUNTIF(Config!$C$21:$C$23,$H644)&gt;0,IFERROR(VALUE(LEFT(TRIM($Q644),FIND(" ",TRIM($Q644)&amp;" ")-1)),0),0))</f>
        <v>0</v>
      </c>
      <c r="V644" s="109">
        <f t="shared" si="120"/>
        <v>6</v>
      </c>
      <c r="W644" s="108">
        <f>IF($A644="",0,IF(AND($C644&gt;=Config!$C$7,$C644&lt;=Config!$C$8),1,0))</f>
        <v>1</v>
      </c>
      <c r="X644" s="108">
        <f>IF($A644="",0,IF(COUNTIF(Config!$C$21:$C$23,$H644)&gt;0,1,0))</f>
        <v>0</v>
      </c>
      <c r="Y644" s="108">
        <f t="shared" si="121"/>
        <v>15</v>
      </c>
      <c r="Z644" s="108" t="str">
        <f t="shared" si="122"/>
        <v/>
      </c>
      <c r="AB644" s="108">
        <f t="shared" si="123"/>
        <v>0</v>
      </c>
      <c r="AC644" s="108">
        <f>IF($A644="",0,IF(AND($AB644=1,COUNTIF($A$2:$A644,$A644)=1),1,0))</f>
        <v>0</v>
      </c>
      <c r="AD644" s="108">
        <f t="shared" si="124"/>
        <v>1</v>
      </c>
      <c r="AE644" s="108" t="str">
        <f t="shared" si="125"/>
        <v/>
      </c>
      <c r="AF644" s="108">
        <f t="shared" si="126"/>
        <v>0</v>
      </c>
      <c r="AG644" s="108">
        <f t="shared" si="127"/>
        <v>0</v>
      </c>
      <c r="AH644" s="112" t="str">
        <f t="shared" si="128"/>
        <v xml:space="preserve">D Trujillo|20260901|BPO Project Management|0.750|BTABs Checkings Approval
 Adding legals in BTABs
 Extra Hours Spreadsheet
 Office mgmt
 Onboarding process fort the new </v>
      </c>
      <c r="AI644" s="108">
        <f t="shared" si="129"/>
        <v>0</v>
      </c>
      <c r="AJ644" s="108">
        <f t="shared" si="130"/>
        <v>0</v>
      </c>
      <c r="AK644" s="108">
        <f>IF($A644="",0,IF(AND($S644=1,$W644=1,$X644=1,$U644&gt;Config!$C$9),1,0))</f>
        <v>0</v>
      </c>
      <c r="AL644" s="108">
        <f t="shared" si="131"/>
        <v>0</v>
      </c>
    </row>
    <row r="645" spans="1:38" ht="132.75" x14ac:dyDescent="0.25">
      <c r="A645" s="106" t="s">
        <v>461</v>
      </c>
      <c r="B645" s="106" t="s">
        <v>618</v>
      </c>
      <c r="C645" s="107">
        <v>46266</v>
      </c>
      <c r="D645" s="106" t="s">
        <v>680</v>
      </c>
      <c r="E645" s="106" t="s">
        <v>681</v>
      </c>
      <c r="F645" s="106" t="s">
        <v>682</v>
      </c>
      <c r="G645" s="106" t="s">
        <v>1153</v>
      </c>
      <c r="H645" s="106" t="s">
        <v>631</v>
      </c>
      <c r="I645" s="106"/>
      <c r="J645" s="106" t="s">
        <v>1154</v>
      </c>
      <c r="K645" s="106">
        <v>0.25</v>
      </c>
      <c r="L645" s="106">
        <v>0</v>
      </c>
      <c r="M645" s="106">
        <v>0</v>
      </c>
      <c r="N645" s="106"/>
      <c r="O645" s="106"/>
      <c r="P645" s="106">
        <v>0</v>
      </c>
      <c r="Q645" s="111" t="s">
        <v>1430</v>
      </c>
      <c r="S645" s="108">
        <f>IF($A645="","",COUNTIF(BPOworkers!$B$6:$B$105,$A645))</f>
        <v>1</v>
      </c>
      <c r="T645" s="109">
        <f>IF($A645="","",$K645*Config!$C$9)</f>
        <v>2</v>
      </c>
      <c r="U645" s="109">
        <f>IF($A645="","",IF(COUNTIF(Config!$C$21:$C$23,$H645)&gt;0,IFERROR(VALUE(LEFT(TRIM($Q645),FIND(" ",TRIM($Q645)&amp;" ")-1)),0),0))</f>
        <v>0</v>
      </c>
      <c r="V645" s="109">
        <f t="shared" si="120"/>
        <v>2</v>
      </c>
      <c r="W645" s="108">
        <f>IF($A645="",0,IF(AND($C645&gt;=Config!$C$7,$C645&lt;=Config!$C$8),1,0))</f>
        <v>1</v>
      </c>
      <c r="X645" s="108">
        <f>IF($A645="",0,IF(COUNTIF(Config!$C$21:$C$23,$H645)&gt;0,1,0))</f>
        <v>0</v>
      </c>
      <c r="Y645" s="108">
        <f t="shared" si="121"/>
        <v>15</v>
      </c>
      <c r="Z645" s="108" t="str">
        <f t="shared" si="122"/>
        <v/>
      </c>
      <c r="AB645" s="108">
        <f t="shared" si="123"/>
        <v>0</v>
      </c>
      <c r="AC645" s="108">
        <f>IF($A645="",0,IF(AND($AB645=1,COUNTIF($A$2:$A645,$A645)=1),1,0))</f>
        <v>0</v>
      </c>
      <c r="AD645" s="108">
        <f t="shared" si="124"/>
        <v>1</v>
      </c>
      <c r="AE645" s="108" t="str">
        <f t="shared" si="125"/>
        <v/>
      </c>
      <c r="AF645" s="108">
        <f t="shared" si="126"/>
        <v>0</v>
      </c>
      <c r="AG645" s="108">
        <f t="shared" si="127"/>
        <v>0</v>
      </c>
      <c r="AH645" s="112" t="str">
        <f t="shared" si="128"/>
        <v>D Trujillo|20260901|Title|0.250|Indexed 2 parties 
 Indexed 20 documents 
 Added 2 notecards
 Solved GIS problems</v>
      </c>
      <c r="AI645" s="108">
        <f t="shared" si="129"/>
        <v>0</v>
      </c>
      <c r="AJ645" s="108">
        <f t="shared" si="130"/>
        <v>0</v>
      </c>
      <c r="AK645" s="108">
        <f>IF($A645="",0,IF(AND($S645=1,$W645=1,$X645=1,$U645&gt;Config!$C$9),1,0))</f>
        <v>0</v>
      </c>
      <c r="AL645" s="108">
        <f t="shared" si="131"/>
        <v>0</v>
      </c>
    </row>
    <row r="646" spans="1:38" ht="204.75" x14ac:dyDescent="0.25">
      <c r="A646" s="106" t="s">
        <v>465</v>
      </c>
      <c r="B646" s="106" t="s">
        <v>618</v>
      </c>
      <c r="C646" s="107">
        <v>46266</v>
      </c>
      <c r="D646" s="106" t="s">
        <v>694</v>
      </c>
      <c r="E646" s="106" t="s">
        <v>862</v>
      </c>
      <c r="F646" s="106" t="s">
        <v>766</v>
      </c>
      <c r="G646" s="106" t="s">
        <v>1368</v>
      </c>
      <c r="H646" s="106" t="s">
        <v>781</v>
      </c>
      <c r="I646" s="106"/>
      <c r="J646" s="106"/>
      <c r="K646" s="106">
        <v>0.875</v>
      </c>
      <c r="L646" s="106">
        <v>0</v>
      </c>
      <c r="M646" s="106">
        <v>0</v>
      </c>
      <c r="N646" s="106"/>
      <c r="O646" s="106"/>
      <c r="P646" s="106">
        <v>0</v>
      </c>
      <c r="Q646" s="111" t="s">
        <v>1431</v>
      </c>
      <c r="S646" s="108">
        <f>IF($A646="","",COUNTIF(BPOworkers!$B$6:$B$105,$A646))</f>
        <v>1</v>
      </c>
      <c r="T646" s="109">
        <f>IF($A646="","",$K646*Config!$C$9)</f>
        <v>7</v>
      </c>
      <c r="U646" s="109">
        <f>IF($A646="","",IF(COUNTIF(Config!$C$21:$C$23,$H646)&gt;0,IFERROR(VALUE(LEFT(TRIM($Q646),FIND(" ",TRIM($Q646)&amp;" ")-1)),0),0))</f>
        <v>0</v>
      </c>
      <c r="V646" s="109">
        <f t="shared" si="120"/>
        <v>7</v>
      </c>
      <c r="W646" s="108">
        <f>IF($A646="",0,IF(AND($C646&gt;=Config!$C$7,$C646&lt;=Config!$C$8),1,0))</f>
        <v>1</v>
      </c>
      <c r="X646" s="108">
        <f>IF($A646="",0,IF(COUNTIF(Config!$C$21:$C$23,$H646)&gt;0,1,0))</f>
        <v>0</v>
      </c>
      <c r="Y646" s="108">
        <f t="shared" si="121"/>
        <v>15</v>
      </c>
      <c r="Z646" s="108" t="str">
        <f t="shared" si="122"/>
        <v/>
      </c>
      <c r="AB646" s="108">
        <f t="shared" si="123"/>
        <v>0</v>
      </c>
      <c r="AC646" s="108">
        <f>IF($A646="",0,IF(AND($AB646=1,COUNTIF($A$2:$A646,$A646)=1),1,0))</f>
        <v>0</v>
      </c>
      <c r="AD646" s="108">
        <f t="shared" si="124"/>
        <v>1</v>
      </c>
      <c r="AE646" s="108" t="str">
        <f t="shared" si="125"/>
        <v/>
      </c>
      <c r="AF646" s="108">
        <f t="shared" si="126"/>
        <v>0</v>
      </c>
      <c r="AG646" s="108">
        <f t="shared" si="127"/>
        <v>0</v>
      </c>
      <c r="AH646" s="110" t="str">
        <f t="shared" si="128"/>
        <v>I Salamanca|20260901|Single Interest Verification|0.875|Platform was used to search for the updated index and historical index for the section; these were downloaded, and began</v>
      </c>
      <c r="AI646" s="108">
        <f t="shared" si="129"/>
        <v>0</v>
      </c>
      <c r="AJ646" s="108">
        <f t="shared" si="130"/>
        <v>0</v>
      </c>
      <c r="AK646" s="108">
        <f>IF($A646="",0,IF(AND($S646=1,$W646=1,$X646=1,$U646&gt;Config!$C$9),1,0))</f>
        <v>0</v>
      </c>
      <c r="AL646" s="108">
        <f t="shared" si="131"/>
        <v>0</v>
      </c>
    </row>
    <row r="647" spans="1:38" ht="60.75" x14ac:dyDescent="0.25">
      <c r="A647" s="106" t="s">
        <v>465</v>
      </c>
      <c r="B647" s="106" t="s">
        <v>618</v>
      </c>
      <c r="C647" s="107">
        <v>46266</v>
      </c>
      <c r="D647" s="106" t="s">
        <v>694</v>
      </c>
      <c r="E647" s="106" t="s">
        <v>765</v>
      </c>
      <c r="F647" s="106" t="s">
        <v>766</v>
      </c>
      <c r="G647" s="106" t="s">
        <v>1156</v>
      </c>
      <c r="H647" s="106" t="s">
        <v>765</v>
      </c>
      <c r="I647" s="106"/>
      <c r="J647" s="106"/>
      <c r="K647" s="106">
        <v>0.125</v>
      </c>
      <c r="L647" s="106">
        <v>0</v>
      </c>
      <c r="M647" s="106">
        <v>0</v>
      </c>
      <c r="N647" s="106"/>
      <c r="O647" s="106"/>
      <c r="P647" s="106">
        <v>0</v>
      </c>
      <c r="Q647" s="111" t="s">
        <v>1432</v>
      </c>
      <c r="S647" s="108">
        <f>IF($A647="","",COUNTIF(BPOworkers!$B$6:$B$105,$A647))</f>
        <v>1</v>
      </c>
      <c r="T647" s="109">
        <f>IF($A647="","",$K647*Config!$C$9)</f>
        <v>1</v>
      </c>
      <c r="U647" s="109">
        <f>IF($A647="","",IF(COUNTIF(Config!$C$21:$C$23,$H647)&gt;0,IFERROR(VALUE(LEFT(TRIM($Q647),FIND(" ",TRIM($Q647)&amp;" ")-1)),0),0))</f>
        <v>0</v>
      </c>
      <c r="V647" s="109">
        <f t="shared" si="120"/>
        <v>1</v>
      </c>
      <c r="W647" s="108">
        <f>IF($A647="",0,IF(AND($C647&gt;=Config!$C$7,$C647&lt;=Config!$C$8),1,0))</f>
        <v>1</v>
      </c>
      <c r="X647" s="108">
        <f>IF($A647="",0,IF(COUNTIF(Config!$C$21:$C$23,$H647)&gt;0,1,0))</f>
        <v>0</v>
      </c>
      <c r="Y647" s="108">
        <f t="shared" si="121"/>
        <v>15</v>
      </c>
      <c r="Z647" s="108" t="str">
        <f t="shared" si="122"/>
        <v/>
      </c>
      <c r="AB647" s="108">
        <f t="shared" si="123"/>
        <v>0</v>
      </c>
      <c r="AC647" s="108">
        <f>IF($A647="",0,IF(AND($AB647=1,COUNTIF($A$2:$A647,$A647)=1),1,0))</f>
        <v>0</v>
      </c>
      <c r="AD647" s="108">
        <f t="shared" si="124"/>
        <v>1</v>
      </c>
      <c r="AE647" s="108" t="str">
        <f t="shared" si="125"/>
        <v/>
      </c>
      <c r="AF647" s="108">
        <f t="shared" si="126"/>
        <v>0</v>
      </c>
      <c r="AG647" s="108">
        <f t="shared" si="127"/>
        <v>0</v>
      </c>
      <c r="AH647" s="110" t="str">
        <f t="shared" si="128"/>
        <v>I Salamanca|20260901|Lease Bringdown|0.125|Start looking for the leases related to the section in the platform "Omnissa Horizon Client", look for them in the On Ba</v>
      </c>
      <c r="AI647" s="108">
        <f t="shared" si="129"/>
        <v>0</v>
      </c>
      <c r="AJ647" s="108">
        <f t="shared" si="130"/>
        <v>0</v>
      </c>
      <c r="AK647" s="108">
        <f>IF($A647="",0,IF(AND($S647=1,$W647=1,$X647=1,$U647&gt;Config!$C$9),1,0))</f>
        <v>0</v>
      </c>
      <c r="AL647" s="108">
        <f t="shared" si="131"/>
        <v>0</v>
      </c>
    </row>
    <row r="648" spans="1:38" ht="120.75" x14ac:dyDescent="0.25">
      <c r="A648" s="106" t="s">
        <v>466</v>
      </c>
      <c r="B648" s="106" t="s">
        <v>618</v>
      </c>
      <c r="C648" s="107">
        <v>46266</v>
      </c>
      <c r="D648" s="106" t="s">
        <v>623</v>
      </c>
      <c r="E648" s="106" t="s">
        <v>624</v>
      </c>
      <c r="F648" s="106" t="s">
        <v>615</v>
      </c>
      <c r="G648" s="106" t="s">
        <v>625</v>
      </c>
      <c r="H648" s="106" t="s">
        <v>671</v>
      </c>
      <c r="I648" s="106" t="s">
        <v>657</v>
      </c>
      <c r="J648" s="106" t="s">
        <v>669</v>
      </c>
      <c r="K648" s="106">
        <v>1</v>
      </c>
      <c r="L648" s="106">
        <v>0</v>
      </c>
      <c r="M648" s="106">
        <v>0</v>
      </c>
      <c r="N648" s="106"/>
      <c r="O648" s="106"/>
      <c r="P648" s="106">
        <v>0</v>
      </c>
      <c r="Q648" s="111" t="s">
        <v>1433</v>
      </c>
      <c r="S648" s="108">
        <f>IF($A648="","",COUNTIF(BPOworkers!$B$6:$B$105,$A648))</f>
        <v>1</v>
      </c>
      <c r="T648" s="109">
        <f>IF($A648="","",$K648*Config!$C$9)</f>
        <v>8</v>
      </c>
      <c r="U648" s="109">
        <f>IF($A648="","",IF(COUNTIF(Config!$C$21:$C$23,$H648)&gt;0,IFERROR(VALUE(LEFT(TRIM($Q648),FIND(" ",TRIM($Q648)&amp;" ")-1)),0),0))</f>
        <v>0</v>
      </c>
      <c r="V648" s="109">
        <f t="shared" si="120"/>
        <v>8</v>
      </c>
      <c r="W648" s="108">
        <f>IF($A648="",0,IF(AND($C648&gt;=Config!$C$7,$C648&lt;=Config!$C$8),1,0))</f>
        <v>1</v>
      </c>
      <c r="X648" s="108">
        <f>IF($A648="",0,IF(COUNTIF(Config!$C$21:$C$23,$H648)&gt;0,1,0))</f>
        <v>0</v>
      </c>
      <c r="Y648" s="108">
        <f t="shared" si="121"/>
        <v>15</v>
      </c>
      <c r="Z648" s="108" t="str">
        <f t="shared" si="122"/>
        <v/>
      </c>
      <c r="AB648" s="108">
        <f t="shared" si="123"/>
        <v>0</v>
      </c>
      <c r="AC648" s="108">
        <f>IF($A648="",0,IF(AND($AB648=1,COUNTIF($A$2:$A648,$A648)=1),1,0))</f>
        <v>0</v>
      </c>
      <c r="AD648" s="108">
        <f t="shared" si="124"/>
        <v>1</v>
      </c>
      <c r="AE648" s="108" t="str">
        <f t="shared" si="125"/>
        <v/>
      </c>
      <c r="AF648" s="108">
        <f t="shared" si="126"/>
        <v>0</v>
      </c>
      <c r="AG648" s="108">
        <f t="shared" si="127"/>
        <v>0</v>
      </c>
      <c r="AH648" s="112" t="str">
        <f t="shared" si="128"/>
        <v>J Abay|20260901|TitleNotes - Library|1.000|Title Notes 
 27 Documents 
 64 Transactions</v>
      </c>
      <c r="AI648" s="108">
        <f t="shared" si="129"/>
        <v>0</v>
      </c>
      <c r="AJ648" s="108">
        <f t="shared" si="130"/>
        <v>0</v>
      </c>
      <c r="AK648" s="108">
        <f>IF($A648="",0,IF(AND($S648=1,$W648=1,$X648=1,$U648&gt;Config!$C$9),1,0))</f>
        <v>0</v>
      </c>
      <c r="AL648" s="108">
        <f t="shared" si="131"/>
        <v>0</v>
      </c>
    </row>
    <row r="649" spans="1:38" ht="132.75" x14ac:dyDescent="0.25">
      <c r="A649" s="106" t="s">
        <v>472</v>
      </c>
      <c r="B649" s="106" t="s">
        <v>618</v>
      </c>
      <c r="C649" s="107">
        <v>46266</v>
      </c>
      <c r="D649" s="106" t="s">
        <v>623</v>
      </c>
      <c r="E649" s="106" t="s">
        <v>624</v>
      </c>
      <c r="F649" s="106" t="s">
        <v>615</v>
      </c>
      <c r="G649" s="106" t="s">
        <v>625</v>
      </c>
      <c r="H649" s="106" t="s">
        <v>671</v>
      </c>
      <c r="I649" s="106" t="s">
        <v>657</v>
      </c>
      <c r="J649" s="106" t="s">
        <v>669</v>
      </c>
      <c r="K649" s="106">
        <v>0.375</v>
      </c>
      <c r="L649" s="106">
        <v>0</v>
      </c>
      <c r="M649" s="106">
        <v>0</v>
      </c>
      <c r="N649" s="106"/>
      <c r="O649" s="106"/>
      <c r="P649" s="106">
        <v>0</v>
      </c>
      <c r="Q649" s="111" t="s">
        <v>1434</v>
      </c>
      <c r="S649" s="108">
        <f>IF($A649="","",COUNTIF(BPOworkers!$B$6:$B$105,$A649))</f>
        <v>1</v>
      </c>
      <c r="T649" s="109">
        <f>IF($A649="","",$K649*Config!$C$9)</f>
        <v>3</v>
      </c>
      <c r="U649" s="109">
        <f>IF($A649="","",IF(COUNTIF(Config!$C$21:$C$23,$H649)&gt;0,IFERROR(VALUE(LEFT(TRIM($Q649),FIND(" ",TRIM($Q649)&amp;" ")-1)),0),0))</f>
        <v>0</v>
      </c>
      <c r="V649" s="109">
        <f t="shared" si="120"/>
        <v>3</v>
      </c>
      <c r="W649" s="108">
        <f>IF($A649="",0,IF(AND($C649&gt;=Config!$C$7,$C649&lt;=Config!$C$8),1,0))</f>
        <v>1</v>
      </c>
      <c r="X649" s="108">
        <f>IF($A649="",0,IF(COUNTIF(Config!$C$21:$C$23,$H649)&gt;0,1,0))</f>
        <v>0</v>
      </c>
      <c r="Y649" s="108">
        <f t="shared" si="121"/>
        <v>15</v>
      </c>
      <c r="Z649" s="108" t="str">
        <f t="shared" si="122"/>
        <v/>
      </c>
      <c r="AB649" s="108">
        <f t="shared" si="123"/>
        <v>0</v>
      </c>
      <c r="AC649" s="108">
        <f>IF($A649="",0,IF(AND($AB649=1,COUNTIF($A$2:$A649,$A649)=1),1,0))</f>
        <v>0</v>
      </c>
      <c r="AD649" s="108">
        <f t="shared" si="124"/>
        <v>1</v>
      </c>
      <c r="AE649" s="108" t="str">
        <f t="shared" si="125"/>
        <v/>
      </c>
      <c r="AF649" s="108">
        <f t="shared" si="126"/>
        <v>0</v>
      </c>
      <c r="AG649" s="108">
        <f t="shared" si="127"/>
        <v>0</v>
      </c>
      <c r="AH649" s="112" t="str">
        <f t="shared" si="128"/>
        <v>J Reyes|20260901|TitleNotes - Library|0.375|Title Notes
 15 documents
 31 transactions</v>
      </c>
      <c r="AI649" s="108">
        <f t="shared" si="129"/>
        <v>0</v>
      </c>
      <c r="AJ649" s="108">
        <f t="shared" si="130"/>
        <v>0</v>
      </c>
      <c r="AK649" s="108">
        <f>IF($A649="",0,IF(AND($S649=1,$W649=1,$X649=1,$U649&gt;Config!$C$9),1,0))</f>
        <v>0</v>
      </c>
      <c r="AL649" s="108">
        <f t="shared" si="131"/>
        <v>0</v>
      </c>
    </row>
    <row r="650" spans="1:38" ht="144.75" x14ac:dyDescent="0.25">
      <c r="A650" s="106" t="s">
        <v>472</v>
      </c>
      <c r="B650" s="106" t="s">
        <v>618</v>
      </c>
      <c r="C650" s="107">
        <v>46266</v>
      </c>
      <c r="D650" s="106" t="s">
        <v>628</v>
      </c>
      <c r="E650" s="106" t="s">
        <v>701</v>
      </c>
      <c r="F650" s="106" t="s">
        <v>630</v>
      </c>
      <c r="G650" s="106" t="s">
        <v>770</v>
      </c>
      <c r="H650" s="106" t="s">
        <v>631</v>
      </c>
      <c r="I650" s="106"/>
      <c r="J650" s="106"/>
      <c r="K650" s="106">
        <v>0.625</v>
      </c>
      <c r="L650" s="106">
        <v>0</v>
      </c>
      <c r="M650" s="106">
        <v>0</v>
      </c>
      <c r="N650" s="106"/>
      <c r="O650" s="106"/>
      <c r="P650" s="106">
        <v>0</v>
      </c>
      <c r="Q650" s="111" t="s">
        <v>1435</v>
      </c>
      <c r="S650" s="108">
        <f>IF($A650="","",COUNTIF(BPOworkers!$B$6:$B$105,$A650))</f>
        <v>1</v>
      </c>
      <c r="T650" s="109">
        <f>IF($A650="","",$K650*Config!$C$9)</f>
        <v>5</v>
      </c>
      <c r="U650" s="109">
        <f>IF($A650="","",IF(COUNTIF(Config!$C$21:$C$23,$H650)&gt;0,IFERROR(VALUE(LEFT(TRIM($Q650),FIND(" ",TRIM($Q650)&amp;" ")-1)),0),0))</f>
        <v>0</v>
      </c>
      <c r="V650" s="109">
        <f t="shared" si="120"/>
        <v>5</v>
      </c>
      <c r="W650" s="108">
        <f>IF($A650="",0,IF(AND($C650&gt;=Config!$C$7,$C650&lt;=Config!$C$8),1,0))</f>
        <v>1</v>
      </c>
      <c r="X650" s="108">
        <f>IF($A650="",0,IF(COUNTIF(Config!$C$21:$C$23,$H650)&gt;0,1,0))</f>
        <v>0</v>
      </c>
      <c r="Y650" s="108">
        <f t="shared" si="121"/>
        <v>15</v>
      </c>
      <c r="Z650" s="108" t="str">
        <f t="shared" si="122"/>
        <v/>
      </c>
      <c r="AB650" s="108">
        <f t="shared" si="123"/>
        <v>0</v>
      </c>
      <c r="AC650" s="108">
        <f>IF($A650="",0,IF(AND($AB650=1,COUNTIF($A$2:$A650,$A650)=1),1,0))</f>
        <v>0</v>
      </c>
      <c r="AD650" s="108">
        <f t="shared" si="124"/>
        <v>1</v>
      </c>
      <c r="AE650" s="108" t="str">
        <f t="shared" si="125"/>
        <v/>
      </c>
      <c r="AF650" s="108">
        <f t="shared" si="126"/>
        <v>0</v>
      </c>
      <c r="AG650" s="108">
        <f t="shared" si="127"/>
        <v>0</v>
      </c>
      <c r="AH650" s="112" t="str">
        <f t="shared" si="128"/>
        <v>J Reyes|20260901|Title|0.625|Onboarding Crescent Energy | DTO 
 TO, RS and DDR familiarization; waiting for formatted AOI</v>
      </c>
      <c r="AI650" s="108">
        <f t="shared" si="129"/>
        <v>0</v>
      </c>
      <c r="AJ650" s="108">
        <f t="shared" si="130"/>
        <v>0</v>
      </c>
      <c r="AK650" s="108">
        <f>IF($A650="",0,IF(AND($S650=1,$W650=1,$X650=1,$U650&gt;Config!$C$9),1,0))</f>
        <v>0</v>
      </c>
      <c r="AL650" s="108">
        <f t="shared" si="131"/>
        <v>0</v>
      </c>
    </row>
    <row r="651" spans="1:38" x14ac:dyDescent="0.25">
      <c r="A651" s="106" t="s">
        <v>124</v>
      </c>
      <c r="B651" s="106" t="s">
        <v>618</v>
      </c>
      <c r="C651" s="107">
        <v>46266</v>
      </c>
      <c r="D651" s="106" t="s">
        <v>712</v>
      </c>
      <c r="E651" s="106" t="s">
        <v>713</v>
      </c>
      <c r="F651" s="106" t="s">
        <v>714</v>
      </c>
      <c r="G651" s="106" t="s">
        <v>800</v>
      </c>
      <c r="H651" s="106" t="s">
        <v>631</v>
      </c>
      <c r="I651" s="106"/>
      <c r="J651" s="106"/>
      <c r="K651" s="106">
        <v>0.625</v>
      </c>
      <c r="L651" s="106">
        <v>0</v>
      </c>
      <c r="M651" s="106">
        <v>0</v>
      </c>
      <c r="N651" s="106"/>
      <c r="O651" s="106"/>
      <c r="P651" s="106">
        <v>0</v>
      </c>
      <c r="Q651" s="106" t="s">
        <v>1436</v>
      </c>
      <c r="S651" s="108">
        <f>IF($A651="","",COUNTIF(BPOworkers!$B$6:$B$105,$A651))</f>
        <v>1</v>
      </c>
      <c r="T651" s="109">
        <f>IF($A651="","",$K651*Config!$C$9)</f>
        <v>5</v>
      </c>
      <c r="U651" s="109">
        <f>IF($A651="","",IF(COUNTIF(Config!$C$21:$C$23,$H651)&gt;0,IFERROR(VALUE(LEFT(TRIM($Q651),FIND(" ",TRIM($Q651)&amp;" ")-1)),0),0))</f>
        <v>0</v>
      </c>
      <c r="V651" s="109">
        <f t="shared" si="120"/>
        <v>5</v>
      </c>
      <c r="W651" s="108">
        <f>IF($A651="",0,IF(AND($C651&gt;=Config!$C$7,$C651&lt;=Config!$C$8),1,0))</f>
        <v>1</v>
      </c>
      <c r="X651" s="108">
        <f>IF($A651="",0,IF(COUNTIF(Config!$C$21:$C$23,$H651)&gt;0,1,0))</f>
        <v>0</v>
      </c>
      <c r="Y651" s="108">
        <f t="shared" si="121"/>
        <v>15</v>
      </c>
      <c r="Z651" s="108" t="str">
        <f t="shared" si="122"/>
        <v/>
      </c>
      <c r="AB651" s="108">
        <f t="shared" si="123"/>
        <v>0</v>
      </c>
      <c r="AC651" s="108">
        <f>IF($A651="",0,IF(AND($AB651=1,COUNTIF($A$2:$A651,$A651)=1),1,0))</f>
        <v>0</v>
      </c>
      <c r="AD651" s="108">
        <f t="shared" si="124"/>
        <v>1</v>
      </c>
      <c r="AE651" s="108" t="str">
        <f t="shared" si="125"/>
        <v/>
      </c>
      <c r="AF651" s="108">
        <f t="shared" si="126"/>
        <v>0</v>
      </c>
      <c r="AG651" s="108">
        <f t="shared" si="127"/>
        <v>0</v>
      </c>
      <c r="AH651" s="110" t="str">
        <f t="shared" si="128"/>
        <v>J S Bermudez|20260901|Title|0.625|Located the patent and started running the chain backwards. I’m currently somewhat stuck on a few parties, so I’ve start</v>
      </c>
      <c r="AI651" s="108">
        <f t="shared" si="129"/>
        <v>0</v>
      </c>
      <c r="AJ651" s="108">
        <f t="shared" si="130"/>
        <v>0</v>
      </c>
      <c r="AK651" s="108">
        <f>IF($A651="",0,IF(AND($S651=1,$W651=1,$X651=1,$U651&gt;Config!$C$9),1,0))</f>
        <v>0</v>
      </c>
      <c r="AL651" s="108">
        <f t="shared" si="131"/>
        <v>0</v>
      </c>
    </row>
    <row r="652" spans="1:38" x14ac:dyDescent="0.25">
      <c r="A652" s="106" t="s">
        <v>124</v>
      </c>
      <c r="B652" s="106" t="s">
        <v>618</v>
      </c>
      <c r="C652" s="107">
        <v>46266</v>
      </c>
      <c r="D652" s="106" t="s">
        <v>628</v>
      </c>
      <c r="E652" s="106" t="s">
        <v>793</v>
      </c>
      <c r="F652" s="106" t="s">
        <v>670</v>
      </c>
      <c r="G652" s="106" t="s">
        <v>1258</v>
      </c>
      <c r="H652" s="106" t="s">
        <v>702</v>
      </c>
      <c r="I652" s="106"/>
      <c r="J652" s="106" t="s">
        <v>795</v>
      </c>
      <c r="K652" s="106">
        <v>0.375</v>
      </c>
      <c r="L652" s="106">
        <v>0</v>
      </c>
      <c r="M652" s="106">
        <v>0</v>
      </c>
      <c r="N652" s="106"/>
      <c r="O652" s="106"/>
      <c r="P652" s="106">
        <v>0</v>
      </c>
      <c r="Q652" s="106" t="s">
        <v>1437</v>
      </c>
      <c r="S652" s="108">
        <f>IF($A652="","",COUNTIF(BPOworkers!$B$6:$B$105,$A652))</f>
        <v>1</v>
      </c>
      <c r="T652" s="109">
        <f>IF($A652="","",$K652*Config!$C$9)</f>
        <v>3</v>
      </c>
      <c r="U652" s="109">
        <f>IF($A652="","",IF(COUNTIF(Config!$C$21:$C$23,$H652)&gt;0,IFERROR(VALUE(LEFT(TRIM($Q652),FIND(" ",TRIM($Q652)&amp;" ")-1)),0),0))</f>
        <v>0</v>
      </c>
      <c r="V652" s="109">
        <f t="shared" si="120"/>
        <v>3</v>
      </c>
      <c r="W652" s="108">
        <f>IF($A652="",0,IF(AND($C652&gt;=Config!$C$7,$C652&lt;=Config!$C$8),1,0))</f>
        <v>1</v>
      </c>
      <c r="X652" s="108">
        <f>IF($A652="",0,IF(COUNTIF(Config!$C$21:$C$23,$H652)&gt;0,1,0))</f>
        <v>0</v>
      </c>
      <c r="Y652" s="108">
        <f t="shared" si="121"/>
        <v>15</v>
      </c>
      <c r="Z652" s="108" t="str">
        <f t="shared" si="122"/>
        <v/>
      </c>
      <c r="AB652" s="108">
        <f t="shared" si="123"/>
        <v>0</v>
      </c>
      <c r="AC652" s="108">
        <f>IF($A652="",0,IF(AND($AB652=1,COUNTIF($A$2:$A652,$A652)=1),1,0))</f>
        <v>0</v>
      </c>
      <c r="AD652" s="108">
        <f t="shared" si="124"/>
        <v>1</v>
      </c>
      <c r="AE652" s="108" t="str">
        <f t="shared" si="125"/>
        <v/>
      </c>
      <c r="AF652" s="108">
        <f t="shared" si="126"/>
        <v>0</v>
      </c>
      <c r="AG652" s="108">
        <f t="shared" si="127"/>
        <v>0</v>
      </c>
      <c r="AH652" s="110" t="str">
        <f t="shared" si="128"/>
        <v>J S Bermudez|20260901|Data Processing|0.375|Fiz the runsheet issues and upload some runsheet to each Tracts AOI link.</v>
      </c>
      <c r="AI652" s="108">
        <f t="shared" si="129"/>
        <v>0</v>
      </c>
      <c r="AJ652" s="108">
        <f t="shared" si="130"/>
        <v>0</v>
      </c>
      <c r="AK652" s="108">
        <f>IF($A652="",0,IF(AND($S652=1,$W652=1,$X652=1,$U652&gt;Config!$C$9),1,0))</f>
        <v>0</v>
      </c>
      <c r="AL652" s="108">
        <f t="shared" si="131"/>
        <v>0</v>
      </c>
    </row>
    <row r="653" spans="1:38" x14ac:dyDescent="0.25">
      <c r="A653" s="106" t="s">
        <v>475</v>
      </c>
      <c r="B653" s="106" t="s">
        <v>618</v>
      </c>
      <c r="C653" s="107">
        <v>46266</v>
      </c>
      <c r="D653" s="106" t="s">
        <v>529</v>
      </c>
      <c r="E653" s="106" t="s">
        <v>529</v>
      </c>
      <c r="F653" s="106" t="s">
        <v>615</v>
      </c>
      <c r="G653" s="106"/>
      <c r="H653" s="106" t="s">
        <v>529</v>
      </c>
      <c r="I653" s="106"/>
      <c r="J653" s="106" t="s">
        <v>1012</v>
      </c>
      <c r="K653" s="106">
        <v>0</v>
      </c>
      <c r="L653" s="106">
        <v>0</v>
      </c>
      <c r="M653" s="106">
        <v>0</v>
      </c>
      <c r="N653" s="106"/>
      <c r="O653" s="106"/>
      <c r="P653" s="106">
        <v>0</v>
      </c>
      <c r="Q653" s="106" t="s">
        <v>661</v>
      </c>
      <c r="S653" s="108">
        <f>IF($A653="","",COUNTIF(BPOworkers!$B$6:$B$105,$A653))</f>
        <v>1</v>
      </c>
      <c r="T653" s="109">
        <f>IF($A653="","",$K653*Config!$C$9)</f>
        <v>0</v>
      </c>
      <c r="U653" s="109">
        <f>IF($A653="","",IF(COUNTIF(Config!$C$21:$C$23,$H653)&gt;0,IFERROR(VALUE(LEFT(TRIM($Q653),FIND(" ",TRIM($Q653)&amp;" ")-1)),0),0))</f>
        <v>8</v>
      </c>
      <c r="V653" s="109">
        <f t="shared" si="120"/>
        <v>8</v>
      </c>
      <c r="W653" s="108">
        <f>IF($A653="",0,IF(AND($C653&gt;=Config!$C$7,$C653&lt;=Config!$C$8),1,0))</f>
        <v>1</v>
      </c>
      <c r="X653" s="108">
        <f>IF($A653="",0,IF(COUNTIF(Config!$C$21:$C$23,$H653)&gt;0,1,0))</f>
        <v>1</v>
      </c>
      <c r="Y653" s="108">
        <f t="shared" si="121"/>
        <v>16</v>
      </c>
      <c r="Z653" s="108">
        <f t="shared" si="122"/>
        <v>16</v>
      </c>
      <c r="AB653" s="108">
        <f t="shared" si="123"/>
        <v>0</v>
      </c>
      <c r="AC653" s="108">
        <f>IF($A653="",0,IF(AND($AB653=1,COUNTIF($A$2:$A653,$A653)=1),1,0))</f>
        <v>0</v>
      </c>
      <c r="AD653" s="108">
        <f t="shared" si="124"/>
        <v>1</v>
      </c>
      <c r="AE653" s="108" t="str">
        <f t="shared" si="125"/>
        <v/>
      </c>
      <c r="AF653" s="108">
        <f t="shared" si="126"/>
        <v>0</v>
      </c>
      <c r="AG653" s="108">
        <f t="shared" si="127"/>
        <v>0</v>
      </c>
      <c r="AH653" s="110" t="str">
        <f t="shared" si="128"/>
        <v>L Alfonso|20260901|Time Off|0.000|8 hours not billed</v>
      </c>
      <c r="AI653" s="108">
        <f t="shared" si="129"/>
        <v>0</v>
      </c>
      <c r="AJ653" s="108">
        <f t="shared" si="130"/>
        <v>0</v>
      </c>
      <c r="AK653" s="108">
        <f>IF($A653="",0,IF(AND($S653=1,$W653=1,$X653=1,$U653&gt;Config!$C$9),1,0))</f>
        <v>0</v>
      </c>
      <c r="AL653" s="108">
        <f t="shared" si="131"/>
        <v>0</v>
      </c>
    </row>
    <row r="654" spans="1:38" x14ac:dyDescent="0.25">
      <c r="A654" s="106" t="s">
        <v>477</v>
      </c>
      <c r="B654" s="106" t="s">
        <v>618</v>
      </c>
      <c r="C654" s="107">
        <v>46266</v>
      </c>
      <c r="D654" s="106" t="s">
        <v>529</v>
      </c>
      <c r="E654" s="106" t="s">
        <v>529</v>
      </c>
      <c r="F654" s="106" t="s">
        <v>615</v>
      </c>
      <c r="G654" s="106"/>
      <c r="H654" s="106" t="s">
        <v>531</v>
      </c>
      <c r="I654" s="106"/>
      <c r="J654" s="106" t="s">
        <v>756</v>
      </c>
      <c r="K654" s="106">
        <v>0</v>
      </c>
      <c r="L654" s="106">
        <v>0</v>
      </c>
      <c r="M654" s="106">
        <v>0</v>
      </c>
      <c r="N654" s="106"/>
      <c r="O654" s="106"/>
      <c r="P654" s="106">
        <v>0</v>
      </c>
      <c r="Q654" s="106" t="s">
        <v>757</v>
      </c>
      <c r="S654" s="108">
        <f>IF($A654="","",COUNTIF(BPOworkers!$B$6:$B$105,$A654))</f>
        <v>1</v>
      </c>
      <c r="T654" s="109">
        <f>IF($A654="","",$K654*Config!$C$9)</f>
        <v>0</v>
      </c>
      <c r="U654" s="109">
        <f>IF($A654="","",IF(COUNTIF(Config!$C$21:$C$23,$H654)&gt;0,IFERROR(VALUE(LEFT(TRIM($Q654),FIND(" ",TRIM($Q654)&amp;" ")-1)),0),0))</f>
        <v>8</v>
      </c>
      <c r="V654" s="109">
        <f t="shared" si="120"/>
        <v>8</v>
      </c>
      <c r="W654" s="108">
        <f>IF($A654="",0,IF(AND($C654&gt;=Config!$C$7,$C654&lt;=Config!$C$8),1,0))</f>
        <v>1</v>
      </c>
      <c r="X654" s="108">
        <f>IF($A654="",0,IF(COUNTIF(Config!$C$21:$C$23,$H654)&gt;0,1,0))</f>
        <v>1</v>
      </c>
      <c r="Y654" s="108">
        <f t="shared" si="121"/>
        <v>17</v>
      </c>
      <c r="Z654" s="108">
        <f t="shared" si="122"/>
        <v>17</v>
      </c>
      <c r="AB654" s="108">
        <f t="shared" si="123"/>
        <v>0</v>
      </c>
      <c r="AC654" s="108">
        <f>IF($A654="",0,IF(AND($AB654=1,COUNTIF($A$2:$A654,$A654)=1),1,0))</f>
        <v>0</v>
      </c>
      <c r="AD654" s="108">
        <f t="shared" si="124"/>
        <v>1</v>
      </c>
      <c r="AE654" s="108" t="str">
        <f t="shared" si="125"/>
        <v/>
      </c>
      <c r="AF654" s="108">
        <f t="shared" si="126"/>
        <v>0</v>
      </c>
      <c r="AG654" s="108">
        <f t="shared" si="127"/>
        <v>0</v>
      </c>
      <c r="AH654" s="110" t="str">
        <f t="shared" si="128"/>
        <v>L Escobar|20260901|BPO Vacation|0.000|8 hours of paid vacations</v>
      </c>
      <c r="AI654" s="108">
        <f t="shared" si="129"/>
        <v>0</v>
      </c>
      <c r="AJ654" s="108">
        <f t="shared" si="130"/>
        <v>0</v>
      </c>
      <c r="AK654" s="108">
        <f>IF($A654="",0,IF(AND($S654=1,$W654=1,$X654=1,$U654&gt;Config!$C$9),1,0))</f>
        <v>0</v>
      </c>
      <c r="AL654" s="108">
        <f t="shared" si="131"/>
        <v>0</v>
      </c>
    </row>
    <row r="655" spans="1:38" x14ac:dyDescent="0.25">
      <c r="A655" s="106" t="s">
        <v>483</v>
      </c>
      <c r="B655" s="106" t="s">
        <v>618</v>
      </c>
      <c r="C655" s="107">
        <v>46266</v>
      </c>
      <c r="D655" s="106" t="s">
        <v>694</v>
      </c>
      <c r="E655" s="106" t="s">
        <v>765</v>
      </c>
      <c r="F655" s="106" t="s">
        <v>766</v>
      </c>
      <c r="G655" s="106" t="s">
        <v>1295</v>
      </c>
      <c r="H655" s="106" t="s">
        <v>765</v>
      </c>
      <c r="I655" s="106"/>
      <c r="J655" s="106" t="s">
        <v>807</v>
      </c>
      <c r="K655" s="106">
        <v>0.5</v>
      </c>
      <c r="L655" s="106">
        <v>0</v>
      </c>
      <c r="M655" s="106">
        <v>0</v>
      </c>
      <c r="N655" s="106"/>
      <c r="O655" s="106"/>
      <c r="P655" s="106">
        <v>0</v>
      </c>
      <c r="Q655" s="106" t="s">
        <v>1438</v>
      </c>
      <c r="S655" s="108">
        <f>IF($A655="","",COUNTIF(BPOworkers!$B$6:$B$105,$A655))</f>
        <v>1</v>
      </c>
      <c r="T655" s="109">
        <f>IF($A655="","",$K655*Config!$C$9)</f>
        <v>4</v>
      </c>
      <c r="U655" s="109">
        <f>IF($A655="","",IF(COUNTIF(Config!$C$21:$C$23,$H655)&gt;0,IFERROR(VALUE(LEFT(TRIM($Q655),FIND(" ",TRIM($Q655)&amp;" ")-1)),0),0))</f>
        <v>0</v>
      </c>
      <c r="V655" s="109">
        <f t="shared" si="120"/>
        <v>4</v>
      </c>
      <c r="W655" s="108">
        <f>IF($A655="",0,IF(AND($C655&gt;=Config!$C$7,$C655&lt;=Config!$C$8),1,0))</f>
        <v>1</v>
      </c>
      <c r="X655" s="108">
        <f>IF($A655="",0,IF(COUNTIF(Config!$C$21:$C$23,$H655)&gt;0,1,0))</f>
        <v>0</v>
      </c>
      <c r="Y655" s="108">
        <f t="shared" si="121"/>
        <v>17</v>
      </c>
      <c r="Z655" s="108" t="str">
        <f t="shared" si="122"/>
        <v/>
      </c>
      <c r="AB655" s="108">
        <f t="shared" si="123"/>
        <v>0</v>
      </c>
      <c r="AC655" s="108">
        <f>IF($A655="",0,IF(AND($AB655=1,COUNTIF($A$2:$A655,$A655)=1),1,0))</f>
        <v>0</v>
      </c>
      <c r="AD655" s="108">
        <f t="shared" si="124"/>
        <v>1</v>
      </c>
      <c r="AE655" s="108" t="str">
        <f t="shared" si="125"/>
        <v/>
      </c>
      <c r="AF655" s="108">
        <f t="shared" si="126"/>
        <v>0</v>
      </c>
      <c r="AG655" s="108">
        <f t="shared" si="127"/>
        <v>0</v>
      </c>
      <c r="AH655" s="110" t="str">
        <f t="shared" si="128"/>
        <v>M Lopez|20260901|Lease Bringdown|0.500|I was almost done with the assignment—just reviewing an overlapping polygon and an unassigned mineral interest—when I wa</v>
      </c>
      <c r="AI655" s="108">
        <f t="shared" si="129"/>
        <v>0</v>
      </c>
      <c r="AJ655" s="108">
        <f t="shared" si="130"/>
        <v>0</v>
      </c>
      <c r="AK655" s="108">
        <f>IF($A655="",0,IF(AND($S655=1,$W655=1,$X655=1,$U655&gt;Config!$C$9),1,0))</f>
        <v>0</v>
      </c>
      <c r="AL655" s="108">
        <f t="shared" si="131"/>
        <v>0</v>
      </c>
    </row>
    <row r="656" spans="1:38" ht="180.75" x14ac:dyDescent="0.25">
      <c r="A656" s="106" t="s">
        <v>483</v>
      </c>
      <c r="B656" s="106" t="s">
        <v>618</v>
      </c>
      <c r="C656" s="107">
        <v>46266</v>
      </c>
      <c r="D656" s="106" t="s">
        <v>720</v>
      </c>
      <c r="E656" s="106" t="s">
        <v>721</v>
      </c>
      <c r="F656" s="106" t="s">
        <v>722</v>
      </c>
      <c r="G656" s="106" t="s">
        <v>790</v>
      </c>
      <c r="H656" s="106" t="s">
        <v>631</v>
      </c>
      <c r="I656" s="106"/>
      <c r="J656" s="106" t="s">
        <v>791</v>
      </c>
      <c r="K656" s="106">
        <v>0.5</v>
      </c>
      <c r="L656" s="106">
        <v>0</v>
      </c>
      <c r="M656" s="106">
        <v>0</v>
      </c>
      <c r="N656" s="106"/>
      <c r="O656" s="106"/>
      <c r="P656" s="106">
        <v>0</v>
      </c>
      <c r="Q656" s="111" t="s">
        <v>1439</v>
      </c>
      <c r="S656" s="108">
        <f>IF($A656="","",COUNTIF(BPOworkers!$B$6:$B$105,$A656))</f>
        <v>1</v>
      </c>
      <c r="T656" s="109">
        <f>IF($A656="","",$K656*Config!$C$9)</f>
        <v>4</v>
      </c>
      <c r="U656" s="109">
        <f>IF($A656="","",IF(COUNTIF(Config!$C$21:$C$23,$H656)&gt;0,IFERROR(VALUE(LEFT(TRIM($Q656),FIND(" ",TRIM($Q656)&amp;" ")-1)),0),0))</f>
        <v>0</v>
      </c>
      <c r="V656" s="109">
        <f t="shared" si="120"/>
        <v>4</v>
      </c>
      <c r="W656" s="108">
        <f>IF($A656="",0,IF(AND($C656&gt;=Config!$C$7,$C656&lt;=Config!$C$8),1,0))</f>
        <v>1</v>
      </c>
      <c r="X656" s="108">
        <f>IF($A656="",0,IF(COUNTIF(Config!$C$21:$C$23,$H656)&gt;0,1,0))</f>
        <v>0</v>
      </c>
      <c r="Y656" s="108">
        <f t="shared" si="121"/>
        <v>17</v>
      </c>
      <c r="Z656" s="108" t="str">
        <f t="shared" si="122"/>
        <v/>
      </c>
      <c r="AB656" s="108">
        <f t="shared" si="123"/>
        <v>0</v>
      </c>
      <c r="AC656" s="108">
        <f>IF($A656="",0,IF(AND($AB656=1,COUNTIF($A$2:$A656,$A656)=1),1,0))</f>
        <v>0</v>
      </c>
      <c r="AD656" s="108">
        <f t="shared" si="124"/>
        <v>1</v>
      </c>
      <c r="AE656" s="108" t="str">
        <f t="shared" si="125"/>
        <v/>
      </c>
      <c r="AF656" s="108">
        <f t="shared" si="126"/>
        <v>0</v>
      </c>
      <c r="AG656" s="108">
        <f t="shared" si="127"/>
        <v>0</v>
      </c>
      <c r="AH656" s="112" t="str">
        <f t="shared" si="128"/>
        <v xml:space="preserve">M Lopez|20260901|Title|0.500|- Created AOI
 -Created indexing spreadsheet
 - Added source deed
 - Indexed to the present from source deed
 - Started </v>
      </c>
      <c r="AI656" s="108">
        <f t="shared" si="129"/>
        <v>0</v>
      </c>
      <c r="AJ656" s="108">
        <f t="shared" si="130"/>
        <v>0</v>
      </c>
      <c r="AK656" s="108">
        <f>IF($A656="",0,IF(AND($S656=1,$W656=1,$X656=1,$U656&gt;Config!$C$9),1,0))</f>
        <v>0</v>
      </c>
      <c r="AL656" s="108">
        <f t="shared" si="131"/>
        <v>0</v>
      </c>
    </row>
    <row r="657" spans="1:38" x14ac:dyDescent="0.25">
      <c r="A657" s="106" t="s">
        <v>484</v>
      </c>
      <c r="B657" s="106" t="s">
        <v>618</v>
      </c>
      <c r="C657" s="107">
        <v>46266</v>
      </c>
      <c r="D657" s="106" t="s">
        <v>712</v>
      </c>
      <c r="E657" s="106" t="s">
        <v>713</v>
      </c>
      <c r="F657" s="106" t="s">
        <v>866</v>
      </c>
      <c r="G657" s="106" t="s">
        <v>867</v>
      </c>
      <c r="H657" s="106" t="s">
        <v>631</v>
      </c>
      <c r="I657" s="106"/>
      <c r="J657" s="106" t="s">
        <v>1298</v>
      </c>
      <c r="K657" s="106">
        <v>1</v>
      </c>
      <c r="L657" s="106">
        <v>0</v>
      </c>
      <c r="M657" s="106">
        <v>0</v>
      </c>
      <c r="N657" s="106"/>
      <c r="O657" s="106"/>
      <c r="P657" s="106">
        <v>0</v>
      </c>
      <c r="Q657" s="106" t="s">
        <v>1440</v>
      </c>
      <c r="S657" s="108">
        <f>IF($A657="","",COUNTIF(BPOworkers!$B$6:$B$105,$A657))</f>
        <v>1</v>
      </c>
      <c r="T657" s="109">
        <f>IF($A657="","",$K657*Config!$C$9)</f>
        <v>8</v>
      </c>
      <c r="U657" s="109">
        <f>IF($A657="","",IF(COUNTIF(Config!$C$21:$C$23,$H657)&gt;0,IFERROR(VALUE(LEFT(TRIM($Q657),FIND(" ",TRIM($Q657)&amp;" ")-1)),0),0))</f>
        <v>0</v>
      </c>
      <c r="V657" s="109">
        <f t="shared" si="120"/>
        <v>8</v>
      </c>
      <c r="W657" s="108">
        <f>IF($A657="",0,IF(AND($C657&gt;=Config!$C$7,$C657&lt;=Config!$C$8),1,0))</f>
        <v>1</v>
      </c>
      <c r="X657" s="108">
        <f>IF($A657="",0,IF(COUNTIF(Config!$C$21:$C$23,$H657)&gt;0,1,0))</f>
        <v>0</v>
      </c>
      <c r="Y657" s="108">
        <f t="shared" si="121"/>
        <v>17</v>
      </c>
      <c r="Z657" s="108" t="str">
        <f t="shared" si="122"/>
        <v/>
      </c>
      <c r="AB657" s="108">
        <f t="shared" si="123"/>
        <v>0</v>
      </c>
      <c r="AC657" s="108">
        <f>IF($A657="",0,IF(AND($AB657=1,COUNTIF($A$2:$A657,$A657)=1),1,0))</f>
        <v>0</v>
      </c>
      <c r="AD657" s="108">
        <f t="shared" si="124"/>
        <v>1</v>
      </c>
      <c r="AE657" s="108" t="str">
        <f t="shared" si="125"/>
        <v/>
      </c>
      <c r="AF657" s="108">
        <f t="shared" si="126"/>
        <v>0</v>
      </c>
      <c r="AG657" s="108">
        <f t="shared" si="127"/>
        <v>0</v>
      </c>
      <c r="AH657" s="110" t="str">
        <f t="shared" si="128"/>
        <v>M Verdooren|20260901|Title|1.000|Indexed 397 documents and connected all the parties in the chain of title.</v>
      </c>
      <c r="AI657" s="108">
        <f t="shared" si="129"/>
        <v>0</v>
      </c>
      <c r="AJ657" s="108">
        <f t="shared" si="130"/>
        <v>0</v>
      </c>
      <c r="AK657" s="108">
        <f>IF($A657="",0,IF(AND($S657=1,$W657=1,$X657=1,$U657&gt;Config!$C$9),1,0))</f>
        <v>0</v>
      </c>
      <c r="AL657" s="108">
        <f t="shared" si="131"/>
        <v>0</v>
      </c>
    </row>
    <row r="658" spans="1:38" ht="108.75" x14ac:dyDescent="0.25">
      <c r="A658" s="106" t="s">
        <v>481</v>
      </c>
      <c r="B658" s="106" t="s">
        <v>618</v>
      </c>
      <c r="C658" s="107">
        <v>46266</v>
      </c>
      <c r="D658" s="106" t="s">
        <v>623</v>
      </c>
      <c r="E658" s="106" t="s">
        <v>624</v>
      </c>
      <c r="F658" s="106" t="s">
        <v>615</v>
      </c>
      <c r="G658" s="106" t="s">
        <v>625</v>
      </c>
      <c r="H658" s="106" t="s">
        <v>671</v>
      </c>
      <c r="I658" s="106" t="s">
        <v>657</v>
      </c>
      <c r="J658" s="106"/>
      <c r="K658" s="106">
        <v>0.5</v>
      </c>
      <c r="L658" s="106">
        <v>0</v>
      </c>
      <c r="M658" s="106">
        <v>0</v>
      </c>
      <c r="N658" s="106"/>
      <c r="O658" s="106"/>
      <c r="P658" s="106">
        <v>0</v>
      </c>
      <c r="Q658" s="111" t="s">
        <v>1441</v>
      </c>
      <c r="S658" s="108">
        <f>IF($A658="","",COUNTIF(BPOworkers!$B$6:$B$105,$A658))</f>
        <v>1</v>
      </c>
      <c r="T658" s="109">
        <f>IF($A658="","",$K658*Config!$C$9)</f>
        <v>4</v>
      </c>
      <c r="U658" s="109">
        <f>IF($A658="","",IF(COUNTIF(Config!$C$21:$C$23,$H658)&gt;0,IFERROR(VALUE(LEFT(TRIM($Q658),FIND(" ",TRIM($Q658)&amp;" ")-1)),0),0))</f>
        <v>0</v>
      </c>
      <c r="V658" s="109">
        <f t="shared" si="120"/>
        <v>4</v>
      </c>
      <c r="W658" s="108">
        <f>IF($A658="",0,IF(AND($C658&gt;=Config!$C$7,$C658&lt;=Config!$C$8),1,0))</f>
        <v>1</v>
      </c>
      <c r="X658" s="108">
        <f>IF($A658="",0,IF(COUNTIF(Config!$C$21:$C$23,$H658)&gt;0,1,0))</f>
        <v>0</v>
      </c>
      <c r="Y658" s="108">
        <f t="shared" si="121"/>
        <v>17</v>
      </c>
      <c r="Z658" s="108" t="str">
        <f t="shared" si="122"/>
        <v/>
      </c>
      <c r="AB658" s="108">
        <f t="shared" si="123"/>
        <v>0</v>
      </c>
      <c r="AC658" s="108">
        <f>IF($A658="",0,IF(AND($AB658=1,COUNTIF($A$2:$A658,$A658)=1),1,0))</f>
        <v>0</v>
      </c>
      <c r="AD658" s="108">
        <f t="shared" si="124"/>
        <v>1</v>
      </c>
      <c r="AE658" s="108" t="str">
        <f t="shared" si="125"/>
        <v/>
      </c>
      <c r="AF658" s="108">
        <f t="shared" si="126"/>
        <v>0</v>
      </c>
      <c r="AG658" s="108">
        <f t="shared" si="127"/>
        <v>0</v>
      </c>
      <c r="AH658" s="112" t="str">
        <f t="shared" si="128"/>
        <v>M Fernandez|20260901|TitleNotes - Library|0.500|21 documents
 30 transactions</v>
      </c>
      <c r="AI658" s="108">
        <f t="shared" si="129"/>
        <v>0</v>
      </c>
      <c r="AJ658" s="108">
        <f t="shared" si="130"/>
        <v>0</v>
      </c>
      <c r="AK658" s="108">
        <f>IF($A658="",0,IF(AND($S658=1,$W658=1,$X658=1,$U658&gt;Config!$C$9),1,0))</f>
        <v>0</v>
      </c>
      <c r="AL658" s="108">
        <f t="shared" si="131"/>
        <v>0</v>
      </c>
    </row>
    <row r="659" spans="1:38" x14ac:dyDescent="0.25">
      <c r="A659" s="106" t="s">
        <v>481</v>
      </c>
      <c r="B659" s="106" t="s">
        <v>618</v>
      </c>
      <c r="C659" s="107">
        <v>46266</v>
      </c>
      <c r="D659" s="106" t="s">
        <v>680</v>
      </c>
      <c r="E659" s="106" t="s">
        <v>681</v>
      </c>
      <c r="F659" s="106" t="s">
        <v>893</v>
      </c>
      <c r="G659" s="106" t="s">
        <v>1442</v>
      </c>
      <c r="H659" s="106" t="s">
        <v>631</v>
      </c>
      <c r="I659" s="106"/>
      <c r="J659" s="106"/>
      <c r="K659" s="106">
        <v>0.125</v>
      </c>
      <c r="L659" s="106">
        <v>0</v>
      </c>
      <c r="M659" s="106">
        <v>0</v>
      </c>
      <c r="N659" s="106"/>
      <c r="O659" s="106"/>
      <c r="P659" s="106">
        <v>0</v>
      </c>
      <c r="Q659" s="106" t="s">
        <v>1443</v>
      </c>
      <c r="S659" s="108">
        <f>IF($A659="","",COUNTIF(BPOworkers!$B$6:$B$105,$A659))</f>
        <v>1</v>
      </c>
      <c r="T659" s="109">
        <f>IF($A659="","",$K659*Config!$C$9)</f>
        <v>1</v>
      </c>
      <c r="U659" s="109">
        <f>IF($A659="","",IF(COUNTIF(Config!$C$21:$C$23,$H659)&gt;0,IFERROR(VALUE(LEFT(TRIM($Q659),FIND(" ",TRIM($Q659)&amp;" ")-1)),0),0))</f>
        <v>0</v>
      </c>
      <c r="V659" s="109">
        <f t="shared" si="120"/>
        <v>1</v>
      </c>
      <c r="W659" s="108">
        <f>IF($A659="",0,IF(AND($C659&gt;=Config!$C$7,$C659&lt;=Config!$C$8),1,0))</f>
        <v>1</v>
      </c>
      <c r="X659" s="108">
        <f>IF($A659="",0,IF(COUNTIF(Config!$C$21:$C$23,$H659)&gt;0,1,0))</f>
        <v>0</v>
      </c>
      <c r="Y659" s="108">
        <f t="shared" si="121"/>
        <v>17</v>
      </c>
      <c r="Z659" s="108" t="str">
        <f t="shared" si="122"/>
        <v/>
      </c>
      <c r="AB659" s="108">
        <f t="shared" si="123"/>
        <v>0</v>
      </c>
      <c r="AC659" s="108">
        <f>IF($A659="",0,IF(AND($AB659=1,COUNTIF($A$2:$A659,$A659)=1),1,0))</f>
        <v>0</v>
      </c>
      <c r="AD659" s="108">
        <f t="shared" si="124"/>
        <v>1</v>
      </c>
      <c r="AE659" s="108" t="str">
        <f t="shared" si="125"/>
        <v/>
      </c>
      <c r="AF659" s="108">
        <f t="shared" si="126"/>
        <v>0</v>
      </c>
      <c r="AG659" s="108">
        <f t="shared" si="127"/>
        <v>0</v>
      </c>
      <c r="AH659" s="110" t="str">
        <f t="shared" si="128"/>
        <v>M Fernandez|20260901|Title|0.125|Find source deed for following parcels: 32-02094.000; 32-02099.000; 32-02098.000; 32-02097.000; 32-02096.000; 32-02095.0</v>
      </c>
      <c r="AI659" s="108">
        <f t="shared" si="129"/>
        <v>0</v>
      </c>
      <c r="AJ659" s="108">
        <f t="shared" si="130"/>
        <v>0</v>
      </c>
      <c r="AK659" s="108">
        <f>IF($A659="",0,IF(AND($S659=1,$W659=1,$X659=1,$U659&gt;Config!$C$9),1,0))</f>
        <v>0</v>
      </c>
      <c r="AL659" s="108">
        <f t="shared" si="131"/>
        <v>0</v>
      </c>
    </row>
    <row r="660" spans="1:38" x14ac:dyDescent="0.25">
      <c r="A660" s="106" t="s">
        <v>481</v>
      </c>
      <c r="B660" s="106" t="s">
        <v>618</v>
      </c>
      <c r="C660" s="107">
        <v>46266</v>
      </c>
      <c r="D660" s="106" t="s">
        <v>680</v>
      </c>
      <c r="E660" s="106" t="s">
        <v>681</v>
      </c>
      <c r="F660" s="106" t="s">
        <v>893</v>
      </c>
      <c r="G660" s="106" t="s">
        <v>1444</v>
      </c>
      <c r="H660" s="106" t="s">
        <v>631</v>
      </c>
      <c r="I660" s="106"/>
      <c r="J660" s="106"/>
      <c r="K660" s="106">
        <v>0.125</v>
      </c>
      <c r="L660" s="106">
        <v>0</v>
      </c>
      <c r="M660" s="106">
        <v>0</v>
      </c>
      <c r="N660" s="106"/>
      <c r="O660" s="106"/>
      <c r="P660" s="106">
        <v>0</v>
      </c>
      <c r="Q660" s="106" t="s">
        <v>1445</v>
      </c>
      <c r="S660" s="108">
        <f>IF($A660="","",COUNTIF(BPOworkers!$B$6:$B$105,$A660))</f>
        <v>1</v>
      </c>
      <c r="T660" s="109">
        <f>IF($A660="","",$K660*Config!$C$9)</f>
        <v>1</v>
      </c>
      <c r="U660" s="109">
        <f>IF($A660="","",IF(COUNTIF(Config!$C$21:$C$23,$H660)&gt;0,IFERROR(VALUE(LEFT(TRIM($Q660),FIND(" ",TRIM($Q660)&amp;" ")-1)),0),0))</f>
        <v>0</v>
      </c>
      <c r="V660" s="109">
        <f t="shared" si="120"/>
        <v>1</v>
      </c>
      <c r="W660" s="108">
        <f>IF($A660="",0,IF(AND($C660&gt;=Config!$C$7,$C660&lt;=Config!$C$8),1,0))</f>
        <v>1</v>
      </c>
      <c r="X660" s="108">
        <f>IF($A660="",0,IF(COUNTIF(Config!$C$21:$C$23,$H660)&gt;0,1,0))</f>
        <v>0</v>
      </c>
      <c r="Y660" s="108">
        <f t="shared" si="121"/>
        <v>17</v>
      </c>
      <c r="Z660" s="108" t="str">
        <f t="shared" si="122"/>
        <v/>
      </c>
      <c r="AB660" s="108">
        <f t="shared" si="123"/>
        <v>0</v>
      </c>
      <c r="AC660" s="108">
        <f>IF($A660="",0,IF(AND($AB660=1,COUNTIF($A$2:$A660,$A660)=1),1,0))</f>
        <v>0</v>
      </c>
      <c r="AD660" s="108">
        <f t="shared" si="124"/>
        <v>1</v>
      </c>
      <c r="AE660" s="108" t="str">
        <f t="shared" si="125"/>
        <v/>
      </c>
      <c r="AF660" s="108">
        <f t="shared" si="126"/>
        <v>0</v>
      </c>
      <c r="AG660" s="108">
        <f t="shared" si="127"/>
        <v>0</v>
      </c>
      <c r="AH660" s="110" t="str">
        <f t="shared" si="128"/>
        <v>M Fernandez|20260901|Title|0.125|Finding source deed for the following parcel: 32-03702.000</v>
      </c>
      <c r="AI660" s="108">
        <f t="shared" si="129"/>
        <v>0</v>
      </c>
      <c r="AJ660" s="108">
        <f t="shared" si="130"/>
        <v>0</v>
      </c>
      <c r="AK660" s="108">
        <f>IF($A660="",0,IF(AND($S660=1,$W660=1,$X660=1,$U660&gt;Config!$C$9),1,0))</f>
        <v>0</v>
      </c>
      <c r="AL660" s="108">
        <f t="shared" si="131"/>
        <v>0</v>
      </c>
    </row>
    <row r="661" spans="1:38" x14ac:dyDescent="0.25">
      <c r="A661" s="106" t="s">
        <v>481</v>
      </c>
      <c r="B661" s="106" t="s">
        <v>618</v>
      </c>
      <c r="C661" s="107">
        <v>46266</v>
      </c>
      <c r="D661" s="106" t="s">
        <v>680</v>
      </c>
      <c r="E661" s="106" t="s">
        <v>681</v>
      </c>
      <c r="F661" s="106" t="s">
        <v>893</v>
      </c>
      <c r="G661" s="106" t="s">
        <v>1446</v>
      </c>
      <c r="H661" s="106" t="s">
        <v>631</v>
      </c>
      <c r="I661" s="106"/>
      <c r="J661" s="106"/>
      <c r="K661" s="106">
        <v>0.125</v>
      </c>
      <c r="L661" s="106">
        <v>0</v>
      </c>
      <c r="M661" s="106">
        <v>0</v>
      </c>
      <c r="N661" s="106"/>
      <c r="O661" s="106"/>
      <c r="P661" s="106">
        <v>0</v>
      </c>
      <c r="Q661" s="106" t="s">
        <v>1447</v>
      </c>
      <c r="S661" s="108">
        <f>IF($A661="","",COUNTIF(BPOworkers!$B$6:$B$105,$A661))</f>
        <v>1</v>
      </c>
      <c r="T661" s="109">
        <f>IF($A661="","",$K661*Config!$C$9)</f>
        <v>1</v>
      </c>
      <c r="U661" s="109">
        <f>IF($A661="","",IF(COUNTIF(Config!$C$21:$C$23,$H661)&gt;0,IFERROR(VALUE(LEFT(TRIM($Q661),FIND(" ",TRIM($Q661)&amp;" ")-1)),0),0))</f>
        <v>0</v>
      </c>
      <c r="V661" s="109">
        <f t="shared" si="120"/>
        <v>1</v>
      </c>
      <c r="W661" s="108">
        <f>IF($A661="",0,IF(AND($C661&gt;=Config!$C$7,$C661&lt;=Config!$C$8),1,0))</f>
        <v>1</v>
      </c>
      <c r="X661" s="108">
        <f>IF($A661="",0,IF(COUNTIF(Config!$C$21:$C$23,$H661)&gt;0,1,0))</f>
        <v>0</v>
      </c>
      <c r="Y661" s="108">
        <f t="shared" si="121"/>
        <v>17</v>
      </c>
      <c r="Z661" s="108" t="str">
        <f t="shared" si="122"/>
        <v/>
      </c>
      <c r="AB661" s="108">
        <f t="shared" si="123"/>
        <v>0</v>
      </c>
      <c r="AC661" s="108">
        <f>IF($A661="",0,IF(AND($AB661=1,COUNTIF($A$2:$A661,$A661)=1),1,0))</f>
        <v>0</v>
      </c>
      <c r="AD661" s="108">
        <f t="shared" si="124"/>
        <v>1</v>
      </c>
      <c r="AE661" s="108" t="str">
        <f t="shared" si="125"/>
        <v/>
      </c>
      <c r="AF661" s="108">
        <f t="shared" si="126"/>
        <v>0</v>
      </c>
      <c r="AG661" s="108">
        <f t="shared" si="127"/>
        <v>0</v>
      </c>
      <c r="AH661" s="110" t="str">
        <f t="shared" si="128"/>
        <v>M Fernandez|20260901|Title|0.125|Find source deed for the following parcel: 26-01018.000</v>
      </c>
      <c r="AI661" s="108">
        <f t="shared" si="129"/>
        <v>0</v>
      </c>
      <c r="AJ661" s="108">
        <f t="shared" si="130"/>
        <v>0</v>
      </c>
      <c r="AK661" s="108">
        <f>IF($A661="",0,IF(AND($S661=1,$W661=1,$X661=1,$U661&gt;Config!$C$9),1,0))</f>
        <v>0</v>
      </c>
      <c r="AL661" s="108">
        <f t="shared" si="131"/>
        <v>0</v>
      </c>
    </row>
    <row r="662" spans="1:38" x14ac:dyDescent="0.25">
      <c r="A662" s="106" t="s">
        <v>481</v>
      </c>
      <c r="B662" s="106" t="s">
        <v>618</v>
      </c>
      <c r="C662" s="107">
        <v>46266</v>
      </c>
      <c r="D662" s="106" t="s">
        <v>680</v>
      </c>
      <c r="E662" s="106" t="s">
        <v>681</v>
      </c>
      <c r="F662" s="106" t="s">
        <v>686</v>
      </c>
      <c r="G662" s="106" t="s">
        <v>1448</v>
      </c>
      <c r="H662" s="106" t="s">
        <v>631</v>
      </c>
      <c r="I662" s="106"/>
      <c r="J662" s="106"/>
      <c r="K662" s="106">
        <v>0.125</v>
      </c>
      <c r="L662" s="106">
        <v>0</v>
      </c>
      <c r="M662" s="106">
        <v>0</v>
      </c>
      <c r="N662" s="106"/>
      <c r="O662" s="106"/>
      <c r="P662" s="106">
        <v>0</v>
      </c>
      <c r="Q662" s="106" t="s">
        <v>1449</v>
      </c>
      <c r="S662" s="108">
        <f>IF($A662="","",COUNTIF(BPOworkers!$B$6:$B$105,$A662))</f>
        <v>1</v>
      </c>
      <c r="T662" s="109">
        <f>IF($A662="","",$K662*Config!$C$9)</f>
        <v>1</v>
      </c>
      <c r="U662" s="109">
        <f>IF($A662="","",IF(COUNTIF(Config!$C$21:$C$23,$H662)&gt;0,IFERROR(VALUE(LEFT(TRIM($Q662),FIND(" ",TRIM($Q662)&amp;" ")-1)),0),0))</f>
        <v>0</v>
      </c>
      <c r="V662" s="109">
        <f t="shared" si="120"/>
        <v>1</v>
      </c>
      <c r="W662" s="108">
        <f>IF($A662="",0,IF(AND($C662&gt;=Config!$C$7,$C662&lt;=Config!$C$8),1,0))</f>
        <v>1</v>
      </c>
      <c r="X662" s="108">
        <f>IF($A662="",0,IF(COUNTIF(Config!$C$21:$C$23,$H662)&gt;0,1,0))</f>
        <v>0</v>
      </c>
      <c r="Y662" s="108">
        <f t="shared" si="121"/>
        <v>17</v>
      </c>
      <c r="Z662" s="108" t="str">
        <f t="shared" si="122"/>
        <v/>
      </c>
      <c r="AB662" s="108">
        <f t="shared" si="123"/>
        <v>0</v>
      </c>
      <c r="AC662" s="108">
        <f>IF($A662="",0,IF(AND($AB662=1,COUNTIF($A$2:$A662,$A662)=1),1,0))</f>
        <v>0</v>
      </c>
      <c r="AD662" s="108">
        <f t="shared" si="124"/>
        <v>1</v>
      </c>
      <c r="AE662" s="108" t="str">
        <f t="shared" si="125"/>
        <v/>
      </c>
      <c r="AF662" s="108">
        <f t="shared" si="126"/>
        <v>0</v>
      </c>
      <c r="AG662" s="108">
        <f t="shared" si="127"/>
        <v>0</v>
      </c>
      <c r="AH662" s="110" t="str">
        <f t="shared" si="128"/>
        <v>M Fernandez|20260901|Title|0.125|Find source deed for the following parcels: 25-0000728.000; 23-0000147.000; 23-0000147.001</v>
      </c>
      <c r="AI662" s="108">
        <f t="shared" si="129"/>
        <v>0</v>
      </c>
      <c r="AJ662" s="108">
        <f t="shared" si="130"/>
        <v>0</v>
      </c>
      <c r="AK662" s="108">
        <f>IF($A662="",0,IF(AND($S662=1,$W662=1,$X662=1,$U662&gt;Config!$C$9),1,0))</f>
        <v>0</v>
      </c>
      <c r="AL662" s="108">
        <f t="shared" si="131"/>
        <v>0</v>
      </c>
    </row>
    <row r="663" spans="1:38" ht="108.75" x14ac:dyDescent="0.25">
      <c r="A663" s="106" t="s">
        <v>462</v>
      </c>
      <c r="B663" s="106" t="s">
        <v>618</v>
      </c>
      <c r="C663" s="107">
        <v>46266</v>
      </c>
      <c r="D663" s="106" t="s">
        <v>669</v>
      </c>
      <c r="E663" s="106" t="s">
        <v>669</v>
      </c>
      <c r="F663" s="106" t="s">
        <v>670</v>
      </c>
      <c r="G663" s="106"/>
      <c r="H663" s="106" t="s">
        <v>671</v>
      </c>
      <c r="I663" s="106"/>
      <c r="J663" s="106"/>
      <c r="K663" s="106">
        <v>0.5</v>
      </c>
      <c r="L663" s="106">
        <v>0</v>
      </c>
      <c r="M663" s="106">
        <v>0</v>
      </c>
      <c r="N663" s="106"/>
      <c r="O663" s="106"/>
      <c r="P663" s="106">
        <v>0</v>
      </c>
      <c r="Q663" s="111" t="s">
        <v>1450</v>
      </c>
      <c r="S663" s="108">
        <f>IF($A663="","",COUNTIF(BPOworkers!$B$6:$B$105,$A663))</f>
        <v>1</v>
      </c>
      <c r="T663" s="109">
        <f>IF($A663="","",$K663*Config!$C$9)</f>
        <v>4</v>
      </c>
      <c r="U663" s="109">
        <f>IF($A663="","",IF(COUNTIF(Config!$C$21:$C$23,$H663)&gt;0,IFERROR(VALUE(LEFT(TRIM($Q663),FIND(" ",TRIM($Q663)&amp;" ")-1)),0),0))</f>
        <v>0</v>
      </c>
      <c r="V663" s="109">
        <f t="shared" si="120"/>
        <v>4</v>
      </c>
      <c r="W663" s="108">
        <f>IF($A663="",0,IF(AND($C663&gt;=Config!$C$7,$C663&lt;=Config!$C$8),1,0))</f>
        <v>1</v>
      </c>
      <c r="X663" s="108">
        <f>IF($A663="",0,IF(COUNTIF(Config!$C$21:$C$23,$H663)&gt;0,1,0))</f>
        <v>0</v>
      </c>
      <c r="Y663" s="108">
        <f t="shared" si="121"/>
        <v>17</v>
      </c>
      <c r="Z663" s="108" t="str">
        <f t="shared" si="122"/>
        <v/>
      </c>
      <c r="AB663" s="108">
        <f t="shared" si="123"/>
        <v>0</v>
      </c>
      <c r="AC663" s="108">
        <f>IF($A663="",0,IF(AND($AB663=1,COUNTIF($A$2:$A663,$A663)=1),1,0))</f>
        <v>0</v>
      </c>
      <c r="AD663" s="108">
        <f t="shared" si="124"/>
        <v>1</v>
      </c>
      <c r="AE663" s="108" t="str">
        <f t="shared" si="125"/>
        <v/>
      </c>
      <c r="AF663" s="108">
        <f t="shared" si="126"/>
        <v>0</v>
      </c>
      <c r="AG663" s="108">
        <f t="shared" si="127"/>
        <v>0</v>
      </c>
      <c r="AH663" s="112" t="str">
        <f t="shared" si="128"/>
        <v>F Montañez|20260901|TitleNotes - Library|0.500|27 documents
 42 transactions</v>
      </c>
      <c r="AI663" s="108">
        <f t="shared" si="129"/>
        <v>0</v>
      </c>
      <c r="AJ663" s="108">
        <f t="shared" si="130"/>
        <v>0</v>
      </c>
      <c r="AK663" s="108">
        <f>IF($A663="",0,IF(AND($S663=1,$W663=1,$X663=1,$U663&gt;Config!$C$9),1,0))</f>
        <v>0</v>
      </c>
      <c r="AL663" s="108">
        <f t="shared" si="131"/>
        <v>0</v>
      </c>
    </row>
    <row r="664" spans="1:38" ht="216.75" x14ac:dyDescent="0.25">
      <c r="A664" s="106" t="s">
        <v>462</v>
      </c>
      <c r="B664" s="106" t="s">
        <v>618</v>
      </c>
      <c r="C664" s="107">
        <v>46266</v>
      </c>
      <c r="D664" s="106" t="s">
        <v>680</v>
      </c>
      <c r="E664" s="106" t="s">
        <v>681</v>
      </c>
      <c r="F664" s="106" t="s">
        <v>745</v>
      </c>
      <c r="G664" s="106" t="s">
        <v>1451</v>
      </c>
      <c r="H664" s="106" t="s">
        <v>631</v>
      </c>
      <c r="I664" s="106"/>
      <c r="J664" s="106"/>
      <c r="K664" s="106">
        <v>0.125</v>
      </c>
      <c r="L664" s="106">
        <v>0</v>
      </c>
      <c r="M664" s="106">
        <v>0</v>
      </c>
      <c r="N664" s="106"/>
      <c r="O664" s="106"/>
      <c r="P664" s="106">
        <v>0</v>
      </c>
      <c r="Q664" s="111" t="s">
        <v>1452</v>
      </c>
      <c r="S664" s="108">
        <f>IF($A664="","",COUNTIF(BPOworkers!$B$6:$B$105,$A664))</f>
        <v>1</v>
      </c>
      <c r="T664" s="109">
        <f>IF($A664="","",$K664*Config!$C$9)</f>
        <v>1</v>
      </c>
      <c r="U664" s="109">
        <f>IF($A664="","",IF(COUNTIF(Config!$C$21:$C$23,$H664)&gt;0,IFERROR(VALUE(LEFT(TRIM($Q664),FIND(" ",TRIM($Q664)&amp;" ")-1)),0),0))</f>
        <v>0</v>
      </c>
      <c r="V664" s="109">
        <f t="shared" si="120"/>
        <v>1</v>
      </c>
      <c r="W664" s="108">
        <f>IF($A664="",0,IF(AND($C664&gt;=Config!$C$7,$C664&lt;=Config!$C$8),1,0))</f>
        <v>1</v>
      </c>
      <c r="X664" s="108">
        <f>IF($A664="",0,IF(COUNTIF(Config!$C$21:$C$23,$H664)&gt;0,1,0))</f>
        <v>0</v>
      </c>
      <c r="Y664" s="108">
        <f t="shared" si="121"/>
        <v>17</v>
      </c>
      <c r="Z664" s="108" t="str">
        <f t="shared" si="122"/>
        <v/>
      </c>
      <c r="AB664" s="108">
        <f t="shared" si="123"/>
        <v>0</v>
      </c>
      <c r="AC664" s="108">
        <f>IF($A664="",0,IF(AND($AB664=1,COUNTIF($A$2:$A664,$A664)=1),1,0))</f>
        <v>0</v>
      </c>
      <c r="AD664" s="108">
        <f t="shared" si="124"/>
        <v>1</v>
      </c>
      <c r="AE664" s="108" t="str">
        <f t="shared" si="125"/>
        <v/>
      </c>
      <c r="AF664" s="108">
        <f t="shared" si="126"/>
        <v>0</v>
      </c>
      <c r="AG664" s="108">
        <f t="shared" si="127"/>
        <v>0</v>
      </c>
      <c r="AH664" s="112" t="str">
        <f t="shared" si="128"/>
        <v>F Montañez|20260901|Title|0.125|Find source deed for the following parcels: 11-0000150.000; 11-0000150.001; 11-0000150.002, HARRISON (OH), DAWSON
 Doc</v>
      </c>
      <c r="AI664" s="108">
        <f t="shared" si="129"/>
        <v>0</v>
      </c>
      <c r="AJ664" s="108">
        <f t="shared" si="130"/>
        <v>0</v>
      </c>
      <c r="AK664" s="108">
        <f>IF($A664="",0,IF(AND($S664=1,$W664=1,$X664=1,$U664&gt;Config!$C$9),1,0))</f>
        <v>0</v>
      </c>
      <c r="AL664" s="108">
        <f t="shared" si="131"/>
        <v>0</v>
      </c>
    </row>
    <row r="665" spans="1:38" ht="72.75" x14ac:dyDescent="0.25">
      <c r="A665" s="106" t="s">
        <v>462</v>
      </c>
      <c r="B665" s="106" t="s">
        <v>618</v>
      </c>
      <c r="C665" s="107">
        <v>46266</v>
      </c>
      <c r="D665" s="106" t="s">
        <v>680</v>
      </c>
      <c r="E665" s="106" t="s">
        <v>681</v>
      </c>
      <c r="F665" s="106" t="s">
        <v>893</v>
      </c>
      <c r="G665" s="106" t="s">
        <v>1453</v>
      </c>
      <c r="H665" s="106" t="s">
        <v>631</v>
      </c>
      <c r="I665" s="106"/>
      <c r="J665" s="106"/>
      <c r="K665" s="106">
        <v>0.125</v>
      </c>
      <c r="L665" s="106">
        <v>0</v>
      </c>
      <c r="M665" s="106">
        <v>0</v>
      </c>
      <c r="N665" s="106"/>
      <c r="O665" s="106"/>
      <c r="P665" s="106">
        <v>0</v>
      </c>
      <c r="Q665" s="111" t="s">
        <v>1454</v>
      </c>
      <c r="S665" s="108">
        <f>IF($A665="","",COUNTIF(BPOworkers!$B$6:$B$105,$A665))</f>
        <v>1</v>
      </c>
      <c r="T665" s="109">
        <f>IF($A665="","",$K665*Config!$C$9)</f>
        <v>1</v>
      </c>
      <c r="U665" s="109">
        <f>IF($A665="","",IF(COUNTIF(Config!$C$21:$C$23,$H665)&gt;0,IFERROR(VALUE(LEFT(TRIM($Q665),FIND(" ",TRIM($Q665)&amp;" ")-1)),0),0))</f>
        <v>0</v>
      </c>
      <c r="V665" s="109">
        <f t="shared" si="120"/>
        <v>1</v>
      </c>
      <c r="W665" s="108">
        <f>IF($A665="",0,IF(AND($C665&gt;=Config!$C$7,$C665&lt;=Config!$C$8),1,0))</f>
        <v>1</v>
      </c>
      <c r="X665" s="108">
        <f>IF($A665="",0,IF(COUNTIF(Config!$C$21:$C$23,$H665)&gt;0,1,0))</f>
        <v>0</v>
      </c>
      <c r="Y665" s="108">
        <f t="shared" si="121"/>
        <v>17</v>
      </c>
      <c r="Z665" s="108" t="str">
        <f t="shared" si="122"/>
        <v/>
      </c>
      <c r="AB665" s="108">
        <f t="shared" si="123"/>
        <v>0</v>
      </c>
      <c r="AC665" s="108">
        <f>IF($A665="",0,IF(AND($AB665=1,COUNTIF($A$2:$A665,$A665)=1),1,0))</f>
        <v>0</v>
      </c>
      <c r="AD665" s="108">
        <f t="shared" si="124"/>
        <v>1</v>
      </c>
      <c r="AE665" s="108" t="str">
        <f t="shared" si="125"/>
        <v/>
      </c>
      <c r="AF665" s="108">
        <f t="shared" si="126"/>
        <v>0</v>
      </c>
      <c r="AG665" s="108">
        <f t="shared" si="127"/>
        <v>0</v>
      </c>
      <c r="AH665" s="110" t="str">
        <f t="shared" si="128"/>
        <v>F Montañez|20260901|Title|0.125|Find source deed for the following parcels: 56-00274.000; 56-00275.000; 26-03045.000; 26-00587.000, BELMONT (OH), FLEAGA</v>
      </c>
      <c r="AI665" s="108">
        <f t="shared" si="129"/>
        <v>0</v>
      </c>
      <c r="AJ665" s="108">
        <f t="shared" si="130"/>
        <v>0</v>
      </c>
      <c r="AK665" s="108">
        <f>IF($A665="",0,IF(AND($S665=1,$W665=1,$X665=1,$U665&gt;Config!$C$9),1,0))</f>
        <v>0</v>
      </c>
      <c r="AL665" s="108">
        <f t="shared" si="131"/>
        <v>0</v>
      </c>
    </row>
    <row r="666" spans="1:38" ht="204.75" x14ac:dyDescent="0.25">
      <c r="A666" s="106" t="s">
        <v>462</v>
      </c>
      <c r="B666" s="106" t="s">
        <v>618</v>
      </c>
      <c r="C666" s="107">
        <v>46266</v>
      </c>
      <c r="D666" s="106" t="s">
        <v>680</v>
      </c>
      <c r="E666" s="106" t="s">
        <v>681</v>
      </c>
      <c r="F666" s="106" t="s">
        <v>893</v>
      </c>
      <c r="G666" s="106" t="s">
        <v>1455</v>
      </c>
      <c r="H666" s="106" t="s">
        <v>631</v>
      </c>
      <c r="I666" s="106"/>
      <c r="J666" s="106"/>
      <c r="K666" s="106">
        <v>0.125</v>
      </c>
      <c r="L666" s="106">
        <v>0</v>
      </c>
      <c r="M666" s="106">
        <v>0</v>
      </c>
      <c r="N666" s="106"/>
      <c r="O666" s="106"/>
      <c r="P666" s="106">
        <v>0</v>
      </c>
      <c r="Q666" s="111" t="s">
        <v>1456</v>
      </c>
      <c r="S666" s="108">
        <f>IF($A666="","",COUNTIF(BPOworkers!$B$6:$B$105,$A666))</f>
        <v>1</v>
      </c>
      <c r="T666" s="109">
        <f>IF($A666="","",$K666*Config!$C$9)</f>
        <v>1</v>
      </c>
      <c r="U666" s="109">
        <f>IF($A666="","",IF(COUNTIF(Config!$C$21:$C$23,$H666)&gt;0,IFERROR(VALUE(LEFT(TRIM($Q666),FIND(" ",TRIM($Q666)&amp;" ")-1)),0),0))</f>
        <v>0</v>
      </c>
      <c r="V666" s="109">
        <f t="shared" si="120"/>
        <v>1</v>
      </c>
      <c r="W666" s="108">
        <f>IF($A666="",0,IF(AND($C666&gt;=Config!$C$7,$C666&lt;=Config!$C$8),1,0))</f>
        <v>1</v>
      </c>
      <c r="X666" s="108">
        <f>IF($A666="",0,IF(COUNTIF(Config!$C$21:$C$23,$H666)&gt;0,1,0))</f>
        <v>0</v>
      </c>
      <c r="Y666" s="108">
        <f t="shared" si="121"/>
        <v>17</v>
      </c>
      <c r="Z666" s="108" t="str">
        <f t="shared" si="122"/>
        <v/>
      </c>
      <c r="AB666" s="108">
        <f t="shared" si="123"/>
        <v>0</v>
      </c>
      <c r="AC666" s="108">
        <f>IF($A666="",0,IF(AND($AB666=1,COUNTIF($A$2:$A666,$A666)=1),1,0))</f>
        <v>0</v>
      </c>
      <c r="AD666" s="108">
        <f t="shared" si="124"/>
        <v>1</v>
      </c>
      <c r="AE666" s="108" t="str">
        <f t="shared" si="125"/>
        <v/>
      </c>
      <c r="AF666" s="108">
        <f t="shared" si="126"/>
        <v>0</v>
      </c>
      <c r="AG666" s="108">
        <f t="shared" si="127"/>
        <v>0</v>
      </c>
      <c r="AH666" s="112" t="str">
        <f t="shared" si="128"/>
        <v>F Montañez|20260901|Title|0.125|Find source deed for the following parcel: 61-00286.000, BELMONT (OH), SMITH
 Document found: 851-530. Uploaded to Dri</v>
      </c>
      <c r="AI666" s="108">
        <f t="shared" si="129"/>
        <v>0</v>
      </c>
      <c r="AJ666" s="108">
        <f t="shared" si="130"/>
        <v>0</v>
      </c>
      <c r="AK666" s="108">
        <f>IF($A666="",0,IF(AND($S666=1,$W666=1,$X666=1,$U666&gt;Config!$C$9),1,0))</f>
        <v>0</v>
      </c>
      <c r="AL666" s="108">
        <f t="shared" si="131"/>
        <v>0</v>
      </c>
    </row>
    <row r="667" spans="1:38" ht="216.75" x14ac:dyDescent="0.25">
      <c r="A667" s="106" t="s">
        <v>462</v>
      </c>
      <c r="B667" s="106" t="s">
        <v>618</v>
      </c>
      <c r="C667" s="107">
        <v>46266</v>
      </c>
      <c r="D667" s="106" t="s">
        <v>680</v>
      </c>
      <c r="E667" s="106" t="s">
        <v>681</v>
      </c>
      <c r="F667" s="106" t="s">
        <v>893</v>
      </c>
      <c r="G667" s="106" t="s">
        <v>1457</v>
      </c>
      <c r="H667" s="106" t="s">
        <v>631</v>
      </c>
      <c r="I667" s="106"/>
      <c r="J667" s="106"/>
      <c r="K667" s="106">
        <v>0.125</v>
      </c>
      <c r="L667" s="106">
        <v>0</v>
      </c>
      <c r="M667" s="106">
        <v>0</v>
      </c>
      <c r="N667" s="106"/>
      <c r="O667" s="106"/>
      <c r="P667" s="106">
        <v>0</v>
      </c>
      <c r="Q667" s="111" t="s">
        <v>1458</v>
      </c>
      <c r="S667" s="108">
        <f>IF($A667="","",COUNTIF(BPOworkers!$B$6:$B$105,$A667))</f>
        <v>1</v>
      </c>
      <c r="T667" s="109">
        <f>IF($A667="","",$K667*Config!$C$9)</f>
        <v>1</v>
      </c>
      <c r="U667" s="109">
        <f>IF($A667="","",IF(COUNTIF(Config!$C$21:$C$23,$H667)&gt;0,IFERROR(VALUE(LEFT(TRIM($Q667),FIND(" ",TRIM($Q667)&amp;" ")-1)),0),0))</f>
        <v>0</v>
      </c>
      <c r="V667" s="109">
        <f t="shared" si="120"/>
        <v>1</v>
      </c>
      <c r="W667" s="108">
        <f>IF($A667="",0,IF(AND($C667&gt;=Config!$C$7,$C667&lt;=Config!$C$8),1,0))</f>
        <v>1</v>
      </c>
      <c r="X667" s="108">
        <f>IF($A667="",0,IF(COUNTIF(Config!$C$21:$C$23,$H667)&gt;0,1,0))</f>
        <v>0</v>
      </c>
      <c r="Y667" s="108">
        <f t="shared" si="121"/>
        <v>17</v>
      </c>
      <c r="Z667" s="108" t="str">
        <f t="shared" si="122"/>
        <v/>
      </c>
      <c r="AB667" s="108">
        <f t="shared" si="123"/>
        <v>0</v>
      </c>
      <c r="AC667" s="108">
        <f>IF($A667="",0,IF(AND($AB667=1,COUNTIF($A$2:$A667,$A667)=1),1,0))</f>
        <v>0</v>
      </c>
      <c r="AD667" s="108">
        <f t="shared" si="124"/>
        <v>1</v>
      </c>
      <c r="AE667" s="108" t="str">
        <f t="shared" si="125"/>
        <v/>
      </c>
      <c r="AF667" s="108">
        <f t="shared" si="126"/>
        <v>0</v>
      </c>
      <c r="AG667" s="108">
        <f t="shared" si="127"/>
        <v>0</v>
      </c>
      <c r="AH667" s="112" t="str">
        <f t="shared" si="128"/>
        <v>F Montañez|20260901|Title|0.125|Find source deed for the following parcels: 61-00629.000, 61-00630.000, BELMONT (OH), CONNIE JO W
 Document found: 875</v>
      </c>
      <c r="AI667" s="108">
        <f t="shared" si="129"/>
        <v>0</v>
      </c>
      <c r="AJ667" s="108">
        <f t="shared" si="130"/>
        <v>0</v>
      </c>
      <c r="AK667" s="108">
        <f>IF($A667="",0,IF(AND($S667=1,$W667=1,$X667=1,$U667&gt;Config!$C$9),1,0))</f>
        <v>0</v>
      </c>
      <c r="AL667" s="108">
        <f t="shared" si="131"/>
        <v>0</v>
      </c>
    </row>
    <row r="668" spans="1:38" ht="168.75" x14ac:dyDescent="0.25">
      <c r="A668" s="106" t="s">
        <v>459</v>
      </c>
      <c r="B668" s="106" t="s">
        <v>618</v>
      </c>
      <c r="C668" s="107">
        <v>46266</v>
      </c>
      <c r="D668" s="106" t="s">
        <v>669</v>
      </c>
      <c r="E668" s="106" t="s">
        <v>669</v>
      </c>
      <c r="F668" s="106" t="s">
        <v>670</v>
      </c>
      <c r="G668" s="106"/>
      <c r="H668" s="106" t="s">
        <v>671</v>
      </c>
      <c r="I668" s="106"/>
      <c r="J668" s="106"/>
      <c r="K668" s="106">
        <v>0.5</v>
      </c>
      <c r="L668" s="106">
        <v>0</v>
      </c>
      <c r="M668" s="106">
        <v>0</v>
      </c>
      <c r="N668" s="106"/>
      <c r="O668" s="106"/>
      <c r="P668" s="106">
        <v>0</v>
      </c>
      <c r="Q668" s="111" t="s">
        <v>1459</v>
      </c>
      <c r="S668" s="108">
        <f>IF($A668="","",COUNTIF(BPOworkers!$B$6:$B$105,$A668))</f>
        <v>0</v>
      </c>
      <c r="T668" s="109">
        <f>IF($A668="","",$K668*Config!$C$9)</f>
        <v>4</v>
      </c>
      <c r="U668" s="109">
        <f>IF($A668="","",IF(COUNTIF(Config!$C$21:$C$23,$H668)&gt;0,IFERROR(VALUE(LEFT(TRIM($Q668),FIND(" ",TRIM($Q668)&amp;" ")-1)),0),0))</f>
        <v>0</v>
      </c>
      <c r="V668" s="109">
        <f t="shared" si="120"/>
        <v>4</v>
      </c>
      <c r="W668" s="108">
        <f>IF($A668="",0,IF(AND($C668&gt;=Config!$C$7,$C668&lt;=Config!$C$8),1,0))</f>
        <v>1</v>
      </c>
      <c r="X668" s="108">
        <f>IF($A668="",0,IF(COUNTIF(Config!$C$21:$C$23,$H668)&gt;0,1,0))</f>
        <v>0</v>
      </c>
      <c r="Y668" s="108">
        <f t="shared" si="121"/>
        <v>17</v>
      </c>
      <c r="Z668" s="108" t="str">
        <f t="shared" si="122"/>
        <v/>
      </c>
      <c r="AB668" s="108">
        <f t="shared" si="123"/>
        <v>1</v>
      </c>
      <c r="AC668" s="108">
        <f>IF($A668="",0,IF(AND($AB668=1,COUNTIF($A$2:$A668,$A668)=1),1,0))</f>
        <v>0</v>
      </c>
      <c r="AD668" s="108">
        <f t="shared" si="124"/>
        <v>1</v>
      </c>
      <c r="AE668" s="108" t="str">
        <f t="shared" si="125"/>
        <v/>
      </c>
      <c r="AF668" s="108">
        <f t="shared" si="126"/>
        <v>0</v>
      </c>
      <c r="AG668" s="108">
        <f t="shared" si="127"/>
        <v>0</v>
      </c>
      <c r="AH668" s="112" t="str">
        <f t="shared" si="128"/>
        <v>C Lara|20260901|TitleNotes - Library|0.500|20 notecards approximately. 
 Notecard with the most transactions had 11. 
 Total transactions: 44</v>
      </c>
      <c r="AI668" s="108">
        <f t="shared" si="129"/>
        <v>0</v>
      </c>
      <c r="AJ668" s="108">
        <f t="shared" si="130"/>
        <v>0</v>
      </c>
      <c r="AK668" s="108">
        <f>IF($A668="",0,IF(AND($S668=1,$W668=1,$X668=1,$U668&gt;Config!$C$9),1,0))</f>
        <v>0</v>
      </c>
      <c r="AL668" s="108">
        <f t="shared" si="131"/>
        <v>0</v>
      </c>
    </row>
    <row r="669" spans="1:38" x14ac:dyDescent="0.25">
      <c r="A669" s="106" t="s">
        <v>459</v>
      </c>
      <c r="B669" s="106" t="s">
        <v>618</v>
      </c>
      <c r="C669" s="107">
        <v>46266</v>
      </c>
      <c r="D669" s="106" t="s">
        <v>680</v>
      </c>
      <c r="E669" s="106" t="s">
        <v>681</v>
      </c>
      <c r="F669" s="106" t="s">
        <v>745</v>
      </c>
      <c r="G669" s="106"/>
      <c r="H669" s="106" t="s">
        <v>631</v>
      </c>
      <c r="I669" s="106"/>
      <c r="J669" s="106"/>
      <c r="K669" s="106">
        <v>0.125</v>
      </c>
      <c r="L669" s="106">
        <v>0</v>
      </c>
      <c r="M669" s="106">
        <v>0</v>
      </c>
      <c r="N669" s="106"/>
      <c r="O669" s="106"/>
      <c r="P669" s="106">
        <v>0</v>
      </c>
      <c r="Q669" s="106" t="s">
        <v>1460</v>
      </c>
      <c r="S669" s="108">
        <f>IF($A669="","",COUNTIF(BPOworkers!$B$6:$B$105,$A669))</f>
        <v>0</v>
      </c>
      <c r="T669" s="109">
        <f>IF($A669="","",$K669*Config!$C$9)</f>
        <v>1</v>
      </c>
      <c r="U669" s="109">
        <f>IF($A669="","",IF(COUNTIF(Config!$C$21:$C$23,$H669)&gt;0,IFERROR(VALUE(LEFT(TRIM($Q669),FIND(" ",TRIM($Q669)&amp;" ")-1)),0),0))</f>
        <v>0</v>
      </c>
      <c r="V669" s="109">
        <f t="shared" si="120"/>
        <v>1</v>
      </c>
      <c r="W669" s="108">
        <f>IF($A669="",0,IF(AND($C669&gt;=Config!$C$7,$C669&lt;=Config!$C$8),1,0))</f>
        <v>1</v>
      </c>
      <c r="X669" s="108">
        <f>IF($A669="",0,IF(COUNTIF(Config!$C$21:$C$23,$H669)&gt;0,1,0))</f>
        <v>0</v>
      </c>
      <c r="Y669" s="108">
        <f t="shared" si="121"/>
        <v>17</v>
      </c>
      <c r="Z669" s="108" t="str">
        <f t="shared" si="122"/>
        <v/>
      </c>
      <c r="AB669" s="108">
        <f t="shared" si="123"/>
        <v>1</v>
      </c>
      <c r="AC669" s="108">
        <f>IF($A669="",0,IF(AND($AB669=1,COUNTIF($A$2:$A669,$A669)=1),1,0))</f>
        <v>0</v>
      </c>
      <c r="AD669" s="108">
        <f t="shared" si="124"/>
        <v>1</v>
      </c>
      <c r="AE669" s="108" t="str">
        <f t="shared" si="125"/>
        <v/>
      </c>
      <c r="AF669" s="108">
        <f t="shared" si="126"/>
        <v>0</v>
      </c>
      <c r="AG669" s="108">
        <f t="shared" si="127"/>
        <v>0</v>
      </c>
      <c r="AH669" s="110" t="str">
        <f t="shared" si="128"/>
        <v>C Lara|20260901|Title|0.125|Source deed for 04-0000077-001; 04-0000074-000; 04-000073-000; 04-0000223-001</v>
      </c>
      <c r="AI669" s="108">
        <f t="shared" si="129"/>
        <v>0</v>
      </c>
      <c r="AJ669" s="108">
        <f t="shared" si="130"/>
        <v>0</v>
      </c>
      <c r="AK669" s="108">
        <f>IF($A669="",0,IF(AND($S669=1,$W669=1,$X669=1,$U669&gt;Config!$C$9),1,0))</f>
        <v>0</v>
      </c>
      <c r="AL669" s="108">
        <f t="shared" si="131"/>
        <v>0</v>
      </c>
    </row>
    <row r="670" spans="1:38" x14ac:dyDescent="0.25">
      <c r="A670" s="106" t="s">
        <v>459</v>
      </c>
      <c r="B670" s="106" t="s">
        <v>618</v>
      </c>
      <c r="C670" s="107">
        <v>46266</v>
      </c>
      <c r="D670" s="106" t="s">
        <v>680</v>
      </c>
      <c r="E670" s="106" t="s">
        <v>681</v>
      </c>
      <c r="F670" s="106" t="s">
        <v>686</v>
      </c>
      <c r="G670" s="106"/>
      <c r="H670" s="106" t="s">
        <v>631</v>
      </c>
      <c r="I670" s="106"/>
      <c r="J670" s="106"/>
      <c r="K670" s="106">
        <v>0.125</v>
      </c>
      <c r="L670" s="106">
        <v>0</v>
      </c>
      <c r="M670" s="106">
        <v>0</v>
      </c>
      <c r="N670" s="106"/>
      <c r="O670" s="106"/>
      <c r="P670" s="106">
        <v>0</v>
      </c>
      <c r="Q670" s="106" t="s">
        <v>1461</v>
      </c>
      <c r="S670" s="108">
        <f>IF($A670="","",COUNTIF(BPOworkers!$B$6:$B$105,$A670))</f>
        <v>0</v>
      </c>
      <c r="T670" s="109">
        <f>IF($A670="","",$K670*Config!$C$9)</f>
        <v>1</v>
      </c>
      <c r="U670" s="109">
        <f>IF($A670="","",IF(COUNTIF(Config!$C$21:$C$23,$H670)&gt;0,IFERROR(VALUE(LEFT(TRIM($Q670),FIND(" ",TRIM($Q670)&amp;" ")-1)),0),0))</f>
        <v>0</v>
      </c>
      <c r="V670" s="109">
        <f t="shared" si="120"/>
        <v>1</v>
      </c>
      <c r="W670" s="108">
        <f>IF($A670="",0,IF(AND($C670&gt;=Config!$C$7,$C670&lt;=Config!$C$8),1,0))</f>
        <v>1</v>
      </c>
      <c r="X670" s="108">
        <f>IF($A670="",0,IF(COUNTIF(Config!$C$21:$C$23,$H670)&gt;0,1,0))</f>
        <v>0</v>
      </c>
      <c r="Y670" s="108">
        <f t="shared" si="121"/>
        <v>17</v>
      </c>
      <c r="Z670" s="108" t="str">
        <f t="shared" si="122"/>
        <v/>
      </c>
      <c r="AB670" s="108">
        <f t="shared" si="123"/>
        <v>1</v>
      </c>
      <c r="AC670" s="108">
        <f>IF($A670="",0,IF(AND($AB670=1,COUNTIF($A$2:$A670,$A670)=1),1,0))</f>
        <v>0</v>
      </c>
      <c r="AD670" s="108">
        <f t="shared" si="124"/>
        <v>1</v>
      </c>
      <c r="AE670" s="108" t="str">
        <f t="shared" si="125"/>
        <v/>
      </c>
      <c r="AF670" s="108">
        <f t="shared" si="126"/>
        <v>0</v>
      </c>
      <c r="AG670" s="108">
        <f t="shared" si="127"/>
        <v>0</v>
      </c>
      <c r="AH670" s="110" t="str">
        <f t="shared" si="128"/>
        <v>C Lara|20260901|Title|0.125|Source deed for 09-0000814-000; 09-0000038-000</v>
      </c>
      <c r="AI670" s="108">
        <f t="shared" si="129"/>
        <v>0</v>
      </c>
      <c r="AJ670" s="108">
        <f t="shared" si="130"/>
        <v>0</v>
      </c>
      <c r="AK670" s="108">
        <f>IF($A670="",0,IF(AND($S670=1,$W670=1,$X670=1,$U670&gt;Config!$C$9),1,0))</f>
        <v>0</v>
      </c>
      <c r="AL670" s="108">
        <f t="shared" si="131"/>
        <v>0</v>
      </c>
    </row>
    <row r="671" spans="1:38" x14ac:dyDescent="0.25">
      <c r="A671" s="106" t="s">
        <v>459</v>
      </c>
      <c r="B671" s="106" t="s">
        <v>618</v>
      </c>
      <c r="C671" s="107">
        <v>46266</v>
      </c>
      <c r="D671" s="106" t="s">
        <v>680</v>
      </c>
      <c r="E671" s="106" t="s">
        <v>681</v>
      </c>
      <c r="F671" s="106" t="s">
        <v>682</v>
      </c>
      <c r="G671" s="106"/>
      <c r="H671" s="106" t="s">
        <v>631</v>
      </c>
      <c r="I671" s="106"/>
      <c r="J671" s="106"/>
      <c r="K671" s="106">
        <v>0.125</v>
      </c>
      <c r="L671" s="106">
        <v>0</v>
      </c>
      <c r="M671" s="106">
        <v>0</v>
      </c>
      <c r="N671" s="106"/>
      <c r="O671" s="106"/>
      <c r="P671" s="106">
        <v>0</v>
      </c>
      <c r="Q671" s="106" t="s">
        <v>1462</v>
      </c>
      <c r="S671" s="108">
        <f>IF($A671="","",COUNTIF(BPOworkers!$B$6:$B$105,$A671))</f>
        <v>0</v>
      </c>
      <c r="T671" s="109">
        <f>IF($A671="","",$K671*Config!$C$9)</f>
        <v>1</v>
      </c>
      <c r="U671" s="109">
        <f>IF($A671="","",IF(COUNTIF(Config!$C$21:$C$23,$H671)&gt;0,IFERROR(VALUE(LEFT(TRIM($Q671),FIND(" ",TRIM($Q671)&amp;" ")-1)),0),0))</f>
        <v>0</v>
      </c>
      <c r="V671" s="109">
        <f t="shared" si="120"/>
        <v>1</v>
      </c>
      <c r="W671" s="108">
        <f>IF($A671="",0,IF(AND($C671&gt;=Config!$C$7,$C671&lt;=Config!$C$8),1,0))</f>
        <v>1</v>
      </c>
      <c r="X671" s="108">
        <f>IF($A671="",0,IF(COUNTIF(Config!$C$21:$C$23,$H671)&gt;0,1,0))</f>
        <v>0</v>
      </c>
      <c r="Y671" s="108">
        <f t="shared" si="121"/>
        <v>17</v>
      </c>
      <c r="Z671" s="108" t="str">
        <f t="shared" si="122"/>
        <v/>
      </c>
      <c r="AB671" s="108">
        <f t="shared" si="123"/>
        <v>1</v>
      </c>
      <c r="AC671" s="108">
        <f>IF($A671="",0,IF(AND($AB671=1,COUNTIF($A$2:$A671,$A671)=1),1,0))</f>
        <v>0</v>
      </c>
      <c r="AD671" s="108">
        <f t="shared" si="124"/>
        <v>1</v>
      </c>
      <c r="AE671" s="108" t="str">
        <f t="shared" si="125"/>
        <v/>
      </c>
      <c r="AF671" s="108">
        <f t="shared" si="126"/>
        <v>0</v>
      </c>
      <c r="AG671" s="108">
        <f t="shared" si="127"/>
        <v>0</v>
      </c>
      <c r="AH671" s="110" t="str">
        <f t="shared" si="128"/>
        <v>C Lara|20260901|Title|0.125|Source deed for 31-00197-010; 32-01059-000</v>
      </c>
      <c r="AI671" s="108">
        <f t="shared" si="129"/>
        <v>0</v>
      </c>
      <c r="AJ671" s="108">
        <f t="shared" si="130"/>
        <v>0</v>
      </c>
      <c r="AK671" s="108">
        <f>IF($A671="",0,IF(AND($S671=1,$W671=1,$X671=1,$U671&gt;Config!$C$9),1,0))</f>
        <v>0</v>
      </c>
      <c r="AL671" s="108">
        <f t="shared" si="131"/>
        <v>0</v>
      </c>
    </row>
    <row r="672" spans="1:38" x14ac:dyDescent="0.25">
      <c r="A672" s="106" t="s">
        <v>459</v>
      </c>
      <c r="B672" s="106" t="s">
        <v>618</v>
      </c>
      <c r="C672" s="107">
        <v>46266</v>
      </c>
      <c r="D672" s="106" t="s">
        <v>680</v>
      </c>
      <c r="E672" s="106" t="s">
        <v>681</v>
      </c>
      <c r="F672" s="106" t="s">
        <v>893</v>
      </c>
      <c r="G672" s="106"/>
      <c r="H672" s="106" t="s">
        <v>631</v>
      </c>
      <c r="I672" s="106"/>
      <c r="J672" s="106"/>
      <c r="K672" s="106">
        <v>0.125</v>
      </c>
      <c r="L672" s="106">
        <v>0</v>
      </c>
      <c r="M672" s="106">
        <v>0</v>
      </c>
      <c r="N672" s="106"/>
      <c r="O672" s="106"/>
      <c r="P672" s="106">
        <v>0</v>
      </c>
      <c r="Q672" s="106" t="s">
        <v>1463</v>
      </c>
      <c r="S672" s="108">
        <f>IF($A672="","",COUNTIF(BPOworkers!$B$6:$B$105,$A672))</f>
        <v>0</v>
      </c>
      <c r="T672" s="109">
        <f>IF($A672="","",$K672*Config!$C$9)</f>
        <v>1</v>
      </c>
      <c r="U672" s="109">
        <f>IF($A672="","",IF(COUNTIF(Config!$C$21:$C$23,$H672)&gt;0,IFERROR(VALUE(LEFT(TRIM($Q672),FIND(" ",TRIM($Q672)&amp;" ")-1)),0),0))</f>
        <v>0</v>
      </c>
      <c r="V672" s="109">
        <f t="shared" si="120"/>
        <v>1</v>
      </c>
      <c r="W672" s="108">
        <f>IF($A672="",0,IF(AND($C672&gt;=Config!$C$7,$C672&lt;=Config!$C$8),1,0))</f>
        <v>1</v>
      </c>
      <c r="X672" s="108">
        <f>IF($A672="",0,IF(COUNTIF(Config!$C$21:$C$23,$H672)&gt;0,1,0))</f>
        <v>0</v>
      </c>
      <c r="Y672" s="108">
        <f t="shared" si="121"/>
        <v>17</v>
      </c>
      <c r="Z672" s="108" t="str">
        <f t="shared" si="122"/>
        <v/>
      </c>
      <c r="AB672" s="108">
        <f t="shared" si="123"/>
        <v>1</v>
      </c>
      <c r="AC672" s="108">
        <f>IF($A672="",0,IF(AND($AB672=1,COUNTIF($A$2:$A672,$A672)=1),1,0))</f>
        <v>0</v>
      </c>
      <c r="AD672" s="108">
        <f t="shared" si="124"/>
        <v>1</v>
      </c>
      <c r="AE672" s="108" t="str">
        <f t="shared" si="125"/>
        <v/>
      </c>
      <c r="AF672" s="108">
        <f t="shared" si="126"/>
        <v>0</v>
      </c>
      <c r="AG672" s="108">
        <f t="shared" si="127"/>
        <v>0</v>
      </c>
      <c r="AH672" s="110" t="str">
        <f t="shared" si="128"/>
        <v>C Lara|20260901|Title|0.125|Source deed for 30-00096-000</v>
      </c>
      <c r="AI672" s="108">
        <f t="shared" si="129"/>
        <v>0</v>
      </c>
      <c r="AJ672" s="108">
        <f t="shared" si="130"/>
        <v>0</v>
      </c>
      <c r="AK672" s="108">
        <f>IF($A672="",0,IF(AND($S672=1,$W672=1,$X672=1,$U672&gt;Config!$C$9),1,0))</f>
        <v>0</v>
      </c>
      <c r="AL672" s="108">
        <f t="shared" si="131"/>
        <v>0</v>
      </c>
    </row>
    <row r="673" spans="1:38" ht="180.75" x14ac:dyDescent="0.25">
      <c r="A673" s="106" t="s">
        <v>494</v>
      </c>
      <c r="B673" s="106" t="s">
        <v>618</v>
      </c>
      <c r="C673" s="107">
        <v>46266</v>
      </c>
      <c r="D673" s="106" t="s">
        <v>720</v>
      </c>
      <c r="E673" s="106" t="s">
        <v>721</v>
      </c>
      <c r="F673" s="106" t="s">
        <v>722</v>
      </c>
      <c r="G673" s="106" t="s">
        <v>1014</v>
      </c>
      <c r="H673" s="106" t="s">
        <v>631</v>
      </c>
      <c r="I673" s="106"/>
      <c r="J673" s="106" t="s">
        <v>1015</v>
      </c>
      <c r="K673" s="106">
        <v>1</v>
      </c>
      <c r="L673" s="106">
        <v>0</v>
      </c>
      <c r="M673" s="106">
        <v>0</v>
      </c>
      <c r="N673" s="106"/>
      <c r="O673" s="106"/>
      <c r="P673" s="106">
        <v>0</v>
      </c>
      <c r="Q673" s="111" t="s">
        <v>1464</v>
      </c>
      <c r="S673" s="108">
        <f>IF($A673="","",COUNTIF(BPOworkers!$B$6:$B$105,$A673))</f>
        <v>1</v>
      </c>
      <c r="T673" s="109">
        <f>IF($A673="","",$K673*Config!$C$9)</f>
        <v>8</v>
      </c>
      <c r="U673" s="109">
        <f>IF($A673="","",IF(COUNTIF(Config!$C$21:$C$23,$H673)&gt;0,IFERROR(VALUE(LEFT(TRIM($Q673),FIND(" ",TRIM($Q673)&amp;" ")-1)),0),0))</f>
        <v>0</v>
      </c>
      <c r="V673" s="109">
        <f t="shared" si="120"/>
        <v>8</v>
      </c>
      <c r="W673" s="108">
        <f>IF($A673="",0,IF(AND($C673&gt;=Config!$C$7,$C673&lt;=Config!$C$8),1,0))</f>
        <v>1</v>
      </c>
      <c r="X673" s="108">
        <f>IF($A673="",0,IF(COUNTIF(Config!$C$21:$C$23,$H673)&gt;0,1,0))</f>
        <v>0</v>
      </c>
      <c r="Y673" s="108">
        <f t="shared" si="121"/>
        <v>17</v>
      </c>
      <c r="Z673" s="108" t="str">
        <f t="shared" si="122"/>
        <v/>
      </c>
      <c r="AB673" s="108">
        <f t="shared" si="123"/>
        <v>0</v>
      </c>
      <c r="AC673" s="108">
        <f>IF($A673="",0,IF(AND($AB673=1,COUNTIF($A$2:$A673,$A673)=1),1,0))</f>
        <v>0</v>
      </c>
      <c r="AD673" s="108">
        <f t="shared" si="124"/>
        <v>1</v>
      </c>
      <c r="AE673" s="108" t="str">
        <f t="shared" si="125"/>
        <v/>
      </c>
      <c r="AF673" s="108">
        <f t="shared" si="126"/>
        <v>0</v>
      </c>
      <c r="AG673" s="108">
        <f t="shared" si="127"/>
        <v>0</v>
      </c>
      <c r="AH673" s="112" t="str">
        <f t="shared" si="128"/>
        <v>J Ramos|20260901|Title|1.000|-Created AOI
 -Created indexing spreadsheet
 -Added source deed
 -Indexed to the present from source deed
 -Started inde</v>
      </c>
      <c r="AI673" s="108">
        <f t="shared" si="129"/>
        <v>0</v>
      </c>
      <c r="AJ673" s="108">
        <f t="shared" si="130"/>
        <v>0</v>
      </c>
      <c r="AK673" s="108">
        <f>IF($A673="",0,IF(AND($S673=1,$W673=1,$X673=1,$U673&gt;Config!$C$9),1,0))</f>
        <v>0</v>
      </c>
      <c r="AL673" s="108">
        <f t="shared" si="131"/>
        <v>0</v>
      </c>
    </row>
    <row r="674" spans="1:38" ht="216.75" x14ac:dyDescent="0.25">
      <c r="A674" s="106" t="s">
        <v>493</v>
      </c>
      <c r="B674" s="106" t="s">
        <v>618</v>
      </c>
      <c r="C674" s="107">
        <v>46266</v>
      </c>
      <c r="D674" s="106" t="s">
        <v>712</v>
      </c>
      <c r="E674" s="106" t="s">
        <v>713</v>
      </c>
      <c r="F674" s="106" t="s">
        <v>714</v>
      </c>
      <c r="G674" s="106" t="s">
        <v>1225</v>
      </c>
      <c r="H674" s="106" t="s">
        <v>631</v>
      </c>
      <c r="I674" s="106"/>
      <c r="J674" s="106" t="s">
        <v>1465</v>
      </c>
      <c r="K674" s="106">
        <v>0.125</v>
      </c>
      <c r="L674" s="106">
        <v>0</v>
      </c>
      <c r="M674" s="106">
        <v>0</v>
      </c>
      <c r="N674" s="106"/>
      <c r="O674" s="106"/>
      <c r="P674" s="106">
        <v>0</v>
      </c>
      <c r="Q674" s="111" t="s">
        <v>1466</v>
      </c>
      <c r="S674" s="108">
        <f>IF($A674="","",COUNTIF(BPOworkers!$B$6:$B$105,$A674))</f>
        <v>1</v>
      </c>
      <c r="T674" s="109">
        <f>IF($A674="","",$K674*Config!$C$9)</f>
        <v>1</v>
      </c>
      <c r="U674" s="109">
        <f>IF($A674="","",IF(COUNTIF(Config!$C$21:$C$23,$H674)&gt;0,IFERROR(VALUE(LEFT(TRIM($Q674),FIND(" ",TRIM($Q674)&amp;" ")-1)),0),0))</f>
        <v>0</v>
      </c>
      <c r="V674" s="109">
        <f t="shared" si="120"/>
        <v>1</v>
      </c>
      <c r="W674" s="108">
        <f>IF($A674="",0,IF(AND($C674&gt;=Config!$C$7,$C674&lt;=Config!$C$8),1,0))</f>
        <v>1</v>
      </c>
      <c r="X674" s="108">
        <f>IF($A674="",0,IF(COUNTIF(Config!$C$21:$C$23,$H674)&gt;0,1,0))</f>
        <v>0</v>
      </c>
      <c r="Y674" s="108">
        <f t="shared" si="121"/>
        <v>17</v>
      </c>
      <c r="Z674" s="108" t="str">
        <f t="shared" si="122"/>
        <v/>
      </c>
      <c r="AB674" s="108">
        <f t="shared" si="123"/>
        <v>0</v>
      </c>
      <c r="AC674" s="108">
        <f>IF($A674="",0,IF(AND($AB674=1,COUNTIF($A$2:$A674,$A674)=1),1,0))</f>
        <v>0</v>
      </c>
      <c r="AD674" s="108">
        <f t="shared" si="124"/>
        <v>1</v>
      </c>
      <c r="AE674" s="108" t="str">
        <f t="shared" si="125"/>
        <v/>
      </c>
      <c r="AF674" s="108">
        <f t="shared" si="126"/>
        <v>0</v>
      </c>
      <c r="AG674" s="108">
        <f t="shared" si="127"/>
        <v>0</v>
      </c>
      <c r="AH674" s="112" t="str">
        <f t="shared" si="128"/>
        <v>J Macias|20260901|Title|0.125|Finished AOI with landman and indexing spreadsheet
 # indexed parties: 1
 # notecards created: 0
 # indexed docs</v>
      </c>
      <c r="AI674" s="108">
        <f t="shared" si="129"/>
        <v>0</v>
      </c>
      <c r="AJ674" s="108">
        <f t="shared" si="130"/>
        <v>0</v>
      </c>
      <c r="AK674" s="108">
        <f>IF($A674="",0,IF(AND($S674=1,$W674=1,$X674=1,$U674&gt;Config!$C$9),1,0))</f>
        <v>0</v>
      </c>
      <c r="AL674" s="108">
        <f t="shared" si="131"/>
        <v>0</v>
      </c>
    </row>
    <row r="675" spans="1:38" x14ac:dyDescent="0.25">
      <c r="A675" s="106" t="s">
        <v>493</v>
      </c>
      <c r="B675" s="106" t="s">
        <v>618</v>
      </c>
      <c r="C675" s="107">
        <v>46266</v>
      </c>
      <c r="D675" s="106" t="s">
        <v>623</v>
      </c>
      <c r="E675" s="106" t="s">
        <v>624</v>
      </c>
      <c r="F675" s="106" t="s">
        <v>615</v>
      </c>
      <c r="G675" s="106" t="s">
        <v>625</v>
      </c>
      <c r="H675" s="106" t="s">
        <v>671</v>
      </c>
      <c r="I675" s="106" t="s">
        <v>657</v>
      </c>
      <c r="J675" s="106"/>
      <c r="K675" s="106">
        <v>0.875</v>
      </c>
      <c r="L675" s="106">
        <v>0</v>
      </c>
      <c r="M675" s="106">
        <v>0</v>
      </c>
      <c r="N675" s="106"/>
      <c r="O675" s="106"/>
      <c r="P675" s="106">
        <v>0</v>
      </c>
      <c r="Q675" s="106" t="s">
        <v>1467</v>
      </c>
      <c r="S675" s="108">
        <f>IF($A675="","",COUNTIF(BPOworkers!$B$6:$B$105,$A675))</f>
        <v>1</v>
      </c>
      <c r="T675" s="109">
        <f>IF($A675="","",$K675*Config!$C$9)</f>
        <v>7</v>
      </c>
      <c r="U675" s="109">
        <f>IF($A675="","",IF(COUNTIF(Config!$C$21:$C$23,$H675)&gt;0,IFERROR(VALUE(LEFT(TRIM($Q675),FIND(" ",TRIM($Q675)&amp;" ")-1)),0),0))</f>
        <v>0</v>
      </c>
      <c r="V675" s="109">
        <f t="shared" si="120"/>
        <v>7</v>
      </c>
      <c r="W675" s="108">
        <f>IF($A675="",0,IF(AND($C675&gt;=Config!$C$7,$C675&lt;=Config!$C$8),1,0))</f>
        <v>1</v>
      </c>
      <c r="X675" s="108">
        <f>IF($A675="",0,IF(COUNTIF(Config!$C$21:$C$23,$H675)&gt;0,1,0))</f>
        <v>0</v>
      </c>
      <c r="Y675" s="108">
        <f t="shared" si="121"/>
        <v>17</v>
      </c>
      <c r="Z675" s="108" t="str">
        <f t="shared" si="122"/>
        <v/>
      </c>
      <c r="AB675" s="108">
        <f t="shared" si="123"/>
        <v>0</v>
      </c>
      <c r="AC675" s="108">
        <f>IF($A675="",0,IF(AND($AB675=1,COUNTIF($A$2:$A675,$A675)=1),1,0))</f>
        <v>0</v>
      </c>
      <c r="AD675" s="108">
        <f t="shared" si="124"/>
        <v>1</v>
      </c>
      <c r="AE675" s="108" t="str">
        <f t="shared" si="125"/>
        <v/>
      </c>
      <c r="AF675" s="108">
        <f t="shared" si="126"/>
        <v>0</v>
      </c>
      <c r="AG675" s="108">
        <f t="shared" si="127"/>
        <v>0</v>
      </c>
      <c r="AH675" s="110" t="str">
        <f t="shared" si="128"/>
        <v>J Macias|20260901|TitleNotes - Library|0.875|23 notecards and 51 transactions</v>
      </c>
      <c r="AI675" s="108">
        <f t="shared" si="129"/>
        <v>0</v>
      </c>
      <c r="AJ675" s="108">
        <f t="shared" si="130"/>
        <v>0</v>
      </c>
      <c r="AK675" s="108">
        <f>IF($A675="",0,IF(AND($S675=1,$W675=1,$X675=1,$U675&gt;Config!$C$9),1,0))</f>
        <v>0</v>
      </c>
      <c r="AL675" s="108">
        <f t="shared" si="131"/>
        <v>0</v>
      </c>
    </row>
    <row r="676" spans="1:38" ht="192.75" x14ac:dyDescent="0.25">
      <c r="A676" s="106" t="s">
        <v>496</v>
      </c>
      <c r="B676" s="106" t="s">
        <v>618</v>
      </c>
      <c r="C676" s="107">
        <v>46266</v>
      </c>
      <c r="D676" s="106" t="s">
        <v>902</v>
      </c>
      <c r="E676" s="106" t="s">
        <v>903</v>
      </c>
      <c r="F676" s="106" t="s">
        <v>1108</v>
      </c>
      <c r="G676" s="106" t="s">
        <v>1109</v>
      </c>
      <c r="H676" s="106" t="s">
        <v>639</v>
      </c>
      <c r="I676" s="106"/>
      <c r="J676" s="106"/>
      <c r="K676" s="106">
        <v>0.375</v>
      </c>
      <c r="L676" s="106">
        <v>0</v>
      </c>
      <c r="M676" s="106">
        <v>0</v>
      </c>
      <c r="N676" s="106"/>
      <c r="O676" s="106"/>
      <c r="P676" s="106">
        <v>0</v>
      </c>
      <c r="Q676" s="111" t="s">
        <v>1468</v>
      </c>
      <c r="S676" s="108">
        <f>IF($A676="","",COUNTIF(BPOworkers!$B$6:$B$105,$A676))</f>
        <v>1</v>
      </c>
      <c r="T676" s="109">
        <f>IF($A676="","",$K676*Config!$C$9)</f>
        <v>3</v>
      </c>
      <c r="U676" s="109">
        <f>IF($A676="","",IF(COUNTIF(Config!$C$21:$C$23,$H676)&gt;0,IFERROR(VALUE(LEFT(TRIM($Q676),FIND(" ",TRIM($Q676)&amp;" ")-1)),0),0))</f>
        <v>0</v>
      </c>
      <c r="V676" s="109">
        <f t="shared" si="120"/>
        <v>3</v>
      </c>
      <c r="W676" s="108">
        <f>IF($A676="",0,IF(AND($C676&gt;=Config!$C$7,$C676&lt;=Config!$C$8),1,0))</f>
        <v>1</v>
      </c>
      <c r="X676" s="108">
        <f>IF($A676="",0,IF(COUNTIF(Config!$C$21:$C$23,$H676)&gt;0,1,0))</f>
        <v>0</v>
      </c>
      <c r="Y676" s="108">
        <f t="shared" si="121"/>
        <v>17</v>
      </c>
      <c r="Z676" s="108" t="str">
        <f t="shared" si="122"/>
        <v/>
      </c>
      <c r="AB676" s="108">
        <f t="shared" si="123"/>
        <v>0</v>
      </c>
      <c r="AC676" s="108">
        <f>IF($A676="",0,IF(AND($AB676=1,COUNTIF($A$2:$A676,$A676)=1),1,0))</f>
        <v>0</v>
      </c>
      <c r="AD676" s="108">
        <f t="shared" si="124"/>
        <v>1</v>
      </c>
      <c r="AE676" s="108" t="str">
        <f t="shared" si="125"/>
        <v/>
      </c>
      <c r="AF676" s="108">
        <f t="shared" si="126"/>
        <v>0</v>
      </c>
      <c r="AG676" s="108">
        <f t="shared" si="127"/>
        <v>0</v>
      </c>
      <c r="AH676" s="112" t="str">
        <f t="shared" si="128"/>
        <v>N Espitia|20260901|Review|0.375|- Continued reviewing and correcting assignments following the client responses/corrections/changes
 - 7-41N-72W (Lots</v>
      </c>
      <c r="AI676" s="108">
        <f t="shared" si="129"/>
        <v>0</v>
      </c>
      <c r="AJ676" s="108">
        <f t="shared" si="130"/>
        <v>0</v>
      </c>
      <c r="AK676" s="108">
        <f>IF($A676="",0,IF(AND($S676=1,$W676=1,$X676=1,$U676&gt;Config!$C$9),1,0))</f>
        <v>0</v>
      </c>
      <c r="AL676" s="108">
        <f t="shared" si="131"/>
        <v>0</v>
      </c>
    </row>
    <row r="677" spans="1:38" x14ac:dyDescent="0.25">
      <c r="A677" s="106" t="s">
        <v>496</v>
      </c>
      <c r="B677" s="106" t="s">
        <v>618</v>
      </c>
      <c r="C677" s="107">
        <v>46266</v>
      </c>
      <c r="D677" s="106" t="s">
        <v>720</v>
      </c>
      <c r="E677" s="106" t="s">
        <v>721</v>
      </c>
      <c r="F677" s="106" t="s">
        <v>722</v>
      </c>
      <c r="G677" s="106" t="s">
        <v>933</v>
      </c>
      <c r="H677" s="106" t="s">
        <v>656</v>
      </c>
      <c r="I677" s="106"/>
      <c r="J677" s="106"/>
      <c r="K677" s="106">
        <v>0.125</v>
      </c>
      <c r="L677" s="106">
        <v>0</v>
      </c>
      <c r="M677" s="106">
        <v>0</v>
      </c>
      <c r="N677" s="106"/>
      <c r="O677" s="106"/>
      <c r="P677" s="106">
        <v>0</v>
      </c>
      <c r="Q677" s="106" t="s">
        <v>1469</v>
      </c>
      <c r="S677" s="108">
        <f>IF($A677="","",COUNTIF(BPOworkers!$B$6:$B$105,$A677))</f>
        <v>1</v>
      </c>
      <c r="T677" s="109">
        <f>IF($A677="","",$K677*Config!$C$9)</f>
        <v>1</v>
      </c>
      <c r="U677" s="109">
        <f>IF($A677="","",IF(COUNTIF(Config!$C$21:$C$23,$H677)&gt;0,IFERROR(VALUE(LEFT(TRIM($Q677),FIND(" ",TRIM($Q677)&amp;" ")-1)),0),0))</f>
        <v>0</v>
      </c>
      <c r="V677" s="109">
        <f t="shared" si="120"/>
        <v>1</v>
      </c>
      <c r="W677" s="108">
        <f>IF($A677="",0,IF(AND($C677&gt;=Config!$C$7,$C677&lt;=Config!$C$8),1,0))</f>
        <v>1</v>
      </c>
      <c r="X677" s="108">
        <f>IF($A677="",0,IF(COUNTIF(Config!$C$21:$C$23,$H677)&gt;0,1,0))</f>
        <v>0</v>
      </c>
      <c r="Y677" s="108">
        <f t="shared" si="121"/>
        <v>17</v>
      </c>
      <c r="Z677" s="108" t="str">
        <f t="shared" si="122"/>
        <v/>
      </c>
      <c r="AB677" s="108">
        <f t="shared" si="123"/>
        <v>0</v>
      </c>
      <c r="AC677" s="108">
        <f>IF($A677="",0,IF(AND($AB677=1,COUNTIF($A$2:$A677,$A677)=1),1,0))</f>
        <v>0</v>
      </c>
      <c r="AD677" s="108">
        <f t="shared" si="124"/>
        <v>1</v>
      </c>
      <c r="AE677" s="108" t="str">
        <f t="shared" si="125"/>
        <v/>
      </c>
      <c r="AF677" s="108">
        <f t="shared" si="126"/>
        <v>0</v>
      </c>
      <c r="AG677" s="108">
        <f t="shared" si="127"/>
        <v>0</v>
      </c>
      <c r="AH677" s="110" t="str">
        <f t="shared" si="128"/>
        <v>N Espitia|20260901|Project Management|0.125|- Finished set up of Asana tasks and attended on-boarding meeting</v>
      </c>
      <c r="AI677" s="108">
        <f t="shared" si="129"/>
        <v>0</v>
      </c>
      <c r="AJ677" s="108">
        <f t="shared" si="130"/>
        <v>0</v>
      </c>
      <c r="AK677" s="108">
        <f>IF($A677="",0,IF(AND($S677=1,$W677=1,$X677=1,$U677&gt;Config!$C$9),1,0))</f>
        <v>0</v>
      </c>
      <c r="AL677" s="108">
        <f t="shared" si="131"/>
        <v>0</v>
      </c>
    </row>
    <row r="678" spans="1:38" ht="192.75" x14ac:dyDescent="0.25">
      <c r="A678" s="106" t="s">
        <v>496</v>
      </c>
      <c r="B678" s="106" t="s">
        <v>618</v>
      </c>
      <c r="C678" s="107">
        <v>46266</v>
      </c>
      <c r="D678" s="106" t="s">
        <v>902</v>
      </c>
      <c r="E678" s="106" t="s">
        <v>903</v>
      </c>
      <c r="F678" s="106" t="s">
        <v>1108</v>
      </c>
      <c r="G678" s="106" t="s">
        <v>1109</v>
      </c>
      <c r="H678" s="106" t="s">
        <v>639</v>
      </c>
      <c r="I678" s="106"/>
      <c r="J678" s="106"/>
      <c r="K678" s="106">
        <v>1</v>
      </c>
      <c r="L678" s="106">
        <v>0</v>
      </c>
      <c r="M678" s="106">
        <v>0</v>
      </c>
      <c r="N678" s="106"/>
      <c r="O678" s="106"/>
      <c r="P678" s="106">
        <v>0</v>
      </c>
      <c r="Q678" s="111" t="s">
        <v>1468</v>
      </c>
      <c r="S678" s="108">
        <f>IF($A678="","",COUNTIF(BPOworkers!$B$6:$B$105,$A678))</f>
        <v>1</v>
      </c>
      <c r="T678" s="109">
        <f>IF($A678="","",$K678*Config!$C$9)</f>
        <v>8</v>
      </c>
      <c r="U678" s="109">
        <f>IF($A678="","",IF(COUNTIF(Config!$C$21:$C$23,$H678)&gt;0,IFERROR(VALUE(LEFT(TRIM($Q678),FIND(" ",TRIM($Q678)&amp;" ")-1)),0),0))</f>
        <v>0</v>
      </c>
      <c r="V678" s="109">
        <f t="shared" si="120"/>
        <v>8</v>
      </c>
      <c r="W678" s="108">
        <f>IF($A678="",0,IF(AND($C678&gt;=Config!$C$7,$C678&lt;=Config!$C$8),1,0))</f>
        <v>1</v>
      </c>
      <c r="X678" s="108">
        <f>IF($A678="",0,IF(COUNTIF(Config!$C$21:$C$23,$H678)&gt;0,1,0))</f>
        <v>0</v>
      </c>
      <c r="Y678" s="108">
        <f t="shared" si="121"/>
        <v>17</v>
      </c>
      <c r="Z678" s="108" t="str">
        <f t="shared" si="122"/>
        <v/>
      </c>
      <c r="AB678" s="108">
        <f t="shared" si="123"/>
        <v>0</v>
      </c>
      <c r="AC678" s="108">
        <f>IF($A678="",0,IF(AND($AB678=1,COUNTIF($A$2:$A678,$A678)=1),1,0))</f>
        <v>0</v>
      </c>
      <c r="AD678" s="108">
        <f t="shared" si="124"/>
        <v>1</v>
      </c>
      <c r="AE678" s="108" t="str">
        <f t="shared" si="125"/>
        <v/>
      </c>
      <c r="AF678" s="108">
        <f t="shared" si="126"/>
        <v>0</v>
      </c>
      <c r="AG678" s="108">
        <f t="shared" si="127"/>
        <v>0</v>
      </c>
      <c r="AH678" s="112" t="str">
        <f t="shared" si="128"/>
        <v>N Espitia|20260901|Review|1.000|- Continued reviewing and correcting assignments following the client responses/corrections/changes
 - 7-41N-72W (Lots</v>
      </c>
      <c r="AI678" s="108">
        <f t="shared" si="129"/>
        <v>0</v>
      </c>
      <c r="AJ678" s="108">
        <f t="shared" si="130"/>
        <v>0</v>
      </c>
      <c r="AK678" s="108">
        <f>IF($A678="",0,IF(AND($S678=1,$W678=1,$X678=1,$U678&gt;Config!$C$9),1,0))</f>
        <v>0</v>
      </c>
      <c r="AL678" s="108">
        <f t="shared" si="131"/>
        <v>0</v>
      </c>
    </row>
    <row r="679" spans="1:38" ht="180.75" x14ac:dyDescent="0.25">
      <c r="A679" s="106" t="s">
        <v>491</v>
      </c>
      <c r="B679" s="106" t="s">
        <v>618</v>
      </c>
      <c r="C679" s="107">
        <v>46266</v>
      </c>
      <c r="D679" s="106" t="s">
        <v>720</v>
      </c>
      <c r="E679" s="106" t="s">
        <v>721</v>
      </c>
      <c r="F679" s="106" t="s">
        <v>722</v>
      </c>
      <c r="G679" s="106" t="s">
        <v>1022</v>
      </c>
      <c r="H679" s="106" t="s">
        <v>631</v>
      </c>
      <c r="I679" s="106"/>
      <c r="J679" s="106" t="s">
        <v>1023</v>
      </c>
      <c r="K679" s="106">
        <v>0.875</v>
      </c>
      <c r="L679" s="106">
        <v>0</v>
      </c>
      <c r="M679" s="106">
        <v>0</v>
      </c>
      <c r="N679" s="106"/>
      <c r="O679" s="106"/>
      <c r="P679" s="106">
        <v>0</v>
      </c>
      <c r="Q679" s="111" t="s">
        <v>1470</v>
      </c>
      <c r="S679" s="108">
        <f>IF($A679="","",COUNTIF(BPOworkers!$B$6:$B$105,$A679))</f>
        <v>1</v>
      </c>
      <c r="T679" s="109">
        <f>IF($A679="","",$K679*Config!$C$9)</f>
        <v>7</v>
      </c>
      <c r="U679" s="109">
        <f>IF($A679="","",IF(COUNTIF(Config!$C$21:$C$23,$H679)&gt;0,IFERROR(VALUE(LEFT(TRIM($Q679),FIND(" ",TRIM($Q679)&amp;" ")-1)),0),0))</f>
        <v>0</v>
      </c>
      <c r="V679" s="109">
        <f t="shared" si="120"/>
        <v>7</v>
      </c>
      <c r="W679" s="108">
        <f>IF($A679="",0,IF(AND($C679&gt;=Config!$C$7,$C679&lt;=Config!$C$8),1,0))</f>
        <v>1</v>
      </c>
      <c r="X679" s="108">
        <f>IF($A679="",0,IF(COUNTIF(Config!$C$21:$C$23,$H679)&gt;0,1,0))</f>
        <v>0</v>
      </c>
      <c r="Y679" s="108">
        <f t="shared" si="121"/>
        <v>17</v>
      </c>
      <c r="Z679" s="108" t="str">
        <f t="shared" si="122"/>
        <v/>
      </c>
      <c r="AB679" s="108">
        <f t="shared" si="123"/>
        <v>0</v>
      </c>
      <c r="AC679" s="108">
        <f>IF($A679="",0,IF(AND($AB679=1,COUNTIF($A$2:$A679,$A679)=1),1,0))</f>
        <v>0</v>
      </c>
      <c r="AD679" s="108">
        <f t="shared" si="124"/>
        <v>1</v>
      </c>
      <c r="AE679" s="108" t="str">
        <f t="shared" si="125"/>
        <v/>
      </c>
      <c r="AF679" s="108">
        <f t="shared" si="126"/>
        <v>0</v>
      </c>
      <c r="AG679" s="108">
        <f t="shared" si="127"/>
        <v>0</v>
      </c>
      <c r="AH679" s="112" t="str">
        <f t="shared" si="128"/>
        <v>N Lozano|20260901|Title|0.875|-Created AOI
 -Created Indexing Spreadsheet
 -Added Source Deed
 -Indexed to the present from source deed
 -Started inde</v>
      </c>
      <c r="AI679" s="108">
        <f t="shared" si="129"/>
        <v>0</v>
      </c>
      <c r="AJ679" s="108">
        <f t="shared" si="130"/>
        <v>0</v>
      </c>
      <c r="AK679" s="108">
        <f>IF($A679="",0,IF(AND($S679=1,$W679=1,$X679=1,$U679&gt;Config!$C$9),1,0))</f>
        <v>0</v>
      </c>
      <c r="AL679" s="108">
        <f t="shared" si="131"/>
        <v>0</v>
      </c>
    </row>
    <row r="680" spans="1:38" ht="168.75" x14ac:dyDescent="0.25">
      <c r="A680" s="106" t="s">
        <v>491</v>
      </c>
      <c r="B680" s="106" t="s">
        <v>618</v>
      </c>
      <c r="C680" s="107">
        <v>46266</v>
      </c>
      <c r="D680" s="106" t="s">
        <v>623</v>
      </c>
      <c r="E680" s="106" t="s">
        <v>624</v>
      </c>
      <c r="F680" s="106" t="s">
        <v>615</v>
      </c>
      <c r="G680" s="106" t="s">
        <v>625</v>
      </c>
      <c r="H680" s="106" t="s">
        <v>671</v>
      </c>
      <c r="I680" s="106"/>
      <c r="J680" s="106"/>
      <c r="K680" s="106">
        <v>0.125</v>
      </c>
      <c r="L680" s="106">
        <v>0</v>
      </c>
      <c r="M680" s="106">
        <v>0</v>
      </c>
      <c r="N680" s="106"/>
      <c r="O680" s="106"/>
      <c r="P680" s="106">
        <v>0</v>
      </c>
      <c r="Q680" s="111" t="s">
        <v>1471</v>
      </c>
      <c r="S680" s="108">
        <f>IF($A680="","",COUNTIF(BPOworkers!$B$6:$B$105,$A680))</f>
        <v>1</v>
      </c>
      <c r="T680" s="109">
        <f>IF($A680="","",$K680*Config!$C$9)</f>
        <v>1</v>
      </c>
      <c r="U680" s="109">
        <f>IF($A680="","",IF(COUNTIF(Config!$C$21:$C$23,$H680)&gt;0,IFERROR(VALUE(LEFT(TRIM($Q680),FIND(" ",TRIM($Q680)&amp;" ")-1)),0),0))</f>
        <v>0</v>
      </c>
      <c r="V680" s="109">
        <f t="shared" si="120"/>
        <v>1</v>
      </c>
      <c r="W680" s="108">
        <f>IF($A680="",0,IF(AND($C680&gt;=Config!$C$7,$C680&lt;=Config!$C$8),1,0))</f>
        <v>1</v>
      </c>
      <c r="X680" s="108">
        <f>IF($A680="",0,IF(COUNTIF(Config!$C$21:$C$23,$H680)&gt;0,1,0))</f>
        <v>0</v>
      </c>
      <c r="Y680" s="108">
        <f t="shared" si="121"/>
        <v>17</v>
      </c>
      <c r="Z680" s="108" t="str">
        <f t="shared" si="122"/>
        <v/>
      </c>
      <c r="AB680" s="108">
        <f t="shared" si="123"/>
        <v>0</v>
      </c>
      <c r="AC680" s="108">
        <f>IF($A680="",0,IF(AND($AB680=1,COUNTIF($A$2:$A680,$A680)=1),1,0))</f>
        <v>0</v>
      </c>
      <c r="AD680" s="108">
        <f t="shared" si="124"/>
        <v>1</v>
      </c>
      <c r="AE680" s="108" t="str">
        <f t="shared" si="125"/>
        <v/>
      </c>
      <c r="AF680" s="108">
        <f t="shared" si="126"/>
        <v>0</v>
      </c>
      <c r="AG680" s="108">
        <f t="shared" si="127"/>
        <v>0</v>
      </c>
      <c r="AH680" s="112" t="str">
        <f t="shared" si="128"/>
        <v>N Lozano|20260901|TitleNotes - Library|0.125|Documents 4
 Trnsactions 9
 The Title Notes website was very glitchy today</v>
      </c>
      <c r="AI680" s="108">
        <f t="shared" si="129"/>
        <v>0</v>
      </c>
      <c r="AJ680" s="108">
        <f t="shared" si="130"/>
        <v>0</v>
      </c>
      <c r="AK680" s="108">
        <f>IF($A680="",0,IF(AND($S680=1,$W680=1,$X680=1,$U680&gt;Config!$C$9),1,0))</f>
        <v>0</v>
      </c>
      <c r="AL680" s="108">
        <f t="shared" si="131"/>
        <v>0</v>
      </c>
    </row>
    <row r="681" spans="1:38" x14ac:dyDescent="0.25">
      <c r="A681" s="106" t="s">
        <v>503</v>
      </c>
      <c r="B681" s="106" t="s">
        <v>618</v>
      </c>
      <c r="C681" s="107">
        <v>46266</v>
      </c>
      <c r="D681" s="106" t="s">
        <v>712</v>
      </c>
      <c r="E681" s="106" t="s">
        <v>713</v>
      </c>
      <c r="F681" s="106" t="s">
        <v>714</v>
      </c>
      <c r="G681" s="106" t="s">
        <v>913</v>
      </c>
      <c r="H681" s="106" t="s">
        <v>631</v>
      </c>
      <c r="I681" s="106"/>
      <c r="J681" s="106"/>
      <c r="K681" s="106">
        <v>1</v>
      </c>
      <c r="L681" s="106">
        <v>0</v>
      </c>
      <c r="M681" s="106">
        <v>0</v>
      </c>
      <c r="N681" s="106"/>
      <c r="O681" s="106"/>
      <c r="P681" s="106">
        <v>0</v>
      </c>
      <c r="Q681" s="106" t="s">
        <v>1472</v>
      </c>
      <c r="S681" s="108">
        <f>IF($A681="","",COUNTIF(BPOworkers!$B$6:$B$105,$A681))</f>
        <v>1</v>
      </c>
      <c r="T681" s="109">
        <f>IF($A681="","",$K681*Config!$C$9)</f>
        <v>8</v>
      </c>
      <c r="U681" s="109">
        <f>IF($A681="","",IF(COUNTIF(Config!$C$21:$C$23,$H681)&gt;0,IFERROR(VALUE(LEFT(TRIM($Q681),FIND(" ",TRIM($Q681)&amp;" ")-1)),0),0))</f>
        <v>0</v>
      </c>
      <c r="V681" s="109">
        <f t="shared" si="120"/>
        <v>8</v>
      </c>
      <c r="W681" s="108">
        <f>IF($A681="",0,IF(AND($C681&gt;=Config!$C$7,$C681&lt;=Config!$C$8),1,0))</f>
        <v>1</v>
      </c>
      <c r="X681" s="108">
        <f>IF($A681="",0,IF(COUNTIF(Config!$C$21:$C$23,$H681)&gt;0,1,0))</f>
        <v>0</v>
      </c>
      <c r="Y681" s="108">
        <f t="shared" si="121"/>
        <v>17</v>
      </c>
      <c r="Z681" s="108" t="str">
        <f t="shared" si="122"/>
        <v/>
      </c>
      <c r="AB681" s="108">
        <f t="shared" si="123"/>
        <v>0</v>
      </c>
      <c r="AC681" s="108">
        <f>IF($A681="",0,IF(AND($AB681=1,COUNTIF($A$2:$A681,$A681)=1),1,0))</f>
        <v>0</v>
      </c>
      <c r="AD681" s="108">
        <f t="shared" si="124"/>
        <v>1</v>
      </c>
      <c r="AE681" s="108" t="str">
        <f t="shared" si="125"/>
        <v/>
      </c>
      <c r="AF681" s="108">
        <f t="shared" si="126"/>
        <v>0</v>
      </c>
      <c r="AG681" s="108">
        <f t="shared" si="127"/>
        <v>0</v>
      </c>
      <c r="AH681" s="110" t="str">
        <f t="shared" si="128"/>
        <v>T Vargas|20260901|Title|1.000|All previously indexed King family members were indexed again in Midland county public court records as a new source, by</v>
      </c>
      <c r="AI681" s="108">
        <f t="shared" si="129"/>
        <v>0</v>
      </c>
      <c r="AJ681" s="108">
        <f t="shared" si="130"/>
        <v>0</v>
      </c>
      <c r="AK681" s="108">
        <f>IF($A681="",0,IF(AND($S681=1,$W681=1,$X681=1,$U681&gt;Config!$C$9),1,0))</f>
        <v>0</v>
      </c>
      <c r="AL681" s="108">
        <f t="shared" si="131"/>
        <v>0</v>
      </c>
    </row>
    <row r="682" spans="1:38" ht="120.75" x14ac:dyDescent="0.25">
      <c r="A682" s="106" t="s">
        <v>500</v>
      </c>
      <c r="B682" s="106" t="s">
        <v>618</v>
      </c>
      <c r="C682" s="107">
        <v>46266</v>
      </c>
      <c r="D682" s="106" t="s">
        <v>623</v>
      </c>
      <c r="E682" s="106" t="s">
        <v>624</v>
      </c>
      <c r="F682" s="106" t="s">
        <v>615</v>
      </c>
      <c r="G682" s="106" t="s">
        <v>625</v>
      </c>
      <c r="H682" s="106" t="s">
        <v>671</v>
      </c>
      <c r="I682" s="106" t="s">
        <v>657</v>
      </c>
      <c r="J682" s="106"/>
      <c r="K682" s="106">
        <v>0.5</v>
      </c>
      <c r="L682" s="106">
        <v>0</v>
      </c>
      <c r="M682" s="106">
        <v>0</v>
      </c>
      <c r="N682" s="106"/>
      <c r="O682" s="106"/>
      <c r="P682" s="106">
        <v>0</v>
      </c>
      <c r="Q682" s="111" t="s">
        <v>1473</v>
      </c>
      <c r="S682" s="108">
        <f>IF($A682="","",COUNTIF(BPOworkers!$B$6:$B$105,$A682))</f>
        <v>1</v>
      </c>
      <c r="T682" s="109">
        <f>IF($A682="","",$K682*Config!$C$9)</f>
        <v>4</v>
      </c>
      <c r="U682" s="109">
        <f>IF($A682="","",IF(COUNTIF(Config!$C$21:$C$23,$H682)&gt;0,IFERROR(VALUE(LEFT(TRIM($Q682),FIND(" ",TRIM($Q682)&amp;" ")-1)),0),0))</f>
        <v>0</v>
      </c>
      <c r="V682" s="109">
        <f t="shared" si="120"/>
        <v>4</v>
      </c>
      <c r="W682" s="108">
        <f>IF($A682="",0,IF(AND($C682&gt;=Config!$C$7,$C682&lt;=Config!$C$8),1,0))</f>
        <v>1</v>
      </c>
      <c r="X682" s="108">
        <f>IF($A682="",0,IF(COUNTIF(Config!$C$21:$C$23,$H682)&gt;0,1,0))</f>
        <v>0</v>
      </c>
      <c r="Y682" s="108">
        <f t="shared" si="121"/>
        <v>17</v>
      </c>
      <c r="Z682" s="108" t="str">
        <f t="shared" si="122"/>
        <v/>
      </c>
      <c r="AB682" s="108">
        <f t="shared" si="123"/>
        <v>0</v>
      </c>
      <c r="AC682" s="108">
        <f>IF($A682="",0,IF(AND($AB682=1,COUNTIF($A$2:$A682,$A682)=1),1,0))</f>
        <v>0</v>
      </c>
      <c r="AD682" s="108">
        <f t="shared" si="124"/>
        <v>1</v>
      </c>
      <c r="AE682" s="108" t="str">
        <f t="shared" si="125"/>
        <v/>
      </c>
      <c r="AF682" s="108">
        <f t="shared" si="126"/>
        <v>0</v>
      </c>
      <c r="AG682" s="108">
        <f t="shared" si="127"/>
        <v>0</v>
      </c>
      <c r="AH682" s="112" t="str">
        <f t="shared" si="128"/>
        <v>K Martínez|20260901|TitleNotes - Library|0.500|16 Notecards aprox
 42 transactions aprox</v>
      </c>
      <c r="AI682" s="108">
        <f t="shared" si="129"/>
        <v>0</v>
      </c>
      <c r="AJ682" s="108">
        <f t="shared" si="130"/>
        <v>0</v>
      </c>
      <c r="AK682" s="108">
        <f>IF($A682="",0,IF(AND($S682=1,$W682=1,$X682=1,$U682&gt;Config!$C$9),1,0))</f>
        <v>0</v>
      </c>
      <c r="AL682" s="108">
        <f t="shared" si="131"/>
        <v>0</v>
      </c>
    </row>
    <row r="683" spans="1:38" x14ac:dyDescent="0.25">
      <c r="A683" s="106" t="s">
        <v>500</v>
      </c>
      <c r="B683" s="106" t="s">
        <v>618</v>
      </c>
      <c r="C683" s="107">
        <v>46266</v>
      </c>
      <c r="D683" s="106" t="s">
        <v>680</v>
      </c>
      <c r="E683" s="106" t="s">
        <v>681</v>
      </c>
      <c r="F683" s="106" t="s">
        <v>745</v>
      </c>
      <c r="G683" s="106" t="s">
        <v>1474</v>
      </c>
      <c r="H683" s="106" t="s">
        <v>631</v>
      </c>
      <c r="I683" s="106"/>
      <c r="J683" s="106" t="s">
        <v>1475</v>
      </c>
      <c r="K683" s="106">
        <v>0.25</v>
      </c>
      <c r="L683" s="106">
        <v>0</v>
      </c>
      <c r="M683" s="106">
        <v>0</v>
      </c>
      <c r="N683" s="106"/>
      <c r="O683" s="106"/>
      <c r="P683" s="106">
        <v>0</v>
      </c>
      <c r="Q683" s="106" t="s">
        <v>1476</v>
      </c>
      <c r="S683" s="108">
        <f>IF($A683="","",COUNTIF(BPOworkers!$B$6:$B$105,$A683))</f>
        <v>1</v>
      </c>
      <c r="T683" s="109">
        <f>IF($A683="","",$K683*Config!$C$9)</f>
        <v>2</v>
      </c>
      <c r="U683" s="109">
        <f>IF($A683="","",IF(COUNTIF(Config!$C$21:$C$23,$H683)&gt;0,IFERROR(VALUE(LEFT(TRIM($Q683),FIND(" ",TRIM($Q683)&amp;" ")-1)),0),0))</f>
        <v>0</v>
      </c>
      <c r="V683" s="109">
        <f t="shared" si="120"/>
        <v>2</v>
      </c>
      <c r="W683" s="108">
        <f>IF($A683="",0,IF(AND($C683&gt;=Config!$C$7,$C683&lt;=Config!$C$8),1,0))</f>
        <v>1</v>
      </c>
      <c r="X683" s="108">
        <f>IF($A683="",0,IF(COUNTIF(Config!$C$21:$C$23,$H683)&gt;0,1,0))</f>
        <v>0</v>
      </c>
      <c r="Y683" s="108">
        <f t="shared" si="121"/>
        <v>17</v>
      </c>
      <c r="Z683" s="108" t="str">
        <f t="shared" si="122"/>
        <v/>
      </c>
      <c r="AB683" s="108">
        <f t="shared" si="123"/>
        <v>0</v>
      </c>
      <c r="AC683" s="108">
        <f>IF($A683="",0,IF(AND($AB683=1,COUNTIF($A$2:$A683,$A683)=1),1,0))</f>
        <v>0</v>
      </c>
      <c r="AD683" s="108">
        <f t="shared" si="124"/>
        <v>1</v>
      </c>
      <c r="AE683" s="108" t="str">
        <f t="shared" si="125"/>
        <v/>
      </c>
      <c r="AF683" s="108">
        <f t="shared" si="126"/>
        <v>0</v>
      </c>
      <c r="AG683" s="108">
        <f t="shared" si="127"/>
        <v>0</v>
      </c>
      <c r="AH683" s="110" t="str">
        <f t="shared" si="128"/>
        <v>K Martínez|20260901|Title|0.250|Received onboarding and started with source deed assignments, unable initially to find the relevant information to proce</v>
      </c>
      <c r="AI683" s="108">
        <f t="shared" si="129"/>
        <v>1</v>
      </c>
      <c r="AJ683" s="108">
        <f t="shared" si="130"/>
        <v>0</v>
      </c>
      <c r="AK683" s="108">
        <f>IF($A683="",0,IF(AND($S683=1,$W683=1,$X683=1,$U683&gt;Config!$C$9),1,0))</f>
        <v>0</v>
      </c>
      <c r="AL683" s="108">
        <f t="shared" si="131"/>
        <v>0</v>
      </c>
    </row>
    <row r="684" spans="1:38" x14ac:dyDescent="0.25">
      <c r="A684" s="106" t="s">
        <v>500</v>
      </c>
      <c r="B684" s="106" t="s">
        <v>618</v>
      </c>
      <c r="C684" s="107">
        <v>46266</v>
      </c>
      <c r="D684" s="106" t="s">
        <v>680</v>
      </c>
      <c r="E684" s="106" t="s">
        <v>681</v>
      </c>
      <c r="F684" s="106" t="s">
        <v>745</v>
      </c>
      <c r="G684" s="106" t="s">
        <v>1474</v>
      </c>
      <c r="H684" s="106" t="s">
        <v>631</v>
      </c>
      <c r="I684" s="106"/>
      <c r="J684" s="106" t="s">
        <v>1477</v>
      </c>
      <c r="K684" s="106">
        <v>0.25</v>
      </c>
      <c r="L684" s="106">
        <v>0</v>
      </c>
      <c r="M684" s="106">
        <v>0</v>
      </c>
      <c r="N684" s="106"/>
      <c r="O684" s="106"/>
      <c r="P684" s="106">
        <v>0</v>
      </c>
      <c r="Q684" s="106" t="s">
        <v>1478</v>
      </c>
      <c r="S684" s="108">
        <f>IF($A684="","",COUNTIF(BPOworkers!$B$6:$B$105,$A684))</f>
        <v>1</v>
      </c>
      <c r="T684" s="109">
        <f>IF($A684="","",$K684*Config!$C$9)</f>
        <v>2</v>
      </c>
      <c r="U684" s="109">
        <f>IF($A684="","",IF(COUNTIF(Config!$C$21:$C$23,$H684)&gt;0,IFERROR(VALUE(LEFT(TRIM($Q684),FIND(" ",TRIM($Q684)&amp;" ")-1)),0),0))</f>
        <v>0</v>
      </c>
      <c r="V684" s="109">
        <f t="shared" si="120"/>
        <v>2</v>
      </c>
      <c r="W684" s="108">
        <f>IF($A684="",0,IF(AND($C684&gt;=Config!$C$7,$C684&lt;=Config!$C$8),1,0))</f>
        <v>1</v>
      </c>
      <c r="X684" s="108">
        <f>IF($A684="",0,IF(COUNTIF(Config!$C$21:$C$23,$H684)&gt;0,1,0))</f>
        <v>0</v>
      </c>
      <c r="Y684" s="108">
        <f t="shared" si="121"/>
        <v>17</v>
      </c>
      <c r="Z684" s="108" t="str">
        <f t="shared" si="122"/>
        <v/>
      </c>
      <c r="AB684" s="108">
        <f t="shared" si="123"/>
        <v>0</v>
      </c>
      <c r="AC684" s="108">
        <f>IF($A684="",0,IF(AND($AB684=1,COUNTIF($A$2:$A684,$A684)=1),1,0))</f>
        <v>0</v>
      </c>
      <c r="AD684" s="108">
        <f t="shared" si="124"/>
        <v>1</v>
      </c>
      <c r="AE684" s="108" t="str">
        <f t="shared" si="125"/>
        <v/>
      </c>
      <c r="AF684" s="108">
        <f t="shared" si="126"/>
        <v>0</v>
      </c>
      <c r="AG684" s="108">
        <f t="shared" si="127"/>
        <v>0</v>
      </c>
      <c r="AH684" s="110" t="str">
        <f t="shared" si="128"/>
        <v>K Martínez|20260901|Title|0.250|Received onboarding and started with source deed assignments, unable initially to find the relevant information to proce</v>
      </c>
      <c r="AI684" s="108">
        <f t="shared" si="129"/>
        <v>1</v>
      </c>
      <c r="AJ684" s="108">
        <f t="shared" si="130"/>
        <v>0</v>
      </c>
      <c r="AK684" s="108">
        <f>IF($A684="",0,IF(AND($S684=1,$W684=1,$X684=1,$U684&gt;Config!$C$9),1,0))</f>
        <v>0</v>
      </c>
      <c r="AL684" s="108">
        <f t="shared" si="131"/>
        <v>0</v>
      </c>
    </row>
    <row r="685" spans="1:38" x14ac:dyDescent="0.25">
      <c r="A685" s="106" t="s">
        <v>488</v>
      </c>
      <c r="B685" s="106" t="s">
        <v>618</v>
      </c>
      <c r="C685" s="107">
        <v>46266</v>
      </c>
      <c r="D685" s="106" t="s">
        <v>623</v>
      </c>
      <c r="E685" s="106" t="s">
        <v>624</v>
      </c>
      <c r="F685" s="106" t="s">
        <v>615</v>
      </c>
      <c r="G685" s="106" t="s">
        <v>625</v>
      </c>
      <c r="H685" s="106" t="s">
        <v>671</v>
      </c>
      <c r="I685" s="106" t="s">
        <v>657</v>
      </c>
      <c r="J685" s="106"/>
      <c r="K685" s="106">
        <v>1</v>
      </c>
      <c r="L685" s="106">
        <v>0</v>
      </c>
      <c r="M685" s="106">
        <v>0</v>
      </c>
      <c r="N685" s="106"/>
      <c r="O685" s="106"/>
      <c r="P685" s="106">
        <v>0</v>
      </c>
      <c r="Q685" s="106" t="s">
        <v>1479</v>
      </c>
      <c r="S685" s="108">
        <f>IF($A685="","",COUNTIF(BPOworkers!$B$6:$B$105,$A685))</f>
        <v>1</v>
      </c>
      <c r="T685" s="109">
        <f>IF($A685="","",$K685*Config!$C$9)</f>
        <v>8</v>
      </c>
      <c r="U685" s="109">
        <f>IF($A685="","",IF(COUNTIF(Config!$C$21:$C$23,$H685)&gt;0,IFERROR(VALUE(LEFT(TRIM($Q685),FIND(" ",TRIM($Q685)&amp;" ")-1)),0),0))</f>
        <v>0</v>
      </c>
      <c r="V685" s="109">
        <f t="shared" si="120"/>
        <v>8</v>
      </c>
      <c r="W685" s="108">
        <f>IF($A685="",0,IF(AND($C685&gt;=Config!$C$7,$C685&lt;=Config!$C$8),1,0))</f>
        <v>1</v>
      </c>
      <c r="X685" s="108">
        <f>IF($A685="",0,IF(COUNTIF(Config!$C$21:$C$23,$H685)&gt;0,1,0))</f>
        <v>0</v>
      </c>
      <c r="Y685" s="108">
        <f t="shared" si="121"/>
        <v>17</v>
      </c>
      <c r="Z685" s="108" t="str">
        <f t="shared" si="122"/>
        <v/>
      </c>
      <c r="AB685" s="108">
        <f t="shared" si="123"/>
        <v>0</v>
      </c>
      <c r="AC685" s="108">
        <f>IF($A685="",0,IF(AND($AB685=1,COUNTIF($A$2:$A685,$A685)=1),1,0))</f>
        <v>0</v>
      </c>
      <c r="AD685" s="108">
        <f t="shared" si="124"/>
        <v>1</v>
      </c>
      <c r="AE685" s="108" t="str">
        <f t="shared" si="125"/>
        <v/>
      </c>
      <c r="AF685" s="108">
        <f t="shared" si="126"/>
        <v>0</v>
      </c>
      <c r="AG685" s="108">
        <f t="shared" si="127"/>
        <v>0</v>
      </c>
      <c r="AH685" s="110" t="str">
        <f t="shared" si="128"/>
        <v>D Chinchilla|20260901|TitleNotes - Library|1.000|25 Documents 38 Transactions</v>
      </c>
      <c r="AI685" s="108">
        <f t="shared" si="129"/>
        <v>0</v>
      </c>
      <c r="AJ685" s="108">
        <f t="shared" si="130"/>
        <v>0</v>
      </c>
      <c r="AK685" s="108">
        <f>IF($A685="",0,IF(AND($S685=1,$W685=1,$X685=1,$U685&gt;Config!$C$9),1,0))</f>
        <v>0</v>
      </c>
      <c r="AL685" s="108">
        <f t="shared" si="131"/>
        <v>0</v>
      </c>
    </row>
    <row r="686" spans="1:38" ht="120.75" x14ac:dyDescent="0.25">
      <c r="A686" s="106" t="s">
        <v>487</v>
      </c>
      <c r="B686" s="106" t="s">
        <v>618</v>
      </c>
      <c r="C686" s="107">
        <v>46266</v>
      </c>
      <c r="D686" s="106" t="s">
        <v>623</v>
      </c>
      <c r="E686" s="106" t="s">
        <v>624</v>
      </c>
      <c r="F686" s="106" t="s">
        <v>615</v>
      </c>
      <c r="G686" s="106" t="s">
        <v>625</v>
      </c>
      <c r="H686" s="106" t="s">
        <v>671</v>
      </c>
      <c r="I686" s="106" t="s">
        <v>657</v>
      </c>
      <c r="J686" s="106"/>
      <c r="K686" s="106">
        <v>0.75</v>
      </c>
      <c r="L686" s="106">
        <v>0</v>
      </c>
      <c r="M686" s="106">
        <v>0</v>
      </c>
      <c r="N686" s="106"/>
      <c r="O686" s="106"/>
      <c r="P686" s="106">
        <v>0</v>
      </c>
      <c r="Q686" s="111" t="s">
        <v>1480</v>
      </c>
      <c r="S686" s="108">
        <f>IF($A686="","",COUNTIF(BPOworkers!$B$6:$B$105,$A686))</f>
        <v>1</v>
      </c>
      <c r="T686" s="109">
        <f>IF($A686="","",$K686*Config!$C$9)</f>
        <v>6</v>
      </c>
      <c r="U686" s="109">
        <f>IF($A686="","",IF(COUNTIF(Config!$C$21:$C$23,$H686)&gt;0,IFERROR(VALUE(LEFT(TRIM($Q686),FIND(" ",TRIM($Q686)&amp;" ")-1)),0),0))</f>
        <v>0</v>
      </c>
      <c r="V686" s="109">
        <f t="shared" si="120"/>
        <v>6</v>
      </c>
      <c r="W686" s="108">
        <f>IF($A686="",0,IF(AND($C686&gt;=Config!$C$7,$C686&lt;=Config!$C$8),1,0))</f>
        <v>1</v>
      </c>
      <c r="X686" s="108">
        <f>IF($A686="",0,IF(COUNTIF(Config!$C$21:$C$23,$H686)&gt;0,1,0))</f>
        <v>0</v>
      </c>
      <c r="Y686" s="108">
        <f t="shared" si="121"/>
        <v>17</v>
      </c>
      <c r="Z686" s="108" t="str">
        <f t="shared" si="122"/>
        <v/>
      </c>
      <c r="AB686" s="108">
        <f t="shared" si="123"/>
        <v>0</v>
      </c>
      <c r="AC686" s="108">
        <f>IF($A686="",0,IF(AND($AB686=1,COUNTIF($A$2:$A686,$A686)=1),1,0))</f>
        <v>0</v>
      </c>
      <c r="AD686" s="108">
        <f t="shared" si="124"/>
        <v>1</v>
      </c>
      <c r="AE686" s="108" t="str">
        <f t="shared" si="125"/>
        <v/>
      </c>
      <c r="AF686" s="108">
        <f t="shared" si="126"/>
        <v>0</v>
      </c>
      <c r="AG686" s="108">
        <f t="shared" si="127"/>
        <v>0</v>
      </c>
      <c r="AH686" s="112" t="str">
        <f t="shared" si="128"/>
        <v>A Guerra|20260901|TitleNotes - Library|0.750|Notecards: 28±
 Transactions: 50±</v>
      </c>
      <c r="AI686" s="108">
        <f t="shared" si="129"/>
        <v>0</v>
      </c>
      <c r="AJ686" s="108">
        <f t="shared" si="130"/>
        <v>0</v>
      </c>
      <c r="AK686" s="108">
        <f>IF($A686="",0,IF(AND($S686=1,$W686=1,$X686=1,$U686&gt;Config!$C$9),1,0))</f>
        <v>0</v>
      </c>
      <c r="AL686" s="108">
        <f t="shared" si="131"/>
        <v>0</v>
      </c>
    </row>
    <row r="687" spans="1:38" x14ac:dyDescent="0.25">
      <c r="A687" s="106" t="s">
        <v>487</v>
      </c>
      <c r="B687" s="106" t="s">
        <v>618</v>
      </c>
      <c r="C687" s="107">
        <v>46266</v>
      </c>
      <c r="D687" s="106" t="s">
        <v>712</v>
      </c>
      <c r="E687" s="106" t="s">
        <v>713</v>
      </c>
      <c r="F687" s="106" t="s">
        <v>714</v>
      </c>
      <c r="G687" s="106" t="s">
        <v>800</v>
      </c>
      <c r="H687" s="106" t="s">
        <v>631</v>
      </c>
      <c r="I687" s="106"/>
      <c r="J687" s="106" t="s">
        <v>801</v>
      </c>
      <c r="K687" s="106">
        <v>0.25</v>
      </c>
      <c r="L687" s="106">
        <v>0</v>
      </c>
      <c r="M687" s="106">
        <v>0</v>
      </c>
      <c r="N687" s="106"/>
      <c r="O687" s="106"/>
      <c r="P687" s="106">
        <v>0</v>
      </c>
      <c r="Q687" s="106" t="s">
        <v>1481</v>
      </c>
      <c r="S687" s="108">
        <f>IF($A687="","",COUNTIF(BPOworkers!$B$6:$B$105,$A687))</f>
        <v>1</v>
      </c>
      <c r="T687" s="109">
        <f>IF($A687="","",$K687*Config!$C$9)</f>
        <v>2</v>
      </c>
      <c r="U687" s="109">
        <f>IF($A687="","",IF(COUNTIF(Config!$C$21:$C$23,$H687)&gt;0,IFERROR(VALUE(LEFT(TRIM($Q687),FIND(" ",TRIM($Q687)&amp;" ")-1)),0),0))</f>
        <v>0</v>
      </c>
      <c r="V687" s="109">
        <f t="shared" si="120"/>
        <v>2</v>
      </c>
      <c r="W687" s="108">
        <f>IF($A687="",0,IF(AND($C687&gt;=Config!$C$7,$C687&lt;=Config!$C$8),1,0))</f>
        <v>1</v>
      </c>
      <c r="X687" s="108">
        <f>IF($A687="",0,IF(COUNTIF(Config!$C$21:$C$23,$H687)&gt;0,1,0))</f>
        <v>0</v>
      </c>
      <c r="Y687" s="108">
        <f t="shared" si="121"/>
        <v>17</v>
      </c>
      <c r="Z687" s="108" t="str">
        <f t="shared" si="122"/>
        <v/>
      </c>
      <c r="AB687" s="108">
        <f t="shared" si="123"/>
        <v>0</v>
      </c>
      <c r="AC687" s="108">
        <f>IF($A687="",0,IF(AND($AB687=1,COUNTIF($A$2:$A687,$A687)=1),1,0))</f>
        <v>0</v>
      </c>
      <c r="AD687" s="108">
        <f t="shared" si="124"/>
        <v>1</v>
      </c>
      <c r="AE687" s="108" t="str">
        <f t="shared" si="125"/>
        <v/>
      </c>
      <c r="AF687" s="108">
        <f t="shared" si="126"/>
        <v>0</v>
      </c>
      <c r="AG687" s="108">
        <f t="shared" si="127"/>
        <v>0</v>
      </c>
      <c r="AH687" s="110" t="str">
        <f t="shared" si="128"/>
        <v>A Guerra|20260901|Title|0.250|Starting working on the AOI and indexing source deed parties.</v>
      </c>
      <c r="AI687" s="108">
        <f t="shared" si="129"/>
        <v>0</v>
      </c>
      <c r="AJ687" s="108">
        <f t="shared" si="130"/>
        <v>0</v>
      </c>
      <c r="AK687" s="108">
        <f>IF($A687="",0,IF(AND($S687=1,$W687=1,$X687=1,$U687&gt;Config!$C$9),1,0))</f>
        <v>0</v>
      </c>
      <c r="AL687" s="108">
        <f t="shared" si="131"/>
        <v>0</v>
      </c>
    </row>
    <row r="688" spans="1:38" ht="168.75" x14ac:dyDescent="0.25">
      <c r="A688" s="106" t="s">
        <v>489</v>
      </c>
      <c r="B688" s="106" t="s">
        <v>618</v>
      </c>
      <c r="C688" s="107">
        <v>46266</v>
      </c>
      <c r="D688" s="106" t="s">
        <v>712</v>
      </c>
      <c r="E688" s="106" t="s">
        <v>713</v>
      </c>
      <c r="F688" s="106" t="s">
        <v>714</v>
      </c>
      <c r="G688" s="106" t="s">
        <v>715</v>
      </c>
      <c r="H688" s="106" t="s">
        <v>631</v>
      </c>
      <c r="I688" s="106"/>
      <c r="J688" s="106" t="s">
        <v>1319</v>
      </c>
      <c r="K688" s="106">
        <v>0.5</v>
      </c>
      <c r="L688" s="106">
        <v>0</v>
      </c>
      <c r="M688" s="106">
        <v>0</v>
      </c>
      <c r="N688" s="106"/>
      <c r="O688" s="106"/>
      <c r="P688" s="106">
        <v>0</v>
      </c>
      <c r="Q688" s="111" t="s">
        <v>1482</v>
      </c>
      <c r="S688" s="108">
        <f>IF($A688="","",COUNTIF(BPOworkers!$B$6:$B$105,$A688))</f>
        <v>1</v>
      </c>
      <c r="T688" s="109">
        <f>IF($A688="","",$K688*Config!$C$9)</f>
        <v>4</v>
      </c>
      <c r="U688" s="109">
        <f>IF($A688="","",IF(COUNTIF(Config!$C$21:$C$23,$H688)&gt;0,IFERROR(VALUE(LEFT(TRIM($Q688),FIND(" ",TRIM($Q688)&amp;" ")-1)),0),0))</f>
        <v>0</v>
      </c>
      <c r="V688" s="109">
        <f t="shared" si="120"/>
        <v>4</v>
      </c>
      <c r="W688" s="108">
        <f>IF($A688="",0,IF(AND($C688&gt;=Config!$C$7,$C688&lt;=Config!$C$8),1,0))</f>
        <v>1</v>
      </c>
      <c r="X688" s="108">
        <f>IF($A688="",0,IF(COUNTIF(Config!$C$21:$C$23,$H688)&gt;0,1,0))</f>
        <v>0</v>
      </c>
      <c r="Y688" s="108">
        <f t="shared" si="121"/>
        <v>17</v>
      </c>
      <c r="Z688" s="108" t="str">
        <f t="shared" si="122"/>
        <v/>
      </c>
      <c r="AB688" s="108">
        <f t="shared" si="123"/>
        <v>0</v>
      </c>
      <c r="AC688" s="108">
        <f>IF($A688="",0,IF(AND($AB688=1,COUNTIF($A$2:$A688,$A688)=1),1,0))</f>
        <v>0</v>
      </c>
      <c r="AD688" s="108">
        <f t="shared" si="124"/>
        <v>1</v>
      </c>
      <c r="AE688" s="108" t="str">
        <f t="shared" si="125"/>
        <v/>
      </c>
      <c r="AF688" s="108">
        <f t="shared" si="126"/>
        <v>0</v>
      </c>
      <c r="AG688" s="108">
        <f t="shared" si="127"/>
        <v>0</v>
      </c>
      <c r="AH688" s="112" t="str">
        <f t="shared" si="128"/>
        <v xml:space="preserve">G Pereira|20260901|Title|0.500|SIV Verification
 Corrected the patent and the early chain title, completed almost all the chain, still working in some </v>
      </c>
      <c r="AI688" s="108">
        <f t="shared" si="129"/>
        <v>0</v>
      </c>
      <c r="AJ688" s="108">
        <f t="shared" si="130"/>
        <v>0</v>
      </c>
      <c r="AK688" s="108">
        <f>IF($A688="",0,IF(AND($S688=1,$W688=1,$X688=1,$U688&gt;Config!$C$9),1,0))</f>
        <v>0</v>
      </c>
      <c r="AL688" s="108">
        <f t="shared" si="131"/>
        <v>0</v>
      </c>
    </row>
    <row r="689" spans="1:38" x14ac:dyDescent="0.25">
      <c r="A689" s="106" t="s">
        <v>489</v>
      </c>
      <c r="B689" s="106" t="s">
        <v>618</v>
      </c>
      <c r="C689" s="107">
        <v>46266</v>
      </c>
      <c r="D689" s="106" t="s">
        <v>628</v>
      </c>
      <c r="E689" s="106" t="s">
        <v>793</v>
      </c>
      <c r="F689" s="106" t="s">
        <v>670</v>
      </c>
      <c r="G689" s="106" t="s">
        <v>1258</v>
      </c>
      <c r="H689" s="106" t="s">
        <v>702</v>
      </c>
      <c r="I689" s="106"/>
      <c r="J689" s="106" t="s">
        <v>1317</v>
      </c>
      <c r="K689" s="106">
        <v>0.5</v>
      </c>
      <c r="L689" s="106">
        <v>0</v>
      </c>
      <c r="M689" s="106">
        <v>0</v>
      </c>
      <c r="N689" s="106"/>
      <c r="O689" s="106"/>
      <c r="P689" s="106">
        <v>0</v>
      </c>
      <c r="Q689" s="106" t="s">
        <v>1318</v>
      </c>
      <c r="S689" s="108">
        <f>IF($A689="","",COUNTIF(BPOworkers!$B$6:$B$105,$A689))</f>
        <v>1</v>
      </c>
      <c r="T689" s="109">
        <f>IF($A689="","",$K689*Config!$C$9)</f>
        <v>4</v>
      </c>
      <c r="U689" s="109">
        <f>IF($A689="","",IF(COUNTIF(Config!$C$21:$C$23,$H689)&gt;0,IFERROR(VALUE(LEFT(TRIM($Q689),FIND(" ",TRIM($Q689)&amp;" ")-1)),0),0))</f>
        <v>0</v>
      </c>
      <c r="V689" s="109">
        <f t="shared" si="120"/>
        <v>4</v>
      </c>
      <c r="W689" s="108">
        <f>IF($A689="",0,IF(AND($C689&gt;=Config!$C$7,$C689&lt;=Config!$C$8),1,0))</f>
        <v>1</v>
      </c>
      <c r="X689" s="108">
        <f>IF($A689="",0,IF(COUNTIF(Config!$C$21:$C$23,$H689)&gt;0,1,0))</f>
        <v>0</v>
      </c>
      <c r="Y689" s="108">
        <f t="shared" si="121"/>
        <v>17</v>
      </c>
      <c r="Z689" s="108" t="str">
        <f t="shared" si="122"/>
        <v/>
      </c>
      <c r="AB689" s="108">
        <f t="shared" si="123"/>
        <v>0</v>
      </c>
      <c r="AC689" s="108">
        <f>IF($A689="",0,IF(AND($AB689=1,COUNTIF($A$2:$A689,$A689)=1),1,0))</f>
        <v>0</v>
      </c>
      <c r="AD689" s="108">
        <f t="shared" si="124"/>
        <v>1</v>
      </c>
      <c r="AE689" s="108" t="str">
        <f t="shared" si="125"/>
        <v/>
      </c>
      <c r="AF689" s="108">
        <f t="shared" si="126"/>
        <v>0</v>
      </c>
      <c r="AG689" s="108">
        <f t="shared" si="127"/>
        <v>0</v>
      </c>
      <c r="AH689" s="110" t="str">
        <f t="shared" si="128"/>
        <v>G Pereira|20260901|Data Processing|0.500|Importing Runsheet's into AOI's</v>
      </c>
      <c r="AI689" s="108">
        <f t="shared" si="129"/>
        <v>0</v>
      </c>
      <c r="AJ689" s="108">
        <f t="shared" si="130"/>
        <v>0</v>
      </c>
      <c r="AK689" s="108">
        <f>IF($A689="",0,IF(AND($S689=1,$W689=1,$X689=1,$U689&gt;Config!$C$9),1,0))</f>
        <v>0</v>
      </c>
      <c r="AL689" s="108">
        <f t="shared" si="131"/>
        <v>0</v>
      </c>
    </row>
    <row r="690" spans="1:38" ht="108.75" x14ac:dyDescent="0.25">
      <c r="A690" s="106" t="s">
        <v>501</v>
      </c>
      <c r="B690" s="106" t="s">
        <v>618</v>
      </c>
      <c r="C690" s="107">
        <v>46266</v>
      </c>
      <c r="D690" s="106" t="s">
        <v>623</v>
      </c>
      <c r="E690" s="106" t="s">
        <v>624</v>
      </c>
      <c r="F690" s="106" t="s">
        <v>615</v>
      </c>
      <c r="G690" s="106" t="s">
        <v>625</v>
      </c>
      <c r="H690" s="106" t="s">
        <v>671</v>
      </c>
      <c r="I690" s="106" t="s">
        <v>657</v>
      </c>
      <c r="J690" s="106"/>
      <c r="K690" s="106">
        <v>0.25</v>
      </c>
      <c r="L690" s="106">
        <v>0</v>
      </c>
      <c r="M690" s="106">
        <v>0</v>
      </c>
      <c r="N690" s="106"/>
      <c r="O690" s="106"/>
      <c r="P690" s="106">
        <v>0</v>
      </c>
      <c r="Q690" s="111" t="s">
        <v>1483</v>
      </c>
      <c r="S690" s="108">
        <f>IF($A690="","",COUNTIF(BPOworkers!$B$6:$B$105,$A690))</f>
        <v>1</v>
      </c>
      <c r="T690" s="109">
        <f>IF($A690="","",$K690*Config!$C$9)</f>
        <v>2</v>
      </c>
      <c r="U690" s="109">
        <f>IF($A690="","",IF(COUNTIF(Config!$C$21:$C$23,$H690)&gt;0,IFERROR(VALUE(LEFT(TRIM($Q690),FIND(" ",TRIM($Q690)&amp;" ")-1)),0),0))</f>
        <v>0</v>
      </c>
      <c r="V690" s="109">
        <f t="shared" si="120"/>
        <v>2</v>
      </c>
      <c r="W690" s="108">
        <f>IF($A690="",0,IF(AND($C690&gt;=Config!$C$7,$C690&lt;=Config!$C$8),1,0))</f>
        <v>1</v>
      </c>
      <c r="X690" s="108">
        <f>IF($A690="",0,IF(COUNTIF(Config!$C$21:$C$23,$H690)&gt;0,1,0))</f>
        <v>0</v>
      </c>
      <c r="Y690" s="108">
        <f t="shared" si="121"/>
        <v>17</v>
      </c>
      <c r="Z690" s="108" t="str">
        <f t="shared" si="122"/>
        <v/>
      </c>
      <c r="AB690" s="108">
        <f t="shared" si="123"/>
        <v>0</v>
      </c>
      <c r="AC690" s="108">
        <f>IF($A690="",0,IF(AND($AB690=1,COUNTIF($A$2:$A690,$A690)=1),1,0))</f>
        <v>0</v>
      </c>
      <c r="AD690" s="108">
        <f t="shared" si="124"/>
        <v>1</v>
      </c>
      <c r="AE690" s="108" t="str">
        <f t="shared" si="125"/>
        <v/>
      </c>
      <c r="AF690" s="108">
        <f t="shared" si="126"/>
        <v>0</v>
      </c>
      <c r="AG690" s="108">
        <f t="shared" si="127"/>
        <v>0</v>
      </c>
      <c r="AH690" s="112" t="str">
        <f t="shared" si="128"/>
        <v>O Moreno|20260901|TitleNotes - Library|0.250|18 Documents.
 24 Transactions.</v>
      </c>
      <c r="AI690" s="108">
        <f t="shared" si="129"/>
        <v>0</v>
      </c>
      <c r="AJ690" s="108">
        <f t="shared" si="130"/>
        <v>0</v>
      </c>
      <c r="AK690" s="108">
        <f>IF($A690="",0,IF(AND($S690=1,$W690=1,$X690=1,$U690&gt;Config!$C$9),1,0))</f>
        <v>0</v>
      </c>
      <c r="AL690" s="108">
        <f t="shared" si="131"/>
        <v>0</v>
      </c>
    </row>
    <row r="691" spans="1:38" ht="120.75" x14ac:dyDescent="0.25">
      <c r="A691" s="106" t="s">
        <v>501</v>
      </c>
      <c r="B691" s="106" t="s">
        <v>618</v>
      </c>
      <c r="C691" s="107">
        <v>46266</v>
      </c>
      <c r="D691" s="106" t="s">
        <v>680</v>
      </c>
      <c r="E691" s="106" t="s">
        <v>681</v>
      </c>
      <c r="F691" s="106" t="s">
        <v>893</v>
      </c>
      <c r="G691" s="106" t="s">
        <v>1484</v>
      </c>
      <c r="H691" s="106" t="s">
        <v>631</v>
      </c>
      <c r="I691" s="106"/>
      <c r="J691" s="106"/>
      <c r="K691" s="106">
        <v>0.75</v>
      </c>
      <c r="L691" s="106">
        <v>0</v>
      </c>
      <c r="M691" s="106">
        <v>0</v>
      </c>
      <c r="N691" s="106"/>
      <c r="O691" s="106"/>
      <c r="P691" s="106">
        <v>0</v>
      </c>
      <c r="Q691" s="111" t="s">
        <v>1485</v>
      </c>
      <c r="S691" s="108">
        <f>IF($A691="","",COUNTIF(BPOworkers!$B$6:$B$105,$A691))</f>
        <v>1</v>
      </c>
      <c r="T691" s="109">
        <f>IF($A691="","",$K691*Config!$C$9)</f>
        <v>6</v>
      </c>
      <c r="U691" s="109">
        <f>IF($A691="","",IF(COUNTIF(Config!$C$21:$C$23,$H691)&gt;0,IFERROR(VALUE(LEFT(TRIM($Q691),FIND(" ",TRIM($Q691)&amp;" ")-1)),0),0))</f>
        <v>0</v>
      </c>
      <c r="V691" s="109">
        <f t="shared" si="120"/>
        <v>6</v>
      </c>
      <c r="W691" s="108">
        <f>IF($A691="",0,IF(AND($C691&gt;=Config!$C$7,$C691&lt;=Config!$C$8),1,0))</f>
        <v>1</v>
      </c>
      <c r="X691" s="108">
        <f>IF($A691="",0,IF(COUNTIF(Config!$C$21:$C$23,$H691)&gt;0,1,0))</f>
        <v>0</v>
      </c>
      <c r="Y691" s="108">
        <f t="shared" si="121"/>
        <v>17</v>
      </c>
      <c r="Z691" s="108" t="str">
        <f t="shared" si="122"/>
        <v/>
      </c>
      <c r="AB691" s="108">
        <f t="shared" si="123"/>
        <v>0</v>
      </c>
      <c r="AC691" s="108">
        <f>IF($A691="",0,IF(AND($AB691=1,COUNTIF($A$2:$A691,$A691)=1),1,0))</f>
        <v>0</v>
      </c>
      <c r="AD691" s="108">
        <f t="shared" si="124"/>
        <v>1</v>
      </c>
      <c r="AE691" s="108" t="str">
        <f t="shared" si="125"/>
        <v/>
      </c>
      <c r="AF691" s="108">
        <f t="shared" si="126"/>
        <v>0</v>
      </c>
      <c r="AG691" s="108">
        <f t="shared" si="127"/>
        <v>0</v>
      </c>
      <c r="AH691" s="112" t="str">
        <f t="shared" si="128"/>
        <v>O Moreno|20260901|Title|0.750|Onboarding meeting.
 Search of Source deed for multiple lands.</v>
      </c>
      <c r="AI691" s="108">
        <f t="shared" si="129"/>
        <v>0</v>
      </c>
      <c r="AJ691" s="108">
        <f t="shared" si="130"/>
        <v>0</v>
      </c>
      <c r="AK691" s="108">
        <f>IF($A691="",0,IF(AND($S691=1,$W691=1,$X691=1,$U691&gt;Config!$C$9),1,0))</f>
        <v>0</v>
      </c>
      <c r="AL691" s="108">
        <f t="shared" si="131"/>
        <v>0</v>
      </c>
    </row>
    <row r="692" spans="1:38" x14ac:dyDescent="0.25">
      <c r="A692" s="106" t="s">
        <v>502</v>
      </c>
      <c r="B692" s="106" t="s">
        <v>618</v>
      </c>
      <c r="C692" s="107">
        <v>46266</v>
      </c>
      <c r="D692" s="106" t="s">
        <v>694</v>
      </c>
      <c r="E692" s="106" t="s">
        <v>765</v>
      </c>
      <c r="F692" s="106" t="s">
        <v>766</v>
      </c>
      <c r="G692" s="106" t="s">
        <v>1486</v>
      </c>
      <c r="H692" s="106" t="s">
        <v>765</v>
      </c>
      <c r="I692" s="106"/>
      <c r="J692" s="106" t="s">
        <v>807</v>
      </c>
      <c r="K692" s="106">
        <v>1</v>
      </c>
      <c r="L692" s="106">
        <v>0</v>
      </c>
      <c r="M692" s="106">
        <v>0</v>
      </c>
      <c r="N692" s="106"/>
      <c r="O692" s="106"/>
      <c r="P692" s="106">
        <v>0</v>
      </c>
      <c r="Q692" s="106" t="s">
        <v>808</v>
      </c>
      <c r="S692" s="108">
        <f>IF($A692="","",COUNTIF(BPOworkers!$B$6:$B$105,$A692))</f>
        <v>1</v>
      </c>
      <c r="T692" s="109">
        <f>IF($A692="","",$K692*Config!$C$9)</f>
        <v>8</v>
      </c>
      <c r="U692" s="109">
        <f>IF($A692="","",IF(COUNTIF(Config!$C$21:$C$23,$H692)&gt;0,IFERROR(VALUE(LEFT(TRIM($Q692),FIND(" ",TRIM($Q692)&amp;" ")-1)),0),0))</f>
        <v>0</v>
      </c>
      <c r="V692" s="109">
        <f t="shared" si="120"/>
        <v>8</v>
      </c>
      <c r="W692" s="108">
        <f>IF($A692="",0,IF(AND($C692&gt;=Config!$C$7,$C692&lt;=Config!$C$8),1,0))</f>
        <v>1</v>
      </c>
      <c r="X692" s="108">
        <f>IF($A692="",0,IF(COUNTIF(Config!$C$21:$C$23,$H692)&gt;0,1,0))</f>
        <v>0</v>
      </c>
      <c r="Y692" s="108">
        <f t="shared" si="121"/>
        <v>17</v>
      </c>
      <c r="Z692" s="108" t="str">
        <f t="shared" si="122"/>
        <v/>
      </c>
      <c r="AB692" s="108">
        <f t="shared" si="123"/>
        <v>0</v>
      </c>
      <c r="AC692" s="108">
        <f>IF($A692="",0,IF(AND($AB692=1,COUNTIF($A$2:$A692,$A692)=1),1,0))</f>
        <v>0</v>
      </c>
      <c r="AD692" s="108">
        <f t="shared" si="124"/>
        <v>1</v>
      </c>
      <c r="AE692" s="108" t="str">
        <f t="shared" si="125"/>
        <v/>
      </c>
      <c r="AF692" s="108">
        <f t="shared" si="126"/>
        <v>0</v>
      </c>
      <c r="AG692" s="108">
        <f t="shared" si="127"/>
        <v>0</v>
      </c>
      <c r="AH692" s="110" t="str">
        <f t="shared" si="128"/>
        <v>S Calderon|20260901|Lease Bringdown|1.000|Added last leases and ran title forward to present.</v>
      </c>
      <c r="AI692" s="108">
        <f t="shared" si="129"/>
        <v>0</v>
      </c>
      <c r="AJ692" s="108">
        <f t="shared" si="130"/>
        <v>0</v>
      </c>
      <c r="AK692" s="108">
        <f>IF($A692="",0,IF(AND($S692=1,$W692=1,$X692=1,$U692&gt;Config!$C$9),1,0))</f>
        <v>0</v>
      </c>
      <c r="AL692" s="108">
        <f t="shared" si="131"/>
        <v>0</v>
      </c>
    </row>
    <row r="693" spans="1:38" x14ac:dyDescent="0.25">
      <c r="A693" s="106" t="s">
        <v>1032</v>
      </c>
      <c r="B693" s="106" t="s">
        <v>618</v>
      </c>
      <c r="C693" s="107">
        <v>46266</v>
      </c>
      <c r="D693" s="106" t="s">
        <v>643</v>
      </c>
      <c r="E693" s="106" t="s">
        <v>644</v>
      </c>
      <c r="F693" s="106" t="s">
        <v>645</v>
      </c>
      <c r="G693" s="106" t="s">
        <v>646</v>
      </c>
      <c r="H693" s="106" t="s">
        <v>631</v>
      </c>
      <c r="I693" s="106"/>
      <c r="J693" s="106" t="s">
        <v>1033</v>
      </c>
      <c r="K693" s="106">
        <v>1</v>
      </c>
      <c r="L693" s="106">
        <v>0</v>
      </c>
      <c r="M693" s="106">
        <v>0</v>
      </c>
      <c r="N693" s="106"/>
      <c r="O693" s="106"/>
      <c r="P693" s="106">
        <v>0</v>
      </c>
      <c r="Q693" s="106" t="s">
        <v>1487</v>
      </c>
      <c r="S693" s="108">
        <f>IF($A693="","",COUNTIF(BPOworkers!$B$6:$B$105,$A693))</f>
        <v>0</v>
      </c>
      <c r="T693" s="109">
        <f>IF($A693="","",$K693*Config!$C$9)</f>
        <v>8</v>
      </c>
      <c r="U693" s="109">
        <f>IF($A693="","",IF(COUNTIF(Config!$C$21:$C$23,$H693)&gt;0,IFERROR(VALUE(LEFT(TRIM($Q693),FIND(" ",TRIM($Q693)&amp;" ")-1)),0),0))</f>
        <v>0</v>
      </c>
      <c r="V693" s="109">
        <f t="shared" si="120"/>
        <v>8</v>
      </c>
      <c r="W693" s="108">
        <f>IF($A693="",0,IF(AND($C693&gt;=Config!$C$7,$C693&lt;=Config!$C$8),1,0))</f>
        <v>1</v>
      </c>
      <c r="X693" s="108">
        <f>IF($A693="",0,IF(COUNTIF(Config!$C$21:$C$23,$H693)&gt;0,1,0))</f>
        <v>0</v>
      </c>
      <c r="Y693" s="108">
        <f t="shared" si="121"/>
        <v>17</v>
      </c>
      <c r="Z693" s="108" t="str">
        <f t="shared" si="122"/>
        <v/>
      </c>
      <c r="AB693" s="108">
        <f t="shared" si="123"/>
        <v>0</v>
      </c>
      <c r="AC693" s="108">
        <f>IF($A693="",0,IF(AND($AB693=1,COUNTIF($A$2:$A693,$A693)=1),1,0))</f>
        <v>0</v>
      </c>
      <c r="AD693" s="108">
        <f t="shared" si="124"/>
        <v>1</v>
      </c>
      <c r="AE693" s="108" t="str">
        <f t="shared" si="125"/>
        <v/>
      </c>
      <c r="AF693" s="108">
        <f t="shared" si="126"/>
        <v>0</v>
      </c>
      <c r="AG693" s="108">
        <f t="shared" si="127"/>
        <v>0</v>
      </c>
      <c r="AH693" s="110" t="str">
        <f t="shared" si="128"/>
        <v>R. Llanes|20260901|Title|1.000|Continued work on Sec 19, EOG Pilot. 61 notecards completed, reviewed, or deleted.</v>
      </c>
      <c r="AI693" s="108">
        <f t="shared" si="129"/>
        <v>0</v>
      </c>
      <c r="AJ693" s="108">
        <f t="shared" si="130"/>
        <v>0</v>
      </c>
      <c r="AK693" s="108">
        <f>IF($A693="",0,IF(AND($S693=1,$W693=1,$X693=1,$U693&gt;Config!$C$9),1,0))</f>
        <v>0</v>
      </c>
      <c r="AL693" s="108">
        <f t="shared" si="131"/>
        <v>0</v>
      </c>
    </row>
    <row r="694" spans="1:38" x14ac:dyDescent="0.25">
      <c r="A694" s="106" t="s">
        <v>810</v>
      </c>
      <c r="B694" s="106" t="s">
        <v>618</v>
      </c>
      <c r="C694" s="107">
        <v>46266</v>
      </c>
      <c r="D694" s="106" t="s">
        <v>694</v>
      </c>
      <c r="E694" s="106" t="s">
        <v>695</v>
      </c>
      <c r="F694" s="106" t="s">
        <v>696</v>
      </c>
      <c r="G694" s="106" t="s">
        <v>697</v>
      </c>
      <c r="H694" s="106" t="s">
        <v>781</v>
      </c>
      <c r="I694" s="106"/>
      <c r="J694" s="106"/>
      <c r="K694" s="106">
        <v>0.5</v>
      </c>
      <c r="L694" s="106">
        <v>0</v>
      </c>
      <c r="M694" s="106">
        <v>0</v>
      </c>
      <c r="N694" s="106"/>
      <c r="O694" s="106"/>
      <c r="P694" s="106">
        <v>0</v>
      </c>
      <c r="Q694" s="106" t="s">
        <v>1488</v>
      </c>
      <c r="S694" s="108">
        <f>IF($A694="","",COUNTIF(BPOworkers!$B$6:$B$105,$A694))</f>
        <v>0</v>
      </c>
      <c r="T694" s="109">
        <f>IF($A694="","",$K694*Config!$C$9)</f>
        <v>4</v>
      </c>
      <c r="U694" s="109">
        <f>IF($A694="","",IF(COUNTIF(Config!$C$21:$C$23,$H694)&gt;0,IFERROR(VALUE(LEFT(TRIM($Q694),FIND(" ",TRIM($Q694)&amp;" ")-1)),0),0))</f>
        <v>0</v>
      </c>
      <c r="V694" s="109">
        <f t="shared" si="120"/>
        <v>4</v>
      </c>
      <c r="W694" s="108">
        <f>IF($A694="",0,IF(AND($C694&gt;=Config!$C$7,$C694&lt;=Config!$C$8),1,0))</f>
        <v>1</v>
      </c>
      <c r="X694" s="108">
        <f>IF($A694="",0,IF(COUNTIF(Config!$C$21:$C$23,$H694)&gt;0,1,0))</f>
        <v>0</v>
      </c>
      <c r="Y694" s="108">
        <f t="shared" si="121"/>
        <v>17</v>
      </c>
      <c r="Z694" s="108" t="str">
        <f t="shared" si="122"/>
        <v/>
      </c>
      <c r="AB694" s="108">
        <f t="shared" si="123"/>
        <v>0</v>
      </c>
      <c r="AC694" s="108">
        <f>IF($A694="",0,IF(AND($AB694=1,COUNTIF($A$2:$A694,$A694)=1),1,0))</f>
        <v>0</v>
      </c>
      <c r="AD694" s="108">
        <f t="shared" si="124"/>
        <v>1</v>
      </c>
      <c r="AE694" s="108" t="str">
        <f t="shared" si="125"/>
        <v/>
      </c>
      <c r="AF694" s="108">
        <f t="shared" si="126"/>
        <v>0</v>
      </c>
      <c r="AG694" s="108">
        <f t="shared" si="127"/>
        <v>0</v>
      </c>
      <c r="AH694" s="110" t="str">
        <f t="shared" si="128"/>
        <v>T. Allerman|20260901|Single Interest Verification|0.500|Pulled index and documents to create chain of title for 30-2S-2E.</v>
      </c>
      <c r="AI694" s="108">
        <f t="shared" si="129"/>
        <v>0</v>
      </c>
      <c r="AJ694" s="108">
        <f t="shared" si="130"/>
        <v>0</v>
      </c>
      <c r="AK694" s="108">
        <f>IF($A694="",0,IF(AND($S694=1,$W694=1,$X694=1,$U694&gt;Config!$C$9),1,0))</f>
        <v>0</v>
      </c>
      <c r="AL694" s="108">
        <f t="shared" si="131"/>
        <v>0</v>
      </c>
    </row>
    <row r="695" spans="1:38" x14ac:dyDescent="0.25">
      <c r="A695" s="106" t="s">
        <v>810</v>
      </c>
      <c r="B695" s="106" t="s">
        <v>618</v>
      </c>
      <c r="C695" s="107">
        <v>46266</v>
      </c>
      <c r="D695" s="106" t="s">
        <v>694</v>
      </c>
      <c r="E695" s="106" t="s">
        <v>695</v>
      </c>
      <c r="F695" s="106" t="s">
        <v>766</v>
      </c>
      <c r="G695" s="106" t="s">
        <v>917</v>
      </c>
      <c r="H695" s="106" t="s">
        <v>781</v>
      </c>
      <c r="I695" s="106"/>
      <c r="J695" s="106"/>
      <c r="K695" s="106">
        <v>0.5</v>
      </c>
      <c r="L695" s="106">
        <v>0</v>
      </c>
      <c r="M695" s="106">
        <v>0</v>
      </c>
      <c r="N695" s="106"/>
      <c r="O695" s="106"/>
      <c r="P695" s="106">
        <v>0</v>
      </c>
      <c r="Q695" s="106" t="s">
        <v>1489</v>
      </c>
      <c r="S695" s="108">
        <f>IF($A695="","",COUNTIF(BPOworkers!$B$6:$B$105,$A695))</f>
        <v>0</v>
      </c>
      <c r="T695" s="109">
        <f>IF($A695="","",$K695*Config!$C$9)</f>
        <v>4</v>
      </c>
      <c r="U695" s="109">
        <f>IF($A695="","",IF(COUNTIF(Config!$C$21:$C$23,$H695)&gt;0,IFERROR(VALUE(LEFT(TRIM($Q695),FIND(" ",TRIM($Q695)&amp;" ")-1)),0),0))</f>
        <v>0</v>
      </c>
      <c r="V695" s="109">
        <f t="shared" si="120"/>
        <v>4</v>
      </c>
      <c r="W695" s="108">
        <f>IF($A695="",0,IF(AND($C695&gt;=Config!$C$7,$C695&lt;=Config!$C$8),1,0))</f>
        <v>1</v>
      </c>
      <c r="X695" s="108">
        <f>IF($A695="",0,IF(COUNTIF(Config!$C$21:$C$23,$H695)&gt;0,1,0))</f>
        <v>0</v>
      </c>
      <c r="Y695" s="108">
        <f t="shared" si="121"/>
        <v>17</v>
      </c>
      <c r="Z695" s="108" t="str">
        <f t="shared" si="122"/>
        <v/>
      </c>
      <c r="AB695" s="108">
        <f t="shared" si="123"/>
        <v>0</v>
      </c>
      <c r="AC695" s="108">
        <f>IF($A695="",0,IF(AND($AB695=1,COUNTIF($A$2:$A695,$A695)=1),1,0))</f>
        <v>0</v>
      </c>
      <c r="AD695" s="108">
        <f t="shared" si="124"/>
        <v>1</v>
      </c>
      <c r="AE695" s="108" t="str">
        <f t="shared" si="125"/>
        <v/>
      </c>
      <c r="AF695" s="108">
        <f t="shared" si="126"/>
        <v>0</v>
      </c>
      <c r="AG695" s="108">
        <f t="shared" si="127"/>
        <v>0</v>
      </c>
      <c r="AH695" s="110" t="str">
        <f t="shared" si="128"/>
        <v>T. Allerman|20260901|Single Interest Verification|0.500|Pulled index and documents to create chain of title for 11-1S-1W.</v>
      </c>
      <c r="AI695" s="108">
        <f t="shared" si="129"/>
        <v>0</v>
      </c>
      <c r="AJ695" s="108">
        <f t="shared" si="130"/>
        <v>0</v>
      </c>
      <c r="AK695" s="108">
        <f>IF($A695="",0,IF(AND($S695=1,$W695=1,$X695=1,$U695&gt;Config!$C$9),1,0))</f>
        <v>0</v>
      </c>
      <c r="AL695" s="108">
        <f t="shared" si="131"/>
        <v>0</v>
      </c>
    </row>
    <row r="696" spans="1:38" x14ac:dyDescent="0.25">
      <c r="A696" s="106" t="s">
        <v>813</v>
      </c>
      <c r="B696" s="106" t="s">
        <v>618</v>
      </c>
      <c r="C696" s="107">
        <v>46266</v>
      </c>
      <c r="D696" s="106" t="s">
        <v>694</v>
      </c>
      <c r="E696" s="106" t="s">
        <v>862</v>
      </c>
      <c r="F696" s="106" t="s">
        <v>766</v>
      </c>
      <c r="G696" s="106" t="s">
        <v>1490</v>
      </c>
      <c r="H696" s="106" t="s">
        <v>781</v>
      </c>
      <c r="I696" s="106"/>
      <c r="J696" s="106"/>
      <c r="K696" s="106">
        <v>0.625</v>
      </c>
      <c r="L696" s="106">
        <v>0</v>
      </c>
      <c r="M696" s="106">
        <v>0</v>
      </c>
      <c r="N696" s="106"/>
      <c r="O696" s="106"/>
      <c r="P696" s="106">
        <v>0</v>
      </c>
      <c r="Q696" s="106" t="s">
        <v>1491</v>
      </c>
      <c r="S696" s="108">
        <f>IF($A696="","",COUNTIF(BPOworkers!$B$6:$B$105,$A696))</f>
        <v>0</v>
      </c>
      <c r="T696" s="109">
        <f>IF($A696="","",$K696*Config!$C$9)</f>
        <v>5</v>
      </c>
      <c r="U696" s="109">
        <f>IF($A696="","",IF(COUNTIF(Config!$C$21:$C$23,$H696)&gt;0,IFERROR(VALUE(LEFT(TRIM($Q696),FIND(" ",TRIM($Q696)&amp;" ")-1)),0),0))</f>
        <v>0</v>
      </c>
      <c r="V696" s="109">
        <f t="shared" si="120"/>
        <v>5</v>
      </c>
      <c r="W696" s="108">
        <f>IF($A696="",0,IF(AND($C696&gt;=Config!$C$7,$C696&lt;=Config!$C$8),1,0))</f>
        <v>1</v>
      </c>
      <c r="X696" s="108">
        <f>IF($A696="",0,IF(COUNTIF(Config!$C$21:$C$23,$H696)&gt;0,1,0))</f>
        <v>0</v>
      </c>
      <c r="Y696" s="108">
        <f t="shared" si="121"/>
        <v>17</v>
      </c>
      <c r="Z696" s="108" t="str">
        <f t="shared" si="122"/>
        <v/>
      </c>
      <c r="AB696" s="108">
        <f t="shared" si="123"/>
        <v>0</v>
      </c>
      <c r="AC696" s="108">
        <f>IF($A696="",0,IF(AND($AB696=1,COUNTIF($A$2:$A696,$A696)=1),1,0))</f>
        <v>0</v>
      </c>
      <c r="AD696" s="108">
        <f t="shared" si="124"/>
        <v>1</v>
      </c>
      <c r="AE696" s="108" t="str">
        <f t="shared" si="125"/>
        <v/>
      </c>
      <c r="AF696" s="108">
        <f t="shared" si="126"/>
        <v>0</v>
      </c>
      <c r="AG696" s="108">
        <f t="shared" si="127"/>
        <v>0</v>
      </c>
      <c r="AH696" s="110" t="str">
        <f t="shared" si="128"/>
        <v>A. Dycus|20260901|Single Interest Verification|0.625|Finished up AOI, clarified trust conveyances, curative work for early gap in title</v>
      </c>
      <c r="AI696" s="108">
        <f t="shared" si="129"/>
        <v>0</v>
      </c>
      <c r="AJ696" s="108">
        <f t="shared" si="130"/>
        <v>0</v>
      </c>
      <c r="AK696" s="108">
        <f>IF($A696="",0,IF(AND($S696=1,$W696=1,$X696=1,$U696&gt;Config!$C$9),1,0))</f>
        <v>0</v>
      </c>
      <c r="AL696" s="108">
        <f t="shared" si="131"/>
        <v>0</v>
      </c>
    </row>
    <row r="697" spans="1:38" x14ac:dyDescent="0.25">
      <c r="A697" s="106" t="s">
        <v>813</v>
      </c>
      <c r="B697" s="106" t="s">
        <v>618</v>
      </c>
      <c r="C697" s="107">
        <v>46266</v>
      </c>
      <c r="D697" s="106" t="s">
        <v>694</v>
      </c>
      <c r="E697" s="106" t="s">
        <v>765</v>
      </c>
      <c r="F697" s="106" t="s">
        <v>696</v>
      </c>
      <c r="G697" s="106" t="s">
        <v>1182</v>
      </c>
      <c r="H697" s="106" t="s">
        <v>765</v>
      </c>
      <c r="I697" s="106"/>
      <c r="J697" s="106"/>
      <c r="K697" s="106">
        <v>0.375</v>
      </c>
      <c r="L697" s="106">
        <v>0</v>
      </c>
      <c r="M697" s="106">
        <v>0</v>
      </c>
      <c r="N697" s="106"/>
      <c r="O697" s="106"/>
      <c r="P697" s="106">
        <v>0</v>
      </c>
      <c r="Q697" s="106" t="s">
        <v>1492</v>
      </c>
      <c r="S697" s="108">
        <f>IF($A697="","",COUNTIF(BPOworkers!$B$6:$B$105,$A697))</f>
        <v>0</v>
      </c>
      <c r="T697" s="109">
        <f>IF($A697="","",$K697*Config!$C$9)</f>
        <v>3</v>
      </c>
      <c r="U697" s="109">
        <f>IF($A697="","",IF(COUNTIF(Config!$C$21:$C$23,$H697)&gt;0,IFERROR(VALUE(LEFT(TRIM($Q697),FIND(" ",TRIM($Q697)&amp;" ")-1)),0),0))</f>
        <v>0</v>
      </c>
      <c r="V697" s="109">
        <f t="shared" si="120"/>
        <v>3</v>
      </c>
      <c r="W697" s="108">
        <f>IF($A697="",0,IF(AND($C697&gt;=Config!$C$7,$C697&lt;=Config!$C$8),1,0))</f>
        <v>1</v>
      </c>
      <c r="X697" s="108">
        <f>IF($A697="",0,IF(COUNTIF(Config!$C$21:$C$23,$H697)&gt;0,1,0))</f>
        <v>0</v>
      </c>
      <c r="Y697" s="108">
        <f t="shared" si="121"/>
        <v>17</v>
      </c>
      <c r="Z697" s="108" t="str">
        <f t="shared" si="122"/>
        <v/>
      </c>
      <c r="AB697" s="108">
        <f t="shared" si="123"/>
        <v>0</v>
      </c>
      <c r="AC697" s="108">
        <f>IF($A697="",0,IF(AND($AB697=1,COUNTIF($A$2:$A697,$A697)=1),1,0))</f>
        <v>0</v>
      </c>
      <c r="AD697" s="108">
        <f t="shared" si="124"/>
        <v>1</v>
      </c>
      <c r="AE697" s="108" t="str">
        <f t="shared" si="125"/>
        <v/>
      </c>
      <c r="AF697" s="108">
        <f t="shared" si="126"/>
        <v>0</v>
      </c>
      <c r="AG697" s="108">
        <f t="shared" si="127"/>
        <v>0</v>
      </c>
      <c r="AH697" s="110" t="str">
        <f t="shared" si="128"/>
        <v>A. Dycus|20260901|Lease Bringdown|0.375|Indexed source leases</v>
      </c>
      <c r="AI697" s="108">
        <f t="shared" si="129"/>
        <v>0</v>
      </c>
      <c r="AJ697" s="108">
        <f t="shared" si="130"/>
        <v>0</v>
      </c>
      <c r="AK697" s="108">
        <f>IF($A697="",0,IF(AND($S697=1,$W697=1,$X697=1,$U697&gt;Config!$C$9),1,0))</f>
        <v>0</v>
      </c>
      <c r="AL697" s="108">
        <f t="shared" si="131"/>
        <v>0</v>
      </c>
    </row>
    <row r="698" spans="1:38" x14ac:dyDescent="0.25">
      <c r="A698" s="106" t="s">
        <v>1038</v>
      </c>
      <c r="B698" s="106" t="s">
        <v>618</v>
      </c>
      <c r="C698" s="107">
        <v>46266</v>
      </c>
      <c r="D698" s="106" t="s">
        <v>712</v>
      </c>
      <c r="E698" s="106" t="s">
        <v>713</v>
      </c>
      <c r="F698" s="106" t="s">
        <v>714</v>
      </c>
      <c r="G698" s="106" t="s">
        <v>1493</v>
      </c>
      <c r="H698" s="106" t="s">
        <v>631</v>
      </c>
      <c r="I698" s="106"/>
      <c r="J698" s="106"/>
      <c r="K698" s="106">
        <v>1</v>
      </c>
      <c r="L698" s="106">
        <v>0</v>
      </c>
      <c r="M698" s="106">
        <v>0</v>
      </c>
      <c r="N698" s="106"/>
      <c r="O698" s="106"/>
      <c r="P698" s="106">
        <v>0</v>
      </c>
      <c r="Q698" s="106"/>
      <c r="S698" s="108">
        <f>IF($A698="","",COUNTIF(BPOworkers!$B$6:$B$105,$A698))</f>
        <v>0</v>
      </c>
      <c r="T698" s="109">
        <f>IF($A698="","",$K698*Config!$C$9)</f>
        <v>8</v>
      </c>
      <c r="U698" s="109">
        <f>IF($A698="","",IF(COUNTIF(Config!$C$21:$C$23,$H698)&gt;0,IFERROR(VALUE(LEFT(TRIM($Q698),FIND(" ",TRIM($Q698)&amp;" ")-1)),0),0))</f>
        <v>0</v>
      </c>
      <c r="V698" s="109">
        <f t="shared" si="120"/>
        <v>8</v>
      </c>
      <c r="W698" s="108">
        <f>IF($A698="",0,IF(AND($C698&gt;=Config!$C$7,$C698&lt;=Config!$C$8),1,0))</f>
        <v>1</v>
      </c>
      <c r="X698" s="108">
        <f>IF($A698="",0,IF(COUNTIF(Config!$C$21:$C$23,$H698)&gt;0,1,0))</f>
        <v>0</v>
      </c>
      <c r="Y698" s="108">
        <f t="shared" si="121"/>
        <v>17</v>
      </c>
      <c r="Z698" s="108" t="str">
        <f t="shared" si="122"/>
        <v/>
      </c>
      <c r="AB698" s="108">
        <f t="shared" si="123"/>
        <v>0</v>
      </c>
      <c r="AC698" s="108">
        <f>IF($A698="",0,IF(AND($AB698=1,COUNTIF($A$2:$A698,$A698)=1),1,0))</f>
        <v>0</v>
      </c>
      <c r="AD698" s="108">
        <f t="shared" si="124"/>
        <v>1</v>
      </c>
      <c r="AE698" s="108" t="str">
        <f t="shared" si="125"/>
        <v/>
      </c>
      <c r="AF698" s="108">
        <f t="shared" si="126"/>
        <v>0</v>
      </c>
      <c r="AG698" s="108">
        <f t="shared" si="127"/>
        <v>0</v>
      </c>
      <c r="AH698" s="110" t="str">
        <f t="shared" si="128"/>
        <v>D. Beeson|20260901|Title|1.000|</v>
      </c>
      <c r="AI698" s="108">
        <f t="shared" si="129"/>
        <v>0</v>
      </c>
      <c r="AJ698" s="108">
        <f t="shared" si="130"/>
        <v>0</v>
      </c>
      <c r="AK698" s="108">
        <f>IF($A698="",0,IF(AND($S698=1,$W698=1,$X698=1,$U698&gt;Config!$C$9),1,0))</f>
        <v>0</v>
      </c>
      <c r="AL698" s="108">
        <f t="shared" si="131"/>
        <v>0</v>
      </c>
    </row>
    <row r="699" spans="1:38" ht="180.75" x14ac:dyDescent="0.25">
      <c r="A699" s="106" t="s">
        <v>1039</v>
      </c>
      <c r="B699" s="106" t="s">
        <v>618</v>
      </c>
      <c r="C699" s="107">
        <v>46266</v>
      </c>
      <c r="D699" s="106" t="s">
        <v>720</v>
      </c>
      <c r="E699" s="106" t="s">
        <v>721</v>
      </c>
      <c r="F699" s="106" t="s">
        <v>722</v>
      </c>
      <c r="G699" s="106" t="s">
        <v>1040</v>
      </c>
      <c r="H699" s="106" t="s">
        <v>631</v>
      </c>
      <c r="I699" s="106"/>
      <c r="J699" s="106"/>
      <c r="K699" s="106">
        <v>1</v>
      </c>
      <c r="L699" s="106">
        <v>0</v>
      </c>
      <c r="M699" s="106">
        <v>0</v>
      </c>
      <c r="N699" s="106"/>
      <c r="O699" s="106"/>
      <c r="P699" s="106">
        <v>0</v>
      </c>
      <c r="Q699" s="111" t="s">
        <v>1184</v>
      </c>
      <c r="S699" s="108">
        <f>IF($A699="","",COUNTIF(BPOworkers!$B$6:$B$105,$A699))</f>
        <v>0</v>
      </c>
      <c r="T699" s="109">
        <f>IF($A699="","",$K699*Config!$C$9)</f>
        <v>8</v>
      </c>
      <c r="U699" s="109">
        <f>IF($A699="","",IF(COUNTIF(Config!$C$21:$C$23,$H699)&gt;0,IFERROR(VALUE(LEFT(TRIM($Q699),FIND(" ",TRIM($Q699)&amp;" ")-1)),0),0))</f>
        <v>0</v>
      </c>
      <c r="V699" s="109">
        <f t="shared" si="120"/>
        <v>8</v>
      </c>
      <c r="W699" s="108">
        <f>IF($A699="",0,IF(AND($C699&gt;=Config!$C$7,$C699&lt;=Config!$C$8),1,0))</f>
        <v>1</v>
      </c>
      <c r="X699" s="108">
        <f>IF($A699="",0,IF(COUNTIF(Config!$C$21:$C$23,$H699)&gt;0,1,0))</f>
        <v>0</v>
      </c>
      <c r="Y699" s="108">
        <f t="shared" si="121"/>
        <v>17</v>
      </c>
      <c r="Z699" s="108" t="str">
        <f t="shared" si="122"/>
        <v/>
      </c>
      <c r="AB699" s="108">
        <f t="shared" si="123"/>
        <v>0</v>
      </c>
      <c r="AC699" s="108">
        <f>IF($A699="",0,IF(AND($AB699=1,COUNTIF($A$2:$A699,$A699)=1),1,0))</f>
        <v>0</v>
      </c>
      <c r="AD699" s="108">
        <f t="shared" si="124"/>
        <v>1</v>
      </c>
      <c r="AE699" s="108" t="str">
        <f t="shared" si="125"/>
        <v/>
      </c>
      <c r="AF699" s="108">
        <f t="shared" si="126"/>
        <v>0</v>
      </c>
      <c r="AG699" s="108">
        <f t="shared" si="127"/>
        <v>0</v>
      </c>
      <c r="AH699" s="112" t="str">
        <f t="shared" si="128"/>
        <v>B. Sayadeth|20260901|Title|1.000|-Created AOI
 -Created Indexing Spreadsheet
 -Indexed to the present from source deed
 -Started indexing from the source</v>
      </c>
      <c r="AI699" s="108">
        <f t="shared" si="129"/>
        <v>0</v>
      </c>
      <c r="AJ699" s="108">
        <f t="shared" si="130"/>
        <v>0</v>
      </c>
      <c r="AK699" s="108">
        <f>IF($A699="",0,IF(AND($S699=1,$W699=1,$X699=1,$U699&gt;Config!$C$9),1,0))</f>
        <v>0</v>
      </c>
      <c r="AL699" s="108">
        <f t="shared" si="131"/>
        <v>0</v>
      </c>
    </row>
    <row r="700" spans="1:38" x14ac:dyDescent="0.25">
      <c r="A700" s="106" t="s">
        <v>1042</v>
      </c>
      <c r="B700" s="106" t="s">
        <v>618</v>
      </c>
      <c r="C700" s="107">
        <v>46266</v>
      </c>
      <c r="D700" s="106" t="s">
        <v>694</v>
      </c>
      <c r="E700" s="106" t="s">
        <v>765</v>
      </c>
      <c r="F700" s="106" t="s">
        <v>766</v>
      </c>
      <c r="G700" s="106" t="s">
        <v>1043</v>
      </c>
      <c r="H700" s="106" t="s">
        <v>765</v>
      </c>
      <c r="I700" s="106"/>
      <c r="J700" s="106"/>
      <c r="K700" s="106">
        <v>1</v>
      </c>
      <c r="L700" s="106">
        <v>0</v>
      </c>
      <c r="M700" s="106">
        <v>0</v>
      </c>
      <c r="N700" s="106"/>
      <c r="O700" s="106"/>
      <c r="P700" s="106">
        <v>0</v>
      </c>
      <c r="Q700" s="106" t="s">
        <v>1494</v>
      </c>
      <c r="S700" s="108">
        <f>IF($A700="","",COUNTIF(BPOworkers!$B$6:$B$105,$A700))</f>
        <v>0</v>
      </c>
      <c r="T700" s="109">
        <f>IF($A700="","",$K700*Config!$C$9)</f>
        <v>8</v>
      </c>
      <c r="U700" s="109">
        <f>IF($A700="","",IF(COUNTIF(Config!$C$21:$C$23,$H700)&gt;0,IFERROR(VALUE(LEFT(TRIM($Q700),FIND(" ",TRIM($Q700)&amp;" ")-1)),0),0))</f>
        <v>0</v>
      </c>
      <c r="V700" s="109">
        <f t="shared" si="120"/>
        <v>8</v>
      </c>
      <c r="W700" s="108">
        <f>IF($A700="",0,IF(AND($C700&gt;=Config!$C$7,$C700&lt;=Config!$C$8),1,0))</f>
        <v>1</v>
      </c>
      <c r="X700" s="108">
        <f>IF($A700="",0,IF(COUNTIF(Config!$C$21:$C$23,$H700)&gt;0,1,0))</f>
        <v>0</v>
      </c>
      <c r="Y700" s="108">
        <f t="shared" si="121"/>
        <v>17</v>
      </c>
      <c r="Z700" s="108" t="str">
        <f t="shared" si="122"/>
        <v/>
      </c>
      <c r="AB700" s="108">
        <f t="shared" si="123"/>
        <v>0</v>
      </c>
      <c r="AC700" s="108">
        <f>IF($A700="",0,IF(AND($AB700=1,COUNTIF($A$2:$A700,$A700)=1),1,0))</f>
        <v>0</v>
      </c>
      <c r="AD700" s="108">
        <f t="shared" si="124"/>
        <v>1</v>
      </c>
      <c r="AE700" s="108" t="str">
        <f t="shared" si="125"/>
        <v/>
      </c>
      <c r="AF700" s="108">
        <f t="shared" si="126"/>
        <v>0</v>
      </c>
      <c r="AG700" s="108">
        <f t="shared" si="127"/>
        <v>0</v>
      </c>
      <c r="AH700" s="110" t="str">
        <f t="shared" si="128"/>
        <v>N. Jones|20260901|Lease Bringdown|1.000|Created notecards for 40 of the 78 docs in Tracts. applied PLSS into the map. Input interest.</v>
      </c>
      <c r="AI700" s="108">
        <f t="shared" si="129"/>
        <v>0</v>
      </c>
      <c r="AJ700" s="108">
        <f t="shared" si="130"/>
        <v>0</v>
      </c>
      <c r="AK700" s="108">
        <f>IF($A700="",0,IF(AND($S700=1,$W700=1,$X700=1,$U700&gt;Config!$C$9),1,0))</f>
        <v>0</v>
      </c>
      <c r="AL700" s="108">
        <f t="shared" si="131"/>
        <v>0</v>
      </c>
    </row>
    <row r="701" spans="1:38" x14ac:dyDescent="0.25">
      <c r="A701" s="106" t="s">
        <v>1045</v>
      </c>
      <c r="B701" s="106" t="s">
        <v>618</v>
      </c>
      <c r="C701" s="107">
        <v>46266</v>
      </c>
      <c r="D701" s="106" t="s">
        <v>720</v>
      </c>
      <c r="E701" s="106" t="s">
        <v>721</v>
      </c>
      <c r="F701" s="106" t="s">
        <v>722</v>
      </c>
      <c r="G701" s="106" t="s">
        <v>723</v>
      </c>
      <c r="H701" s="106" t="s">
        <v>631</v>
      </c>
      <c r="I701" s="106"/>
      <c r="J701" s="106"/>
      <c r="K701" s="106">
        <v>1</v>
      </c>
      <c r="L701" s="106">
        <v>0</v>
      </c>
      <c r="M701" s="106">
        <v>0</v>
      </c>
      <c r="N701" s="106"/>
      <c r="O701" s="106"/>
      <c r="P701" s="106">
        <v>0</v>
      </c>
      <c r="Q701" s="106" t="s">
        <v>1495</v>
      </c>
      <c r="S701" s="108">
        <f>IF($A701="","",COUNTIF(BPOworkers!$B$6:$B$105,$A701))</f>
        <v>0</v>
      </c>
      <c r="T701" s="109">
        <f>IF($A701="","",$K701*Config!$C$9)</f>
        <v>8</v>
      </c>
      <c r="U701" s="109">
        <f>IF($A701="","",IF(COUNTIF(Config!$C$21:$C$23,$H701)&gt;0,IFERROR(VALUE(LEFT(TRIM($Q701),FIND(" ",TRIM($Q701)&amp;" ")-1)),0),0))</f>
        <v>0</v>
      </c>
      <c r="V701" s="109">
        <f t="shared" si="120"/>
        <v>8</v>
      </c>
      <c r="W701" s="108">
        <f>IF($A701="",0,IF(AND($C701&gt;=Config!$C$7,$C701&lt;=Config!$C$8),1,0))</f>
        <v>1</v>
      </c>
      <c r="X701" s="108">
        <f>IF($A701="",0,IF(COUNTIF(Config!$C$21:$C$23,$H701)&gt;0,1,0))</f>
        <v>0</v>
      </c>
      <c r="Y701" s="108">
        <f t="shared" si="121"/>
        <v>17</v>
      </c>
      <c r="Z701" s="108" t="str">
        <f t="shared" si="122"/>
        <v/>
      </c>
      <c r="AB701" s="108">
        <f t="shared" si="123"/>
        <v>0</v>
      </c>
      <c r="AC701" s="108">
        <f>IF($A701="",0,IF(AND($AB701=1,COUNTIF($A$2:$A701,$A701)=1),1,0))</f>
        <v>0</v>
      </c>
      <c r="AD701" s="108">
        <f t="shared" si="124"/>
        <v>1</v>
      </c>
      <c r="AE701" s="108" t="str">
        <f t="shared" si="125"/>
        <v/>
      </c>
      <c r="AF701" s="108">
        <f t="shared" si="126"/>
        <v>0</v>
      </c>
      <c r="AG701" s="108">
        <f t="shared" si="127"/>
        <v>0</v>
      </c>
      <c r="AH701" s="110" t="str">
        <f t="shared" si="128"/>
        <v>E. Lee|20260901|Title|1.000|SIV Surface Title: Documents Analyzed: 59 Index Pages: 100 Viewed: Parties Added: 10</v>
      </c>
      <c r="AI701" s="108">
        <f t="shared" si="129"/>
        <v>0</v>
      </c>
      <c r="AJ701" s="108">
        <f t="shared" si="130"/>
        <v>0</v>
      </c>
      <c r="AK701" s="108">
        <f>IF($A701="",0,IF(AND($S701=1,$W701=1,$X701=1,$U701&gt;Config!$C$9),1,0))</f>
        <v>0</v>
      </c>
      <c r="AL701" s="108">
        <f t="shared" si="131"/>
        <v>0</v>
      </c>
    </row>
    <row r="702" spans="1:38" x14ac:dyDescent="0.25">
      <c r="A702" s="106" t="s">
        <v>816</v>
      </c>
      <c r="B702" s="106" t="s">
        <v>618</v>
      </c>
      <c r="C702" s="107">
        <v>46266</v>
      </c>
      <c r="D702" s="106" t="s">
        <v>694</v>
      </c>
      <c r="E702" s="106" t="s">
        <v>862</v>
      </c>
      <c r="F702" s="106" t="s">
        <v>766</v>
      </c>
      <c r="G702" s="106" t="s">
        <v>1328</v>
      </c>
      <c r="H702" s="106" t="s">
        <v>781</v>
      </c>
      <c r="I702" s="106"/>
      <c r="J702" s="106"/>
      <c r="K702" s="106">
        <v>1</v>
      </c>
      <c r="L702" s="106">
        <v>0</v>
      </c>
      <c r="M702" s="106">
        <v>0</v>
      </c>
      <c r="N702" s="106"/>
      <c r="O702" s="106"/>
      <c r="P702" s="106">
        <v>0</v>
      </c>
      <c r="Q702" s="106" t="s">
        <v>1329</v>
      </c>
      <c r="S702" s="108">
        <f>IF($A702="","",COUNTIF(BPOworkers!$B$6:$B$105,$A702))</f>
        <v>0</v>
      </c>
      <c r="T702" s="109">
        <f>IF($A702="","",$K702*Config!$C$9)</f>
        <v>8</v>
      </c>
      <c r="U702" s="109">
        <f>IF($A702="","",IF(COUNTIF(Config!$C$21:$C$23,$H702)&gt;0,IFERROR(VALUE(LEFT(TRIM($Q702),FIND(" ",TRIM($Q702)&amp;" ")-1)),0),0))</f>
        <v>0</v>
      </c>
      <c r="V702" s="109">
        <f t="shared" si="120"/>
        <v>8</v>
      </c>
      <c r="W702" s="108">
        <f>IF($A702="",0,IF(AND($C702&gt;=Config!$C$7,$C702&lt;=Config!$C$8),1,0))</f>
        <v>1</v>
      </c>
      <c r="X702" s="108">
        <f>IF($A702="",0,IF(COUNTIF(Config!$C$21:$C$23,$H702)&gt;0,1,0))</f>
        <v>0</v>
      </c>
      <c r="Y702" s="108">
        <f t="shared" si="121"/>
        <v>17</v>
      </c>
      <c r="Z702" s="108" t="str">
        <f t="shared" si="122"/>
        <v/>
      </c>
      <c r="AB702" s="108">
        <f t="shared" si="123"/>
        <v>0</v>
      </c>
      <c r="AC702" s="108">
        <f>IF($A702="",0,IF(AND($AB702=1,COUNTIF($A$2:$A702,$A702)=1),1,0))</f>
        <v>0</v>
      </c>
      <c r="AD702" s="108">
        <f t="shared" si="124"/>
        <v>1</v>
      </c>
      <c r="AE702" s="108" t="str">
        <f t="shared" si="125"/>
        <v/>
      </c>
      <c r="AF702" s="108">
        <f t="shared" si="126"/>
        <v>0</v>
      </c>
      <c r="AG702" s="108">
        <f t="shared" si="127"/>
        <v>0</v>
      </c>
      <c r="AH702" s="110" t="str">
        <f t="shared" si="128"/>
        <v>S. Bacot|20260901|Single Interest Verification|1.000|Running out mineral interest from deed to current date.</v>
      </c>
      <c r="AI702" s="108">
        <f t="shared" si="129"/>
        <v>0</v>
      </c>
      <c r="AJ702" s="108">
        <f t="shared" si="130"/>
        <v>0</v>
      </c>
      <c r="AK702" s="108">
        <f>IF($A702="",0,IF(AND($S702=1,$W702=1,$X702=1,$U702&gt;Config!$C$9),1,0))</f>
        <v>0</v>
      </c>
      <c r="AL702" s="108">
        <f t="shared" si="131"/>
        <v>0</v>
      </c>
    </row>
    <row r="703" spans="1:38" x14ac:dyDescent="0.25">
      <c r="A703" s="106" t="s">
        <v>1048</v>
      </c>
      <c r="B703" s="106" t="s">
        <v>618</v>
      </c>
      <c r="C703" s="107">
        <v>46266</v>
      </c>
      <c r="D703" s="106" t="s">
        <v>529</v>
      </c>
      <c r="E703" s="106" t="s">
        <v>529</v>
      </c>
      <c r="F703" s="106" t="s">
        <v>615</v>
      </c>
      <c r="G703" s="106"/>
      <c r="H703" s="106" t="s">
        <v>529</v>
      </c>
      <c r="I703" s="106"/>
      <c r="J703" s="106"/>
      <c r="K703" s="106">
        <v>0</v>
      </c>
      <c r="L703" s="106">
        <v>0</v>
      </c>
      <c r="M703" s="106">
        <v>0</v>
      </c>
      <c r="N703" s="106"/>
      <c r="O703" s="106"/>
      <c r="P703" s="106">
        <v>0</v>
      </c>
      <c r="Q703" s="106" t="s">
        <v>1496</v>
      </c>
      <c r="S703" s="108">
        <f>IF($A703="","",COUNTIF(BPOworkers!$B$6:$B$105,$A703))</f>
        <v>0</v>
      </c>
      <c r="T703" s="109">
        <f>IF($A703="","",$K703*Config!$C$9)</f>
        <v>0</v>
      </c>
      <c r="U703" s="109">
        <f>IF($A703="","",IF(COUNTIF(Config!$C$21:$C$23,$H703)&gt;0,IFERROR(VALUE(LEFT(TRIM($Q703),FIND(" ",TRIM($Q703)&amp;" ")-1)),0),0))</f>
        <v>8</v>
      </c>
      <c r="V703" s="109">
        <f t="shared" si="120"/>
        <v>8</v>
      </c>
      <c r="W703" s="108">
        <f>IF($A703="",0,IF(AND($C703&gt;=Config!$C$7,$C703&lt;=Config!$C$8),1,0))</f>
        <v>1</v>
      </c>
      <c r="X703" s="108">
        <f>IF($A703="",0,IF(COUNTIF(Config!$C$21:$C$23,$H703)&gt;0,1,0))</f>
        <v>1</v>
      </c>
      <c r="Y703" s="108">
        <f t="shared" si="121"/>
        <v>17</v>
      </c>
      <c r="Z703" s="108" t="str">
        <f t="shared" si="122"/>
        <v/>
      </c>
      <c r="AB703" s="108">
        <f t="shared" si="123"/>
        <v>0</v>
      </c>
      <c r="AC703" s="108">
        <f>IF($A703="",0,IF(AND($AB703=1,COUNTIF($A$2:$A703,$A703)=1),1,0))</f>
        <v>0</v>
      </c>
      <c r="AD703" s="108">
        <f t="shared" si="124"/>
        <v>1</v>
      </c>
      <c r="AE703" s="108" t="str">
        <f t="shared" si="125"/>
        <v/>
      </c>
      <c r="AF703" s="108">
        <f t="shared" si="126"/>
        <v>0</v>
      </c>
      <c r="AG703" s="108">
        <f t="shared" si="127"/>
        <v>0</v>
      </c>
      <c r="AH703" s="110" t="str">
        <f t="shared" si="128"/>
        <v>M. Freshwater|20260901|Time Off|0.000|8 hours</v>
      </c>
      <c r="AI703" s="108">
        <f t="shared" si="129"/>
        <v>0</v>
      </c>
      <c r="AJ703" s="108">
        <f t="shared" si="130"/>
        <v>0</v>
      </c>
      <c r="AK703" s="108">
        <f>IF($A703="",0,IF(AND($S703=1,$W703=1,$X703=1,$U703&gt;Config!$C$9),1,0))</f>
        <v>0</v>
      </c>
      <c r="AL703" s="108">
        <f t="shared" si="131"/>
        <v>0</v>
      </c>
    </row>
    <row r="704" spans="1:38" ht="168.75" x14ac:dyDescent="0.25">
      <c r="A704" s="106" t="s">
        <v>818</v>
      </c>
      <c r="B704" s="106" t="s">
        <v>618</v>
      </c>
      <c r="C704" s="107">
        <v>46266</v>
      </c>
      <c r="D704" s="106" t="s">
        <v>623</v>
      </c>
      <c r="E704" s="106" t="s">
        <v>624</v>
      </c>
      <c r="F704" s="106" t="s">
        <v>615</v>
      </c>
      <c r="G704" s="106" t="s">
        <v>625</v>
      </c>
      <c r="H704" s="106" t="s">
        <v>819</v>
      </c>
      <c r="I704" s="106"/>
      <c r="J704" s="106" t="s">
        <v>1497</v>
      </c>
      <c r="K704" s="106">
        <v>1</v>
      </c>
      <c r="L704" s="106">
        <v>0</v>
      </c>
      <c r="M704" s="106">
        <v>0</v>
      </c>
      <c r="N704" s="106"/>
      <c r="O704" s="106"/>
      <c r="P704" s="106">
        <v>0</v>
      </c>
      <c r="Q704" s="111" t="s">
        <v>1498</v>
      </c>
      <c r="S704" s="108">
        <f>IF($A704="","",COUNTIF(BPOworkers!$B$6:$B$105,$A704))</f>
        <v>0</v>
      </c>
      <c r="T704" s="109">
        <f>IF($A704="","",$K704*Config!$C$9)</f>
        <v>8</v>
      </c>
      <c r="U704" s="109">
        <f>IF($A704="","",IF(COUNTIF(Config!$C$21:$C$23,$H704)&gt;0,IFERROR(VALUE(LEFT(TRIM($Q704),FIND(" ",TRIM($Q704)&amp;" ")-1)),0),0))</f>
        <v>0</v>
      </c>
      <c r="V704" s="109">
        <f t="shared" si="120"/>
        <v>8</v>
      </c>
      <c r="W704" s="108">
        <f>IF($A704="",0,IF(AND($C704&gt;=Config!$C$7,$C704&lt;=Config!$C$8),1,0))</f>
        <v>1</v>
      </c>
      <c r="X704" s="108">
        <f>IF($A704="",0,IF(COUNTIF(Config!$C$21:$C$23,$H704)&gt;0,1,0))</f>
        <v>0</v>
      </c>
      <c r="Y704" s="108">
        <f t="shared" si="121"/>
        <v>17</v>
      </c>
      <c r="Z704" s="108" t="str">
        <f t="shared" si="122"/>
        <v/>
      </c>
      <c r="AB704" s="108">
        <f t="shared" si="123"/>
        <v>0</v>
      </c>
      <c r="AC704" s="108">
        <f>IF($A704="",0,IF(AND($AB704=1,COUNTIF($A$2:$A704,$A704)=1),1,0))</f>
        <v>0</v>
      </c>
      <c r="AD704" s="108">
        <f t="shared" si="124"/>
        <v>1</v>
      </c>
      <c r="AE704" s="108" t="str">
        <f t="shared" si="125"/>
        <v/>
      </c>
      <c r="AF704" s="108">
        <f t="shared" si="126"/>
        <v>0</v>
      </c>
      <c r="AG704" s="108">
        <f t="shared" si="127"/>
        <v>0</v>
      </c>
      <c r="AH704" s="112" t="str">
        <f t="shared" si="128"/>
        <v>J. Burgos|20260901|Training - BPO|1.000|• Reading: Chapter 2 – Real Property Law. Read the assigned pages (est. 45 min — the slot gives you a buffer).
 • Chapte</v>
      </c>
      <c r="AI704" s="108">
        <f t="shared" si="129"/>
        <v>0</v>
      </c>
      <c r="AJ704" s="108">
        <f t="shared" si="130"/>
        <v>0</v>
      </c>
      <c r="AK704" s="108">
        <f>IF($A704="",0,IF(AND($S704=1,$W704=1,$X704=1,$U704&gt;Config!$C$9),1,0))</f>
        <v>0</v>
      </c>
      <c r="AL704" s="108">
        <f t="shared" si="131"/>
        <v>0</v>
      </c>
    </row>
    <row r="705" spans="1:38" x14ac:dyDescent="0.25">
      <c r="A705" s="106" t="s">
        <v>822</v>
      </c>
      <c r="B705" s="106" t="s">
        <v>618</v>
      </c>
      <c r="C705" s="107">
        <v>46266</v>
      </c>
      <c r="D705" s="106" t="s">
        <v>623</v>
      </c>
      <c r="E705" s="106" t="s">
        <v>624</v>
      </c>
      <c r="F705" s="106" t="s">
        <v>615</v>
      </c>
      <c r="G705" s="106" t="s">
        <v>625</v>
      </c>
      <c r="H705" s="106" t="s">
        <v>819</v>
      </c>
      <c r="I705" s="106"/>
      <c r="J705" s="106" t="s">
        <v>823</v>
      </c>
      <c r="K705" s="106">
        <v>1</v>
      </c>
      <c r="L705" s="106">
        <v>0</v>
      </c>
      <c r="M705" s="106">
        <v>0</v>
      </c>
      <c r="N705" s="106"/>
      <c r="O705" s="106"/>
      <c r="P705" s="106">
        <v>0</v>
      </c>
      <c r="Q705" s="106" t="s">
        <v>1499</v>
      </c>
      <c r="S705" s="108">
        <f>IF($A705="","",COUNTIF(BPOworkers!$B$6:$B$105,$A705))</f>
        <v>0</v>
      </c>
      <c r="T705" s="109">
        <f>IF($A705="","",$K705*Config!$C$9)</f>
        <v>8</v>
      </c>
      <c r="U705" s="109">
        <f>IF($A705="","",IF(COUNTIF(Config!$C$21:$C$23,$H705)&gt;0,IFERROR(VALUE(LEFT(TRIM($Q705),FIND(" ",TRIM($Q705)&amp;" ")-1)),0),0))</f>
        <v>0</v>
      </c>
      <c r="V705" s="109">
        <f t="shared" si="120"/>
        <v>8</v>
      </c>
      <c r="W705" s="108">
        <f>IF($A705="",0,IF(AND($C705&gt;=Config!$C$7,$C705&lt;=Config!$C$8),1,0))</f>
        <v>1</v>
      </c>
      <c r="X705" s="108">
        <f>IF($A705="",0,IF(COUNTIF(Config!$C$21:$C$23,$H705)&gt;0,1,0))</f>
        <v>0</v>
      </c>
      <c r="Y705" s="108">
        <f t="shared" si="121"/>
        <v>17</v>
      </c>
      <c r="Z705" s="108" t="str">
        <f t="shared" si="122"/>
        <v/>
      </c>
      <c r="AB705" s="108">
        <f t="shared" si="123"/>
        <v>0</v>
      </c>
      <c r="AC705" s="108">
        <f>IF($A705="",0,IF(AND($AB705=1,COUNTIF($A$2:$A705,$A705)=1),1,0))</f>
        <v>0</v>
      </c>
      <c r="AD705" s="108">
        <f t="shared" si="124"/>
        <v>1</v>
      </c>
      <c r="AE705" s="108" t="str">
        <f t="shared" si="125"/>
        <v/>
      </c>
      <c r="AF705" s="108">
        <f t="shared" si="126"/>
        <v>0</v>
      </c>
      <c r="AG705" s="108">
        <f t="shared" si="127"/>
        <v>0</v>
      </c>
      <c r="AH705" s="110" t="str">
        <f t="shared" si="128"/>
        <v>D. Pescador|20260901|Training - BPO|1.000|Reading of chapter 2 of the AAPL STUDY GUIDE , and Quiz in rise.</v>
      </c>
      <c r="AI705" s="108">
        <f t="shared" si="129"/>
        <v>0</v>
      </c>
      <c r="AJ705" s="108">
        <f t="shared" si="130"/>
        <v>0</v>
      </c>
      <c r="AK705" s="108">
        <f>IF($A705="",0,IF(AND($S705=1,$W705=1,$X705=1,$U705&gt;Config!$C$9),1,0))</f>
        <v>0</v>
      </c>
      <c r="AL705" s="108">
        <f t="shared" si="131"/>
        <v>0</v>
      </c>
    </row>
    <row r="706" spans="1:38" ht="192.75" x14ac:dyDescent="0.25">
      <c r="A706" s="106" t="s">
        <v>825</v>
      </c>
      <c r="B706" s="106" t="s">
        <v>618</v>
      </c>
      <c r="C706" s="107">
        <v>46266</v>
      </c>
      <c r="D706" s="106" t="s">
        <v>623</v>
      </c>
      <c r="E706" s="106" t="s">
        <v>624</v>
      </c>
      <c r="F706" s="106" t="s">
        <v>615</v>
      </c>
      <c r="G706" s="106" t="s">
        <v>625</v>
      </c>
      <c r="H706" s="106" t="s">
        <v>819</v>
      </c>
      <c r="I706" s="106"/>
      <c r="J706" s="106" t="s">
        <v>823</v>
      </c>
      <c r="K706" s="106">
        <v>1</v>
      </c>
      <c r="L706" s="106">
        <v>0</v>
      </c>
      <c r="M706" s="106">
        <v>0</v>
      </c>
      <c r="N706" s="106"/>
      <c r="O706" s="106"/>
      <c r="P706" s="106">
        <v>0</v>
      </c>
      <c r="Q706" s="111" t="s">
        <v>1500</v>
      </c>
      <c r="S706" s="108">
        <f>IF($A706="","",COUNTIF(BPOworkers!$B$6:$B$105,$A706))</f>
        <v>0</v>
      </c>
      <c r="T706" s="109">
        <f>IF($A706="","",$K706*Config!$C$9)</f>
        <v>8</v>
      </c>
      <c r="U706" s="109">
        <f>IF($A706="","",IF(COUNTIF(Config!$C$21:$C$23,$H706)&gt;0,IFERROR(VALUE(LEFT(TRIM($Q706),FIND(" ",TRIM($Q706)&amp;" ")-1)),0),0))</f>
        <v>0</v>
      </c>
      <c r="V706" s="109">
        <f t="shared" ref="V706:V769" si="132">IF($A706="","",$T706+$U706)</f>
        <v>8</v>
      </c>
      <c r="W706" s="108">
        <f>IF($A706="",0,IF(AND($C706&gt;=Config!$C$7,$C706&lt;=Config!$C$8),1,0))</f>
        <v>1</v>
      </c>
      <c r="X706" s="108">
        <f>IF($A706="",0,IF(COUNTIF(Config!$C$21:$C$23,$H706)&gt;0,1,0))</f>
        <v>0</v>
      </c>
      <c r="Y706" s="108">
        <f t="shared" ref="Y706:Y769" si="133">IF($A706="",MAX(0,Y705),MAX(0,Y705)+IF(AND($W706=1,$X706=1,$S706=1),1,0))</f>
        <v>17</v>
      </c>
      <c r="Z706" s="108" t="str">
        <f t="shared" ref="Z706:Z769" si="134">IF($A706="","",IF(AND($W706=1,$X706=1,$S706=1),$Y706,""))</f>
        <v/>
      </c>
      <c r="AB706" s="108">
        <f t="shared" ref="AB706:AB769" si="135">IF($A706="",0,IF(AND($S706=0,ISERROR(FIND(".",$A706))),1,0))</f>
        <v>0</v>
      </c>
      <c r="AC706" s="108">
        <f>IF($A706="",0,IF(AND($AB706=1,COUNTIF($A$2:$A706,$A706)=1),1,0))</f>
        <v>0</v>
      </c>
      <c r="AD706" s="108">
        <f t="shared" ref="AD706:AD769" si="136">IF($A706="",MAX(0,AD705),MAX(0,AD705)+$AC706)</f>
        <v>1</v>
      </c>
      <c r="AE706" s="108" t="str">
        <f t="shared" ref="AE706:AE769" si="137">IF($AC706=1,$AD706,"")</f>
        <v/>
      </c>
      <c r="AF706" s="108">
        <f t="shared" ref="AF706:AF769" si="138">IF($A706="",0,IFERROR(IF(AND($S706=1,WEEKDAY($C706,2)&gt;5),1,0),0))</f>
        <v>0</v>
      </c>
      <c r="AG706" s="108">
        <f t="shared" ref="AG706:AG769" si="139">IF($A706="",0,IF(AND($S706=1,$W706=0),1,0))</f>
        <v>0</v>
      </c>
      <c r="AH706" s="112" t="str">
        <f t="shared" ref="AH706:AH769" si="140">IF($A706="","",$A706&amp;"|"&amp;TEXT($C706,"yyyymmdd")&amp;"|"&amp;$H706&amp;"|"&amp;TEXT($K706,"0.000")&amp;"|"&amp;SUBSTITUTE(SUBSTITUTE(SUBSTITUTE(LEFT($Q706,120),"~",""),"*",""),"?",""))</f>
        <v xml:space="preserve">L. Pinto|20260901|Training - BPO|1.000|- Introduction and presentation
 - Contract signing
 - Read Ch. 2 Real Property Law
 - Quiz Ch. 2 
 - ELT Lessons "Real </v>
      </c>
      <c r="AI706" s="108">
        <f t="shared" ref="AI706:AI769" si="141">IF($A706="",0,IF(AND($S706=1,$W706=1,COUNTIF($AH$2:$AH$1500,$AH706)&gt;1),1,0))</f>
        <v>0</v>
      </c>
      <c r="AJ706" s="108">
        <f t="shared" ref="AJ706:AJ769" si="142">IF($A706="",0,IF(AND($S706=1,$W706=1,ABS($K706*8-ROUND($K706*8,0))&gt;0.0001),1,0))</f>
        <v>0</v>
      </c>
      <c r="AK706" s="108">
        <f>IF($A706="",0,IF(AND($S706=1,$W706=1,$X706=1,$U706&gt;Config!$C$9),1,0))</f>
        <v>0</v>
      </c>
      <c r="AL706" s="108">
        <f t="shared" ref="AL706:AL769" si="143">IF($A706="",0,IF(AND($S706=1,$W706=1,$X706=1,$U706=0),1,0))</f>
        <v>0</v>
      </c>
    </row>
    <row r="707" spans="1:38" x14ac:dyDescent="0.25">
      <c r="A707" s="106" t="s">
        <v>827</v>
      </c>
      <c r="B707" s="106" t="s">
        <v>618</v>
      </c>
      <c r="C707" s="107">
        <v>46266</v>
      </c>
      <c r="D707" s="106" t="s">
        <v>623</v>
      </c>
      <c r="E707" s="106" t="s">
        <v>624</v>
      </c>
      <c r="F707" s="106" t="s">
        <v>615</v>
      </c>
      <c r="G707" s="106" t="s">
        <v>625</v>
      </c>
      <c r="H707" s="106" t="s">
        <v>819</v>
      </c>
      <c r="I707" s="106"/>
      <c r="J707" s="106" t="s">
        <v>823</v>
      </c>
      <c r="K707" s="106">
        <v>1</v>
      </c>
      <c r="L707" s="106">
        <v>0</v>
      </c>
      <c r="M707" s="106">
        <v>0</v>
      </c>
      <c r="N707" s="106"/>
      <c r="O707" s="106"/>
      <c r="P707" s="106">
        <v>0</v>
      </c>
      <c r="Q707" s="106" t="s">
        <v>1501</v>
      </c>
      <c r="S707" s="108">
        <f>IF($A707="","",COUNTIF(BPOworkers!$B$6:$B$105,$A707))</f>
        <v>0</v>
      </c>
      <c r="T707" s="109">
        <f>IF($A707="","",$K707*Config!$C$9)</f>
        <v>8</v>
      </c>
      <c r="U707" s="109">
        <f>IF($A707="","",IF(COUNTIF(Config!$C$21:$C$23,$H707)&gt;0,IFERROR(VALUE(LEFT(TRIM($Q707),FIND(" ",TRIM($Q707)&amp;" ")-1)),0),0))</f>
        <v>0</v>
      </c>
      <c r="V707" s="109">
        <f t="shared" si="132"/>
        <v>8</v>
      </c>
      <c r="W707" s="108">
        <f>IF($A707="",0,IF(AND($C707&gt;=Config!$C$7,$C707&lt;=Config!$C$8),1,0))</f>
        <v>1</v>
      </c>
      <c r="X707" s="108">
        <f>IF($A707="",0,IF(COUNTIF(Config!$C$21:$C$23,$H707)&gt;0,1,0))</f>
        <v>0</v>
      </c>
      <c r="Y707" s="108">
        <f t="shared" si="133"/>
        <v>17</v>
      </c>
      <c r="Z707" s="108" t="str">
        <f t="shared" si="134"/>
        <v/>
      </c>
      <c r="AB707" s="108">
        <f t="shared" si="135"/>
        <v>0</v>
      </c>
      <c r="AC707" s="108">
        <f>IF($A707="",0,IF(AND($AB707=1,COUNTIF($A$2:$A707,$A707)=1),1,0))</f>
        <v>0</v>
      </c>
      <c r="AD707" s="108">
        <f t="shared" si="136"/>
        <v>1</v>
      </c>
      <c r="AE707" s="108" t="str">
        <f t="shared" si="137"/>
        <v/>
      </c>
      <c r="AF707" s="108">
        <f t="shared" si="138"/>
        <v>0</v>
      </c>
      <c r="AG707" s="108">
        <f t="shared" si="139"/>
        <v>0</v>
      </c>
      <c r="AH707" s="110" t="str">
        <f t="shared" si="140"/>
        <v>J. Cañon|20260901|Training - BPO|1.000|Learn about Property law and deeds</v>
      </c>
      <c r="AI707" s="108">
        <f t="shared" si="141"/>
        <v>0</v>
      </c>
      <c r="AJ707" s="108">
        <f t="shared" si="142"/>
        <v>0</v>
      </c>
      <c r="AK707" s="108">
        <f>IF($A707="",0,IF(AND($S707=1,$W707=1,$X707=1,$U707&gt;Config!$C$9),1,0))</f>
        <v>0</v>
      </c>
      <c r="AL707" s="108">
        <f t="shared" si="143"/>
        <v>0</v>
      </c>
    </row>
    <row r="708" spans="1:38" x14ac:dyDescent="0.25">
      <c r="A708" s="106" t="s">
        <v>829</v>
      </c>
      <c r="B708" s="106" t="s">
        <v>618</v>
      </c>
      <c r="C708" s="107">
        <v>46266</v>
      </c>
      <c r="D708" s="106" t="s">
        <v>623</v>
      </c>
      <c r="E708" s="106" t="s">
        <v>624</v>
      </c>
      <c r="F708" s="106" t="s">
        <v>615</v>
      </c>
      <c r="G708" s="106" t="s">
        <v>625</v>
      </c>
      <c r="H708" s="106" t="s">
        <v>819</v>
      </c>
      <c r="I708" s="106"/>
      <c r="J708" s="106" t="s">
        <v>832</v>
      </c>
      <c r="K708" s="106">
        <v>1</v>
      </c>
      <c r="L708" s="106">
        <v>0</v>
      </c>
      <c r="M708" s="106">
        <v>0</v>
      </c>
      <c r="N708" s="106"/>
      <c r="O708" s="106"/>
      <c r="P708" s="106">
        <v>0</v>
      </c>
      <c r="Q708" s="106" t="s">
        <v>1502</v>
      </c>
      <c r="S708" s="108">
        <f>IF($A708="","",COUNTIF(BPOworkers!$B$6:$B$105,$A708))</f>
        <v>0</v>
      </c>
      <c r="T708" s="109">
        <f>IF($A708="","",$K708*Config!$C$9)</f>
        <v>8</v>
      </c>
      <c r="U708" s="109">
        <f>IF($A708="","",IF(COUNTIF(Config!$C$21:$C$23,$H708)&gt;0,IFERROR(VALUE(LEFT(TRIM($Q708),FIND(" ",TRIM($Q708)&amp;" ")-1)),0),0))</f>
        <v>0</v>
      </c>
      <c r="V708" s="109">
        <f t="shared" si="132"/>
        <v>8</v>
      </c>
      <c r="W708" s="108">
        <f>IF($A708="",0,IF(AND($C708&gt;=Config!$C$7,$C708&lt;=Config!$C$8),1,0))</f>
        <v>1</v>
      </c>
      <c r="X708" s="108">
        <f>IF($A708="",0,IF(COUNTIF(Config!$C$21:$C$23,$H708)&gt;0,1,0))</f>
        <v>0</v>
      </c>
      <c r="Y708" s="108">
        <f t="shared" si="133"/>
        <v>17</v>
      </c>
      <c r="Z708" s="108" t="str">
        <f t="shared" si="134"/>
        <v/>
      </c>
      <c r="AB708" s="108">
        <f t="shared" si="135"/>
        <v>0</v>
      </c>
      <c r="AC708" s="108">
        <f>IF($A708="",0,IF(AND($AB708=1,COUNTIF($A$2:$A708,$A708)=1),1,0))</f>
        <v>0</v>
      </c>
      <c r="AD708" s="108">
        <f t="shared" si="136"/>
        <v>1</v>
      </c>
      <c r="AE708" s="108" t="str">
        <f t="shared" si="137"/>
        <v/>
      </c>
      <c r="AF708" s="108">
        <f t="shared" si="138"/>
        <v>0</v>
      </c>
      <c r="AG708" s="108">
        <f t="shared" si="139"/>
        <v>0</v>
      </c>
      <c r="AH708" s="110" t="str">
        <f t="shared" si="140"/>
        <v>S. Guataquira|20260901|Training - BPO|1.000|Today i learn about Real property laws and the type of deeds</v>
      </c>
      <c r="AI708" s="108">
        <f t="shared" si="141"/>
        <v>0</v>
      </c>
      <c r="AJ708" s="108">
        <f t="shared" si="142"/>
        <v>0</v>
      </c>
      <c r="AK708" s="108">
        <f>IF($A708="",0,IF(AND($S708=1,$W708=1,$X708=1,$U708&gt;Config!$C$9),1,0))</f>
        <v>0</v>
      </c>
      <c r="AL708" s="108">
        <f t="shared" si="143"/>
        <v>0</v>
      </c>
    </row>
    <row r="709" spans="1:38" ht="192.75" x14ac:dyDescent="0.25">
      <c r="A709" s="106" t="s">
        <v>834</v>
      </c>
      <c r="B709" s="106" t="s">
        <v>618</v>
      </c>
      <c r="C709" s="107">
        <v>46266</v>
      </c>
      <c r="D709" s="106" t="s">
        <v>623</v>
      </c>
      <c r="E709" s="106" t="s">
        <v>624</v>
      </c>
      <c r="F709" s="106" t="s">
        <v>615</v>
      </c>
      <c r="G709" s="106" t="s">
        <v>625</v>
      </c>
      <c r="H709" s="106" t="s">
        <v>819</v>
      </c>
      <c r="I709" s="106"/>
      <c r="J709" s="106" t="s">
        <v>823</v>
      </c>
      <c r="K709" s="106">
        <v>1</v>
      </c>
      <c r="L709" s="106">
        <v>0</v>
      </c>
      <c r="M709" s="106">
        <v>0</v>
      </c>
      <c r="N709" s="106"/>
      <c r="O709" s="106"/>
      <c r="P709" s="106">
        <v>0</v>
      </c>
      <c r="Q709" s="111" t="s">
        <v>1503</v>
      </c>
      <c r="S709" s="108">
        <f>IF($A709="","",COUNTIF(BPOworkers!$B$6:$B$105,$A709))</f>
        <v>0</v>
      </c>
      <c r="T709" s="109">
        <f>IF($A709="","",$K709*Config!$C$9)</f>
        <v>8</v>
      </c>
      <c r="U709" s="109">
        <f>IF($A709="","",IF(COUNTIF(Config!$C$21:$C$23,$H709)&gt;0,IFERROR(VALUE(LEFT(TRIM($Q709),FIND(" ",TRIM($Q709)&amp;" ")-1)),0),0))</f>
        <v>0</v>
      </c>
      <c r="V709" s="109">
        <f t="shared" si="132"/>
        <v>8</v>
      </c>
      <c r="W709" s="108">
        <f>IF($A709="",0,IF(AND($C709&gt;=Config!$C$7,$C709&lt;=Config!$C$8),1,0))</f>
        <v>1</v>
      </c>
      <c r="X709" s="108">
        <f>IF($A709="",0,IF(COUNTIF(Config!$C$21:$C$23,$H709)&gt;0,1,0))</f>
        <v>0</v>
      </c>
      <c r="Y709" s="108">
        <f t="shared" si="133"/>
        <v>17</v>
      </c>
      <c r="Z709" s="108" t="str">
        <f t="shared" si="134"/>
        <v/>
      </c>
      <c r="AB709" s="108">
        <f t="shared" si="135"/>
        <v>0</v>
      </c>
      <c r="AC709" s="108">
        <f>IF($A709="",0,IF(AND($AB709=1,COUNTIF($A$2:$A709,$A709)=1),1,0))</f>
        <v>0</v>
      </c>
      <c r="AD709" s="108">
        <f t="shared" si="136"/>
        <v>1</v>
      </c>
      <c r="AE709" s="108" t="str">
        <f t="shared" si="137"/>
        <v/>
      </c>
      <c r="AF709" s="108">
        <f t="shared" si="138"/>
        <v>0</v>
      </c>
      <c r="AG709" s="108">
        <f t="shared" si="139"/>
        <v>0</v>
      </c>
      <c r="AH709" s="112" t="str">
        <f t="shared" si="140"/>
        <v>C. Diaz|20260901|Training - BPO|1.000|Read the assigned pages of Chapter 2 in the AAPL Oil &amp; Gas Land Reference Volume &amp; Study Guide, then complete
 the Chapt</v>
      </c>
      <c r="AI709" s="108">
        <f t="shared" si="141"/>
        <v>0</v>
      </c>
      <c r="AJ709" s="108">
        <f t="shared" si="142"/>
        <v>0</v>
      </c>
      <c r="AK709" s="108">
        <f>IF($A709="",0,IF(AND($S709=1,$W709=1,$X709=1,$U709&gt;Config!$C$9),1,0))</f>
        <v>0</v>
      </c>
      <c r="AL709" s="108">
        <f t="shared" si="143"/>
        <v>0</v>
      </c>
    </row>
    <row r="710" spans="1:38" ht="192.75" x14ac:dyDescent="0.25">
      <c r="A710" s="106" t="s">
        <v>836</v>
      </c>
      <c r="B710" s="106" t="s">
        <v>618</v>
      </c>
      <c r="C710" s="107">
        <v>46266</v>
      </c>
      <c r="D710" s="106" t="s">
        <v>623</v>
      </c>
      <c r="E710" s="106" t="s">
        <v>624</v>
      </c>
      <c r="F710" s="106" t="s">
        <v>615</v>
      </c>
      <c r="G710" s="106" t="s">
        <v>625</v>
      </c>
      <c r="H710" s="106" t="s">
        <v>819</v>
      </c>
      <c r="I710" s="106"/>
      <c r="J710" s="106" t="s">
        <v>1504</v>
      </c>
      <c r="K710" s="106">
        <v>1</v>
      </c>
      <c r="L710" s="106">
        <v>0</v>
      </c>
      <c r="M710" s="106">
        <v>0</v>
      </c>
      <c r="N710" s="106"/>
      <c r="O710" s="106"/>
      <c r="P710" s="106">
        <v>0</v>
      </c>
      <c r="Q710" s="111" t="s">
        <v>1505</v>
      </c>
      <c r="S710" s="108">
        <f>IF($A710="","",COUNTIF(BPOworkers!$B$6:$B$105,$A710))</f>
        <v>0</v>
      </c>
      <c r="T710" s="109">
        <f>IF($A710="","",$K710*Config!$C$9)</f>
        <v>8</v>
      </c>
      <c r="U710" s="109">
        <f>IF($A710="","",IF(COUNTIF(Config!$C$21:$C$23,$H710)&gt;0,IFERROR(VALUE(LEFT(TRIM($Q710),FIND(" ",TRIM($Q710)&amp;" ")-1)),0),0))</f>
        <v>0</v>
      </c>
      <c r="V710" s="109">
        <f t="shared" si="132"/>
        <v>8</v>
      </c>
      <c r="W710" s="108">
        <f>IF($A710="",0,IF(AND($C710&gt;=Config!$C$7,$C710&lt;=Config!$C$8),1,0))</f>
        <v>1</v>
      </c>
      <c r="X710" s="108">
        <f>IF($A710="",0,IF(COUNTIF(Config!$C$21:$C$23,$H710)&gt;0,1,0))</f>
        <v>0</v>
      </c>
      <c r="Y710" s="108">
        <f t="shared" si="133"/>
        <v>17</v>
      </c>
      <c r="Z710" s="108" t="str">
        <f t="shared" si="134"/>
        <v/>
      </c>
      <c r="AB710" s="108">
        <f t="shared" si="135"/>
        <v>0</v>
      </c>
      <c r="AC710" s="108">
        <f>IF($A710="",0,IF(AND($AB710=1,COUNTIF($A$2:$A710,$A710)=1),1,0))</f>
        <v>0</v>
      </c>
      <c r="AD710" s="108">
        <f t="shared" si="136"/>
        <v>1</v>
      </c>
      <c r="AE710" s="108" t="str">
        <f t="shared" si="137"/>
        <v/>
      </c>
      <c r="AF710" s="108">
        <f t="shared" si="138"/>
        <v>0</v>
      </c>
      <c r="AG710" s="108">
        <f t="shared" si="139"/>
        <v>0</v>
      </c>
      <c r="AH710" s="112" t="str">
        <f t="shared" si="140"/>
        <v>T. Moreno|20260901|Training - BPO|1.000|Reading: Chapter 2 – Real Property Law. Read the assigned pages (est. 45 min — the slot gives you a
 buffer).
 • Chapter</v>
      </c>
      <c r="AI710" s="108">
        <f t="shared" si="141"/>
        <v>0</v>
      </c>
      <c r="AJ710" s="108">
        <f t="shared" si="142"/>
        <v>0</v>
      </c>
      <c r="AK710" s="108">
        <f>IF($A710="",0,IF(AND($S710=1,$W710=1,$X710=1,$U710&gt;Config!$C$9),1,0))</f>
        <v>0</v>
      </c>
      <c r="AL710" s="108">
        <f t="shared" si="143"/>
        <v>0</v>
      </c>
    </row>
    <row r="711" spans="1:38" ht="180.75" x14ac:dyDescent="0.25">
      <c r="A711" s="106" t="s">
        <v>839</v>
      </c>
      <c r="B711" s="106" t="s">
        <v>618</v>
      </c>
      <c r="C711" s="107">
        <v>46266</v>
      </c>
      <c r="D711" s="106" t="s">
        <v>623</v>
      </c>
      <c r="E711" s="106" t="s">
        <v>624</v>
      </c>
      <c r="F711" s="106" t="s">
        <v>615</v>
      </c>
      <c r="G711" s="106" t="s">
        <v>625</v>
      </c>
      <c r="H711" s="106" t="s">
        <v>819</v>
      </c>
      <c r="I711" s="106"/>
      <c r="J711" s="106" t="s">
        <v>823</v>
      </c>
      <c r="K711" s="106">
        <v>1</v>
      </c>
      <c r="L711" s="106">
        <v>0</v>
      </c>
      <c r="M711" s="106">
        <v>0</v>
      </c>
      <c r="N711" s="106"/>
      <c r="O711" s="106"/>
      <c r="P711" s="106">
        <v>0</v>
      </c>
      <c r="Q711" s="111" t="s">
        <v>1506</v>
      </c>
      <c r="S711" s="108">
        <f>IF($A711="","",COUNTIF(BPOworkers!$B$6:$B$105,$A711))</f>
        <v>0</v>
      </c>
      <c r="T711" s="109">
        <f>IF($A711="","",$K711*Config!$C$9)</f>
        <v>8</v>
      </c>
      <c r="U711" s="109">
        <f>IF($A711="","",IF(COUNTIF(Config!$C$21:$C$23,$H711)&gt;0,IFERROR(VALUE(LEFT(TRIM($Q711),FIND(" ",TRIM($Q711)&amp;" ")-1)),0),0))</f>
        <v>0</v>
      </c>
      <c r="V711" s="109">
        <f t="shared" si="132"/>
        <v>8</v>
      </c>
      <c r="W711" s="108">
        <f>IF($A711="",0,IF(AND($C711&gt;=Config!$C$7,$C711&lt;=Config!$C$8),1,0))</f>
        <v>1</v>
      </c>
      <c r="X711" s="108">
        <f>IF($A711="",0,IF(COUNTIF(Config!$C$21:$C$23,$H711)&gt;0,1,0))</f>
        <v>0</v>
      </c>
      <c r="Y711" s="108">
        <f t="shared" si="133"/>
        <v>17</v>
      </c>
      <c r="Z711" s="108" t="str">
        <f t="shared" si="134"/>
        <v/>
      </c>
      <c r="AB711" s="108">
        <f t="shared" si="135"/>
        <v>0</v>
      </c>
      <c r="AC711" s="108">
        <f>IF($A711="",0,IF(AND($AB711=1,COUNTIF($A$2:$A711,$A711)=1),1,0))</f>
        <v>0</v>
      </c>
      <c r="AD711" s="108">
        <f t="shared" si="136"/>
        <v>1</v>
      </c>
      <c r="AE711" s="108" t="str">
        <f t="shared" si="137"/>
        <v/>
      </c>
      <c r="AF711" s="108">
        <f t="shared" si="138"/>
        <v>0</v>
      </c>
      <c r="AG711" s="108">
        <f t="shared" si="139"/>
        <v>0</v>
      </c>
      <c r="AH711" s="112" t="str">
        <f t="shared" si="140"/>
        <v>S. Lopez|20260901|Training - BPO|1.000|Reading of Chapter 2 of the Guide. 
 Doing the Chapter 2 Quiz in Rise platform. 
 Doing in Rise the following lessons: “</v>
      </c>
      <c r="AI711" s="108">
        <f t="shared" si="141"/>
        <v>0</v>
      </c>
      <c r="AJ711" s="108">
        <f t="shared" si="142"/>
        <v>0</v>
      </c>
      <c r="AK711" s="108">
        <f>IF($A711="",0,IF(AND($S711=1,$W711=1,$X711=1,$U711&gt;Config!$C$9),1,0))</f>
        <v>0</v>
      </c>
      <c r="AL711" s="108">
        <f t="shared" si="143"/>
        <v>0</v>
      </c>
    </row>
    <row r="712" spans="1:38" ht="192.75" x14ac:dyDescent="0.25">
      <c r="A712" s="106" t="s">
        <v>841</v>
      </c>
      <c r="B712" s="106" t="s">
        <v>618</v>
      </c>
      <c r="C712" s="107">
        <v>46266</v>
      </c>
      <c r="D712" s="106" t="s">
        <v>623</v>
      </c>
      <c r="E712" s="106" t="s">
        <v>624</v>
      </c>
      <c r="F712" s="106" t="s">
        <v>615</v>
      </c>
      <c r="G712" s="106" t="s">
        <v>625</v>
      </c>
      <c r="H712" s="106" t="s">
        <v>819</v>
      </c>
      <c r="I712" s="106"/>
      <c r="J712" s="106" t="s">
        <v>823</v>
      </c>
      <c r="K712" s="106">
        <v>1</v>
      </c>
      <c r="L712" s="106">
        <v>0</v>
      </c>
      <c r="M712" s="106">
        <v>0</v>
      </c>
      <c r="N712" s="106"/>
      <c r="O712" s="106"/>
      <c r="P712" s="106">
        <v>0</v>
      </c>
      <c r="Q712" s="111" t="s">
        <v>1503</v>
      </c>
      <c r="S712" s="108">
        <f>IF($A712="","",COUNTIF(BPOworkers!$B$6:$B$105,$A712))</f>
        <v>0</v>
      </c>
      <c r="T712" s="109">
        <f>IF($A712="","",$K712*Config!$C$9)</f>
        <v>8</v>
      </c>
      <c r="U712" s="109">
        <f>IF($A712="","",IF(COUNTIF(Config!$C$21:$C$23,$H712)&gt;0,IFERROR(VALUE(LEFT(TRIM($Q712),FIND(" ",TRIM($Q712)&amp;" ")-1)),0),0))</f>
        <v>0</v>
      </c>
      <c r="V712" s="109">
        <f t="shared" si="132"/>
        <v>8</v>
      </c>
      <c r="W712" s="108">
        <f>IF($A712="",0,IF(AND($C712&gt;=Config!$C$7,$C712&lt;=Config!$C$8),1,0))</f>
        <v>1</v>
      </c>
      <c r="X712" s="108">
        <f>IF($A712="",0,IF(COUNTIF(Config!$C$21:$C$23,$H712)&gt;0,1,0))</f>
        <v>0</v>
      </c>
      <c r="Y712" s="108">
        <f t="shared" si="133"/>
        <v>17</v>
      </c>
      <c r="Z712" s="108" t="str">
        <f t="shared" si="134"/>
        <v/>
      </c>
      <c r="AB712" s="108">
        <f t="shared" si="135"/>
        <v>0</v>
      </c>
      <c r="AC712" s="108">
        <f>IF($A712="",0,IF(AND($AB712=1,COUNTIF($A$2:$A712,$A712)=1),1,0))</f>
        <v>0</v>
      </c>
      <c r="AD712" s="108">
        <f t="shared" si="136"/>
        <v>1</v>
      </c>
      <c r="AE712" s="108" t="str">
        <f t="shared" si="137"/>
        <v/>
      </c>
      <c r="AF712" s="108">
        <f t="shared" si="138"/>
        <v>0</v>
      </c>
      <c r="AG712" s="108">
        <f t="shared" si="139"/>
        <v>0</v>
      </c>
      <c r="AH712" s="112" t="str">
        <f t="shared" si="140"/>
        <v>A. Roa|20260901|Training - BPO|1.000|Read the assigned pages of Chapter 2 in the AAPL Oil &amp; Gas Land Reference Volume &amp; Study Guide, then complete
 the Chapt</v>
      </c>
      <c r="AI712" s="108">
        <f t="shared" si="141"/>
        <v>0</v>
      </c>
      <c r="AJ712" s="108">
        <f t="shared" si="142"/>
        <v>0</v>
      </c>
      <c r="AK712" s="108">
        <f>IF($A712="",0,IF(AND($S712=1,$W712=1,$X712=1,$U712&gt;Config!$C$9),1,0))</f>
        <v>0</v>
      </c>
      <c r="AL712" s="108">
        <f t="shared" si="143"/>
        <v>0</v>
      </c>
    </row>
    <row r="713" spans="1:38" x14ac:dyDescent="0.25">
      <c r="A713" s="106" t="s">
        <v>843</v>
      </c>
      <c r="B713" s="106" t="s">
        <v>618</v>
      </c>
      <c r="C713" s="107">
        <v>46266</v>
      </c>
      <c r="D713" s="106" t="s">
        <v>623</v>
      </c>
      <c r="E713" s="106" t="s">
        <v>624</v>
      </c>
      <c r="F713" s="106" t="s">
        <v>615</v>
      </c>
      <c r="G713" s="106" t="s">
        <v>625</v>
      </c>
      <c r="H713" s="106" t="s">
        <v>819</v>
      </c>
      <c r="I713" s="106"/>
      <c r="J713" s="106" t="s">
        <v>823</v>
      </c>
      <c r="K713" s="106">
        <v>1</v>
      </c>
      <c r="L713" s="106">
        <v>0</v>
      </c>
      <c r="M713" s="106">
        <v>0</v>
      </c>
      <c r="N713" s="106"/>
      <c r="O713" s="106"/>
      <c r="P713" s="106">
        <v>0</v>
      </c>
      <c r="Q713" s="106" t="s">
        <v>1062</v>
      </c>
      <c r="S713" s="108">
        <f>IF($A713="","",COUNTIF(BPOworkers!$B$6:$B$105,$A713))</f>
        <v>0</v>
      </c>
      <c r="T713" s="109">
        <f>IF($A713="","",$K713*Config!$C$9)</f>
        <v>8</v>
      </c>
      <c r="U713" s="109">
        <f>IF($A713="","",IF(COUNTIF(Config!$C$21:$C$23,$H713)&gt;0,IFERROR(VALUE(LEFT(TRIM($Q713),FIND(" ",TRIM($Q713)&amp;" ")-1)),0),0))</f>
        <v>0</v>
      </c>
      <c r="V713" s="109">
        <f t="shared" si="132"/>
        <v>8</v>
      </c>
      <c r="W713" s="108">
        <f>IF($A713="",0,IF(AND($C713&gt;=Config!$C$7,$C713&lt;=Config!$C$8),1,0))</f>
        <v>1</v>
      </c>
      <c r="X713" s="108">
        <f>IF($A713="",0,IF(COUNTIF(Config!$C$21:$C$23,$H713)&gt;0,1,0))</f>
        <v>0</v>
      </c>
      <c r="Y713" s="108">
        <f t="shared" si="133"/>
        <v>17</v>
      </c>
      <c r="Z713" s="108" t="str">
        <f t="shared" si="134"/>
        <v/>
      </c>
      <c r="AB713" s="108">
        <f t="shared" si="135"/>
        <v>0</v>
      </c>
      <c r="AC713" s="108">
        <f>IF($A713="",0,IF(AND($AB713=1,COUNTIF($A$2:$A713,$A713)=1),1,0))</f>
        <v>0</v>
      </c>
      <c r="AD713" s="108">
        <f t="shared" si="136"/>
        <v>1</v>
      </c>
      <c r="AE713" s="108" t="str">
        <f t="shared" si="137"/>
        <v/>
      </c>
      <c r="AF713" s="108">
        <f t="shared" si="138"/>
        <v>0</v>
      </c>
      <c r="AG713" s="108">
        <f t="shared" si="139"/>
        <v>0</v>
      </c>
      <c r="AH713" s="110" t="str">
        <f t="shared" si="140"/>
        <v>G. Gonzalez|20260901|Training - BPO|1.000|Did the lectures and quiz</v>
      </c>
      <c r="AI713" s="108">
        <f t="shared" si="141"/>
        <v>0</v>
      </c>
      <c r="AJ713" s="108">
        <f t="shared" si="142"/>
        <v>0</v>
      </c>
      <c r="AK713" s="108">
        <f>IF($A713="",0,IF(AND($S713=1,$W713=1,$X713=1,$U713&gt;Config!$C$9),1,0))</f>
        <v>0</v>
      </c>
      <c r="AL713" s="108">
        <f t="shared" si="143"/>
        <v>0</v>
      </c>
    </row>
    <row r="714" spans="1:38" ht="180.75" x14ac:dyDescent="0.25">
      <c r="A714" s="106" t="s">
        <v>845</v>
      </c>
      <c r="B714" s="106" t="s">
        <v>618</v>
      </c>
      <c r="C714" s="107">
        <v>46266</v>
      </c>
      <c r="D714" s="106" t="s">
        <v>623</v>
      </c>
      <c r="E714" s="106" t="s">
        <v>624</v>
      </c>
      <c r="F714" s="106" t="s">
        <v>615</v>
      </c>
      <c r="G714" s="106" t="s">
        <v>625</v>
      </c>
      <c r="H714" s="106" t="s">
        <v>819</v>
      </c>
      <c r="I714" s="106"/>
      <c r="J714" s="106" t="s">
        <v>823</v>
      </c>
      <c r="K714" s="106">
        <v>1</v>
      </c>
      <c r="L714" s="106">
        <v>0</v>
      </c>
      <c r="M714" s="106">
        <v>0</v>
      </c>
      <c r="N714" s="106"/>
      <c r="O714" s="106"/>
      <c r="P714" s="106">
        <v>0</v>
      </c>
      <c r="Q714" s="111" t="s">
        <v>1507</v>
      </c>
      <c r="S714" s="108">
        <f>IF($A714="","",COUNTIF(BPOworkers!$B$6:$B$105,$A714))</f>
        <v>0</v>
      </c>
      <c r="T714" s="109">
        <f>IF($A714="","",$K714*Config!$C$9)</f>
        <v>8</v>
      </c>
      <c r="U714" s="109">
        <f>IF($A714="","",IF(COUNTIF(Config!$C$21:$C$23,$H714)&gt;0,IFERROR(VALUE(LEFT(TRIM($Q714),FIND(" ",TRIM($Q714)&amp;" ")-1)),0),0))</f>
        <v>0</v>
      </c>
      <c r="V714" s="109">
        <f t="shared" si="132"/>
        <v>8</v>
      </c>
      <c r="W714" s="108">
        <f>IF($A714="",0,IF(AND($C714&gt;=Config!$C$7,$C714&lt;=Config!$C$8),1,0))</f>
        <v>1</v>
      </c>
      <c r="X714" s="108">
        <f>IF($A714="",0,IF(COUNTIF(Config!$C$21:$C$23,$H714)&gt;0,1,0))</f>
        <v>0</v>
      </c>
      <c r="Y714" s="108">
        <f t="shared" si="133"/>
        <v>17</v>
      </c>
      <c r="Z714" s="108" t="str">
        <f t="shared" si="134"/>
        <v/>
      </c>
      <c r="AB714" s="108">
        <f t="shared" si="135"/>
        <v>0</v>
      </c>
      <c r="AC714" s="108">
        <f>IF($A714="",0,IF(AND($AB714=1,COUNTIF($A$2:$A714,$A714)=1),1,0))</f>
        <v>0</v>
      </c>
      <c r="AD714" s="108">
        <f t="shared" si="136"/>
        <v>1</v>
      </c>
      <c r="AE714" s="108" t="str">
        <f t="shared" si="137"/>
        <v/>
      </c>
      <c r="AF714" s="108">
        <f t="shared" si="138"/>
        <v>0</v>
      </c>
      <c r="AG714" s="108">
        <f t="shared" si="139"/>
        <v>0</v>
      </c>
      <c r="AH714" s="112" t="str">
        <f t="shared" si="140"/>
        <v>L. Rincon|20260901|Training - BPO|1.000|Reading: Chapter 2 – Real Property Law.
 Chapter 2 quiz in Rise
 Rise/ELT lesson: “Real and Personal Property Foundation</v>
      </c>
      <c r="AI714" s="108">
        <f t="shared" si="141"/>
        <v>0</v>
      </c>
      <c r="AJ714" s="108">
        <f t="shared" si="142"/>
        <v>0</v>
      </c>
      <c r="AK714" s="108">
        <f>IF($A714="",0,IF(AND($S714=1,$W714=1,$X714=1,$U714&gt;Config!$C$9),1,0))</f>
        <v>0</v>
      </c>
      <c r="AL714" s="108">
        <f t="shared" si="143"/>
        <v>0</v>
      </c>
    </row>
    <row r="715" spans="1:38" ht="180.75" x14ac:dyDescent="0.25">
      <c r="A715" s="106" t="s">
        <v>847</v>
      </c>
      <c r="B715" s="106" t="s">
        <v>618</v>
      </c>
      <c r="C715" s="107">
        <v>46266</v>
      </c>
      <c r="D715" s="106" t="s">
        <v>623</v>
      </c>
      <c r="E715" s="106" t="s">
        <v>624</v>
      </c>
      <c r="F715" s="106" t="s">
        <v>615</v>
      </c>
      <c r="G715" s="106" t="s">
        <v>625</v>
      </c>
      <c r="H715" s="106" t="s">
        <v>819</v>
      </c>
      <c r="I715" s="106"/>
      <c r="J715" s="106" t="s">
        <v>1508</v>
      </c>
      <c r="K715" s="106">
        <v>1</v>
      </c>
      <c r="L715" s="106">
        <v>0</v>
      </c>
      <c r="M715" s="106">
        <v>0</v>
      </c>
      <c r="N715" s="106"/>
      <c r="O715" s="106"/>
      <c r="P715" s="106">
        <v>0</v>
      </c>
      <c r="Q715" s="111" t="s">
        <v>1509</v>
      </c>
      <c r="S715" s="108">
        <f>IF($A715="","",COUNTIF(BPOworkers!$B$6:$B$105,$A715))</f>
        <v>0</v>
      </c>
      <c r="T715" s="109">
        <f>IF($A715="","",$K715*Config!$C$9)</f>
        <v>8</v>
      </c>
      <c r="U715" s="109">
        <f>IF($A715="","",IF(COUNTIF(Config!$C$21:$C$23,$H715)&gt;0,IFERROR(VALUE(LEFT(TRIM($Q715),FIND(" ",TRIM($Q715)&amp;" ")-1)),0),0))</f>
        <v>0</v>
      </c>
      <c r="V715" s="109">
        <f t="shared" si="132"/>
        <v>8</v>
      </c>
      <c r="W715" s="108">
        <f>IF($A715="",0,IF(AND($C715&gt;=Config!$C$7,$C715&lt;=Config!$C$8),1,0))</f>
        <v>1</v>
      </c>
      <c r="X715" s="108">
        <f>IF($A715="",0,IF(COUNTIF(Config!$C$21:$C$23,$H715)&gt;0,1,0))</f>
        <v>0</v>
      </c>
      <c r="Y715" s="108">
        <f t="shared" si="133"/>
        <v>17</v>
      </c>
      <c r="Z715" s="108" t="str">
        <f t="shared" si="134"/>
        <v/>
      </c>
      <c r="AB715" s="108">
        <f t="shared" si="135"/>
        <v>0</v>
      </c>
      <c r="AC715" s="108">
        <f>IF($A715="",0,IF(AND($AB715=1,COUNTIF($A$2:$A715,$A715)=1),1,0))</f>
        <v>0</v>
      </c>
      <c r="AD715" s="108">
        <f t="shared" si="136"/>
        <v>1</v>
      </c>
      <c r="AE715" s="108" t="str">
        <f t="shared" si="137"/>
        <v/>
      </c>
      <c r="AF715" s="108">
        <f t="shared" si="138"/>
        <v>0</v>
      </c>
      <c r="AG715" s="108">
        <f t="shared" si="139"/>
        <v>0</v>
      </c>
      <c r="AH715" s="112" t="str">
        <f t="shared" si="140"/>
        <v>A. Mojica|20260901|Training - BPO|1.000|Introduction
 Reading: Chapter 2 – Real Property Law.
 Chapter 2 quiz in Rise
 Rise/ELT lesson: “Real and Personal Prope</v>
      </c>
      <c r="AI715" s="108">
        <f t="shared" si="141"/>
        <v>0</v>
      </c>
      <c r="AJ715" s="108">
        <f t="shared" si="142"/>
        <v>0</v>
      </c>
      <c r="AK715" s="108">
        <f>IF($A715="",0,IF(AND($S715=1,$W715=1,$X715=1,$U715&gt;Config!$C$9),1,0))</f>
        <v>0</v>
      </c>
      <c r="AL715" s="108">
        <f t="shared" si="143"/>
        <v>0</v>
      </c>
    </row>
    <row r="716" spans="1:38" ht="192.75" x14ac:dyDescent="0.25">
      <c r="A716" s="106" t="s">
        <v>850</v>
      </c>
      <c r="B716" s="106" t="s">
        <v>618</v>
      </c>
      <c r="C716" s="107">
        <v>46266</v>
      </c>
      <c r="D716" s="106" t="s">
        <v>623</v>
      </c>
      <c r="E716" s="106" t="s">
        <v>624</v>
      </c>
      <c r="F716" s="106" t="s">
        <v>615</v>
      </c>
      <c r="G716" s="106" t="s">
        <v>625</v>
      </c>
      <c r="H716" s="106" t="s">
        <v>819</v>
      </c>
      <c r="I716" s="106" t="s">
        <v>831</v>
      </c>
      <c r="J716" s="106" t="s">
        <v>823</v>
      </c>
      <c r="K716" s="106">
        <v>1</v>
      </c>
      <c r="L716" s="106">
        <v>0</v>
      </c>
      <c r="M716" s="106">
        <v>0</v>
      </c>
      <c r="N716" s="106"/>
      <c r="O716" s="106"/>
      <c r="P716" s="106">
        <v>0</v>
      </c>
      <c r="Q716" s="111" t="s">
        <v>1510</v>
      </c>
      <c r="S716" s="108">
        <f>IF($A716="","",COUNTIF(BPOworkers!$B$6:$B$105,$A716))</f>
        <v>0</v>
      </c>
      <c r="T716" s="109">
        <f>IF($A716="","",$K716*Config!$C$9)</f>
        <v>8</v>
      </c>
      <c r="U716" s="109">
        <f>IF($A716="","",IF(COUNTIF(Config!$C$21:$C$23,$H716)&gt;0,IFERROR(VALUE(LEFT(TRIM($Q716),FIND(" ",TRIM($Q716)&amp;" ")-1)),0),0))</f>
        <v>0</v>
      </c>
      <c r="V716" s="109">
        <f t="shared" si="132"/>
        <v>8</v>
      </c>
      <c r="W716" s="108">
        <f>IF($A716="",0,IF(AND($C716&gt;=Config!$C$7,$C716&lt;=Config!$C$8),1,0))</f>
        <v>1</v>
      </c>
      <c r="X716" s="108">
        <f>IF($A716="",0,IF(COUNTIF(Config!$C$21:$C$23,$H716)&gt;0,1,0))</f>
        <v>0</v>
      </c>
      <c r="Y716" s="108">
        <f t="shared" si="133"/>
        <v>17</v>
      </c>
      <c r="Z716" s="108" t="str">
        <f t="shared" si="134"/>
        <v/>
      </c>
      <c r="AB716" s="108">
        <f t="shared" si="135"/>
        <v>0</v>
      </c>
      <c r="AC716" s="108">
        <f>IF($A716="",0,IF(AND($AB716=1,COUNTIF($A$2:$A716,$A716)=1),1,0))</f>
        <v>0</v>
      </c>
      <c r="AD716" s="108">
        <f t="shared" si="136"/>
        <v>1</v>
      </c>
      <c r="AE716" s="108" t="str">
        <f t="shared" si="137"/>
        <v/>
      </c>
      <c r="AF716" s="108">
        <f t="shared" si="138"/>
        <v>0</v>
      </c>
      <c r="AG716" s="108">
        <f t="shared" si="139"/>
        <v>0</v>
      </c>
      <c r="AH716" s="112" t="str">
        <f t="shared" si="140"/>
        <v>M. Patron|20260901|Training - BPO|1.000|Introduction, presentation, and contract signing (2h)
 Reading of Chapters 1 and 2 of the AAPL study guide (4h)
 Mee</v>
      </c>
      <c r="AI716" s="108">
        <f t="shared" si="141"/>
        <v>0</v>
      </c>
      <c r="AJ716" s="108">
        <f t="shared" si="142"/>
        <v>0</v>
      </c>
      <c r="AK716" s="108">
        <f>IF($A716="",0,IF(AND($S716=1,$W716=1,$X716=1,$U716&gt;Config!$C$9),1,0))</f>
        <v>0</v>
      </c>
      <c r="AL716" s="108">
        <f t="shared" si="143"/>
        <v>0</v>
      </c>
    </row>
    <row r="717" spans="1:38" x14ac:dyDescent="0.25">
      <c r="A717" s="106" t="s">
        <v>852</v>
      </c>
      <c r="B717" s="106" t="s">
        <v>618</v>
      </c>
      <c r="C717" s="107">
        <v>46266</v>
      </c>
      <c r="D717" s="106" t="s">
        <v>623</v>
      </c>
      <c r="E717" s="106" t="s">
        <v>624</v>
      </c>
      <c r="F717" s="106" t="s">
        <v>615</v>
      </c>
      <c r="G717" s="106" t="s">
        <v>625</v>
      </c>
      <c r="H717" s="106" t="s">
        <v>819</v>
      </c>
      <c r="I717" s="106"/>
      <c r="J717" s="106" t="s">
        <v>823</v>
      </c>
      <c r="K717" s="106">
        <v>1</v>
      </c>
      <c r="L717" s="106">
        <v>0</v>
      </c>
      <c r="M717" s="106">
        <v>0</v>
      </c>
      <c r="N717" s="106"/>
      <c r="O717" s="106"/>
      <c r="P717" s="106">
        <v>0</v>
      </c>
      <c r="Q717" s="106" t="s">
        <v>1511</v>
      </c>
      <c r="S717" s="108">
        <f>IF($A717="","",COUNTIF(BPOworkers!$B$6:$B$105,$A717))</f>
        <v>0</v>
      </c>
      <c r="T717" s="109">
        <f>IF($A717="","",$K717*Config!$C$9)</f>
        <v>8</v>
      </c>
      <c r="U717" s="109">
        <f>IF($A717="","",IF(COUNTIF(Config!$C$21:$C$23,$H717)&gt;0,IFERROR(VALUE(LEFT(TRIM($Q717),FIND(" ",TRIM($Q717)&amp;" ")-1)),0),0))</f>
        <v>0</v>
      </c>
      <c r="V717" s="109">
        <f t="shared" si="132"/>
        <v>8</v>
      </c>
      <c r="W717" s="108">
        <f>IF($A717="",0,IF(AND($C717&gt;=Config!$C$7,$C717&lt;=Config!$C$8),1,0))</f>
        <v>1</v>
      </c>
      <c r="X717" s="108">
        <f>IF($A717="",0,IF(COUNTIF(Config!$C$21:$C$23,$H717)&gt;0,1,0))</f>
        <v>0</v>
      </c>
      <c r="Y717" s="108">
        <f t="shared" si="133"/>
        <v>17</v>
      </c>
      <c r="Z717" s="108" t="str">
        <f t="shared" si="134"/>
        <v/>
      </c>
      <c r="AB717" s="108">
        <f t="shared" si="135"/>
        <v>0</v>
      </c>
      <c r="AC717" s="108">
        <f>IF($A717="",0,IF(AND($AB717=1,COUNTIF($A$2:$A717,$A717)=1),1,0))</f>
        <v>0</v>
      </c>
      <c r="AD717" s="108">
        <f t="shared" si="136"/>
        <v>1</v>
      </c>
      <c r="AE717" s="108" t="str">
        <f t="shared" si="137"/>
        <v/>
      </c>
      <c r="AF717" s="108">
        <f t="shared" si="138"/>
        <v>0</v>
      </c>
      <c r="AG717" s="108">
        <f t="shared" si="139"/>
        <v>0</v>
      </c>
      <c r="AH717" s="110" t="str">
        <f t="shared" si="140"/>
        <v xml:space="preserve">A. Pujana|20260901|Training - BPO|1.000|Completed onboarding training: read Chapter 2 (Real Property Law, pp. 9–23) of the AAPL Oil &amp; Gas Land Reference Volume </v>
      </c>
      <c r="AI717" s="108">
        <f t="shared" si="141"/>
        <v>0</v>
      </c>
      <c r="AJ717" s="108">
        <f t="shared" si="142"/>
        <v>0</v>
      </c>
      <c r="AK717" s="108">
        <f>IF($A717="",0,IF(AND($S717=1,$W717=1,$X717=1,$U717&gt;Config!$C$9),1,0))</f>
        <v>0</v>
      </c>
      <c r="AL717" s="108">
        <f t="shared" si="143"/>
        <v>0</v>
      </c>
    </row>
    <row r="718" spans="1:38" ht="204.75" x14ac:dyDescent="0.25">
      <c r="A718" s="106" t="s">
        <v>854</v>
      </c>
      <c r="B718" s="106" t="s">
        <v>618</v>
      </c>
      <c r="C718" s="107">
        <v>46266</v>
      </c>
      <c r="D718" s="106" t="s">
        <v>623</v>
      </c>
      <c r="E718" s="106" t="s">
        <v>624</v>
      </c>
      <c r="F718" s="106" t="s">
        <v>615</v>
      </c>
      <c r="G718" s="106" t="s">
        <v>625</v>
      </c>
      <c r="H718" s="106" t="s">
        <v>819</v>
      </c>
      <c r="I718" s="106"/>
      <c r="J718" s="106" t="s">
        <v>855</v>
      </c>
      <c r="K718" s="106">
        <v>1</v>
      </c>
      <c r="L718" s="106">
        <v>0</v>
      </c>
      <c r="M718" s="106">
        <v>0</v>
      </c>
      <c r="N718" s="106"/>
      <c r="O718" s="106"/>
      <c r="P718" s="106">
        <v>0</v>
      </c>
      <c r="Q718" s="111" t="s">
        <v>1512</v>
      </c>
      <c r="S718" s="108">
        <f>IF($A718="","",COUNTIF(BPOworkers!$B$6:$B$105,$A718))</f>
        <v>0</v>
      </c>
      <c r="T718" s="109">
        <f>IF($A718="","",$K718*Config!$C$9)</f>
        <v>8</v>
      </c>
      <c r="U718" s="109">
        <f>IF($A718="","",IF(COUNTIF(Config!$C$21:$C$23,$H718)&gt;0,IFERROR(VALUE(LEFT(TRIM($Q718),FIND(" ",TRIM($Q718)&amp;" ")-1)),0),0))</f>
        <v>0</v>
      </c>
      <c r="V718" s="109">
        <f t="shared" si="132"/>
        <v>8</v>
      </c>
      <c r="W718" s="108">
        <f>IF($A718="",0,IF(AND($C718&gt;=Config!$C$7,$C718&lt;=Config!$C$8),1,0))</f>
        <v>1</v>
      </c>
      <c r="X718" s="108">
        <f>IF($A718="",0,IF(COUNTIF(Config!$C$21:$C$23,$H718)&gt;0,1,0))</f>
        <v>0</v>
      </c>
      <c r="Y718" s="108">
        <f t="shared" si="133"/>
        <v>17</v>
      </c>
      <c r="Z718" s="108" t="str">
        <f t="shared" si="134"/>
        <v/>
      </c>
      <c r="AB718" s="108">
        <f t="shared" si="135"/>
        <v>0</v>
      </c>
      <c r="AC718" s="108">
        <f>IF($A718="",0,IF(AND($AB718=1,COUNTIF($A$2:$A718,$A718)=1),1,0))</f>
        <v>0</v>
      </c>
      <c r="AD718" s="108">
        <f t="shared" si="136"/>
        <v>1</v>
      </c>
      <c r="AE718" s="108" t="str">
        <f t="shared" si="137"/>
        <v/>
      </c>
      <c r="AF718" s="108">
        <f t="shared" si="138"/>
        <v>0</v>
      </c>
      <c r="AG718" s="108">
        <f t="shared" si="139"/>
        <v>0</v>
      </c>
      <c r="AH718" s="112" t="str">
        <f t="shared" si="140"/>
        <v xml:space="preserve">L. Cardenas|20260901|Training - BPO|1.000|Reading assignment chapter 2: Real property Law, Rise quize and ELT Lessons: “Real and Personal Property 
 Foundations”
</v>
      </c>
      <c r="AI718" s="108">
        <f t="shared" si="141"/>
        <v>0</v>
      </c>
      <c r="AJ718" s="108">
        <f t="shared" si="142"/>
        <v>0</v>
      </c>
      <c r="AK718" s="108">
        <f>IF($A718="",0,IF(AND($S718=1,$W718=1,$X718=1,$U718&gt;Config!$C$9),1,0))</f>
        <v>0</v>
      </c>
      <c r="AL718" s="108">
        <f t="shared" si="143"/>
        <v>0</v>
      </c>
    </row>
    <row r="719" spans="1:38" ht="228.75" x14ac:dyDescent="0.25">
      <c r="A719" s="106" t="s">
        <v>854</v>
      </c>
      <c r="B719" s="106" t="s">
        <v>618</v>
      </c>
      <c r="C719" s="107">
        <v>46266</v>
      </c>
      <c r="D719" s="106" t="s">
        <v>623</v>
      </c>
      <c r="E719" s="106" t="s">
        <v>624</v>
      </c>
      <c r="F719" s="106" t="s">
        <v>615</v>
      </c>
      <c r="G719" s="106" t="s">
        <v>625</v>
      </c>
      <c r="H719" s="106" t="s">
        <v>819</v>
      </c>
      <c r="I719" s="106"/>
      <c r="J719" s="106" t="s">
        <v>855</v>
      </c>
      <c r="K719" s="106">
        <v>1</v>
      </c>
      <c r="L719" s="106">
        <v>0</v>
      </c>
      <c r="M719" s="106">
        <v>0</v>
      </c>
      <c r="N719" s="106"/>
      <c r="O719" s="106"/>
      <c r="P719" s="106">
        <v>0</v>
      </c>
      <c r="Q719" s="111" t="s">
        <v>1513</v>
      </c>
      <c r="S719" s="108">
        <f>IF($A719="","",COUNTIF(BPOworkers!$B$6:$B$105,$A719))</f>
        <v>0</v>
      </c>
      <c r="T719" s="109">
        <f>IF($A719="","",$K719*Config!$C$9)</f>
        <v>8</v>
      </c>
      <c r="U719" s="109">
        <f>IF($A719="","",IF(COUNTIF(Config!$C$21:$C$23,$H719)&gt;0,IFERROR(VALUE(LEFT(TRIM($Q719),FIND(" ",TRIM($Q719)&amp;" ")-1)),0),0))</f>
        <v>0</v>
      </c>
      <c r="V719" s="109">
        <f t="shared" si="132"/>
        <v>8</v>
      </c>
      <c r="W719" s="108">
        <f>IF($A719="",0,IF(AND($C719&gt;=Config!$C$7,$C719&lt;=Config!$C$8),1,0))</f>
        <v>1</v>
      </c>
      <c r="X719" s="108">
        <f>IF($A719="",0,IF(COUNTIF(Config!$C$21:$C$23,$H719)&gt;0,1,0))</f>
        <v>0</v>
      </c>
      <c r="Y719" s="108">
        <f t="shared" si="133"/>
        <v>17</v>
      </c>
      <c r="Z719" s="108" t="str">
        <f t="shared" si="134"/>
        <v/>
      </c>
      <c r="AB719" s="108">
        <f t="shared" si="135"/>
        <v>0</v>
      </c>
      <c r="AC719" s="108">
        <f>IF($A719="",0,IF(AND($AB719=1,COUNTIF($A$2:$A719,$A719)=1),1,0))</f>
        <v>0</v>
      </c>
      <c r="AD719" s="108">
        <f t="shared" si="136"/>
        <v>1</v>
      </c>
      <c r="AE719" s="108" t="str">
        <f t="shared" si="137"/>
        <v/>
      </c>
      <c r="AF719" s="108">
        <f t="shared" si="138"/>
        <v>0</v>
      </c>
      <c r="AG719" s="108">
        <f t="shared" si="139"/>
        <v>0</v>
      </c>
      <c r="AH719" s="112" t="str">
        <f t="shared" si="140"/>
        <v>L. Cardenas|20260901|Training - BPO|1.000|Chapter 2 – Real Property Law.
 Quiz Chapter 2
 ETL Lessons: “Real and Personal Property 
 Foundations”
 “Texas Inte</v>
      </c>
      <c r="AI719" s="108">
        <f t="shared" si="141"/>
        <v>0</v>
      </c>
      <c r="AJ719" s="108">
        <f t="shared" si="142"/>
        <v>0</v>
      </c>
      <c r="AK719" s="108">
        <f>IF($A719="",0,IF(AND($S719=1,$W719=1,$X719=1,$U719&gt;Config!$C$9),1,0))</f>
        <v>0</v>
      </c>
      <c r="AL719" s="108">
        <f t="shared" si="143"/>
        <v>0</v>
      </c>
    </row>
    <row r="720" spans="1:38" ht="192.75" x14ac:dyDescent="0.25">
      <c r="A720" s="106" t="s">
        <v>858</v>
      </c>
      <c r="B720" s="106" t="s">
        <v>618</v>
      </c>
      <c r="C720" s="107">
        <v>46266</v>
      </c>
      <c r="D720" s="106" t="s">
        <v>623</v>
      </c>
      <c r="E720" s="106" t="s">
        <v>624</v>
      </c>
      <c r="F720" s="106" t="s">
        <v>615</v>
      </c>
      <c r="G720" s="106" t="s">
        <v>625</v>
      </c>
      <c r="H720" s="106" t="s">
        <v>819</v>
      </c>
      <c r="I720" s="106"/>
      <c r="J720" s="106" t="s">
        <v>832</v>
      </c>
      <c r="K720" s="106">
        <v>1</v>
      </c>
      <c r="L720" s="106">
        <v>0</v>
      </c>
      <c r="M720" s="106">
        <v>0</v>
      </c>
      <c r="N720" s="106"/>
      <c r="O720" s="106"/>
      <c r="P720" s="106">
        <v>0</v>
      </c>
      <c r="Q720" s="111" t="s">
        <v>1503</v>
      </c>
      <c r="S720" s="108">
        <f>IF($A720="","",COUNTIF(BPOworkers!$B$6:$B$105,$A720))</f>
        <v>0</v>
      </c>
      <c r="T720" s="109">
        <f>IF($A720="","",$K720*Config!$C$9)</f>
        <v>8</v>
      </c>
      <c r="U720" s="109">
        <f>IF($A720="","",IF(COUNTIF(Config!$C$21:$C$23,$H720)&gt;0,IFERROR(VALUE(LEFT(TRIM($Q720),FIND(" ",TRIM($Q720)&amp;" ")-1)),0),0))</f>
        <v>0</v>
      </c>
      <c r="V720" s="109">
        <f t="shared" si="132"/>
        <v>8</v>
      </c>
      <c r="W720" s="108">
        <f>IF($A720="",0,IF(AND($C720&gt;=Config!$C$7,$C720&lt;=Config!$C$8),1,0))</f>
        <v>1</v>
      </c>
      <c r="X720" s="108">
        <f>IF($A720="",0,IF(COUNTIF(Config!$C$21:$C$23,$H720)&gt;0,1,0))</f>
        <v>0</v>
      </c>
      <c r="Y720" s="108">
        <f t="shared" si="133"/>
        <v>17</v>
      </c>
      <c r="Z720" s="108" t="str">
        <f t="shared" si="134"/>
        <v/>
      </c>
      <c r="AB720" s="108">
        <f t="shared" si="135"/>
        <v>0</v>
      </c>
      <c r="AC720" s="108">
        <f>IF($A720="",0,IF(AND($AB720=1,COUNTIF($A$2:$A720,$A720)=1),1,0))</f>
        <v>0</v>
      </c>
      <c r="AD720" s="108">
        <f t="shared" si="136"/>
        <v>1</v>
      </c>
      <c r="AE720" s="108" t="str">
        <f t="shared" si="137"/>
        <v/>
      </c>
      <c r="AF720" s="108">
        <f t="shared" si="138"/>
        <v>0</v>
      </c>
      <c r="AG720" s="108">
        <f t="shared" si="139"/>
        <v>0</v>
      </c>
      <c r="AH720" s="112" t="str">
        <f t="shared" si="140"/>
        <v>S. Torres|20260901|Training - BPO|1.000|Read the assigned pages of Chapter 2 in the AAPL Oil &amp; Gas Land Reference Volume &amp; Study Guide, then complete
 the Chapt</v>
      </c>
      <c r="AI720" s="108">
        <f t="shared" si="141"/>
        <v>0</v>
      </c>
      <c r="AJ720" s="108">
        <f t="shared" si="142"/>
        <v>0</v>
      </c>
      <c r="AK720" s="108">
        <f>IF($A720="",0,IF(AND($S720=1,$W720=1,$X720=1,$U720&gt;Config!$C$9),1,0))</f>
        <v>0</v>
      </c>
      <c r="AL720" s="108">
        <f t="shared" si="143"/>
        <v>0</v>
      </c>
    </row>
    <row r="721" spans="1:38" x14ac:dyDescent="0.25">
      <c r="A721" s="106" t="s">
        <v>859</v>
      </c>
      <c r="B721" s="106" t="s">
        <v>618</v>
      </c>
      <c r="C721" s="107">
        <v>46266</v>
      </c>
      <c r="D721" s="106" t="s">
        <v>623</v>
      </c>
      <c r="E721" s="106" t="s">
        <v>624</v>
      </c>
      <c r="F721" s="106" t="s">
        <v>615</v>
      </c>
      <c r="G721" s="106" t="s">
        <v>625</v>
      </c>
      <c r="H721" s="106" t="s">
        <v>819</v>
      </c>
      <c r="I721" s="106" t="s">
        <v>831</v>
      </c>
      <c r="J721" s="106" t="s">
        <v>823</v>
      </c>
      <c r="K721" s="106">
        <v>1</v>
      </c>
      <c r="L721" s="106">
        <v>0</v>
      </c>
      <c r="M721" s="106">
        <v>0</v>
      </c>
      <c r="N721" s="106"/>
      <c r="O721" s="106"/>
      <c r="P721" s="106">
        <v>0</v>
      </c>
      <c r="Q721" s="106" t="s">
        <v>1514</v>
      </c>
      <c r="S721" s="108">
        <f>IF($A721="","",COUNTIF(BPOworkers!$B$6:$B$105,$A721))</f>
        <v>0</v>
      </c>
      <c r="T721" s="109">
        <f>IF($A721="","",$K721*Config!$C$9)</f>
        <v>8</v>
      </c>
      <c r="U721" s="109">
        <f>IF($A721="","",IF(COUNTIF(Config!$C$21:$C$23,$H721)&gt;0,IFERROR(VALUE(LEFT(TRIM($Q721),FIND(" ",TRIM($Q721)&amp;" ")-1)),0),0))</f>
        <v>0</v>
      </c>
      <c r="V721" s="109">
        <f t="shared" si="132"/>
        <v>8</v>
      </c>
      <c r="W721" s="108">
        <f>IF($A721="",0,IF(AND($C721&gt;=Config!$C$7,$C721&lt;=Config!$C$8),1,0))</f>
        <v>1</v>
      </c>
      <c r="X721" s="108">
        <f>IF($A721="",0,IF(COUNTIF(Config!$C$21:$C$23,$H721)&gt;0,1,0))</f>
        <v>0</v>
      </c>
      <c r="Y721" s="108">
        <f t="shared" si="133"/>
        <v>17</v>
      </c>
      <c r="Z721" s="108" t="str">
        <f t="shared" si="134"/>
        <v/>
      </c>
      <c r="AB721" s="108">
        <f t="shared" si="135"/>
        <v>0</v>
      </c>
      <c r="AC721" s="108">
        <f>IF($A721="",0,IF(AND($AB721=1,COUNTIF($A$2:$A721,$A721)=1),1,0))</f>
        <v>0</v>
      </c>
      <c r="AD721" s="108">
        <f t="shared" si="136"/>
        <v>1</v>
      </c>
      <c r="AE721" s="108" t="str">
        <f t="shared" si="137"/>
        <v/>
      </c>
      <c r="AF721" s="108">
        <f t="shared" si="138"/>
        <v>0</v>
      </c>
      <c r="AG721" s="108">
        <f t="shared" si="139"/>
        <v>0</v>
      </c>
      <c r="AH721" s="110" t="str">
        <f t="shared" si="140"/>
        <v>N. Parra|20260901|Training - BPO|1.000|Reading of "Chapter 2 - Real Property Law" from the AAPL Oil &amp; Gas Land Reference Volume &amp; Study Guide</v>
      </c>
      <c r="AI721" s="108">
        <f t="shared" si="141"/>
        <v>0</v>
      </c>
      <c r="AJ721" s="108">
        <f t="shared" si="142"/>
        <v>0</v>
      </c>
      <c r="AK721" s="108">
        <f>IF($A721="",0,IF(AND($S721=1,$W721=1,$X721=1,$U721&gt;Config!$C$9),1,0))</f>
        <v>0</v>
      </c>
      <c r="AL721" s="108">
        <f t="shared" si="143"/>
        <v>0</v>
      </c>
    </row>
    <row r="722" spans="1:38" x14ac:dyDescent="0.25">
      <c r="A722" s="106" t="s">
        <v>613</v>
      </c>
      <c r="B722" s="106" t="s">
        <v>618</v>
      </c>
      <c r="C722" s="107">
        <v>46265</v>
      </c>
      <c r="D722" s="106" t="s">
        <v>712</v>
      </c>
      <c r="E722" s="106" t="s">
        <v>713</v>
      </c>
      <c r="F722" s="106" t="s">
        <v>714</v>
      </c>
      <c r="G722" s="106" t="s">
        <v>715</v>
      </c>
      <c r="H722" s="106" t="s">
        <v>631</v>
      </c>
      <c r="I722" s="106"/>
      <c r="J722" s="106" t="s">
        <v>1349</v>
      </c>
      <c r="K722" s="106">
        <v>1</v>
      </c>
      <c r="L722" s="106">
        <v>0</v>
      </c>
      <c r="M722" s="106">
        <v>0</v>
      </c>
      <c r="N722" s="106"/>
      <c r="O722" s="106"/>
      <c r="P722" s="106">
        <v>0</v>
      </c>
      <c r="Q722" s="106" t="s">
        <v>1515</v>
      </c>
      <c r="S722" s="108">
        <f>IF($A722="","",COUNTIF(BPOworkers!$B$6:$B$105,$A722))</f>
        <v>0</v>
      </c>
      <c r="T722" s="109">
        <f>IF($A722="","",$K722*Config!$C$9)</f>
        <v>8</v>
      </c>
      <c r="U722" s="109">
        <f>IF($A722="","",IF(COUNTIF(Config!$C$21:$C$23,$H722)&gt;0,IFERROR(VALUE(LEFT(TRIM($Q722),FIND(" ",TRIM($Q722)&amp;" ")-1)),0),0))</f>
        <v>0</v>
      </c>
      <c r="V722" s="109">
        <f t="shared" si="132"/>
        <v>8</v>
      </c>
      <c r="W722" s="108">
        <f>IF($A722="",0,IF(AND($C722&gt;=Config!$C$7,$C722&lt;=Config!$C$8),1,0))</f>
        <v>1</v>
      </c>
      <c r="X722" s="108">
        <f>IF($A722="",0,IF(COUNTIF(Config!$C$21:$C$23,$H722)&gt;0,1,0))</f>
        <v>0</v>
      </c>
      <c r="Y722" s="108">
        <f t="shared" si="133"/>
        <v>17</v>
      </c>
      <c r="Z722" s="108" t="str">
        <f t="shared" si="134"/>
        <v/>
      </c>
      <c r="AB722" s="108">
        <f t="shared" si="135"/>
        <v>0</v>
      </c>
      <c r="AC722" s="108">
        <f>IF($A722="",0,IF(AND($AB722=1,COUNTIF($A$2:$A722,$A722)=1),1,0))</f>
        <v>0</v>
      </c>
      <c r="AD722" s="108">
        <f t="shared" si="136"/>
        <v>1</v>
      </c>
      <c r="AE722" s="108" t="str">
        <f t="shared" si="137"/>
        <v/>
      </c>
      <c r="AF722" s="108">
        <f t="shared" si="138"/>
        <v>0</v>
      </c>
      <c r="AG722" s="108">
        <f t="shared" si="139"/>
        <v>0</v>
      </c>
      <c r="AH722" s="110" t="str">
        <f t="shared" si="140"/>
        <v>V. Toran|20260831|Title|1.000|16 docs added (multiple docs per instrument); 345 docs viewed during indexing (many M&amp;B descriptions of land); meeting w</v>
      </c>
      <c r="AI722" s="108">
        <f t="shared" si="141"/>
        <v>0</v>
      </c>
      <c r="AJ722" s="108">
        <f t="shared" si="142"/>
        <v>0</v>
      </c>
      <c r="AK722" s="108">
        <f>IF($A722="",0,IF(AND($S722=1,$W722=1,$X722=1,$U722&gt;Config!$C$9),1,0))</f>
        <v>0</v>
      </c>
      <c r="AL722" s="108">
        <f t="shared" si="143"/>
        <v>0</v>
      </c>
    </row>
    <row r="723" spans="1:38" x14ac:dyDescent="0.25">
      <c r="A723" s="106" t="s">
        <v>869</v>
      </c>
      <c r="B723" s="106" t="s">
        <v>618</v>
      </c>
      <c r="C723" s="107">
        <v>46265</v>
      </c>
      <c r="D723" s="106" t="s">
        <v>628</v>
      </c>
      <c r="E723" s="106" t="s">
        <v>629</v>
      </c>
      <c r="F723" s="106" t="s">
        <v>630</v>
      </c>
      <c r="G723" s="106" t="s">
        <v>873</v>
      </c>
      <c r="H723" s="106" t="s">
        <v>656</v>
      </c>
      <c r="I723" s="106"/>
      <c r="J723" s="106"/>
      <c r="K723" s="106">
        <v>0.5</v>
      </c>
      <c r="L723" s="106">
        <v>0</v>
      </c>
      <c r="M723" s="106">
        <v>0</v>
      </c>
      <c r="N723" s="106"/>
      <c r="O723" s="106"/>
      <c r="P723" s="106">
        <v>0</v>
      </c>
      <c r="Q723" s="106" t="s">
        <v>1516</v>
      </c>
      <c r="S723" s="108">
        <f>IF($A723="","",COUNTIF(BPOworkers!$B$6:$B$105,$A723))</f>
        <v>0</v>
      </c>
      <c r="T723" s="109">
        <f>IF($A723="","",$K723*Config!$C$9)</f>
        <v>4</v>
      </c>
      <c r="U723" s="109">
        <f>IF($A723="","",IF(COUNTIF(Config!$C$21:$C$23,$H723)&gt;0,IFERROR(VALUE(LEFT(TRIM($Q723),FIND(" ",TRIM($Q723)&amp;" ")-1)),0),0))</f>
        <v>0</v>
      </c>
      <c r="V723" s="109">
        <f t="shared" si="132"/>
        <v>4</v>
      </c>
      <c r="W723" s="108">
        <f>IF($A723="",0,IF(AND($C723&gt;=Config!$C$7,$C723&lt;=Config!$C$8),1,0))</f>
        <v>1</v>
      </c>
      <c r="X723" s="108">
        <f>IF($A723="",0,IF(COUNTIF(Config!$C$21:$C$23,$H723)&gt;0,1,0))</f>
        <v>0</v>
      </c>
      <c r="Y723" s="108">
        <f t="shared" si="133"/>
        <v>17</v>
      </c>
      <c r="Z723" s="108" t="str">
        <f t="shared" si="134"/>
        <v/>
      </c>
      <c r="AB723" s="108">
        <f t="shared" si="135"/>
        <v>0</v>
      </c>
      <c r="AC723" s="108">
        <f>IF($A723="",0,IF(AND($AB723=1,COUNTIF($A$2:$A723,$A723)=1),1,0))</f>
        <v>0</v>
      </c>
      <c r="AD723" s="108">
        <f t="shared" si="136"/>
        <v>1</v>
      </c>
      <c r="AE723" s="108" t="str">
        <f t="shared" si="137"/>
        <v/>
      </c>
      <c r="AF723" s="108">
        <f t="shared" si="138"/>
        <v>0</v>
      </c>
      <c r="AG723" s="108">
        <f t="shared" si="139"/>
        <v>0</v>
      </c>
      <c r="AH723" s="110" t="str">
        <f t="shared" si="140"/>
        <v>K. Mainard|20260831|Project Management|0.500|On-board team to start uploading reports, analyze additional data, and set up project materials</v>
      </c>
      <c r="AI723" s="108">
        <f t="shared" si="141"/>
        <v>0</v>
      </c>
      <c r="AJ723" s="108">
        <f t="shared" si="142"/>
        <v>0</v>
      </c>
      <c r="AK723" s="108">
        <f>IF($A723="",0,IF(AND($S723=1,$W723=1,$X723=1,$U723&gt;Config!$C$9),1,0))</f>
        <v>0</v>
      </c>
      <c r="AL723" s="108">
        <f t="shared" si="143"/>
        <v>0</v>
      </c>
    </row>
    <row r="724" spans="1:38" x14ac:dyDescent="0.25">
      <c r="A724" s="106" t="s">
        <v>869</v>
      </c>
      <c r="B724" s="106" t="s">
        <v>618</v>
      </c>
      <c r="C724" s="107">
        <v>46265</v>
      </c>
      <c r="D724" s="106" t="s">
        <v>680</v>
      </c>
      <c r="E724" s="106" t="s">
        <v>1517</v>
      </c>
      <c r="F724" s="106" t="s">
        <v>1518</v>
      </c>
      <c r="G724" s="106" t="s">
        <v>1519</v>
      </c>
      <c r="H724" s="106" t="s">
        <v>639</v>
      </c>
      <c r="I724" s="106"/>
      <c r="J724" s="106"/>
      <c r="K724" s="106">
        <v>0.25</v>
      </c>
      <c r="L724" s="106">
        <v>0</v>
      </c>
      <c r="M724" s="106">
        <v>0</v>
      </c>
      <c r="N724" s="106"/>
      <c r="O724" s="106"/>
      <c r="P724" s="106">
        <v>0</v>
      </c>
      <c r="Q724" s="106" t="s">
        <v>1520</v>
      </c>
      <c r="S724" s="108">
        <f>IF($A724="","",COUNTIF(BPOworkers!$B$6:$B$105,$A724))</f>
        <v>0</v>
      </c>
      <c r="T724" s="109">
        <f>IF($A724="","",$K724*Config!$C$9)</f>
        <v>2</v>
      </c>
      <c r="U724" s="109">
        <f>IF($A724="","",IF(COUNTIF(Config!$C$21:$C$23,$H724)&gt;0,IFERROR(VALUE(LEFT(TRIM($Q724),FIND(" ",TRIM($Q724)&amp;" ")-1)),0),0))</f>
        <v>0</v>
      </c>
      <c r="V724" s="109">
        <f t="shared" si="132"/>
        <v>2</v>
      </c>
      <c r="W724" s="108">
        <f>IF($A724="",0,IF(AND($C724&gt;=Config!$C$7,$C724&lt;=Config!$C$8),1,0))</f>
        <v>1</v>
      </c>
      <c r="X724" s="108">
        <f>IF($A724="",0,IF(COUNTIF(Config!$C$21:$C$23,$H724)&gt;0,1,0))</f>
        <v>0</v>
      </c>
      <c r="Y724" s="108">
        <f t="shared" si="133"/>
        <v>17</v>
      </c>
      <c r="Z724" s="108" t="str">
        <f t="shared" si="134"/>
        <v/>
      </c>
      <c r="AB724" s="108">
        <f t="shared" si="135"/>
        <v>0</v>
      </c>
      <c r="AC724" s="108">
        <f>IF($A724="",0,IF(AND($AB724=1,COUNTIF($A$2:$A724,$A724)=1),1,0))</f>
        <v>0</v>
      </c>
      <c r="AD724" s="108">
        <f t="shared" si="136"/>
        <v>1</v>
      </c>
      <c r="AE724" s="108" t="str">
        <f t="shared" si="137"/>
        <v/>
      </c>
      <c r="AF724" s="108">
        <f t="shared" si="138"/>
        <v>0</v>
      </c>
      <c r="AG724" s="108">
        <f t="shared" si="139"/>
        <v>0</v>
      </c>
      <c r="AH724" s="110" t="str">
        <f t="shared" si="140"/>
        <v>K. Mainard|20260831|Review|0.250|Reviewed ORRI</v>
      </c>
      <c r="AI724" s="108">
        <f t="shared" si="141"/>
        <v>0</v>
      </c>
      <c r="AJ724" s="108">
        <f t="shared" si="142"/>
        <v>0</v>
      </c>
      <c r="AK724" s="108">
        <f>IF($A724="",0,IF(AND($S724=1,$W724=1,$X724=1,$U724&gt;Config!$C$9),1,0))</f>
        <v>0</v>
      </c>
      <c r="AL724" s="108">
        <f t="shared" si="143"/>
        <v>0</v>
      </c>
    </row>
    <row r="725" spans="1:38" x14ac:dyDescent="0.25">
      <c r="A725" s="106" t="s">
        <v>869</v>
      </c>
      <c r="B725" s="106" t="s">
        <v>618</v>
      </c>
      <c r="C725" s="107">
        <v>46265</v>
      </c>
      <c r="D725" s="106" t="s">
        <v>694</v>
      </c>
      <c r="E725" s="106" t="s">
        <v>862</v>
      </c>
      <c r="F725" s="106" t="s">
        <v>766</v>
      </c>
      <c r="G725" s="106" t="s">
        <v>873</v>
      </c>
      <c r="H725" s="106" t="s">
        <v>656</v>
      </c>
      <c r="I725" s="106"/>
      <c r="J725" s="106"/>
      <c r="K725" s="106">
        <v>0.125</v>
      </c>
      <c r="L725" s="106">
        <v>0</v>
      </c>
      <c r="M725" s="106">
        <v>0</v>
      </c>
      <c r="N725" s="106"/>
      <c r="O725" s="106"/>
      <c r="P725" s="106">
        <v>0</v>
      </c>
      <c r="Q725" s="106" t="s">
        <v>1521</v>
      </c>
      <c r="S725" s="108">
        <f>IF($A725="","",COUNTIF(BPOworkers!$B$6:$B$105,$A725))</f>
        <v>0</v>
      </c>
      <c r="T725" s="109">
        <f>IF($A725="","",$K725*Config!$C$9)</f>
        <v>1</v>
      </c>
      <c r="U725" s="109">
        <f>IF($A725="","",IF(COUNTIF(Config!$C$21:$C$23,$H725)&gt;0,IFERROR(VALUE(LEFT(TRIM($Q725),FIND(" ",TRIM($Q725)&amp;" ")-1)),0),0))</f>
        <v>0</v>
      </c>
      <c r="V725" s="109">
        <f t="shared" si="132"/>
        <v>1</v>
      </c>
      <c r="W725" s="108">
        <f>IF($A725="",0,IF(AND($C725&gt;=Config!$C$7,$C725&lt;=Config!$C$8),1,0))</f>
        <v>1</v>
      </c>
      <c r="X725" s="108">
        <f>IF($A725="",0,IF(COUNTIF(Config!$C$21:$C$23,$H725)&gt;0,1,0))</f>
        <v>0</v>
      </c>
      <c r="Y725" s="108">
        <f t="shared" si="133"/>
        <v>17</v>
      </c>
      <c r="Z725" s="108" t="str">
        <f t="shared" si="134"/>
        <v/>
      </c>
      <c r="AB725" s="108">
        <f t="shared" si="135"/>
        <v>0</v>
      </c>
      <c r="AC725" s="108">
        <f>IF($A725="",0,IF(AND($AB725=1,COUNTIF($A$2:$A725,$A725)=1),1,0))</f>
        <v>0</v>
      </c>
      <c r="AD725" s="108">
        <f t="shared" si="136"/>
        <v>1</v>
      </c>
      <c r="AE725" s="108" t="str">
        <f t="shared" si="137"/>
        <v/>
      </c>
      <c r="AF725" s="108">
        <f t="shared" si="138"/>
        <v>0</v>
      </c>
      <c r="AG725" s="108">
        <f t="shared" si="139"/>
        <v>0</v>
      </c>
      <c r="AH725" s="110" t="str">
        <f t="shared" si="140"/>
        <v>K. Mainard|20260831|Project Management|0.125|Answered landman questions</v>
      </c>
      <c r="AI725" s="108">
        <f t="shared" si="141"/>
        <v>0</v>
      </c>
      <c r="AJ725" s="108">
        <f t="shared" si="142"/>
        <v>0</v>
      </c>
      <c r="AK725" s="108">
        <f>IF($A725="",0,IF(AND($S725=1,$W725=1,$X725=1,$U725&gt;Config!$C$9),1,0))</f>
        <v>0</v>
      </c>
      <c r="AL725" s="108">
        <f t="shared" si="143"/>
        <v>0</v>
      </c>
    </row>
    <row r="726" spans="1:38" x14ac:dyDescent="0.25">
      <c r="A726" s="106" t="s">
        <v>869</v>
      </c>
      <c r="B726" s="106" t="s">
        <v>618</v>
      </c>
      <c r="C726" s="107">
        <v>46265</v>
      </c>
      <c r="D726" s="106" t="s">
        <v>694</v>
      </c>
      <c r="E726" s="106" t="s">
        <v>695</v>
      </c>
      <c r="F726" s="106" t="s">
        <v>696</v>
      </c>
      <c r="G726" s="106" t="s">
        <v>1211</v>
      </c>
      <c r="H726" s="106" t="s">
        <v>656</v>
      </c>
      <c r="I726" s="106"/>
      <c r="J726" s="106"/>
      <c r="K726" s="106">
        <v>0.125</v>
      </c>
      <c r="L726" s="106">
        <v>0</v>
      </c>
      <c r="M726" s="106">
        <v>0</v>
      </c>
      <c r="N726" s="106"/>
      <c r="O726" s="106"/>
      <c r="P726" s="106">
        <v>0</v>
      </c>
      <c r="Q726" s="106" t="s">
        <v>1521</v>
      </c>
      <c r="S726" s="108">
        <f>IF($A726="","",COUNTIF(BPOworkers!$B$6:$B$105,$A726))</f>
        <v>0</v>
      </c>
      <c r="T726" s="109">
        <f>IF($A726="","",$K726*Config!$C$9)</f>
        <v>1</v>
      </c>
      <c r="U726" s="109">
        <f>IF($A726="","",IF(COUNTIF(Config!$C$21:$C$23,$H726)&gt;0,IFERROR(VALUE(LEFT(TRIM($Q726),FIND(" ",TRIM($Q726)&amp;" ")-1)),0),0))</f>
        <v>0</v>
      </c>
      <c r="V726" s="109">
        <f t="shared" si="132"/>
        <v>1</v>
      </c>
      <c r="W726" s="108">
        <f>IF($A726="",0,IF(AND($C726&gt;=Config!$C$7,$C726&lt;=Config!$C$8),1,0))</f>
        <v>1</v>
      </c>
      <c r="X726" s="108">
        <f>IF($A726="",0,IF(COUNTIF(Config!$C$21:$C$23,$H726)&gt;0,1,0))</f>
        <v>0</v>
      </c>
      <c r="Y726" s="108">
        <f t="shared" si="133"/>
        <v>17</v>
      </c>
      <c r="Z726" s="108" t="str">
        <f t="shared" si="134"/>
        <v/>
      </c>
      <c r="AB726" s="108">
        <f t="shared" si="135"/>
        <v>0</v>
      </c>
      <c r="AC726" s="108">
        <f>IF($A726="",0,IF(AND($AB726=1,COUNTIF($A$2:$A726,$A726)=1),1,0))</f>
        <v>0</v>
      </c>
      <c r="AD726" s="108">
        <f t="shared" si="136"/>
        <v>1</v>
      </c>
      <c r="AE726" s="108" t="str">
        <f t="shared" si="137"/>
        <v/>
      </c>
      <c r="AF726" s="108">
        <f t="shared" si="138"/>
        <v>0</v>
      </c>
      <c r="AG726" s="108">
        <f t="shared" si="139"/>
        <v>0</v>
      </c>
      <c r="AH726" s="110" t="str">
        <f t="shared" si="140"/>
        <v>K. Mainard|20260831|Project Management|0.125|Answered landman questions</v>
      </c>
      <c r="AI726" s="108">
        <f t="shared" si="141"/>
        <v>0</v>
      </c>
      <c r="AJ726" s="108">
        <f t="shared" si="142"/>
        <v>0</v>
      </c>
      <c r="AK726" s="108">
        <f>IF($A726="",0,IF(AND($S726=1,$W726=1,$X726=1,$U726&gt;Config!$C$9),1,0))</f>
        <v>0</v>
      </c>
      <c r="AL726" s="108">
        <f t="shared" si="143"/>
        <v>0</v>
      </c>
    </row>
    <row r="727" spans="1:38" x14ac:dyDescent="0.25">
      <c r="A727" s="106" t="s">
        <v>617</v>
      </c>
      <c r="B727" s="106" t="s">
        <v>618</v>
      </c>
      <c r="C727" s="107">
        <v>46265</v>
      </c>
      <c r="D727" s="106" t="s">
        <v>881</v>
      </c>
      <c r="E727" s="106" t="s">
        <v>906</v>
      </c>
      <c r="F727" s="106" t="s">
        <v>1085</v>
      </c>
      <c r="G727" s="106" t="s">
        <v>1213</v>
      </c>
      <c r="H727" s="106" t="s">
        <v>639</v>
      </c>
      <c r="I727" s="106"/>
      <c r="J727" s="106"/>
      <c r="K727" s="106">
        <v>0.5</v>
      </c>
      <c r="L727" s="106">
        <v>0</v>
      </c>
      <c r="M727" s="106">
        <v>0</v>
      </c>
      <c r="N727" s="106"/>
      <c r="O727" s="106"/>
      <c r="P727" s="106">
        <v>0</v>
      </c>
      <c r="Q727" s="106" t="s">
        <v>1522</v>
      </c>
      <c r="S727" s="108">
        <f>IF($A727="","",COUNTIF(BPOworkers!$B$6:$B$105,$A727))</f>
        <v>0</v>
      </c>
      <c r="T727" s="109">
        <f>IF($A727="","",$K727*Config!$C$9)</f>
        <v>4</v>
      </c>
      <c r="U727" s="109">
        <f>IF($A727="","",IF(COUNTIF(Config!$C$21:$C$23,$H727)&gt;0,IFERROR(VALUE(LEFT(TRIM($Q727),FIND(" ",TRIM($Q727)&amp;" ")-1)),0),0))</f>
        <v>0</v>
      </c>
      <c r="V727" s="109">
        <f t="shared" si="132"/>
        <v>4</v>
      </c>
      <c r="W727" s="108">
        <f>IF($A727="",0,IF(AND($C727&gt;=Config!$C$7,$C727&lt;=Config!$C$8),1,0))</f>
        <v>1</v>
      </c>
      <c r="X727" s="108">
        <f>IF($A727="",0,IF(COUNTIF(Config!$C$21:$C$23,$H727)&gt;0,1,0))</f>
        <v>0</v>
      </c>
      <c r="Y727" s="108">
        <f t="shared" si="133"/>
        <v>17</v>
      </c>
      <c r="Z727" s="108" t="str">
        <f t="shared" si="134"/>
        <v/>
      </c>
      <c r="AB727" s="108">
        <f t="shared" si="135"/>
        <v>0</v>
      </c>
      <c r="AC727" s="108">
        <f>IF($A727="",0,IF(AND($AB727=1,COUNTIF($A$2:$A727,$A727)=1),1,0))</f>
        <v>0</v>
      </c>
      <c r="AD727" s="108">
        <f t="shared" si="136"/>
        <v>1</v>
      </c>
      <c r="AE727" s="108" t="str">
        <f t="shared" si="137"/>
        <v/>
      </c>
      <c r="AF727" s="108">
        <f t="shared" si="138"/>
        <v>0</v>
      </c>
      <c r="AG727" s="108">
        <f t="shared" si="139"/>
        <v>0</v>
      </c>
      <c r="AH727" s="110" t="str">
        <f t="shared" si="140"/>
        <v>P. Tamez|20260831|Review|0.500|Reviewing AOI for alignment with TLS best practices and standards.</v>
      </c>
      <c r="AI727" s="108">
        <f t="shared" si="141"/>
        <v>0</v>
      </c>
      <c r="AJ727" s="108">
        <f t="shared" si="142"/>
        <v>0</v>
      </c>
      <c r="AK727" s="108">
        <f>IF($A727="",0,IF(AND($S727=1,$W727=1,$X727=1,$U727&gt;Config!$C$9),1,0))</f>
        <v>0</v>
      </c>
      <c r="AL727" s="108">
        <f t="shared" si="143"/>
        <v>0</v>
      </c>
    </row>
    <row r="728" spans="1:38" x14ac:dyDescent="0.25">
      <c r="A728" s="106" t="s">
        <v>617</v>
      </c>
      <c r="B728" s="106" t="s">
        <v>618</v>
      </c>
      <c r="C728" s="107">
        <v>46265</v>
      </c>
      <c r="D728" s="106" t="s">
        <v>720</v>
      </c>
      <c r="E728" s="106" t="s">
        <v>721</v>
      </c>
      <c r="F728" s="106" t="s">
        <v>722</v>
      </c>
      <c r="G728" s="106" t="s">
        <v>933</v>
      </c>
      <c r="H728" s="106" t="s">
        <v>656</v>
      </c>
      <c r="I728" s="106"/>
      <c r="J728" s="106"/>
      <c r="K728" s="106">
        <v>0.5</v>
      </c>
      <c r="L728" s="106">
        <v>0</v>
      </c>
      <c r="M728" s="106">
        <v>0</v>
      </c>
      <c r="N728" s="106"/>
      <c r="O728" s="106"/>
      <c r="P728" s="106">
        <v>0</v>
      </c>
      <c r="Q728" s="106" t="s">
        <v>1523</v>
      </c>
      <c r="S728" s="108">
        <f>IF($A728="","",COUNTIF(BPOworkers!$B$6:$B$105,$A728))</f>
        <v>0</v>
      </c>
      <c r="T728" s="109">
        <f>IF($A728="","",$K728*Config!$C$9)</f>
        <v>4</v>
      </c>
      <c r="U728" s="109">
        <f>IF($A728="","",IF(COUNTIF(Config!$C$21:$C$23,$H728)&gt;0,IFERROR(VALUE(LEFT(TRIM($Q728),FIND(" ",TRIM($Q728)&amp;" ")-1)),0),0))</f>
        <v>0</v>
      </c>
      <c r="V728" s="109">
        <f t="shared" si="132"/>
        <v>4</v>
      </c>
      <c r="W728" s="108">
        <f>IF($A728="",0,IF(AND($C728&gt;=Config!$C$7,$C728&lt;=Config!$C$8),1,0))</f>
        <v>1</v>
      </c>
      <c r="X728" s="108">
        <f>IF($A728="",0,IF(COUNTIF(Config!$C$21:$C$23,$H728)&gt;0,1,0))</f>
        <v>0</v>
      </c>
      <c r="Y728" s="108">
        <f t="shared" si="133"/>
        <v>17</v>
      </c>
      <c r="Z728" s="108" t="str">
        <f t="shared" si="134"/>
        <v/>
      </c>
      <c r="AB728" s="108">
        <f t="shared" si="135"/>
        <v>0</v>
      </c>
      <c r="AC728" s="108">
        <f>IF($A728="",0,IF(AND($AB728=1,COUNTIF($A$2:$A728,$A728)=1),1,0))</f>
        <v>0</v>
      </c>
      <c r="AD728" s="108">
        <f t="shared" si="136"/>
        <v>1</v>
      </c>
      <c r="AE728" s="108" t="str">
        <f t="shared" si="137"/>
        <v/>
      </c>
      <c r="AF728" s="108">
        <f t="shared" si="138"/>
        <v>0</v>
      </c>
      <c r="AG728" s="108">
        <f t="shared" si="139"/>
        <v>0</v>
      </c>
      <c r="AH728" s="110" t="str">
        <f t="shared" si="140"/>
        <v>P. Tamez|20260831|Project Management|0.500|Project onboarding and setup, including creation and organization of the project in Asana, Tracts, and BTABs; setup of s</v>
      </c>
      <c r="AI728" s="108">
        <f t="shared" si="141"/>
        <v>0</v>
      </c>
      <c r="AJ728" s="108">
        <f t="shared" si="142"/>
        <v>0</v>
      </c>
      <c r="AK728" s="108">
        <f>IF($A728="",0,IF(AND($S728=1,$W728=1,$X728=1,$U728&gt;Config!$C$9),1,0))</f>
        <v>0</v>
      </c>
      <c r="AL728" s="108">
        <f t="shared" si="143"/>
        <v>0</v>
      </c>
    </row>
    <row r="729" spans="1:38" x14ac:dyDescent="0.25">
      <c r="A729" s="106" t="s">
        <v>620</v>
      </c>
      <c r="B729" s="106" t="s">
        <v>618</v>
      </c>
      <c r="C729" s="107">
        <v>46265</v>
      </c>
      <c r="D729" s="106" t="s">
        <v>885</v>
      </c>
      <c r="E729" s="106" t="s">
        <v>773</v>
      </c>
      <c r="F729" s="106" t="s">
        <v>886</v>
      </c>
      <c r="G729" s="106" t="s">
        <v>1217</v>
      </c>
      <c r="H729" s="106" t="s">
        <v>639</v>
      </c>
      <c r="I729" s="106"/>
      <c r="J729" s="106"/>
      <c r="K729" s="106">
        <v>0.75</v>
      </c>
      <c r="L729" s="106">
        <v>0</v>
      </c>
      <c r="M729" s="106">
        <v>0</v>
      </c>
      <c r="N729" s="106"/>
      <c r="O729" s="106"/>
      <c r="P729" s="106">
        <v>0</v>
      </c>
      <c r="Q729" s="106" t="s">
        <v>1524</v>
      </c>
      <c r="S729" s="108">
        <f>IF($A729="","",COUNTIF(BPOworkers!$B$6:$B$105,$A729))</f>
        <v>0</v>
      </c>
      <c r="T729" s="109">
        <f>IF($A729="","",$K729*Config!$C$9)</f>
        <v>6</v>
      </c>
      <c r="U729" s="109">
        <f>IF($A729="","",IF(COUNTIF(Config!$C$21:$C$23,$H729)&gt;0,IFERROR(VALUE(LEFT(TRIM($Q729),FIND(" ",TRIM($Q729)&amp;" ")-1)),0),0))</f>
        <v>0</v>
      </c>
      <c r="V729" s="109">
        <f t="shared" si="132"/>
        <v>6</v>
      </c>
      <c r="W729" s="108">
        <f>IF($A729="",0,IF(AND($C729&gt;=Config!$C$7,$C729&lt;=Config!$C$8),1,0))</f>
        <v>1</v>
      </c>
      <c r="X729" s="108">
        <f>IF($A729="",0,IF(COUNTIF(Config!$C$21:$C$23,$H729)&gt;0,1,0))</f>
        <v>0</v>
      </c>
      <c r="Y729" s="108">
        <f t="shared" si="133"/>
        <v>17</v>
      </c>
      <c r="Z729" s="108" t="str">
        <f t="shared" si="134"/>
        <v/>
      </c>
      <c r="AB729" s="108">
        <f t="shared" si="135"/>
        <v>0</v>
      </c>
      <c r="AC729" s="108">
        <f>IF($A729="",0,IF(AND($AB729=1,COUNTIF($A$2:$A729,$A729)=1),1,0))</f>
        <v>0</v>
      </c>
      <c r="AD729" s="108">
        <f t="shared" si="136"/>
        <v>1</v>
      </c>
      <c r="AE729" s="108" t="str">
        <f t="shared" si="137"/>
        <v/>
      </c>
      <c r="AF729" s="108">
        <f t="shared" si="138"/>
        <v>0</v>
      </c>
      <c r="AG729" s="108">
        <f t="shared" si="139"/>
        <v>0</v>
      </c>
      <c r="AH729" s="110" t="str">
        <f t="shared" si="140"/>
        <v>I. Rice|20260831|Review|0.750|Continue to review notecards and AOI entries and update common title AOI. Meeting with project manager.</v>
      </c>
      <c r="AI729" s="108">
        <f t="shared" si="141"/>
        <v>0</v>
      </c>
      <c r="AJ729" s="108">
        <f t="shared" si="142"/>
        <v>0</v>
      </c>
      <c r="AK729" s="108">
        <f>IF($A729="",0,IF(AND($S729=1,$W729=1,$X729=1,$U729&gt;Config!$C$9),1,0))</f>
        <v>0</v>
      </c>
      <c r="AL729" s="108">
        <f t="shared" si="143"/>
        <v>0</v>
      </c>
    </row>
    <row r="730" spans="1:38" x14ac:dyDescent="0.25">
      <c r="A730" s="106" t="s">
        <v>620</v>
      </c>
      <c r="B730" s="106" t="s">
        <v>618</v>
      </c>
      <c r="C730" s="107">
        <v>46265</v>
      </c>
      <c r="D730" s="106" t="s">
        <v>885</v>
      </c>
      <c r="E730" s="106" t="s">
        <v>773</v>
      </c>
      <c r="F730" s="106" t="s">
        <v>886</v>
      </c>
      <c r="G730" s="106" t="s">
        <v>1074</v>
      </c>
      <c r="H730" s="106" t="s">
        <v>639</v>
      </c>
      <c r="I730" s="106"/>
      <c r="J730" s="106"/>
      <c r="K730" s="106">
        <v>0.25</v>
      </c>
      <c r="L730" s="106">
        <v>0</v>
      </c>
      <c r="M730" s="106">
        <v>0</v>
      </c>
      <c r="N730" s="106"/>
      <c r="O730" s="106"/>
      <c r="P730" s="106">
        <v>0</v>
      </c>
      <c r="Q730" s="106" t="s">
        <v>1524</v>
      </c>
      <c r="S730" s="108">
        <f>IF($A730="","",COUNTIF(BPOworkers!$B$6:$B$105,$A730))</f>
        <v>0</v>
      </c>
      <c r="T730" s="109">
        <f>IF($A730="","",$K730*Config!$C$9)</f>
        <v>2</v>
      </c>
      <c r="U730" s="109">
        <f>IF($A730="","",IF(COUNTIF(Config!$C$21:$C$23,$H730)&gt;0,IFERROR(VALUE(LEFT(TRIM($Q730),FIND(" ",TRIM($Q730)&amp;" ")-1)),0),0))</f>
        <v>0</v>
      </c>
      <c r="V730" s="109">
        <f t="shared" si="132"/>
        <v>2</v>
      </c>
      <c r="W730" s="108">
        <f>IF($A730="",0,IF(AND($C730&gt;=Config!$C$7,$C730&lt;=Config!$C$8),1,0))</f>
        <v>1</v>
      </c>
      <c r="X730" s="108">
        <f>IF($A730="",0,IF(COUNTIF(Config!$C$21:$C$23,$H730)&gt;0,1,0))</f>
        <v>0</v>
      </c>
      <c r="Y730" s="108">
        <f t="shared" si="133"/>
        <v>17</v>
      </c>
      <c r="Z730" s="108" t="str">
        <f t="shared" si="134"/>
        <v/>
      </c>
      <c r="AB730" s="108">
        <f t="shared" si="135"/>
        <v>0</v>
      </c>
      <c r="AC730" s="108">
        <f>IF($A730="",0,IF(AND($AB730=1,COUNTIF($A$2:$A730,$A730)=1),1,0))</f>
        <v>0</v>
      </c>
      <c r="AD730" s="108">
        <f t="shared" si="136"/>
        <v>1</v>
      </c>
      <c r="AE730" s="108" t="str">
        <f t="shared" si="137"/>
        <v/>
      </c>
      <c r="AF730" s="108">
        <f t="shared" si="138"/>
        <v>0</v>
      </c>
      <c r="AG730" s="108">
        <f t="shared" si="139"/>
        <v>0</v>
      </c>
      <c r="AH730" s="110" t="str">
        <f t="shared" si="140"/>
        <v>I. Rice|20260831|Review|0.250|Continue to review notecards and AOI entries and update common title AOI. Meeting with project manager.</v>
      </c>
      <c r="AI730" s="108">
        <f t="shared" si="141"/>
        <v>0</v>
      </c>
      <c r="AJ730" s="108">
        <f t="shared" si="142"/>
        <v>0</v>
      </c>
      <c r="AK730" s="108">
        <f>IF($A730="",0,IF(AND($S730=1,$W730=1,$X730=1,$U730&gt;Config!$C$9),1,0))</f>
        <v>0</v>
      </c>
      <c r="AL730" s="108">
        <f t="shared" si="143"/>
        <v>0</v>
      </c>
    </row>
    <row r="731" spans="1:38" x14ac:dyDescent="0.25">
      <c r="A731" s="106" t="s">
        <v>622</v>
      </c>
      <c r="B731" s="106" t="s">
        <v>618</v>
      </c>
      <c r="C731" s="107">
        <v>46265</v>
      </c>
      <c r="D731" s="106" t="s">
        <v>712</v>
      </c>
      <c r="E731" s="106" t="s">
        <v>713</v>
      </c>
      <c r="F731" s="106" t="s">
        <v>866</v>
      </c>
      <c r="G731" s="106" t="s">
        <v>873</v>
      </c>
      <c r="H731" s="106" t="s">
        <v>656</v>
      </c>
      <c r="I731" s="106"/>
      <c r="J731" s="106"/>
      <c r="K731" s="106">
        <v>0.125</v>
      </c>
      <c r="L731" s="106">
        <v>0</v>
      </c>
      <c r="M731" s="106">
        <v>0</v>
      </c>
      <c r="N731" s="106"/>
      <c r="O731" s="106"/>
      <c r="P731" s="106">
        <v>0</v>
      </c>
      <c r="Q731" s="106" t="s">
        <v>1220</v>
      </c>
      <c r="S731" s="108">
        <f>IF($A731="","",COUNTIF(BPOworkers!$B$6:$B$105,$A731))</f>
        <v>0</v>
      </c>
      <c r="T731" s="109">
        <f>IF($A731="","",$K731*Config!$C$9)</f>
        <v>1</v>
      </c>
      <c r="U731" s="109">
        <f>IF($A731="","",IF(COUNTIF(Config!$C$21:$C$23,$H731)&gt;0,IFERROR(VALUE(LEFT(TRIM($Q731),FIND(" ",TRIM($Q731)&amp;" ")-1)),0),0))</f>
        <v>0</v>
      </c>
      <c r="V731" s="109">
        <f t="shared" si="132"/>
        <v>1</v>
      </c>
      <c r="W731" s="108">
        <f>IF($A731="",0,IF(AND($C731&gt;=Config!$C$7,$C731&lt;=Config!$C$8),1,0))</f>
        <v>1</v>
      </c>
      <c r="X731" s="108">
        <f>IF($A731="",0,IF(COUNTIF(Config!$C$21:$C$23,$H731)&gt;0,1,0))</f>
        <v>0</v>
      </c>
      <c r="Y731" s="108">
        <f t="shared" si="133"/>
        <v>17</v>
      </c>
      <c r="Z731" s="108" t="str">
        <f t="shared" si="134"/>
        <v/>
      </c>
      <c r="AB731" s="108">
        <f t="shared" si="135"/>
        <v>0</v>
      </c>
      <c r="AC731" s="108">
        <f>IF($A731="",0,IF(AND($AB731=1,COUNTIF($A$2:$A731,$A731)=1),1,0))</f>
        <v>0</v>
      </c>
      <c r="AD731" s="108">
        <f t="shared" si="136"/>
        <v>1</v>
      </c>
      <c r="AE731" s="108" t="str">
        <f t="shared" si="137"/>
        <v/>
      </c>
      <c r="AF731" s="108">
        <f t="shared" si="138"/>
        <v>0</v>
      </c>
      <c r="AG731" s="108">
        <f t="shared" si="139"/>
        <v>0</v>
      </c>
      <c r="AH731" s="110" t="str">
        <f t="shared" si="140"/>
        <v>K. Milcarzyk|20260831|Project Management|0.125|Attending daily meeting.</v>
      </c>
      <c r="AI731" s="108">
        <f t="shared" si="141"/>
        <v>0</v>
      </c>
      <c r="AJ731" s="108">
        <f t="shared" si="142"/>
        <v>0</v>
      </c>
      <c r="AK731" s="108">
        <f>IF($A731="",0,IF(AND($S731=1,$W731=1,$X731=1,$U731&gt;Config!$C$9),1,0))</f>
        <v>0</v>
      </c>
      <c r="AL731" s="108">
        <f t="shared" si="143"/>
        <v>0</v>
      </c>
    </row>
    <row r="732" spans="1:38" x14ac:dyDescent="0.25">
      <c r="A732" s="106" t="s">
        <v>622</v>
      </c>
      <c r="B732" s="106" t="s">
        <v>618</v>
      </c>
      <c r="C732" s="107">
        <v>46265</v>
      </c>
      <c r="D732" s="106" t="s">
        <v>680</v>
      </c>
      <c r="E732" s="106" t="s">
        <v>681</v>
      </c>
      <c r="F732" s="106" t="s">
        <v>893</v>
      </c>
      <c r="G732" s="106" t="s">
        <v>894</v>
      </c>
      <c r="H732" s="106" t="s">
        <v>656</v>
      </c>
      <c r="I732" s="106"/>
      <c r="J732" s="106"/>
      <c r="K732" s="106">
        <v>0.25</v>
      </c>
      <c r="L732" s="106">
        <v>0</v>
      </c>
      <c r="M732" s="106">
        <v>0</v>
      </c>
      <c r="N732" s="106"/>
      <c r="O732" s="106"/>
      <c r="P732" s="106">
        <v>0</v>
      </c>
      <c r="Q732" s="106" t="s">
        <v>1525</v>
      </c>
      <c r="S732" s="108">
        <f>IF($A732="","",COUNTIF(BPOworkers!$B$6:$B$105,$A732))</f>
        <v>0</v>
      </c>
      <c r="T732" s="109">
        <f>IF($A732="","",$K732*Config!$C$9)</f>
        <v>2</v>
      </c>
      <c r="U732" s="109">
        <f>IF($A732="","",IF(COUNTIF(Config!$C$21:$C$23,$H732)&gt;0,IFERROR(VALUE(LEFT(TRIM($Q732),FIND(" ",TRIM($Q732)&amp;" ")-1)),0),0))</f>
        <v>0</v>
      </c>
      <c r="V732" s="109">
        <f t="shared" si="132"/>
        <v>2</v>
      </c>
      <c r="W732" s="108">
        <f>IF($A732="",0,IF(AND($C732&gt;=Config!$C$7,$C732&lt;=Config!$C$8),1,0))</f>
        <v>1</v>
      </c>
      <c r="X732" s="108">
        <f>IF($A732="",0,IF(COUNTIF(Config!$C$21:$C$23,$H732)&gt;0,1,0))</f>
        <v>0</v>
      </c>
      <c r="Y732" s="108">
        <f t="shared" si="133"/>
        <v>17</v>
      </c>
      <c r="Z732" s="108" t="str">
        <f t="shared" si="134"/>
        <v/>
      </c>
      <c r="AB732" s="108">
        <f t="shared" si="135"/>
        <v>0</v>
      </c>
      <c r="AC732" s="108">
        <f>IF($A732="",0,IF(AND($AB732=1,COUNTIF($A$2:$A732,$A732)=1),1,0))</f>
        <v>0</v>
      </c>
      <c r="AD732" s="108">
        <f t="shared" si="136"/>
        <v>1</v>
      </c>
      <c r="AE732" s="108" t="str">
        <f t="shared" si="137"/>
        <v/>
      </c>
      <c r="AF732" s="108">
        <f t="shared" si="138"/>
        <v>0</v>
      </c>
      <c r="AG732" s="108">
        <f t="shared" si="139"/>
        <v>0</v>
      </c>
      <c r="AH732" s="110" t="str">
        <f t="shared" si="140"/>
        <v>K. Milcarzyk|20260831|Project Management|0.250|Project set up and drafting scoping quote. Emails to client and phone call with Oscar.</v>
      </c>
      <c r="AI732" s="108">
        <f t="shared" si="141"/>
        <v>0</v>
      </c>
      <c r="AJ732" s="108">
        <f t="shared" si="142"/>
        <v>0</v>
      </c>
      <c r="AK732" s="108">
        <f>IF($A732="",0,IF(AND($S732=1,$W732=1,$X732=1,$U732&gt;Config!$C$9),1,0))</f>
        <v>0</v>
      </c>
      <c r="AL732" s="108">
        <f t="shared" si="143"/>
        <v>0</v>
      </c>
    </row>
    <row r="733" spans="1:38" x14ac:dyDescent="0.25">
      <c r="A733" s="106" t="s">
        <v>622</v>
      </c>
      <c r="B733" s="106" t="s">
        <v>618</v>
      </c>
      <c r="C733" s="107">
        <v>46265</v>
      </c>
      <c r="D733" s="106" t="s">
        <v>628</v>
      </c>
      <c r="E733" s="106" t="s">
        <v>705</v>
      </c>
      <c r="F733" s="106" t="s">
        <v>630</v>
      </c>
      <c r="G733" s="106"/>
      <c r="H733" s="106" t="s">
        <v>656</v>
      </c>
      <c r="I733" s="106"/>
      <c r="J733" s="106"/>
      <c r="K733" s="106">
        <v>0.125</v>
      </c>
      <c r="L733" s="106">
        <v>0</v>
      </c>
      <c r="M733" s="106">
        <v>0</v>
      </c>
      <c r="N733" s="106"/>
      <c r="O733" s="106"/>
      <c r="P733" s="106">
        <v>0</v>
      </c>
      <c r="Q733" s="106" t="s">
        <v>1526</v>
      </c>
      <c r="S733" s="108">
        <f>IF($A733="","",COUNTIF(BPOworkers!$B$6:$B$105,$A733))</f>
        <v>0</v>
      </c>
      <c r="T733" s="109">
        <f>IF($A733="","",$K733*Config!$C$9)</f>
        <v>1</v>
      </c>
      <c r="U733" s="109">
        <f>IF($A733="","",IF(COUNTIF(Config!$C$21:$C$23,$H733)&gt;0,IFERROR(VALUE(LEFT(TRIM($Q733),FIND(" ",TRIM($Q733)&amp;" ")-1)),0),0))</f>
        <v>0</v>
      </c>
      <c r="V733" s="109">
        <f t="shared" si="132"/>
        <v>1</v>
      </c>
      <c r="W733" s="108">
        <f>IF($A733="",0,IF(AND($C733&gt;=Config!$C$7,$C733&lt;=Config!$C$8),1,0))</f>
        <v>1</v>
      </c>
      <c r="X733" s="108">
        <f>IF($A733="",0,IF(COUNTIF(Config!$C$21:$C$23,$H733)&gt;0,1,0))</f>
        <v>0</v>
      </c>
      <c r="Y733" s="108">
        <f t="shared" si="133"/>
        <v>17</v>
      </c>
      <c r="Z733" s="108" t="str">
        <f t="shared" si="134"/>
        <v/>
      </c>
      <c r="AB733" s="108">
        <f t="shared" si="135"/>
        <v>0</v>
      </c>
      <c r="AC733" s="108">
        <f>IF($A733="",0,IF(AND($AB733=1,COUNTIF($A$2:$A733,$A733)=1),1,0))</f>
        <v>0</v>
      </c>
      <c r="AD733" s="108">
        <f t="shared" si="136"/>
        <v>1</v>
      </c>
      <c r="AE733" s="108" t="str">
        <f t="shared" si="137"/>
        <v/>
      </c>
      <c r="AF733" s="108">
        <f t="shared" si="138"/>
        <v>0</v>
      </c>
      <c r="AG733" s="108">
        <f t="shared" si="139"/>
        <v>0</v>
      </c>
      <c r="AH733" s="110" t="str">
        <f t="shared" si="140"/>
        <v>K. Milcarzyk|20260831|Project Management|0.125|Staffing project.</v>
      </c>
      <c r="AI733" s="108">
        <f t="shared" si="141"/>
        <v>0</v>
      </c>
      <c r="AJ733" s="108">
        <f t="shared" si="142"/>
        <v>0</v>
      </c>
      <c r="AK733" s="108">
        <f>IF($A733="",0,IF(AND($S733=1,$W733=1,$X733=1,$U733&gt;Config!$C$9),1,0))</f>
        <v>0</v>
      </c>
      <c r="AL733" s="108">
        <f t="shared" si="143"/>
        <v>0</v>
      </c>
    </row>
    <row r="734" spans="1:38" x14ac:dyDescent="0.25">
      <c r="A734" s="106" t="s">
        <v>622</v>
      </c>
      <c r="B734" s="106" t="s">
        <v>618</v>
      </c>
      <c r="C734" s="107">
        <v>46265</v>
      </c>
      <c r="D734" s="106" t="s">
        <v>623</v>
      </c>
      <c r="E734" s="106" t="s">
        <v>624</v>
      </c>
      <c r="F734" s="106" t="s">
        <v>615</v>
      </c>
      <c r="G734" s="106" t="s">
        <v>625</v>
      </c>
      <c r="H734" s="106" t="s">
        <v>656</v>
      </c>
      <c r="I734" s="106"/>
      <c r="J734" s="106"/>
      <c r="K734" s="106">
        <v>0.25</v>
      </c>
      <c r="L734" s="106">
        <v>0</v>
      </c>
      <c r="M734" s="106">
        <v>0</v>
      </c>
      <c r="N734" s="106"/>
      <c r="O734" s="106"/>
      <c r="P734" s="106">
        <v>0</v>
      </c>
      <c r="Q734" s="106" t="s">
        <v>908</v>
      </c>
      <c r="S734" s="108">
        <f>IF($A734="","",COUNTIF(BPOworkers!$B$6:$B$105,$A734))</f>
        <v>0</v>
      </c>
      <c r="T734" s="109">
        <f>IF($A734="","",$K734*Config!$C$9)</f>
        <v>2</v>
      </c>
      <c r="U734" s="109">
        <f>IF($A734="","",IF(COUNTIF(Config!$C$21:$C$23,$H734)&gt;0,IFERROR(VALUE(LEFT(TRIM($Q734),FIND(" ",TRIM($Q734)&amp;" ")-1)),0),0))</f>
        <v>0</v>
      </c>
      <c r="V734" s="109">
        <f t="shared" si="132"/>
        <v>2</v>
      </c>
      <c r="W734" s="108">
        <f>IF($A734="",0,IF(AND($C734&gt;=Config!$C$7,$C734&lt;=Config!$C$8),1,0))</f>
        <v>1</v>
      </c>
      <c r="X734" s="108">
        <f>IF($A734="",0,IF(COUNTIF(Config!$C$21:$C$23,$H734)&gt;0,1,0))</f>
        <v>0</v>
      </c>
      <c r="Y734" s="108">
        <f t="shared" si="133"/>
        <v>17</v>
      </c>
      <c r="Z734" s="108" t="str">
        <f t="shared" si="134"/>
        <v/>
      </c>
      <c r="AB734" s="108">
        <f t="shared" si="135"/>
        <v>0</v>
      </c>
      <c r="AC734" s="108">
        <f>IF($A734="",0,IF(AND($AB734=1,COUNTIF($A$2:$A734,$A734)=1),1,0))</f>
        <v>0</v>
      </c>
      <c r="AD734" s="108">
        <f t="shared" si="136"/>
        <v>1</v>
      </c>
      <c r="AE734" s="108" t="str">
        <f t="shared" si="137"/>
        <v/>
      </c>
      <c r="AF734" s="108">
        <f t="shared" si="138"/>
        <v>0</v>
      </c>
      <c r="AG734" s="108">
        <f t="shared" si="139"/>
        <v>0</v>
      </c>
      <c r="AH734" s="110" t="str">
        <f t="shared" si="140"/>
        <v>K. Milcarzyk|20260831|Project Management|0.250|TLS dashboard call with Kristen and Anders. Updating excel active status project sheet.</v>
      </c>
      <c r="AI734" s="108">
        <f t="shared" si="141"/>
        <v>0</v>
      </c>
      <c r="AJ734" s="108">
        <f t="shared" si="142"/>
        <v>0</v>
      </c>
      <c r="AK734" s="108">
        <f>IF($A734="",0,IF(AND($S734=1,$W734=1,$X734=1,$U734&gt;Config!$C$9),1,0))</f>
        <v>0</v>
      </c>
      <c r="AL734" s="108">
        <f t="shared" si="143"/>
        <v>0</v>
      </c>
    </row>
    <row r="735" spans="1:38" x14ac:dyDescent="0.25">
      <c r="A735" s="106" t="s">
        <v>622</v>
      </c>
      <c r="B735" s="106" t="s">
        <v>618</v>
      </c>
      <c r="C735" s="107">
        <v>46265</v>
      </c>
      <c r="D735" s="106" t="s">
        <v>720</v>
      </c>
      <c r="E735" s="106" t="s">
        <v>721</v>
      </c>
      <c r="F735" s="106" t="s">
        <v>722</v>
      </c>
      <c r="G735" s="106" t="s">
        <v>933</v>
      </c>
      <c r="H735" s="106" t="s">
        <v>656</v>
      </c>
      <c r="I735" s="106"/>
      <c r="J735" s="106"/>
      <c r="K735" s="106">
        <v>0.125</v>
      </c>
      <c r="L735" s="106">
        <v>0</v>
      </c>
      <c r="M735" s="106">
        <v>0</v>
      </c>
      <c r="N735" s="106"/>
      <c r="O735" s="106"/>
      <c r="P735" s="106">
        <v>0</v>
      </c>
      <c r="Q735" s="106" t="s">
        <v>1527</v>
      </c>
      <c r="S735" s="108">
        <f>IF($A735="","",COUNTIF(BPOworkers!$B$6:$B$105,$A735))</f>
        <v>0</v>
      </c>
      <c r="T735" s="109">
        <f>IF($A735="","",$K735*Config!$C$9)</f>
        <v>1</v>
      </c>
      <c r="U735" s="109">
        <f>IF($A735="","",IF(COUNTIF(Config!$C$21:$C$23,$H735)&gt;0,IFERROR(VALUE(LEFT(TRIM($Q735),FIND(" ",TRIM($Q735)&amp;" ")-1)),0),0))</f>
        <v>0</v>
      </c>
      <c r="V735" s="109">
        <f t="shared" si="132"/>
        <v>1</v>
      </c>
      <c r="W735" s="108">
        <f>IF($A735="",0,IF(AND($C735&gt;=Config!$C$7,$C735&lt;=Config!$C$8),1,0))</f>
        <v>1</v>
      </c>
      <c r="X735" s="108">
        <f>IF($A735="",0,IF(COUNTIF(Config!$C$21:$C$23,$H735)&gt;0,1,0))</f>
        <v>0</v>
      </c>
      <c r="Y735" s="108">
        <f t="shared" si="133"/>
        <v>17</v>
      </c>
      <c r="Z735" s="108" t="str">
        <f t="shared" si="134"/>
        <v/>
      </c>
      <c r="AB735" s="108">
        <f t="shared" si="135"/>
        <v>0</v>
      </c>
      <c r="AC735" s="108">
        <f>IF($A735="",0,IF(AND($AB735=1,COUNTIF($A$2:$A735,$A735)=1),1,0))</f>
        <v>0</v>
      </c>
      <c r="AD735" s="108">
        <f t="shared" si="136"/>
        <v>1</v>
      </c>
      <c r="AE735" s="108" t="str">
        <f t="shared" si="137"/>
        <v/>
      </c>
      <c r="AF735" s="108">
        <f t="shared" si="138"/>
        <v>0</v>
      </c>
      <c r="AG735" s="108">
        <f t="shared" si="139"/>
        <v>0</v>
      </c>
      <c r="AH735" s="110" t="str">
        <f t="shared" si="140"/>
        <v>K. Milcarzyk|20260831|Project Management|0.125|Meeting with Peter to discuss staffing for project.</v>
      </c>
      <c r="AI735" s="108">
        <f t="shared" si="141"/>
        <v>0</v>
      </c>
      <c r="AJ735" s="108">
        <f t="shared" si="142"/>
        <v>0</v>
      </c>
      <c r="AK735" s="108">
        <f>IF($A735="",0,IF(AND($S735=1,$W735=1,$X735=1,$U735&gt;Config!$C$9),1,0))</f>
        <v>0</v>
      </c>
      <c r="AL735" s="108">
        <f t="shared" si="143"/>
        <v>0</v>
      </c>
    </row>
    <row r="736" spans="1:38" x14ac:dyDescent="0.25">
      <c r="A736" s="106" t="s">
        <v>622</v>
      </c>
      <c r="B736" s="106" t="s">
        <v>618</v>
      </c>
      <c r="C736" s="107">
        <v>46265</v>
      </c>
      <c r="D736" s="106" t="s">
        <v>643</v>
      </c>
      <c r="E736" s="106" t="s">
        <v>644</v>
      </c>
      <c r="F736" s="106" t="s">
        <v>645</v>
      </c>
      <c r="G736" s="106"/>
      <c r="H736" s="106" t="s">
        <v>656</v>
      </c>
      <c r="I736" s="106"/>
      <c r="J736" s="106"/>
      <c r="K736" s="106">
        <v>0.125</v>
      </c>
      <c r="L736" s="106">
        <v>0</v>
      </c>
      <c r="M736" s="106">
        <v>0</v>
      </c>
      <c r="N736" s="106"/>
      <c r="O736" s="106"/>
      <c r="P736" s="106">
        <v>0</v>
      </c>
      <c r="Q736" s="106" t="s">
        <v>1081</v>
      </c>
      <c r="S736" s="108">
        <f>IF($A736="","",COUNTIF(BPOworkers!$B$6:$B$105,$A736))</f>
        <v>0</v>
      </c>
      <c r="T736" s="109">
        <f>IF($A736="","",$K736*Config!$C$9)</f>
        <v>1</v>
      </c>
      <c r="U736" s="109">
        <f>IF($A736="","",IF(COUNTIF(Config!$C$21:$C$23,$H736)&gt;0,IFERROR(VALUE(LEFT(TRIM($Q736),FIND(" ",TRIM($Q736)&amp;" ")-1)),0),0))</f>
        <v>0</v>
      </c>
      <c r="V736" s="109">
        <f t="shared" si="132"/>
        <v>1</v>
      </c>
      <c r="W736" s="108">
        <f>IF($A736="",0,IF(AND($C736&gt;=Config!$C$7,$C736&lt;=Config!$C$8),1,0))</f>
        <v>1</v>
      </c>
      <c r="X736" s="108">
        <f>IF($A736="",0,IF(COUNTIF(Config!$C$21:$C$23,$H736)&gt;0,1,0))</f>
        <v>0</v>
      </c>
      <c r="Y736" s="108">
        <f t="shared" si="133"/>
        <v>17</v>
      </c>
      <c r="Z736" s="108" t="str">
        <f t="shared" si="134"/>
        <v/>
      </c>
      <c r="AB736" s="108">
        <f t="shared" si="135"/>
        <v>0</v>
      </c>
      <c r="AC736" s="108">
        <f>IF($A736="",0,IF(AND($AB736=1,COUNTIF($A$2:$A736,$A736)=1),1,0))</f>
        <v>0</v>
      </c>
      <c r="AD736" s="108">
        <f t="shared" si="136"/>
        <v>1</v>
      </c>
      <c r="AE736" s="108" t="str">
        <f t="shared" si="137"/>
        <v/>
      </c>
      <c r="AF736" s="108">
        <f t="shared" si="138"/>
        <v>0</v>
      </c>
      <c r="AG736" s="108">
        <f t="shared" si="139"/>
        <v>0</v>
      </c>
      <c r="AH736" s="110" t="str">
        <f t="shared" si="140"/>
        <v>K. Milcarzyk|20260831|Project Management|0.125|Meeting with team to discuss overall project status.</v>
      </c>
      <c r="AI736" s="108">
        <f t="shared" si="141"/>
        <v>0</v>
      </c>
      <c r="AJ736" s="108">
        <f t="shared" si="142"/>
        <v>0</v>
      </c>
      <c r="AK736" s="108">
        <f>IF($A736="",0,IF(AND($S736=1,$W736=1,$X736=1,$U736&gt;Config!$C$9),1,0))</f>
        <v>0</v>
      </c>
      <c r="AL736" s="108">
        <f t="shared" si="143"/>
        <v>0</v>
      </c>
    </row>
    <row r="737" spans="1:38" x14ac:dyDescent="0.25">
      <c r="A737" s="106" t="s">
        <v>627</v>
      </c>
      <c r="B737" s="106" t="s">
        <v>618</v>
      </c>
      <c r="C737" s="107">
        <v>46265</v>
      </c>
      <c r="D737" s="106" t="s">
        <v>712</v>
      </c>
      <c r="E737" s="106" t="s">
        <v>713</v>
      </c>
      <c r="F737" s="106" t="s">
        <v>866</v>
      </c>
      <c r="G737" s="106" t="s">
        <v>1528</v>
      </c>
      <c r="H737" s="106" t="s">
        <v>639</v>
      </c>
      <c r="I737" s="106"/>
      <c r="J737" s="106"/>
      <c r="K737" s="106">
        <v>0.375</v>
      </c>
      <c r="L737" s="106">
        <v>0</v>
      </c>
      <c r="M737" s="106">
        <v>0</v>
      </c>
      <c r="N737" s="106"/>
      <c r="O737" s="106"/>
      <c r="P737" s="106">
        <v>0</v>
      </c>
      <c r="Q737" s="106" t="s">
        <v>1529</v>
      </c>
      <c r="S737" s="108">
        <f>IF($A737="","",COUNTIF(BPOworkers!$B$6:$B$105,$A737))</f>
        <v>0</v>
      </c>
      <c r="T737" s="109">
        <f>IF($A737="","",$K737*Config!$C$9)</f>
        <v>3</v>
      </c>
      <c r="U737" s="109">
        <f>IF($A737="","",IF(COUNTIF(Config!$C$21:$C$23,$H737)&gt;0,IFERROR(VALUE(LEFT(TRIM($Q737),FIND(" ",TRIM($Q737)&amp;" ")-1)),0),0))</f>
        <v>0</v>
      </c>
      <c r="V737" s="109">
        <f t="shared" si="132"/>
        <v>3</v>
      </c>
      <c r="W737" s="108">
        <f>IF($A737="",0,IF(AND($C737&gt;=Config!$C$7,$C737&lt;=Config!$C$8),1,0))</f>
        <v>1</v>
      </c>
      <c r="X737" s="108">
        <f>IF($A737="",0,IF(COUNTIF(Config!$C$21:$C$23,$H737)&gt;0,1,0))</f>
        <v>0</v>
      </c>
      <c r="Y737" s="108">
        <f t="shared" si="133"/>
        <v>17</v>
      </c>
      <c r="Z737" s="108" t="str">
        <f t="shared" si="134"/>
        <v/>
      </c>
      <c r="AB737" s="108">
        <f t="shared" si="135"/>
        <v>0</v>
      </c>
      <c r="AC737" s="108">
        <f>IF($A737="",0,IF(AND($AB737=1,COUNTIF($A$2:$A737,$A737)=1),1,0))</f>
        <v>0</v>
      </c>
      <c r="AD737" s="108">
        <f t="shared" si="136"/>
        <v>1</v>
      </c>
      <c r="AE737" s="108" t="str">
        <f t="shared" si="137"/>
        <v/>
      </c>
      <c r="AF737" s="108">
        <f t="shared" si="138"/>
        <v>0</v>
      </c>
      <c r="AG737" s="108">
        <f t="shared" si="139"/>
        <v>0</v>
      </c>
      <c r="AH737" s="110" t="str">
        <f t="shared" si="140"/>
        <v>G. Bond|20260831|Review|0.375|Reviewed AOI and made corrections where needed.</v>
      </c>
      <c r="AI737" s="108">
        <f t="shared" si="141"/>
        <v>0</v>
      </c>
      <c r="AJ737" s="108">
        <f t="shared" si="142"/>
        <v>0</v>
      </c>
      <c r="AK737" s="108">
        <f>IF($A737="",0,IF(AND($S737=1,$W737=1,$X737=1,$U737&gt;Config!$C$9),1,0))</f>
        <v>0</v>
      </c>
      <c r="AL737" s="108">
        <f t="shared" si="143"/>
        <v>0</v>
      </c>
    </row>
    <row r="738" spans="1:38" x14ac:dyDescent="0.25">
      <c r="A738" s="106" t="s">
        <v>627</v>
      </c>
      <c r="B738" s="106" t="s">
        <v>618</v>
      </c>
      <c r="C738" s="107">
        <v>46265</v>
      </c>
      <c r="D738" s="106" t="s">
        <v>628</v>
      </c>
      <c r="E738" s="106" t="s">
        <v>793</v>
      </c>
      <c r="F738" s="106" t="s">
        <v>630</v>
      </c>
      <c r="G738" s="106"/>
      <c r="H738" s="106" t="s">
        <v>631</v>
      </c>
      <c r="I738" s="106"/>
      <c r="J738" s="106"/>
      <c r="K738" s="106">
        <v>0.625</v>
      </c>
      <c r="L738" s="106">
        <v>0</v>
      </c>
      <c r="M738" s="106">
        <v>0</v>
      </c>
      <c r="N738" s="106"/>
      <c r="O738" s="106"/>
      <c r="P738" s="106">
        <v>0</v>
      </c>
      <c r="Q738" s="106" t="s">
        <v>1530</v>
      </c>
      <c r="S738" s="108">
        <f>IF($A738="","",COUNTIF(BPOworkers!$B$6:$B$105,$A738))</f>
        <v>0</v>
      </c>
      <c r="T738" s="109">
        <f>IF($A738="","",$K738*Config!$C$9)</f>
        <v>5</v>
      </c>
      <c r="U738" s="109">
        <f>IF($A738="","",IF(COUNTIF(Config!$C$21:$C$23,$H738)&gt;0,IFERROR(VALUE(LEFT(TRIM($Q738),FIND(" ",TRIM($Q738)&amp;" ")-1)),0),0))</f>
        <v>0</v>
      </c>
      <c r="V738" s="109">
        <f t="shared" si="132"/>
        <v>5</v>
      </c>
      <c r="W738" s="108">
        <f>IF($A738="",0,IF(AND($C738&gt;=Config!$C$7,$C738&lt;=Config!$C$8),1,0))</f>
        <v>1</v>
      </c>
      <c r="X738" s="108">
        <f>IF($A738="",0,IF(COUNTIF(Config!$C$21:$C$23,$H738)&gt;0,1,0))</f>
        <v>0</v>
      </c>
      <c r="Y738" s="108">
        <f t="shared" si="133"/>
        <v>17</v>
      </c>
      <c r="Z738" s="108" t="str">
        <f t="shared" si="134"/>
        <v/>
      </c>
      <c r="AB738" s="108">
        <f t="shared" si="135"/>
        <v>0</v>
      </c>
      <c r="AC738" s="108">
        <f>IF($A738="",0,IF(AND($AB738=1,COUNTIF($A$2:$A738,$A738)=1),1,0))</f>
        <v>0</v>
      </c>
      <c r="AD738" s="108">
        <f t="shared" si="136"/>
        <v>1</v>
      </c>
      <c r="AE738" s="108" t="str">
        <f t="shared" si="137"/>
        <v/>
      </c>
      <c r="AF738" s="108">
        <f t="shared" si="138"/>
        <v>0</v>
      </c>
      <c r="AG738" s="108">
        <f t="shared" si="139"/>
        <v>0</v>
      </c>
      <c r="AH738" s="110" t="str">
        <f t="shared" si="140"/>
        <v>G. Bond|20260831|Title|0.625|Began working through client provided files to prepare for landmen AOIs.</v>
      </c>
      <c r="AI738" s="108">
        <f t="shared" si="141"/>
        <v>0</v>
      </c>
      <c r="AJ738" s="108">
        <f t="shared" si="142"/>
        <v>0</v>
      </c>
      <c r="AK738" s="108">
        <f>IF($A738="",0,IF(AND($S738=1,$W738=1,$X738=1,$U738&gt;Config!$C$9),1,0))</f>
        <v>0</v>
      </c>
      <c r="AL738" s="108">
        <f t="shared" si="143"/>
        <v>0</v>
      </c>
    </row>
    <row r="739" spans="1:38" x14ac:dyDescent="0.25">
      <c r="A739" s="106" t="s">
        <v>912</v>
      </c>
      <c r="B739" s="106" t="s">
        <v>618</v>
      </c>
      <c r="C739" s="107">
        <v>46265</v>
      </c>
      <c r="D739" s="106" t="s">
        <v>712</v>
      </c>
      <c r="E739" s="106" t="s">
        <v>713</v>
      </c>
      <c r="F739" s="106" t="s">
        <v>714</v>
      </c>
      <c r="G739" s="106" t="s">
        <v>1207</v>
      </c>
      <c r="H739" s="106" t="s">
        <v>631</v>
      </c>
      <c r="I739" s="106"/>
      <c r="J739" s="106"/>
      <c r="K739" s="106">
        <v>0.625</v>
      </c>
      <c r="L739" s="106">
        <v>0</v>
      </c>
      <c r="M739" s="106">
        <v>0</v>
      </c>
      <c r="N739" s="106"/>
      <c r="O739" s="106"/>
      <c r="P739" s="106">
        <v>0</v>
      </c>
      <c r="Q739" s="106" t="s">
        <v>1531</v>
      </c>
      <c r="S739" s="108">
        <f>IF($A739="","",COUNTIF(BPOworkers!$B$6:$B$105,$A739))</f>
        <v>0</v>
      </c>
      <c r="T739" s="109">
        <f>IF($A739="","",$K739*Config!$C$9)</f>
        <v>5</v>
      </c>
      <c r="U739" s="109">
        <f>IF($A739="","",IF(COUNTIF(Config!$C$21:$C$23,$H739)&gt;0,IFERROR(VALUE(LEFT(TRIM($Q739),FIND(" ",TRIM($Q739)&amp;" ")-1)),0),0))</f>
        <v>0</v>
      </c>
      <c r="V739" s="109">
        <f t="shared" si="132"/>
        <v>5</v>
      </c>
      <c r="W739" s="108">
        <f>IF($A739="",0,IF(AND($C739&gt;=Config!$C$7,$C739&lt;=Config!$C$8),1,0))</f>
        <v>1</v>
      </c>
      <c r="X739" s="108">
        <f>IF($A739="",0,IF(COUNTIF(Config!$C$21:$C$23,$H739)&gt;0,1,0))</f>
        <v>0</v>
      </c>
      <c r="Y739" s="108">
        <f t="shared" si="133"/>
        <v>17</v>
      </c>
      <c r="Z739" s="108" t="str">
        <f t="shared" si="134"/>
        <v/>
      </c>
      <c r="AB739" s="108">
        <f t="shared" si="135"/>
        <v>0</v>
      </c>
      <c r="AC739" s="108">
        <f>IF($A739="",0,IF(AND($AB739=1,COUNTIF($A$2:$A739,$A739)=1),1,0))</f>
        <v>0</v>
      </c>
      <c r="AD739" s="108">
        <f t="shared" si="136"/>
        <v>1</v>
      </c>
      <c r="AE739" s="108" t="str">
        <f t="shared" si="137"/>
        <v/>
      </c>
      <c r="AF739" s="108">
        <f t="shared" si="138"/>
        <v>0</v>
      </c>
      <c r="AG739" s="108">
        <f t="shared" si="139"/>
        <v>0</v>
      </c>
      <c r="AH739" s="110" t="str">
        <f t="shared" si="140"/>
        <v>R. Willis|20260831|Title|0.625|Indexed party names, filled gaps in title, and entered notecard information.</v>
      </c>
      <c r="AI739" s="108">
        <f t="shared" si="141"/>
        <v>0</v>
      </c>
      <c r="AJ739" s="108">
        <f t="shared" si="142"/>
        <v>0</v>
      </c>
      <c r="AK739" s="108">
        <f>IF($A739="",0,IF(AND($S739=1,$W739=1,$X739=1,$U739&gt;Config!$C$9),1,0))</f>
        <v>0</v>
      </c>
      <c r="AL739" s="108">
        <f t="shared" si="143"/>
        <v>0</v>
      </c>
    </row>
    <row r="740" spans="1:38" x14ac:dyDescent="0.25">
      <c r="A740" s="106" t="s">
        <v>912</v>
      </c>
      <c r="B740" s="106" t="s">
        <v>618</v>
      </c>
      <c r="C740" s="107">
        <v>46265</v>
      </c>
      <c r="D740" s="106" t="s">
        <v>529</v>
      </c>
      <c r="E740" s="106" t="s">
        <v>529</v>
      </c>
      <c r="F740" s="106" t="s">
        <v>615</v>
      </c>
      <c r="G740" s="106"/>
      <c r="H740" s="106" t="s">
        <v>529</v>
      </c>
      <c r="I740" s="106"/>
      <c r="J740" s="106"/>
      <c r="K740" s="106">
        <v>0</v>
      </c>
      <c r="L740" s="106">
        <v>0</v>
      </c>
      <c r="M740" s="106">
        <v>0</v>
      </c>
      <c r="N740" s="106"/>
      <c r="O740" s="106"/>
      <c r="P740" s="106">
        <v>0</v>
      </c>
      <c r="Q740" s="106" t="s">
        <v>1092</v>
      </c>
      <c r="S740" s="108">
        <f>IF($A740="","",COUNTIF(BPOworkers!$B$6:$B$105,$A740))</f>
        <v>0</v>
      </c>
      <c r="T740" s="109">
        <f>IF($A740="","",$K740*Config!$C$9)</f>
        <v>0</v>
      </c>
      <c r="U740" s="109">
        <f>IF($A740="","",IF(COUNTIF(Config!$C$21:$C$23,$H740)&gt;0,IFERROR(VALUE(LEFT(TRIM($Q740),FIND(" ",TRIM($Q740)&amp;" ")-1)),0),0))</f>
        <v>3</v>
      </c>
      <c r="V740" s="109">
        <f t="shared" si="132"/>
        <v>3</v>
      </c>
      <c r="W740" s="108">
        <f>IF($A740="",0,IF(AND($C740&gt;=Config!$C$7,$C740&lt;=Config!$C$8),1,0))</f>
        <v>1</v>
      </c>
      <c r="X740" s="108">
        <f>IF($A740="",0,IF(COUNTIF(Config!$C$21:$C$23,$H740)&gt;0,1,0))</f>
        <v>1</v>
      </c>
      <c r="Y740" s="108">
        <f t="shared" si="133"/>
        <v>17</v>
      </c>
      <c r="Z740" s="108" t="str">
        <f t="shared" si="134"/>
        <v/>
      </c>
      <c r="AB740" s="108">
        <f t="shared" si="135"/>
        <v>0</v>
      </c>
      <c r="AC740" s="108">
        <f>IF($A740="",0,IF(AND($AB740=1,COUNTIF($A$2:$A740,$A740)=1),1,0))</f>
        <v>0</v>
      </c>
      <c r="AD740" s="108">
        <f t="shared" si="136"/>
        <v>1</v>
      </c>
      <c r="AE740" s="108" t="str">
        <f t="shared" si="137"/>
        <v/>
      </c>
      <c r="AF740" s="108">
        <f t="shared" si="138"/>
        <v>0</v>
      </c>
      <c r="AG740" s="108">
        <f t="shared" si="139"/>
        <v>0</v>
      </c>
      <c r="AH740" s="110" t="str">
        <f t="shared" si="140"/>
        <v>R. Willis|20260831|Time Off|0.000|3 hours unpaid.</v>
      </c>
      <c r="AI740" s="108">
        <f t="shared" si="141"/>
        <v>0</v>
      </c>
      <c r="AJ740" s="108">
        <f t="shared" si="142"/>
        <v>0</v>
      </c>
      <c r="AK740" s="108">
        <f>IF($A740="",0,IF(AND($S740=1,$W740=1,$X740=1,$U740&gt;Config!$C$9),1,0))</f>
        <v>0</v>
      </c>
      <c r="AL740" s="108">
        <f t="shared" si="143"/>
        <v>0</v>
      </c>
    </row>
    <row r="741" spans="1:38" x14ac:dyDescent="0.25">
      <c r="A741" s="106" t="s">
        <v>634</v>
      </c>
      <c r="B741" s="106" t="s">
        <v>618</v>
      </c>
      <c r="C741" s="107">
        <v>46265</v>
      </c>
      <c r="D741" s="106" t="s">
        <v>529</v>
      </c>
      <c r="E741" s="106" t="s">
        <v>529</v>
      </c>
      <c r="F741" s="106" t="s">
        <v>615</v>
      </c>
      <c r="G741" s="106"/>
      <c r="H741" s="106" t="s">
        <v>529</v>
      </c>
      <c r="I741" s="106"/>
      <c r="J741" s="106"/>
      <c r="K741" s="106">
        <v>0</v>
      </c>
      <c r="L741" s="106">
        <v>0</v>
      </c>
      <c r="M741" s="106">
        <v>0</v>
      </c>
      <c r="N741" s="106"/>
      <c r="O741" s="106"/>
      <c r="P741" s="106">
        <v>0</v>
      </c>
      <c r="Q741" s="106" t="s">
        <v>1532</v>
      </c>
      <c r="S741" s="108">
        <f>IF($A741="","",COUNTIF(BPOworkers!$B$6:$B$105,$A741))</f>
        <v>0</v>
      </c>
      <c r="T741" s="109">
        <f>IF($A741="","",$K741*Config!$C$9)</f>
        <v>0</v>
      </c>
      <c r="U741" s="109">
        <f>IF($A741="","",IF(COUNTIF(Config!$C$21:$C$23,$H741)&gt;0,IFERROR(VALUE(LEFT(TRIM($Q741),FIND(" ",TRIM($Q741)&amp;" ")-1)),0),0))</f>
        <v>8</v>
      </c>
      <c r="V741" s="109">
        <f t="shared" si="132"/>
        <v>8</v>
      </c>
      <c r="W741" s="108">
        <f>IF($A741="",0,IF(AND($C741&gt;=Config!$C$7,$C741&lt;=Config!$C$8),1,0))</f>
        <v>1</v>
      </c>
      <c r="X741" s="108">
        <f>IF($A741="",0,IF(COUNTIF(Config!$C$21:$C$23,$H741)&gt;0,1,0))</f>
        <v>1</v>
      </c>
      <c r="Y741" s="108">
        <f t="shared" si="133"/>
        <v>17</v>
      </c>
      <c r="Z741" s="108" t="str">
        <f t="shared" si="134"/>
        <v/>
      </c>
      <c r="AB741" s="108">
        <f t="shared" si="135"/>
        <v>0</v>
      </c>
      <c r="AC741" s="108">
        <f>IF($A741="",0,IF(AND($AB741=1,COUNTIF($A$2:$A741,$A741)=1),1,0))</f>
        <v>0</v>
      </c>
      <c r="AD741" s="108">
        <f t="shared" si="136"/>
        <v>1</v>
      </c>
      <c r="AE741" s="108" t="str">
        <f t="shared" si="137"/>
        <v/>
      </c>
      <c r="AF741" s="108">
        <f t="shared" si="138"/>
        <v>0</v>
      </c>
      <c r="AG741" s="108">
        <f t="shared" si="139"/>
        <v>0</v>
      </c>
      <c r="AH741" s="110" t="str">
        <f t="shared" si="140"/>
        <v>L. Bailiff|20260831|Time Off|0.000|8 hours time off due to illness.</v>
      </c>
      <c r="AI741" s="108">
        <f t="shared" si="141"/>
        <v>0</v>
      </c>
      <c r="AJ741" s="108">
        <f t="shared" si="142"/>
        <v>0</v>
      </c>
      <c r="AK741" s="108">
        <f>IF($A741="",0,IF(AND($S741=1,$W741=1,$X741=1,$U741&gt;Config!$C$9),1,0))</f>
        <v>0</v>
      </c>
      <c r="AL741" s="108">
        <f t="shared" si="143"/>
        <v>0</v>
      </c>
    </row>
    <row r="742" spans="1:38" x14ac:dyDescent="0.25">
      <c r="A742" s="106" t="s">
        <v>641</v>
      </c>
      <c r="B742" s="106" t="s">
        <v>618</v>
      </c>
      <c r="C742" s="107">
        <v>46265</v>
      </c>
      <c r="D742" s="106" t="s">
        <v>643</v>
      </c>
      <c r="E742" s="106" t="s">
        <v>644</v>
      </c>
      <c r="F742" s="106" t="s">
        <v>645</v>
      </c>
      <c r="G742" s="106" t="s">
        <v>1070</v>
      </c>
      <c r="H742" s="106" t="s">
        <v>639</v>
      </c>
      <c r="I742" s="106"/>
      <c r="J742" s="106"/>
      <c r="K742" s="106">
        <v>0.375</v>
      </c>
      <c r="L742" s="106">
        <v>0</v>
      </c>
      <c r="M742" s="106">
        <v>0</v>
      </c>
      <c r="N742" s="106"/>
      <c r="O742" s="106"/>
      <c r="P742" s="106">
        <v>0</v>
      </c>
      <c r="Q742" s="106" t="s">
        <v>1533</v>
      </c>
      <c r="S742" s="108">
        <f>IF($A742="","",COUNTIF(BPOworkers!$B$6:$B$105,$A742))</f>
        <v>0</v>
      </c>
      <c r="T742" s="109">
        <f>IF($A742="","",$K742*Config!$C$9)</f>
        <v>3</v>
      </c>
      <c r="U742" s="109">
        <f>IF($A742="","",IF(COUNTIF(Config!$C$21:$C$23,$H742)&gt;0,IFERROR(VALUE(LEFT(TRIM($Q742),FIND(" ",TRIM($Q742)&amp;" ")-1)),0),0))</f>
        <v>0</v>
      </c>
      <c r="V742" s="109">
        <f t="shared" si="132"/>
        <v>3</v>
      </c>
      <c r="W742" s="108">
        <f>IF($A742="",0,IF(AND($C742&gt;=Config!$C$7,$C742&lt;=Config!$C$8),1,0))</f>
        <v>1</v>
      </c>
      <c r="X742" s="108">
        <f>IF($A742="",0,IF(COUNTIF(Config!$C$21:$C$23,$H742)&gt;0,1,0))</f>
        <v>0</v>
      </c>
      <c r="Y742" s="108">
        <f t="shared" si="133"/>
        <v>17</v>
      </c>
      <c r="Z742" s="108" t="str">
        <f t="shared" si="134"/>
        <v/>
      </c>
      <c r="AB742" s="108">
        <f t="shared" si="135"/>
        <v>0</v>
      </c>
      <c r="AC742" s="108">
        <f>IF($A742="",0,IF(AND($AB742=1,COUNTIF($A$2:$A742,$A742)=1),1,0))</f>
        <v>0</v>
      </c>
      <c r="AD742" s="108">
        <f t="shared" si="136"/>
        <v>1</v>
      </c>
      <c r="AE742" s="108" t="str">
        <f t="shared" si="137"/>
        <v/>
      </c>
      <c r="AF742" s="108">
        <f t="shared" si="138"/>
        <v>0</v>
      </c>
      <c r="AG742" s="108">
        <f t="shared" si="139"/>
        <v>0</v>
      </c>
      <c r="AH742" s="110" t="str">
        <f t="shared" si="140"/>
        <v>M. Young|20260831|Review|0.375|Review cards, look for another deed out of Standard Oil of Kansas (we believe all of their interest should be conveyed o</v>
      </c>
      <c r="AI742" s="108">
        <f t="shared" si="141"/>
        <v>0</v>
      </c>
      <c r="AJ742" s="108">
        <f t="shared" si="142"/>
        <v>0</v>
      </c>
      <c r="AK742" s="108">
        <f>IF($A742="",0,IF(AND($S742=1,$W742=1,$X742=1,$U742&gt;Config!$C$9),1,0))</f>
        <v>0</v>
      </c>
      <c r="AL742" s="108">
        <f t="shared" si="143"/>
        <v>0</v>
      </c>
    </row>
    <row r="743" spans="1:38" x14ac:dyDescent="0.25">
      <c r="A743" s="106" t="s">
        <v>641</v>
      </c>
      <c r="B743" s="106" t="s">
        <v>618</v>
      </c>
      <c r="C743" s="107">
        <v>46265</v>
      </c>
      <c r="D743" s="106" t="s">
        <v>643</v>
      </c>
      <c r="E743" s="106" t="s">
        <v>644</v>
      </c>
      <c r="F743" s="106" t="s">
        <v>645</v>
      </c>
      <c r="G743" s="106" t="s">
        <v>646</v>
      </c>
      <c r="H743" s="106" t="s">
        <v>639</v>
      </c>
      <c r="I743" s="106"/>
      <c r="J743" s="106"/>
      <c r="K743" s="106">
        <v>0.125</v>
      </c>
      <c r="L743" s="106">
        <v>0</v>
      </c>
      <c r="M743" s="106">
        <v>0</v>
      </c>
      <c r="N743" s="106"/>
      <c r="O743" s="106"/>
      <c r="P743" s="106">
        <v>0</v>
      </c>
      <c r="Q743" s="106" t="s">
        <v>647</v>
      </c>
      <c r="S743" s="108">
        <f>IF($A743="","",COUNTIF(BPOworkers!$B$6:$B$105,$A743))</f>
        <v>0</v>
      </c>
      <c r="T743" s="109">
        <f>IF($A743="","",$K743*Config!$C$9)</f>
        <v>1</v>
      </c>
      <c r="U743" s="109">
        <f>IF($A743="","",IF(COUNTIF(Config!$C$21:$C$23,$H743)&gt;0,IFERROR(VALUE(LEFT(TRIM($Q743),FIND(" ",TRIM($Q743)&amp;" ")-1)),0),0))</f>
        <v>0</v>
      </c>
      <c r="V743" s="109">
        <f t="shared" si="132"/>
        <v>1</v>
      </c>
      <c r="W743" s="108">
        <f>IF($A743="",0,IF(AND($C743&gt;=Config!$C$7,$C743&lt;=Config!$C$8),1,0))</f>
        <v>1</v>
      </c>
      <c r="X743" s="108">
        <f>IF($A743="",0,IF(COUNTIF(Config!$C$21:$C$23,$H743)&gt;0,1,0))</f>
        <v>0</v>
      </c>
      <c r="Y743" s="108">
        <f t="shared" si="133"/>
        <v>17</v>
      </c>
      <c r="Z743" s="108" t="str">
        <f t="shared" si="134"/>
        <v/>
      </c>
      <c r="AB743" s="108">
        <f t="shared" si="135"/>
        <v>0</v>
      </c>
      <c r="AC743" s="108">
        <f>IF($A743="",0,IF(AND($AB743=1,COUNTIF($A$2:$A743,$A743)=1),1,0))</f>
        <v>0</v>
      </c>
      <c r="AD743" s="108">
        <f t="shared" si="136"/>
        <v>1</v>
      </c>
      <c r="AE743" s="108" t="str">
        <f t="shared" si="137"/>
        <v/>
      </c>
      <c r="AF743" s="108">
        <f t="shared" si="138"/>
        <v>0</v>
      </c>
      <c r="AG743" s="108">
        <f t="shared" si="139"/>
        <v>0</v>
      </c>
      <c r="AH743" s="110" t="str">
        <f t="shared" si="140"/>
        <v>M. Young|20260831|Review|0.125|Review cards</v>
      </c>
      <c r="AI743" s="108">
        <f t="shared" si="141"/>
        <v>0</v>
      </c>
      <c r="AJ743" s="108">
        <f t="shared" si="142"/>
        <v>0</v>
      </c>
      <c r="AK743" s="108">
        <f>IF($A743="",0,IF(AND($S743=1,$W743=1,$X743=1,$U743&gt;Config!$C$9),1,0))</f>
        <v>0</v>
      </c>
      <c r="AL743" s="108">
        <f t="shared" si="143"/>
        <v>0</v>
      </c>
    </row>
    <row r="744" spans="1:38" x14ac:dyDescent="0.25">
      <c r="A744" s="106" t="s">
        <v>641</v>
      </c>
      <c r="B744" s="106" t="s">
        <v>618</v>
      </c>
      <c r="C744" s="107">
        <v>46265</v>
      </c>
      <c r="D744" s="106" t="s">
        <v>529</v>
      </c>
      <c r="E744" s="106" t="s">
        <v>529</v>
      </c>
      <c r="F744" s="106" t="s">
        <v>615</v>
      </c>
      <c r="G744" s="106"/>
      <c r="H744" s="106" t="s">
        <v>529</v>
      </c>
      <c r="I744" s="106"/>
      <c r="J744" s="106"/>
      <c r="K744" s="106">
        <v>0</v>
      </c>
      <c r="L744" s="106">
        <v>0</v>
      </c>
      <c r="M744" s="106">
        <v>0</v>
      </c>
      <c r="N744" s="106"/>
      <c r="O744" s="106"/>
      <c r="P744" s="106">
        <v>0</v>
      </c>
      <c r="Q744" s="106" t="s">
        <v>1093</v>
      </c>
      <c r="S744" s="108">
        <f>IF($A744="","",COUNTIF(BPOworkers!$B$6:$B$105,$A744))</f>
        <v>0</v>
      </c>
      <c r="T744" s="109">
        <f>IF($A744="","",$K744*Config!$C$9)</f>
        <v>0</v>
      </c>
      <c r="U744" s="109">
        <f>IF($A744="","",IF(COUNTIF(Config!$C$21:$C$23,$H744)&gt;0,IFERROR(VALUE(LEFT(TRIM($Q744),FIND(" ",TRIM($Q744)&amp;" ")-1)),0),0))</f>
        <v>0</v>
      </c>
      <c r="V744" s="109">
        <f t="shared" si="132"/>
        <v>0</v>
      </c>
      <c r="W744" s="108">
        <f>IF($A744="",0,IF(AND($C744&gt;=Config!$C$7,$C744&lt;=Config!$C$8),1,0))</f>
        <v>1</v>
      </c>
      <c r="X744" s="108">
        <f>IF($A744="",0,IF(COUNTIF(Config!$C$21:$C$23,$H744)&gt;0,1,0))</f>
        <v>1</v>
      </c>
      <c r="Y744" s="108">
        <f t="shared" si="133"/>
        <v>17</v>
      </c>
      <c r="Z744" s="108" t="str">
        <f t="shared" si="134"/>
        <v/>
      </c>
      <c r="AB744" s="108">
        <f t="shared" si="135"/>
        <v>0</v>
      </c>
      <c r="AC744" s="108">
        <f>IF($A744="",0,IF(AND($AB744=1,COUNTIF($A$2:$A744,$A744)=1),1,0))</f>
        <v>0</v>
      </c>
      <c r="AD744" s="108">
        <f t="shared" si="136"/>
        <v>1</v>
      </c>
      <c r="AE744" s="108" t="str">
        <f t="shared" si="137"/>
        <v/>
      </c>
      <c r="AF744" s="108">
        <f t="shared" si="138"/>
        <v>0</v>
      </c>
      <c r="AG744" s="108">
        <f t="shared" si="139"/>
        <v>0</v>
      </c>
      <c r="AH744" s="110" t="str">
        <f t="shared" si="140"/>
        <v>M. Young|20260831|Time Off|0.000|Not Billed - 4 hours</v>
      </c>
      <c r="AI744" s="108">
        <f t="shared" si="141"/>
        <v>0</v>
      </c>
      <c r="AJ744" s="108">
        <f t="shared" si="142"/>
        <v>0</v>
      </c>
      <c r="AK744" s="108">
        <f>IF($A744="",0,IF(AND($S744=1,$W744=1,$X744=1,$U744&gt;Config!$C$9),1,0))</f>
        <v>0</v>
      </c>
      <c r="AL744" s="108">
        <f t="shared" si="143"/>
        <v>0</v>
      </c>
    </row>
    <row r="745" spans="1:38" x14ac:dyDescent="0.25">
      <c r="A745" s="106" t="s">
        <v>648</v>
      </c>
      <c r="B745" s="106" t="s">
        <v>618</v>
      </c>
      <c r="C745" s="107">
        <v>46265</v>
      </c>
      <c r="D745" s="106" t="s">
        <v>694</v>
      </c>
      <c r="E745" s="106" t="s">
        <v>695</v>
      </c>
      <c r="F745" s="106" t="s">
        <v>766</v>
      </c>
      <c r="G745" s="106"/>
      <c r="H745" s="106" t="s">
        <v>656</v>
      </c>
      <c r="I745" s="106"/>
      <c r="J745" s="106"/>
      <c r="K745" s="106">
        <v>1</v>
      </c>
      <c r="L745" s="106">
        <v>0</v>
      </c>
      <c r="M745" s="106">
        <v>0</v>
      </c>
      <c r="N745" s="106"/>
      <c r="O745" s="106"/>
      <c r="P745" s="106">
        <v>0</v>
      </c>
      <c r="Q745" s="106" t="s">
        <v>1534</v>
      </c>
      <c r="S745" s="108">
        <f>IF($A745="","",COUNTIF(BPOworkers!$B$6:$B$105,$A745))</f>
        <v>0</v>
      </c>
      <c r="T745" s="109">
        <f>IF($A745="","",$K745*Config!$C$9)</f>
        <v>8</v>
      </c>
      <c r="U745" s="109">
        <f>IF($A745="","",IF(COUNTIF(Config!$C$21:$C$23,$H745)&gt;0,IFERROR(VALUE(LEFT(TRIM($Q745),FIND(" ",TRIM($Q745)&amp;" ")-1)),0),0))</f>
        <v>0</v>
      </c>
      <c r="V745" s="109">
        <f t="shared" si="132"/>
        <v>8</v>
      </c>
      <c r="W745" s="108">
        <f>IF($A745="",0,IF(AND($C745&gt;=Config!$C$7,$C745&lt;=Config!$C$8),1,0))</f>
        <v>1</v>
      </c>
      <c r="X745" s="108">
        <f>IF($A745="",0,IF(COUNTIF(Config!$C$21:$C$23,$H745)&gt;0,1,0))</f>
        <v>0</v>
      </c>
      <c r="Y745" s="108">
        <f t="shared" si="133"/>
        <v>17</v>
      </c>
      <c r="Z745" s="108" t="str">
        <f t="shared" si="134"/>
        <v/>
      </c>
      <c r="AB745" s="108">
        <f t="shared" si="135"/>
        <v>0</v>
      </c>
      <c r="AC745" s="108">
        <f>IF($A745="",0,IF(AND($AB745=1,COUNTIF($A$2:$A745,$A745)=1),1,0))</f>
        <v>0</v>
      </c>
      <c r="AD745" s="108">
        <f t="shared" si="136"/>
        <v>1</v>
      </c>
      <c r="AE745" s="108" t="str">
        <f t="shared" si="137"/>
        <v/>
      </c>
      <c r="AF745" s="108">
        <f t="shared" si="138"/>
        <v>0</v>
      </c>
      <c r="AG745" s="108">
        <f t="shared" si="139"/>
        <v>0</v>
      </c>
      <c r="AH745" s="110" t="str">
        <f t="shared" si="140"/>
        <v>M. Witheridge|20260831|Project Management|1.000|Worked through around 415 pages of cost estimate indexing, and document counting in all of 16-2S-1E.</v>
      </c>
      <c r="AI745" s="108">
        <f t="shared" si="141"/>
        <v>0</v>
      </c>
      <c r="AJ745" s="108">
        <f t="shared" si="142"/>
        <v>0</v>
      </c>
      <c r="AK745" s="108">
        <f>IF($A745="",0,IF(AND($S745=1,$W745=1,$X745=1,$U745&gt;Config!$C$9),1,0))</f>
        <v>0</v>
      </c>
      <c r="AL745" s="108">
        <f t="shared" si="143"/>
        <v>0</v>
      </c>
    </row>
    <row r="746" spans="1:38" x14ac:dyDescent="0.25">
      <c r="A746" s="106" t="s">
        <v>650</v>
      </c>
      <c r="B746" s="106" t="s">
        <v>618</v>
      </c>
      <c r="C746" s="107">
        <v>46265</v>
      </c>
      <c r="D746" s="106" t="s">
        <v>694</v>
      </c>
      <c r="E746" s="106" t="s">
        <v>862</v>
      </c>
      <c r="F746" s="106" t="s">
        <v>766</v>
      </c>
      <c r="G746" s="106" t="s">
        <v>1368</v>
      </c>
      <c r="H746" s="106" t="s">
        <v>631</v>
      </c>
      <c r="I746" s="106"/>
      <c r="J746" s="106"/>
      <c r="K746" s="106">
        <v>1</v>
      </c>
      <c r="L746" s="106">
        <v>0</v>
      </c>
      <c r="M746" s="106">
        <v>0</v>
      </c>
      <c r="N746" s="106"/>
      <c r="O746" s="106"/>
      <c r="P746" s="106">
        <v>0</v>
      </c>
      <c r="Q746" s="106" t="s">
        <v>1535</v>
      </c>
      <c r="S746" s="108">
        <f>IF($A746="","",COUNTIF(BPOworkers!$B$6:$B$105,$A746))</f>
        <v>0</v>
      </c>
      <c r="T746" s="109">
        <f>IF($A746="","",$K746*Config!$C$9)</f>
        <v>8</v>
      </c>
      <c r="U746" s="109">
        <f>IF($A746="","",IF(COUNTIF(Config!$C$21:$C$23,$H746)&gt;0,IFERROR(VALUE(LEFT(TRIM($Q746),FIND(" ",TRIM($Q746)&amp;" ")-1)),0),0))</f>
        <v>0</v>
      </c>
      <c r="V746" s="109">
        <f t="shared" si="132"/>
        <v>8</v>
      </c>
      <c r="W746" s="108">
        <f>IF($A746="",0,IF(AND($C746&gt;=Config!$C$7,$C746&lt;=Config!$C$8),1,0))</f>
        <v>1</v>
      </c>
      <c r="X746" s="108">
        <f>IF($A746="",0,IF(COUNTIF(Config!$C$21:$C$23,$H746)&gt;0,1,0))</f>
        <v>0</v>
      </c>
      <c r="Y746" s="108">
        <f t="shared" si="133"/>
        <v>17</v>
      </c>
      <c r="Z746" s="108" t="str">
        <f t="shared" si="134"/>
        <v/>
      </c>
      <c r="AB746" s="108">
        <f t="shared" si="135"/>
        <v>0</v>
      </c>
      <c r="AC746" s="108">
        <f>IF($A746="",0,IF(AND($AB746=1,COUNTIF($A$2:$A746,$A746)=1),1,0))</f>
        <v>0</v>
      </c>
      <c r="AD746" s="108">
        <f t="shared" si="136"/>
        <v>1</v>
      </c>
      <c r="AE746" s="108" t="str">
        <f t="shared" si="137"/>
        <v/>
      </c>
      <c r="AF746" s="108">
        <f t="shared" si="138"/>
        <v>0</v>
      </c>
      <c r="AG746" s="108">
        <f t="shared" si="139"/>
        <v>0</v>
      </c>
      <c r="AH746" s="110" t="str">
        <f t="shared" si="140"/>
        <v>P. Elliott|20260831|Title|1.000|Was told to help Isabella close the gap in title for her AOI. Reviewed indexes for Duchesne County and added multiple do</v>
      </c>
      <c r="AI746" s="108">
        <f t="shared" si="141"/>
        <v>0</v>
      </c>
      <c r="AJ746" s="108">
        <f t="shared" si="142"/>
        <v>0</v>
      </c>
      <c r="AK746" s="108">
        <f>IF($A746="",0,IF(AND($S746=1,$W746=1,$X746=1,$U746&gt;Config!$C$9),1,0))</f>
        <v>0</v>
      </c>
      <c r="AL746" s="108">
        <f t="shared" si="143"/>
        <v>0</v>
      </c>
    </row>
    <row r="747" spans="1:38" x14ac:dyDescent="0.25">
      <c r="A747" s="106" t="s">
        <v>922</v>
      </c>
      <c r="B747" s="106" t="s">
        <v>618</v>
      </c>
      <c r="C747" s="107">
        <v>46265</v>
      </c>
      <c r="D747" s="106" t="s">
        <v>712</v>
      </c>
      <c r="E747" s="106" t="s">
        <v>713</v>
      </c>
      <c r="F747" s="106" t="s">
        <v>866</v>
      </c>
      <c r="G747" s="106"/>
      <c r="H747" s="106" t="s">
        <v>631</v>
      </c>
      <c r="I747" s="106"/>
      <c r="J747" s="106"/>
      <c r="K747" s="106">
        <v>0.375</v>
      </c>
      <c r="L747" s="106">
        <v>0</v>
      </c>
      <c r="M747" s="106">
        <v>0</v>
      </c>
      <c r="N747" s="106"/>
      <c r="O747" s="106"/>
      <c r="P747" s="106">
        <v>0</v>
      </c>
      <c r="Q747" s="106" t="s">
        <v>1536</v>
      </c>
      <c r="S747" s="108">
        <f>IF($A747="","",COUNTIF(BPOworkers!$B$6:$B$105,$A747))</f>
        <v>0</v>
      </c>
      <c r="T747" s="109">
        <f>IF($A747="","",$K747*Config!$C$9)</f>
        <v>3</v>
      </c>
      <c r="U747" s="109">
        <f>IF($A747="","",IF(COUNTIF(Config!$C$21:$C$23,$H747)&gt;0,IFERROR(VALUE(LEFT(TRIM($Q747),FIND(" ",TRIM($Q747)&amp;" ")-1)),0),0))</f>
        <v>0</v>
      </c>
      <c r="V747" s="109">
        <f t="shared" si="132"/>
        <v>3</v>
      </c>
      <c r="W747" s="108">
        <f>IF($A747="",0,IF(AND($C747&gt;=Config!$C$7,$C747&lt;=Config!$C$8),1,0))</f>
        <v>1</v>
      </c>
      <c r="X747" s="108">
        <f>IF($A747="",0,IF(COUNTIF(Config!$C$21:$C$23,$H747)&gt;0,1,0))</f>
        <v>0</v>
      </c>
      <c r="Y747" s="108">
        <f t="shared" si="133"/>
        <v>17</v>
      </c>
      <c r="Z747" s="108" t="str">
        <f t="shared" si="134"/>
        <v/>
      </c>
      <c r="AB747" s="108">
        <f t="shared" si="135"/>
        <v>0</v>
      </c>
      <c r="AC747" s="108">
        <f>IF($A747="",0,IF(AND($AB747=1,COUNTIF($A$2:$A747,$A747)=1),1,0))</f>
        <v>0</v>
      </c>
      <c r="AD747" s="108">
        <f t="shared" si="136"/>
        <v>1</v>
      </c>
      <c r="AE747" s="108" t="str">
        <f t="shared" si="137"/>
        <v/>
      </c>
      <c r="AF747" s="108">
        <f t="shared" si="138"/>
        <v>0</v>
      </c>
      <c r="AG747" s="108">
        <f t="shared" si="139"/>
        <v>0</v>
      </c>
      <c r="AH747" s="110" t="str">
        <f t="shared" si="140"/>
        <v>S. Laine|20260831|Title|0.375|Continue indexing AOI names and adding appropriate notecards.</v>
      </c>
      <c r="AI747" s="108">
        <f t="shared" si="141"/>
        <v>0</v>
      </c>
      <c r="AJ747" s="108">
        <f t="shared" si="142"/>
        <v>0</v>
      </c>
      <c r="AK747" s="108">
        <f>IF($A747="",0,IF(AND($S747=1,$W747=1,$X747=1,$U747&gt;Config!$C$9),1,0))</f>
        <v>0</v>
      </c>
      <c r="AL747" s="108">
        <f t="shared" si="143"/>
        <v>0</v>
      </c>
    </row>
    <row r="748" spans="1:38" x14ac:dyDescent="0.25">
      <c r="A748" s="106" t="s">
        <v>922</v>
      </c>
      <c r="B748" s="106" t="s">
        <v>618</v>
      </c>
      <c r="C748" s="107">
        <v>46265</v>
      </c>
      <c r="D748" s="106" t="s">
        <v>529</v>
      </c>
      <c r="E748" s="106" t="s">
        <v>529</v>
      </c>
      <c r="F748" s="106" t="s">
        <v>615</v>
      </c>
      <c r="G748" s="106"/>
      <c r="H748" s="106" t="s">
        <v>529</v>
      </c>
      <c r="I748" s="106"/>
      <c r="J748" s="106"/>
      <c r="K748" s="106">
        <v>0</v>
      </c>
      <c r="L748" s="106">
        <v>0</v>
      </c>
      <c r="M748" s="106">
        <v>0</v>
      </c>
      <c r="N748" s="106"/>
      <c r="O748" s="106"/>
      <c r="P748" s="106">
        <v>0</v>
      </c>
      <c r="Q748" s="106" t="s">
        <v>1537</v>
      </c>
      <c r="S748" s="108">
        <f>IF($A748="","",COUNTIF(BPOworkers!$B$6:$B$105,$A748))</f>
        <v>0</v>
      </c>
      <c r="T748" s="109">
        <f>IF($A748="","",$K748*Config!$C$9)</f>
        <v>0</v>
      </c>
      <c r="U748" s="109">
        <f>IF($A748="","",IF(COUNTIF(Config!$C$21:$C$23,$H748)&gt;0,IFERROR(VALUE(LEFT(TRIM($Q748),FIND(" ",TRIM($Q748)&amp;" ")-1)),0),0))</f>
        <v>5</v>
      </c>
      <c r="V748" s="109">
        <f t="shared" si="132"/>
        <v>5</v>
      </c>
      <c r="W748" s="108">
        <f>IF($A748="",0,IF(AND($C748&gt;=Config!$C$7,$C748&lt;=Config!$C$8),1,0))</f>
        <v>1</v>
      </c>
      <c r="X748" s="108">
        <f>IF($A748="",0,IF(COUNTIF(Config!$C$21:$C$23,$H748)&gt;0,1,0))</f>
        <v>1</v>
      </c>
      <c r="Y748" s="108">
        <f t="shared" si="133"/>
        <v>17</v>
      </c>
      <c r="Z748" s="108" t="str">
        <f t="shared" si="134"/>
        <v/>
      </c>
      <c r="AB748" s="108">
        <f t="shared" si="135"/>
        <v>0</v>
      </c>
      <c r="AC748" s="108">
        <f>IF($A748="",0,IF(AND($AB748=1,COUNTIF($A$2:$A748,$A748)=1),1,0))</f>
        <v>0</v>
      </c>
      <c r="AD748" s="108">
        <f t="shared" si="136"/>
        <v>1</v>
      </c>
      <c r="AE748" s="108" t="str">
        <f t="shared" si="137"/>
        <v/>
      </c>
      <c r="AF748" s="108">
        <f t="shared" si="138"/>
        <v>0</v>
      </c>
      <c r="AG748" s="108">
        <f t="shared" si="139"/>
        <v>0</v>
      </c>
      <c r="AH748" s="110" t="str">
        <f t="shared" si="140"/>
        <v>S. Laine|20260831|Time Off|0.000|5.00 time off</v>
      </c>
      <c r="AI748" s="108">
        <f t="shared" si="141"/>
        <v>0</v>
      </c>
      <c r="AJ748" s="108">
        <f t="shared" si="142"/>
        <v>0</v>
      </c>
      <c r="AK748" s="108">
        <f>IF($A748="",0,IF(AND($S748=1,$W748=1,$X748=1,$U748&gt;Config!$C$9),1,0))</f>
        <v>0</v>
      </c>
      <c r="AL748" s="108">
        <f t="shared" si="143"/>
        <v>0</v>
      </c>
    </row>
    <row r="749" spans="1:38" x14ac:dyDescent="0.25">
      <c r="A749" s="106" t="s">
        <v>924</v>
      </c>
      <c r="B749" s="106" t="s">
        <v>618</v>
      </c>
      <c r="C749" s="107">
        <v>46265</v>
      </c>
      <c r="D749" s="106" t="s">
        <v>529</v>
      </c>
      <c r="E749" s="106" t="s">
        <v>529</v>
      </c>
      <c r="F749" s="106" t="s">
        <v>615</v>
      </c>
      <c r="G749" s="106"/>
      <c r="H749" s="106" t="s">
        <v>529</v>
      </c>
      <c r="I749" s="106"/>
      <c r="J749" s="106"/>
      <c r="K749" s="106">
        <v>0</v>
      </c>
      <c r="L749" s="106">
        <v>0</v>
      </c>
      <c r="M749" s="106">
        <v>0</v>
      </c>
      <c r="N749" s="106"/>
      <c r="O749" s="106"/>
      <c r="P749" s="106">
        <v>0</v>
      </c>
      <c r="Q749" s="106" t="s">
        <v>661</v>
      </c>
      <c r="S749" s="108">
        <f>IF($A749="","",COUNTIF(BPOworkers!$B$6:$B$105,$A749))</f>
        <v>0</v>
      </c>
      <c r="T749" s="109">
        <f>IF($A749="","",$K749*Config!$C$9)</f>
        <v>0</v>
      </c>
      <c r="U749" s="109">
        <f>IF($A749="","",IF(COUNTIF(Config!$C$21:$C$23,$H749)&gt;0,IFERROR(VALUE(LEFT(TRIM($Q749),FIND(" ",TRIM($Q749)&amp;" ")-1)),0),0))</f>
        <v>8</v>
      </c>
      <c r="V749" s="109">
        <f t="shared" si="132"/>
        <v>8</v>
      </c>
      <c r="W749" s="108">
        <f>IF($A749="",0,IF(AND($C749&gt;=Config!$C$7,$C749&lt;=Config!$C$8),1,0))</f>
        <v>1</v>
      </c>
      <c r="X749" s="108">
        <f>IF($A749="",0,IF(COUNTIF(Config!$C$21:$C$23,$H749)&gt;0,1,0))</f>
        <v>1</v>
      </c>
      <c r="Y749" s="108">
        <f t="shared" si="133"/>
        <v>17</v>
      </c>
      <c r="Z749" s="108" t="str">
        <f t="shared" si="134"/>
        <v/>
      </c>
      <c r="AB749" s="108">
        <f t="shared" si="135"/>
        <v>0</v>
      </c>
      <c r="AC749" s="108">
        <f>IF($A749="",0,IF(AND($AB749=1,COUNTIF($A$2:$A749,$A749)=1),1,0))</f>
        <v>0</v>
      </c>
      <c r="AD749" s="108">
        <f t="shared" si="136"/>
        <v>1</v>
      </c>
      <c r="AE749" s="108" t="str">
        <f t="shared" si="137"/>
        <v/>
      </c>
      <c r="AF749" s="108">
        <f t="shared" si="138"/>
        <v>0</v>
      </c>
      <c r="AG749" s="108">
        <f t="shared" si="139"/>
        <v>0</v>
      </c>
      <c r="AH749" s="110" t="str">
        <f t="shared" si="140"/>
        <v>B. Shlemon|20260831|Time Off|0.000|8 hours not billed</v>
      </c>
      <c r="AI749" s="108">
        <f t="shared" si="141"/>
        <v>0</v>
      </c>
      <c r="AJ749" s="108">
        <f t="shared" si="142"/>
        <v>0</v>
      </c>
      <c r="AK749" s="108">
        <f>IF($A749="",0,IF(AND($S749=1,$W749=1,$X749=1,$U749&gt;Config!$C$9),1,0))</f>
        <v>0</v>
      </c>
      <c r="AL749" s="108">
        <f t="shared" si="143"/>
        <v>0</v>
      </c>
    </row>
    <row r="750" spans="1:38" x14ac:dyDescent="0.25">
      <c r="A750" s="106" t="s">
        <v>652</v>
      </c>
      <c r="B750" s="106" t="s">
        <v>618</v>
      </c>
      <c r="C750" s="107">
        <v>46265</v>
      </c>
      <c r="D750" s="106" t="s">
        <v>635</v>
      </c>
      <c r="E750" s="106" t="s">
        <v>636</v>
      </c>
      <c r="F750" s="106" t="s">
        <v>637</v>
      </c>
      <c r="G750" s="106" t="s">
        <v>925</v>
      </c>
      <c r="H750" s="106" t="s">
        <v>656</v>
      </c>
      <c r="I750" s="106"/>
      <c r="J750" s="106"/>
      <c r="K750" s="106">
        <v>0.75</v>
      </c>
      <c r="L750" s="106">
        <v>0</v>
      </c>
      <c r="M750" s="106">
        <v>0</v>
      </c>
      <c r="N750" s="106"/>
      <c r="O750" s="106"/>
      <c r="P750" s="106">
        <v>0</v>
      </c>
      <c r="Q750" s="106" t="s">
        <v>1233</v>
      </c>
      <c r="S750" s="108">
        <f>IF($A750="","",COUNTIF(BPOworkers!$B$6:$B$105,$A750))</f>
        <v>0</v>
      </c>
      <c r="T750" s="109">
        <f>IF($A750="","",$K750*Config!$C$9)</f>
        <v>6</v>
      </c>
      <c r="U750" s="109">
        <f>IF($A750="","",IF(COUNTIF(Config!$C$21:$C$23,$H750)&gt;0,IFERROR(VALUE(LEFT(TRIM($Q750),FIND(" ",TRIM($Q750)&amp;" ")-1)),0),0))</f>
        <v>0</v>
      </c>
      <c r="V750" s="109">
        <f t="shared" si="132"/>
        <v>6</v>
      </c>
      <c r="W750" s="108">
        <f>IF($A750="",0,IF(AND($C750&gt;=Config!$C$7,$C750&lt;=Config!$C$8),1,0))</f>
        <v>1</v>
      </c>
      <c r="X750" s="108">
        <f>IF($A750="",0,IF(COUNTIF(Config!$C$21:$C$23,$H750)&gt;0,1,0))</f>
        <v>0</v>
      </c>
      <c r="Y750" s="108">
        <f t="shared" si="133"/>
        <v>17</v>
      </c>
      <c r="Z750" s="108" t="str">
        <f t="shared" si="134"/>
        <v/>
      </c>
      <c r="AB750" s="108">
        <f t="shared" si="135"/>
        <v>0</v>
      </c>
      <c r="AC750" s="108">
        <f>IF($A750="",0,IF(AND($AB750=1,COUNTIF($A$2:$A750,$A750)=1),1,0))</f>
        <v>0</v>
      </c>
      <c r="AD750" s="108">
        <f t="shared" si="136"/>
        <v>1</v>
      </c>
      <c r="AE750" s="108" t="str">
        <f t="shared" si="137"/>
        <v/>
      </c>
      <c r="AF750" s="108">
        <f t="shared" si="138"/>
        <v>0</v>
      </c>
      <c r="AG750" s="108">
        <f t="shared" si="139"/>
        <v>0</v>
      </c>
      <c r="AH750" s="110" t="str">
        <f t="shared" si="140"/>
        <v>J. Greenlee|20260831|Project Management|0.750|Direction of reviewers. Correspondence with team and management. Prep of client deliverables and addresses lookup and re</v>
      </c>
      <c r="AI750" s="108">
        <f t="shared" si="141"/>
        <v>0</v>
      </c>
      <c r="AJ750" s="108">
        <f t="shared" si="142"/>
        <v>0</v>
      </c>
      <c r="AK750" s="108">
        <f>IF($A750="",0,IF(AND($S750=1,$W750=1,$X750=1,$U750&gt;Config!$C$9),1,0))</f>
        <v>0</v>
      </c>
      <c r="AL750" s="108">
        <f t="shared" si="143"/>
        <v>0</v>
      </c>
    </row>
    <row r="751" spans="1:38" x14ac:dyDescent="0.25">
      <c r="A751" s="106" t="s">
        <v>652</v>
      </c>
      <c r="B751" s="106" t="s">
        <v>618</v>
      </c>
      <c r="C751" s="107">
        <v>46265</v>
      </c>
      <c r="D751" s="106" t="s">
        <v>1082</v>
      </c>
      <c r="E751" s="106" t="s">
        <v>773</v>
      </c>
      <c r="F751" s="106" t="s">
        <v>943</v>
      </c>
      <c r="G751" s="106" t="s">
        <v>1234</v>
      </c>
      <c r="H751" s="106" t="s">
        <v>631</v>
      </c>
      <c r="I751" s="106"/>
      <c r="J751" s="106"/>
      <c r="K751" s="106">
        <v>0.375</v>
      </c>
      <c r="L751" s="106">
        <v>0</v>
      </c>
      <c r="M751" s="106">
        <v>0</v>
      </c>
      <c r="N751" s="106"/>
      <c r="O751" s="106"/>
      <c r="P751" s="106">
        <v>0</v>
      </c>
      <c r="Q751" s="106" t="s">
        <v>1538</v>
      </c>
      <c r="S751" s="108">
        <f>IF($A751="","",COUNTIF(BPOworkers!$B$6:$B$105,$A751))</f>
        <v>0</v>
      </c>
      <c r="T751" s="109">
        <f>IF($A751="","",$K751*Config!$C$9)</f>
        <v>3</v>
      </c>
      <c r="U751" s="109">
        <f>IF($A751="","",IF(COUNTIF(Config!$C$21:$C$23,$H751)&gt;0,IFERROR(VALUE(LEFT(TRIM($Q751),FIND(" ",TRIM($Q751)&amp;" ")-1)),0),0))</f>
        <v>0</v>
      </c>
      <c r="V751" s="109">
        <f t="shared" si="132"/>
        <v>3</v>
      </c>
      <c r="W751" s="108">
        <f>IF($A751="",0,IF(AND($C751&gt;=Config!$C$7,$C751&lt;=Config!$C$8),1,0))</f>
        <v>1</v>
      </c>
      <c r="X751" s="108">
        <f>IF($A751="",0,IF(COUNTIF(Config!$C$21:$C$23,$H751)&gt;0,1,0))</f>
        <v>0</v>
      </c>
      <c r="Y751" s="108">
        <f t="shared" si="133"/>
        <v>17</v>
      </c>
      <c r="Z751" s="108" t="str">
        <f t="shared" si="134"/>
        <v/>
      </c>
      <c r="AB751" s="108">
        <f t="shared" si="135"/>
        <v>0</v>
      </c>
      <c r="AC751" s="108">
        <f>IF($A751="",0,IF(AND($AB751=1,COUNTIF($A$2:$A751,$A751)=1),1,0))</f>
        <v>0</v>
      </c>
      <c r="AD751" s="108">
        <f t="shared" si="136"/>
        <v>1</v>
      </c>
      <c r="AE751" s="108" t="str">
        <f t="shared" si="137"/>
        <v/>
      </c>
      <c r="AF751" s="108">
        <f t="shared" si="138"/>
        <v>0</v>
      </c>
      <c r="AG751" s="108">
        <f t="shared" si="139"/>
        <v>0</v>
      </c>
      <c r="AH751" s="110" t="str">
        <f t="shared" si="140"/>
        <v>J. Greenlee|20260831|Title|0.375|BLM title review and begin of county reconciliation and location of docs prior to lease file availability. County partie</v>
      </c>
      <c r="AI751" s="108">
        <f t="shared" si="141"/>
        <v>0</v>
      </c>
      <c r="AJ751" s="108">
        <f t="shared" si="142"/>
        <v>0</v>
      </c>
      <c r="AK751" s="108">
        <f>IF($A751="",0,IF(AND($S751=1,$W751=1,$X751=1,$U751&gt;Config!$C$9),1,0))</f>
        <v>0</v>
      </c>
      <c r="AL751" s="108">
        <f t="shared" si="143"/>
        <v>0</v>
      </c>
    </row>
    <row r="752" spans="1:38" x14ac:dyDescent="0.25">
      <c r="A752" s="106" t="s">
        <v>653</v>
      </c>
      <c r="B752" s="106" t="s">
        <v>614</v>
      </c>
      <c r="C752" s="107">
        <v>46265</v>
      </c>
      <c r="D752" s="106" t="s">
        <v>623</v>
      </c>
      <c r="E752" s="106" t="s">
        <v>624</v>
      </c>
      <c r="F752" s="106" t="s">
        <v>615</v>
      </c>
      <c r="G752" s="106" t="s">
        <v>625</v>
      </c>
      <c r="H752" s="106" t="s">
        <v>830</v>
      </c>
      <c r="I752" s="106" t="s">
        <v>657</v>
      </c>
      <c r="J752" s="106"/>
      <c r="K752" s="106">
        <v>0.25</v>
      </c>
      <c r="L752" s="106">
        <v>0</v>
      </c>
      <c r="M752" s="106">
        <v>0</v>
      </c>
      <c r="N752" s="106"/>
      <c r="O752" s="106"/>
      <c r="P752" s="106">
        <v>0</v>
      </c>
      <c r="Q752" s="106" t="s">
        <v>928</v>
      </c>
      <c r="S752" s="108">
        <f>IF($A752="","",COUNTIF(BPOworkers!$B$6:$B$105,$A752))</f>
        <v>0</v>
      </c>
      <c r="T752" s="109">
        <f>IF($A752="","",$K752*Config!$C$9)</f>
        <v>2</v>
      </c>
      <c r="U752" s="109">
        <f>IF($A752="","",IF(COUNTIF(Config!$C$21:$C$23,$H752)&gt;0,IFERROR(VALUE(LEFT(TRIM($Q752),FIND(" ",TRIM($Q752)&amp;" ")-1)),0),0))</f>
        <v>0</v>
      </c>
      <c r="V752" s="109">
        <f t="shared" si="132"/>
        <v>2</v>
      </c>
      <c r="W752" s="108">
        <f>IF($A752="",0,IF(AND($C752&gt;=Config!$C$7,$C752&lt;=Config!$C$8),1,0))</f>
        <v>1</v>
      </c>
      <c r="X752" s="108">
        <f>IF($A752="",0,IF(COUNTIF(Config!$C$21:$C$23,$H752)&gt;0,1,0))</f>
        <v>0</v>
      </c>
      <c r="Y752" s="108">
        <f t="shared" si="133"/>
        <v>17</v>
      </c>
      <c r="Z752" s="108" t="str">
        <f t="shared" si="134"/>
        <v/>
      </c>
      <c r="AB752" s="108">
        <f t="shared" si="135"/>
        <v>0</v>
      </c>
      <c r="AC752" s="108">
        <f>IF($A752="",0,IF(AND($AB752=1,COUNTIF($A$2:$A752,$A752)=1),1,0))</f>
        <v>0</v>
      </c>
      <c r="AD752" s="108">
        <f t="shared" si="136"/>
        <v>1</v>
      </c>
      <c r="AE752" s="108" t="str">
        <f t="shared" si="137"/>
        <v/>
      </c>
      <c r="AF752" s="108">
        <f t="shared" si="138"/>
        <v>0</v>
      </c>
      <c r="AG752" s="108">
        <f t="shared" si="139"/>
        <v>0</v>
      </c>
      <c r="AH752" s="110" t="str">
        <f t="shared" si="140"/>
        <v>J. Howell|20260831|Training - TLS|0.250|Sponsored</v>
      </c>
      <c r="AI752" s="108">
        <f t="shared" si="141"/>
        <v>0</v>
      </c>
      <c r="AJ752" s="108">
        <f t="shared" si="142"/>
        <v>0</v>
      </c>
      <c r="AK752" s="108">
        <f>IF($A752="",0,IF(AND($S752=1,$W752=1,$X752=1,$U752&gt;Config!$C$9),1,0))</f>
        <v>0</v>
      </c>
      <c r="AL752" s="108">
        <f t="shared" si="143"/>
        <v>0</v>
      </c>
    </row>
    <row r="753" spans="1:38" x14ac:dyDescent="0.25">
      <c r="A753" s="106" t="s">
        <v>653</v>
      </c>
      <c r="B753" s="106" t="s">
        <v>614</v>
      </c>
      <c r="C753" s="107">
        <v>46265</v>
      </c>
      <c r="D753" s="106" t="s">
        <v>623</v>
      </c>
      <c r="E753" s="106" t="s">
        <v>624</v>
      </c>
      <c r="F753" s="106" t="s">
        <v>615</v>
      </c>
      <c r="G753" s="106" t="s">
        <v>625</v>
      </c>
      <c r="H753" s="106" t="s">
        <v>929</v>
      </c>
      <c r="I753" s="106" t="s">
        <v>657</v>
      </c>
      <c r="J753" s="106"/>
      <c r="K753" s="106">
        <v>0.375</v>
      </c>
      <c r="L753" s="106">
        <v>0</v>
      </c>
      <c r="M753" s="106">
        <v>0</v>
      </c>
      <c r="N753" s="106"/>
      <c r="O753" s="106"/>
      <c r="P753" s="106">
        <v>0</v>
      </c>
      <c r="Q753" s="106" t="s">
        <v>1371</v>
      </c>
      <c r="S753" s="108">
        <f>IF($A753="","",COUNTIF(BPOworkers!$B$6:$B$105,$A753))</f>
        <v>0</v>
      </c>
      <c r="T753" s="109">
        <f>IF($A753="","",$K753*Config!$C$9)</f>
        <v>3</v>
      </c>
      <c r="U753" s="109">
        <f>IF($A753="","",IF(COUNTIF(Config!$C$21:$C$23,$H753)&gt;0,IFERROR(VALUE(LEFT(TRIM($Q753),FIND(" ",TRIM($Q753)&amp;" ")-1)),0),0))</f>
        <v>0</v>
      </c>
      <c r="V753" s="109">
        <f t="shared" si="132"/>
        <v>3</v>
      </c>
      <c r="W753" s="108">
        <f>IF($A753="",0,IF(AND($C753&gt;=Config!$C$7,$C753&lt;=Config!$C$8),1,0))</f>
        <v>1</v>
      </c>
      <c r="X753" s="108">
        <f>IF($A753="",0,IF(COUNTIF(Config!$C$21:$C$23,$H753)&gt;0,1,0))</f>
        <v>0</v>
      </c>
      <c r="Y753" s="108">
        <f t="shared" si="133"/>
        <v>17</v>
      </c>
      <c r="Z753" s="108" t="str">
        <f t="shared" si="134"/>
        <v/>
      </c>
      <c r="AB753" s="108">
        <f t="shared" si="135"/>
        <v>0</v>
      </c>
      <c r="AC753" s="108">
        <f>IF($A753="",0,IF(AND($AB753=1,COUNTIF($A$2:$A753,$A753)=1),1,0))</f>
        <v>0</v>
      </c>
      <c r="AD753" s="108">
        <f t="shared" si="136"/>
        <v>1</v>
      </c>
      <c r="AE753" s="108" t="str">
        <f t="shared" si="137"/>
        <v/>
      </c>
      <c r="AF753" s="108">
        <f t="shared" si="138"/>
        <v>0</v>
      </c>
      <c r="AG753" s="108">
        <f t="shared" si="139"/>
        <v>0</v>
      </c>
      <c r="AH753" s="110" t="str">
        <f t="shared" si="140"/>
        <v>J. Howell|20260831|Business Development|0.375|Support Request - Atlassian</v>
      </c>
      <c r="AI753" s="108">
        <f t="shared" si="141"/>
        <v>0</v>
      </c>
      <c r="AJ753" s="108">
        <f t="shared" si="142"/>
        <v>0</v>
      </c>
      <c r="AK753" s="108">
        <f>IF($A753="",0,IF(AND($S753=1,$W753=1,$X753=1,$U753&gt;Config!$C$9),1,0))</f>
        <v>0</v>
      </c>
      <c r="AL753" s="108">
        <f t="shared" si="143"/>
        <v>0</v>
      </c>
    </row>
    <row r="754" spans="1:38" x14ac:dyDescent="0.25">
      <c r="A754" s="106" t="s">
        <v>653</v>
      </c>
      <c r="B754" s="106" t="s">
        <v>614</v>
      </c>
      <c r="C754" s="107">
        <v>46265</v>
      </c>
      <c r="D754" s="106" t="s">
        <v>623</v>
      </c>
      <c r="E754" s="106" t="s">
        <v>624</v>
      </c>
      <c r="F754" s="106" t="s">
        <v>615</v>
      </c>
      <c r="G754" s="106" t="s">
        <v>625</v>
      </c>
      <c r="H754" s="106" t="s">
        <v>931</v>
      </c>
      <c r="I754" s="106" t="s">
        <v>657</v>
      </c>
      <c r="J754" s="106"/>
      <c r="K754" s="106">
        <v>0.25</v>
      </c>
      <c r="L754" s="106">
        <v>0</v>
      </c>
      <c r="M754" s="106">
        <v>0</v>
      </c>
      <c r="N754" s="106"/>
      <c r="O754" s="106"/>
      <c r="P754" s="106">
        <v>0</v>
      </c>
      <c r="Q754" s="106"/>
      <c r="S754" s="108">
        <f>IF($A754="","",COUNTIF(BPOworkers!$B$6:$B$105,$A754))</f>
        <v>0</v>
      </c>
      <c r="T754" s="109">
        <f>IF($A754="","",$K754*Config!$C$9)</f>
        <v>2</v>
      </c>
      <c r="U754" s="109">
        <f>IF($A754="","",IF(COUNTIF(Config!$C$21:$C$23,$H754)&gt;0,IFERROR(VALUE(LEFT(TRIM($Q754),FIND(" ",TRIM($Q754)&amp;" ")-1)),0),0))</f>
        <v>0</v>
      </c>
      <c r="V754" s="109">
        <f t="shared" si="132"/>
        <v>2</v>
      </c>
      <c r="W754" s="108">
        <f>IF($A754="",0,IF(AND($C754&gt;=Config!$C$7,$C754&lt;=Config!$C$8),1,0))</f>
        <v>1</v>
      </c>
      <c r="X754" s="108">
        <f>IF($A754="",0,IF(COUNTIF(Config!$C$21:$C$23,$H754)&gt;0,1,0))</f>
        <v>0</v>
      </c>
      <c r="Y754" s="108">
        <f t="shared" si="133"/>
        <v>17</v>
      </c>
      <c r="Z754" s="108" t="str">
        <f t="shared" si="134"/>
        <v/>
      </c>
      <c r="AB754" s="108">
        <f t="shared" si="135"/>
        <v>0</v>
      </c>
      <c r="AC754" s="108">
        <f>IF($A754="",0,IF(AND($AB754=1,COUNTIF($A$2:$A754,$A754)=1),1,0))</f>
        <v>0</v>
      </c>
      <c r="AD754" s="108">
        <f t="shared" si="136"/>
        <v>1</v>
      </c>
      <c r="AE754" s="108" t="str">
        <f t="shared" si="137"/>
        <v/>
      </c>
      <c r="AF754" s="108">
        <f t="shared" si="138"/>
        <v>0</v>
      </c>
      <c r="AG754" s="108">
        <f t="shared" si="139"/>
        <v>0</v>
      </c>
      <c r="AH754" s="110" t="str">
        <f t="shared" si="140"/>
        <v>J. Howell|20260831|Support|0.250|</v>
      </c>
      <c r="AI754" s="108">
        <f t="shared" si="141"/>
        <v>0</v>
      </c>
      <c r="AJ754" s="108">
        <f t="shared" si="142"/>
        <v>0</v>
      </c>
      <c r="AK754" s="108">
        <f>IF($A754="",0,IF(AND($S754=1,$W754=1,$X754=1,$U754&gt;Config!$C$9),1,0))</f>
        <v>0</v>
      </c>
      <c r="AL754" s="108">
        <f t="shared" si="143"/>
        <v>0</v>
      </c>
    </row>
    <row r="755" spans="1:38" x14ac:dyDescent="0.25">
      <c r="A755" s="106" t="s">
        <v>653</v>
      </c>
      <c r="B755" s="106" t="s">
        <v>614</v>
      </c>
      <c r="C755" s="107">
        <v>46265</v>
      </c>
      <c r="D755" s="106" t="s">
        <v>623</v>
      </c>
      <c r="E755" s="106" t="s">
        <v>624</v>
      </c>
      <c r="F755" s="106" t="s">
        <v>615</v>
      </c>
      <c r="G755" s="106" t="s">
        <v>625</v>
      </c>
      <c r="H755" s="106" t="s">
        <v>929</v>
      </c>
      <c r="I755" s="106" t="s">
        <v>657</v>
      </c>
      <c r="J755" s="106"/>
      <c r="K755" s="106">
        <v>0.125</v>
      </c>
      <c r="L755" s="106">
        <v>0</v>
      </c>
      <c r="M755" s="106">
        <v>0</v>
      </c>
      <c r="N755" s="106"/>
      <c r="O755" s="106"/>
      <c r="P755" s="106">
        <v>0</v>
      </c>
      <c r="Q755" s="106" t="s">
        <v>1539</v>
      </c>
      <c r="S755" s="108">
        <f>IF($A755="","",COUNTIF(BPOworkers!$B$6:$B$105,$A755))</f>
        <v>0</v>
      </c>
      <c r="T755" s="109">
        <f>IF($A755="","",$K755*Config!$C$9)</f>
        <v>1</v>
      </c>
      <c r="U755" s="109">
        <f>IF($A755="","",IF(COUNTIF(Config!$C$21:$C$23,$H755)&gt;0,IFERROR(VALUE(LEFT(TRIM($Q755),FIND(" ",TRIM($Q755)&amp;" ")-1)),0),0))</f>
        <v>0</v>
      </c>
      <c r="V755" s="109">
        <f t="shared" si="132"/>
        <v>1</v>
      </c>
      <c r="W755" s="108">
        <f>IF($A755="",0,IF(AND($C755&gt;=Config!$C$7,$C755&lt;=Config!$C$8),1,0))</f>
        <v>1</v>
      </c>
      <c r="X755" s="108">
        <f>IF($A755="",0,IF(COUNTIF(Config!$C$21:$C$23,$H755)&gt;0,1,0))</f>
        <v>0</v>
      </c>
      <c r="Y755" s="108">
        <f t="shared" si="133"/>
        <v>17</v>
      </c>
      <c r="Z755" s="108" t="str">
        <f t="shared" si="134"/>
        <v/>
      </c>
      <c r="AB755" s="108">
        <f t="shared" si="135"/>
        <v>0</v>
      </c>
      <c r="AC755" s="108">
        <f>IF($A755="",0,IF(AND($AB755=1,COUNTIF($A$2:$A755,$A755)=1),1,0))</f>
        <v>0</v>
      </c>
      <c r="AD755" s="108">
        <f t="shared" si="136"/>
        <v>1</v>
      </c>
      <c r="AE755" s="108" t="str">
        <f t="shared" si="137"/>
        <v/>
      </c>
      <c r="AF755" s="108">
        <f t="shared" si="138"/>
        <v>0</v>
      </c>
      <c r="AG755" s="108">
        <f t="shared" si="139"/>
        <v>0</v>
      </c>
      <c r="AH755" s="110" t="str">
        <f t="shared" si="140"/>
        <v>J. Howell|20260831|Business Development|0.125|Weekly Dev call</v>
      </c>
      <c r="AI755" s="108">
        <f t="shared" si="141"/>
        <v>0</v>
      </c>
      <c r="AJ755" s="108">
        <f t="shared" si="142"/>
        <v>0</v>
      </c>
      <c r="AK755" s="108">
        <f>IF($A755="",0,IF(AND($S755=1,$W755=1,$X755=1,$U755&gt;Config!$C$9),1,0))</f>
        <v>0</v>
      </c>
      <c r="AL755" s="108">
        <f t="shared" si="143"/>
        <v>0</v>
      </c>
    </row>
    <row r="756" spans="1:38" x14ac:dyDescent="0.25">
      <c r="A756" s="106" t="s">
        <v>653</v>
      </c>
      <c r="B756" s="106" t="s">
        <v>614</v>
      </c>
      <c r="C756" s="107">
        <v>46265</v>
      </c>
      <c r="D756" s="106" t="s">
        <v>623</v>
      </c>
      <c r="E756" s="106" t="s">
        <v>624</v>
      </c>
      <c r="F756" s="106" t="s">
        <v>615</v>
      </c>
      <c r="G756" s="106" t="s">
        <v>625</v>
      </c>
      <c r="H756" s="106" t="s">
        <v>830</v>
      </c>
      <c r="I756" s="106" t="s">
        <v>657</v>
      </c>
      <c r="J756" s="106"/>
      <c r="K756" s="106">
        <v>0.125</v>
      </c>
      <c r="L756" s="106">
        <v>0</v>
      </c>
      <c r="M756" s="106">
        <v>0</v>
      </c>
      <c r="N756" s="106"/>
      <c r="O756" s="106"/>
      <c r="P756" s="106">
        <v>0</v>
      </c>
      <c r="Q756" s="106" t="s">
        <v>1540</v>
      </c>
      <c r="S756" s="108">
        <f>IF($A756="","",COUNTIF(BPOworkers!$B$6:$B$105,$A756))</f>
        <v>0</v>
      </c>
      <c r="T756" s="109">
        <f>IF($A756="","",$K756*Config!$C$9)</f>
        <v>1</v>
      </c>
      <c r="U756" s="109">
        <f>IF($A756="","",IF(COUNTIF(Config!$C$21:$C$23,$H756)&gt;0,IFERROR(VALUE(LEFT(TRIM($Q756),FIND(" ",TRIM($Q756)&amp;" ")-1)),0),0))</f>
        <v>0</v>
      </c>
      <c r="V756" s="109">
        <f t="shared" si="132"/>
        <v>1</v>
      </c>
      <c r="W756" s="108">
        <f>IF($A756="",0,IF(AND($C756&gt;=Config!$C$7,$C756&lt;=Config!$C$8),1,0))</f>
        <v>1</v>
      </c>
      <c r="X756" s="108">
        <f>IF($A756="",0,IF(COUNTIF(Config!$C$21:$C$23,$H756)&gt;0,1,0))</f>
        <v>0</v>
      </c>
      <c r="Y756" s="108">
        <f t="shared" si="133"/>
        <v>17</v>
      </c>
      <c r="Z756" s="108" t="str">
        <f t="shared" si="134"/>
        <v/>
      </c>
      <c r="AB756" s="108">
        <f t="shared" si="135"/>
        <v>0</v>
      </c>
      <c r="AC756" s="108">
        <f>IF($A756="",0,IF(AND($AB756=1,COUNTIF($A$2:$A756,$A756)=1),1,0))</f>
        <v>0</v>
      </c>
      <c r="AD756" s="108">
        <f t="shared" si="136"/>
        <v>1</v>
      </c>
      <c r="AE756" s="108" t="str">
        <f t="shared" si="137"/>
        <v/>
      </c>
      <c r="AF756" s="108">
        <f t="shared" si="138"/>
        <v>0</v>
      </c>
      <c r="AG756" s="108">
        <f t="shared" si="139"/>
        <v>0</v>
      </c>
      <c r="AH756" s="110" t="str">
        <f t="shared" si="140"/>
        <v>J. Howell|20260831|Training - TLS|0.125|Client - OGX call</v>
      </c>
      <c r="AI756" s="108">
        <f t="shared" si="141"/>
        <v>0</v>
      </c>
      <c r="AJ756" s="108">
        <f t="shared" si="142"/>
        <v>0</v>
      </c>
      <c r="AK756" s="108">
        <f>IF($A756="",0,IF(AND($S756=1,$W756=1,$X756=1,$U756&gt;Config!$C$9),1,0))</f>
        <v>0</v>
      </c>
      <c r="AL756" s="108">
        <f t="shared" si="143"/>
        <v>0</v>
      </c>
    </row>
    <row r="757" spans="1:38" x14ac:dyDescent="0.25">
      <c r="A757" s="106" t="s">
        <v>655</v>
      </c>
      <c r="B757" s="106" t="s">
        <v>618</v>
      </c>
      <c r="C757" s="107">
        <v>46265</v>
      </c>
      <c r="D757" s="106" t="s">
        <v>623</v>
      </c>
      <c r="E757" s="106" t="s">
        <v>624</v>
      </c>
      <c r="F757" s="106" t="s">
        <v>615</v>
      </c>
      <c r="G757" s="106" t="s">
        <v>625</v>
      </c>
      <c r="H757" s="106" t="s">
        <v>656</v>
      </c>
      <c r="I757" s="106" t="s">
        <v>657</v>
      </c>
      <c r="J757" s="106" t="s">
        <v>1541</v>
      </c>
      <c r="K757" s="106">
        <v>1</v>
      </c>
      <c r="L757" s="106">
        <v>0</v>
      </c>
      <c r="M757" s="106">
        <v>0</v>
      </c>
      <c r="N757" s="106"/>
      <c r="O757" s="106"/>
      <c r="P757" s="106">
        <v>0</v>
      </c>
      <c r="Q757" s="106" t="s">
        <v>1542</v>
      </c>
      <c r="S757" s="108">
        <f>IF($A757="","",COUNTIF(BPOworkers!$B$6:$B$105,$A757))</f>
        <v>0</v>
      </c>
      <c r="T757" s="109">
        <f>IF($A757="","",$K757*Config!$C$9)</f>
        <v>8</v>
      </c>
      <c r="U757" s="109">
        <f>IF($A757="","",IF(COUNTIF(Config!$C$21:$C$23,$H757)&gt;0,IFERROR(VALUE(LEFT(TRIM($Q757),FIND(" ",TRIM($Q757)&amp;" ")-1)),0),0))</f>
        <v>0</v>
      </c>
      <c r="V757" s="109">
        <f t="shared" si="132"/>
        <v>8</v>
      </c>
      <c r="W757" s="108">
        <f>IF($A757="",0,IF(AND($C757&gt;=Config!$C$7,$C757&lt;=Config!$C$8),1,0))</f>
        <v>1</v>
      </c>
      <c r="X757" s="108">
        <f>IF($A757="",0,IF(COUNTIF(Config!$C$21:$C$23,$H757)&gt;0,1,0))</f>
        <v>0</v>
      </c>
      <c r="Y757" s="108">
        <f t="shared" si="133"/>
        <v>17</v>
      </c>
      <c r="Z757" s="108" t="str">
        <f t="shared" si="134"/>
        <v/>
      </c>
      <c r="AB757" s="108">
        <f t="shared" si="135"/>
        <v>0</v>
      </c>
      <c r="AC757" s="108">
        <f>IF($A757="",0,IF(AND($AB757=1,COUNTIF($A$2:$A757,$A757)=1),1,0))</f>
        <v>0</v>
      </c>
      <c r="AD757" s="108">
        <f t="shared" si="136"/>
        <v>1</v>
      </c>
      <c r="AE757" s="108" t="str">
        <f t="shared" si="137"/>
        <v/>
      </c>
      <c r="AF757" s="108">
        <f t="shared" si="138"/>
        <v>0</v>
      </c>
      <c r="AG757" s="108">
        <f t="shared" si="139"/>
        <v>0</v>
      </c>
      <c r="AH757" s="110" t="str">
        <f t="shared" si="140"/>
        <v>A. Beato|20260831|Project Management|1.000|Prepared the Tracts Command Center repository for handoff to Adam by completing a pre-handoff security audit, adding a s</v>
      </c>
      <c r="AI757" s="108">
        <f t="shared" si="141"/>
        <v>0</v>
      </c>
      <c r="AJ757" s="108">
        <f t="shared" si="142"/>
        <v>0</v>
      </c>
      <c r="AK757" s="108">
        <f>IF($A757="",0,IF(AND($S757=1,$W757=1,$X757=1,$U757&gt;Config!$C$9),1,0))</f>
        <v>0</v>
      </c>
      <c r="AL757" s="108">
        <f t="shared" si="143"/>
        <v>0</v>
      </c>
    </row>
    <row r="758" spans="1:38" x14ac:dyDescent="0.25">
      <c r="A758" s="106" t="s">
        <v>660</v>
      </c>
      <c r="B758" s="106" t="s">
        <v>618</v>
      </c>
      <c r="C758" s="107">
        <v>46265</v>
      </c>
      <c r="D758" s="106" t="s">
        <v>712</v>
      </c>
      <c r="E758" s="106" t="s">
        <v>713</v>
      </c>
      <c r="F758" s="106" t="s">
        <v>714</v>
      </c>
      <c r="G758" s="106" t="s">
        <v>730</v>
      </c>
      <c r="H758" s="106" t="s">
        <v>631</v>
      </c>
      <c r="I758" s="106"/>
      <c r="J758" s="106"/>
      <c r="K758" s="106">
        <v>0.75</v>
      </c>
      <c r="L758" s="106">
        <v>0</v>
      </c>
      <c r="M758" s="106">
        <v>0</v>
      </c>
      <c r="N758" s="106"/>
      <c r="O758" s="106"/>
      <c r="P758" s="106">
        <v>0</v>
      </c>
      <c r="Q758" s="106" t="s">
        <v>1243</v>
      </c>
      <c r="S758" s="108">
        <f>IF($A758="","",COUNTIF(BPOworkers!$B$6:$B$105,$A758))</f>
        <v>0</v>
      </c>
      <c r="T758" s="109">
        <f>IF($A758="","",$K758*Config!$C$9)</f>
        <v>6</v>
      </c>
      <c r="U758" s="109">
        <f>IF($A758="","",IF(COUNTIF(Config!$C$21:$C$23,$H758)&gt;0,IFERROR(VALUE(LEFT(TRIM($Q758),FIND(" ",TRIM($Q758)&amp;" ")-1)),0),0))</f>
        <v>0</v>
      </c>
      <c r="V758" s="109">
        <f t="shared" si="132"/>
        <v>6</v>
      </c>
      <c r="W758" s="108">
        <f>IF($A758="",0,IF(AND($C758&gt;=Config!$C$7,$C758&lt;=Config!$C$8),1,0))</f>
        <v>1</v>
      </c>
      <c r="X758" s="108">
        <f>IF($A758="",0,IF(COUNTIF(Config!$C$21:$C$23,$H758)&gt;0,1,0))</f>
        <v>0</v>
      </c>
      <c r="Y758" s="108">
        <f t="shared" si="133"/>
        <v>17</v>
      </c>
      <c r="Z758" s="108" t="str">
        <f t="shared" si="134"/>
        <v/>
      </c>
      <c r="AB758" s="108">
        <f t="shared" si="135"/>
        <v>0</v>
      </c>
      <c r="AC758" s="108">
        <f>IF($A758="",0,IF(AND($AB758=1,COUNTIF($A$2:$A758,$A758)=1),1,0))</f>
        <v>0</v>
      </c>
      <c r="AD758" s="108">
        <f t="shared" si="136"/>
        <v>1</v>
      </c>
      <c r="AE758" s="108" t="str">
        <f t="shared" si="137"/>
        <v/>
      </c>
      <c r="AF758" s="108">
        <f t="shared" si="138"/>
        <v>0</v>
      </c>
      <c r="AG758" s="108">
        <f t="shared" si="139"/>
        <v>0</v>
      </c>
      <c r="AH758" s="110" t="str">
        <f t="shared" si="140"/>
        <v>L. Yasir|20260831|Title|0.750|Searched for documents and inputted documents related to this AOI.</v>
      </c>
      <c r="AI758" s="108">
        <f t="shared" si="141"/>
        <v>0</v>
      </c>
      <c r="AJ758" s="108">
        <f t="shared" si="142"/>
        <v>0</v>
      </c>
      <c r="AK758" s="108">
        <f>IF($A758="",0,IF(AND($S758=1,$W758=1,$X758=1,$U758&gt;Config!$C$9),1,0))</f>
        <v>0</v>
      </c>
      <c r="AL758" s="108">
        <f t="shared" si="143"/>
        <v>0</v>
      </c>
    </row>
    <row r="759" spans="1:38" x14ac:dyDescent="0.25">
      <c r="A759" s="106" t="s">
        <v>660</v>
      </c>
      <c r="B759" s="106" t="s">
        <v>618</v>
      </c>
      <c r="C759" s="107">
        <v>46265</v>
      </c>
      <c r="D759" s="106" t="s">
        <v>529</v>
      </c>
      <c r="E759" s="106" t="s">
        <v>529</v>
      </c>
      <c r="F759" s="106" t="s">
        <v>615</v>
      </c>
      <c r="G759" s="106"/>
      <c r="H759" s="106" t="s">
        <v>529</v>
      </c>
      <c r="I759" s="106"/>
      <c r="J759" s="106"/>
      <c r="K759" s="106">
        <v>0</v>
      </c>
      <c r="L759" s="106">
        <v>0</v>
      </c>
      <c r="M759" s="106">
        <v>0</v>
      </c>
      <c r="N759" s="106"/>
      <c r="O759" s="106"/>
      <c r="P759" s="106">
        <v>0</v>
      </c>
      <c r="Q759" s="106" t="s">
        <v>1137</v>
      </c>
      <c r="S759" s="108">
        <f>IF($A759="","",COUNTIF(BPOworkers!$B$6:$B$105,$A759))</f>
        <v>0</v>
      </c>
      <c r="T759" s="109">
        <f>IF($A759="","",$K759*Config!$C$9)</f>
        <v>0</v>
      </c>
      <c r="U759" s="109">
        <f>IF($A759="","",IF(COUNTIF(Config!$C$21:$C$23,$H759)&gt;0,IFERROR(VALUE(LEFT(TRIM($Q759),FIND(" ",TRIM($Q759)&amp;" ")-1)),0),0))</f>
        <v>2</v>
      </c>
      <c r="V759" s="109">
        <f t="shared" si="132"/>
        <v>2</v>
      </c>
      <c r="W759" s="108">
        <f>IF($A759="",0,IF(AND($C759&gt;=Config!$C$7,$C759&lt;=Config!$C$8),1,0))</f>
        <v>1</v>
      </c>
      <c r="X759" s="108">
        <f>IF($A759="",0,IF(COUNTIF(Config!$C$21:$C$23,$H759)&gt;0,1,0))</f>
        <v>1</v>
      </c>
      <c r="Y759" s="108">
        <f t="shared" si="133"/>
        <v>17</v>
      </c>
      <c r="Z759" s="108" t="str">
        <f t="shared" si="134"/>
        <v/>
      </c>
      <c r="AB759" s="108">
        <f t="shared" si="135"/>
        <v>0</v>
      </c>
      <c r="AC759" s="108">
        <f>IF($A759="",0,IF(AND($AB759=1,COUNTIF($A$2:$A759,$A759)=1),1,0))</f>
        <v>0</v>
      </c>
      <c r="AD759" s="108">
        <f t="shared" si="136"/>
        <v>1</v>
      </c>
      <c r="AE759" s="108" t="str">
        <f t="shared" si="137"/>
        <v/>
      </c>
      <c r="AF759" s="108">
        <f t="shared" si="138"/>
        <v>0</v>
      </c>
      <c r="AG759" s="108">
        <f t="shared" si="139"/>
        <v>0</v>
      </c>
      <c r="AH759" s="110" t="str">
        <f t="shared" si="140"/>
        <v>L. Yasir|20260831|Time Off|0.000|2 hours not billed</v>
      </c>
      <c r="AI759" s="108">
        <f t="shared" si="141"/>
        <v>0</v>
      </c>
      <c r="AJ759" s="108">
        <f t="shared" si="142"/>
        <v>0</v>
      </c>
      <c r="AK759" s="108">
        <f>IF($A759="",0,IF(AND($S759=1,$W759=1,$X759=1,$U759&gt;Config!$C$9),1,0))</f>
        <v>0</v>
      </c>
      <c r="AL759" s="108">
        <f t="shared" si="143"/>
        <v>0</v>
      </c>
    </row>
    <row r="760" spans="1:38" x14ac:dyDescent="0.25">
      <c r="A760" s="106" t="s">
        <v>662</v>
      </c>
      <c r="B760" s="106" t="s">
        <v>618</v>
      </c>
      <c r="C760" s="107">
        <v>46265</v>
      </c>
      <c r="D760" s="106" t="s">
        <v>529</v>
      </c>
      <c r="E760" s="106" t="s">
        <v>529</v>
      </c>
      <c r="F760" s="106" t="s">
        <v>615</v>
      </c>
      <c r="G760" s="106"/>
      <c r="H760" s="106" t="s">
        <v>529</v>
      </c>
      <c r="I760" s="106"/>
      <c r="J760" s="106"/>
      <c r="K760" s="106">
        <v>0</v>
      </c>
      <c r="L760" s="106">
        <v>0</v>
      </c>
      <c r="M760" s="106">
        <v>0</v>
      </c>
      <c r="N760" s="106"/>
      <c r="O760" s="106"/>
      <c r="P760" s="106">
        <v>0</v>
      </c>
      <c r="Q760" s="106" t="s">
        <v>661</v>
      </c>
      <c r="S760" s="108">
        <f>IF($A760="","",COUNTIF(BPOworkers!$B$6:$B$105,$A760))</f>
        <v>0</v>
      </c>
      <c r="T760" s="109">
        <f>IF($A760="","",$K760*Config!$C$9)</f>
        <v>0</v>
      </c>
      <c r="U760" s="109">
        <f>IF($A760="","",IF(COUNTIF(Config!$C$21:$C$23,$H760)&gt;0,IFERROR(VALUE(LEFT(TRIM($Q760),FIND(" ",TRIM($Q760)&amp;" ")-1)),0),0))</f>
        <v>8</v>
      </c>
      <c r="V760" s="109">
        <f t="shared" si="132"/>
        <v>8</v>
      </c>
      <c r="W760" s="108">
        <f>IF($A760="",0,IF(AND($C760&gt;=Config!$C$7,$C760&lt;=Config!$C$8),1,0))</f>
        <v>1</v>
      </c>
      <c r="X760" s="108">
        <f>IF($A760="",0,IF(COUNTIF(Config!$C$21:$C$23,$H760)&gt;0,1,0))</f>
        <v>1</v>
      </c>
      <c r="Y760" s="108">
        <f t="shared" si="133"/>
        <v>17</v>
      </c>
      <c r="Z760" s="108" t="str">
        <f t="shared" si="134"/>
        <v/>
      </c>
      <c r="AB760" s="108">
        <f t="shared" si="135"/>
        <v>0</v>
      </c>
      <c r="AC760" s="108">
        <f>IF($A760="",0,IF(AND($AB760=1,COUNTIF($A$2:$A760,$A760)=1),1,0))</f>
        <v>0</v>
      </c>
      <c r="AD760" s="108">
        <f t="shared" si="136"/>
        <v>1</v>
      </c>
      <c r="AE760" s="108" t="str">
        <f t="shared" si="137"/>
        <v/>
      </c>
      <c r="AF760" s="108">
        <f t="shared" si="138"/>
        <v>0</v>
      </c>
      <c r="AG760" s="108">
        <f t="shared" si="139"/>
        <v>0</v>
      </c>
      <c r="AH760" s="110" t="str">
        <f t="shared" si="140"/>
        <v>M. Svatek|20260831|Time Off|0.000|8 hours not billed</v>
      </c>
      <c r="AI760" s="108">
        <f t="shared" si="141"/>
        <v>0</v>
      </c>
      <c r="AJ760" s="108">
        <f t="shared" si="142"/>
        <v>0</v>
      </c>
      <c r="AK760" s="108">
        <f>IF($A760="",0,IF(AND($S760=1,$W760=1,$X760=1,$U760&gt;Config!$C$9),1,0))</f>
        <v>0</v>
      </c>
      <c r="AL760" s="108">
        <f t="shared" si="143"/>
        <v>0</v>
      </c>
    </row>
    <row r="761" spans="1:38" x14ac:dyDescent="0.25">
      <c r="A761" s="106" t="s">
        <v>942</v>
      </c>
      <c r="B761" s="106" t="s">
        <v>618</v>
      </c>
      <c r="C761" s="107">
        <v>46265</v>
      </c>
      <c r="D761" s="106" t="s">
        <v>635</v>
      </c>
      <c r="E761" s="106" t="s">
        <v>636</v>
      </c>
      <c r="F761" s="106" t="s">
        <v>943</v>
      </c>
      <c r="G761" s="106"/>
      <c r="H761" s="106" t="s">
        <v>639</v>
      </c>
      <c r="I761" s="106"/>
      <c r="J761" s="106"/>
      <c r="K761" s="106">
        <v>1</v>
      </c>
      <c r="L761" s="106">
        <v>0</v>
      </c>
      <c r="M761" s="106">
        <v>0</v>
      </c>
      <c r="N761" s="106"/>
      <c r="O761" s="106"/>
      <c r="P761" s="106">
        <v>0</v>
      </c>
      <c r="Q761" s="106" t="s">
        <v>639</v>
      </c>
      <c r="S761" s="108">
        <f>IF($A761="","",COUNTIF(BPOworkers!$B$6:$B$105,$A761))</f>
        <v>0</v>
      </c>
      <c r="T761" s="109">
        <f>IF($A761="","",$K761*Config!$C$9)</f>
        <v>8</v>
      </c>
      <c r="U761" s="109">
        <f>IF($A761="","",IF(COUNTIF(Config!$C$21:$C$23,$H761)&gt;0,IFERROR(VALUE(LEFT(TRIM($Q761),FIND(" ",TRIM($Q761)&amp;" ")-1)),0),0))</f>
        <v>0</v>
      </c>
      <c r="V761" s="109">
        <f t="shared" si="132"/>
        <v>8</v>
      </c>
      <c r="W761" s="108">
        <f>IF($A761="",0,IF(AND($C761&gt;=Config!$C$7,$C761&lt;=Config!$C$8),1,0))</f>
        <v>1</v>
      </c>
      <c r="X761" s="108">
        <f>IF($A761="",0,IF(COUNTIF(Config!$C$21:$C$23,$H761)&gt;0,1,0))</f>
        <v>0</v>
      </c>
      <c r="Y761" s="108">
        <f t="shared" si="133"/>
        <v>17</v>
      </c>
      <c r="Z761" s="108" t="str">
        <f t="shared" si="134"/>
        <v/>
      </c>
      <c r="AB761" s="108">
        <f t="shared" si="135"/>
        <v>0</v>
      </c>
      <c r="AC761" s="108">
        <f>IF($A761="",0,IF(AND($AB761=1,COUNTIF($A$2:$A761,$A761)=1),1,0))</f>
        <v>0</v>
      </c>
      <c r="AD761" s="108">
        <f t="shared" si="136"/>
        <v>1</v>
      </c>
      <c r="AE761" s="108" t="str">
        <f t="shared" si="137"/>
        <v/>
      </c>
      <c r="AF761" s="108">
        <f t="shared" si="138"/>
        <v>0</v>
      </c>
      <c r="AG761" s="108">
        <f t="shared" si="139"/>
        <v>0</v>
      </c>
      <c r="AH761" s="110" t="str">
        <f t="shared" si="140"/>
        <v>J. Warlick|20260831|Review|1.000|Review</v>
      </c>
      <c r="AI761" s="108">
        <f t="shared" si="141"/>
        <v>0</v>
      </c>
      <c r="AJ761" s="108">
        <f t="shared" si="142"/>
        <v>0</v>
      </c>
      <c r="AK761" s="108">
        <f>IF($A761="",0,IF(AND($S761=1,$W761=1,$X761=1,$U761&gt;Config!$C$9),1,0))</f>
        <v>0</v>
      </c>
      <c r="AL761" s="108">
        <f t="shared" si="143"/>
        <v>0</v>
      </c>
    </row>
    <row r="762" spans="1:38" x14ac:dyDescent="0.25">
      <c r="A762" s="106" t="s">
        <v>663</v>
      </c>
      <c r="B762" s="106" t="s">
        <v>618</v>
      </c>
      <c r="C762" s="107">
        <v>46265</v>
      </c>
      <c r="D762" s="106" t="s">
        <v>635</v>
      </c>
      <c r="E762" s="106" t="s">
        <v>636</v>
      </c>
      <c r="F762" s="106" t="s">
        <v>637</v>
      </c>
      <c r="G762" s="106" t="s">
        <v>1244</v>
      </c>
      <c r="H762" s="106" t="s">
        <v>639</v>
      </c>
      <c r="I762" s="106"/>
      <c r="J762" s="106"/>
      <c r="K762" s="106">
        <v>1</v>
      </c>
      <c r="L762" s="106">
        <v>0</v>
      </c>
      <c r="M762" s="106">
        <v>0</v>
      </c>
      <c r="N762" s="106"/>
      <c r="O762" s="106"/>
      <c r="P762" s="106">
        <v>0</v>
      </c>
      <c r="Q762" s="106" t="s">
        <v>1245</v>
      </c>
      <c r="S762" s="108">
        <f>IF($A762="","",COUNTIF(BPOworkers!$B$6:$B$105,$A762))</f>
        <v>0</v>
      </c>
      <c r="T762" s="109">
        <f>IF($A762="","",$K762*Config!$C$9)</f>
        <v>8</v>
      </c>
      <c r="U762" s="109">
        <f>IF($A762="","",IF(COUNTIF(Config!$C$21:$C$23,$H762)&gt;0,IFERROR(VALUE(LEFT(TRIM($Q762),FIND(" ",TRIM($Q762)&amp;" ")-1)),0),0))</f>
        <v>0</v>
      </c>
      <c r="V762" s="109">
        <f t="shared" si="132"/>
        <v>8</v>
      </c>
      <c r="W762" s="108">
        <f>IF($A762="",0,IF(AND($C762&gt;=Config!$C$7,$C762&lt;=Config!$C$8),1,0))</f>
        <v>1</v>
      </c>
      <c r="X762" s="108">
        <f>IF($A762="",0,IF(COUNTIF(Config!$C$21:$C$23,$H762)&gt;0,1,0))</f>
        <v>0</v>
      </c>
      <c r="Y762" s="108">
        <f t="shared" si="133"/>
        <v>17</v>
      </c>
      <c r="Z762" s="108" t="str">
        <f t="shared" si="134"/>
        <v/>
      </c>
      <c r="AB762" s="108">
        <f t="shared" si="135"/>
        <v>0</v>
      </c>
      <c r="AC762" s="108">
        <f>IF($A762="",0,IF(AND($AB762=1,COUNTIF($A$2:$A762,$A762)=1),1,0))</f>
        <v>0</v>
      </c>
      <c r="AD762" s="108">
        <f t="shared" si="136"/>
        <v>1</v>
      </c>
      <c r="AE762" s="108" t="str">
        <f t="shared" si="137"/>
        <v/>
      </c>
      <c r="AF762" s="108">
        <f t="shared" si="138"/>
        <v>0</v>
      </c>
      <c r="AG762" s="108">
        <f t="shared" si="139"/>
        <v>0</v>
      </c>
      <c r="AH762" s="110" t="str">
        <f t="shared" si="140"/>
        <v>J. Jinkins|20260831|Review|1.000|Reviewing NMNM105463682 (NMLC 0068379), and working on ORRI and WI as instructed.</v>
      </c>
      <c r="AI762" s="108">
        <f t="shared" si="141"/>
        <v>0</v>
      </c>
      <c r="AJ762" s="108">
        <f t="shared" si="142"/>
        <v>0</v>
      </c>
      <c r="AK762" s="108">
        <f>IF($A762="",0,IF(AND($S762=1,$W762=1,$X762=1,$U762&gt;Config!$C$9),1,0))</f>
        <v>0</v>
      </c>
      <c r="AL762" s="108">
        <f t="shared" si="143"/>
        <v>0</v>
      </c>
    </row>
    <row r="763" spans="1:38" x14ac:dyDescent="0.25">
      <c r="A763" s="106" t="s">
        <v>946</v>
      </c>
      <c r="B763" s="106" t="s">
        <v>614</v>
      </c>
      <c r="C763" s="107">
        <v>46265</v>
      </c>
      <c r="D763" s="106" t="s">
        <v>623</v>
      </c>
      <c r="E763" s="106" t="s">
        <v>128</v>
      </c>
      <c r="F763" s="106" t="s">
        <v>615</v>
      </c>
      <c r="G763" s="106"/>
      <c r="H763" s="106" t="s">
        <v>819</v>
      </c>
      <c r="I763" s="106"/>
      <c r="J763" s="106"/>
      <c r="K763" s="106">
        <v>0.625</v>
      </c>
      <c r="L763" s="106">
        <v>0</v>
      </c>
      <c r="M763" s="106">
        <v>0</v>
      </c>
      <c r="N763" s="106"/>
      <c r="O763" s="106"/>
      <c r="P763" s="106">
        <v>0</v>
      </c>
      <c r="Q763" s="106" t="s">
        <v>1379</v>
      </c>
      <c r="S763" s="108">
        <f>IF($A763="","",COUNTIF(BPOworkers!$B$6:$B$105,$A763))</f>
        <v>0</v>
      </c>
      <c r="T763" s="109">
        <f>IF($A763="","",$K763*Config!$C$9)</f>
        <v>5</v>
      </c>
      <c r="U763" s="109">
        <f>IF($A763="","",IF(COUNTIF(Config!$C$21:$C$23,$H763)&gt;0,IFERROR(VALUE(LEFT(TRIM($Q763),FIND(" ",TRIM($Q763)&amp;" ")-1)),0),0))</f>
        <v>0</v>
      </c>
      <c r="V763" s="109">
        <f t="shared" si="132"/>
        <v>5</v>
      </c>
      <c r="W763" s="108">
        <f>IF($A763="",0,IF(AND($C763&gt;=Config!$C$7,$C763&lt;=Config!$C$8),1,0))</f>
        <v>1</v>
      </c>
      <c r="X763" s="108">
        <f>IF($A763="",0,IF(COUNTIF(Config!$C$21:$C$23,$H763)&gt;0,1,0))</f>
        <v>0</v>
      </c>
      <c r="Y763" s="108">
        <f t="shared" si="133"/>
        <v>17</v>
      </c>
      <c r="Z763" s="108" t="str">
        <f t="shared" si="134"/>
        <v/>
      </c>
      <c r="AB763" s="108">
        <f t="shared" si="135"/>
        <v>0</v>
      </c>
      <c r="AC763" s="108">
        <f>IF($A763="",0,IF(AND($AB763=1,COUNTIF($A$2:$A763,$A763)=1),1,0))</f>
        <v>0</v>
      </c>
      <c r="AD763" s="108">
        <f t="shared" si="136"/>
        <v>1</v>
      </c>
      <c r="AE763" s="108" t="str">
        <f t="shared" si="137"/>
        <v/>
      </c>
      <c r="AF763" s="108">
        <f t="shared" si="138"/>
        <v>0</v>
      </c>
      <c r="AG763" s="108">
        <f t="shared" si="139"/>
        <v>0</v>
      </c>
      <c r="AH763" s="110" t="str">
        <f t="shared" si="140"/>
        <v>L. Carollo|20260831|Training - BPO|0.625|Worked on training materials for presentation with Laura Silva.</v>
      </c>
      <c r="AI763" s="108">
        <f t="shared" si="141"/>
        <v>0</v>
      </c>
      <c r="AJ763" s="108">
        <f t="shared" si="142"/>
        <v>0</v>
      </c>
      <c r="AK763" s="108">
        <f>IF($A763="",0,IF(AND($S763=1,$W763=1,$X763=1,$U763&gt;Config!$C$9),1,0))</f>
        <v>0</v>
      </c>
      <c r="AL763" s="108">
        <f t="shared" si="143"/>
        <v>0</v>
      </c>
    </row>
    <row r="764" spans="1:38" x14ac:dyDescent="0.25">
      <c r="A764" s="106" t="s">
        <v>946</v>
      </c>
      <c r="B764" s="106" t="s">
        <v>618</v>
      </c>
      <c r="C764" s="107">
        <v>46265</v>
      </c>
      <c r="D764" s="106" t="s">
        <v>902</v>
      </c>
      <c r="E764" s="106" t="s">
        <v>903</v>
      </c>
      <c r="F764" s="106" t="s">
        <v>1108</v>
      </c>
      <c r="G764" s="106" t="s">
        <v>1109</v>
      </c>
      <c r="H764" s="106" t="s">
        <v>639</v>
      </c>
      <c r="I764" s="106"/>
      <c r="J764" s="106"/>
      <c r="K764" s="106">
        <v>0.375</v>
      </c>
      <c r="L764" s="106">
        <v>0</v>
      </c>
      <c r="M764" s="106">
        <v>0</v>
      </c>
      <c r="N764" s="106"/>
      <c r="O764" s="106"/>
      <c r="P764" s="106">
        <v>0</v>
      </c>
      <c r="Q764" s="106" t="s">
        <v>1378</v>
      </c>
      <c r="S764" s="108">
        <f>IF($A764="","",COUNTIF(BPOworkers!$B$6:$B$105,$A764))</f>
        <v>0</v>
      </c>
      <c r="T764" s="109">
        <f>IF($A764="","",$K764*Config!$C$9)</f>
        <v>3</v>
      </c>
      <c r="U764" s="109">
        <f>IF($A764="","",IF(COUNTIF(Config!$C$21:$C$23,$H764)&gt;0,IFERROR(VALUE(LEFT(TRIM($Q764),FIND(" ",TRIM($Q764)&amp;" ")-1)),0),0))</f>
        <v>0</v>
      </c>
      <c r="V764" s="109">
        <f t="shared" si="132"/>
        <v>3</v>
      </c>
      <c r="W764" s="108">
        <f>IF($A764="",0,IF(AND($C764&gt;=Config!$C$7,$C764&lt;=Config!$C$8),1,0))</f>
        <v>1</v>
      </c>
      <c r="X764" s="108">
        <f>IF($A764="",0,IF(COUNTIF(Config!$C$21:$C$23,$H764)&gt;0,1,0))</f>
        <v>0</v>
      </c>
      <c r="Y764" s="108">
        <f t="shared" si="133"/>
        <v>17</v>
      </c>
      <c r="Z764" s="108" t="str">
        <f t="shared" si="134"/>
        <v/>
      </c>
      <c r="AB764" s="108">
        <f t="shared" si="135"/>
        <v>0</v>
      </c>
      <c r="AC764" s="108">
        <f>IF($A764="",0,IF(AND($AB764=1,COUNTIF($A$2:$A764,$A764)=1),1,0))</f>
        <v>0</v>
      </c>
      <c r="AD764" s="108">
        <f t="shared" si="136"/>
        <v>1</v>
      </c>
      <c r="AE764" s="108" t="str">
        <f t="shared" si="137"/>
        <v/>
      </c>
      <c r="AF764" s="108">
        <f t="shared" si="138"/>
        <v>0</v>
      </c>
      <c r="AG764" s="108">
        <f t="shared" si="139"/>
        <v>0</v>
      </c>
      <c r="AH764" s="110" t="str">
        <f t="shared" si="140"/>
        <v>L. Carollo|20260831|Review|0.375|Worked on final revisions of completed AOIs</v>
      </c>
      <c r="AI764" s="108">
        <f t="shared" si="141"/>
        <v>0</v>
      </c>
      <c r="AJ764" s="108">
        <f t="shared" si="142"/>
        <v>0</v>
      </c>
      <c r="AK764" s="108">
        <f>IF($A764="",0,IF(AND($S764=1,$W764=1,$X764=1,$U764&gt;Config!$C$9),1,0))</f>
        <v>0</v>
      </c>
      <c r="AL764" s="108">
        <f t="shared" si="143"/>
        <v>0</v>
      </c>
    </row>
    <row r="765" spans="1:38" x14ac:dyDescent="0.25">
      <c r="A765" s="106" t="s">
        <v>665</v>
      </c>
      <c r="B765" s="106" t="s">
        <v>618</v>
      </c>
      <c r="C765" s="107">
        <v>46265</v>
      </c>
      <c r="D765" s="106" t="s">
        <v>635</v>
      </c>
      <c r="E765" s="106" t="s">
        <v>636</v>
      </c>
      <c r="F765" s="106" t="s">
        <v>943</v>
      </c>
      <c r="G765" s="106"/>
      <c r="H765" s="106" t="s">
        <v>639</v>
      </c>
      <c r="I765" s="106"/>
      <c r="J765" s="106"/>
      <c r="K765" s="106">
        <v>0.5</v>
      </c>
      <c r="L765" s="106">
        <v>0</v>
      </c>
      <c r="M765" s="106">
        <v>0</v>
      </c>
      <c r="N765" s="106"/>
      <c r="O765" s="106"/>
      <c r="P765" s="106">
        <v>0</v>
      </c>
      <c r="Q765" s="106" t="s">
        <v>1543</v>
      </c>
      <c r="S765" s="108">
        <f>IF($A765="","",COUNTIF(BPOworkers!$B$6:$B$105,$A765))</f>
        <v>0</v>
      </c>
      <c r="T765" s="109">
        <f>IF($A765="","",$K765*Config!$C$9)</f>
        <v>4</v>
      </c>
      <c r="U765" s="109">
        <f>IF($A765="","",IF(COUNTIF(Config!$C$21:$C$23,$H765)&gt;0,IFERROR(VALUE(LEFT(TRIM($Q765),FIND(" ",TRIM($Q765)&amp;" ")-1)),0),0))</f>
        <v>0</v>
      </c>
      <c r="V765" s="109">
        <f t="shared" si="132"/>
        <v>4</v>
      </c>
      <c r="W765" s="108">
        <f>IF($A765="",0,IF(AND($C765&gt;=Config!$C$7,$C765&lt;=Config!$C$8),1,0))</f>
        <v>1</v>
      </c>
      <c r="X765" s="108">
        <f>IF($A765="",0,IF(COUNTIF(Config!$C$21:$C$23,$H765)&gt;0,1,0))</f>
        <v>0</v>
      </c>
      <c r="Y765" s="108">
        <f t="shared" si="133"/>
        <v>17</v>
      </c>
      <c r="Z765" s="108" t="str">
        <f t="shared" si="134"/>
        <v/>
      </c>
      <c r="AB765" s="108">
        <f t="shared" si="135"/>
        <v>0</v>
      </c>
      <c r="AC765" s="108">
        <f>IF($A765="",0,IF(AND($AB765=1,COUNTIF($A$2:$A765,$A765)=1),1,0))</f>
        <v>0</v>
      </c>
      <c r="AD765" s="108">
        <f t="shared" si="136"/>
        <v>1</v>
      </c>
      <c r="AE765" s="108" t="str">
        <f t="shared" si="137"/>
        <v/>
      </c>
      <c r="AF765" s="108">
        <f t="shared" si="138"/>
        <v>0</v>
      </c>
      <c r="AG765" s="108">
        <f t="shared" si="139"/>
        <v>0</v>
      </c>
      <c r="AH765" s="110" t="str">
        <f t="shared" si="140"/>
        <v>M. Tamez|20260831|Review|0.500|Searched and located addresses for all AOIs in the prospect. Uploaded and updated BLM notecards in NMNM105315128 - (NMNM</v>
      </c>
      <c r="AI765" s="108">
        <f t="shared" si="141"/>
        <v>0</v>
      </c>
      <c r="AJ765" s="108">
        <f t="shared" si="142"/>
        <v>0</v>
      </c>
      <c r="AK765" s="108">
        <f>IF($A765="",0,IF(AND($S765=1,$W765=1,$X765=1,$U765&gt;Config!$C$9),1,0))</f>
        <v>0</v>
      </c>
      <c r="AL765" s="108">
        <f t="shared" si="143"/>
        <v>0</v>
      </c>
    </row>
    <row r="766" spans="1:38" x14ac:dyDescent="0.25">
      <c r="A766" s="106" t="s">
        <v>665</v>
      </c>
      <c r="B766" s="106" t="s">
        <v>618</v>
      </c>
      <c r="C766" s="107">
        <v>46265</v>
      </c>
      <c r="D766" s="106" t="s">
        <v>635</v>
      </c>
      <c r="E766" s="106" t="s">
        <v>636</v>
      </c>
      <c r="F766" s="106" t="s">
        <v>943</v>
      </c>
      <c r="G766" s="106"/>
      <c r="H766" s="106" t="s">
        <v>639</v>
      </c>
      <c r="I766" s="106"/>
      <c r="J766" s="106" t="s">
        <v>1380</v>
      </c>
      <c r="K766" s="106">
        <v>0.5</v>
      </c>
      <c r="L766" s="106">
        <v>0</v>
      </c>
      <c r="M766" s="106">
        <v>0</v>
      </c>
      <c r="N766" s="106"/>
      <c r="O766" s="106"/>
      <c r="P766" s="106">
        <v>0</v>
      </c>
      <c r="Q766" s="106" t="s">
        <v>1544</v>
      </c>
      <c r="S766" s="108">
        <f>IF($A766="","",COUNTIF(BPOworkers!$B$6:$B$105,$A766))</f>
        <v>0</v>
      </c>
      <c r="T766" s="109">
        <f>IF($A766="","",$K766*Config!$C$9)</f>
        <v>4</v>
      </c>
      <c r="U766" s="109">
        <f>IF($A766="","",IF(COUNTIF(Config!$C$21:$C$23,$H766)&gt;0,IFERROR(VALUE(LEFT(TRIM($Q766),FIND(" ",TRIM($Q766)&amp;" ")-1)),0),0))</f>
        <v>0</v>
      </c>
      <c r="V766" s="109">
        <f t="shared" si="132"/>
        <v>4</v>
      </c>
      <c r="W766" s="108">
        <f>IF($A766="",0,IF(AND($C766&gt;=Config!$C$7,$C766&lt;=Config!$C$8),1,0))</f>
        <v>1</v>
      </c>
      <c r="X766" s="108">
        <f>IF($A766="",0,IF(COUNTIF(Config!$C$21:$C$23,$H766)&gt;0,1,0))</f>
        <v>0</v>
      </c>
      <c r="Y766" s="108">
        <f t="shared" si="133"/>
        <v>17</v>
      </c>
      <c r="Z766" s="108" t="str">
        <f t="shared" si="134"/>
        <v/>
      </c>
      <c r="AB766" s="108">
        <f t="shared" si="135"/>
        <v>0</v>
      </c>
      <c r="AC766" s="108">
        <f>IF($A766="",0,IF(AND($AB766=1,COUNTIF($A$2:$A766,$A766)=1),1,0))</f>
        <v>0</v>
      </c>
      <c r="AD766" s="108">
        <f t="shared" si="136"/>
        <v>1</v>
      </c>
      <c r="AE766" s="108" t="str">
        <f t="shared" si="137"/>
        <v/>
      </c>
      <c r="AF766" s="108">
        <f t="shared" si="138"/>
        <v>0</v>
      </c>
      <c r="AG766" s="108">
        <f t="shared" si="139"/>
        <v>0</v>
      </c>
      <c r="AH766" s="110" t="str">
        <f t="shared" si="140"/>
        <v>M. Tamez|20260831|Review|0.500|Started review of the subject AOI.</v>
      </c>
      <c r="AI766" s="108">
        <f t="shared" si="141"/>
        <v>0</v>
      </c>
      <c r="AJ766" s="108">
        <f t="shared" si="142"/>
        <v>0</v>
      </c>
      <c r="AK766" s="108">
        <f>IF($A766="",0,IF(AND($S766=1,$W766=1,$X766=1,$U766&gt;Config!$C$9),1,0))</f>
        <v>0</v>
      </c>
      <c r="AL766" s="108">
        <f t="shared" si="143"/>
        <v>0</v>
      </c>
    </row>
    <row r="767" spans="1:38" x14ac:dyDescent="0.25">
      <c r="A767" s="106" t="s">
        <v>668</v>
      </c>
      <c r="B767" s="106" t="s">
        <v>614</v>
      </c>
      <c r="C767" s="107">
        <v>46265</v>
      </c>
      <c r="D767" s="106" t="s">
        <v>669</v>
      </c>
      <c r="E767" s="106" t="s">
        <v>669</v>
      </c>
      <c r="F767" s="106" t="s">
        <v>615</v>
      </c>
      <c r="G767" s="106"/>
      <c r="H767" s="106" t="s">
        <v>656</v>
      </c>
      <c r="I767" s="106"/>
      <c r="J767" s="106" t="s">
        <v>950</v>
      </c>
      <c r="K767" s="106">
        <v>1</v>
      </c>
      <c r="L767" s="106">
        <v>0</v>
      </c>
      <c r="M767" s="106">
        <v>0</v>
      </c>
      <c r="N767" s="106"/>
      <c r="O767" s="106"/>
      <c r="P767" s="106">
        <v>0</v>
      </c>
      <c r="Q767" s="106" t="s">
        <v>951</v>
      </c>
      <c r="S767" s="108">
        <f>IF($A767="","",COUNTIF(BPOworkers!$B$6:$B$105,$A767))</f>
        <v>0</v>
      </c>
      <c r="T767" s="109">
        <f>IF($A767="","",$K767*Config!$C$9)</f>
        <v>8</v>
      </c>
      <c r="U767" s="109">
        <f>IF($A767="","",IF(COUNTIF(Config!$C$21:$C$23,$H767)&gt;0,IFERROR(VALUE(LEFT(TRIM($Q767),FIND(" ",TRIM($Q767)&amp;" ")-1)),0),0))</f>
        <v>0</v>
      </c>
      <c r="V767" s="109">
        <f t="shared" si="132"/>
        <v>8</v>
      </c>
      <c r="W767" s="108">
        <f>IF($A767="",0,IF(AND($C767&gt;=Config!$C$7,$C767&lt;=Config!$C$8),1,0))</f>
        <v>1</v>
      </c>
      <c r="X767" s="108">
        <f>IF($A767="",0,IF(COUNTIF(Config!$C$21:$C$23,$H767)&gt;0,1,0))</f>
        <v>0</v>
      </c>
      <c r="Y767" s="108">
        <f t="shared" si="133"/>
        <v>17</v>
      </c>
      <c r="Z767" s="108" t="str">
        <f t="shared" si="134"/>
        <v/>
      </c>
      <c r="AB767" s="108">
        <f t="shared" si="135"/>
        <v>0</v>
      </c>
      <c r="AC767" s="108">
        <f>IF($A767="",0,IF(AND($AB767=1,COUNTIF($A$2:$A767,$A767)=1),1,0))</f>
        <v>0</v>
      </c>
      <c r="AD767" s="108">
        <f t="shared" si="136"/>
        <v>1</v>
      </c>
      <c r="AE767" s="108" t="str">
        <f t="shared" si="137"/>
        <v/>
      </c>
      <c r="AF767" s="108">
        <f t="shared" si="138"/>
        <v>0</v>
      </c>
      <c r="AG767" s="108">
        <f t="shared" si="139"/>
        <v>0</v>
      </c>
      <c r="AH767" s="110" t="str">
        <f t="shared" si="140"/>
        <v>M. Bearrow|20260831|Project Management|1.000|Title notes analysis and management.</v>
      </c>
      <c r="AI767" s="108">
        <f t="shared" si="141"/>
        <v>0</v>
      </c>
      <c r="AJ767" s="108">
        <f t="shared" si="142"/>
        <v>0</v>
      </c>
      <c r="AK767" s="108">
        <f>IF($A767="",0,IF(AND($S767=1,$W767=1,$X767=1,$U767&gt;Config!$C$9),1,0))</f>
        <v>0</v>
      </c>
      <c r="AL767" s="108">
        <f t="shared" si="143"/>
        <v>0</v>
      </c>
    </row>
    <row r="768" spans="1:38" x14ac:dyDescent="0.25">
      <c r="A768" s="106" t="s">
        <v>679</v>
      </c>
      <c r="B768" s="106" t="s">
        <v>618</v>
      </c>
      <c r="C768" s="107">
        <v>46265</v>
      </c>
      <c r="D768" s="106" t="s">
        <v>680</v>
      </c>
      <c r="E768" s="106" t="s">
        <v>681</v>
      </c>
      <c r="F768" s="106" t="s">
        <v>1168</v>
      </c>
      <c r="G768" s="106"/>
      <c r="H768" s="106" t="s">
        <v>631</v>
      </c>
      <c r="I768" s="106"/>
      <c r="J768" s="106"/>
      <c r="K768" s="106">
        <v>1</v>
      </c>
      <c r="L768" s="106">
        <v>0</v>
      </c>
      <c r="M768" s="106">
        <v>0</v>
      </c>
      <c r="N768" s="106"/>
      <c r="O768" s="106"/>
      <c r="P768" s="106">
        <v>0</v>
      </c>
      <c r="Q768" s="106" t="s">
        <v>1545</v>
      </c>
      <c r="S768" s="108">
        <f>IF($A768="","",COUNTIF(BPOworkers!$B$6:$B$105,$A768))</f>
        <v>0</v>
      </c>
      <c r="T768" s="109">
        <f>IF($A768="","",$K768*Config!$C$9)</f>
        <v>8</v>
      </c>
      <c r="U768" s="109">
        <f>IF($A768="","",IF(COUNTIF(Config!$C$21:$C$23,$H768)&gt;0,IFERROR(VALUE(LEFT(TRIM($Q768),FIND(" ",TRIM($Q768)&amp;" ")-1)),0),0))</f>
        <v>0</v>
      </c>
      <c r="V768" s="109">
        <f t="shared" si="132"/>
        <v>8</v>
      </c>
      <c r="W768" s="108">
        <f>IF($A768="",0,IF(AND($C768&gt;=Config!$C$7,$C768&lt;=Config!$C$8),1,0))</f>
        <v>1</v>
      </c>
      <c r="X768" s="108">
        <f>IF($A768="",0,IF(COUNTIF(Config!$C$21:$C$23,$H768)&gt;0,1,0))</f>
        <v>0</v>
      </c>
      <c r="Y768" s="108">
        <f t="shared" si="133"/>
        <v>17</v>
      </c>
      <c r="Z768" s="108" t="str">
        <f t="shared" si="134"/>
        <v/>
      </c>
      <c r="AB768" s="108">
        <f t="shared" si="135"/>
        <v>0</v>
      </c>
      <c r="AC768" s="108">
        <f>IF($A768="",0,IF(AND($AB768=1,COUNTIF($A$2:$A768,$A768)=1),1,0))</f>
        <v>0</v>
      </c>
      <c r="AD768" s="108">
        <f t="shared" si="136"/>
        <v>1</v>
      </c>
      <c r="AE768" s="108" t="str">
        <f t="shared" si="137"/>
        <v/>
      </c>
      <c r="AF768" s="108">
        <f t="shared" si="138"/>
        <v>0</v>
      </c>
      <c r="AG768" s="108">
        <f t="shared" si="139"/>
        <v>0</v>
      </c>
      <c r="AH768" s="110" t="str">
        <f t="shared" si="140"/>
        <v>M. Soter|20260831|Title|1.000|Indexing in Carroll, Columbiana, Harrison and Guernsey Counties to confirm source deeds into Rising Phoenix or Strata Pe</v>
      </c>
      <c r="AI768" s="108">
        <f t="shared" si="141"/>
        <v>0</v>
      </c>
      <c r="AJ768" s="108">
        <f t="shared" si="142"/>
        <v>0</v>
      </c>
      <c r="AK768" s="108">
        <f>IF($A768="",0,IF(AND($S768=1,$W768=1,$X768=1,$U768&gt;Config!$C$9),1,0))</f>
        <v>0</v>
      </c>
      <c r="AL768" s="108">
        <f t="shared" si="143"/>
        <v>0</v>
      </c>
    </row>
    <row r="769" spans="1:38" x14ac:dyDescent="0.25">
      <c r="A769" s="106" t="s">
        <v>953</v>
      </c>
      <c r="B769" s="106" t="s">
        <v>618</v>
      </c>
      <c r="C769" s="107">
        <v>46265</v>
      </c>
      <c r="D769" s="106" t="s">
        <v>954</v>
      </c>
      <c r="E769" s="106" t="s">
        <v>955</v>
      </c>
      <c r="F769" s="106" t="s">
        <v>893</v>
      </c>
      <c r="G769" s="106" t="s">
        <v>894</v>
      </c>
      <c r="H769" s="106" t="s">
        <v>656</v>
      </c>
      <c r="I769" s="106"/>
      <c r="J769" s="106"/>
      <c r="K769" s="106">
        <v>1</v>
      </c>
      <c r="L769" s="106">
        <v>0</v>
      </c>
      <c r="M769" s="106">
        <v>0</v>
      </c>
      <c r="N769" s="106"/>
      <c r="O769" s="106"/>
      <c r="P769" s="106">
        <v>0</v>
      </c>
      <c r="Q769" s="106" t="s">
        <v>956</v>
      </c>
      <c r="S769" s="108">
        <f>IF($A769="","",COUNTIF(BPOworkers!$B$6:$B$105,$A769))</f>
        <v>0</v>
      </c>
      <c r="T769" s="109">
        <f>IF($A769="","",$K769*Config!$C$9)</f>
        <v>8</v>
      </c>
      <c r="U769" s="109">
        <f>IF($A769="","",IF(COUNTIF(Config!$C$21:$C$23,$H769)&gt;0,IFERROR(VALUE(LEFT(TRIM($Q769),FIND(" ",TRIM($Q769)&amp;" ")-1)),0),0))</f>
        <v>0</v>
      </c>
      <c r="V769" s="109">
        <f t="shared" si="132"/>
        <v>8</v>
      </c>
      <c r="W769" s="108">
        <f>IF($A769="",0,IF(AND($C769&gt;=Config!$C$7,$C769&lt;=Config!$C$8),1,0))</f>
        <v>1</v>
      </c>
      <c r="X769" s="108">
        <f>IF($A769="",0,IF(COUNTIF(Config!$C$21:$C$23,$H769)&gt;0,1,0))</f>
        <v>0</v>
      </c>
      <c r="Y769" s="108">
        <f t="shared" si="133"/>
        <v>17</v>
      </c>
      <c r="Z769" s="108" t="str">
        <f t="shared" si="134"/>
        <v/>
      </c>
      <c r="AB769" s="108">
        <f t="shared" si="135"/>
        <v>0</v>
      </c>
      <c r="AC769" s="108">
        <f>IF($A769="",0,IF(AND($AB769=1,COUNTIF($A$2:$A769,$A769)=1),1,0))</f>
        <v>0</v>
      </c>
      <c r="AD769" s="108">
        <f t="shared" si="136"/>
        <v>1</v>
      </c>
      <c r="AE769" s="108" t="str">
        <f t="shared" si="137"/>
        <v/>
      </c>
      <c r="AF769" s="108">
        <f t="shared" si="138"/>
        <v>0</v>
      </c>
      <c r="AG769" s="108">
        <f t="shared" si="139"/>
        <v>0</v>
      </c>
      <c r="AH769" s="110" t="str">
        <f t="shared" si="140"/>
        <v>B. Gmutza|20260831|Project Management|1.000|Spreadsheet Review Linking Parcels</v>
      </c>
      <c r="AI769" s="108">
        <f t="shared" si="141"/>
        <v>0</v>
      </c>
      <c r="AJ769" s="108">
        <f t="shared" si="142"/>
        <v>0</v>
      </c>
      <c r="AK769" s="108">
        <f>IF($A769="",0,IF(AND($S769=1,$W769=1,$X769=1,$U769&gt;Config!$C$9),1,0))</f>
        <v>0</v>
      </c>
      <c r="AL769" s="108">
        <f t="shared" si="143"/>
        <v>0</v>
      </c>
    </row>
    <row r="770" spans="1:38" x14ac:dyDescent="0.25">
      <c r="A770" s="106" t="s">
        <v>689</v>
      </c>
      <c r="B770" s="106" t="s">
        <v>618</v>
      </c>
      <c r="C770" s="107">
        <v>46265</v>
      </c>
      <c r="D770" s="106" t="s">
        <v>529</v>
      </c>
      <c r="E770" s="106" t="s">
        <v>529</v>
      </c>
      <c r="F770" s="106" t="s">
        <v>615</v>
      </c>
      <c r="G770" s="106"/>
      <c r="H770" s="106" t="s">
        <v>529</v>
      </c>
      <c r="I770" s="106"/>
      <c r="J770" s="106"/>
      <c r="K770" s="106">
        <v>0</v>
      </c>
      <c r="L770" s="106">
        <v>0</v>
      </c>
      <c r="M770" s="106">
        <v>0</v>
      </c>
      <c r="N770" s="106"/>
      <c r="O770" s="106"/>
      <c r="P770" s="106">
        <v>0</v>
      </c>
      <c r="Q770" s="106" t="s">
        <v>651</v>
      </c>
      <c r="S770" s="108">
        <f>IF($A770="","",COUNTIF(BPOworkers!$B$6:$B$105,$A770))</f>
        <v>0</v>
      </c>
      <c r="T770" s="109">
        <f>IF($A770="","",$K770*Config!$C$9)</f>
        <v>0</v>
      </c>
      <c r="U770" s="109">
        <f>IF($A770="","",IF(COUNTIF(Config!$C$21:$C$23,$H770)&gt;0,IFERROR(VALUE(LEFT(TRIM($Q770),FIND(" ",TRIM($Q770)&amp;" ")-1)),0),0))</f>
        <v>8</v>
      </c>
      <c r="V770" s="109">
        <f t="shared" ref="V770:V833" si="144">IF($A770="","",$T770+$U770)</f>
        <v>8</v>
      </c>
      <c r="W770" s="108">
        <f>IF($A770="",0,IF(AND($C770&gt;=Config!$C$7,$C770&lt;=Config!$C$8),1,0))</f>
        <v>1</v>
      </c>
      <c r="X770" s="108">
        <f>IF($A770="",0,IF(COUNTIF(Config!$C$21:$C$23,$H770)&gt;0,1,0))</f>
        <v>1</v>
      </c>
      <c r="Y770" s="108">
        <f t="shared" ref="Y770:Y833" si="145">IF($A770="",MAX(0,Y769),MAX(0,Y769)+IF(AND($W770=1,$X770=1,$S770=1),1,0))</f>
        <v>17</v>
      </c>
      <c r="Z770" s="108" t="str">
        <f t="shared" ref="Z770:Z833" si="146">IF($A770="","",IF(AND($W770=1,$X770=1,$S770=1),$Y770,""))</f>
        <v/>
      </c>
      <c r="AB770" s="108">
        <f t="shared" ref="AB770:AB833" si="147">IF($A770="",0,IF(AND($S770=0,ISERROR(FIND(".",$A770))),1,0))</f>
        <v>0</v>
      </c>
      <c r="AC770" s="108">
        <f>IF($A770="",0,IF(AND($AB770=1,COUNTIF($A$2:$A770,$A770)=1),1,0))</f>
        <v>0</v>
      </c>
      <c r="AD770" s="108">
        <f t="shared" ref="AD770:AD833" si="148">IF($A770="",MAX(0,AD769),MAX(0,AD769)+$AC770)</f>
        <v>1</v>
      </c>
      <c r="AE770" s="108" t="str">
        <f t="shared" ref="AE770:AE833" si="149">IF($AC770=1,$AD770,"")</f>
        <v/>
      </c>
      <c r="AF770" s="108">
        <f t="shared" ref="AF770:AF833" si="150">IF($A770="",0,IFERROR(IF(AND($S770=1,WEEKDAY($C770,2)&gt;5),1,0),0))</f>
        <v>0</v>
      </c>
      <c r="AG770" s="108">
        <f t="shared" ref="AG770:AG833" si="151">IF($A770="",0,IF(AND($S770=1,$W770=0),1,0))</f>
        <v>0</v>
      </c>
      <c r="AH770" s="110" t="str">
        <f t="shared" ref="AH770:AH833" si="152">IF($A770="","",$A770&amp;"|"&amp;TEXT($C770,"yyyymmdd")&amp;"|"&amp;$H770&amp;"|"&amp;TEXT($K770,"0.000")&amp;"|"&amp;SUBSTITUTE(SUBSTITUTE(SUBSTITUTE(LEFT($Q770,120),"~",""),"*",""),"?",""))</f>
        <v>M. Avery|20260831|Time Off|0.000|8 hours time off.</v>
      </c>
      <c r="AI770" s="108">
        <f t="shared" ref="AI770:AI833" si="153">IF($A770="",0,IF(AND($S770=1,$W770=1,COUNTIF($AH$2:$AH$1500,$AH770)&gt;1),1,0))</f>
        <v>0</v>
      </c>
      <c r="AJ770" s="108">
        <f t="shared" ref="AJ770:AJ833" si="154">IF($A770="",0,IF(AND($S770=1,$W770=1,ABS($K770*8-ROUND($K770*8,0))&gt;0.0001),1,0))</f>
        <v>0</v>
      </c>
      <c r="AK770" s="108">
        <f>IF($A770="",0,IF(AND($S770=1,$W770=1,$X770=1,$U770&gt;Config!$C$9),1,0))</f>
        <v>0</v>
      </c>
      <c r="AL770" s="108">
        <f t="shared" ref="AL770:AL833" si="155">IF($A770="",0,IF(AND($S770=1,$W770=1,$X770=1,$U770=0),1,0))</f>
        <v>0</v>
      </c>
    </row>
    <row r="771" spans="1:38" ht="228.75" x14ac:dyDescent="0.25">
      <c r="A771" s="106" t="s">
        <v>478</v>
      </c>
      <c r="B771" s="106" t="s">
        <v>614</v>
      </c>
      <c r="C771" s="107">
        <v>46265</v>
      </c>
      <c r="D771" s="106" t="s">
        <v>623</v>
      </c>
      <c r="E771" s="106" t="s">
        <v>624</v>
      </c>
      <c r="F771" s="106" t="s">
        <v>615</v>
      </c>
      <c r="G771" s="106" t="s">
        <v>625</v>
      </c>
      <c r="H771" s="106" t="s">
        <v>691</v>
      </c>
      <c r="I771" s="106"/>
      <c r="J771" s="106" t="s">
        <v>699</v>
      </c>
      <c r="K771" s="106">
        <v>1</v>
      </c>
      <c r="L771" s="106">
        <v>0</v>
      </c>
      <c r="M771" s="106">
        <v>0</v>
      </c>
      <c r="N771" s="106"/>
      <c r="O771" s="106"/>
      <c r="P771" s="106">
        <v>0</v>
      </c>
      <c r="Q771" s="111" t="s">
        <v>1546</v>
      </c>
      <c r="S771" s="108">
        <f>IF($A771="","",COUNTIF(BPOworkers!$B$6:$B$105,$A771))</f>
        <v>1</v>
      </c>
      <c r="T771" s="109">
        <f>IF($A771="","",$K771*Config!$C$9)</f>
        <v>8</v>
      </c>
      <c r="U771" s="109">
        <f>IF($A771="","",IF(COUNTIF(Config!$C$21:$C$23,$H771)&gt;0,IFERROR(VALUE(LEFT(TRIM($Q771),FIND(" ",TRIM($Q771)&amp;" ")-1)),0),0))</f>
        <v>0</v>
      </c>
      <c r="V771" s="109">
        <f t="shared" si="144"/>
        <v>8</v>
      </c>
      <c r="W771" s="108">
        <f>IF($A771="",0,IF(AND($C771&gt;=Config!$C$7,$C771&lt;=Config!$C$8),1,0))</f>
        <v>1</v>
      </c>
      <c r="X771" s="108">
        <f>IF($A771="",0,IF(COUNTIF(Config!$C$21:$C$23,$H771)&gt;0,1,0))</f>
        <v>0</v>
      </c>
      <c r="Y771" s="108">
        <f t="shared" si="145"/>
        <v>17</v>
      </c>
      <c r="Z771" s="108" t="str">
        <f t="shared" si="146"/>
        <v/>
      </c>
      <c r="AB771" s="108">
        <f t="shared" si="147"/>
        <v>0</v>
      </c>
      <c r="AC771" s="108">
        <f>IF($A771="",0,IF(AND($AB771=1,COUNTIF($A$2:$A771,$A771)=1),1,0))</f>
        <v>0</v>
      </c>
      <c r="AD771" s="108">
        <f t="shared" si="148"/>
        <v>1</v>
      </c>
      <c r="AE771" s="108" t="str">
        <f t="shared" si="149"/>
        <v/>
      </c>
      <c r="AF771" s="108">
        <f t="shared" si="150"/>
        <v>0</v>
      </c>
      <c r="AG771" s="108">
        <f t="shared" si="151"/>
        <v>0</v>
      </c>
      <c r="AH771" s="112" t="str">
        <f t="shared" si="152"/>
        <v>L Silva|20260831|BPO Project Management|1.000|Completed training schedule. 
 ¨Completed training reading guide.
 Provided emails for the new wave.
 Met with</v>
      </c>
      <c r="AI771" s="108">
        <f t="shared" si="153"/>
        <v>0</v>
      </c>
      <c r="AJ771" s="108">
        <f t="shared" si="154"/>
        <v>0</v>
      </c>
      <c r="AK771" s="108">
        <f>IF($A771="",0,IF(AND($S771=1,$W771=1,$X771=1,$U771&gt;Config!$C$9),1,0))</f>
        <v>0</v>
      </c>
      <c r="AL771" s="108">
        <f t="shared" si="155"/>
        <v>0</v>
      </c>
    </row>
    <row r="772" spans="1:38" x14ac:dyDescent="0.25">
      <c r="A772" s="106" t="s">
        <v>127</v>
      </c>
      <c r="B772" s="106" t="s">
        <v>618</v>
      </c>
      <c r="C772" s="107">
        <v>46265</v>
      </c>
      <c r="D772" s="106" t="s">
        <v>694</v>
      </c>
      <c r="E772" s="106" t="s">
        <v>695</v>
      </c>
      <c r="F772" s="106" t="s">
        <v>766</v>
      </c>
      <c r="G772" s="106" t="s">
        <v>1547</v>
      </c>
      <c r="H772" s="106" t="s">
        <v>639</v>
      </c>
      <c r="I772" s="106"/>
      <c r="J772" s="106"/>
      <c r="K772" s="106">
        <v>0.375</v>
      </c>
      <c r="L772" s="106">
        <v>0</v>
      </c>
      <c r="M772" s="106">
        <v>0</v>
      </c>
      <c r="N772" s="106"/>
      <c r="O772" s="106"/>
      <c r="P772" s="106">
        <v>0</v>
      </c>
      <c r="Q772" s="106" t="s">
        <v>698</v>
      </c>
      <c r="S772" s="108">
        <f>IF($A772="","",COUNTIF(BPOworkers!$B$6:$B$105,$A772))</f>
        <v>1</v>
      </c>
      <c r="T772" s="109">
        <f>IF($A772="","",$K772*Config!$C$9)</f>
        <v>3</v>
      </c>
      <c r="U772" s="109">
        <f>IF($A772="","",IF(COUNTIF(Config!$C$21:$C$23,$H772)&gt;0,IFERROR(VALUE(LEFT(TRIM($Q772),FIND(" ",TRIM($Q772)&amp;" ")-1)),0),0))</f>
        <v>0</v>
      </c>
      <c r="V772" s="109">
        <f t="shared" si="144"/>
        <v>3</v>
      </c>
      <c r="W772" s="108">
        <f>IF($A772="",0,IF(AND($C772&gt;=Config!$C$7,$C772&lt;=Config!$C$8),1,0))</f>
        <v>1</v>
      </c>
      <c r="X772" s="108">
        <f>IF($A772="",0,IF(COUNTIF(Config!$C$21:$C$23,$H772)&gt;0,1,0))</f>
        <v>0</v>
      </c>
      <c r="Y772" s="108">
        <f t="shared" si="145"/>
        <v>17</v>
      </c>
      <c r="Z772" s="108" t="str">
        <f t="shared" si="146"/>
        <v/>
      </c>
      <c r="AB772" s="108">
        <f t="shared" si="147"/>
        <v>0</v>
      </c>
      <c r="AC772" s="108">
        <f>IF($A772="",0,IF(AND($AB772=1,COUNTIF($A$2:$A772,$A772)=1),1,0))</f>
        <v>0</v>
      </c>
      <c r="AD772" s="108">
        <f t="shared" si="148"/>
        <v>1</v>
      </c>
      <c r="AE772" s="108" t="str">
        <f t="shared" si="149"/>
        <v/>
      </c>
      <c r="AF772" s="108">
        <f t="shared" si="150"/>
        <v>0</v>
      </c>
      <c r="AG772" s="108">
        <f t="shared" si="151"/>
        <v>0</v>
      </c>
      <c r="AH772" s="110" t="str">
        <f t="shared" si="152"/>
        <v>S Romero|20260831|Review|0.375|Reviewed subject assignment</v>
      </c>
      <c r="AI772" s="108">
        <f t="shared" si="153"/>
        <v>0</v>
      </c>
      <c r="AJ772" s="108">
        <f t="shared" si="154"/>
        <v>0</v>
      </c>
      <c r="AK772" s="108">
        <f>IF($A772="",0,IF(AND($S772=1,$W772=1,$X772=1,$U772&gt;Config!$C$9),1,0))</f>
        <v>0</v>
      </c>
      <c r="AL772" s="108">
        <f t="shared" si="155"/>
        <v>0</v>
      </c>
    </row>
    <row r="773" spans="1:38" x14ac:dyDescent="0.25">
      <c r="A773" s="106" t="s">
        <v>127</v>
      </c>
      <c r="B773" s="106" t="s">
        <v>618</v>
      </c>
      <c r="C773" s="107">
        <v>46265</v>
      </c>
      <c r="D773" s="106" t="s">
        <v>694</v>
      </c>
      <c r="E773" s="106" t="s">
        <v>695</v>
      </c>
      <c r="F773" s="106" t="s">
        <v>766</v>
      </c>
      <c r="G773" s="106" t="s">
        <v>1257</v>
      </c>
      <c r="H773" s="106" t="s">
        <v>639</v>
      </c>
      <c r="I773" s="106"/>
      <c r="J773" s="106"/>
      <c r="K773" s="106">
        <v>0.625</v>
      </c>
      <c r="L773" s="106">
        <v>0</v>
      </c>
      <c r="M773" s="106">
        <v>0</v>
      </c>
      <c r="N773" s="106"/>
      <c r="O773" s="106"/>
      <c r="P773" s="106">
        <v>0</v>
      </c>
      <c r="Q773" s="106" t="s">
        <v>698</v>
      </c>
      <c r="S773" s="108">
        <f>IF($A773="","",COUNTIF(BPOworkers!$B$6:$B$105,$A773))</f>
        <v>1</v>
      </c>
      <c r="T773" s="109">
        <f>IF($A773="","",$K773*Config!$C$9)</f>
        <v>5</v>
      </c>
      <c r="U773" s="109">
        <f>IF($A773="","",IF(COUNTIF(Config!$C$21:$C$23,$H773)&gt;0,IFERROR(VALUE(LEFT(TRIM($Q773),FIND(" ",TRIM($Q773)&amp;" ")-1)),0),0))</f>
        <v>0</v>
      </c>
      <c r="V773" s="109">
        <f t="shared" si="144"/>
        <v>5</v>
      </c>
      <c r="W773" s="108">
        <f>IF($A773="",0,IF(AND($C773&gt;=Config!$C$7,$C773&lt;=Config!$C$8),1,0))</f>
        <v>1</v>
      </c>
      <c r="X773" s="108">
        <f>IF($A773="",0,IF(COUNTIF(Config!$C$21:$C$23,$H773)&gt;0,1,0))</f>
        <v>0</v>
      </c>
      <c r="Y773" s="108">
        <f t="shared" si="145"/>
        <v>17</v>
      </c>
      <c r="Z773" s="108" t="str">
        <f t="shared" si="146"/>
        <v/>
      </c>
      <c r="AB773" s="108">
        <f t="shared" si="147"/>
        <v>0</v>
      </c>
      <c r="AC773" s="108">
        <f>IF($A773="",0,IF(AND($AB773=1,COUNTIF($A$2:$A773,$A773)=1),1,0))</f>
        <v>0</v>
      </c>
      <c r="AD773" s="108">
        <f t="shared" si="148"/>
        <v>1</v>
      </c>
      <c r="AE773" s="108" t="str">
        <f t="shared" si="149"/>
        <v/>
      </c>
      <c r="AF773" s="108">
        <f t="shared" si="150"/>
        <v>0</v>
      </c>
      <c r="AG773" s="108">
        <f t="shared" si="151"/>
        <v>0</v>
      </c>
      <c r="AH773" s="110" t="str">
        <f t="shared" si="152"/>
        <v>S Romero|20260831|Review|0.625|Reviewed subject assignment</v>
      </c>
      <c r="AI773" s="108">
        <f t="shared" si="153"/>
        <v>0</v>
      </c>
      <c r="AJ773" s="108">
        <f t="shared" si="154"/>
        <v>0</v>
      </c>
      <c r="AK773" s="108">
        <f>IF($A773="",0,IF(AND($S773=1,$W773=1,$X773=1,$U773&gt;Config!$C$9),1,0))</f>
        <v>0</v>
      </c>
      <c r="AL773" s="108">
        <f t="shared" si="155"/>
        <v>0</v>
      </c>
    </row>
    <row r="774" spans="1:38" x14ac:dyDescent="0.25">
      <c r="A774" s="106" t="s">
        <v>123</v>
      </c>
      <c r="B774" s="106" t="s">
        <v>618</v>
      </c>
      <c r="C774" s="107">
        <v>46265</v>
      </c>
      <c r="D774" s="106" t="s">
        <v>669</v>
      </c>
      <c r="E774" s="106" t="s">
        <v>669</v>
      </c>
      <c r="F774" s="106" t="s">
        <v>670</v>
      </c>
      <c r="G774" s="106"/>
      <c r="H774" s="106" t="s">
        <v>671</v>
      </c>
      <c r="I774" s="106"/>
      <c r="J774" s="106" t="s">
        <v>669</v>
      </c>
      <c r="K774" s="106">
        <v>0.625</v>
      </c>
      <c r="L774" s="106">
        <v>0</v>
      </c>
      <c r="M774" s="106">
        <v>0</v>
      </c>
      <c r="N774" s="106"/>
      <c r="O774" s="106"/>
      <c r="P774" s="106">
        <v>0</v>
      </c>
      <c r="Q774" s="106" t="s">
        <v>1548</v>
      </c>
      <c r="S774" s="108">
        <f>IF($A774="","",COUNTIF(BPOworkers!$B$6:$B$105,$A774))</f>
        <v>1</v>
      </c>
      <c r="T774" s="109">
        <f>IF($A774="","",$K774*Config!$C$9)</f>
        <v>5</v>
      </c>
      <c r="U774" s="109">
        <f>IF($A774="","",IF(COUNTIF(Config!$C$21:$C$23,$H774)&gt;0,IFERROR(VALUE(LEFT(TRIM($Q774),FIND(" ",TRIM($Q774)&amp;" ")-1)),0),0))</f>
        <v>0</v>
      </c>
      <c r="V774" s="109">
        <f t="shared" si="144"/>
        <v>5</v>
      </c>
      <c r="W774" s="108">
        <f>IF($A774="",0,IF(AND($C774&gt;=Config!$C$7,$C774&lt;=Config!$C$8),1,0))</f>
        <v>1</v>
      </c>
      <c r="X774" s="108">
        <f>IF($A774="",0,IF(COUNTIF(Config!$C$21:$C$23,$H774)&gt;0,1,0))</f>
        <v>0</v>
      </c>
      <c r="Y774" s="108">
        <f t="shared" si="145"/>
        <v>17</v>
      </c>
      <c r="Z774" s="108" t="str">
        <f t="shared" si="146"/>
        <v/>
      </c>
      <c r="AB774" s="108">
        <f t="shared" si="147"/>
        <v>0</v>
      </c>
      <c r="AC774" s="108">
        <f>IF($A774="",0,IF(AND($AB774=1,COUNTIF($A$2:$A774,$A774)=1),1,0))</f>
        <v>0</v>
      </c>
      <c r="AD774" s="108">
        <f t="shared" si="148"/>
        <v>1</v>
      </c>
      <c r="AE774" s="108" t="str">
        <f t="shared" si="149"/>
        <v/>
      </c>
      <c r="AF774" s="108">
        <f t="shared" si="150"/>
        <v>0</v>
      </c>
      <c r="AG774" s="108">
        <f t="shared" si="151"/>
        <v>0</v>
      </c>
      <c r="AH774" s="110" t="str">
        <f t="shared" si="152"/>
        <v>H Daza|20260831|TitleNotes - Library|0.625|Training with Matt, some documents was already reviewed. I was transferred to another project with Kendall</v>
      </c>
      <c r="AI774" s="108">
        <f t="shared" si="153"/>
        <v>0</v>
      </c>
      <c r="AJ774" s="108">
        <f t="shared" si="154"/>
        <v>0</v>
      </c>
      <c r="AK774" s="108">
        <f>IF($A774="",0,IF(AND($S774=1,$W774=1,$X774=1,$U774&gt;Config!$C$9),1,0))</f>
        <v>0</v>
      </c>
      <c r="AL774" s="108">
        <f t="shared" si="155"/>
        <v>0</v>
      </c>
    </row>
    <row r="775" spans="1:38" x14ac:dyDescent="0.25">
      <c r="A775" s="106" t="s">
        <v>123</v>
      </c>
      <c r="B775" s="106" t="s">
        <v>618</v>
      </c>
      <c r="C775" s="107">
        <v>46265</v>
      </c>
      <c r="D775" s="106" t="s">
        <v>628</v>
      </c>
      <c r="E775" s="106" t="s">
        <v>793</v>
      </c>
      <c r="F775" s="106" t="s">
        <v>670</v>
      </c>
      <c r="G775" s="106" t="s">
        <v>1258</v>
      </c>
      <c r="H775" s="106" t="s">
        <v>702</v>
      </c>
      <c r="I775" s="106"/>
      <c r="J775" s="106"/>
      <c r="K775" s="106">
        <v>0.375</v>
      </c>
      <c r="L775" s="106">
        <v>0</v>
      </c>
      <c r="M775" s="106">
        <v>0</v>
      </c>
      <c r="N775" s="106"/>
      <c r="O775" s="106"/>
      <c r="P775" s="106">
        <v>0</v>
      </c>
      <c r="Q775" s="106" t="s">
        <v>1549</v>
      </c>
      <c r="S775" s="108">
        <f>IF($A775="","",COUNTIF(BPOworkers!$B$6:$B$105,$A775))</f>
        <v>1</v>
      </c>
      <c r="T775" s="109">
        <f>IF($A775="","",$K775*Config!$C$9)</f>
        <v>3</v>
      </c>
      <c r="U775" s="109">
        <f>IF($A775="","",IF(COUNTIF(Config!$C$21:$C$23,$H775)&gt;0,IFERROR(VALUE(LEFT(TRIM($Q775),FIND(" ",TRIM($Q775)&amp;" ")-1)),0),0))</f>
        <v>0</v>
      </c>
      <c r="V775" s="109">
        <f t="shared" si="144"/>
        <v>3</v>
      </c>
      <c r="W775" s="108">
        <f>IF($A775="",0,IF(AND($C775&gt;=Config!$C$7,$C775&lt;=Config!$C$8),1,0))</f>
        <v>1</v>
      </c>
      <c r="X775" s="108">
        <f>IF($A775="",0,IF(COUNTIF(Config!$C$21:$C$23,$H775)&gt;0,1,0))</f>
        <v>0</v>
      </c>
      <c r="Y775" s="108">
        <f t="shared" si="145"/>
        <v>17</v>
      </c>
      <c r="Z775" s="108" t="str">
        <f t="shared" si="146"/>
        <v/>
      </c>
      <c r="AB775" s="108">
        <f t="shared" si="147"/>
        <v>0</v>
      </c>
      <c r="AC775" s="108">
        <f>IF($A775="",0,IF(AND($AB775=1,COUNTIF($A$2:$A775,$A775)=1),1,0))</f>
        <v>0</v>
      </c>
      <c r="AD775" s="108">
        <f t="shared" si="148"/>
        <v>1</v>
      </c>
      <c r="AE775" s="108" t="str">
        <f t="shared" si="149"/>
        <v/>
      </c>
      <c r="AF775" s="108">
        <f t="shared" si="150"/>
        <v>0</v>
      </c>
      <c r="AG775" s="108">
        <f t="shared" si="151"/>
        <v>0</v>
      </c>
      <c r="AH775" s="110" t="str">
        <f t="shared" si="152"/>
        <v>H Daza|20260831|Data Processing|0.375|Identiiying and inputting source documents provided by the client into the project log and each specific AOI in tracts.</v>
      </c>
      <c r="AI775" s="108">
        <f t="shared" si="153"/>
        <v>0</v>
      </c>
      <c r="AJ775" s="108">
        <f t="shared" si="154"/>
        <v>0</v>
      </c>
      <c r="AK775" s="108">
        <f>IF($A775="",0,IF(AND($S775=1,$W775=1,$X775=1,$U775&gt;Config!$C$9),1,0))</f>
        <v>0</v>
      </c>
      <c r="AL775" s="108">
        <f t="shared" si="155"/>
        <v>0</v>
      </c>
    </row>
    <row r="776" spans="1:38" ht="108.75" x14ac:dyDescent="0.25">
      <c r="A776" s="106" t="s">
        <v>126</v>
      </c>
      <c r="B776" s="106" t="s">
        <v>618</v>
      </c>
      <c r="C776" s="107">
        <v>46265</v>
      </c>
      <c r="D776" s="106" t="s">
        <v>623</v>
      </c>
      <c r="E776" s="106" t="s">
        <v>624</v>
      </c>
      <c r="F776" s="106" t="s">
        <v>615</v>
      </c>
      <c r="G776" s="106" t="s">
        <v>625</v>
      </c>
      <c r="H776" s="106" t="s">
        <v>671</v>
      </c>
      <c r="I776" s="106" t="s">
        <v>657</v>
      </c>
      <c r="J776" s="106"/>
      <c r="K776" s="106">
        <v>0.625</v>
      </c>
      <c r="L776" s="106">
        <v>0</v>
      </c>
      <c r="M776" s="106">
        <v>0</v>
      </c>
      <c r="N776" s="106"/>
      <c r="O776" s="106"/>
      <c r="P776" s="106">
        <v>0</v>
      </c>
      <c r="Q776" s="111" t="s">
        <v>1550</v>
      </c>
      <c r="S776" s="108">
        <f>IF($A776="","",COUNTIF(BPOworkers!$B$6:$B$105,$A776))</f>
        <v>1</v>
      </c>
      <c r="T776" s="109">
        <f>IF($A776="","",$K776*Config!$C$9)</f>
        <v>5</v>
      </c>
      <c r="U776" s="109">
        <f>IF($A776="","",IF(COUNTIF(Config!$C$21:$C$23,$H776)&gt;0,IFERROR(VALUE(LEFT(TRIM($Q776),FIND(" ",TRIM($Q776)&amp;" ")-1)),0),0))</f>
        <v>0</v>
      </c>
      <c r="V776" s="109">
        <f t="shared" si="144"/>
        <v>5</v>
      </c>
      <c r="W776" s="108">
        <f>IF($A776="",0,IF(AND($C776&gt;=Config!$C$7,$C776&lt;=Config!$C$8),1,0))</f>
        <v>1</v>
      </c>
      <c r="X776" s="108">
        <f>IF($A776="",0,IF(COUNTIF(Config!$C$21:$C$23,$H776)&gt;0,1,0))</f>
        <v>0</v>
      </c>
      <c r="Y776" s="108">
        <f t="shared" si="145"/>
        <v>17</v>
      </c>
      <c r="Z776" s="108" t="str">
        <f t="shared" si="146"/>
        <v/>
      </c>
      <c r="AB776" s="108">
        <f t="shared" si="147"/>
        <v>0</v>
      </c>
      <c r="AC776" s="108">
        <f>IF($A776="",0,IF(AND($AB776=1,COUNTIF($A$2:$A776,$A776)=1),1,0))</f>
        <v>0</v>
      </c>
      <c r="AD776" s="108">
        <f t="shared" si="148"/>
        <v>1</v>
      </c>
      <c r="AE776" s="108" t="str">
        <f t="shared" si="149"/>
        <v/>
      </c>
      <c r="AF776" s="108">
        <f t="shared" si="150"/>
        <v>0</v>
      </c>
      <c r="AG776" s="108">
        <f t="shared" si="151"/>
        <v>0</v>
      </c>
      <c r="AH776" s="112" t="str">
        <f t="shared" si="152"/>
        <v>R Sanchez|20260831|TitleNotes - Library|0.625|28 instruments
 52 transactions</v>
      </c>
      <c r="AI776" s="108">
        <f t="shared" si="153"/>
        <v>0</v>
      </c>
      <c r="AJ776" s="108">
        <f t="shared" si="154"/>
        <v>0</v>
      </c>
      <c r="AK776" s="108">
        <f>IF($A776="",0,IF(AND($S776=1,$W776=1,$X776=1,$U776&gt;Config!$C$9),1,0))</f>
        <v>0</v>
      </c>
      <c r="AL776" s="108">
        <f t="shared" si="155"/>
        <v>0</v>
      </c>
    </row>
    <row r="777" spans="1:38" x14ac:dyDescent="0.25">
      <c r="A777" s="106" t="s">
        <v>126</v>
      </c>
      <c r="B777" s="106" t="s">
        <v>618</v>
      </c>
      <c r="C777" s="107">
        <v>46265</v>
      </c>
      <c r="D777" s="106" t="s">
        <v>628</v>
      </c>
      <c r="E777" s="106" t="s">
        <v>793</v>
      </c>
      <c r="F777" s="106" t="s">
        <v>670</v>
      </c>
      <c r="G777" s="106" t="s">
        <v>1258</v>
      </c>
      <c r="H777" s="106" t="s">
        <v>702</v>
      </c>
      <c r="I777" s="106"/>
      <c r="J777" s="106"/>
      <c r="K777" s="106">
        <v>0.375</v>
      </c>
      <c r="L777" s="106">
        <v>0</v>
      </c>
      <c r="M777" s="106">
        <v>0</v>
      </c>
      <c r="N777" s="106"/>
      <c r="O777" s="106"/>
      <c r="P777" s="106">
        <v>0</v>
      </c>
      <c r="Q777" s="106" t="s">
        <v>1549</v>
      </c>
      <c r="S777" s="108">
        <f>IF($A777="","",COUNTIF(BPOworkers!$B$6:$B$105,$A777))</f>
        <v>1</v>
      </c>
      <c r="T777" s="109">
        <f>IF($A777="","",$K777*Config!$C$9)</f>
        <v>3</v>
      </c>
      <c r="U777" s="109">
        <f>IF($A777="","",IF(COUNTIF(Config!$C$21:$C$23,$H777)&gt;0,IFERROR(VALUE(LEFT(TRIM($Q777),FIND(" ",TRIM($Q777)&amp;" ")-1)),0),0))</f>
        <v>0</v>
      </c>
      <c r="V777" s="109">
        <f t="shared" si="144"/>
        <v>3</v>
      </c>
      <c r="W777" s="108">
        <f>IF($A777="",0,IF(AND($C777&gt;=Config!$C$7,$C777&lt;=Config!$C$8),1,0))</f>
        <v>1</v>
      </c>
      <c r="X777" s="108">
        <f>IF($A777="",0,IF(COUNTIF(Config!$C$21:$C$23,$H777)&gt;0,1,0))</f>
        <v>0</v>
      </c>
      <c r="Y777" s="108">
        <f t="shared" si="145"/>
        <v>17</v>
      </c>
      <c r="Z777" s="108" t="str">
        <f t="shared" si="146"/>
        <v/>
      </c>
      <c r="AB777" s="108">
        <f t="shared" si="147"/>
        <v>0</v>
      </c>
      <c r="AC777" s="108">
        <f>IF($A777="",0,IF(AND($AB777=1,COUNTIF($A$2:$A777,$A777)=1),1,0))</f>
        <v>0</v>
      </c>
      <c r="AD777" s="108">
        <f t="shared" si="148"/>
        <v>1</v>
      </c>
      <c r="AE777" s="108" t="str">
        <f t="shared" si="149"/>
        <v/>
      </c>
      <c r="AF777" s="108">
        <f t="shared" si="150"/>
        <v>0</v>
      </c>
      <c r="AG777" s="108">
        <f t="shared" si="151"/>
        <v>0</v>
      </c>
      <c r="AH777" s="110" t="str">
        <f t="shared" si="152"/>
        <v>R Sanchez|20260831|Data Processing|0.375|Identiiying and inputting source documents provided by the client into the project log and each specific AOI in tracts.</v>
      </c>
      <c r="AI777" s="108">
        <f t="shared" si="153"/>
        <v>0</v>
      </c>
      <c r="AJ777" s="108">
        <f t="shared" si="154"/>
        <v>0</v>
      </c>
      <c r="AK777" s="108">
        <f>IF($A777="",0,IF(AND($S777=1,$W777=1,$X777=1,$U777&gt;Config!$C$9),1,0))</f>
        <v>0</v>
      </c>
      <c r="AL777" s="108">
        <f t="shared" si="155"/>
        <v>0</v>
      </c>
    </row>
    <row r="778" spans="1:38" x14ac:dyDescent="0.25">
      <c r="A778" s="106" t="s">
        <v>122</v>
      </c>
      <c r="B778" s="106" t="s">
        <v>618</v>
      </c>
      <c r="C778" s="107">
        <v>46265</v>
      </c>
      <c r="D778" s="106" t="s">
        <v>694</v>
      </c>
      <c r="E778" s="106" t="s">
        <v>709</v>
      </c>
      <c r="F778" s="106" t="s">
        <v>615</v>
      </c>
      <c r="G778" s="106"/>
      <c r="H778" s="106" t="s">
        <v>709</v>
      </c>
      <c r="I778" s="106"/>
      <c r="J778" s="106" t="s">
        <v>710</v>
      </c>
      <c r="K778" s="106">
        <v>1</v>
      </c>
      <c r="L778" s="106">
        <v>0</v>
      </c>
      <c r="M778" s="106">
        <v>0</v>
      </c>
      <c r="N778" s="106"/>
      <c r="O778" s="106"/>
      <c r="P778" s="106">
        <v>0</v>
      </c>
      <c r="Q778" s="106" t="s">
        <v>711</v>
      </c>
      <c r="S778" s="108">
        <f>IF($A778="","",COUNTIF(BPOworkers!$B$6:$B$105,$A778))</f>
        <v>1</v>
      </c>
      <c r="T778" s="109">
        <f>IF($A778="","",$K778*Config!$C$9)</f>
        <v>8</v>
      </c>
      <c r="U778" s="109">
        <f>IF($A778="","",IF(COUNTIF(Config!$C$21:$C$23,$H778)&gt;0,IFERROR(VALUE(LEFT(TRIM($Q778),FIND(" ",TRIM($Q778)&amp;" ")-1)),0),0))</f>
        <v>0</v>
      </c>
      <c r="V778" s="109">
        <f t="shared" si="144"/>
        <v>8</v>
      </c>
      <c r="W778" s="108">
        <f>IF($A778="",0,IF(AND($C778&gt;=Config!$C$7,$C778&lt;=Config!$C$8),1,0))</f>
        <v>1</v>
      </c>
      <c r="X778" s="108">
        <f>IF($A778="",0,IF(COUNTIF(Config!$C$21:$C$23,$H778)&gt;0,1,0))</f>
        <v>0</v>
      </c>
      <c r="Y778" s="108">
        <f t="shared" si="145"/>
        <v>17</v>
      </c>
      <c r="Z778" s="108" t="str">
        <f t="shared" si="146"/>
        <v/>
      </c>
      <c r="AB778" s="108">
        <f t="shared" si="147"/>
        <v>0</v>
      </c>
      <c r="AC778" s="108">
        <f>IF($A778="",0,IF(AND($AB778=1,COUNTIF($A$2:$A778,$A778)=1),1,0))</f>
        <v>0</v>
      </c>
      <c r="AD778" s="108">
        <f t="shared" si="148"/>
        <v>1</v>
      </c>
      <c r="AE778" s="108" t="str">
        <f t="shared" si="149"/>
        <v/>
      </c>
      <c r="AF778" s="108">
        <f t="shared" si="150"/>
        <v>0</v>
      </c>
      <c r="AG778" s="108">
        <f t="shared" si="151"/>
        <v>0</v>
      </c>
      <c r="AH778" s="110" t="str">
        <f t="shared" si="152"/>
        <v>A Lorenzo|20260831|Land Admin|1.000|Data reconciliation</v>
      </c>
      <c r="AI778" s="108">
        <f t="shared" si="153"/>
        <v>0</v>
      </c>
      <c r="AJ778" s="108">
        <f t="shared" si="154"/>
        <v>0</v>
      </c>
      <c r="AK778" s="108">
        <f>IF($A778="",0,IF(AND($S778=1,$W778=1,$X778=1,$U778&gt;Config!$C$9),1,0))</f>
        <v>0</v>
      </c>
      <c r="AL778" s="108">
        <f t="shared" si="155"/>
        <v>0</v>
      </c>
    </row>
    <row r="779" spans="1:38" x14ac:dyDescent="0.25">
      <c r="A779" s="106" t="s">
        <v>120</v>
      </c>
      <c r="B779" s="106" t="s">
        <v>618</v>
      </c>
      <c r="C779" s="107">
        <v>46265</v>
      </c>
      <c r="D779" s="106" t="s">
        <v>529</v>
      </c>
      <c r="E779" s="106" t="s">
        <v>529</v>
      </c>
      <c r="F779" s="106" t="s">
        <v>615</v>
      </c>
      <c r="G779" s="106"/>
      <c r="H779" s="106" t="s">
        <v>529</v>
      </c>
      <c r="I779" s="106"/>
      <c r="J779" s="106" t="s">
        <v>727</v>
      </c>
      <c r="K779" s="106">
        <v>0</v>
      </c>
      <c r="L779" s="106">
        <v>0</v>
      </c>
      <c r="M779" s="106">
        <v>0</v>
      </c>
      <c r="N779" s="106"/>
      <c r="O779" s="106"/>
      <c r="P779" s="106">
        <v>0</v>
      </c>
      <c r="Q779" s="106" t="s">
        <v>1551</v>
      </c>
      <c r="S779" s="108">
        <f>IF($A779="","",COUNTIF(BPOworkers!$B$6:$B$105,$A779))</f>
        <v>1</v>
      </c>
      <c r="T779" s="109">
        <f>IF($A779="","",$K779*Config!$C$9)</f>
        <v>0</v>
      </c>
      <c r="U779" s="109">
        <f>IF($A779="","",IF(COUNTIF(Config!$C$21:$C$23,$H779)&gt;0,IFERROR(VALUE(LEFT(TRIM($Q779),FIND(" ",TRIM($Q779)&amp;" ")-1)),0),0))</f>
        <v>6</v>
      </c>
      <c r="V779" s="109">
        <f t="shared" si="144"/>
        <v>6</v>
      </c>
      <c r="W779" s="108">
        <f>IF($A779="",0,IF(AND($C779&gt;=Config!$C$7,$C779&lt;=Config!$C$8),1,0))</f>
        <v>1</v>
      </c>
      <c r="X779" s="108">
        <f>IF($A779="",0,IF(COUNTIF(Config!$C$21:$C$23,$H779)&gt;0,1,0))</f>
        <v>1</v>
      </c>
      <c r="Y779" s="108">
        <f t="shared" si="145"/>
        <v>18</v>
      </c>
      <c r="Z779" s="108">
        <f t="shared" si="146"/>
        <v>18</v>
      </c>
      <c r="AB779" s="108">
        <f t="shared" si="147"/>
        <v>0</v>
      </c>
      <c r="AC779" s="108">
        <f>IF($A779="",0,IF(AND($AB779=1,COUNTIF($A$2:$A779,$A779)=1),1,0))</f>
        <v>0</v>
      </c>
      <c r="AD779" s="108">
        <f t="shared" si="148"/>
        <v>1</v>
      </c>
      <c r="AE779" s="108" t="str">
        <f t="shared" si="149"/>
        <v/>
      </c>
      <c r="AF779" s="108">
        <f t="shared" si="150"/>
        <v>0</v>
      </c>
      <c r="AG779" s="108">
        <f t="shared" si="151"/>
        <v>0</v>
      </c>
      <c r="AH779" s="110" t="str">
        <f t="shared" si="152"/>
        <v>A Camargo|20260831|Time Off|0.000|6 hours not billed.</v>
      </c>
      <c r="AI779" s="108">
        <f t="shared" si="153"/>
        <v>0</v>
      </c>
      <c r="AJ779" s="108">
        <f t="shared" si="154"/>
        <v>0</v>
      </c>
      <c r="AK779" s="108">
        <f>IF($A779="",0,IF(AND($S779=1,$W779=1,$X779=1,$U779&gt;Config!$C$9),1,0))</f>
        <v>0</v>
      </c>
      <c r="AL779" s="108">
        <f t="shared" si="155"/>
        <v>0</v>
      </c>
    </row>
    <row r="780" spans="1:38" ht="144.75" x14ac:dyDescent="0.25">
      <c r="A780" s="106" t="s">
        <v>120</v>
      </c>
      <c r="B780" s="106" t="s">
        <v>618</v>
      </c>
      <c r="C780" s="107">
        <v>46265</v>
      </c>
      <c r="D780" s="106" t="s">
        <v>623</v>
      </c>
      <c r="E780" s="106" t="s">
        <v>624</v>
      </c>
      <c r="F780" s="106" t="s">
        <v>615</v>
      </c>
      <c r="G780" s="106" t="s">
        <v>625</v>
      </c>
      <c r="H780" s="106" t="s">
        <v>691</v>
      </c>
      <c r="I780" s="106"/>
      <c r="J780" s="106" t="s">
        <v>1264</v>
      </c>
      <c r="K780" s="106">
        <v>0.25</v>
      </c>
      <c r="L780" s="106">
        <v>0</v>
      </c>
      <c r="M780" s="106">
        <v>0</v>
      </c>
      <c r="N780" s="106"/>
      <c r="O780" s="106"/>
      <c r="P780" s="106">
        <v>0</v>
      </c>
      <c r="Q780" s="111" t="s">
        <v>1552</v>
      </c>
      <c r="S780" s="108">
        <f>IF($A780="","",COUNTIF(BPOworkers!$B$6:$B$105,$A780))</f>
        <v>1</v>
      </c>
      <c r="T780" s="109">
        <f>IF($A780="","",$K780*Config!$C$9)</f>
        <v>2</v>
      </c>
      <c r="U780" s="109">
        <f>IF($A780="","",IF(COUNTIF(Config!$C$21:$C$23,$H780)&gt;0,IFERROR(VALUE(LEFT(TRIM($Q780),FIND(" ",TRIM($Q780)&amp;" ")-1)),0),0))</f>
        <v>0</v>
      </c>
      <c r="V780" s="109">
        <f t="shared" si="144"/>
        <v>2</v>
      </c>
      <c r="W780" s="108">
        <f>IF($A780="",0,IF(AND($C780&gt;=Config!$C$7,$C780&lt;=Config!$C$8),1,0))</f>
        <v>1</v>
      </c>
      <c r="X780" s="108">
        <f>IF($A780="",0,IF(COUNTIF(Config!$C$21:$C$23,$H780)&gt;0,1,0))</f>
        <v>0</v>
      </c>
      <c r="Y780" s="108">
        <f t="shared" si="145"/>
        <v>18</v>
      </c>
      <c r="Z780" s="108" t="str">
        <f t="shared" si="146"/>
        <v/>
      </c>
      <c r="AB780" s="108">
        <f t="shared" si="147"/>
        <v>0</v>
      </c>
      <c r="AC780" s="108">
        <f>IF($A780="",0,IF(AND($AB780=1,COUNTIF($A$2:$A780,$A780)=1),1,0))</f>
        <v>0</v>
      </c>
      <c r="AD780" s="108">
        <f t="shared" si="148"/>
        <v>1</v>
      </c>
      <c r="AE780" s="108" t="str">
        <f t="shared" si="149"/>
        <v/>
      </c>
      <c r="AF780" s="108">
        <f t="shared" si="150"/>
        <v>0</v>
      </c>
      <c r="AG780" s="108">
        <f t="shared" si="151"/>
        <v>0</v>
      </c>
      <c r="AH780" s="112" t="str">
        <f t="shared" si="152"/>
        <v>A Camargo|20260831|BPO Project Management|0.250|- Leadership tasks
 - Met with Monica
 - Met with Andres</v>
      </c>
      <c r="AI780" s="108">
        <f t="shared" si="153"/>
        <v>0</v>
      </c>
      <c r="AJ780" s="108">
        <f t="shared" si="154"/>
        <v>0</v>
      </c>
      <c r="AK780" s="108">
        <f>IF($A780="",0,IF(AND($S780=1,$W780=1,$X780=1,$U780&gt;Config!$C$9),1,0))</f>
        <v>0</v>
      </c>
      <c r="AL780" s="108">
        <f t="shared" si="155"/>
        <v>0</v>
      </c>
    </row>
    <row r="781" spans="1:38" x14ac:dyDescent="0.25">
      <c r="A781" s="106" t="s">
        <v>718</v>
      </c>
      <c r="B781" s="106" t="s">
        <v>618</v>
      </c>
      <c r="C781" s="107">
        <v>46265</v>
      </c>
      <c r="D781" s="106" t="s">
        <v>694</v>
      </c>
      <c r="E781" s="106" t="s">
        <v>695</v>
      </c>
      <c r="F781" s="106" t="s">
        <v>766</v>
      </c>
      <c r="G781" s="106" t="s">
        <v>1553</v>
      </c>
      <c r="H781" s="106" t="s">
        <v>639</v>
      </c>
      <c r="I781" s="106"/>
      <c r="J781" s="106"/>
      <c r="K781" s="106">
        <v>0.625</v>
      </c>
      <c r="L781" s="106">
        <v>0</v>
      </c>
      <c r="M781" s="106">
        <v>0</v>
      </c>
      <c r="N781" s="106"/>
      <c r="O781" s="106"/>
      <c r="P781" s="106">
        <v>0</v>
      </c>
      <c r="Q781" s="106" t="s">
        <v>1554</v>
      </c>
      <c r="S781" s="108">
        <f>IF($A781="","",COUNTIF(BPOworkers!$B$6:$B$105,$A781))</f>
        <v>0</v>
      </c>
      <c r="T781" s="109">
        <f>IF($A781="","",$K781*Config!$C$9)</f>
        <v>5</v>
      </c>
      <c r="U781" s="109">
        <f>IF($A781="","",IF(COUNTIF(Config!$C$21:$C$23,$H781)&gt;0,IFERROR(VALUE(LEFT(TRIM($Q781),FIND(" ",TRIM($Q781)&amp;" ")-1)),0),0))</f>
        <v>0</v>
      </c>
      <c r="V781" s="109">
        <f t="shared" si="144"/>
        <v>5</v>
      </c>
      <c r="W781" s="108">
        <f>IF($A781="",0,IF(AND($C781&gt;=Config!$C$7,$C781&lt;=Config!$C$8),1,0))</f>
        <v>1</v>
      </c>
      <c r="X781" s="108">
        <f>IF($A781="",0,IF(COUNTIF(Config!$C$21:$C$23,$H781)&gt;0,1,0))</f>
        <v>0</v>
      </c>
      <c r="Y781" s="108">
        <f t="shared" si="145"/>
        <v>18</v>
      </c>
      <c r="Z781" s="108" t="str">
        <f t="shared" si="146"/>
        <v/>
      </c>
      <c r="AB781" s="108">
        <f t="shared" si="147"/>
        <v>0</v>
      </c>
      <c r="AC781" s="108">
        <f>IF($A781="",0,IF(AND($AB781=1,COUNTIF($A$2:$A781,$A781)=1),1,0))</f>
        <v>0</v>
      </c>
      <c r="AD781" s="108">
        <f t="shared" si="148"/>
        <v>1</v>
      </c>
      <c r="AE781" s="108" t="str">
        <f t="shared" si="149"/>
        <v/>
      </c>
      <c r="AF781" s="108">
        <f t="shared" si="150"/>
        <v>0</v>
      </c>
      <c r="AG781" s="108">
        <f t="shared" si="151"/>
        <v>0</v>
      </c>
      <c r="AH781" s="110" t="str">
        <f t="shared" si="152"/>
        <v>B. Lukes|20260831|Review|0.625|Review AOI, add documents to AOI that were missing, LMS. Finalize review and send review summary to landman and manageme</v>
      </c>
      <c r="AI781" s="108">
        <f t="shared" si="153"/>
        <v>0</v>
      </c>
      <c r="AJ781" s="108">
        <f t="shared" si="154"/>
        <v>0</v>
      </c>
      <c r="AK781" s="108">
        <f>IF($A781="",0,IF(AND($S781=1,$W781=1,$X781=1,$U781&gt;Config!$C$9),1,0))</f>
        <v>0</v>
      </c>
      <c r="AL781" s="108">
        <f t="shared" si="155"/>
        <v>0</v>
      </c>
    </row>
    <row r="782" spans="1:38" x14ac:dyDescent="0.25">
      <c r="A782" s="106" t="s">
        <v>718</v>
      </c>
      <c r="B782" s="106" t="s">
        <v>618</v>
      </c>
      <c r="C782" s="107">
        <v>46265</v>
      </c>
      <c r="D782" s="106" t="s">
        <v>694</v>
      </c>
      <c r="E782" s="106" t="s">
        <v>862</v>
      </c>
      <c r="F782" s="106" t="s">
        <v>766</v>
      </c>
      <c r="G782" s="106" t="s">
        <v>1393</v>
      </c>
      <c r="H782" s="106" t="s">
        <v>639</v>
      </c>
      <c r="I782" s="106"/>
      <c r="J782" s="106"/>
      <c r="K782" s="106">
        <v>0.5</v>
      </c>
      <c r="L782" s="106">
        <v>0</v>
      </c>
      <c r="M782" s="106">
        <v>0</v>
      </c>
      <c r="N782" s="106"/>
      <c r="O782" s="106"/>
      <c r="P782" s="106">
        <v>0</v>
      </c>
      <c r="Q782" s="106" t="s">
        <v>1394</v>
      </c>
      <c r="S782" s="108">
        <f>IF($A782="","",COUNTIF(BPOworkers!$B$6:$B$105,$A782))</f>
        <v>0</v>
      </c>
      <c r="T782" s="109">
        <f>IF($A782="","",$K782*Config!$C$9)</f>
        <v>4</v>
      </c>
      <c r="U782" s="109">
        <f>IF($A782="","",IF(COUNTIF(Config!$C$21:$C$23,$H782)&gt;0,IFERROR(VALUE(LEFT(TRIM($Q782),FIND(" ",TRIM($Q782)&amp;" ")-1)),0),0))</f>
        <v>0</v>
      </c>
      <c r="V782" s="109">
        <f t="shared" si="144"/>
        <v>4</v>
      </c>
      <c r="W782" s="108">
        <f>IF($A782="",0,IF(AND($C782&gt;=Config!$C$7,$C782&lt;=Config!$C$8),1,0))</f>
        <v>1</v>
      </c>
      <c r="X782" s="108">
        <f>IF($A782="",0,IF(COUNTIF(Config!$C$21:$C$23,$H782)&gt;0,1,0))</f>
        <v>0</v>
      </c>
      <c r="Y782" s="108">
        <f t="shared" si="145"/>
        <v>18</v>
      </c>
      <c r="Z782" s="108" t="str">
        <f t="shared" si="146"/>
        <v/>
      </c>
      <c r="AB782" s="108">
        <f t="shared" si="147"/>
        <v>0</v>
      </c>
      <c r="AC782" s="108">
        <f>IF($A782="",0,IF(AND($AB782=1,COUNTIF($A$2:$A782,$A782)=1),1,0))</f>
        <v>0</v>
      </c>
      <c r="AD782" s="108">
        <f t="shared" si="148"/>
        <v>1</v>
      </c>
      <c r="AE782" s="108" t="str">
        <f t="shared" si="149"/>
        <v/>
      </c>
      <c r="AF782" s="108">
        <f t="shared" si="150"/>
        <v>0</v>
      </c>
      <c r="AG782" s="108">
        <f t="shared" si="151"/>
        <v>0</v>
      </c>
      <c r="AH782" s="110" t="str">
        <f t="shared" si="152"/>
        <v>B. Lukes|20260831|Review|0.500|Review AOI, searching Grantor/Grantee for gaps in COT.</v>
      </c>
      <c r="AI782" s="108">
        <f t="shared" si="153"/>
        <v>0</v>
      </c>
      <c r="AJ782" s="108">
        <f t="shared" si="154"/>
        <v>0</v>
      </c>
      <c r="AK782" s="108">
        <f>IF($A782="",0,IF(AND($S782=1,$W782=1,$X782=1,$U782&gt;Config!$C$9),1,0))</f>
        <v>0</v>
      </c>
      <c r="AL782" s="108">
        <f t="shared" si="155"/>
        <v>0</v>
      </c>
    </row>
    <row r="783" spans="1:38" ht="96.75" x14ac:dyDescent="0.25">
      <c r="A783" s="106" t="s">
        <v>125</v>
      </c>
      <c r="B783" s="106" t="s">
        <v>618</v>
      </c>
      <c r="C783" s="107">
        <v>46265</v>
      </c>
      <c r="D783" s="106" t="s">
        <v>623</v>
      </c>
      <c r="E783" s="106" t="s">
        <v>624</v>
      </c>
      <c r="F783" s="106" t="s">
        <v>615</v>
      </c>
      <c r="G783" s="106" t="s">
        <v>625</v>
      </c>
      <c r="H783" s="106" t="s">
        <v>671</v>
      </c>
      <c r="I783" s="106" t="s">
        <v>657</v>
      </c>
      <c r="J783" s="106"/>
      <c r="K783" s="106">
        <v>1</v>
      </c>
      <c r="L783" s="106">
        <v>0</v>
      </c>
      <c r="M783" s="106">
        <v>0</v>
      </c>
      <c r="N783" s="106"/>
      <c r="O783" s="106"/>
      <c r="P783" s="106">
        <v>0</v>
      </c>
      <c r="Q783" s="111" t="s">
        <v>1555</v>
      </c>
      <c r="S783" s="108">
        <f>IF($A783="","",COUNTIF(BPOworkers!$B$6:$B$105,$A783))</f>
        <v>1</v>
      </c>
      <c r="T783" s="109">
        <f>IF($A783="","",$K783*Config!$C$9)</f>
        <v>8</v>
      </c>
      <c r="U783" s="109">
        <f>IF($A783="","",IF(COUNTIF(Config!$C$21:$C$23,$H783)&gt;0,IFERROR(VALUE(LEFT(TRIM($Q783),FIND(" ",TRIM($Q783)&amp;" ")-1)),0),0))</f>
        <v>0</v>
      </c>
      <c r="V783" s="109">
        <f t="shared" si="144"/>
        <v>8</v>
      </c>
      <c r="W783" s="108">
        <f>IF($A783="",0,IF(AND($C783&gt;=Config!$C$7,$C783&lt;=Config!$C$8),1,0))</f>
        <v>1</v>
      </c>
      <c r="X783" s="108">
        <f>IF($A783="",0,IF(COUNTIF(Config!$C$21:$C$23,$H783)&gt;0,1,0))</f>
        <v>0</v>
      </c>
      <c r="Y783" s="108">
        <f t="shared" si="145"/>
        <v>18</v>
      </c>
      <c r="Z783" s="108" t="str">
        <f t="shared" si="146"/>
        <v/>
      </c>
      <c r="AB783" s="108">
        <f t="shared" si="147"/>
        <v>0</v>
      </c>
      <c r="AC783" s="108">
        <f>IF($A783="",0,IF(AND($AB783=1,COUNTIF($A$2:$A783,$A783)=1),1,0))</f>
        <v>0</v>
      </c>
      <c r="AD783" s="108">
        <f t="shared" si="148"/>
        <v>1</v>
      </c>
      <c r="AE783" s="108" t="str">
        <f t="shared" si="149"/>
        <v/>
      </c>
      <c r="AF783" s="108">
        <f t="shared" si="150"/>
        <v>0</v>
      </c>
      <c r="AG783" s="108">
        <f t="shared" si="151"/>
        <v>0</v>
      </c>
      <c r="AH783" s="112" t="str">
        <f t="shared" si="152"/>
        <v>M Leon|20260831|TitleNotes - Library|1.000|35 documents
 20 transactions</v>
      </c>
      <c r="AI783" s="108">
        <f t="shared" si="153"/>
        <v>0</v>
      </c>
      <c r="AJ783" s="108">
        <f t="shared" si="154"/>
        <v>0</v>
      </c>
      <c r="AK783" s="108">
        <f>IF($A783="",0,IF(AND($S783=1,$W783=1,$X783=1,$U783&gt;Config!$C$9),1,0))</f>
        <v>0</v>
      </c>
      <c r="AL783" s="108">
        <f t="shared" si="155"/>
        <v>0</v>
      </c>
    </row>
    <row r="784" spans="1:38" x14ac:dyDescent="0.25">
      <c r="A784" s="106" t="s">
        <v>729</v>
      </c>
      <c r="B784" s="106" t="s">
        <v>618</v>
      </c>
      <c r="C784" s="107">
        <v>46265</v>
      </c>
      <c r="D784" s="106" t="s">
        <v>712</v>
      </c>
      <c r="E784" s="106" t="s">
        <v>713</v>
      </c>
      <c r="F784" s="106" t="s">
        <v>866</v>
      </c>
      <c r="G784" s="106" t="s">
        <v>873</v>
      </c>
      <c r="H784" s="106" t="s">
        <v>656</v>
      </c>
      <c r="I784" s="106"/>
      <c r="J784" s="106"/>
      <c r="K784" s="106">
        <v>1</v>
      </c>
      <c r="L784" s="106">
        <v>0</v>
      </c>
      <c r="M784" s="106">
        <v>0</v>
      </c>
      <c r="N784" s="106"/>
      <c r="O784" s="106"/>
      <c r="P784" s="106">
        <v>0</v>
      </c>
      <c r="Q784" s="106" t="s">
        <v>1556</v>
      </c>
      <c r="S784" s="108">
        <f>IF($A784="","",COUNTIF(BPOworkers!$B$6:$B$105,$A784))</f>
        <v>0</v>
      </c>
      <c r="T784" s="109">
        <f>IF($A784="","",$K784*Config!$C$9)</f>
        <v>8</v>
      </c>
      <c r="U784" s="109">
        <f>IF($A784="","",IF(COUNTIF(Config!$C$21:$C$23,$H784)&gt;0,IFERROR(VALUE(LEFT(TRIM($Q784),FIND(" ",TRIM($Q784)&amp;" ")-1)),0),0))</f>
        <v>0</v>
      </c>
      <c r="V784" s="109">
        <f t="shared" si="144"/>
        <v>8</v>
      </c>
      <c r="W784" s="108">
        <f>IF($A784="",0,IF(AND($C784&gt;=Config!$C$7,$C784&lt;=Config!$C$8),1,0))</f>
        <v>1</v>
      </c>
      <c r="X784" s="108">
        <f>IF($A784="",0,IF(COUNTIF(Config!$C$21:$C$23,$H784)&gt;0,1,0))</f>
        <v>0</v>
      </c>
      <c r="Y784" s="108">
        <f t="shared" si="145"/>
        <v>18</v>
      </c>
      <c r="Z784" s="108" t="str">
        <f t="shared" si="146"/>
        <v/>
      </c>
      <c r="AB784" s="108">
        <f t="shared" si="147"/>
        <v>0</v>
      </c>
      <c r="AC784" s="108">
        <f>IF($A784="",0,IF(AND($AB784=1,COUNTIF($A$2:$A784,$A784)=1),1,0))</f>
        <v>0</v>
      </c>
      <c r="AD784" s="108">
        <f t="shared" si="148"/>
        <v>1</v>
      </c>
      <c r="AE784" s="108" t="str">
        <f t="shared" si="149"/>
        <v/>
      </c>
      <c r="AF784" s="108">
        <f t="shared" si="150"/>
        <v>0</v>
      </c>
      <c r="AG784" s="108">
        <f t="shared" si="151"/>
        <v>0</v>
      </c>
      <c r="AH784" s="110" t="str">
        <f t="shared" si="152"/>
        <v>Z. Greenlee|20260831|Project Management|1.000|Led team meeting discussing progress of each individual landman. Met with team lead to discuss project and scheduling. M</v>
      </c>
      <c r="AI784" s="108">
        <f t="shared" si="153"/>
        <v>0</v>
      </c>
      <c r="AJ784" s="108">
        <f t="shared" si="154"/>
        <v>0</v>
      </c>
      <c r="AK784" s="108">
        <f>IF($A784="",0,IF(AND($S784=1,$W784=1,$X784=1,$U784&gt;Config!$C$9),1,0))</f>
        <v>0</v>
      </c>
      <c r="AL784" s="108">
        <f t="shared" si="155"/>
        <v>0</v>
      </c>
    </row>
    <row r="785" spans="1:38" x14ac:dyDescent="0.25">
      <c r="A785" s="106" t="s">
        <v>733</v>
      </c>
      <c r="B785" s="106" t="s">
        <v>618</v>
      </c>
      <c r="C785" s="107">
        <v>46265</v>
      </c>
      <c r="D785" s="106" t="s">
        <v>712</v>
      </c>
      <c r="E785" s="106" t="s">
        <v>713</v>
      </c>
      <c r="F785" s="106" t="s">
        <v>866</v>
      </c>
      <c r="G785" s="106" t="s">
        <v>939</v>
      </c>
      <c r="H785" s="106" t="s">
        <v>631</v>
      </c>
      <c r="I785" s="106"/>
      <c r="J785" s="106" t="s">
        <v>1132</v>
      </c>
      <c r="K785" s="106">
        <v>1</v>
      </c>
      <c r="L785" s="106">
        <v>0</v>
      </c>
      <c r="M785" s="106">
        <v>0</v>
      </c>
      <c r="N785" s="106"/>
      <c r="O785" s="106"/>
      <c r="P785" s="106">
        <v>0</v>
      </c>
      <c r="Q785" s="106" t="s">
        <v>1557</v>
      </c>
      <c r="S785" s="108">
        <f>IF($A785="","",COUNTIF(BPOworkers!$B$6:$B$105,$A785))</f>
        <v>0</v>
      </c>
      <c r="T785" s="109">
        <f>IF($A785="","",$K785*Config!$C$9)</f>
        <v>8</v>
      </c>
      <c r="U785" s="109">
        <f>IF($A785="","",IF(COUNTIF(Config!$C$21:$C$23,$H785)&gt;0,IFERROR(VALUE(LEFT(TRIM($Q785),FIND(" ",TRIM($Q785)&amp;" ")-1)),0),0))</f>
        <v>0</v>
      </c>
      <c r="V785" s="109">
        <f t="shared" si="144"/>
        <v>8</v>
      </c>
      <c r="W785" s="108">
        <f>IF($A785="",0,IF(AND($C785&gt;=Config!$C$7,$C785&lt;=Config!$C$8),1,0))</f>
        <v>1</v>
      </c>
      <c r="X785" s="108">
        <f>IF($A785="",0,IF(COUNTIF(Config!$C$21:$C$23,$H785)&gt;0,1,0))</f>
        <v>0</v>
      </c>
      <c r="Y785" s="108">
        <f t="shared" si="145"/>
        <v>18</v>
      </c>
      <c r="Z785" s="108" t="str">
        <f t="shared" si="146"/>
        <v/>
      </c>
      <c r="AB785" s="108">
        <f t="shared" si="147"/>
        <v>0</v>
      </c>
      <c r="AC785" s="108">
        <f>IF($A785="",0,IF(AND($AB785=1,COUNTIF($A$2:$A785,$A785)=1),1,0))</f>
        <v>0</v>
      </c>
      <c r="AD785" s="108">
        <f t="shared" si="148"/>
        <v>1</v>
      </c>
      <c r="AE785" s="108" t="str">
        <f t="shared" si="149"/>
        <v/>
      </c>
      <c r="AF785" s="108">
        <f t="shared" si="150"/>
        <v>0</v>
      </c>
      <c r="AG785" s="108">
        <f t="shared" si="151"/>
        <v>0</v>
      </c>
      <c r="AH785" s="110" t="str">
        <f t="shared" si="152"/>
        <v>R. Norris|20260831|Title|1.000|Worked through the indexes and added 13 documents into the chain of title. Completed the indexing for Chas Green, Amelia</v>
      </c>
      <c r="AI785" s="108">
        <f t="shared" si="153"/>
        <v>0</v>
      </c>
      <c r="AJ785" s="108">
        <f t="shared" si="154"/>
        <v>0</v>
      </c>
      <c r="AK785" s="108">
        <f>IF($A785="",0,IF(AND($S785=1,$W785=1,$X785=1,$U785&gt;Config!$C$9),1,0))</f>
        <v>0</v>
      </c>
      <c r="AL785" s="108">
        <f t="shared" si="155"/>
        <v>0</v>
      </c>
    </row>
    <row r="786" spans="1:38" x14ac:dyDescent="0.25">
      <c r="A786" s="106" t="s">
        <v>735</v>
      </c>
      <c r="B786" s="106" t="s">
        <v>618</v>
      </c>
      <c r="C786" s="107">
        <v>46265</v>
      </c>
      <c r="D786" s="106" t="s">
        <v>529</v>
      </c>
      <c r="E786" s="106" t="s">
        <v>529</v>
      </c>
      <c r="F786" s="106" t="s">
        <v>615</v>
      </c>
      <c r="G786" s="106"/>
      <c r="H786" s="106" t="s">
        <v>529</v>
      </c>
      <c r="I786" s="106"/>
      <c r="J786" s="106"/>
      <c r="K786" s="106">
        <v>0</v>
      </c>
      <c r="L786" s="106">
        <v>0</v>
      </c>
      <c r="M786" s="106">
        <v>0</v>
      </c>
      <c r="N786" s="106"/>
      <c r="O786" s="106"/>
      <c r="P786" s="106">
        <v>0</v>
      </c>
      <c r="Q786" s="106" t="s">
        <v>1558</v>
      </c>
      <c r="S786" s="108">
        <f>IF($A786="","",COUNTIF(BPOworkers!$B$6:$B$105,$A786))</f>
        <v>0</v>
      </c>
      <c r="T786" s="109">
        <f>IF($A786="","",$K786*Config!$C$9)</f>
        <v>0</v>
      </c>
      <c r="U786" s="109">
        <f>IF($A786="","",IF(COUNTIF(Config!$C$21:$C$23,$H786)&gt;0,IFERROR(VALUE(LEFT(TRIM($Q786),FIND(" ",TRIM($Q786)&amp;" ")-1)),0),0))</f>
        <v>8</v>
      </c>
      <c r="V786" s="109">
        <f t="shared" si="144"/>
        <v>8</v>
      </c>
      <c r="W786" s="108">
        <f>IF($A786="",0,IF(AND($C786&gt;=Config!$C$7,$C786&lt;=Config!$C$8),1,0))</f>
        <v>1</v>
      </c>
      <c r="X786" s="108">
        <f>IF($A786="",0,IF(COUNTIF(Config!$C$21:$C$23,$H786)&gt;0,1,0))</f>
        <v>1</v>
      </c>
      <c r="Y786" s="108">
        <f t="shared" si="145"/>
        <v>18</v>
      </c>
      <c r="Z786" s="108" t="str">
        <f t="shared" si="146"/>
        <v/>
      </c>
      <c r="AB786" s="108">
        <f t="shared" si="147"/>
        <v>0</v>
      </c>
      <c r="AC786" s="108">
        <f>IF($A786="",0,IF(AND($AB786=1,COUNTIF($A$2:$A786,$A786)=1),1,0))</f>
        <v>0</v>
      </c>
      <c r="AD786" s="108">
        <f t="shared" si="148"/>
        <v>1</v>
      </c>
      <c r="AE786" s="108" t="str">
        <f t="shared" si="149"/>
        <v/>
      </c>
      <c r="AF786" s="108">
        <f t="shared" si="150"/>
        <v>0</v>
      </c>
      <c r="AG786" s="108">
        <f t="shared" si="151"/>
        <v>0</v>
      </c>
      <c r="AH786" s="110" t="str">
        <f t="shared" si="152"/>
        <v>R. Liska|20260831|Time Off|0.000|8 hours not billed due to not being assigned work</v>
      </c>
      <c r="AI786" s="108">
        <f t="shared" si="153"/>
        <v>0</v>
      </c>
      <c r="AJ786" s="108">
        <f t="shared" si="154"/>
        <v>0</v>
      </c>
      <c r="AK786" s="108">
        <f>IF($A786="",0,IF(AND($S786=1,$W786=1,$X786=1,$U786&gt;Config!$C$9),1,0))</f>
        <v>0</v>
      </c>
      <c r="AL786" s="108">
        <f t="shared" si="155"/>
        <v>0</v>
      </c>
    </row>
    <row r="787" spans="1:38" ht="192.75" x14ac:dyDescent="0.25">
      <c r="A787" s="106" t="s">
        <v>473</v>
      </c>
      <c r="B787" s="106" t="s">
        <v>614</v>
      </c>
      <c r="C787" s="107">
        <v>46265</v>
      </c>
      <c r="D787" s="106" t="s">
        <v>669</v>
      </c>
      <c r="E787" s="106" t="s">
        <v>669</v>
      </c>
      <c r="F787" s="106" t="s">
        <v>670</v>
      </c>
      <c r="G787" s="106"/>
      <c r="H787" s="106" t="s">
        <v>671</v>
      </c>
      <c r="I787" s="106"/>
      <c r="J787" s="106"/>
      <c r="K787" s="106">
        <v>1</v>
      </c>
      <c r="L787" s="106">
        <v>0</v>
      </c>
      <c r="M787" s="106">
        <v>0</v>
      </c>
      <c r="N787" s="106"/>
      <c r="O787" s="106"/>
      <c r="P787" s="106">
        <v>0</v>
      </c>
      <c r="Q787" s="111" t="s">
        <v>1559</v>
      </c>
      <c r="S787" s="108">
        <f>IF($A787="","",COUNTIF(BPOworkers!$B$6:$B$105,$A787))</f>
        <v>1</v>
      </c>
      <c r="T787" s="109">
        <f>IF($A787="","",$K787*Config!$C$9)</f>
        <v>8</v>
      </c>
      <c r="U787" s="109">
        <f>IF($A787="","",IF(COUNTIF(Config!$C$21:$C$23,$H787)&gt;0,IFERROR(VALUE(LEFT(TRIM($Q787),FIND(" ",TRIM($Q787)&amp;" ")-1)),0),0))</f>
        <v>0</v>
      </c>
      <c r="V787" s="109">
        <f t="shared" si="144"/>
        <v>8</v>
      </c>
      <c r="W787" s="108">
        <f>IF($A787="",0,IF(AND($C787&gt;=Config!$C$7,$C787&lt;=Config!$C$8),1,0))</f>
        <v>1</v>
      </c>
      <c r="X787" s="108">
        <f>IF($A787="",0,IF(COUNTIF(Config!$C$21:$C$23,$H787)&gt;0,1,0))</f>
        <v>0</v>
      </c>
      <c r="Y787" s="108">
        <f t="shared" si="145"/>
        <v>18</v>
      </c>
      <c r="Z787" s="108" t="str">
        <f t="shared" si="146"/>
        <v/>
      </c>
      <c r="AB787" s="108">
        <f t="shared" si="147"/>
        <v>0</v>
      </c>
      <c r="AC787" s="108">
        <f>IF($A787="",0,IF(AND($AB787=1,COUNTIF($A$2:$A787,$A787)=1),1,0))</f>
        <v>0</v>
      </c>
      <c r="AD787" s="108">
        <f t="shared" si="148"/>
        <v>1</v>
      </c>
      <c r="AE787" s="108" t="str">
        <f t="shared" si="149"/>
        <v/>
      </c>
      <c r="AF787" s="108">
        <f t="shared" si="150"/>
        <v>0</v>
      </c>
      <c r="AG787" s="108">
        <f t="shared" si="151"/>
        <v>0</v>
      </c>
      <c r="AH787" s="112" t="str">
        <f t="shared" si="152"/>
        <v>J Rincon|20260831|TitleNotes - Library|1.000|40
 1169-34 12 Legal descriptions
 720-790 13 Legal Descriptions
 Title notes was down for 1 hour</v>
      </c>
      <c r="AI787" s="108">
        <f t="shared" si="153"/>
        <v>0</v>
      </c>
      <c r="AJ787" s="108">
        <f t="shared" si="154"/>
        <v>0</v>
      </c>
      <c r="AK787" s="108">
        <f>IF($A787="",0,IF(AND($S787=1,$W787=1,$X787=1,$U787&gt;Config!$C$9),1,0))</f>
        <v>0</v>
      </c>
      <c r="AL787" s="108">
        <f t="shared" si="155"/>
        <v>0</v>
      </c>
    </row>
    <row r="788" spans="1:38" ht="204.75" x14ac:dyDescent="0.25">
      <c r="A788" s="106" t="s">
        <v>474</v>
      </c>
      <c r="B788" s="106" t="s">
        <v>618</v>
      </c>
      <c r="C788" s="107">
        <v>46265</v>
      </c>
      <c r="D788" s="106" t="s">
        <v>669</v>
      </c>
      <c r="E788" s="106" t="s">
        <v>669</v>
      </c>
      <c r="F788" s="106" t="s">
        <v>670</v>
      </c>
      <c r="G788" s="106"/>
      <c r="H788" s="106" t="s">
        <v>671</v>
      </c>
      <c r="I788" s="106"/>
      <c r="J788" s="106" t="s">
        <v>669</v>
      </c>
      <c r="K788" s="106">
        <v>1</v>
      </c>
      <c r="L788" s="106">
        <v>0</v>
      </c>
      <c r="M788" s="106">
        <v>0</v>
      </c>
      <c r="N788" s="106"/>
      <c r="O788" s="106"/>
      <c r="P788" s="106">
        <v>0</v>
      </c>
      <c r="Q788" s="111" t="s">
        <v>672</v>
      </c>
      <c r="S788" s="108">
        <f>IF($A788="","",COUNTIF(BPOworkers!$B$6:$B$105,$A788))</f>
        <v>1</v>
      </c>
      <c r="T788" s="109">
        <f>IF($A788="","",$K788*Config!$C$9)</f>
        <v>8</v>
      </c>
      <c r="U788" s="109">
        <f>IF($A788="","",IF(COUNTIF(Config!$C$21:$C$23,$H788)&gt;0,IFERROR(VALUE(LEFT(TRIM($Q788),FIND(" ",TRIM($Q788)&amp;" ")-1)),0),0))</f>
        <v>0</v>
      </c>
      <c r="V788" s="109">
        <f t="shared" si="144"/>
        <v>8</v>
      </c>
      <c r="W788" s="108">
        <f>IF($A788="",0,IF(AND($C788&gt;=Config!$C$7,$C788&lt;=Config!$C$8),1,0))</f>
        <v>1</v>
      </c>
      <c r="X788" s="108">
        <f>IF($A788="",0,IF(COUNTIF(Config!$C$21:$C$23,$H788)&gt;0,1,0))</f>
        <v>0</v>
      </c>
      <c r="Y788" s="108">
        <f t="shared" si="145"/>
        <v>18</v>
      </c>
      <c r="Z788" s="108" t="str">
        <f t="shared" si="146"/>
        <v/>
      </c>
      <c r="AB788" s="108">
        <f t="shared" si="147"/>
        <v>0</v>
      </c>
      <c r="AC788" s="108">
        <f>IF($A788="",0,IF(AND($AB788=1,COUNTIF($A$2:$A788,$A788)=1),1,0))</f>
        <v>0</v>
      </c>
      <c r="AD788" s="108">
        <f t="shared" si="148"/>
        <v>1</v>
      </c>
      <c r="AE788" s="108" t="str">
        <f t="shared" si="149"/>
        <v/>
      </c>
      <c r="AF788" s="108">
        <f t="shared" si="150"/>
        <v>0</v>
      </c>
      <c r="AG788" s="108">
        <f t="shared" si="151"/>
        <v>0</v>
      </c>
      <c r="AH788" s="112" t="str">
        <f t="shared" si="152"/>
        <v xml:space="preserve">J Valbuena|20260831|TitleNotes - Library|1.000|I am currently training with Matt regarding the library title
 notes. I am encountering some issues with documents that
</v>
      </c>
      <c r="AI788" s="108">
        <f t="shared" si="153"/>
        <v>0</v>
      </c>
      <c r="AJ788" s="108">
        <f t="shared" si="154"/>
        <v>0</v>
      </c>
      <c r="AK788" s="108">
        <f>IF($A788="",0,IF(AND($S788=1,$W788=1,$X788=1,$U788&gt;Config!$C$9),1,0))</f>
        <v>0</v>
      </c>
      <c r="AL788" s="108">
        <f t="shared" si="155"/>
        <v>0</v>
      </c>
    </row>
    <row r="789" spans="1:38" x14ac:dyDescent="0.25">
      <c r="A789" s="106" t="s">
        <v>742</v>
      </c>
      <c r="B789" s="106" t="s">
        <v>618</v>
      </c>
      <c r="C789" s="107">
        <v>46265</v>
      </c>
      <c r="D789" s="106" t="s">
        <v>529</v>
      </c>
      <c r="E789" s="106" t="s">
        <v>529</v>
      </c>
      <c r="F789" s="106" t="s">
        <v>615</v>
      </c>
      <c r="G789" s="106"/>
      <c r="H789" s="106" t="s">
        <v>529</v>
      </c>
      <c r="I789" s="106"/>
      <c r="J789" s="106" t="s">
        <v>743</v>
      </c>
      <c r="K789" s="106">
        <v>0</v>
      </c>
      <c r="L789" s="106">
        <v>0</v>
      </c>
      <c r="M789" s="106">
        <v>0</v>
      </c>
      <c r="N789" s="106"/>
      <c r="O789" s="106"/>
      <c r="P789" s="106">
        <v>0</v>
      </c>
      <c r="Q789" s="106" t="s">
        <v>744</v>
      </c>
      <c r="S789" s="108">
        <f>IF($A789="","",COUNTIF(BPOworkers!$B$6:$B$105,$A789))</f>
        <v>0</v>
      </c>
      <c r="T789" s="109">
        <f>IF($A789="","",$K789*Config!$C$9)</f>
        <v>0</v>
      </c>
      <c r="U789" s="109">
        <f>IF($A789="","",IF(COUNTIF(Config!$C$21:$C$23,$H789)&gt;0,IFERROR(VALUE(LEFT(TRIM($Q789),FIND(" ",TRIM($Q789)&amp;" ")-1)),0),0))</f>
        <v>0</v>
      </c>
      <c r="V789" s="109">
        <f t="shared" si="144"/>
        <v>0</v>
      </c>
      <c r="W789" s="108">
        <f>IF($A789="",0,IF(AND($C789&gt;=Config!$C$7,$C789&lt;=Config!$C$8),1,0))</f>
        <v>1</v>
      </c>
      <c r="X789" s="108">
        <f>IF($A789="",0,IF(COUNTIF(Config!$C$21:$C$23,$H789)&gt;0,1,0))</f>
        <v>1</v>
      </c>
      <c r="Y789" s="108">
        <f t="shared" si="145"/>
        <v>18</v>
      </c>
      <c r="Z789" s="108" t="str">
        <f t="shared" si="146"/>
        <v/>
      </c>
      <c r="AB789" s="108">
        <f t="shared" si="147"/>
        <v>0</v>
      </c>
      <c r="AC789" s="108">
        <f>IF($A789="",0,IF(AND($AB789=1,COUNTIF($A$2:$A789,$A789)=1),1,0))</f>
        <v>0</v>
      </c>
      <c r="AD789" s="108">
        <f t="shared" si="148"/>
        <v>1</v>
      </c>
      <c r="AE789" s="108" t="str">
        <f t="shared" si="149"/>
        <v/>
      </c>
      <c r="AF789" s="108">
        <f t="shared" si="150"/>
        <v>0</v>
      </c>
      <c r="AG789" s="108">
        <f t="shared" si="151"/>
        <v>0</v>
      </c>
      <c r="AH789" s="110" t="str">
        <f t="shared" si="152"/>
        <v>J. Edwards|20260831|Time Off|0.000|Time Off...0 of 8 hours worked.</v>
      </c>
      <c r="AI789" s="108">
        <f t="shared" si="153"/>
        <v>0</v>
      </c>
      <c r="AJ789" s="108">
        <f t="shared" si="154"/>
        <v>0</v>
      </c>
      <c r="AK789" s="108">
        <f>IF($A789="",0,IF(AND($S789=1,$W789=1,$X789=1,$U789&gt;Config!$C$9),1,0))</f>
        <v>0</v>
      </c>
      <c r="AL789" s="108">
        <f t="shared" si="155"/>
        <v>0</v>
      </c>
    </row>
    <row r="790" spans="1:38" x14ac:dyDescent="0.25">
      <c r="A790" s="106" t="s">
        <v>457</v>
      </c>
      <c r="B790" s="106" t="s">
        <v>618</v>
      </c>
      <c r="C790" s="107">
        <v>46265</v>
      </c>
      <c r="D790" s="106" t="s">
        <v>669</v>
      </c>
      <c r="E790" s="106" t="s">
        <v>669</v>
      </c>
      <c r="F790" s="106" t="s">
        <v>670</v>
      </c>
      <c r="G790" s="106"/>
      <c r="H790" s="106" t="s">
        <v>671</v>
      </c>
      <c r="I790" s="106"/>
      <c r="J790" s="106"/>
      <c r="K790" s="106">
        <v>0.375</v>
      </c>
      <c r="L790" s="106">
        <v>0</v>
      </c>
      <c r="M790" s="106">
        <v>0</v>
      </c>
      <c r="N790" s="106"/>
      <c r="O790" s="106"/>
      <c r="P790" s="106">
        <v>0</v>
      </c>
      <c r="Q790" s="106" t="s">
        <v>1414</v>
      </c>
      <c r="S790" s="108">
        <f>IF($A790="","",COUNTIF(BPOworkers!$B$6:$B$105,$A790))</f>
        <v>1</v>
      </c>
      <c r="T790" s="109">
        <f>IF($A790="","",$K790*Config!$C$9)</f>
        <v>3</v>
      </c>
      <c r="U790" s="109">
        <f>IF($A790="","",IF(COUNTIF(Config!$C$21:$C$23,$H790)&gt;0,IFERROR(VALUE(LEFT(TRIM($Q790),FIND(" ",TRIM($Q790)&amp;" ")-1)),0),0))</f>
        <v>0</v>
      </c>
      <c r="V790" s="109">
        <f t="shared" si="144"/>
        <v>3</v>
      </c>
      <c r="W790" s="108">
        <f>IF($A790="",0,IF(AND($C790&gt;=Config!$C$7,$C790&lt;=Config!$C$8),1,0))</f>
        <v>1</v>
      </c>
      <c r="X790" s="108">
        <f>IF($A790="",0,IF(COUNTIF(Config!$C$21:$C$23,$H790)&gt;0,1,0))</f>
        <v>0</v>
      </c>
      <c r="Y790" s="108">
        <f t="shared" si="145"/>
        <v>18</v>
      </c>
      <c r="Z790" s="108" t="str">
        <f t="shared" si="146"/>
        <v/>
      </c>
      <c r="AB790" s="108">
        <f t="shared" si="147"/>
        <v>0</v>
      </c>
      <c r="AC790" s="108">
        <f>IF($A790="",0,IF(AND($AB790=1,COUNTIF($A$2:$A790,$A790)=1),1,0))</f>
        <v>0</v>
      </c>
      <c r="AD790" s="108">
        <f t="shared" si="148"/>
        <v>1</v>
      </c>
      <c r="AE790" s="108" t="str">
        <f t="shared" si="149"/>
        <v/>
      </c>
      <c r="AF790" s="108">
        <f t="shared" si="150"/>
        <v>0</v>
      </c>
      <c r="AG790" s="108">
        <f t="shared" si="151"/>
        <v>0</v>
      </c>
      <c r="AH790" s="110" t="str">
        <f t="shared" si="152"/>
        <v>A Lopez|20260831|TitleNotes - Library|0.375|Completed the notecards.</v>
      </c>
      <c r="AI790" s="108">
        <f t="shared" si="153"/>
        <v>0</v>
      </c>
      <c r="AJ790" s="108">
        <f t="shared" si="154"/>
        <v>0</v>
      </c>
      <c r="AK790" s="108">
        <f>IF($A790="",0,IF(AND($S790=1,$W790=1,$X790=1,$U790&gt;Config!$C$9),1,0))</f>
        <v>0</v>
      </c>
      <c r="AL790" s="108">
        <f t="shared" si="155"/>
        <v>0</v>
      </c>
    </row>
    <row r="791" spans="1:38" x14ac:dyDescent="0.25">
      <c r="A791" s="106" t="s">
        <v>457</v>
      </c>
      <c r="B791" s="106" t="s">
        <v>614</v>
      </c>
      <c r="C791" s="107">
        <v>46265</v>
      </c>
      <c r="D791" s="106" t="s">
        <v>529</v>
      </c>
      <c r="E791" s="106" t="s">
        <v>529</v>
      </c>
      <c r="F791" s="106" t="s">
        <v>615</v>
      </c>
      <c r="G791" s="106"/>
      <c r="H791" s="106" t="s">
        <v>529</v>
      </c>
      <c r="I791" s="106"/>
      <c r="J791" s="106" t="s">
        <v>749</v>
      </c>
      <c r="K791" s="106">
        <v>0</v>
      </c>
      <c r="L791" s="106">
        <v>0</v>
      </c>
      <c r="M791" s="106">
        <v>0</v>
      </c>
      <c r="N791" s="106"/>
      <c r="O791" s="106"/>
      <c r="P791" s="106">
        <v>0</v>
      </c>
      <c r="Q791" s="106" t="s">
        <v>750</v>
      </c>
      <c r="S791" s="108">
        <f>IF($A791="","",COUNTIF(BPOworkers!$B$6:$B$105,$A791))</f>
        <v>1</v>
      </c>
      <c r="T791" s="109">
        <f>IF($A791="","",$K791*Config!$C$9)</f>
        <v>0</v>
      </c>
      <c r="U791" s="109">
        <f>IF($A791="","",IF(COUNTIF(Config!$C$21:$C$23,$H791)&gt;0,IFERROR(VALUE(LEFT(TRIM($Q791),FIND(" ",TRIM($Q791)&amp;" ")-1)),0),0))</f>
        <v>5</v>
      </c>
      <c r="V791" s="109">
        <f t="shared" si="144"/>
        <v>5</v>
      </c>
      <c r="W791" s="108">
        <f>IF($A791="",0,IF(AND($C791&gt;=Config!$C$7,$C791&lt;=Config!$C$8),1,0))</f>
        <v>1</v>
      </c>
      <c r="X791" s="108">
        <f>IF($A791="",0,IF(COUNTIF(Config!$C$21:$C$23,$H791)&gt;0,1,0))</f>
        <v>1</v>
      </c>
      <c r="Y791" s="108">
        <f t="shared" si="145"/>
        <v>19</v>
      </c>
      <c r="Z791" s="108">
        <f t="shared" si="146"/>
        <v>19</v>
      </c>
      <c r="AB791" s="108">
        <f t="shared" si="147"/>
        <v>0</v>
      </c>
      <c r="AC791" s="108">
        <f>IF($A791="",0,IF(AND($AB791=1,COUNTIF($A$2:$A791,$A791)=1),1,0))</f>
        <v>0</v>
      </c>
      <c r="AD791" s="108">
        <f t="shared" si="148"/>
        <v>1</v>
      </c>
      <c r="AE791" s="108" t="str">
        <f t="shared" si="149"/>
        <v/>
      </c>
      <c r="AF791" s="108">
        <f t="shared" si="150"/>
        <v>0</v>
      </c>
      <c r="AG791" s="108">
        <f t="shared" si="151"/>
        <v>0</v>
      </c>
      <c r="AH791" s="110" t="str">
        <f t="shared" si="152"/>
        <v>A Lopez|20260831|Time Off|0.000|5 hours</v>
      </c>
      <c r="AI791" s="108">
        <f t="shared" si="153"/>
        <v>0</v>
      </c>
      <c r="AJ791" s="108">
        <f t="shared" si="154"/>
        <v>0</v>
      </c>
      <c r="AK791" s="108">
        <f>IF($A791="",0,IF(AND($S791=1,$W791=1,$X791=1,$U791&gt;Config!$C$9),1,0))</f>
        <v>0</v>
      </c>
      <c r="AL791" s="108">
        <f t="shared" si="155"/>
        <v>0</v>
      </c>
    </row>
    <row r="792" spans="1:38" ht="96.75" x14ac:dyDescent="0.25">
      <c r="A792" s="106" t="s">
        <v>482</v>
      </c>
      <c r="B792" s="106" t="s">
        <v>614</v>
      </c>
      <c r="C792" s="107">
        <v>46265</v>
      </c>
      <c r="D792" s="106" t="s">
        <v>669</v>
      </c>
      <c r="E792" s="106" t="s">
        <v>669</v>
      </c>
      <c r="F792" s="106" t="s">
        <v>670</v>
      </c>
      <c r="G792" s="106"/>
      <c r="H792" s="106" t="s">
        <v>671</v>
      </c>
      <c r="I792" s="106"/>
      <c r="J792" s="106"/>
      <c r="K792" s="106">
        <v>1</v>
      </c>
      <c r="L792" s="106">
        <v>0</v>
      </c>
      <c r="M792" s="106">
        <v>0</v>
      </c>
      <c r="N792" s="106"/>
      <c r="O792" s="106"/>
      <c r="P792" s="106">
        <v>0</v>
      </c>
      <c r="Q792" s="111" t="s">
        <v>1560</v>
      </c>
      <c r="S792" s="108">
        <f>IF($A792="","",COUNTIF(BPOworkers!$B$6:$B$105,$A792))</f>
        <v>1</v>
      </c>
      <c r="T792" s="109">
        <f>IF($A792="","",$K792*Config!$C$9)</f>
        <v>8</v>
      </c>
      <c r="U792" s="109">
        <f>IF($A792="","",IF(COUNTIF(Config!$C$21:$C$23,$H792)&gt;0,IFERROR(VALUE(LEFT(TRIM($Q792),FIND(" ",TRIM($Q792)&amp;" ")-1)),0),0))</f>
        <v>0</v>
      </c>
      <c r="V792" s="109">
        <f t="shared" si="144"/>
        <v>8</v>
      </c>
      <c r="W792" s="108">
        <f>IF($A792="",0,IF(AND($C792&gt;=Config!$C$7,$C792&lt;=Config!$C$8),1,0))</f>
        <v>1</v>
      </c>
      <c r="X792" s="108">
        <f>IF($A792="",0,IF(COUNTIF(Config!$C$21:$C$23,$H792)&gt;0,1,0))</f>
        <v>0</v>
      </c>
      <c r="Y792" s="108">
        <f t="shared" si="145"/>
        <v>19</v>
      </c>
      <c r="Z792" s="108" t="str">
        <f t="shared" si="146"/>
        <v/>
      </c>
      <c r="AB792" s="108">
        <f t="shared" si="147"/>
        <v>0</v>
      </c>
      <c r="AC792" s="108">
        <f>IF($A792="",0,IF(AND($AB792=1,COUNTIF($A$2:$A792,$A792)=1),1,0))</f>
        <v>0</v>
      </c>
      <c r="AD792" s="108">
        <f t="shared" si="148"/>
        <v>1</v>
      </c>
      <c r="AE792" s="108" t="str">
        <f t="shared" si="149"/>
        <v/>
      </c>
      <c r="AF792" s="108">
        <f t="shared" si="150"/>
        <v>0</v>
      </c>
      <c r="AG792" s="108">
        <f t="shared" si="151"/>
        <v>0</v>
      </c>
      <c r="AH792" s="112" t="str">
        <f t="shared" si="152"/>
        <v>M Grazziani|20260831|TitleNotes - Library|1.000|29 Notecards
 54 Transactions</v>
      </c>
      <c r="AI792" s="108">
        <f t="shared" si="153"/>
        <v>0</v>
      </c>
      <c r="AJ792" s="108">
        <f t="shared" si="154"/>
        <v>0</v>
      </c>
      <c r="AK792" s="108">
        <f>IF($A792="",0,IF(AND($S792=1,$W792=1,$X792=1,$U792&gt;Config!$C$9),1,0))</f>
        <v>0</v>
      </c>
      <c r="AL792" s="108">
        <f t="shared" si="155"/>
        <v>0</v>
      </c>
    </row>
    <row r="793" spans="1:38" ht="96.75" x14ac:dyDescent="0.25">
      <c r="A793" s="106" t="s">
        <v>464</v>
      </c>
      <c r="B793" s="106" t="s">
        <v>618</v>
      </c>
      <c r="C793" s="107">
        <v>46265</v>
      </c>
      <c r="D793" s="106" t="s">
        <v>694</v>
      </c>
      <c r="E793" s="106" t="s">
        <v>709</v>
      </c>
      <c r="F793" s="106" t="s">
        <v>615</v>
      </c>
      <c r="G793" s="106"/>
      <c r="H793" s="106" t="s">
        <v>709</v>
      </c>
      <c r="I793" s="106"/>
      <c r="J793" s="106" t="s">
        <v>992</v>
      </c>
      <c r="K793" s="106">
        <v>1</v>
      </c>
      <c r="L793" s="106">
        <v>0</v>
      </c>
      <c r="M793" s="106">
        <v>0</v>
      </c>
      <c r="N793" s="106"/>
      <c r="O793" s="106"/>
      <c r="P793" s="106">
        <v>0</v>
      </c>
      <c r="Q793" s="111" t="s">
        <v>1279</v>
      </c>
      <c r="S793" s="108">
        <f>IF($A793="","",COUNTIF(BPOworkers!$B$6:$B$105,$A793))</f>
        <v>1</v>
      </c>
      <c r="T793" s="109">
        <f>IF($A793="","",$K793*Config!$C$9)</f>
        <v>8</v>
      </c>
      <c r="U793" s="109">
        <f>IF($A793="","",IF(COUNTIF(Config!$C$21:$C$23,$H793)&gt;0,IFERROR(VALUE(LEFT(TRIM($Q793),FIND(" ",TRIM($Q793)&amp;" ")-1)),0),0))</f>
        <v>0</v>
      </c>
      <c r="V793" s="109">
        <f t="shared" si="144"/>
        <v>8</v>
      </c>
      <c r="W793" s="108">
        <f>IF($A793="",0,IF(AND($C793&gt;=Config!$C$7,$C793&lt;=Config!$C$8),1,0))</f>
        <v>1</v>
      </c>
      <c r="X793" s="108">
        <f>IF($A793="",0,IF(COUNTIF(Config!$C$21:$C$23,$H793)&gt;0,1,0))</f>
        <v>0</v>
      </c>
      <c r="Y793" s="108">
        <f t="shared" si="145"/>
        <v>19</v>
      </c>
      <c r="Z793" s="108" t="str">
        <f t="shared" si="146"/>
        <v/>
      </c>
      <c r="AB793" s="108">
        <f t="shared" si="147"/>
        <v>0</v>
      </c>
      <c r="AC793" s="108">
        <f>IF($A793="",0,IF(AND($AB793=1,COUNTIF($A$2:$A793,$A793)=1),1,0))</f>
        <v>0</v>
      </c>
      <c r="AD793" s="108">
        <f t="shared" si="148"/>
        <v>1</v>
      </c>
      <c r="AE793" s="108" t="str">
        <f t="shared" si="149"/>
        <v/>
      </c>
      <c r="AF793" s="108">
        <f t="shared" si="150"/>
        <v>0</v>
      </c>
      <c r="AG793" s="108">
        <f t="shared" si="151"/>
        <v>0</v>
      </c>
      <c r="AH793" s="112" t="str">
        <f t="shared" si="152"/>
        <v>I De La Parra|20260831|Land Admin|1.000|- DO tracker
 - ACP &amp; AIP Well List Trackers</v>
      </c>
      <c r="AI793" s="108">
        <f t="shared" si="153"/>
        <v>0</v>
      </c>
      <c r="AJ793" s="108">
        <f t="shared" si="154"/>
        <v>0</v>
      </c>
      <c r="AK793" s="108">
        <f>IF($A793="",0,IF(AND($S793=1,$W793=1,$X793=1,$U793&gt;Config!$C$9),1,0))</f>
        <v>0</v>
      </c>
      <c r="AL793" s="108">
        <f t="shared" si="155"/>
        <v>0</v>
      </c>
    </row>
    <row r="794" spans="1:38" x14ac:dyDescent="0.25">
      <c r="A794" s="106" t="s">
        <v>460</v>
      </c>
      <c r="B794" s="106" t="s">
        <v>618</v>
      </c>
      <c r="C794" s="107">
        <v>46265</v>
      </c>
      <c r="D794" s="106" t="s">
        <v>529</v>
      </c>
      <c r="E794" s="106" t="s">
        <v>529</v>
      </c>
      <c r="F794" s="106" t="s">
        <v>615</v>
      </c>
      <c r="G794" s="106"/>
      <c r="H794" s="106" t="s">
        <v>531</v>
      </c>
      <c r="I794" s="106"/>
      <c r="J794" s="106" t="s">
        <v>756</v>
      </c>
      <c r="K794" s="106">
        <v>0</v>
      </c>
      <c r="L794" s="106">
        <v>0</v>
      </c>
      <c r="M794" s="106">
        <v>0</v>
      </c>
      <c r="N794" s="106"/>
      <c r="O794" s="106"/>
      <c r="P794" s="106">
        <v>0</v>
      </c>
      <c r="Q794" s="106" t="s">
        <v>757</v>
      </c>
      <c r="S794" s="108">
        <f>IF($A794="","",COUNTIF(BPOworkers!$B$6:$B$105,$A794))</f>
        <v>1</v>
      </c>
      <c r="T794" s="109">
        <f>IF($A794="","",$K794*Config!$C$9)</f>
        <v>0</v>
      </c>
      <c r="U794" s="109">
        <f>IF($A794="","",IF(COUNTIF(Config!$C$21:$C$23,$H794)&gt;0,IFERROR(VALUE(LEFT(TRIM($Q794),FIND(" ",TRIM($Q794)&amp;" ")-1)),0),0))</f>
        <v>8</v>
      </c>
      <c r="V794" s="109">
        <f t="shared" si="144"/>
        <v>8</v>
      </c>
      <c r="W794" s="108">
        <f>IF($A794="",0,IF(AND($C794&gt;=Config!$C$7,$C794&lt;=Config!$C$8),1,0))</f>
        <v>1</v>
      </c>
      <c r="X794" s="108">
        <f>IF($A794="",0,IF(COUNTIF(Config!$C$21:$C$23,$H794)&gt;0,1,0))</f>
        <v>1</v>
      </c>
      <c r="Y794" s="108">
        <f t="shared" si="145"/>
        <v>20</v>
      </c>
      <c r="Z794" s="108">
        <f t="shared" si="146"/>
        <v>20</v>
      </c>
      <c r="AB794" s="108">
        <f t="shared" si="147"/>
        <v>0</v>
      </c>
      <c r="AC794" s="108">
        <f>IF($A794="",0,IF(AND($AB794=1,COUNTIF($A$2:$A794,$A794)=1),1,0))</f>
        <v>0</v>
      </c>
      <c r="AD794" s="108">
        <f t="shared" si="148"/>
        <v>1</v>
      </c>
      <c r="AE794" s="108" t="str">
        <f t="shared" si="149"/>
        <v/>
      </c>
      <c r="AF794" s="108">
        <f t="shared" si="150"/>
        <v>0</v>
      </c>
      <c r="AG794" s="108">
        <f t="shared" si="151"/>
        <v>0</v>
      </c>
      <c r="AH794" s="110" t="str">
        <f t="shared" si="152"/>
        <v>C Mesa|20260831|BPO Vacation|0.000|8 hours of paid vacations</v>
      </c>
      <c r="AI794" s="108">
        <f t="shared" si="153"/>
        <v>0</v>
      </c>
      <c r="AJ794" s="108">
        <f t="shared" si="154"/>
        <v>0</v>
      </c>
      <c r="AK794" s="108">
        <f>IF($A794="",0,IF(AND($S794=1,$W794=1,$X794=1,$U794&gt;Config!$C$9),1,0))</f>
        <v>0</v>
      </c>
      <c r="AL794" s="108">
        <f t="shared" si="155"/>
        <v>0</v>
      </c>
    </row>
    <row r="795" spans="1:38" x14ac:dyDescent="0.25">
      <c r="A795" s="106" t="s">
        <v>470</v>
      </c>
      <c r="B795" s="106" t="s">
        <v>618</v>
      </c>
      <c r="C795" s="107">
        <v>46265</v>
      </c>
      <c r="D795" s="106" t="s">
        <v>529</v>
      </c>
      <c r="E795" s="106" t="s">
        <v>529</v>
      </c>
      <c r="F795" s="106" t="s">
        <v>615</v>
      </c>
      <c r="G795" s="106"/>
      <c r="H795" s="106" t="s">
        <v>531</v>
      </c>
      <c r="I795" s="106"/>
      <c r="J795" s="106" t="s">
        <v>1280</v>
      </c>
      <c r="K795" s="106">
        <v>0</v>
      </c>
      <c r="L795" s="106">
        <v>0</v>
      </c>
      <c r="M795" s="106">
        <v>0</v>
      </c>
      <c r="N795" s="106"/>
      <c r="O795" s="106"/>
      <c r="P795" s="106">
        <v>0</v>
      </c>
      <c r="Q795" s="106" t="s">
        <v>757</v>
      </c>
      <c r="S795" s="108">
        <f>IF($A795="","",COUNTIF(BPOworkers!$B$6:$B$105,$A795))</f>
        <v>1</v>
      </c>
      <c r="T795" s="109">
        <f>IF($A795="","",$K795*Config!$C$9)</f>
        <v>0</v>
      </c>
      <c r="U795" s="109">
        <f>IF($A795="","",IF(COUNTIF(Config!$C$21:$C$23,$H795)&gt;0,IFERROR(VALUE(LEFT(TRIM($Q795),FIND(" ",TRIM($Q795)&amp;" ")-1)),0),0))</f>
        <v>8</v>
      </c>
      <c r="V795" s="109">
        <f t="shared" si="144"/>
        <v>8</v>
      </c>
      <c r="W795" s="108">
        <f>IF($A795="",0,IF(AND($C795&gt;=Config!$C$7,$C795&lt;=Config!$C$8),1,0))</f>
        <v>1</v>
      </c>
      <c r="X795" s="108">
        <f>IF($A795="",0,IF(COUNTIF(Config!$C$21:$C$23,$H795)&gt;0,1,0))</f>
        <v>1</v>
      </c>
      <c r="Y795" s="108">
        <f t="shared" si="145"/>
        <v>21</v>
      </c>
      <c r="Z795" s="108">
        <f t="shared" si="146"/>
        <v>21</v>
      </c>
      <c r="AB795" s="108">
        <f t="shared" si="147"/>
        <v>0</v>
      </c>
      <c r="AC795" s="108">
        <f>IF($A795="",0,IF(AND($AB795=1,COUNTIF($A$2:$A795,$A795)=1),1,0))</f>
        <v>0</v>
      </c>
      <c r="AD795" s="108">
        <f t="shared" si="148"/>
        <v>1</v>
      </c>
      <c r="AE795" s="108" t="str">
        <f t="shared" si="149"/>
        <v/>
      </c>
      <c r="AF795" s="108">
        <f t="shared" si="150"/>
        <v>0</v>
      </c>
      <c r="AG795" s="108">
        <f t="shared" si="151"/>
        <v>0</v>
      </c>
      <c r="AH795" s="110" t="str">
        <f t="shared" si="152"/>
        <v>J Gonzalez|20260831|BPO Vacation|0.000|8 hours of paid vacations</v>
      </c>
      <c r="AI795" s="108">
        <f t="shared" si="153"/>
        <v>0</v>
      </c>
      <c r="AJ795" s="108">
        <f t="shared" si="154"/>
        <v>0</v>
      </c>
      <c r="AK795" s="108">
        <f>IF($A795="",0,IF(AND($S795=1,$W795=1,$X795=1,$U795&gt;Config!$C$9),1,0))</f>
        <v>0</v>
      </c>
      <c r="AL795" s="108">
        <f t="shared" si="155"/>
        <v>0</v>
      </c>
    </row>
    <row r="796" spans="1:38" x14ac:dyDescent="0.25">
      <c r="A796" s="106" t="s">
        <v>759</v>
      </c>
      <c r="B796" s="106" t="s">
        <v>618</v>
      </c>
      <c r="C796" s="107">
        <v>46265</v>
      </c>
      <c r="D796" s="106" t="s">
        <v>712</v>
      </c>
      <c r="E796" s="106" t="s">
        <v>713</v>
      </c>
      <c r="F796" s="106" t="s">
        <v>714</v>
      </c>
      <c r="G796" s="106" t="s">
        <v>1146</v>
      </c>
      <c r="H796" s="106" t="s">
        <v>631</v>
      </c>
      <c r="I796" s="106"/>
      <c r="J796" s="106"/>
      <c r="K796" s="106">
        <v>1</v>
      </c>
      <c r="L796" s="106">
        <v>0</v>
      </c>
      <c r="M796" s="106">
        <v>0</v>
      </c>
      <c r="N796" s="106"/>
      <c r="O796" s="106"/>
      <c r="P796" s="106">
        <v>0</v>
      </c>
      <c r="Q796" s="106" t="s">
        <v>1561</v>
      </c>
      <c r="S796" s="108">
        <f>IF($A796="","",COUNTIF(BPOworkers!$B$6:$B$105,$A796))</f>
        <v>0</v>
      </c>
      <c r="T796" s="109">
        <f>IF($A796="","",$K796*Config!$C$9)</f>
        <v>8</v>
      </c>
      <c r="U796" s="109">
        <f>IF($A796="","",IF(COUNTIF(Config!$C$21:$C$23,$H796)&gt;0,IFERROR(VALUE(LEFT(TRIM($Q796),FIND(" ",TRIM($Q796)&amp;" ")-1)),0),0))</f>
        <v>0</v>
      </c>
      <c r="V796" s="109">
        <f t="shared" si="144"/>
        <v>8</v>
      </c>
      <c r="W796" s="108">
        <f>IF($A796="",0,IF(AND($C796&gt;=Config!$C$7,$C796&lt;=Config!$C$8),1,0))</f>
        <v>1</v>
      </c>
      <c r="X796" s="108">
        <f>IF($A796="",0,IF(COUNTIF(Config!$C$21:$C$23,$H796)&gt;0,1,0))</f>
        <v>0</v>
      </c>
      <c r="Y796" s="108">
        <f t="shared" si="145"/>
        <v>21</v>
      </c>
      <c r="Z796" s="108" t="str">
        <f t="shared" si="146"/>
        <v/>
      </c>
      <c r="AB796" s="108">
        <f t="shared" si="147"/>
        <v>0</v>
      </c>
      <c r="AC796" s="108">
        <f>IF($A796="",0,IF(AND($AB796=1,COUNTIF($A$2:$A796,$A796)=1),1,0))</f>
        <v>0</v>
      </c>
      <c r="AD796" s="108">
        <f t="shared" si="148"/>
        <v>1</v>
      </c>
      <c r="AE796" s="108" t="str">
        <f t="shared" si="149"/>
        <v/>
      </c>
      <c r="AF796" s="108">
        <f t="shared" si="150"/>
        <v>0</v>
      </c>
      <c r="AG796" s="108">
        <f t="shared" si="151"/>
        <v>0</v>
      </c>
      <c r="AH796" s="110" t="str">
        <f t="shared" si="152"/>
        <v>T. Aguillard|20260831|Title|1.000|Indexing party names</v>
      </c>
      <c r="AI796" s="108">
        <f t="shared" si="153"/>
        <v>0</v>
      </c>
      <c r="AJ796" s="108">
        <f t="shared" si="154"/>
        <v>0</v>
      </c>
      <c r="AK796" s="108">
        <f>IF($A796="",0,IF(AND($S796=1,$W796=1,$X796=1,$U796&gt;Config!$C$9),1,0))</f>
        <v>0</v>
      </c>
      <c r="AL796" s="108">
        <f t="shared" si="155"/>
        <v>0</v>
      </c>
    </row>
    <row r="797" spans="1:38" x14ac:dyDescent="0.25">
      <c r="A797" s="106" t="s">
        <v>761</v>
      </c>
      <c r="B797" s="106" t="s">
        <v>618</v>
      </c>
      <c r="C797" s="107">
        <v>46265</v>
      </c>
      <c r="D797" s="106" t="s">
        <v>529</v>
      </c>
      <c r="E797" s="106" t="s">
        <v>529</v>
      </c>
      <c r="F797" s="106" t="s">
        <v>615</v>
      </c>
      <c r="G797" s="106"/>
      <c r="H797" s="106" t="s">
        <v>529</v>
      </c>
      <c r="I797" s="106"/>
      <c r="J797" s="106"/>
      <c r="K797" s="106">
        <v>0</v>
      </c>
      <c r="L797" s="106">
        <v>0</v>
      </c>
      <c r="M797" s="106">
        <v>0</v>
      </c>
      <c r="N797" s="106"/>
      <c r="O797" s="106"/>
      <c r="P797" s="106">
        <v>0</v>
      </c>
      <c r="Q797" s="106" t="s">
        <v>661</v>
      </c>
      <c r="S797" s="108">
        <f>IF($A797="","",COUNTIF(BPOworkers!$B$6:$B$105,$A797))</f>
        <v>0</v>
      </c>
      <c r="T797" s="109">
        <f>IF($A797="","",$K797*Config!$C$9)</f>
        <v>0</v>
      </c>
      <c r="U797" s="109">
        <f>IF($A797="","",IF(COUNTIF(Config!$C$21:$C$23,$H797)&gt;0,IFERROR(VALUE(LEFT(TRIM($Q797),FIND(" ",TRIM($Q797)&amp;" ")-1)),0),0))</f>
        <v>8</v>
      </c>
      <c r="V797" s="109">
        <f t="shared" si="144"/>
        <v>8</v>
      </c>
      <c r="W797" s="108">
        <f>IF($A797="",0,IF(AND($C797&gt;=Config!$C$7,$C797&lt;=Config!$C$8),1,0))</f>
        <v>1</v>
      </c>
      <c r="X797" s="108">
        <f>IF($A797="",0,IF(COUNTIF(Config!$C$21:$C$23,$H797)&gt;0,1,0))</f>
        <v>1</v>
      </c>
      <c r="Y797" s="108">
        <f t="shared" si="145"/>
        <v>21</v>
      </c>
      <c r="Z797" s="108" t="str">
        <f t="shared" si="146"/>
        <v/>
      </c>
      <c r="AB797" s="108">
        <f t="shared" si="147"/>
        <v>0</v>
      </c>
      <c r="AC797" s="108">
        <f>IF($A797="",0,IF(AND($AB797=1,COUNTIF($A$2:$A797,$A797)=1),1,0))</f>
        <v>0</v>
      </c>
      <c r="AD797" s="108">
        <f t="shared" si="148"/>
        <v>1</v>
      </c>
      <c r="AE797" s="108" t="str">
        <f t="shared" si="149"/>
        <v/>
      </c>
      <c r="AF797" s="108">
        <f t="shared" si="150"/>
        <v>0</v>
      </c>
      <c r="AG797" s="108">
        <f t="shared" si="151"/>
        <v>0</v>
      </c>
      <c r="AH797" s="110" t="str">
        <f t="shared" si="152"/>
        <v>J. Smallridge|20260831|Time Off|0.000|8 hours not billed</v>
      </c>
      <c r="AI797" s="108">
        <f t="shared" si="153"/>
        <v>0</v>
      </c>
      <c r="AJ797" s="108">
        <f t="shared" si="154"/>
        <v>0</v>
      </c>
      <c r="AK797" s="108">
        <f>IF($A797="",0,IF(AND($S797=1,$W797=1,$X797=1,$U797&gt;Config!$C$9),1,0))</f>
        <v>0</v>
      </c>
      <c r="AL797" s="108">
        <f t="shared" si="155"/>
        <v>0</v>
      </c>
    </row>
    <row r="798" spans="1:38" x14ac:dyDescent="0.25">
      <c r="A798" s="106" t="s">
        <v>994</v>
      </c>
      <c r="B798" s="106" t="s">
        <v>618</v>
      </c>
      <c r="C798" s="107">
        <v>46265</v>
      </c>
      <c r="D798" s="106" t="s">
        <v>529</v>
      </c>
      <c r="E798" s="106" t="s">
        <v>529</v>
      </c>
      <c r="F798" s="106" t="s">
        <v>615</v>
      </c>
      <c r="G798" s="106"/>
      <c r="H798" s="106" t="s">
        <v>529</v>
      </c>
      <c r="I798" s="106"/>
      <c r="J798" s="106"/>
      <c r="K798" s="106">
        <v>0</v>
      </c>
      <c r="L798" s="106">
        <v>0</v>
      </c>
      <c r="M798" s="106">
        <v>0</v>
      </c>
      <c r="N798" s="106"/>
      <c r="O798" s="106"/>
      <c r="P798" s="106">
        <v>0</v>
      </c>
      <c r="Q798" s="106" t="s">
        <v>995</v>
      </c>
      <c r="S798" s="108">
        <f>IF($A798="","",COUNTIF(BPOworkers!$B$6:$B$105,$A798))</f>
        <v>0</v>
      </c>
      <c r="T798" s="109">
        <f>IF($A798="","",$K798*Config!$C$9)</f>
        <v>0</v>
      </c>
      <c r="U798" s="109">
        <f>IF($A798="","",IF(COUNTIF(Config!$C$21:$C$23,$H798)&gt;0,IFERROR(VALUE(LEFT(TRIM($Q798),FIND(" ",TRIM($Q798)&amp;" ")-1)),0),0))</f>
        <v>0</v>
      </c>
      <c r="V798" s="109">
        <f t="shared" si="144"/>
        <v>0</v>
      </c>
      <c r="W798" s="108">
        <f>IF($A798="",0,IF(AND($C798&gt;=Config!$C$7,$C798&lt;=Config!$C$8),1,0))</f>
        <v>1</v>
      </c>
      <c r="X798" s="108">
        <f>IF($A798="",0,IF(COUNTIF(Config!$C$21:$C$23,$H798)&gt;0,1,0))</f>
        <v>1</v>
      </c>
      <c r="Y798" s="108">
        <f t="shared" si="145"/>
        <v>21</v>
      </c>
      <c r="Z798" s="108" t="str">
        <f t="shared" si="146"/>
        <v/>
      </c>
      <c r="AB798" s="108">
        <f t="shared" si="147"/>
        <v>0</v>
      </c>
      <c r="AC798" s="108">
        <f>IF($A798="",0,IF(AND($AB798=1,COUNTIF($A$2:$A798,$A798)=1),1,0))</f>
        <v>0</v>
      </c>
      <c r="AD798" s="108">
        <f t="shared" si="148"/>
        <v>1</v>
      </c>
      <c r="AE798" s="108" t="str">
        <f t="shared" si="149"/>
        <v/>
      </c>
      <c r="AF798" s="108">
        <f t="shared" si="150"/>
        <v>0</v>
      </c>
      <c r="AG798" s="108">
        <f t="shared" si="151"/>
        <v>0</v>
      </c>
      <c r="AH798" s="110" t="str">
        <f t="shared" si="152"/>
        <v>R. Hufnagel|20260831|Time Off|0.000|Didn't work 8 hours</v>
      </c>
      <c r="AI798" s="108">
        <f t="shared" si="153"/>
        <v>0</v>
      </c>
      <c r="AJ798" s="108">
        <f t="shared" si="154"/>
        <v>0</v>
      </c>
      <c r="AK798" s="108">
        <f>IF($A798="",0,IF(AND($S798=1,$W798=1,$X798=1,$U798&gt;Config!$C$9),1,0))</f>
        <v>0</v>
      </c>
      <c r="AL798" s="108">
        <f t="shared" si="155"/>
        <v>0</v>
      </c>
    </row>
    <row r="799" spans="1:38" x14ac:dyDescent="0.25">
      <c r="A799" s="106" t="s">
        <v>996</v>
      </c>
      <c r="B799" s="106" t="s">
        <v>618</v>
      </c>
      <c r="C799" s="107">
        <v>46265</v>
      </c>
      <c r="D799" s="106" t="s">
        <v>628</v>
      </c>
      <c r="E799" s="106" t="s">
        <v>705</v>
      </c>
      <c r="F799" s="106" t="s">
        <v>630</v>
      </c>
      <c r="G799" s="106" t="s">
        <v>910</v>
      </c>
      <c r="H799" s="106" t="s">
        <v>656</v>
      </c>
      <c r="I799" s="106"/>
      <c r="J799" s="106"/>
      <c r="K799" s="106">
        <v>0.75</v>
      </c>
      <c r="L799" s="106">
        <v>0</v>
      </c>
      <c r="M799" s="106">
        <v>0</v>
      </c>
      <c r="N799" s="106"/>
      <c r="O799" s="106"/>
      <c r="P799" s="106">
        <v>0</v>
      </c>
      <c r="Q799" s="106" t="s">
        <v>1562</v>
      </c>
      <c r="S799" s="108">
        <f>IF($A799="","",COUNTIF(BPOworkers!$B$6:$B$105,$A799))</f>
        <v>0</v>
      </c>
      <c r="T799" s="109">
        <f>IF($A799="","",$K799*Config!$C$9)</f>
        <v>6</v>
      </c>
      <c r="U799" s="109">
        <f>IF($A799="","",IF(COUNTIF(Config!$C$21:$C$23,$H799)&gt;0,IFERROR(VALUE(LEFT(TRIM($Q799),FIND(" ",TRIM($Q799)&amp;" ")-1)),0),0))</f>
        <v>0</v>
      </c>
      <c r="V799" s="109">
        <f t="shared" si="144"/>
        <v>6</v>
      </c>
      <c r="W799" s="108">
        <f>IF($A799="",0,IF(AND($C799&gt;=Config!$C$7,$C799&lt;=Config!$C$8),1,0))</f>
        <v>1</v>
      </c>
      <c r="X799" s="108">
        <f>IF($A799="",0,IF(COUNTIF(Config!$C$21:$C$23,$H799)&gt;0,1,0))</f>
        <v>0</v>
      </c>
      <c r="Y799" s="108">
        <f t="shared" si="145"/>
        <v>21</v>
      </c>
      <c r="Z799" s="108" t="str">
        <f t="shared" si="146"/>
        <v/>
      </c>
      <c r="AB799" s="108">
        <f t="shared" si="147"/>
        <v>0</v>
      </c>
      <c r="AC799" s="108">
        <f>IF($A799="",0,IF(AND($AB799=1,COUNTIF($A$2:$A799,$A799)=1),1,0))</f>
        <v>0</v>
      </c>
      <c r="AD799" s="108">
        <f t="shared" si="148"/>
        <v>1</v>
      </c>
      <c r="AE799" s="108" t="str">
        <f t="shared" si="149"/>
        <v/>
      </c>
      <c r="AF799" s="108">
        <f t="shared" si="150"/>
        <v>0</v>
      </c>
      <c r="AG799" s="108">
        <f t="shared" si="151"/>
        <v>0</v>
      </c>
      <c r="AH799" s="110" t="str">
        <f t="shared" si="152"/>
        <v>D. Woodall|20260831|Project Management|0.750|Organizing Asana &amp; Tracts AOIs nomenclature</v>
      </c>
      <c r="AI799" s="108">
        <f t="shared" si="153"/>
        <v>0</v>
      </c>
      <c r="AJ799" s="108">
        <f t="shared" si="154"/>
        <v>0</v>
      </c>
      <c r="AK799" s="108">
        <f>IF($A799="",0,IF(AND($S799=1,$W799=1,$X799=1,$U799&gt;Config!$C$9),1,0))</f>
        <v>0</v>
      </c>
      <c r="AL799" s="108">
        <f t="shared" si="155"/>
        <v>0</v>
      </c>
    </row>
    <row r="800" spans="1:38" x14ac:dyDescent="0.25">
      <c r="A800" s="106" t="s">
        <v>996</v>
      </c>
      <c r="B800" s="106" t="s">
        <v>618</v>
      </c>
      <c r="C800" s="107">
        <v>46265</v>
      </c>
      <c r="D800" s="106" t="s">
        <v>529</v>
      </c>
      <c r="E800" s="106" t="s">
        <v>529</v>
      </c>
      <c r="F800" s="106" t="s">
        <v>615</v>
      </c>
      <c r="G800" s="106"/>
      <c r="H800" s="106" t="s">
        <v>529</v>
      </c>
      <c r="I800" s="106"/>
      <c r="J800" s="106"/>
      <c r="K800" s="106">
        <v>0</v>
      </c>
      <c r="L800" s="106">
        <v>0</v>
      </c>
      <c r="M800" s="106">
        <v>0</v>
      </c>
      <c r="N800" s="106"/>
      <c r="O800" s="106"/>
      <c r="P800" s="106">
        <v>0</v>
      </c>
      <c r="Q800" s="106" t="s">
        <v>1284</v>
      </c>
      <c r="S800" s="108">
        <f>IF($A800="","",COUNTIF(BPOworkers!$B$6:$B$105,$A800))</f>
        <v>0</v>
      </c>
      <c r="T800" s="109">
        <f>IF($A800="","",$K800*Config!$C$9)</f>
        <v>0</v>
      </c>
      <c r="U800" s="109">
        <f>IF($A800="","",IF(COUNTIF(Config!$C$21:$C$23,$H800)&gt;0,IFERROR(VALUE(LEFT(TRIM($Q800),FIND(" ",TRIM($Q800)&amp;" ")-1)),0),0))</f>
        <v>2</v>
      </c>
      <c r="V800" s="109">
        <f t="shared" si="144"/>
        <v>2</v>
      </c>
      <c r="W800" s="108">
        <f>IF($A800="",0,IF(AND($C800&gt;=Config!$C$7,$C800&lt;=Config!$C$8),1,0))</f>
        <v>1</v>
      </c>
      <c r="X800" s="108">
        <f>IF($A800="",0,IF(COUNTIF(Config!$C$21:$C$23,$H800)&gt;0,1,0))</f>
        <v>1</v>
      </c>
      <c r="Y800" s="108">
        <f t="shared" si="145"/>
        <v>21</v>
      </c>
      <c r="Z800" s="108" t="str">
        <f t="shared" si="146"/>
        <v/>
      </c>
      <c r="AB800" s="108">
        <f t="shared" si="147"/>
        <v>0</v>
      </c>
      <c r="AC800" s="108">
        <f>IF($A800="",0,IF(AND($AB800=1,COUNTIF($A$2:$A800,$A800)=1),1,0))</f>
        <v>0</v>
      </c>
      <c r="AD800" s="108">
        <f t="shared" si="148"/>
        <v>1</v>
      </c>
      <c r="AE800" s="108" t="str">
        <f t="shared" si="149"/>
        <v/>
      </c>
      <c r="AF800" s="108">
        <f t="shared" si="150"/>
        <v>0</v>
      </c>
      <c r="AG800" s="108">
        <f t="shared" si="151"/>
        <v>0</v>
      </c>
      <c r="AH800" s="110" t="str">
        <f t="shared" si="152"/>
        <v>D. Woodall|20260831|Time Off|0.000|2 hrs not billed</v>
      </c>
      <c r="AI800" s="108">
        <f t="shared" si="153"/>
        <v>0</v>
      </c>
      <c r="AJ800" s="108">
        <f t="shared" si="154"/>
        <v>0</v>
      </c>
      <c r="AK800" s="108">
        <f>IF($A800="",0,IF(AND($S800=1,$W800=1,$X800=1,$U800&gt;Config!$C$9),1,0))</f>
        <v>0</v>
      </c>
      <c r="AL800" s="108">
        <f t="shared" si="155"/>
        <v>0</v>
      </c>
    </row>
    <row r="801" spans="1:38" x14ac:dyDescent="0.25">
      <c r="A801" s="106" t="s">
        <v>458</v>
      </c>
      <c r="B801" s="106" t="s">
        <v>614</v>
      </c>
      <c r="C801" s="107">
        <v>46265</v>
      </c>
      <c r="D801" s="106" t="s">
        <v>669</v>
      </c>
      <c r="E801" s="106" t="s">
        <v>669</v>
      </c>
      <c r="F801" s="106" t="s">
        <v>670</v>
      </c>
      <c r="G801" s="106"/>
      <c r="H801" s="106" t="s">
        <v>671</v>
      </c>
      <c r="I801" s="106"/>
      <c r="J801" s="106"/>
      <c r="K801" s="106">
        <v>1</v>
      </c>
      <c r="L801" s="106">
        <v>0</v>
      </c>
      <c r="M801" s="106">
        <v>0</v>
      </c>
      <c r="N801" s="106"/>
      <c r="O801" s="106"/>
      <c r="P801" s="106">
        <v>0</v>
      </c>
      <c r="Q801" s="106" t="s">
        <v>1563</v>
      </c>
      <c r="S801" s="108">
        <f>IF($A801="","",COUNTIF(BPOworkers!$B$6:$B$105,$A801))</f>
        <v>1</v>
      </c>
      <c r="T801" s="109">
        <f>IF($A801="","",$K801*Config!$C$9)</f>
        <v>8</v>
      </c>
      <c r="U801" s="109">
        <f>IF($A801="","",IF(COUNTIF(Config!$C$21:$C$23,$H801)&gt;0,IFERROR(VALUE(LEFT(TRIM($Q801),FIND(" ",TRIM($Q801)&amp;" ")-1)),0),0))</f>
        <v>0</v>
      </c>
      <c r="V801" s="109">
        <f t="shared" si="144"/>
        <v>8</v>
      </c>
      <c r="W801" s="108">
        <f>IF($A801="",0,IF(AND($C801&gt;=Config!$C$7,$C801&lt;=Config!$C$8),1,0))</f>
        <v>1</v>
      </c>
      <c r="X801" s="108">
        <f>IF($A801="",0,IF(COUNTIF(Config!$C$21:$C$23,$H801)&gt;0,1,0))</f>
        <v>0</v>
      </c>
      <c r="Y801" s="108">
        <f t="shared" si="145"/>
        <v>21</v>
      </c>
      <c r="Z801" s="108" t="str">
        <f t="shared" si="146"/>
        <v/>
      </c>
      <c r="AB801" s="108">
        <f t="shared" si="147"/>
        <v>0</v>
      </c>
      <c r="AC801" s="108">
        <f>IF($A801="",0,IF(AND($AB801=1,COUNTIF($A$2:$A801,$A801)=1),1,0))</f>
        <v>0</v>
      </c>
      <c r="AD801" s="108">
        <f t="shared" si="148"/>
        <v>1</v>
      </c>
      <c r="AE801" s="108" t="str">
        <f t="shared" si="149"/>
        <v/>
      </c>
      <c r="AF801" s="108">
        <f t="shared" si="150"/>
        <v>0</v>
      </c>
      <c r="AG801" s="108">
        <f t="shared" si="151"/>
        <v>0</v>
      </c>
      <c r="AH801" s="110" t="str">
        <f t="shared" si="152"/>
        <v>C Castellanos|20260831|TitleNotes - Library|1.000|All the documents were inputed into Tracts.</v>
      </c>
      <c r="AI801" s="108">
        <f t="shared" si="153"/>
        <v>0</v>
      </c>
      <c r="AJ801" s="108">
        <f t="shared" si="154"/>
        <v>0</v>
      </c>
      <c r="AK801" s="108">
        <f>IF($A801="",0,IF(AND($S801=1,$W801=1,$X801=1,$U801&gt;Config!$C$9),1,0))</f>
        <v>0</v>
      </c>
      <c r="AL801" s="108">
        <f t="shared" si="155"/>
        <v>0</v>
      </c>
    </row>
    <row r="802" spans="1:38" ht="168.75" x14ac:dyDescent="0.25">
      <c r="A802" s="106" t="s">
        <v>458</v>
      </c>
      <c r="B802" s="106" t="s">
        <v>618</v>
      </c>
      <c r="C802" s="107">
        <v>46265</v>
      </c>
      <c r="D802" s="106" t="s">
        <v>712</v>
      </c>
      <c r="E802" s="106" t="s">
        <v>713</v>
      </c>
      <c r="F802" s="106" t="s">
        <v>714</v>
      </c>
      <c r="G802" s="106" t="s">
        <v>1122</v>
      </c>
      <c r="H802" s="106" t="s">
        <v>631</v>
      </c>
      <c r="I802" s="106"/>
      <c r="J802" s="106" t="s">
        <v>1426</v>
      </c>
      <c r="K802" s="106">
        <v>1</v>
      </c>
      <c r="L802" s="106">
        <v>0</v>
      </c>
      <c r="M802" s="106">
        <v>0</v>
      </c>
      <c r="N802" s="106"/>
      <c r="O802" s="106"/>
      <c r="P802" s="106">
        <v>0</v>
      </c>
      <c r="Q802" s="111" t="s">
        <v>1564</v>
      </c>
      <c r="S802" s="108">
        <f>IF($A802="","",COUNTIF(BPOworkers!$B$6:$B$105,$A802))</f>
        <v>1</v>
      </c>
      <c r="T802" s="109">
        <f>IF($A802="","",$K802*Config!$C$9)</f>
        <v>8</v>
      </c>
      <c r="U802" s="109">
        <f>IF($A802="","",IF(COUNTIF(Config!$C$21:$C$23,$H802)&gt;0,IFERROR(VALUE(LEFT(TRIM($Q802),FIND(" ",TRIM($Q802)&amp;" ")-1)),0),0))</f>
        <v>0</v>
      </c>
      <c r="V802" s="109">
        <f t="shared" si="144"/>
        <v>8</v>
      </c>
      <c r="W802" s="108">
        <f>IF($A802="",0,IF(AND($C802&gt;=Config!$C$7,$C802&lt;=Config!$C$8),1,0))</f>
        <v>1</v>
      </c>
      <c r="X802" s="108">
        <f>IF($A802="",0,IF(COUNTIF(Config!$C$21:$C$23,$H802)&gt;0,1,0))</f>
        <v>0</v>
      </c>
      <c r="Y802" s="108">
        <f t="shared" si="145"/>
        <v>21</v>
      </c>
      <c r="Z802" s="108" t="str">
        <f t="shared" si="146"/>
        <v/>
      </c>
      <c r="AB802" s="108">
        <f t="shared" si="147"/>
        <v>0</v>
      </c>
      <c r="AC802" s="108">
        <f>IF($A802="",0,IF(AND($AB802=1,COUNTIF($A$2:$A802,$A802)=1),1,0))</f>
        <v>0</v>
      </c>
      <c r="AD802" s="108">
        <f t="shared" si="148"/>
        <v>1</v>
      </c>
      <c r="AE802" s="108" t="str">
        <f t="shared" si="149"/>
        <v/>
      </c>
      <c r="AF802" s="108">
        <f t="shared" si="150"/>
        <v>0</v>
      </c>
      <c r="AG802" s="108">
        <f t="shared" si="151"/>
        <v>0</v>
      </c>
      <c r="AH802" s="112" t="str">
        <f t="shared" si="152"/>
        <v xml:space="preserve">C Castellanos|20260831|Title|1.000|Indexed king family to fill the gap between 1969-2019. Found the probate, last will and partition deed for J. M. King.
 </v>
      </c>
      <c r="AI802" s="108">
        <f t="shared" si="153"/>
        <v>0</v>
      </c>
      <c r="AJ802" s="108">
        <f t="shared" si="154"/>
        <v>0</v>
      </c>
      <c r="AK802" s="108">
        <f>IF($A802="",0,IF(AND($S802=1,$W802=1,$X802=1,$U802&gt;Config!$C$9),1,0))</f>
        <v>0</v>
      </c>
      <c r="AL802" s="108">
        <f t="shared" si="155"/>
        <v>0</v>
      </c>
    </row>
    <row r="803" spans="1:38" ht="168.75" x14ac:dyDescent="0.25">
      <c r="A803" s="106" t="s">
        <v>461</v>
      </c>
      <c r="B803" s="106" t="s">
        <v>614</v>
      </c>
      <c r="C803" s="107">
        <v>46265</v>
      </c>
      <c r="D803" s="106" t="s">
        <v>623</v>
      </c>
      <c r="E803" s="106" t="s">
        <v>624</v>
      </c>
      <c r="F803" s="106" t="s">
        <v>615</v>
      </c>
      <c r="G803" s="106" t="s">
        <v>625</v>
      </c>
      <c r="H803" s="106" t="s">
        <v>691</v>
      </c>
      <c r="I803" s="106"/>
      <c r="J803" s="106" t="s">
        <v>691</v>
      </c>
      <c r="K803" s="106">
        <v>1</v>
      </c>
      <c r="L803" s="106">
        <v>0</v>
      </c>
      <c r="M803" s="106">
        <v>0</v>
      </c>
      <c r="N803" s="106"/>
      <c r="O803" s="106"/>
      <c r="P803" s="106">
        <v>0</v>
      </c>
      <c r="Q803" s="111" t="s">
        <v>1565</v>
      </c>
      <c r="S803" s="108">
        <f>IF($A803="","",COUNTIF(BPOworkers!$B$6:$B$105,$A803))</f>
        <v>1</v>
      </c>
      <c r="T803" s="109">
        <f>IF($A803="","",$K803*Config!$C$9)</f>
        <v>8</v>
      </c>
      <c r="U803" s="109">
        <f>IF($A803="","",IF(COUNTIF(Config!$C$21:$C$23,$H803)&gt;0,IFERROR(VALUE(LEFT(TRIM($Q803),FIND(" ",TRIM($Q803)&amp;" ")-1)),0),0))</f>
        <v>0</v>
      </c>
      <c r="V803" s="109">
        <f t="shared" si="144"/>
        <v>8</v>
      </c>
      <c r="W803" s="108">
        <f>IF($A803="",0,IF(AND($C803&gt;=Config!$C$7,$C803&lt;=Config!$C$8),1,0))</f>
        <v>1</v>
      </c>
      <c r="X803" s="108">
        <f>IF($A803="",0,IF(COUNTIF(Config!$C$21:$C$23,$H803)&gt;0,1,0))</f>
        <v>0</v>
      </c>
      <c r="Y803" s="108">
        <f t="shared" si="145"/>
        <v>21</v>
      </c>
      <c r="Z803" s="108" t="str">
        <f t="shared" si="146"/>
        <v/>
      </c>
      <c r="AB803" s="108">
        <f t="shared" si="147"/>
        <v>0</v>
      </c>
      <c r="AC803" s="108">
        <f>IF($A803="",0,IF(AND($AB803=1,COUNTIF($A$2:$A803,$A803)=1),1,0))</f>
        <v>0</v>
      </c>
      <c r="AD803" s="108">
        <f t="shared" si="148"/>
        <v>1</v>
      </c>
      <c r="AE803" s="108" t="str">
        <f t="shared" si="149"/>
        <v/>
      </c>
      <c r="AF803" s="108">
        <f t="shared" si="150"/>
        <v>0</v>
      </c>
      <c r="AG803" s="108">
        <f t="shared" si="151"/>
        <v>0</v>
      </c>
      <c r="AH803" s="112" t="str">
        <f t="shared" si="152"/>
        <v>D Trujillo|20260831|BPO Project Management|1.000|BTABs Checkings Approval
 Adding legals in BTABs
 Extra Hours Spreadsheet
 Office mgmt</v>
      </c>
      <c r="AI803" s="108">
        <f t="shared" si="153"/>
        <v>0</v>
      </c>
      <c r="AJ803" s="108">
        <f t="shared" si="154"/>
        <v>0</v>
      </c>
      <c r="AK803" s="108">
        <f>IF($A803="",0,IF(AND($S803=1,$W803=1,$X803=1,$U803&gt;Config!$C$9),1,0))</f>
        <v>0</v>
      </c>
      <c r="AL803" s="108">
        <f t="shared" si="155"/>
        <v>0</v>
      </c>
    </row>
    <row r="804" spans="1:38" ht="192.75" x14ac:dyDescent="0.25">
      <c r="A804" s="106" t="s">
        <v>465</v>
      </c>
      <c r="B804" s="106" t="s">
        <v>618</v>
      </c>
      <c r="C804" s="107">
        <v>46265</v>
      </c>
      <c r="D804" s="106" t="s">
        <v>694</v>
      </c>
      <c r="E804" s="106" t="s">
        <v>862</v>
      </c>
      <c r="F804" s="106" t="s">
        <v>766</v>
      </c>
      <c r="G804" s="106" t="s">
        <v>1368</v>
      </c>
      <c r="H804" s="106" t="s">
        <v>781</v>
      </c>
      <c r="I804" s="106"/>
      <c r="J804" s="106"/>
      <c r="K804" s="106">
        <v>1</v>
      </c>
      <c r="L804" s="106">
        <v>0</v>
      </c>
      <c r="M804" s="106">
        <v>0</v>
      </c>
      <c r="N804" s="106"/>
      <c r="O804" s="106"/>
      <c r="P804" s="106">
        <v>0</v>
      </c>
      <c r="Q804" s="111" t="s">
        <v>1566</v>
      </c>
      <c r="S804" s="108">
        <f>IF($A804="","",COUNTIF(BPOworkers!$B$6:$B$105,$A804))</f>
        <v>1</v>
      </c>
      <c r="T804" s="109">
        <f>IF($A804="","",$K804*Config!$C$9)</f>
        <v>8</v>
      </c>
      <c r="U804" s="109">
        <f>IF($A804="","",IF(COUNTIF(Config!$C$21:$C$23,$H804)&gt;0,IFERROR(VALUE(LEFT(TRIM($Q804),FIND(" ",TRIM($Q804)&amp;" ")-1)),0),0))</f>
        <v>0</v>
      </c>
      <c r="V804" s="109">
        <f t="shared" si="144"/>
        <v>8</v>
      </c>
      <c r="W804" s="108">
        <f>IF($A804="",0,IF(AND($C804&gt;=Config!$C$7,$C804&lt;=Config!$C$8),1,0))</f>
        <v>1</v>
      </c>
      <c r="X804" s="108">
        <f>IF($A804="",0,IF(COUNTIF(Config!$C$21:$C$23,$H804)&gt;0,1,0))</f>
        <v>0</v>
      </c>
      <c r="Y804" s="108">
        <f t="shared" si="145"/>
        <v>21</v>
      </c>
      <c r="Z804" s="108" t="str">
        <f t="shared" si="146"/>
        <v/>
      </c>
      <c r="AB804" s="108">
        <f t="shared" si="147"/>
        <v>0</v>
      </c>
      <c r="AC804" s="108">
        <f>IF($A804="",0,IF(AND($AB804=1,COUNTIF($A$2:$A804,$A804)=1),1,0))</f>
        <v>0</v>
      </c>
      <c r="AD804" s="108">
        <f t="shared" si="148"/>
        <v>1</v>
      </c>
      <c r="AE804" s="108" t="str">
        <f t="shared" si="149"/>
        <v/>
      </c>
      <c r="AF804" s="108">
        <f t="shared" si="150"/>
        <v>0</v>
      </c>
      <c r="AG804" s="108">
        <f t="shared" si="151"/>
        <v>0</v>
      </c>
      <c r="AH804" s="110" t="str">
        <f t="shared" si="152"/>
        <v>I Salamanca|20260831|Single Interest Verification|1.000|Platform was used to search for the updated index and historical index for the section; these were downloaded, and began</v>
      </c>
      <c r="AI804" s="108">
        <f t="shared" si="153"/>
        <v>0</v>
      </c>
      <c r="AJ804" s="108">
        <f t="shared" si="154"/>
        <v>0</v>
      </c>
      <c r="AK804" s="108">
        <f>IF($A804="",0,IF(AND($S804=1,$W804=1,$X804=1,$U804&gt;Config!$C$9),1,0))</f>
        <v>0</v>
      </c>
      <c r="AL804" s="108">
        <f t="shared" si="155"/>
        <v>0</v>
      </c>
    </row>
    <row r="805" spans="1:38" ht="120.75" x14ac:dyDescent="0.25">
      <c r="A805" s="106" t="s">
        <v>466</v>
      </c>
      <c r="B805" s="106" t="s">
        <v>618</v>
      </c>
      <c r="C805" s="107">
        <v>46265</v>
      </c>
      <c r="D805" s="106" t="s">
        <v>623</v>
      </c>
      <c r="E805" s="106" t="s">
        <v>624</v>
      </c>
      <c r="F805" s="106" t="s">
        <v>615</v>
      </c>
      <c r="G805" s="106" t="s">
        <v>625</v>
      </c>
      <c r="H805" s="106" t="s">
        <v>671</v>
      </c>
      <c r="I805" s="106" t="s">
        <v>657</v>
      </c>
      <c r="J805" s="106" t="s">
        <v>669</v>
      </c>
      <c r="K805" s="106">
        <v>1</v>
      </c>
      <c r="L805" s="106">
        <v>0</v>
      </c>
      <c r="M805" s="106">
        <v>0</v>
      </c>
      <c r="N805" s="106"/>
      <c r="O805" s="106"/>
      <c r="P805" s="106">
        <v>0</v>
      </c>
      <c r="Q805" s="111" t="s">
        <v>1567</v>
      </c>
      <c r="S805" s="108">
        <f>IF($A805="","",COUNTIF(BPOworkers!$B$6:$B$105,$A805))</f>
        <v>1</v>
      </c>
      <c r="T805" s="109">
        <f>IF($A805="","",$K805*Config!$C$9)</f>
        <v>8</v>
      </c>
      <c r="U805" s="109">
        <f>IF($A805="","",IF(COUNTIF(Config!$C$21:$C$23,$H805)&gt;0,IFERROR(VALUE(LEFT(TRIM($Q805),FIND(" ",TRIM($Q805)&amp;" ")-1)),0),0))</f>
        <v>0</v>
      </c>
      <c r="V805" s="109">
        <f t="shared" si="144"/>
        <v>8</v>
      </c>
      <c r="W805" s="108">
        <f>IF($A805="",0,IF(AND($C805&gt;=Config!$C$7,$C805&lt;=Config!$C$8),1,0))</f>
        <v>1</v>
      </c>
      <c r="X805" s="108">
        <f>IF($A805="",0,IF(COUNTIF(Config!$C$21:$C$23,$H805)&gt;0,1,0))</f>
        <v>0</v>
      </c>
      <c r="Y805" s="108">
        <f t="shared" si="145"/>
        <v>21</v>
      </c>
      <c r="Z805" s="108" t="str">
        <f t="shared" si="146"/>
        <v/>
      </c>
      <c r="AB805" s="108">
        <f t="shared" si="147"/>
        <v>0</v>
      </c>
      <c r="AC805" s="108">
        <f>IF($A805="",0,IF(AND($AB805=1,COUNTIF($A$2:$A805,$A805)=1),1,0))</f>
        <v>0</v>
      </c>
      <c r="AD805" s="108">
        <f t="shared" si="148"/>
        <v>1</v>
      </c>
      <c r="AE805" s="108" t="str">
        <f t="shared" si="149"/>
        <v/>
      </c>
      <c r="AF805" s="108">
        <f t="shared" si="150"/>
        <v>0</v>
      </c>
      <c r="AG805" s="108">
        <f t="shared" si="151"/>
        <v>0</v>
      </c>
      <c r="AH805" s="112" t="str">
        <f t="shared" si="152"/>
        <v>J Abay|20260831|TitleNotes - Library|1.000|Title Notes 
 33 Documents 
 54 Transactions</v>
      </c>
      <c r="AI805" s="108">
        <f t="shared" si="153"/>
        <v>0</v>
      </c>
      <c r="AJ805" s="108">
        <f t="shared" si="154"/>
        <v>0</v>
      </c>
      <c r="AK805" s="108">
        <f>IF($A805="",0,IF(AND($S805=1,$W805=1,$X805=1,$U805&gt;Config!$C$9),1,0))</f>
        <v>0</v>
      </c>
      <c r="AL805" s="108">
        <f t="shared" si="155"/>
        <v>0</v>
      </c>
    </row>
    <row r="806" spans="1:38" x14ac:dyDescent="0.25">
      <c r="A806" s="106" t="s">
        <v>472</v>
      </c>
      <c r="B806" s="106" t="s">
        <v>618</v>
      </c>
      <c r="C806" s="107">
        <v>46265</v>
      </c>
      <c r="D806" s="106" t="s">
        <v>529</v>
      </c>
      <c r="E806" s="106" t="s">
        <v>529</v>
      </c>
      <c r="F806" s="106" t="s">
        <v>615</v>
      </c>
      <c r="G806" s="106"/>
      <c r="H806" s="106" t="s">
        <v>529</v>
      </c>
      <c r="I806" s="106"/>
      <c r="J806" s="106" t="s">
        <v>727</v>
      </c>
      <c r="K806" s="106">
        <v>0</v>
      </c>
      <c r="L806" s="106">
        <v>0</v>
      </c>
      <c r="M806" s="106">
        <v>0</v>
      </c>
      <c r="N806" s="106"/>
      <c r="O806" s="106"/>
      <c r="P806" s="106">
        <v>0</v>
      </c>
      <c r="Q806" s="106" t="s">
        <v>661</v>
      </c>
      <c r="S806" s="108">
        <f>IF($A806="","",COUNTIF(BPOworkers!$B$6:$B$105,$A806))</f>
        <v>1</v>
      </c>
      <c r="T806" s="109">
        <f>IF($A806="","",$K806*Config!$C$9)</f>
        <v>0</v>
      </c>
      <c r="U806" s="109">
        <f>IF($A806="","",IF(COUNTIF(Config!$C$21:$C$23,$H806)&gt;0,IFERROR(VALUE(LEFT(TRIM($Q806),FIND(" ",TRIM($Q806)&amp;" ")-1)),0),0))</f>
        <v>8</v>
      </c>
      <c r="V806" s="109">
        <f t="shared" si="144"/>
        <v>8</v>
      </c>
      <c r="W806" s="108">
        <f>IF($A806="",0,IF(AND($C806&gt;=Config!$C$7,$C806&lt;=Config!$C$8),1,0))</f>
        <v>1</v>
      </c>
      <c r="X806" s="108">
        <f>IF($A806="",0,IF(COUNTIF(Config!$C$21:$C$23,$H806)&gt;0,1,0))</f>
        <v>1</v>
      </c>
      <c r="Y806" s="108">
        <f t="shared" si="145"/>
        <v>22</v>
      </c>
      <c r="Z806" s="108">
        <f t="shared" si="146"/>
        <v>22</v>
      </c>
      <c r="AB806" s="108">
        <f t="shared" si="147"/>
        <v>0</v>
      </c>
      <c r="AC806" s="108">
        <f>IF($A806="",0,IF(AND($AB806=1,COUNTIF($A$2:$A806,$A806)=1),1,0))</f>
        <v>0</v>
      </c>
      <c r="AD806" s="108">
        <f t="shared" si="148"/>
        <v>1</v>
      </c>
      <c r="AE806" s="108" t="str">
        <f t="shared" si="149"/>
        <v/>
      </c>
      <c r="AF806" s="108">
        <f t="shared" si="150"/>
        <v>0</v>
      </c>
      <c r="AG806" s="108">
        <f t="shared" si="151"/>
        <v>0</v>
      </c>
      <c r="AH806" s="110" t="str">
        <f t="shared" si="152"/>
        <v>J Reyes|20260831|Time Off|0.000|8 hours not billed</v>
      </c>
      <c r="AI806" s="108">
        <f t="shared" si="153"/>
        <v>0</v>
      </c>
      <c r="AJ806" s="108">
        <f t="shared" si="154"/>
        <v>0</v>
      </c>
      <c r="AK806" s="108">
        <f>IF($A806="",0,IF(AND($S806=1,$W806=1,$X806=1,$U806&gt;Config!$C$9),1,0))</f>
        <v>0</v>
      </c>
      <c r="AL806" s="108">
        <f t="shared" si="155"/>
        <v>0</v>
      </c>
    </row>
    <row r="807" spans="1:38" x14ac:dyDescent="0.25">
      <c r="A807" s="106" t="s">
        <v>124</v>
      </c>
      <c r="B807" s="106" t="s">
        <v>618</v>
      </c>
      <c r="C807" s="107">
        <v>46265</v>
      </c>
      <c r="D807" s="106" t="s">
        <v>680</v>
      </c>
      <c r="E807" s="106" t="s">
        <v>681</v>
      </c>
      <c r="F807" s="106" t="s">
        <v>893</v>
      </c>
      <c r="G807" s="106" t="s">
        <v>894</v>
      </c>
      <c r="H807" s="106" t="s">
        <v>702</v>
      </c>
      <c r="I807" s="106"/>
      <c r="J807" s="106"/>
      <c r="K807" s="106">
        <v>0.75</v>
      </c>
      <c r="L807" s="106">
        <v>0</v>
      </c>
      <c r="M807" s="106">
        <v>0</v>
      </c>
      <c r="N807" s="106"/>
      <c r="O807" s="106"/>
      <c r="P807" s="106">
        <v>0</v>
      </c>
      <c r="Q807" s="106" t="s">
        <v>1568</v>
      </c>
      <c r="S807" s="108">
        <f>IF($A807="","",COUNTIF(BPOworkers!$B$6:$B$105,$A807))</f>
        <v>1</v>
      </c>
      <c r="T807" s="109">
        <f>IF($A807="","",$K807*Config!$C$9)</f>
        <v>6</v>
      </c>
      <c r="U807" s="109">
        <f>IF($A807="","",IF(COUNTIF(Config!$C$21:$C$23,$H807)&gt;0,IFERROR(VALUE(LEFT(TRIM($Q807),FIND(" ",TRIM($Q807)&amp;" ")-1)),0),0))</f>
        <v>0</v>
      </c>
      <c r="V807" s="109">
        <f t="shared" si="144"/>
        <v>6</v>
      </c>
      <c r="W807" s="108">
        <f>IF($A807="",0,IF(AND($C807&gt;=Config!$C$7,$C807&lt;=Config!$C$8),1,0))</f>
        <v>1</v>
      </c>
      <c r="X807" s="108">
        <f>IF($A807="",0,IF(COUNTIF(Config!$C$21:$C$23,$H807)&gt;0,1,0))</f>
        <v>0</v>
      </c>
      <c r="Y807" s="108">
        <f t="shared" si="145"/>
        <v>22</v>
      </c>
      <c r="Z807" s="108" t="str">
        <f t="shared" si="146"/>
        <v/>
      </c>
      <c r="AB807" s="108">
        <f t="shared" si="147"/>
        <v>0</v>
      </c>
      <c r="AC807" s="108">
        <f>IF($A807="",0,IF(AND($AB807=1,COUNTIF($A$2:$A807,$A807)=1),1,0))</f>
        <v>0</v>
      </c>
      <c r="AD807" s="108">
        <f t="shared" si="148"/>
        <v>1</v>
      </c>
      <c r="AE807" s="108" t="str">
        <f t="shared" si="149"/>
        <v/>
      </c>
      <c r="AF807" s="108">
        <f t="shared" si="150"/>
        <v>0</v>
      </c>
      <c r="AG807" s="108">
        <f t="shared" si="151"/>
        <v>0</v>
      </c>
      <c r="AH807" s="110" t="str">
        <f t="shared" si="152"/>
        <v>J S Bermudez|20260831|Data Processing|0.750|Process client data, organize folders and information on the project LOG</v>
      </c>
      <c r="AI807" s="108">
        <f t="shared" si="153"/>
        <v>0</v>
      </c>
      <c r="AJ807" s="108">
        <f t="shared" si="154"/>
        <v>0</v>
      </c>
      <c r="AK807" s="108">
        <f>IF($A807="",0,IF(AND($S807=1,$W807=1,$X807=1,$U807&gt;Config!$C$9),1,0))</f>
        <v>0</v>
      </c>
      <c r="AL807" s="108">
        <f t="shared" si="155"/>
        <v>0</v>
      </c>
    </row>
    <row r="808" spans="1:38" x14ac:dyDescent="0.25">
      <c r="A808" s="106" t="s">
        <v>124</v>
      </c>
      <c r="B808" s="106" t="s">
        <v>618</v>
      </c>
      <c r="C808" s="107">
        <v>46265</v>
      </c>
      <c r="D808" s="106" t="s">
        <v>712</v>
      </c>
      <c r="E808" s="106" t="s">
        <v>713</v>
      </c>
      <c r="F808" s="106" t="s">
        <v>714</v>
      </c>
      <c r="G808" s="106" t="s">
        <v>800</v>
      </c>
      <c r="H808" s="106" t="s">
        <v>631</v>
      </c>
      <c r="I808" s="106"/>
      <c r="J808" s="106"/>
      <c r="K808" s="106">
        <v>0.25</v>
      </c>
      <c r="L808" s="106">
        <v>0</v>
      </c>
      <c r="M808" s="106">
        <v>0</v>
      </c>
      <c r="N808" s="106"/>
      <c r="O808" s="106"/>
      <c r="P808" s="106">
        <v>0</v>
      </c>
      <c r="Q808" s="106" t="s">
        <v>1436</v>
      </c>
      <c r="S808" s="108">
        <f>IF($A808="","",COUNTIF(BPOworkers!$B$6:$B$105,$A808))</f>
        <v>1</v>
      </c>
      <c r="T808" s="109">
        <f>IF($A808="","",$K808*Config!$C$9)</f>
        <v>2</v>
      </c>
      <c r="U808" s="109">
        <f>IF($A808="","",IF(COUNTIF(Config!$C$21:$C$23,$H808)&gt;0,IFERROR(VALUE(LEFT(TRIM($Q808),FIND(" ",TRIM($Q808)&amp;" ")-1)),0),0))</f>
        <v>0</v>
      </c>
      <c r="V808" s="109">
        <f t="shared" si="144"/>
        <v>2</v>
      </c>
      <c r="W808" s="108">
        <f>IF($A808="",0,IF(AND($C808&gt;=Config!$C$7,$C808&lt;=Config!$C$8),1,0))</f>
        <v>1</v>
      </c>
      <c r="X808" s="108">
        <f>IF($A808="",0,IF(COUNTIF(Config!$C$21:$C$23,$H808)&gt;0,1,0))</f>
        <v>0</v>
      </c>
      <c r="Y808" s="108">
        <f t="shared" si="145"/>
        <v>22</v>
      </c>
      <c r="Z808" s="108" t="str">
        <f t="shared" si="146"/>
        <v/>
      </c>
      <c r="AB808" s="108">
        <f t="shared" si="147"/>
        <v>0</v>
      </c>
      <c r="AC808" s="108">
        <f>IF($A808="",0,IF(AND($AB808=1,COUNTIF($A$2:$A808,$A808)=1),1,0))</f>
        <v>0</v>
      </c>
      <c r="AD808" s="108">
        <f t="shared" si="148"/>
        <v>1</v>
      </c>
      <c r="AE808" s="108" t="str">
        <f t="shared" si="149"/>
        <v/>
      </c>
      <c r="AF808" s="108">
        <f t="shared" si="150"/>
        <v>0</v>
      </c>
      <c r="AG808" s="108">
        <f t="shared" si="151"/>
        <v>0</v>
      </c>
      <c r="AH808" s="110" t="str">
        <f t="shared" si="152"/>
        <v>J S Bermudez|20260831|Title|0.250|Located the patent and started running the chain backwards. I’m currently somewhat stuck on a few parties, so I’ve start</v>
      </c>
      <c r="AI808" s="108">
        <f t="shared" si="153"/>
        <v>0</v>
      </c>
      <c r="AJ808" s="108">
        <f t="shared" si="154"/>
        <v>0</v>
      </c>
      <c r="AK808" s="108">
        <f>IF($A808="",0,IF(AND($S808=1,$W808=1,$X808=1,$U808&gt;Config!$C$9),1,0))</f>
        <v>0</v>
      </c>
      <c r="AL808" s="108">
        <f t="shared" si="155"/>
        <v>0</v>
      </c>
    </row>
    <row r="809" spans="1:38" x14ac:dyDescent="0.25">
      <c r="A809" s="106" t="s">
        <v>475</v>
      </c>
      <c r="B809" s="106" t="s">
        <v>618</v>
      </c>
      <c r="C809" s="107">
        <v>46265</v>
      </c>
      <c r="D809" s="106" t="s">
        <v>529</v>
      </c>
      <c r="E809" s="106" t="s">
        <v>529</v>
      </c>
      <c r="F809" s="106" t="s">
        <v>615</v>
      </c>
      <c r="G809" s="106"/>
      <c r="H809" s="106" t="s">
        <v>529</v>
      </c>
      <c r="I809" s="106"/>
      <c r="J809" s="106" t="s">
        <v>1012</v>
      </c>
      <c r="K809" s="106">
        <v>0</v>
      </c>
      <c r="L809" s="106">
        <v>0</v>
      </c>
      <c r="M809" s="106">
        <v>0</v>
      </c>
      <c r="N809" s="106"/>
      <c r="O809" s="106"/>
      <c r="P809" s="106">
        <v>0</v>
      </c>
      <c r="Q809" s="106" t="s">
        <v>661</v>
      </c>
      <c r="S809" s="108">
        <f>IF($A809="","",COUNTIF(BPOworkers!$B$6:$B$105,$A809))</f>
        <v>1</v>
      </c>
      <c r="T809" s="109">
        <f>IF($A809="","",$K809*Config!$C$9)</f>
        <v>0</v>
      </c>
      <c r="U809" s="109">
        <f>IF($A809="","",IF(COUNTIF(Config!$C$21:$C$23,$H809)&gt;0,IFERROR(VALUE(LEFT(TRIM($Q809),FIND(" ",TRIM($Q809)&amp;" ")-1)),0),0))</f>
        <v>8</v>
      </c>
      <c r="V809" s="109">
        <f t="shared" si="144"/>
        <v>8</v>
      </c>
      <c r="W809" s="108">
        <f>IF($A809="",0,IF(AND($C809&gt;=Config!$C$7,$C809&lt;=Config!$C$8),1,0))</f>
        <v>1</v>
      </c>
      <c r="X809" s="108">
        <f>IF($A809="",0,IF(COUNTIF(Config!$C$21:$C$23,$H809)&gt;0,1,0))</f>
        <v>1</v>
      </c>
      <c r="Y809" s="108">
        <f t="shared" si="145"/>
        <v>23</v>
      </c>
      <c r="Z809" s="108">
        <f t="shared" si="146"/>
        <v>23</v>
      </c>
      <c r="AB809" s="108">
        <f t="shared" si="147"/>
        <v>0</v>
      </c>
      <c r="AC809" s="108">
        <f>IF($A809="",0,IF(AND($AB809=1,COUNTIF($A$2:$A809,$A809)=1),1,0))</f>
        <v>0</v>
      </c>
      <c r="AD809" s="108">
        <f t="shared" si="148"/>
        <v>1</v>
      </c>
      <c r="AE809" s="108" t="str">
        <f t="shared" si="149"/>
        <v/>
      </c>
      <c r="AF809" s="108">
        <f t="shared" si="150"/>
        <v>0</v>
      </c>
      <c r="AG809" s="108">
        <f t="shared" si="151"/>
        <v>0</v>
      </c>
      <c r="AH809" s="110" t="str">
        <f t="shared" si="152"/>
        <v>L Alfonso|20260831|Time Off|0.000|8 hours not billed</v>
      </c>
      <c r="AI809" s="108">
        <f t="shared" si="153"/>
        <v>0</v>
      </c>
      <c r="AJ809" s="108">
        <f t="shared" si="154"/>
        <v>0</v>
      </c>
      <c r="AK809" s="108">
        <f>IF($A809="",0,IF(AND($S809=1,$W809=1,$X809=1,$U809&gt;Config!$C$9),1,0))</f>
        <v>0</v>
      </c>
      <c r="AL809" s="108">
        <f t="shared" si="155"/>
        <v>0</v>
      </c>
    </row>
    <row r="810" spans="1:38" x14ac:dyDescent="0.25">
      <c r="A810" s="106" t="s">
        <v>477</v>
      </c>
      <c r="B810" s="106" t="s">
        <v>618</v>
      </c>
      <c r="C810" s="107">
        <v>46265</v>
      </c>
      <c r="D810" s="106" t="s">
        <v>529</v>
      </c>
      <c r="E810" s="106" t="s">
        <v>529</v>
      </c>
      <c r="F810" s="106" t="s">
        <v>615</v>
      </c>
      <c r="G810" s="106"/>
      <c r="H810" s="106" t="s">
        <v>531</v>
      </c>
      <c r="I810" s="106"/>
      <c r="J810" s="106" t="s">
        <v>756</v>
      </c>
      <c r="K810" s="106">
        <v>0</v>
      </c>
      <c r="L810" s="106">
        <v>0</v>
      </c>
      <c r="M810" s="106">
        <v>0</v>
      </c>
      <c r="N810" s="106"/>
      <c r="O810" s="106"/>
      <c r="P810" s="106">
        <v>0</v>
      </c>
      <c r="Q810" s="106" t="s">
        <v>757</v>
      </c>
      <c r="S810" s="108">
        <f>IF($A810="","",COUNTIF(BPOworkers!$B$6:$B$105,$A810))</f>
        <v>1</v>
      </c>
      <c r="T810" s="109">
        <f>IF($A810="","",$K810*Config!$C$9)</f>
        <v>0</v>
      </c>
      <c r="U810" s="109">
        <f>IF($A810="","",IF(COUNTIF(Config!$C$21:$C$23,$H810)&gt;0,IFERROR(VALUE(LEFT(TRIM($Q810),FIND(" ",TRIM($Q810)&amp;" ")-1)),0),0))</f>
        <v>8</v>
      </c>
      <c r="V810" s="109">
        <f t="shared" si="144"/>
        <v>8</v>
      </c>
      <c r="W810" s="108">
        <f>IF($A810="",0,IF(AND($C810&gt;=Config!$C$7,$C810&lt;=Config!$C$8),1,0))</f>
        <v>1</v>
      </c>
      <c r="X810" s="108">
        <f>IF($A810="",0,IF(COUNTIF(Config!$C$21:$C$23,$H810)&gt;0,1,0))</f>
        <v>1</v>
      </c>
      <c r="Y810" s="108">
        <f t="shared" si="145"/>
        <v>24</v>
      </c>
      <c r="Z810" s="108">
        <f t="shared" si="146"/>
        <v>24</v>
      </c>
      <c r="AB810" s="108">
        <f t="shared" si="147"/>
        <v>0</v>
      </c>
      <c r="AC810" s="108">
        <f>IF($A810="",0,IF(AND($AB810=1,COUNTIF($A$2:$A810,$A810)=1),1,0))</f>
        <v>0</v>
      </c>
      <c r="AD810" s="108">
        <f t="shared" si="148"/>
        <v>1</v>
      </c>
      <c r="AE810" s="108" t="str">
        <f t="shared" si="149"/>
        <v/>
      </c>
      <c r="AF810" s="108">
        <f t="shared" si="150"/>
        <v>0</v>
      </c>
      <c r="AG810" s="108">
        <f t="shared" si="151"/>
        <v>0</v>
      </c>
      <c r="AH810" s="110" t="str">
        <f t="shared" si="152"/>
        <v>L Escobar|20260831|BPO Vacation|0.000|8 hours of paid vacations</v>
      </c>
      <c r="AI810" s="108">
        <f t="shared" si="153"/>
        <v>0</v>
      </c>
      <c r="AJ810" s="108">
        <f t="shared" si="154"/>
        <v>0</v>
      </c>
      <c r="AK810" s="108">
        <f>IF($A810="",0,IF(AND($S810=1,$W810=1,$X810=1,$U810&gt;Config!$C$9),1,0))</f>
        <v>0</v>
      </c>
      <c r="AL810" s="108">
        <f t="shared" si="155"/>
        <v>0</v>
      </c>
    </row>
    <row r="811" spans="1:38" x14ac:dyDescent="0.25">
      <c r="A811" s="106" t="s">
        <v>483</v>
      </c>
      <c r="B811" s="106" t="s">
        <v>618</v>
      </c>
      <c r="C811" s="107">
        <v>46265</v>
      </c>
      <c r="D811" s="106" t="s">
        <v>694</v>
      </c>
      <c r="E811" s="106" t="s">
        <v>765</v>
      </c>
      <c r="F811" s="106" t="s">
        <v>766</v>
      </c>
      <c r="G811" s="106" t="s">
        <v>1295</v>
      </c>
      <c r="H811" s="106" t="s">
        <v>765</v>
      </c>
      <c r="I811" s="106"/>
      <c r="J811" s="106" t="s">
        <v>807</v>
      </c>
      <c r="K811" s="106">
        <v>1</v>
      </c>
      <c r="L811" s="106">
        <v>0</v>
      </c>
      <c r="M811" s="106">
        <v>0</v>
      </c>
      <c r="N811" s="106"/>
      <c r="O811" s="106"/>
      <c r="P811" s="106">
        <v>0</v>
      </c>
      <c r="Q811" s="106" t="s">
        <v>1569</v>
      </c>
      <c r="S811" s="108">
        <f>IF($A811="","",COUNTIF(BPOworkers!$B$6:$B$105,$A811))</f>
        <v>1</v>
      </c>
      <c r="T811" s="109">
        <f>IF($A811="","",$K811*Config!$C$9)</f>
        <v>8</v>
      </c>
      <c r="U811" s="109">
        <f>IF($A811="","",IF(COUNTIF(Config!$C$21:$C$23,$H811)&gt;0,IFERROR(VALUE(LEFT(TRIM($Q811),FIND(" ",TRIM($Q811)&amp;" ")-1)),0),0))</f>
        <v>0</v>
      </c>
      <c r="V811" s="109">
        <f t="shared" si="144"/>
        <v>8</v>
      </c>
      <c r="W811" s="108">
        <f>IF($A811="",0,IF(AND($C811&gt;=Config!$C$7,$C811&lt;=Config!$C$8),1,0))</f>
        <v>1</v>
      </c>
      <c r="X811" s="108">
        <f>IF($A811="",0,IF(COUNTIF(Config!$C$21:$C$23,$H811)&gt;0,1,0))</f>
        <v>0</v>
      </c>
      <c r="Y811" s="108">
        <f t="shared" si="145"/>
        <v>24</v>
      </c>
      <c r="Z811" s="108" t="str">
        <f t="shared" si="146"/>
        <v/>
      </c>
      <c r="AB811" s="108">
        <f t="shared" si="147"/>
        <v>0</v>
      </c>
      <c r="AC811" s="108">
        <f>IF($A811="",0,IF(AND($AB811=1,COUNTIF($A$2:$A811,$A811)=1),1,0))</f>
        <v>0</v>
      </c>
      <c r="AD811" s="108">
        <f t="shared" si="148"/>
        <v>1</v>
      </c>
      <c r="AE811" s="108" t="str">
        <f t="shared" si="149"/>
        <v/>
      </c>
      <c r="AF811" s="108">
        <f t="shared" si="150"/>
        <v>0</v>
      </c>
      <c r="AG811" s="108">
        <f t="shared" si="151"/>
        <v>0</v>
      </c>
      <c r="AH811" s="110" t="str">
        <f t="shared" si="152"/>
        <v>M Lopez|20260831|Lease Bringdown|1.000|Today, I finished reviewing the mineral interests for all the leases. Additionally, per the PMs' instructions not to inc</v>
      </c>
      <c r="AI811" s="108">
        <f t="shared" si="153"/>
        <v>0</v>
      </c>
      <c r="AJ811" s="108">
        <f t="shared" si="154"/>
        <v>0</v>
      </c>
      <c r="AK811" s="108">
        <f>IF($A811="",0,IF(AND($S811=1,$W811=1,$X811=1,$U811&gt;Config!$C$9),1,0))</f>
        <v>0</v>
      </c>
      <c r="AL811" s="108">
        <f t="shared" si="155"/>
        <v>0</v>
      </c>
    </row>
    <row r="812" spans="1:38" x14ac:dyDescent="0.25">
      <c r="A812" s="106" t="s">
        <v>484</v>
      </c>
      <c r="B812" s="106" t="s">
        <v>618</v>
      </c>
      <c r="C812" s="107">
        <v>46265</v>
      </c>
      <c r="D812" s="106" t="s">
        <v>712</v>
      </c>
      <c r="E812" s="106" t="s">
        <v>713</v>
      </c>
      <c r="F812" s="106" t="s">
        <v>866</v>
      </c>
      <c r="G812" s="106" t="s">
        <v>867</v>
      </c>
      <c r="H812" s="106" t="s">
        <v>631</v>
      </c>
      <c r="I812" s="106"/>
      <c r="J812" s="106" t="s">
        <v>1298</v>
      </c>
      <c r="K812" s="106">
        <v>1</v>
      </c>
      <c r="L812" s="106">
        <v>0</v>
      </c>
      <c r="M812" s="106">
        <v>0</v>
      </c>
      <c r="N812" s="106"/>
      <c r="O812" s="106"/>
      <c r="P812" s="106">
        <v>0</v>
      </c>
      <c r="Q812" s="106" t="s">
        <v>1570</v>
      </c>
      <c r="S812" s="108">
        <f>IF($A812="","",COUNTIF(BPOworkers!$B$6:$B$105,$A812))</f>
        <v>1</v>
      </c>
      <c r="T812" s="109">
        <f>IF($A812="","",$K812*Config!$C$9)</f>
        <v>8</v>
      </c>
      <c r="U812" s="109">
        <f>IF($A812="","",IF(COUNTIF(Config!$C$21:$C$23,$H812)&gt;0,IFERROR(VALUE(LEFT(TRIM($Q812),FIND(" ",TRIM($Q812)&amp;" ")-1)),0),0))</f>
        <v>0</v>
      </c>
      <c r="V812" s="109">
        <f t="shared" si="144"/>
        <v>8</v>
      </c>
      <c r="W812" s="108">
        <f>IF($A812="",0,IF(AND($C812&gt;=Config!$C$7,$C812&lt;=Config!$C$8),1,0))</f>
        <v>1</v>
      </c>
      <c r="X812" s="108">
        <f>IF($A812="",0,IF(COUNTIF(Config!$C$21:$C$23,$H812)&gt;0,1,0))</f>
        <v>0</v>
      </c>
      <c r="Y812" s="108">
        <f t="shared" si="145"/>
        <v>24</v>
      </c>
      <c r="Z812" s="108" t="str">
        <f t="shared" si="146"/>
        <v/>
      </c>
      <c r="AB812" s="108">
        <f t="shared" si="147"/>
        <v>0</v>
      </c>
      <c r="AC812" s="108">
        <f>IF($A812="",0,IF(AND($AB812=1,COUNTIF($A$2:$A812,$A812)=1),1,0))</f>
        <v>0</v>
      </c>
      <c r="AD812" s="108">
        <f t="shared" si="148"/>
        <v>1</v>
      </c>
      <c r="AE812" s="108" t="str">
        <f t="shared" si="149"/>
        <v/>
      </c>
      <c r="AF812" s="108">
        <f t="shared" si="150"/>
        <v>0</v>
      </c>
      <c r="AG812" s="108">
        <f t="shared" si="151"/>
        <v>0</v>
      </c>
      <c r="AH812" s="110" t="str">
        <f t="shared" si="152"/>
        <v>M Verdooren|20260831|Title|1.000|Connected 50% of the chain of title (40 notecards, more or less) and indexed 2 parties relevant to the chain of title, f</v>
      </c>
      <c r="AI812" s="108">
        <f t="shared" si="153"/>
        <v>0</v>
      </c>
      <c r="AJ812" s="108">
        <f t="shared" si="154"/>
        <v>0</v>
      </c>
      <c r="AK812" s="108">
        <f>IF($A812="",0,IF(AND($S812=1,$W812=1,$X812=1,$U812&gt;Config!$C$9),1,0))</f>
        <v>0</v>
      </c>
      <c r="AL812" s="108">
        <f t="shared" si="155"/>
        <v>0</v>
      </c>
    </row>
    <row r="813" spans="1:38" ht="108.75" x14ac:dyDescent="0.25">
      <c r="A813" s="106" t="s">
        <v>481</v>
      </c>
      <c r="B813" s="106" t="s">
        <v>618</v>
      </c>
      <c r="C813" s="107">
        <v>46265</v>
      </c>
      <c r="D813" s="106" t="s">
        <v>623</v>
      </c>
      <c r="E813" s="106" t="s">
        <v>624</v>
      </c>
      <c r="F813" s="106" t="s">
        <v>615</v>
      </c>
      <c r="G813" s="106" t="s">
        <v>625</v>
      </c>
      <c r="H813" s="106" t="s">
        <v>671</v>
      </c>
      <c r="I813" s="106" t="s">
        <v>657</v>
      </c>
      <c r="J813" s="106"/>
      <c r="K813" s="106">
        <v>1</v>
      </c>
      <c r="L813" s="106">
        <v>0</v>
      </c>
      <c r="M813" s="106">
        <v>0</v>
      </c>
      <c r="N813" s="106"/>
      <c r="O813" s="106"/>
      <c r="P813" s="106">
        <v>0</v>
      </c>
      <c r="Q813" s="111" t="s">
        <v>1571</v>
      </c>
      <c r="S813" s="108">
        <f>IF($A813="","",COUNTIF(BPOworkers!$B$6:$B$105,$A813))</f>
        <v>1</v>
      </c>
      <c r="T813" s="109">
        <f>IF($A813="","",$K813*Config!$C$9)</f>
        <v>8</v>
      </c>
      <c r="U813" s="109">
        <f>IF($A813="","",IF(COUNTIF(Config!$C$21:$C$23,$H813)&gt;0,IFERROR(VALUE(LEFT(TRIM($Q813),FIND(" ",TRIM($Q813)&amp;" ")-1)),0),0))</f>
        <v>0</v>
      </c>
      <c r="V813" s="109">
        <f t="shared" si="144"/>
        <v>8</v>
      </c>
      <c r="W813" s="108">
        <f>IF($A813="",0,IF(AND($C813&gt;=Config!$C$7,$C813&lt;=Config!$C$8),1,0))</f>
        <v>1</v>
      </c>
      <c r="X813" s="108">
        <f>IF($A813="",0,IF(COUNTIF(Config!$C$21:$C$23,$H813)&gt;0,1,0))</f>
        <v>0</v>
      </c>
      <c r="Y813" s="108">
        <f t="shared" si="145"/>
        <v>24</v>
      </c>
      <c r="Z813" s="108" t="str">
        <f t="shared" si="146"/>
        <v/>
      </c>
      <c r="AB813" s="108">
        <f t="shared" si="147"/>
        <v>0</v>
      </c>
      <c r="AC813" s="108">
        <f>IF($A813="",0,IF(AND($AB813=1,COUNTIF($A$2:$A813,$A813)=1),1,0))</f>
        <v>0</v>
      </c>
      <c r="AD813" s="108">
        <f t="shared" si="148"/>
        <v>1</v>
      </c>
      <c r="AE813" s="108" t="str">
        <f t="shared" si="149"/>
        <v/>
      </c>
      <c r="AF813" s="108">
        <f t="shared" si="150"/>
        <v>0</v>
      </c>
      <c r="AG813" s="108">
        <f t="shared" si="151"/>
        <v>0</v>
      </c>
      <c r="AH813" s="112" t="str">
        <f t="shared" si="152"/>
        <v>M Fernandez|20260831|TitleNotes - Library|1.000|39 documents
 55 transactions</v>
      </c>
      <c r="AI813" s="108">
        <f t="shared" si="153"/>
        <v>0</v>
      </c>
      <c r="AJ813" s="108">
        <f t="shared" si="154"/>
        <v>0</v>
      </c>
      <c r="AK813" s="108">
        <f>IF($A813="",0,IF(AND($S813=1,$W813=1,$X813=1,$U813&gt;Config!$C$9),1,0))</f>
        <v>0</v>
      </c>
      <c r="AL813" s="108">
        <f t="shared" si="155"/>
        <v>0</v>
      </c>
    </row>
    <row r="814" spans="1:38" ht="120.75" x14ac:dyDescent="0.25">
      <c r="A814" s="106" t="s">
        <v>462</v>
      </c>
      <c r="B814" s="106" t="s">
        <v>614</v>
      </c>
      <c r="C814" s="107">
        <v>46265</v>
      </c>
      <c r="D814" s="106" t="s">
        <v>669</v>
      </c>
      <c r="E814" s="106" t="s">
        <v>669</v>
      </c>
      <c r="F814" s="106" t="s">
        <v>670</v>
      </c>
      <c r="G814" s="106"/>
      <c r="H814" s="106" t="s">
        <v>671</v>
      </c>
      <c r="I814" s="106"/>
      <c r="J814" s="106"/>
      <c r="K814" s="106">
        <v>1</v>
      </c>
      <c r="L814" s="106">
        <v>0</v>
      </c>
      <c r="M814" s="106">
        <v>0</v>
      </c>
      <c r="N814" s="106"/>
      <c r="O814" s="106"/>
      <c r="P814" s="106">
        <v>0</v>
      </c>
      <c r="Q814" s="111" t="s">
        <v>1572</v>
      </c>
      <c r="S814" s="108">
        <f>IF($A814="","",COUNTIF(BPOworkers!$B$6:$B$105,$A814))</f>
        <v>1</v>
      </c>
      <c r="T814" s="109">
        <f>IF($A814="","",$K814*Config!$C$9)</f>
        <v>8</v>
      </c>
      <c r="U814" s="109">
        <f>IF($A814="","",IF(COUNTIF(Config!$C$21:$C$23,$H814)&gt;0,IFERROR(VALUE(LEFT(TRIM($Q814),FIND(" ",TRIM($Q814)&amp;" ")-1)),0),0))</f>
        <v>0</v>
      </c>
      <c r="V814" s="109">
        <f t="shared" si="144"/>
        <v>8</v>
      </c>
      <c r="W814" s="108">
        <f>IF($A814="",0,IF(AND($C814&gt;=Config!$C$7,$C814&lt;=Config!$C$8),1,0))</f>
        <v>1</v>
      </c>
      <c r="X814" s="108">
        <f>IF($A814="",0,IF(COUNTIF(Config!$C$21:$C$23,$H814)&gt;0,1,0))</f>
        <v>0</v>
      </c>
      <c r="Y814" s="108">
        <f t="shared" si="145"/>
        <v>24</v>
      </c>
      <c r="Z814" s="108" t="str">
        <f t="shared" si="146"/>
        <v/>
      </c>
      <c r="AB814" s="108">
        <f t="shared" si="147"/>
        <v>0</v>
      </c>
      <c r="AC814" s="108">
        <f>IF($A814="",0,IF(AND($AB814=1,COUNTIF($A$2:$A814,$A814)=1),1,0))</f>
        <v>0</v>
      </c>
      <c r="AD814" s="108">
        <f t="shared" si="148"/>
        <v>1</v>
      </c>
      <c r="AE814" s="108" t="str">
        <f t="shared" si="149"/>
        <v/>
      </c>
      <c r="AF814" s="108">
        <f t="shared" si="150"/>
        <v>0</v>
      </c>
      <c r="AG814" s="108">
        <f t="shared" si="151"/>
        <v>0</v>
      </c>
      <c r="AH814" s="112" t="str">
        <f t="shared" si="152"/>
        <v>F Montañez|20260831|TitleNotes - Library|1.000|30 Notecards aprox
 100 transactions aprox</v>
      </c>
      <c r="AI814" s="108">
        <f t="shared" si="153"/>
        <v>0</v>
      </c>
      <c r="AJ814" s="108">
        <f t="shared" si="154"/>
        <v>0</v>
      </c>
      <c r="AK814" s="108">
        <f>IF($A814="",0,IF(AND($S814=1,$W814=1,$X814=1,$U814&gt;Config!$C$9),1,0))</f>
        <v>0</v>
      </c>
      <c r="AL814" s="108">
        <f t="shared" si="155"/>
        <v>0</v>
      </c>
    </row>
    <row r="815" spans="1:38" ht="108.75" x14ac:dyDescent="0.25">
      <c r="A815" s="106" t="s">
        <v>462</v>
      </c>
      <c r="B815" s="106" t="s">
        <v>618</v>
      </c>
      <c r="C815" s="107">
        <v>46265</v>
      </c>
      <c r="D815" s="106" t="s">
        <v>669</v>
      </c>
      <c r="E815" s="106" t="s">
        <v>669</v>
      </c>
      <c r="F815" s="106" t="s">
        <v>670</v>
      </c>
      <c r="G815" s="106"/>
      <c r="H815" s="106" t="s">
        <v>671</v>
      </c>
      <c r="I815" s="106"/>
      <c r="J815" s="106"/>
      <c r="K815" s="106">
        <v>1</v>
      </c>
      <c r="L815" s="106">
        <v>0</v>
      </c>
      <c r="M815" s="106">
        <v>0</v>
      </c>
      <c r="N815" s="106"/>
      <c r="O815" s="106"/>
      <c r="P815" s="106">
        <v>0</v>
      </c>
      <c r="Q815" s="111" t="s">
        <v>1573</v>
      </c>
      <c r="S815" s="108">
        <f>IF($A815="","",COUNTIF(BPOworkers!$B$6:$B$105,$A815))</f>
        <v>1</v>
      </c>
      <c r="T815" s="109">
        <f>IF($A815="","",$K815*Config!$C$9)</f>
        <v>8</v>
      </c>
      <c r="U815" s="109">
        <f>IF($A815="","",IF(COUNTIF(Config!$C$21:$C$23,$H815)&gt;0,IFERROR(VALUE(LEFT(TRIM($Q815),FIND(" ",TRIM($Q815)&amp;" ")-1)),0),0))</f>
        <v>0</v>
      </c>
      <c r="V815" s="109">
        <f t="shared" si="144"/>
        <v>8</v>
      </c>
      <c r="W815" s="108">
        <f>IF($A815="",0,IF(AND($C815&gt;=Config!$C$7,$C815&lt;=Config!$C$8),1,0))</f>
        <v>1</v>
      </c>
      <c r="X815" s="108">
        <f>IF($A815="",0,IF(COUNTIF(Config!$C$21:$C$23,$H815)&gt;0,1,0))</f>
        <v>0</v>
      </c>
      <c r="Y815" s="108">
        <f t="shared" si="145"/>
        <v>24</v>
      </c>
      <c r="Z815" s="108" t="str">
        <f t="shared" si="146"/>
        <v/>
      </c>
      <c r="AB815" s="108">
        <f t="shared" si="147"/>
        <v>0</v>
      </c>
      <c r="AC815" s="108">
        <f>IF($A815="",0,IF(AND($AB815=1,COUNTIF($A$2:$A815,$A815)=1),1,0))</f>
        <v>0</v>
      </c>
      <c r="AD815" s="108">
        <f t="shared" si="148"/>
        <v>1</v>
      </c>
      <c r="AE815" s="108" t="str">
        <f t="shared" si="149"/>
        <v/>
      </c>
      <c r="AF815" s="108">
        <f t="shared" si="150"/>
        <v>0</v>
      </c>
      <c r="AG815" s="108">
        <f t="shared" si="151"/>
        <v>0</v>
      </c>
      <c r="AH815" s="112" t="str">
        <f t="shared" si="152"/>
        <v>F Montañez|20260831|TitleNotes - Library|1.000|37 documents
 67 transactions</v>
      </c>
      <c r="AI815" s="108">
        <f t="shared" si="153"/>
        <v>0</v>
      </c>
      <c r="AJ815" s="108">
        <f t="shared" si="154"/>
        <v>0</v>
      </c>
      <c r="AK815" s="108">
        <f>IF($A815="",0,IF(AND($S815=1,$W815=1,$X815=1,$U815&gt;Config!$C$9),1,0))</f>
        <v>0</v>
      </c>
      <c r="AL815" s="108">
        <f t="shared" si="155"/>
        <v>0</v>
      </c>
    </row>
    <row r="816" spans="1:38" ht="192.75" x14ac:dyDescent="0.25">
      <c r="A816" s="106" t="s">
        <v>459</v>
      </c>
      <c r="B816" s="106" t="s">
        <v>618</v>
      </c>
      <c r="C816" s="107">
        <v>46265</v>
      </c>
      <c r="D816" s="106" t="s">
        <v>669</v>
      </c>
      <c r="E816" s="106" t="s">
        <v>669</v>
      </c>
      <c r="F816" s="106" t="s">
        <v>670</v>
      </c>
      <c r="G816" s="106"/>
      <c r="H816" s="106" t="s">
        <v>671</v>
      </c>
      <c r="I816" s="106"/>
      <c r="J816" s="106"/>
      <c r="K816" s="106">
        <v>1</v>
      </c>
      <c r="L816" s="106">
        <v>0</v>
      </c>
      <c r="M816" s="106">
        <v>0</v>
      </c>
      <c r="N816" s="106"/>
      <c r="O816" s="106"/>
      <c r="P816" s="106">
        <v>0</v>
      </c>
      <c r="Q816" s="111" t="s">
        <v>1574</v>
      </c>
      <c r="S816" s="108">
        <f>IF($A816="","",COUNTIF(BPOworkers!$B$6:$B$105,$A816))</f>
        <v>0</v>
      </c>
      <c r="T816" s="109">
        <f>IF($A816="","",$K816*Config!$C$9)</f>
        <v>8</v>
      </c>
      <c r="U816" s="109">
        <f>IF($A816="","",IF(COUNTIF(Config!$C$21:$C$23,$H816)&gt;0,IFERROR(VALUE(LEFT(TRIM($Q816),FIND(" ",TRIM($Q816)&amp;" ")-1)),0),0))</f>
        <v>0</v>
      </c>
      <c r="V816" s="109">
        <f t="shared" si="144"/>
        <v>8</v>
      </c>
      <c r="W816" s="108">
        <f>IF($A816="",0,IF(AND($C816&gt;=Config!$C$7,$C816&lt;=Config!$C$8),1,0))</f>
        <v>1</v>
      </c>
      <c r="X816" s="108">
        <f>IF($A816="",0,IF(COUNTIF(Config!$C$21:$C$23,$H816)&gt;0,1,0))</f>
        <v>0</v>
      </c>
      <c r="Y816" s="108">
        <f t="shared" si="145"/>
        <v>24</v>
      </c>
      <c r="Z816" s="108" t="str">
        <f t="shared" si="146"/>
        <v/>
      </c>
      <c r="AB816" s="108">
        <f t="shared" si="147"/>
        <v>1</v>
      </c>
      <c r="AC816" s="108">
        <f>IF($A816="",0,IF(AND($AB816=1,COUNTIF($A$2:$A816,$A816)=1),1,0))</f>
        <v>0</v>
      </c>
      <c r="AD816" s="108">
        <f t="shared" si="148"/>
        <v>1</v>
      </c>
      <c r="AE816" s="108" t="str">
        <f t="shared" si="149"/>
        <v/>
      </c>
      <c r="AF816" s="108">
        <f t="shared" si="150"/>
        <v>0</v>
      </c>
      <c r="AG816" s="108">
        <f t="shared" si="151"/>
        <v>0</v>
      </c>
      <c r="AH816" s="112" t="str">
        <f t="shared" si="152"/>
        <v>C Lara|20260831|TitleNotes - Library|1.000|45-50 notecards approximately. 
 Notecard with the most transactions had 37.
 Title Notes was down for an hour by the en</v>
      </c>
      <c r="AI816" s="108">
        <f t="shared" si="153"/>
        <v>0</v>
      </c>
      <c r="AJ816" s="108">
        <f t="shared" si="154"/>
        <v>0</v>
      </c>
      <c r="AK816" s="108">
        <f>IF($A816="",0,IF(AND($S816=1,$W816=1,$X816=1,$U816&gt;Config!$C$9),1,0))</f>
        <v>0</v>
      </c>
      <c r="AL816" s="108">
        <f t="shared" si="155"/>
        <v>0</v>
      </c>
    </row>
    <row r="817" spans="1:38" ht="132.75" x14ac:dyDescent="0.25">
      <c r="A817" s="106" t="s">
        <v>494</v>
      </c>
      <c r="B817" s="106" t="s">
        <v>618</v>
      </c>
      <c r="C817" s="107">
        <v>46265</v>
      </c>
      <c r="D817" s="106" t="s">
        <v>623</v>
      </c>
      <c r="E817" s="106" t="s">
        <v>624</v>
      </c>
      <c r="F817" s="106" t="s">
        <v>615</v>
      </c>
      <c r="G817" s="106" t="s">
        <v>625</v>
      </c>
      <c r="H817" s="106" t="s">
        <v>671</v>
      </c>
      <c r="I817" s="106" t="s">
        <v>657</v>
      </c>
      <c r="J817" s="106"/>
      <c r="K817" s="106">
        <v>1</v>
      </c>
      <c r="L817" s="106">
        <v>0</v>
      </c>
      <c r="M817" s="106">
        <v>0</v>
      </c>
      <c r="N817" s="106"/>
      <c r="O817" s="106"/>
      <c r="P817" s="106">
        <v>0</v>
      </c>
      <c r="Q817" s="111" t="s">
        <v>1575</v>
      </c>
      <c r="S817" s="108">
        <f>IF($A817="","",COUNTIF(BPOworkers!$B$6:$B$105,$A817))</f>
        <v>1</v>
      </c>
      <c r="T817" s="109">
        <f>IF($A817="","",$K817*Config!$C$9)</f>
        <v>8</v>
      </c>
      <c r="U817" s="109">
        <f>IF($A817="","",IF(COUNTIF(Config!$C$21:$C$23,$H817)&gt;0,IFERROR(VALUE(LEFT(TRIM($Q817),FIND(" ",TRIM($Q817)&amp;" ")-1)),0),0))</f>
        <v>0</v>
      </c>
      <c r="V817" s="109">
        <f t="shared" si="144"/>
        <v>8</v>
      </c>
      <c r="W817" s="108">
        <f>IF($A817="",0,IF(AND($C817&gt;=Config!$C$7,$C817&lt;=Config!$C$8),1,0))</f>
        <v>1</v>
      </c>
      <c r="X817" s="108">
        <f>IF($A817="",0,IF(COUNTIF(Config!$C$21:$C$23,$H817)&gt;0,1,0))</f>
        <v>0</v>
      </c>
      <c r="Y817" s="108">
        <f t="shared" si="145"/>
        <v>24</v>
      </c>
      <c r="Z817" s="108" t="str">
        <f t="shared" si="146"/>
        <v/>
      </c>
      <c r="AB817" s="108">
        <f t="shared" si="147"/>
        <v>0</v>
      </c>
      <c r="AC817" s="108">
        <f>IF($A817="",0,IF(AND($AB817=1,COUNTIF($A$2:$A817,$A817)=1),1,0))</f>
        <v>0</v>
      </c>
      <c r="AD817" s="108">
        <f t="shared" si="148"/>
        <v>1</v>
      </c>
      <c r="AE817" s="108" t="str">
        <f t="shared" si="149"/>
        <v/>
      </c>
      <c r="AF817" s="108">
        <f t="shared" si="150"/>
        <v>0</v>
      </c>
      <c r="AG817" s="108">
        <f t="shared" si="151"/>
        <v>0</v>
      </c>
      <c r="AH817" s="112" t="str">
        <f t="shared" si="152"/>
        <v>J Ramos|20260831|TitleNotes - Library|1.000|93 documents reviewed
 94 Transactions</v>
      </c>
      <c r="AI817" s="108">
        <f t="shared" si="153"/>
        <v>0</v>
      </c>
      <c r="AJ817" s="108">
        <f t="shared" si="154"/>
        <v>0</v>
      </c>
      <c r="AK817" s="108">
        <f>IF($A817="",0,IF(AND($S817=1,$W817=1,$X817=1,$U817&gt;Config!$C$9),1,0))</f>
        <v>0</v>
      </c>
      <c r="AL817" s="108">
        <f t="shared" si="155"/>
        <v>0</v>
      </c>
    </row>
    <row r="818" spans="1:38" ht="204.75" x14ac:dyDescent="0.25">
      <c r="A818" s="106" t="s">
        <v>493</v>
      </c>
      <c r="B818" s="106" t="s">
        <v>618</v>
      </c>
      <c r="C818" s="107">
        <v>46265</v>
      </c>
      <c r="D818" s="106" t="s">
        <v>712</v>
      </c>
      <c r="E818" s="106" t="s">
        <v>713</v>
      </c>
      <c r="F818" s="106" t="s">
        <v>866</v>
      </c>
      <c r="G818" s="106" t="s">
        <v>1090</v>
      </c>
      <c r="H818" s="106" t="s">
        <v>631</v>
      </c>
      <c r="I818" s="106"/>
      <c r="J818" s="106" t="s">
        <v>1576</v>
      </c>
      <c r="K818" s="106">
        <v>0.125</v>
      </c>
      <c r="L818" s="106">
        <v>0</v>
      </c>
      <c r="M818" s="106">
        <v>0</v>
      </c>
      <c r="N818" s="106"/>
      <c r="O818" s="106"/>
      <c r="P818" s="106">
        <v>0</v>
      </c>
      <c r="Q818" s="111" t="s">
        <v>1577</v>
      </c>
      <c r="S818" s="108">
        <f>IF($A818="","",COUNTIF(BPOworkers!$B$6:$B$105,$A818))</f>
        <v>1</v>
      </c>
      <c r="T818" s="109">
        <f>IF($A818="","",$K818*Config!$C$9)</f>
        <v>1</v>
      </c>
      <c r="U818" s="109">
        <f>IF($A818="","",IF(COUNTIF(Config!$C$21:$C$23,$H818)&gt;0,IFERROR(VALUE(LEFT(TRIM($Q818),FIND(" ",TRIM($Q818)&amp;" ")-1)),0),0))</f>
        <v>0</v>
      </c>
      <c r="V818" s="109">
        <f t="shared" si="144"/>
        <v>1</v>
      </c>
      <c r="W818" s="108">
        <f>IF($A818="",0,IF(AND($C818&gt;=Config!$C$7,$C818&lt;=Config!$C$8),1,0))</f>
        <v>1</v>
      </c>
      <c r="X818" s="108">
        <f>IF($A818="",0,IF(COUNTIF(Config!$C$21:$C$23,$H818)&gt;0,1,0))</f>
        <v>0</v>
      </c>
      <c r="Y818" s="108">
        <f t="shared" si="145"/>
        <v>24</v>
      </c>
      <c r="Z818" s="108" t="str">
        <f t="shared" si="146"/>
        <v/>
      </c>
      <c r="AB818" s="108">
        <f t="shared" si="147"/>
        <v>0</v>
      </c>
      <c r="AC818" s="108">
        <f>IF($A818="",0,IF(AND($AB818=1,COUNTIF($A$2:$A818,$A818)=1),1,0))</f>
        <v>0</v>
      </c>
      <c r="AD818" s="108">
        <f t="shared" si="148"/>
        <v>1</v>
      </c>
      <c r="AE818" s="108" t="str">
        <f t="shared" si="149"/>
        <v/>
      </c>
      <c r="AF818" s="108">
        <f t="shared" si="150"/>
        <v>0</v>
      </c>
      <c r="AG818" s="108">
        <f t="shared" si="151"/>
        <v>0</v>
      </c>
      <c r="AH818" s="112" t="str">
        <f t="shared" si="152"/>
        <v xml:space="preserve">J Macias|20260831|Title|0.125|Finished AOI with the landman statement and indexing spreadsheets
 # indexed parties: 3
 # notecards created: 2
</v>
      </c>
      <c r="AI818" s="108">
        <f t="shared" si="153"/>
        <v>0</v>
      </c>
      <c r="AJ818" s="108">
        <f t="shared" si="154"/>
        <v>0</v>
      </c>
      <c r="AK818" s="108">
        <f>IF($A818="",0,IF(AND($S818=1,$W818=1,$X818=1,$U818&gt;Config!$C$9),1,0))</f>
        <v>0</v>
      </c>
      <c r="AL818" s="108">
        <f t="shared" si="155"/>
        <v>0</v>
      </c>
    </row>
    <row r="819" spans="1:38" ht="132.75" x14ac:dyDescent="0.25">
      <c r="A819" s="106" t="s">
        <v>493</v>
      </c>
      <c r="B819" s="106" t="s">
        <v>618</v>
      </c>
      <c r="C819" s="107">
        <v>46265</v>
      </c>
      <c r="D819" s="106" t="s">
        <v>712</v>
      </c>
      <c r="E819" s="106" t="s">
        <v>713</v>
      </c>
      <c r="F819" s="106" t="s">
        <v>714</v>
      </c>
      <c r="G819" s="106" t="s">
        <v>1225</v>
      </c>
      <c r="H819" s="106" t="s">
        <v>631</v>
      </c>
      <c r="I819" s="106"/>
      <c r="J819" s="106" t="s">
        <v>1465</v>
      </c>
      <c r="K819" s="106">
        <v>0.875</v>
      </c>
      <c r="L819" s="106">
        <v>0</v>
      </c>
      <c r="M819" s="106">
        <v>0</v>
      </c>
      <c r="N819" s="106"/>
      <c r="O819" s="106"/>
      <c r="P819" s="106">
        <v>0</v>
      </c>
      <c r="Q819" s="111" t="s">
        <v>1578</v>
      </c>
      <c r="S819" s="108">
        <f>IF($A819="","",COUNTIF(BPOworkers!$B$6:$B$105,$A819))</f>
        <v>1</v>
      </c>
      <c r="T819" s="109">
        <f>IF($A819="","",$K819*Config!$C$9)</f>
        <v>7</v>
      </c>
      <c r="U819" s="109">
        <f>IF($A819="","",IF(COUNTIF(Config!$C$21:$C$23,$H819)&gt;0,IFERROR(VALUE(LEFT(TRIM($Q819),FIND(" ",TRIM($Q819)&amp;" ")-1)),0),0))</f>
        <v>0</v>
      </c>
      <c r="V819" s="109">
        <f t="shared" si="144"/>
        <v>7</v>
      </c>
      <c r="W819" s="108">
        <f>IF($A819="",0,IF(AND($C819&gt;=Config!$C$7,$C819&lt;=Config!$C$8),1,0))</f>
        <v>1</v>
      </c>
      <c r="X819" s="108">
        <f>IF($A819="",0,IF(COUNTIF(Config!$C$21:$C$23,$H819)&gt;0,1,0))</f>
        <v>0</v>
      </c>
      <c r="Y819" s="108">
        <f t="shared" si="145"/>
        <v>24</v>
      </c>
      <c r="Z819" s="108" t="str">
        <f t="shared" si="146"/>
        <v/>
      </c>
      <c r="AB819" s="108">
        <f t="shared" si="147"/>
        <v>0</v>
      </c>
      <c r="AC819" s="108">
        <f>IF($A819="",0,IF(AND($AB819=1,COUNTIF($A$2:$A819,$A819)=1),1,0))</f>
        <v>0</v>
      </c>
      <c r="AD819" s="108">
        <f t="shared" si="148"/>
        <v>1</v>
      </c>
      <c r="AE819" s="108" t="str">
        <f t="shared" si="149"/>
        <v/>
      </c>
      <c r="AF819" s="108">
        <f t="shared" si="150"/>
        <v>0</v>
      </c>
      <c r="AG819" s="108">
        <f t="shared" si="151"/>
        <v>0</v>
      </c>
      <c r="AH819" s="112" t="str">
        <f t="shared" si="152"/>
        <v>J Macias|20260831|Title|0.875|# indexed parties: 8
 # notecards created: 7
 # indexed docs: 100</v>
      </c>
      <c r="AI819" s="108">
        <f t="shared" si="153"/>
        <v>0</v>
      </c>
      <c r="AJ819" s="108">
        <f t="shared" si="154"/>
        <v>0</v>
      </c>
      <c r="AK819" s="108">
        <f>IF($A819="",0,IF(AND($S819=1,$W819=1,$X819=1,$U819&gt;Config!$C$9),1,0))</f>
        <v>0</v>
      </c>
      <c r="AL819" s="108">
        <f t="shared" si="155"/>
        <v>0</v>
      </c>
    </row>
    <row r="820" spans="1:38" ht="180.75" x14ac:dyDescent="0.25">
      <c r="A820" s="106" t="s">
        <v>496</v>
      </c>
      <c r="B820" s="106" t="s">
        <v>618</v>
      </c>
      <c r="C820" s="107">
        <v>46265</v>
      </c>
      <c r="D820" s="106" t="s">
        <v>623</v>
      </c>
      <c r="E820" s="106" t="s">
        <v>624</v>
      </c>
      <c r="F820" s="106" t="s">
        <v>615</v>
      </c>
      <c r="G820" s="106" t="s">
        <v>625</v>
      </c>
      <c r="H820" s="106" t="s">
        <v>671</v>
      </c>
      <c r="I820" s="106" t="s">
        <v>657</v>
      </c>
      <c r="J820" s="106"/>
      <c r="K820" s="106">
        <v>0.5</v>
      </c>
      <c r="L820" s="106">
        <v>0</v>
      </c>
      <c r="M820" s="106">
        <v>0</v>
      </c>
      <c r="N820" s="106"/>
      <c r="O820" s="106"/>
      <c r="P820" s="106">
        <v>0</v>
      </c>
      <c r="Q820" s="111" t="s">
        <v>1579</v>
      </c>
      <c r="S820" s="108">
        <f>IF($A820="","",COUNTIF(BPOworkers!$B$6:$B$105,$A820))</f>
        <v>1</v>
      </c>
      <c r="T820" s="109">
        <f>IF($A820="","",$K820*Config!$C$9)</f>
        <v>4</v>
      </c>
      <c r="U820" s="109">
        <f>IF($A820="","",IF(COUNTIF(Config!$C$21:$C$23,$H820)&gt;0,IFERROR(VALUE(LEFT(TRIM($Q820),FIND(" ",TRIM($Q820)&amp;" ")-1)),0),0))</f>
        <v>0</v>
      </c>
      <c r="V820" s="109">
        <f t="shared" si="144"/>
        <v>4</v>
      </c>
      <c r="W820" s="108">
        <f>IF($A820="",0,IF(AND($C820&gt;=Config!$C$7,$C820&lt;=Config!$C$8),1,0))</f>
        <v>1</v>
      </c>
      <c r="X820" s="108">
        <f>IF($A820="",0,IF(COUNTIF(Config!$C$21:$C$23,$H820)&gt;0,1,0))</f>
        <v>0</v>
      </c>
      <c r="Y820" s="108">
        <f t="shared" si="145"/>
        <v>24</v>
      </c>
      <c r="Z820" s="108" t="str">
        <f t="shared" si="146"/>
        <v/>
      </c>
      <c r="AB820" s="108">
        <f t="shared" si="147"/>
        <v>0</v>
      </c>
      <c r="AC820" s="108">
        <f>IF($A820="",0,IF(AND($AB820=1,COUNTIF($A$2:$A820,$A820)=1),1,0))</f>
        <v>0</v>
      </c>
      <c r="AD820" s="108">
        <f t="shared" si="148"/>
        <v>1</v>
      </c>
      <c r="AE820" s="108" t="str">
        <f t="shared" si="149"/>
        <v/>
      </c>
      <c r="AF820" s="108">
        <f t="shared" si="150"/>
        <v>0</v>
      </c>
      <c r="AG820" s="108">
        <f t="shared" si="151"/>
        <v>0</v>
      </c>
      <c r="AH820" s="112" t="str">
        <f t="shared" si="152"/>
        <v>N Espitia|20260831|TitleNotes - Library|0.500|- Completed 11 notecards
 - 1 notecard had 48 transactions
 - 1 notecard had 82 transactions
 - 1 notecard had 12 transa</v>
      </c>
      <c r="AI820" s="108">
        <f t="shared" si="153"/>
        <v>0</v>
      </c>
      <c r="AJ820" s="108">
        <f t="shared" si="154"/>
        <v>0</v>
      </c>
      <c r="AK820" s="108">
        <f>IF($A820="",0,IF(AND($S820=1,$W820=1,$X820=1,$U820&gt;Config!$C$9),1,0))</f>
        <v>0</v>
      </c>
      <c r="AL820" s="108">
        <f t="shared" si="155"/>
        <v>0</v>
      </c>
    </row>
    <row r="821" spans="1:38" ht="240.75" x14ac:dyDescent="0.25">
      <c r="A821" s="106" t="s">
        <v>496</v>
      </c>
      <c r="B821" s="106" t="s">
        <v>618</v>
      </c>
      <c r="C821" s="107">
        <v>46265</v>
      </c>
      <c r="D821" s="106" t="s">
        <v>902</v>
      </c>
      <c r="E821" s="106" t="s">
        <v>903</v>
      </c>
      <c r="F821" s="106" t="s">
        <v>1108</v>
      </c>
      <c r="G821" s="106" t="s">
        <v>1109</v>
      </c>
      <c r="H821" s="106" t="s">
        <v>639</v>
      </c>
      <c r="I821" s="106"/>
      <c r="J821" s="106"/>
      <c r="K821" s="106">
        <v>1</v>
      </c>
      <c r="L821" s="106">
        <v>0</v>
      </c>
      <c r="M821" s="106">
        <v>0</v>
      </c>
      <c r="N821" s="106"/>
      <c r="O821" s="106"/>
      <c r="P821" s="106">
        <v>0</v>
      </c>
      <c r="Q821" s="111" t="s">
        <v>1580</v>
      </c>
      <c r="S821" s="108">
        <f>IF($A821="","",COUNTIF(BPOworkers!$B$6:$B$105,$A821))</f>
        <v>1</v>
      </c>
      <c r="T821" s="109">
        <f>IF($A821="","",$K821*Config!$C$9)</f>
        <v>8</v>
      </c>
      <c r="U821" s="109">
        <f>IF($A821="","",IF(COUNTIF(Config!$C$21:$C$23,$H821)&gt;0,IFERROR(VALUE(LEFT(TRIM($Q821),FIND(" ",TRIM($Q821)&amp;" ")-1)),0),0))</f>
        <v>0</v>
      </c>
      <c r="V821" s="109">
        <f t="shared" si="144"/>
        <v>8</v>
      </c>
      <c r="W821" s="108">
        <f>IF($A821="",0,IF(AND($C821&gt;=Config!$C$7,$C821&lt;=Config!$C$8),1,0))</f>
        <v>1</v>
      </c>
      <c r="X821" s="108">
        <f>IF($A821="",0,IF(COUNTIF(Config!$C$21:$C$23,$H821)&gt;0,1,0))</f>
        <v>0</v>
      </c>
      <c r="Y821" s="108">
        <f t="shared" si="145"/>
        <v>24</v>
      </c>
      <c r="Z821" s="108" t="str">
        <f t="shared" si="146"/>
        <v/>
      </c>
      <c r="AB821" s="108">
        <f t="shared" si="147"/>
        <v>0</v>
      </c>
      <c r="AC821" s="108">
        <f>IF($A821="",0,IF(AND($AB821=1,COUNTIF($A$2:$A821,$A821)=1),1,0))</f>
        <v>0</v>
      </c>
      <c r="AD821" s="108">
        <f t="shared" si="148"/>
        <v>1</v>
      </c>
      <c r="AE821" s="108" t="str">
        <f t="shared" si="149"/>
        <v/>
      </c>
      <c r="AF821" s="108">
        <f t="shared" si="150"/>
        <v>0</v>
      </c>
      <c r="AG821" s="108">
        <f t="shared" si="151"/>
        <v>0</v>
      </c>
      <c r="AH821" s="112" t="str">
        <f t="shared" si="152"/>
        <v>N Espitia|20260831|Review|1.000|- Continued reviewing and correcting assignments following the client responses/corrections/changes
 - 25-35N-70W (E2E</v>
      </c>
      <c r="AI821" s="108">
        <f t="shared" si="153"/>
        <v>0</v>
      </c>
      <c r="AJ821" s="108">
        <f t="shared" si="154"/>
        <v>0</v>
      </c>
      <c r="AK821" s="108">
        <f>IF($A821="",0,IF(AND($S821=1,$W821=1,$X821=1,$U821&gt;Config!$C$9),1,0))</f>
        <v>0</v>
      </c>
      <c r="AL821" s="108">
        <f t="shared" si="155"/>
        <v>0</v>
      </c>
    </row>
    <row r="822" spans="1:38" ht="180.75" x14ac:dyDescent="0.25">
      <c r="A822" s="106" t="s">
        <v>491</v>
      </c>
      <c r="B822" s="106" t="s">
        <v>618</v>
      </c>
      <c r="C822" s="107">
        <v>46265</v>
      </c>
      <c r="D822" s="106" t="s">
        <v>623</v>
      </c>
      <c r="E822" s="106" t="s">
        <v>624</v>
      </c>
      <c r="F822" s="106" t="s">
        <v>615</v>
      </c>
      <c r="G822" s="106" t="s">
        <v>625</v>
      </c>
      <c r="H822" s="106" t="s">
        <v>671</v>
      </c>
      <c r="I822" s="106"/>
      <c r="J822" s="106"/>
      <c r="K822" s="106">
        <v>1</v>
      </c>
      <c r="L822" s="106">
        <v>0</v>
      </c>
      <c r="M822" s="106">
        <v>0</v>
      </c>
      <c r="N822" s="106"/>
      <c r="O822" s="106"/>
      <c r="P822" s="106">
        <v>0</v>
      </c>
      <c r="Q822" s="111" t="s">
        <v>1581</v>
      </c>
      <c r="S822" s="108">
        <f>IF($A822="","",COUNTIF(BPOworkers!$B$6:$B$105,$A822))</f>
        <v>1</v>
      </c>
      <c r="T822" s="109">
        <f>IF($A822="","",$K822*Config!$C$9)</f>
        <v>8</v>
      </c>
      <c r="U822" s="109">
        <f>IF($A822="","",IF(COUNTIF(Config!$C$21:$C$23,$H822)&gt;0,IFERROR(VALUE(LEFT(TRIM($Q822),FIND(" ",TRIM($Q822)&amp;" ")-1)),0),0))</f>
        <v>0</v>
      </c>
      <c r="V822" s="109">
        <f t="shared" si="144"/>
        <v>8</v>
      </c>
      <c r="W822" s="108">
        <f>IF($A822="",0,IF(AND($C822&gt;=Config!$C$7,$C822&lt;=Config!$C$8),1,0))</f>
        <v>1</v>
      </c>
      <c r="X822" s="108">
        <f>IF($A822="",0,IF(COUNTIF(Config!$C$21:$C$23,$H822)&gt;0,1,0))</f>
        <v>0</v>
      </c>
      <c r="Y822" s="108">
        <f t="shared" si="145"/>
        <v>24</v>
      </c>
      <c r="Z822" s="108" t="str">
        <f t="shared" si="146"/>
        <v/>
      </c>
      <c r="AB822" s="108">
        <f t="shared" si="147"/>
        <v>0</v>
      </c>
      <c r="AC822" s="108">
        <f>IF($A822="",0,IF(AND($AB822=1,COUNTIF($A$2:$A822,$A822)=1),1,0))</f>
        <v>0</v>
      </c>
      <c r="AD822" s="108">
        <f t="shared" si="148"/>
        <v>1</v>
      </c>
      <c r="AE822" s="108" t="str">
        <f t="shared" si="149"/>
        <v/>
      </c>
      <c r="AF822" s="108">
        <f t="shared" si="150"/>
        <v>0</v>
      </c>
      <c r="AG822" s="108">
        <f t="shared" si="151"/>
        <v>0</v>
      </c>
      <c r="AH822" s="112" t="str">
        <f t="shared" si="152"/>
        <v>N Lozano|20260831|TitleNotes - Library|1.000|Documents 33 
 Trnsactions 101
 The Title Notes website was very glitchy today</v>
      </c>
      <c r="AI822" s="108">
        <f t="shared" si="153"/>
        <v>0</v>
      </c>
      <c r="AJ822" s="108">
        <f t="shared" si="154"/>
        <v>0</v>
      </c>
      <c r="AK822" s="108">
        <f>IF($A822="",0,IF(AND($S822=1,$W822=1,$X822=1,$U822&gt;Config!$C$9),1,0))</f>
        <v>0</v>
      </c>
      <c r="AL822" s="108">
        <f t="shared" si="155"/>
        <v>0</v>
      </c>
    </row>
    <row r="823" spans="1:38" x14ac:dyDescent="0.25">
      <c r="A823" s="106" t="s">
        <v>503</v>
      </c>
      <c r="B823" s="106" t="s">
        <v>618</v>
      </c>
      <c r="C823" s="107">
        <v>46265</v>
      </c>
      <c r="D823" s="106" t="s">
        <v>712</v>
      </c>
      <c r="E823" s="106" t="s">
        <v>713</v>
      </c>
      <c r="F823" s="106" t="s">
        <v>714</v>
      </c>
      <c r="G823" s="106" t="s">
        <v>913</v>
      </c>
      <c r="H823" s="106" t="s">
        <v>631</v>
      </c>
      <c r="I823" s="106"/>
      <c r="J823" s="106"/>
      <c r="K823" s="106">
        <v>1</v>
      </c>
      <c r="L823" s="106">
        <v>0</v>
      </c>
      <c r="M823" s="106">
        <v>0</v>
      </c>
      <c r="N823" s="106"/>
      <c r="O823" s="106"/>
      <c r="P823" s="106">
        <v>0</v>
      </c>
      <c r="Q823" s="106" t="s">
        <v>1582</v>
      </c>
      <c r="S823" s="108">
        <f>IF($A823="","",COUNTIF(BPOworkers!$B$6:$B$105,$A823))</f>
        <v>1</v>
      </c>
      <c r="T823" s="109">
        <f>IF($A823="","",$K823*Config!$C$9)</f>
        <v>8</v>
      </c>
      <c r="U823" s="109">
        <f>IF($A823="","",IF(COUNTIF(Config!$C$21:$C$23,$H823)&gt;0,IFERROR(VALUE(LEFT(TRIM($Q823),FIND(" ",TRIM($Q823)&amp;" ")-1)),0),0))</f>
        <v>0</v>
      </c>
      <c r="V823" s="109">
        <f t="shared" si="144"/>
        <v>8</v>
      </c>
      <c r="W823" s="108">
        <f>IF($A823="",0,IF(AND($C823&gt;=Config!$C$7,$C823&lt;=Config!$C$8),1,0))</f>
        <v>1</v>
      </c>
      <c r="X823" s="108">
        <f>IF($A823="",0,IF(COUNTIF(Config!$C$21:$C$23,$H823)&gt;0,1,0))</f>
        <v>0</v>
      </c>
      <c r="Y823" s="108">
        <f t="shared" si="145"/>
        <v>24</v>
      </c>
      <c r="Z823" s="108" t="str">
        <f t="shared" si="146"/>
        <v/>
      </c>
      <c r="AB823" s="108">
        <f t="shared" si="147"/>
        <v>0</v>
      </c>
      <c r="AC823" s="108">
        <f>IF($A823="",0,IF(AND($AB823=1,COUNTIF($A$2:$A823,$A823)=1),1,0))</f>
        <v>0</v>
      </c>
      <c r="AD823" s="108">
        <f t="shared" si="148"/>
        <v>1</v>
      </c>
      <c r="AE823" s="108" t="str">
        <f t="shared" si="149"/>
        <v/>
      </c>
      <c r="AF823" s="108">
        <f t="shared" si="150"/>
        <v>0</v>
      </c>
      <c r="AG823" s="108">
        <f t="shared" si="151"/>
        <v>0</v>
      </c>
      <c r="AH823" s="110" t="str">
        <f t="shared" si="152"/>
        <v>T Vargas|20260831|Title|1.000|Chain completed from patent to present with the probates of the King family. Currently indexing other members of the fam</v>
      </c>
      <c r="AI823" s="108">
        <f t="shared" si="153"/>
        <v>0</v>
      </c>
      <c r="AJ823" s="108">
        <f t="shared" si="154"/>
        <v>0</v>
      </c>
      <c r="AK823" s="108">
        <f>IF($A823="",0,IF(AND($S823=1,$W823=1,$X823=1,$U823&gt;Config!$C$9),1,0))</f>
        <v>0</v>
      </c>
      <c r="AL823" s="108">
        <f t="shared" si="155"/>
        <v>0</v>
      </c>
    </row>
    <row r="824" spans="1:38" ht="108.75" x14ac:dyDescent="0.25">
      <c r="A824" s="106" t="s">
        <v>488</v>
      </c>
      <c r="B824" s="106" t="s">
        <v>618</v>
      </c>
      <c r="C824" s="107">
        <v>46265</v>
      </c>
      <c r="D824" s="106" t="s">
        <v>623</v>
      </c>
      <c r="E824" s="106" t="s">
        <v>624</v>
      </c>
      <c r="F824" s="106" t="s">
        <v>615</v>
      </c>
      <c r="G824" s="106" t="s">
        <v>625</v>
      </c>
      <c r="H824" s="106" t="s">
        <v>671</v>
      </c>
      <c r="I824" s="106" t="s">
        <v>657</v>
      </c>
      <c r="J824" s="106"/>
      <c r="K824" s="106">
        <v>1</v>
      </c>
      <c r="L824" s="106">
        <v>0</v>
      </c>
      <c r="M824" s="106">
        <v>0</v>
      </c>
      <c r="N824" s="106"/>
      <c r="O824" s="106"/>
      <c r="P824" s="106">
        <v>0</v>
      </c>
      <c r="Q824" s="111" t="s">
        <v>1583</v>
      </c>
      <c r="S824" s="108">
        <f>IF($A824="","",COUNTIF(BPOworkers!$B$6:$B$105,$A824))</f>
        <v>1</v>
      </c>
      <c r="T824" s="109">
        <f>IF($A824="","",$K824*Config!$C$9)</f>
        <v>8</v>
      </c>
      <c r="U824" s="109">
        <f>IF($A824="","",IF(COUNTIF(Config!$C$21:$C$23,$H824)&gt;0,IFERROR(VALUE(LEFT(TRIM($Q824),FIND(" ",TRIM($Q824)&amp;" ")-1)),0),0))</f>
        <v>0</v>
      </c>
      <c r="V824" s="109">
        <f t="shared" si="144"/>
        <v>8</v>
      </c>
      <c r="W824" s="108">
        <f>IF($A824="",0,IF(AND($C824&gt;=Config!$C$7,$C824&lt;=Config!$C$8),1,0))</f>
        <v>1</v>
      </c>
      <c r="X824" s="108">
        <f>IF($A824="",0,IF(COUNTIF(Config!$C$21:$C$23,$H824)&gt;0,1,0))</f>
        <v>0</v>
      </c>
      <c r="Y824" s="108">
        <f t="shared" si="145"/>
        <v>24</v>
      </c>
      <c r="Z824" s="108" t="str">
        <f t="shared" si="146"/>
        <v/>
      </c>
      <c r="AB824" s="108">
        <f t="shared" si="147"/>
        <v>0</v>
      </c>
      <c r="AC824" s="108">
        <f>IF($A824="",0,IF(AND($AB824=1,COUNTIF($A$2:$A824,$A824)=1),1,0))</f>
        <v>0</v>
      </c>
      <c r="AD824" s="108">
        <f t="shared" si="148"/>
        <v>1</v>
      </c>
      <c r="AE824" s="108" t="str">
        <f t="shared" si="149"/>
        <v/>
      </c>
      <c r="AF824" s="108">
        <f t="shared" si="150"/>
        <v>0</v>
      </c>
      <c r="AG824" s="108">
        <f t="shared" si="151"/>
        <v>0</v>
      </c>
      <c r="AH824" s="112" t="str">
        <f t="shared" si="152"/>
        <v>D Chinchilla|20260831|TitleNotes - Library|1.000|15 Documents
 20 Transactions</v>
      </c>
      <c r="AI824" s="108">
        <f t="shared" si="153"/>
        <v>0</v>
      </c>
      <c r="AJ824" s="108">
        <f t="shared" si="154"/>
        <v>0</v>
      </c>
      <c r="AK824" s="108">
        <f>IF($A824="",0,IF(AND($S824=1,$W824=1,$X824=1,$U824&gt;Config!$C$9),1,0))</f>
        <v>0</v>
      </c>
      <c r="AL824" s="108">
        <f t="shared" si="155"/>
        <v>0</v>
      </c>
    </row>
    <row r="825" spans="1:38" ht="228.75" x14ac:dyDescent="0.25">
      <c r="A825" s="106" t="s">
        <v>487</v>
      </c>
      <c r="B825" s="106" t="s">
        <v>618</v>
      </c>
      <c r="C825" s="107">
        <v>46265</v>
      </c>
      <c r="D825" s="106" t="s">
        <v>623</v>
      </c>
      <c r="E825" s="106" t="s">
        <v>624</v>
      </c>
      <c r="F825" s="106" t="s">
        <v>615</v>
      </c>
      <c r="G825" s="106" t="s">
        <v>625</v>
      </c>
      <c r="H825" s="106" t="s">
        <v>671</v>
      </c>
      <c r="I825" s="106" t="s">
        <v>657</v>
      </c>
      <c r="J825" s="106"/>
      <c r="K825" s="106">
        <v>1</v>
      </c>
      <c r="L825" s="106">
        <v>0</v>
      </c>
      <c r="M825" s="106">
        <v>0</v>
      </c>
      <c r="N825" s="106"/>
      <c r="O825" s="106"/>
      <c r="P825" s="106">
        <v>0</v>
      </c>
      <c r="Q825" s="111" t="s">
        <v>1584</v>
      </c>
      <c r="S825" s="108">
        <f>IF($A825="","",COUNTIF(BPOworkers!$B$6:$B$105,$A825))</f>
        <v>1</v>
      </c>
      <c r="T825" s="109">
        <f>IF($A825="","",$K825*Config!$C$9)</f>
        <v>8</v>
      </c>
      <c r="U825" s="109">
        <f>IF($A825="","",IF(COUNTIF(Config!$C$21:$C$23,$H825)&gt;0,IFERROR(VALUE(LEFT(TRIM($Q825),FIND(" ",TRIM($Q825)&amp;" ")-1)),0),0))</f>
        <v>0</v>
      </c>
      <c r="V825" s="109">
        <f t="shared" si="144"/>
        <v>8</v>
      </c>
      <c r="W825" s="108">
        <f>IF($A825="",0,IF(AND($C825&gt;=Config!$C$7,$C825&lt;=Config!$C$8),1,0))</f>
        <v>1</v>
      </c>
      <c r="X825" s="108">
        <f>IF($A825="",0,IF(COUNTIF(Config!$C$21:$C$23,$H825)&gt;0,1,0))</f>
        <v>0</v>
      </c>
      <c r="Y825" s="108">
        <f t="shared" si="145"/>
        <v>24</v>
      </c>
      <c r="Z825" s="108" t="str">
        <f t="shared" si="146"/>
        <v/>
      </c>
      <c r="AB825" s="108">
        <f t="shared" si="147"/>
        <v>0</v>
      </c>
      <c r="AC825" s="108">
        <f>IF($A825="",0,IF(AND($AB825=1,COUNTIF($A$2:$A825,$A825)=1),1,0))</f>
        <v>0</v>
      </c>
      <c r="AD825" s="108">
        <f t="shared" si="148"/>
        <v>1</v>
      </c>
      <c r="AE825" s="108" t="str">
        <f t="shared" si="149"/>
        <v/>
      </c>
      <c r="AF825" s="108">
        <f t="shared" si="150"/>
        <v>0</v>
      </c>
      <c r="AG825" s="108">
        <f t="shared" si="151"/>
        <v>0</v>
      </c>
      <c r="AH825" s="112" t="str">
        <f t="shared" si="152"/>
        <v>A Guerra|20260831|TitleNotes - Library|1.000|Notecards: 28±
 Transactions: 60±
 Experiencing a few technical issues:
 At morning: having trouble logging into the T</v>
      </c>
      <c r="AI825" s="108">
        <f t="shared" si="153"/>
        <v>0</v>
      </c>
      <c r="AJ825" s="108">
        <f t="shared" si="154"/>
        <v>0</v>
      </c>
      <c r="AK825" s="108">
        <f>IF($A825="",0,IF(AND($S825=1,$W825=1,$X825=1,$U825&gt;Config!$C$9),1,0))</f>
        <v>0</v>
      </c>
      <c r="AL825" s="108">
        <f t="shared" si="155"/>
        <v>0</v>
      </c>
    </row>
    <row r="826" spans="1:38" ht="156.75" x14ac:dyDescent="0.25">
      <c r="A826" s="106" t="s">
        <v>489</v>
      </c>
      <c r="B826" s="106" t="s">
        <v>618</v>
      </c>
      <c r="C826" s="107">
        <v>46265</v>
      </c>
      <c r="D826" s="106" t="s">
        <v>712</v>
      </c>
      <c r="E826" s="106" t="s">
        <v>713</v>
      </c>
      <c r="F826" s="106" t="s">
        <v>714</v>
      </c>
      <c r="G826" s="106" t="s">
        <v>959</v>
      </c>
      <c r="H826" s="106" t="s">
        <v>631</v>
      </c>
      <c r="I826" s="106"/>
      <c r="J826" s="106" t="s">
        <v>1319</v>
      </c>
      <c r="K826" s="106">
        <v>1</v>
      </c>
      <c r="L826" s="106">
        <v>0</v>
      </c>
      <c r="M826" s="106">
        <v>0</v>
      </c>
      <c r="N826" s="106"/>
      <c r="O826" s="106"/>
      <c r="P826" s="106">
        <v>0</v>
      </c>
      <c r="Q826" s="111" t="s">
        <v>1585</v>
      </c>
      <c r="S826" s="108">
        <f>IF($A826="","",COUNTIF(BPOworkers!$B$6:$B$105,$A826))</f>
        <v>1</v>
      </c>
      <c r="T826" s="109">
        <f>IF($A826="","",$K826*Config!$C$9)</f>
        <v>8</v>
      </c>
      <c r="U826" s="109">
        <f>IF($A826="","",IF(COUNTIF(Config!$C$21:$C$23,$H826)&gt;0,IFERROR(VALUE(LEFT(TRIM($Q826),FIND(" ",TRIM($Q826)&amp;" ")-1)),0),0))</f>
        <v>0</v>
      </c>
      <c r="V826" s="109">
        <f t="shared" si="144"/>
        <v>8</v>
      </c>
      <c r="W826" s="108">
        <f>IF($A826="",0,IF(AND($C826&gt;=Config!$C$7,$C826&lt;=Config!$C$8),1,0))</f>
        <v>1</v>
      </c>
      <c r="X826" s="108">
        <f>IF($A826="",0,IF(COUNTIF(Config!$C$21:$C$23,$H826)&gt;0,1,0))</f>
        <v>0</v>
      </c>
      <c r="Y826" s="108">
        <f t="shared" si="145"/>
        <v>24</v>
      </c>
      <c r="Z826" s="108" t="str">
        <f t="shared" si="146"/>
        <v/>
      </c>
      <c r="AB826" s="108">
        <f t="shared" si="147"/>
        <v>0</v>
      </c>
      <c r="AC826" s="108">
        <f>IF($A826="",0,IF(AND($AB826=1,COUNTIF($A$2:$A826,$A826)=1),1,0))</f>
        <v>0</v>
      </c>
      <c r="AD826" s="108">
        <f t="shared" si="148"/>
        <v>1</v>
      </c>
      <c r="AE826" s="108" t="str">
        <f t="shared" si="149"/>
        <v/>
      </c>
      <c r="AF826" s="108">
        <f t="shared" si="150"/>
        <v>0</v>
      </c>
      <c r="AG826" s="108">
        <f t="shared" si="151"/>
        <v>0</v>
      </c>
      <c r="AH826" s="112" t="str">
        <f t="shared" si="152"/>
        <v>G Pereira|20260831|Title|1.000|SIV Verification
 Found missing links to fill the gaps, well production report done, assignment completed</v>
      </c>
      <c r="AI826" s="108">
        <f t="shared" si="153"/>
        <v>0</v>
      </c>
      <c r="AJ826" s="108">
        <f t="shared" si="154"/>
        <v>0</v>
      </c>
      <c r="AK826" s="108">
        <f>IF($A826="",0,IF(AND($S826=1,$W826=1,$X826=1,$U826&gt;Config!$C$9),1,0))</f>
        <v>0</v>
      </c>
      <c r="AL826" s="108">
        <f t="shared" si="155"/>
        <v>0</v>
      </c>
    </row>
    <row r="827" spans="1:38" ht="108.75" x14ac:dyDescent="0.25">
      <c r="A827" s="106" t="s">
        <v>501</v>
      </c>
      <c r="B827" s="106" t="s">
        <v>614</v>
      </c>
      <c r="C827" s="107">
        <v>46265</v>
      </c>
      <c r="D827" s="106" t="s">
        <v>669</v>
      </c>
      <c r="E827" s="106" t="s">
        <v>669</v>
      </c>
      <c r="F827" s="106" t="s">
        <v>670</v>
      </c>
      <c r="G827" s="106"/>
      <c r="H827" s="106" t="s">
        <v>671</v>
      </c>
      <c r="I827" s="106"/>
      <c r="J827" s="106"/>
      <c r="K827" s="106">
        <v>1</v>
      </c>
      <c r="L827" s="106">
        <v>0</v>
      </c>
      <c r="M827" s="106">
        <v>0</v>
      </c>
      <c r="N827" s="106"/>
      <c r="O827" s="106"/>
      <c r="P827" s="106">
        <v>0</v>
      </c>
      <c r="Q827" s="111" t="s">
        <v>1586</v>
      </c>
      <c r="S827" s="108">
        <f>IF($A827="","",COUNTIF(BPOworkers!$B$6:$B$105,$A827))</f>
        <v>1</v>
      </c>
      <c r="T827" s="109">
        <f>IF($A827="","",$K827*Config!$C$9)</f>
        <v>8</v>
      </c>
      <c r="U827" s="109">
        <f>IF($A827="","",IF(COUNTIF(Config!$C$21:$C$23,$H827)&gt;0,IFERROR(VALUE(LEFT(TRIM($Q827),FIND(" ",TRIM($Q827)&amp;" ")-1)),0),0))</f>
        <v>0</v>
      </c>
      <c r="V827" s="109">
        <f t="shared" si="144"/>
        <v>8</v>
      </c>
      <c r="W827" s="108">
        <f>IF($A827="",0,IF(AND($C827&gt;=Config!$C$7,$C827&lt;=Config!$C$8),1,0))</f>
        <v>1</v>
      </c>
      <c r="X827" s="108">
        <f>IF($A827="",0,IF(COUNTIF(Config!$C$21:$C$23,$H827)&gt;0,1,0))</f>
        <v>0</v>
      </c>
      <c r="Y827" s="108">
        <f t="shared" si="145"/>
        <v>24</v>
      </c>
      <c r="Z827" s="108" t="str">
        <f t="shared" si="146"/>
        <v/>
      </c>
      <c r="AB827" s="108">
        <f t="shared" si="147"/>
        <v>0</v>
      </c>
      <c r="AC827" s="108">
        <f>IF($A827="",0,IF(AND($AB827=1,COUNTIF($A$2:$A827,$A827)=1),1,0))</f>
        <v>0</v>
      </c>
      <c r="AD827" s="108">
        <f t="shared" si="148"/>
        <v>1</v>
      </c>
      <c r="AE827" s="108" t="str">
        <f t="shared" si="149"/>
        <v/>
      </c>
      <c r="AF827" s="108">
        <f t="shared" si="150"/>
        <v>0</v>
      </c>
      <c r="AG827" s="108">
        <f t="shared" si="151"/>
        <v>0</v>
      </c>
      <c r="AH827" s="112" t="str">
        <f t="shared" si="152"/>
        <v>O Moreno|20260831|TitleNotes - Library|1.000|49 Documents.
 76 Transactions.</v>
      </c>
      <c r="AI827" s="108">
        <f t="shared" si="153"/>
        <v>0</v>
      </c>
      <c r="AJ827" s="108">
        <f t="shared" si="154"/>
        <v>0</v>
      </c>
      <c r="AK827" s="108">
        <f>IF($A827="",0,IF(AND($S827=1,$W827=1,$X827=1,$U827&gt;Config!$C$9),1,0))</f>
        <v>0</v>
      </c>
      <c r="AL827" s="108">
        <f t="shared" si="155"/>
        <v>0</v>
      </c>
    </row>
    <row r="828" spans="1:38" x14ac:dyDescent="0.25">
      <c r="A828" s="106" t="s">
        <v>502</v>
      </c>
      <c r="B828" s="106" t="s">
        <v>618</v>
      </c>
      <c r="C828" s="107">
        <v>46265</v>
      </c>
      <c r="D828" s="106" t="s">
        <v>694</v>
      </c>
      <c r="E828" s="106" t="s">
        <v>765</v>
      </c>
      <c r="F828" s="106" t="s">
        <v>766</v>
      </c>
      <c r="G828" s="106" t="s">
        <v>1486</v>
      </c>
      <c r="H828" s="106" t="s">
        <v>765</v>
      </c>
      <c r="I828" s="106"/>
      <c r="J828" s="106" t="s">
        <v>807</v>
      </c>
      <c r="K828" s="106">
        <v>1</v>
      </c>
      <c r="L828" s="106">
        <v>0</v>
      </c>
      <c r="M828" s="106">
        <v>0</v>
      </c>
      <c r="N828" s="106"/>
      <c r="O828" s="106"/>
      <c r="P828" s="106">
        <v>0</v>
      </c>
      <c r="Q828" s="106" t="s">
        <v>808</v>
      </c>
      <c r="S828" s="108">
        <f>IF($A828="","",COUNTIF(BPOworkers!$B$6:$B$105,$A828))</f>
        <v>1</v>
      </c>
      <c r="T828" s="109">
        <f>IF($A828="","",$K828*Config!$C$9)</f>
        <v>8</v>
      </c>
      <c r="U828" s="109">
        <f>IF($A828="","",IF(COUNTIF(Config!$C$21:$C$23,$H828)&gt;0,IFERROR(VALUE(LEFT(TRIM($Q828),FIND(" ",TRIM($Q828)&amp;" ")-1)),0),0))</f>
        <v>0</v>
      </c>
      <c r="V828" s="109">
        <f t="shared" si="144"/>
        <v>8</v>
      </c>
      <c r="W828" s="108">
        <f>IF($A828="",0,IF(AND($C828&gt;=Config!$C$7,$C828&lt;=Config!$C$8),1,0))</f>
        <v>1</v>
      </c>
      <c r="X828" s="108">
        <f>IF($A828="",0,IF(COUNTIF(Config!$C$21:$C$23,$H828)&gt;0,1,0))</f>
        <v>0</v>
      </c>
      <c r="Y828" s="108">
        <f t="shared" si="145"/>
        <v>24</v>
      </c>
      <c r="Z828" s="108" t="str">
        <f t="shared" si="146"/>
        <v/>
      </c>
      <c r="AB828" s="108">
        <f t="shared" si="147"/>
        <v>0</v>
      </c>
      <c r="AC828" s="108">
        <f>IF($A828="",0,IF(AND($AB828=1,COUNTIF($A$2:$A828,$A828)=1),1,0))</f>
        <v>0</v>
      </c>
      <c r="AD828" s="108">
        <f t="shared" si="148"/>
        <v>1</v>
      </c>
      <c r="AE828" s="108" t="str">
        <f t="shared" si="149"/>
        <v/>
      </c>
      <c r="AF828" s="108">
        <f t="shared" si="150"/>
        <v>0</v>
      </c>
      <c r="AG828" s="108">
        <f t="shared" si="151"/>
        <v>0</v>
      </c>
      <c r="AH828" s="110" t="str">
        <f t="shared" si="152"/>
        <v>S Calderon|20260831|Lease Bringdown|1.000|Added last leases and ran title forward to present.</v>
      </c>
      <c r="AI828" s="108">
        <f t="shared" si="153"/>
        <v>0</v>
      </c>
      <c r="AJ828" s="108">
        <f t="shared" si="154"/>
        <v>0</v>
      </c>
      <c r="AK828" s="108">
        <f>IF($A828="",0,IF(AND($S828=1,$W828=1,$X828=1,$U828&gt;Config!$C$9),1,0))</f>
        <v>0</v>
      </c>
      <c r="AL828" s="108">
        <f t="shared" si="155"/>
        <v>0</v>
      </c>
    </row>
    <row r="829" spans="1:38" x14ac:dyDescent="0.25">
      <c r="A829" s="106" t="s">
        <v>1032</v>
      </c>
      <c r="B829" s="106" t="s">
        <v>618</v>
      </c>
      <c r="C829" s="107">
        <v>46265</v>
      </c>
      <c r="D829" s="106" t="s">
        <v>643</v>
      </c>
      <c r="E829" s="106" t="s">
        <v>644</v>
      </c>
      <c r="F829" s="106" t="s">
        <v>645</v>
      </c>
      <c r="G829" s="106" t="s">
        <v>646</v>
      </c>
      <c r="H829" s="106" t="s">
        <v>631</v>
      </c>
      <c r="I829" s="106"/>
      <c r="J829" s="106" t="s">
        <v>1033</v>
      </c>
      <c r="K829" s="106">
        <v>1</v>
      </c>
      <c r="L829" s="106">
        <v>0</v>
      </c>
      <c r="M829" s="106">
        <v>0</v>
      </c>
      <c r="N829" s="106"/>
      <c r="O829" s="106"/>
      <c r="P829" s="106">
        <v>0</v>
      </c>
      <c r="Q829" s="106" t="s">
        <v>1587</v>
      </c>
      <c r="S829" s="108">
        <f>IF($A829="","",COUNTIF(BPOworkers!$B$6:$B$105,$A829))</f>
        <v>0</v>
      </c>
      <c r="T829" s="109">
        <f>IF($A829="","",$K829*Config!$C$9)</f>
        <v>8</v>
      </c>
      <c r="U829" s="109">
        <f>IF($A829="","",IF(COUNTIF(Config!$C$21:$C$23,$H829)&gt;0,IFERROR(VALUE(LEFT(TRIM($Q829),FIND(" ",TRIM($Q829)&amp;" ")-1)),0),0))</f>
        <v>0</v>
      </c>
      <c r="V829" s="109">
        <f t="shared" si="144"/>
        <v>8</v>
      </c>
      <c r="W829" s="108">
        <f>IF($A829="",0,IF(AND($C829&gt;=Config!$C$7,$C829&lt;=Config!$C$8),1,0))</f>
        <v>1</v>
      </c>
      <c r="X829" s="108">
        <f>IF($A829="",0,IF(COUNTIF(Config!$C$21:$C$23,$H829)&gt;0,1,0))</f>
        <v>0</v>
      </c>
      <c r="Y829" s="108">
        <f t="shared" si="145"/>
        <v>24</v>
      </c>
      <c r="Z829" s="108" t="str">
        <f t="shared" si="146"/>
        <v/>
      </c>
      <c r="AB829" s="108">
        <f t="shared" si="147"/>
        <v>0</v>
      </c>
      <c r="AC829" s="108">
        <f>IF($A829="",0,IF(AND($AB829=1,COUNTIF($A$2:$A829,$A829)=1),1,0))</f>
        <v>0</v>
      </c>
      <c r="AD829" s="108">
        <f t="shared" si="148"/>
        <v>1</v>
      </c>
      <c r="AE829" s="108" t="str">
        <f t="shared" si="149"/>
        <v/>
      </c>
      <c r="AF829" s="108">
        <f t="shared" si="150"/>
        <v>0</v>
      </c>
      <c r="AG829" s="108">
        <f t="shared" si="151"/>
        <v>0</v>
      </c>
      <c r="AH829" s="110" t="str">
        <f t="shared" si="152"/>
        <v>R. Llanes|20260831|Title|1.000|Continued work on Sec 19, EOG Pilot. 45 notecards completed, reviewed, or deleted.</v>
      </c>
      <c r="AI829" s="108">
        <f t="shared" si="153"/>
        <v>0</v>
      </c>
      <c r="AJ829" s="108">
        <f t="shared" si="154"/>
        <v>0</v>
      </c>
      <c r="AK829" s="108">
        <f>IF($A829="",0,IF(AND($S829=1,$W829=1,$X829=1,$U829&gt;Config!$C$9),1,0))</f>
        <v>0</v>
      </c>
      <c r="AL829" s="108">
        <f t="shared" si="155"/>
        <v>0</v>
      </c>
    </row>
    <row r="830" spans="1:38" x14ac:dyDescent="0.25">
      <c r="A830" s="106" t="s">
        <v>810</v>
      </c>
      <c r="B830" s="106" t="s">
        <v>618</v>
      </c>
      <c r="C830" s="107">
        <v>46265</v>
      </c>
      <c r="D830" s="106" t="s">
        <v>694</v>
      </c>
      <c r="E830" s="106" t="s">
        <v>862</v>
      </c>
      <c r="F830" s="106" t="s">
        <v>766</v>
      </c>
      <c r="G830" s="106" t="s">
        <v>1322</v>
      </c>
      <c r="H830" s="106" t="s">
        <v>781</v>
      </c>
      <c r="I830" s="106"/>
      <c r="J830" s="106"/>
      <c r="K830" s="106">
        <v>1</v>
      </c>
      <c r="L830" s="106">
        <v>0</v>
      </c>
      <c r="M830" s="106">
        <v>0</v>
      </c>
      <c r="N830" s="106"/>
      <c r="O830" s="106"/>
      <c r="P830" s="106">
        <v>0</v>
      </c>
      <c r="Q830" s="106" t="s">
        <v>1323</v>
      </c>
      <c r="S830" s="108">
        <f>IF($A830="","",COUNTIF(BPOworkers!$B$6:$B$105,$A830))</f>
        <v>0</v>
      </c>
      <c r="T830" s="109">
        <f>IF($A830="","",$K830*Config!$C$9)</f>
        <v>8</v>
      </c>
      <c r="U830" s="109">
        <f>IF($A830="","",IF(COUNTIF(Config!$C$21:$C$23,$H830)&gt;0,IFERROR(VALUE(LEFT(TRIM($Q830),FIND(" ",TRIM($Q830)&amp;" ")-1)),0),0))</f>
        <v>0</v>
      </c>
      <c r="V830" s="109">
        <f t="shared" si="144"/>
        <v>8</v>
      </c>
      <c r="W830" s="108">
        <f>IF($A830="",0,IF(AND($C830&gt;=Config!$C$7,$C830&lt;=Config!$C$8),1,0))</f>
        <v>1</v>
      </c>
      <c r="X830" s="108">
        <f>IF($A830="",0,IF(COUNTIF(Config!$C$21:$C$23,$H830)&gt;0,1,0))</f>
        <v>0</v>
      </c>
      <c r="Y830" s="108">
        <f t="shared" si="145"/>
        <v>24</v>
      </c>
      <c r="Z830" s="108" t="str">
        <f t="shared" si="146"/>
        <v/>
      </c>
      <c r="AB830" s="108">
        <f t="shared" si="147"/>
        <v>0</v>
      </c>
      <c r="AC830" s="108">
        <f>IF($A830="",0,IF(AND($AB830=1,COUNTIF($A$2:$A830,$A830)=1),1,0))</f>
        <v>0</v>
      </c>
      <c r="AD830" s="108">
        <f t="shared" si="148"/>
        <v>1</v>
      </c>
      <c r="AE830" s="108" t="str">
        <f t="shared" si="149"/>
        <v/>
      </c>
      <c r="AF830" s="108">
        <f t="shared" si="150"/>
        <v>0</v>
      </c>
      <c r="AG830" s="108">
        <f t="shared" si="151"/>
        <v>0</v>
      </c>
      <c r="AH830" s="110" t="str">
        <f t="shared" si="152"/>
        <v>T. Allerman|20260831|Single Interest Verification|1.000|Pulled index and documents to create chain of title for 29-4S-4W.</v>
      </c>
      <c r="AI830" s="108">
        <f t="shared" si="153"/>
        <v>0</v>
      </c>
      <c r="AJ830" s="108">
        <f t="shared" si="154"/>
        <v>0</v>
      </c>
      <c r="AK830" s="108">
        <f>IF($A830="",0,IF(AND($S830=1,$W830=1,$X830=1,$U830&gt;Config!$C$9),1,0))</f>
        <v>0</v>
      </c>
      <c r="AL830" s="108">
        <f t="shared" si="155"/>
        <v>0</v>
      </c>
    </row>
    <row r="831" spans="1:38" x14ac:dyDescent="0.25">
      <c r="A831" s="106" t="s">
        <v>813</v>
      </c>
      <c r="B831" s="106" t="s">
        <v>618</v>
      </c>
      <c r="C831" s="107">
        <v>46265</v>
      </c>
      <c r="D831" s="106" t="s">
        <v>694</v>
      </c>
      <c r="E831" s="106" t="s">
        <v>862</v>
      </c>
      <c r="F831" s="106" t="s">
        <v>766</v>
      </c>
      <c r="G831" s="106" t="s">
        <v>1490</v>
      </c>
      <c r="H831" s="106" t="s">
        <v>781</v>
      </c>
      <c r="I831" s="106"/>
      <c r="J831" s="106"/>
      <c r="K831" s="106">
        <v>1</v>
      </c>
      <c r="L831" s="106">
        <v>0</v>
      </c>
      <c r="M831" s="106">
        <v>0</v>
      </c>
      <c r="N831" s="106"/>
      <c r="O831" s="106"/>
      <c r="P831" s="106">
        <v>0</v>
      </c>
      <c r="Q831" s="106" t="s">
        <v>1588</v>
      </c>
      <c r="S831" s="108">
        <f>IF($A831="","",COUNTIF(BPOworkers!$B$6:$B$105,$A831))</f>
        <v>0</v>
      </c>
      <c r="T831" s="109">
        <f>IF($A831="","",$K831*Config!$C$9)</f>
        <v>8</v>
      </c>
      <c r="U831" s="109">
        <f>IF($A831="","",IF(COUNTIF(Config!$C$21:$C$23,$H831)&gt;0,IFERROR(VALUE(LEFT(TRIM($Q831),FIND(" ",TRIM($Q831)&amp;" ")-1)),0),0))</f>
        <v>0</v>
      </c>
      <c r="V831" s="109">
        <f t="shared" si="144"/>
        <v>8</v>
      </c>
      <c r="W831" s="108">
        <f>IF($A831="",0,IF(AND($C831&gt;=Config!$C$7,$C831&lt;=Config!$C$8),1,0))</f>
        <v>1</v>
      </c>
      <c r="X831" s="108">
        <f>IF($A831="",0,IF(COUNTIF(Config!$C$21:$C$23,$H831)&gt;0,1,0))</f>
        <v>0</v>
      </c>
      <c r="Y831" s="108">
        <f t="shared" si="145"/>
        <v>24</v>
      </c>
      <c r="Z831" s="108" t="str">
        <f t="shared" si="146"/>
        <v/>
      </c>
      <c r="AB831" s="108">
        <f t="shared" si="147"/>
        <v>0</v>
      </c>
      <c r="AC831" s="108">
        <f>IF($A831="",0,IF(AND($AB831=1,COUNTIF($A$2:$A831,$A831)=1),1,0))</f>
        <v>0</v>
      </c>
      <c r="AD831" s="108">
        <f t="shared" si="148"/>
        <v>1</v>
      </c>
      <c r="AE831" s="108" t="str">
        <f t="shared" si="149"/>
        <v/>
      </c>
      <c r="AF831" s="108">
        <f t="shared" si="150"/>
        <v>0</v>
      </c>
      <c r="AG831" s="108">
        <f t="shared" si="151"/>
        <v>0</v>
      </c>
      <c r="AH831" s="110" t="str">
        <f t="shared" si="152"/>
        <v>A. Dycus|20260831|Single Interest Verification|1.000|Indexed back to patent and filled out notecards, found supporting documents for trust deeds</v>
      </c>
      <c r="AI831" s="108">
        <f t="shared" si="153"/>
        <v>0</v>
      </c>
      <c r="AJ831" s="108">
        <f t="shared" si="154"/>
        <v>0</v>
      </c>
      <c r="AK831" s="108">
        <f>IF($A831="",0,IF(AND($S831=1,$W831=1,$X831=1,$U831&gt;Config!$C$9),1,0))</f>
        <v>0</v>
      </c>
      <c r="AL831" s="108">
        <f t="shared" si="155"/>
        <v>0</v>
      </c>
    </row>
    <row r="832" spans="1:38" x14ac:dyDescent="0.25">
      <c r="A832" s="106" t="s">
        <v>1038</v>
      </c>
      <c r="B832" s="106" t="s">
        <v>618</v>
      </c>
      <c r="C832" s="107">
        <v>46265</v>
      </c>
      <c r="D832" s="106" t="s">
        <v>712</v>
      </c>
      <c r="E832" s="106" t="s">
        <v>713</v>
      </c>
      <c r="F832" s="106" t="s">
        <v>714</v>
      </c>
      <c r="G832" s="106" t="s">
        <v>1493</v>
      </c>
      <c r="H832" s="106" t="s">
        <v>631</v>
      </c>
      <c r="I832" s="106"/>
      <c r="J832" s="106"/>
      <c r="K832" s="106">
        <v>1</v>
      </c>
      <c r="L832" s="106">
        <v>0</v>
      </c>
      <c r="M832" s="106">
        <v>0</v>
      </c>
      <c r="N832" s="106"/>
      <c r="O832" s="106"/>
      <c r="P832" s="106">
        <v>0</v>
      </c>
      <c r="Q832" s="106"/>
      <c r="S832" s="108">
        <f>IF($A832="","",COUNTIF(BPOworkers!$B$6:$B$105,$A832))</f>
        <v>0</v>
      </c>
      <c r="T832" s="109">
        <f>IF($A832="","",$K832*Config!$C$9)</f>
        <v>8</v>
      </c>
      <c r="U832" s="109">
        <f>IF($A832="","",IF(COUNTIF(Config!$C$21:$C$23,$H832)&gt;0,IFERROR(VALUE(LEFT(TRIM($Q832),FIND(" ",TRIM($Q832)&amp;" ")-1)),0),0))</f>
        <v>0</v>
      </c>
      <c r="V832" s="109">
        <f t="shared" si="144"/>
        <v>8</v>
      </c>
      <c r="W832" s="108">
        <f>IF($A832="",0,IF(AND($C832&gt;=Config!$C$7,$C832&lt;=Config!$C$8),1,0))</f>
        <v>1</v>
      </c>
      <c r="X832" s="108">
        <f>IF($A832="",0,IF(COUNTIF(Config!$C$21:$C$23,$H832)&gt;0,1,0))</f>
        <v>0</v>
      </c>
      <c r="Y832" s="108">
        <f t="shared" si="145"/>
        <v>24</v>
      </c>
      <c r="Z832" s="108" t="str">
        <f t="shared" si="146"/>
        <v/>
      </c>
      <c r="AB832" s="108">
        <f t="shared" si="147"/>
        <v>0</v>
      </c>
      <c r="AC832" s="108">
        <f>IF($A832="",0,IF(AND($AB832=1,COUNTIF($A$2:$A832,$A832)=1),1,0))</f>
        <v>0</v>
      </c>
      <c r="AD832" s="108">
        <f t="shared" si="148"/>
        <v>1</v>
      </c>
      <c r="AE832" s="108" t="str">
        <f t="shared" si="149"/>
        <v/>
      </c>
      <c r="AF832" s="108">
        <f t="shared" si="150"/>
        <v>0</v>
      </c>
      <c r="AG832" s="108">
        <f t="shared" si="151"/>
        <v>0</v>
      </c>
      <c r="AH832" s="110" t="str">
        <f t="shared" si="152"/>
        <v>D. Beeson|20260831|Title|1.000|</v>
      </c>
      <c r="AI832" s="108">
        <f t="shared" si="153"/>
        <v>0</v>
      </c>
      <c r="AJ832" s="108">
        <f t="shared" si="154"/>
        <v>0</v>
      </c>
      <c r="AK832" s="108">
        <f>IF($A832="",0,IF(AND($S832=1,$W832=1,$X832=1,$U832&gt;Config!$C$9),1,0))</f>
        <v>0</v>
      </c>
      <c r="AL832" s="108">
        <f t="shared" si="155"/>
        <v>0</v>
      </c>
    </row>
    <row r="833" spans="1:38" ht="108.75" x14ac:dyDescent="0.25">
      <c r="A833" s="106" t="s">
        <v>1039</v>
      </c>
      <c r="B833" s="106" t="s">
        <v>618</v>
      </c>
      <c r="C833" s="107">
        <v>46265</v>
      </c>
      <c r="D833" s="106" t="s">
        <v>720</v>
      </c>
      <c r="E833" s="106" t="s">
        <v>721</v>
      </c>
      <c r="F833" s="106" t="s">
        <v>722</v>
      </c>
      <c r="G833" s="106" t="s">
        <v>1040</v>
      </c>
      <c r="H833" s="106" t="s">
        <v>631</v>
      </c>
      <c r="I833" s="106"/>
      <c r="J833" s="106"/>
      <c r="K833" s="106">
        <v>1</v>
      </c>
      <c r="L833" s="106">
        <v>0</v>
      </c>
      <c r="M833" s="106">
        <v>0</v>
      </c>
      <c r="N833" s="106"/>
      <c r="O833" s="106"/>
      <c r="P833" s="106">
        <v>0</v>
      </c>
      <c r="Q833" s="111" t="s">
        <v>1589</v>
      </c>
      <c r="S833" s="108">
        <f>IF($A833="","",COUNTIF(BPOworkers!$B$6:$B$105,$A833))</f>
        <v>0</v>
      </c>
      <c r="T833" s="109">
        <f>IF($A833="","",$K833*Config!$C$9)</f>
        <v>8</v>
      </c>
      <c r="U833" s="109">
        <f>IF($A833="","",IF(COUNTIF(Config!$C$21:$C$23,$H833)&gt;0,IFERROR(VALUE(LEFT(TRIM($Q833),FIND(" ",TRIM($Q833)&amp;" ")-1)),0),0))</f>
        <v>0</v>
      </c>
      <c r="V833" s="109">
        <f t="shared" si="144"/>
        <v>8</v>
      </c>
      <c r="W833" s="108">
        <f>IF($A833="",0,IF(AND($C833&gt;=Config!$C$7,$C833&lt;=Config!$C$8),1,0))</f>
        <v>1</v>
      </c>
      <c r="X833" s="108">
        <f>IF($A833="",0,IF(COUNTIF(Config!$C$21:$C$23,$H833)&gt;0,1,0))</f>
        <v>0</v>
      </c>
      <c r="Y833" s="108">
        <f t="shared" si="145"/>
        <v>24</v>
      </c>
      <c r="Z833" s="108" t="str">
        <f t="shared" si="146"/>
        <v/>
      </c>
      <c r="AB833" s="108">
        <f t="shared" si="147"/>
        <v>0</v>
      </c>
      <c r="AC833" s="108">
        <f>IF($A833="",0,IF(AND($AB833=1,COUNTIF($A$2:$A833,$A833)=1),1,0))</f>
        <v>0</v>
      </c>
      <c r="AD833" s="108">
        <f t="shared" si="148"/>
        <v>1</v>
      </c>
      <c r="AE833" s="108" t="str">
        <f t="shared" si="149"/>
        <v/>
      </c>
      <c r="AF833" s="108">
        <f t="shared" si="150"/>
        <v>0</v>
      </c>
      <c r="AG833" s="108">
        <f t="shared" si="151"/>
        <v>0</v>
      </c>
      <c r="AH833" s="112" t="str">
        <f t="shared" si="152"/>
        <v>B. Sayadeth|20260831|Title|1.000|Reviewed index
 Instrument(s) added to AOI
 Instrument(s) indexed</v>
      </c>
      <c r="AI833" s="108">
        <f t="shared" si="153"/>
        <v>0</v>
      </c>
      <c r="AJ833" s="108">
        <f t="shared" si="154"/>
        <v>0</v>
      </c>
      <c r="AK833" s="108">
        <f>IF($A833="",0,IF(AND($S833=1,$W833=1,$X833=1,$U833&gt;Config!$C$9),1,0))</f>
        <v>0</v>
      </c>
      <c r="AL833" s="108">
        <f t="shared" si="155"/>
        <v>0</v>
      </c>
    </row>
    <row r="834" spans="1:38" x14ac:dyDescent="0.25">
      <c r="A834" s="106" t="s">
        <v>1042</v>
      </c>
      <c r="B834" s="106" t="s">
        <v>618</v>
      </c>
      <c r="C834" s="107">
        <v>46265</v>
      </c>
      <c r="D834" s="106" t="s">
        <v>694</v>
      </c>
      <c r="E834" s="106" t="s">
        <v>765</v>
      </c>
      <c r="F834" s="106" t="s">
        <v>766</v>
      </c>
      <c r="G834" s="106" t="s">
        <v>1043</v>
      </c>
      <c r="H834" s="106" t="s">
        <v>765</v>
      </c>
      <c r="I834" s="106"/>
      <c r="J834" s="106"/>
      <c r="K834" s="106">
        <v>1</v>
      </c>
      <c r="L834" s="106">
        <v>0</v>
      </c>
      <c r="M834" s="106">
        <v>0</v>
      </c>
      <c r="N834" s="106"/>
      <c r="O834" s="106"/>
      <c r="P834" s="106">
        <v>0</v>
      </c>
      <c r="Q834" s="106" t="s">
        <v>1590</v>
      </c>
      <c r="S834" s="108">
        <f>IF($A834="","",COUNTIF(BPOworkers!$B$6:$B$105,$A834))</f>
        <v>0</v>
      </c>
      <c r="T834" s="109">
        <f>IF($A834="","",$K834*Config!$C$9)</f>
        <v>8</v>
      </c>
      <c r="U834" s="109">
        <f>IF($A834="","",IF(COUNTIF(Config!$C$21:$C$23,$H834)&gt;0,IFERROR(VALUE(LEFT(TRIM($Q834),FIND(" ",TRIM($Q834)&amp;" ")-1)),0),0))</f>
        <v>0</v>
      </c>
      <c r="V834" s="109">
        <f t="shared" ref="V834:V897" si="156">IF($A834="","",$T834+$U834)</f>
        <v>8</v>
      </c>
      <c r="W834" s="108">
        <f>IF($A834="",0,IF(AND($C834&gt;=Config!$C$7,$C834&lt;=Config!$C$8),1,0))</f>
        <v>1</v>
      </c>
      <c r="X834" s="108">
        <f>IF($A834="",0,IF(COUNTIF(Config!$C$21:$C$23,$H834)&gt;0,1,0))</f>
        <v>0</v>
      </c>
      <c r="Y834" s="108">
        <f t="shared" ref="Y834:Y897" si="157">IF($A834="",MAX(0,Y833),MAX(0,Y833)+IF(AND($W834=1,$X834=1,$S834=1),1,0))</f>
        <v>24</v>
      </c>
      <c r="Z834" s="108" t="str">
        <f t="shared" ref="Z834:Z897" si="158">IF($A834="","",IF(AND($W834=1,$X834=1,$S834=1),$Y834,""))</f>
        <v/>
      </c>
      <c r="AB834" s="108">
        <f t="shared" ref="AB834:AB897" si="159">IF($A834="",0,IF(AND($S834=0,ISERROR(FIND(".",$A834))),1,0))</f>
        <v>0</v>
      </c>
      <c r="AC834" s="108">
        <f>IF($A834="",0,IF(AND($AB834=1,COUNTIF($A$2:$A834,$A834)=1),1,0))</f>
        <v>0</v>
      </c>
      <c r="AD834" s="108">
        <f t="shared" ref="AD834:AD897" si="160">IF($A834="",MAX(0,AD833),MAX(0,AD833)+$AC834)</f>
        <v>1</v>
      </c>
      <c r="AE834" s="108" t="str">
        <f t="shared" ref="AE834:AE897" si="161">IF($AC834=1,$AD834,"")</f>
        <v/>
      </c>
      <c r="AF834" s="108">
        <f t="shared" ref="AF834:AF897" si="162">IF($A834="",0,IFERROR(IF(AND($S834=1,WEEKDAY($C834,2)&gt;5),1,0),0))</f>
        <v>0</v>
      </c>
      <c r="AG834" s="108">
        <f t="shared" ref="AG834:AG897" si="163">IF($A834="",0,IF(AND($S834=1,$W834=0),1,0))</f>
        <v>0</v>
      </c>
      <c r="AH834" s="110" t="str">
        <f t="shared" ref="AH834:AH897" si="164">IF($A834="","",$A834&amp;"|"&amp;TEXT($C834,"yyyymmdd")&amp;"|"&amp;$H834&amp;"|"&amp;TEXT($K834,"0.000")&amp;"|"&amp;SUBSTITUTE(SUBSTITUTE(SUBSTITUTE(LEFT($Q834,120),"~",""),"*",""),"?",""))</f>
        <v>N. Jones|20260831|Lease Bringdown|1.000|Wrapped up one bringdown and started on 35-2S-3W lease bringdown. Indexed 627 recorded docs from 35-2S-3W separated 78 l</v>
      </c>
      <c r="AI834" s="108">
        <f t="shared" ref="AI834:AI897" si="165">IF($A834="",0,IF(AND($S834=1,$W834=1,COUNTIF($AH$2:$AH$1500,$AH834)&gt;1),1,0))</f>
        <v>0</v>
      </c>
      <c r="AJ834" s="108">
        <f t="shared" ref="AJ834:AJ897" si="166">IF($A834="",0,IF(AND($S834=1,$W834=1,ABS($K834*8-ROUND($K834*8,0))&gt;0.0001),1,0))</f>
        <v>0</v>
      </c>
      <c r="AK834" s="108">
        <f>IF($A834="",0,IF(AND($S834=1,$W834=1,$X834=1,$U834&gt;Config!$C$9),1,0))</f>
        <v>0</v>
      </c>
      <c r="AL834" s="108">
        <f t="shared" ref="AL834:AL897" si="167">IF($A834="",0,IF(AND($S834=1,$W834=1,$X834=1,$U834=0),1,0))</f>
        <v>0</v>
      </c>
    </row>
    <row r="835" spans="1:38" x14ac:dyDescent="0.25">
      <c r="A835" s="106" t="s">
        <v>1045</v>
      </c>
      <c r="B835" s="106" t="s">
        <v>618</v>
      </c>
      <c r="C835" s="107">
        <v>46265</v>
      </c>
      <c r="D835" s="106" t="s">
        <v>529</v>
      </c>
      <c r="E835" s="106" t="s">
        <v>529</v>
      </c>
      <c r="F835" s="106" t="s">
        <v>615</v>
      </c>
      <c r="G835" s="106"/>
      <c r="H835" s="106" t="s">
        <v>529</v>
      </c>
      <c r="I835" s="106"/>
      <c r="J835" s="106"/>
      <c r="K835" s="106">
        <v>0</v>
      </c>
      <c r="L835" s="106">
        <v>0</v>
      </c>
      <c r="M835" s="106">
        <v>0</v>
      </c>
      <c r="N835" s="106"/>
      <c r="O835" s="106"/>
      <c r="P835" s="106">
        <v>0</v>
      </c>
      <c r="Q835" s="106" t="s">
        <v>664</v>
      </c>
      <c r="S835" s="108">
        <f>IF($A835="","",COUNTIF(BPOworkers!$B$6:$B$105,$A835))</f>
        <v>0</v>
      </c>
      <c r="T835" s="109">
        <f>IF($A835="","",$K835*Config!$C$9)</f>
        <v>0</v>
      </c>
      <c r="U835" s="109">
        <f>IF($A835="","",IF(COUNTIF(Config!$C$21:$C$23,$H835)&gt;0,IFERROR(VALUE(LEFT(TRIM($Q835),FIND(" ",TRIM($Q835)&amp;" ")-1)),0),0))</f>
        <v>8</v>
      </c>
      <c r="V835" s="109">
        <f t="shared" si="156"/>
        <v>8</v>
      </c>
      <c r="W835" s="108">
        <f>IF($A835="",0,IF(AND($C835&gt;=Config!$C$7,$C835&lt;=Config!$C$8),1,0))</f>
        <v>1</v>
      </c>
      <c r="X835" s="108">
        <f>IF($A835="",0,IF(COUNTIF(Config!$C$21:$C$23,$H835)&gt;0,1,0))</f>
        <v>1</v>
      </c>
      <c r="Y835" s="108">
        <f t="shared" si="157"/>
        <v>24</v>
      </c>
      <c r="Z835" s="108" t="str">
        <f t="shared" si="158"/>
        <v/>
      </c>
      <c r="AB835" s="108">
        <f t="shared" si="159"/>
        <v>0</v>
      </c>
      <c r="AC835" s="108">
        <f>IF($A835="",0,IF(AND($AB835=1,COUNTIF($A$2:$A835,$A835)=1),1,0))</f>
        <v>0</v>
      </c>
      <c r="AD835" s="108">
        <f t="shared" si="160"/>
        <v>1</v>
      </c>
      <c r="AE835" s="108" t="str">
        <f t="shared" si="161"/>
        <v/>
      </c>
      <c r="AF835" s="108">
        <f t="shared" si="162"/>
        <v>0</v>
      </c>
      <c r="AG835" s="108">
        <f t="shared" si="163"/>
        <v>0</v>
      </c>
      <c r="AH835" s="110" t="str">
        <f t="shared" si="164"/>
        <v>E. Lee|20260831|Time Off|0.000|8 hours not billed.</v>
      </c>
      <c r="AI835" s="108">
        <f t="shared" si="165"/>
        <v>0</v>
      </c>
      <c r="AJ835" s="108">
        <f t="shared" si="166"/>
        <v>0</v>
      </c>
      <c r="AK835" s="108">
        <f>IF($A835="",0,IF(AND($S835=1,$W835=1,$X835=1,$U835&gt;Config!$C$9),1,0))</f>
        <v>0</v>
      </c>
      <c r="AL835" s="108">
        <f t="shared" si="167"/>
        <v>0</v>
      </c>
    </row>
    <row r="836" spans="1:38" ht="204.75" x14ac:dyDescent="0.25">
      <c r="A836" s="106" t="s">
        <v>816</v>
      </c>
      <c r="B836" s="106" t="s">
        <v>618</v>
      </c>
      <c r="C836" s="107">
        <v>46265</v>
      </c>
      <c r="D836" s="106" t="s">
        <v>694</v>
      </c>
      <c r="E836" s="106" t="s">
        <v>862</v>
      </c>
      <c r="F836" s="106" t="s">
        <v>766</v>
      </c>
      <c r="G836" s="106" t="s">
        <v>1328</v>
      </c>
      <c r="H836" s="106" t="s">
        <v>781</v>
      </c>
      <c r="I836" s="106"/>
      <c r="J836" s="106"/>
      <c r="K836" s="106">
        <v>1</v>
      </c>
      <c r="L836" s="106">
        <v>0</v>
      </c>
      <c r="M836" s="106">
        <v>0</v>
      </c>
      <c r="N836" s="106"/>
      <c r="O836" s="106"/>
      <c r="P836" s="106">
        <v>0</v>
      </c>
      <c r="Q836" s="111" t="s">
        <v>1591</v>
      </c>
      <c r="S836" s="108">
        <f>IF($A836="","",COUNTIF(BPOworkers!$B$6:$B$105,$A836))</f>
        <v>0</v>
      </c>
      <c r="T836" s="109">
        <f>IF($A836="","",$K836*Config!$C$9)</f>
        <v>8</v>
      </c>
      <c r="U836" s="109">
        <f>IF($A836="","",IF(COUNTIF(Config!$C$21:$C$23,$H836)&gt;0,IFERROR(VALUE(LEFT(TRIM($Q836),FIND(" ",TRIM($Q836)&amp;" ")-1)),0),0))</f>
        <v>0</v>
      </c>
      <c r="V836" s="109">
        <f t="shared" si="156"/>
        <v>8</v>
      </c>
      <c r="W836" s="108">
        <f>IF($A836="",0,IF(AND($C836&gt;=Config!$C$7,$C836&lt;=Config!$C$8),1,0))</f>
        <v>1</v>
      </c>
      <c r="X836" s="108">
        <f>IF($A836="",0,IF(COUNTIF(Config!$C$21:$C$23,$H836)&gt;0,1,0))</f>
        <v>0</v>
      </c>
      <c r="Y836" s="108">
        <f t="shared" si="157"/>
        <v>24</v>
      </c>
      <c r="Z836" s="108" t="str">
        <f t="shared" si="158"/>
        <v/>
      </c>
      <c r="AB836" s="108">
        <f t="shared" si="159"/>
        <v>0</v>
      </c>
      <c r="AC836" s="108">
        <f>IF($A836="",0,IF(AND($AB836=1,COUNTIF($A$2:$A836,$A836)=1),1,0))</f>
        <v>0</v>
      </c>
      <c r="AD836" s="108">
        <f t="shared" si="160"/>
        <v>1</v>
      </c>
      <c r="AE836" s="108" t="str">
        <f t="shared" si="161"/>
        <v/>
      </c>
      <c r="AF836" s="108">
        <f t="shared" si="162"/>
        <v>0</v>
      </c>
      <c r="AG836" s="108">
        <f t="shared" si="163"/>
        <v>0</v>
      </c>
      <c r="AH836" s="112" t="str">
        <f t="shared" si="164"/>
        <v xml:space="preserve">S. Bacot|20260831|Single Interest Verification|1.000|Researched Duchene County for vesting conveyance. Identified common heirs/alias for both Cynthia Jessen and Dewy "Max".
</v>
      </c>
      <c r="AI836" s="108">
        <f t="shared" si="165"/>
        <v>0</v>
      </c>
      <c r="AJ836" s="108">
        <f t="shared" si="166"/>
        <v>0</v>
      </c>
      <c r="AK836" s="108">
        <f>IF($A836="",0,IF(AND($S836=1,$W836=1,$X836=1,$U836&gt;Config!$C$9),1,0))</f>
        <v>0</v>
      </c>
      <c r="AL836" s="108">
        <f t="shared" si="167"/>
        <v>0</v>
      </c>
    </row>
    <row r="837" spans="1:38" x14ac:dyDescent="0.25">
      <c r="A837" s="106" t="s">
        <v>1048</v>
      </c>
      <c r="B837" s="106" t="s">
        <v>618</v>
      </c>
      <c r="C837" s="107">
        <v>46265</v>
      </c>
      <c r="D837" s="106" t="s">
        <v>529</v>
      </c>
      <c r="E837" s="106" t="s">
        <v>529</v>
      </c>
      <c r="F837" s="106" t="s">
        <v>615</v>
      </c>
      <c r="G837" s="106"/>
      <c r="H837" s="106" t="s">
        <v>529</v>
      </c>
      <c r="I837" s="106"/>
      <c r="J837" s="106"/>
      <c r="K837" s="106">
        <v>0</v>
      </c>
      <c r="L837" s="106">
        <v>0</v>
      </c>
      <c r="M837" s="106">
        <v>0</v>
      </c>
      <c r="N837" s="106"/>
      <c r="O837" s="106"/>
      <c r="P837" s="106">
        <v>0</v>
      </c>
      <c r="Q837" s="106" t="s">
        <v>1496</v>
      </c>
      <c r="S837" s="108">
        <f>IF($A837="","",COUNTIF(BPOworkers!$B$6:$B$105,$A837))</f>
        <v>0</v>
      </c>
      <c r="T837" s="109">
        <f>IF($A837="","",$K837*Config!$C$9)</f>
        <v>0</v>
      </c>
      <c r="U837" s="109">
        <f>IF($A837="","",IF(COUNTIF(Config!$C$21:$C$23,$H837)&gt;0,IFERROR(VALUE(LEFT(TRIM($Q837),FIND(" ",TRIM($Q837)&amp;" ")-1)),0),0))</f>
        <v>8</v>
      </c>
      <c r="V837" s="109">
        <f t="shared" si="156"/>
        <v>8</v>
      </c>
      <c r="W837" s="108">
        <f>IF($A837="",0,IF(AND($C837&gt;=Config!$C$7,$C837&lt;=Config!$C$8),1,0))</f>
        <v>1</v>
      </c>
      <c r="X837" s="108">
        <f>IF($A837="",0,IF(COUNTIF(Config!$C$21:$C$23,$H837)&gt;0,1,0))</f>
        <v>1</v>
      </c>
      <c r="Y837" s="108">
        <f t="shared" si="157"/>
        <v>24</v>
      </c>
      <c r="Z837" s="108" t="str">
        <f t="shared" si="158"/>
        <v/>
      </c>
      <c r="AB837" s="108">
        <f t="shared" si="159"/>
        <v>0</v>
      </c>
      <c r="AC837" s="108">
        <f>IF($A837="",0,IF(AND($AB837=1,COUNTIF($A$2:$A837,$A837)=1),1,0))</f>
        <v>0</v>
      </c>
      <c r="AD837" s="108">
        <f t="shared" si="160"/>
        <v>1</v>
      </c>
      <c r="AE837" s="108" t="str">
        <f t="shared" si="161"/>
        <v/>
      </c>
      <c r="AF837" s="108">
        <f t="shared" si="162"/>
        <v>0</v>
      </c>
      <c r="AG837" s="108">
        <f t="shared" si="163"/>
        <v>0</v>
      </c>
      <c r="AH837" s="110" t="str">
        <f t="shared" si="164"/>
        <v>M. Freshwater|20260831|Time Off|0.000|8 hours</v>
      </c>
      <c r="AI837" s="108">
        <f t="shared" si="165"/>
        <v>0</v>
      </c>
      <c r="AJ837" s="108">
        <f t="shared" si="166"/>
        <v>0</v>
      </c>
      <c r="AK837" s="108">
        <f>IF($A837="",0,IF(AND($S837=1,$W837=1,$X837=1,$U837&gt;Config!$C$9),1,0))</f>
        <v>0</v>
      </c>
      <c r="AL837" s="108">
        <f t="shared" si="167"/>
        <v>0</v>
      </c>
    </row>
    <row r="838" spans="1:38" x14ac:dyDescent="0.25">
      <c r="A838" s="106" t="s">
        <v>912</v>
      </c>
      <c r="B838" s="106" t="s">
        <v>618</v>
      </c>
      <c r="C838" s="107">
        <v>46264</v>
      </c>
      <c r="D838" s="106" t="s">
        <v>712</v>
      </c>
      <c r="E838" s="106" t="s">
        <v>713</v>
      </c>
      <c r="F838" s="106" t="s">
        <v>714</v>
      </c>
      <c r="G838" s="106" t="s">
        <v>1207</v>
      </c>
      <c r="H838" s="106" t="s">
        <v>631</v>
      </c>
      <c r="I838" s="106"/>
      <c r="J838" s="106"/>
      <c r="K838" s="106">
        <v>0.5</v>
      </c>
      <c r="L838" s="106">
        <v>0</v>
      </c>
      <c r="M838" s="106">
        <v>0</v>
      </c>
      <c r="N838" s="106"/>
      <c r="O838" s="106"/>
      <c r="P838" s="106">
        <v>0</v>
      </c>
      <c r="Q838" s="106" t="s">
        <v>1592</v>
      </c>
      <c r="S838" s="108">
        <f>IF($A838="","",COUNTIF(BPOworkers!$B$6:$B$105,$A838))</f>
        <v>0</v>
      </c>
      <c r="T838" s="109">
        <f>IF($A838="","",$K838*Config!$C$9)</f>
        <v>4</v>
      </c>
      <c r="U838" s="109">
        <f>IF($A838="","",IF(COUNTIF(Config!$C$21:$C$23,$H838)&gt;0,IFERROR(VALUE(LEFT(TRIM($Q838),FIND(" ",TRIM($Q838)&amp;" ")-1)),0),0))</f>
        <v>0</v>
      </c>
      <c r="V838" s="109">
        <f t="shared" si="156"/>
        <v>4</v>
      </c>
      <c r="W838" s="108">
        <f>IF($A838="",0,IF(AND($C838&gt;=Config!$C$7,$C838&lt;=Config!$C$8),1,0))</f>
        <v>0</v>
      </c>
      <c r="X838" s="108">
        <f>IF($A838="",0,IF(COUNTIF(Config!$C$21:$C$23,$H838)&gt;0,1,0))</f>
        <v>0</v>
      </c>
      <c r="Y838" s="108">
        <f t="shared" si="157"/>
        <v>24</v>
      </c>
      <c r="Z838" s="108" t="str">
        <f t="shared" si="158"/>
        <v/>
      </c>
      <c r="AB838" s="108">
        <f t="shared" si="159"/>
        <v>0</v>
      </c>
      <c r="AC838" s="108">
        <f>IF($A838="",0,IF(AND($AB838=1,COUNTIF($A$2:$A838,$A838)=1),1,0))</f>
        <v>0</v>
      </c>
      <c r="AD838" s="108">
        <f t="shared" si="160"/>
        <v>1</v>
      </c>
      <c r="AE838" s="108" t="str">
        <f t="shared" si="161"/>
        <v/>
      </c>
      <c r="AF838" s="108">
        <f t="shared" si="162"/>
        <v>0</v>
      </c>
      <c r="AG838" s="108">
        <f t="shared" si="163"/>
        <v>0</v>
      </c>
      <c r="AH838" s="110" t="str">
        <f t="shared" si="164"/>
        <v>R. Willis|20260830|Title|0.500|Indexed party names to complete the chain of title and entered notecard information.</v>
      </c>
      <c r="AI838" s="108">
        <f t="shared" si="165"/>
        <v>0</v>
      </c>
      <c r="AJ838" s="108">
        <f t="shared" si="166"/>
        <v>0</v>
      </c>
      <c r="AK838" s="108">
        <f>IF($A838="",0,IF(AND($S838=1,$W838=1,$X838=1,$U838&gt;Config!$C$9),1,0))</f>
        <v>0</v>
      </c>
      <c r="AL838" s="108">
        <f t="shared" si="167"/>
        <v>0</v>
      </c>
    </row>
    <row r="839" spans="1:38" x14ac:dyDescent="0.25">
      <c r="A839" s="106" t="s">
        <v>942</v>
      </c>
      <c r="B839" s="106" t="s">
        <v>618</v>
      </c>
      <c r="C839" s="107">
        <v>46264</v>
      </c>
      <c r="D839" s="106" t="s">
        <v>635</v>
      </c>
      <c r="E839" s="106" t="s">
        <v>636</v>
      </c>
      <c r="F839" s="106" t="s">
        <v>943</v>
      </c>
      <c r="G839" s="106"/>
      <c r="H839" s="106" t="s">
        <v>639</v>
      </c>
      <c r="I839" s="106"/>
      <c r="J839" s="106" t="s">
        <v>807</v>
      </c>
      <c r="K839" s="106">
        <v>1</v>
      </c>
      <c r="L839" s="106">
        <v>0</v>
      </c>
      <c r="M839" s="106">
        <v>0</v>
      </c>
      <c r="N839" s="106"/>
      <c r="O839" s="106"/>
      <c r="P839" s="106">
        <v>0</v>
      </c>
      <c r="Q839" s="106" t="s">
        <v>639</v>
      </c>
      <c r="S839" s="108">
        <f>IF($A839="","",COUNTIF(BPOworkers!$B$6:$B$105,$A839))</f>
        <v>0</v>
      </c>
      <c r="T839" s="109">
        <f>IF($A839="","",$K839*Config!$C$9)</f>
        <v>8</v>
      </c>
      <c r="U839" s="109">
        <f>IF($A839="","",IF(COUNTIF(Config!$C$21:$C$23,$H839)&gt;0,IFERROR(VALUE(LEFT(TRIM($Q839),FIND(" ",TRIM($Q839)&amp;" ")-1)),0),0))</f>
        <v>0</v>
      </c>
      <c r="V839" s="109">
        <f t="shared" si="156"/>
        <v>8</v>
      </c>
      <c r="W839" s="108">
        <f>IF($A839="",0,IF(AND($C839&gt;=Config!$C$7,$C839&lt;=Config!$C$8),1,0))</f>
        <v>0</v>
      </c>
      <c r="X839" s="108">
        <f>IF($A839="",0,IF(COUNTIF(Config!$C$21:$C$23,$H839)&gt;0,1,0))</f>
        <v>0</v>
      </c>
      <c r="Y839" s="108">
        <f t="shared" si="157"/>
        <v>24</v>
      </c>
      <c r="Z839" s="108" t="str">
        <f t="shared" si="158"/>
        <v/>
      </c>
      <c r="AB839" s="108">
        <f t="shared" si="159"/>
        <v>0</v>
      </c>
      <c r="AC839" s="108">
        <f>IF($A839="",0,IF(AND($AB839=1,COUNTIF($A$2:$A839,$A839)=1),1,0))</f>
        <v>0</v>
      </c>
      <c r="AD839" s="108">
        <f t="shared" si="160"/>
        <v>1</v>
      </c>
      <c r="AE839" s="108" t="str">
        <f t="shared" si="161"/>
        <v/>
      </c>
      <c r="AF839" s="108">
        <f t="shared" si="162"/>
        <v>0</v>
      </c>
      <c r="AG839" s="108">
        <f t="shared" si="163"/>
        <v>0</v>
      </c>
      <c r="AH839" s="110" t="str">
        <f t="shared" si="164"/>
        <v>J. Warlick|20260830|Review|1.000|Review</v>
      </c>
      <c r="AI839" s="108">
        <f t="shared" si="165"/>
        <v>0</v>
      </c>
      <c r="AJ839" s="108">
        <f t="shared" si="166"/>
        <v>0</v>
      </c>
      <c r="AK839" s="108">
        <f>IF($A839="",0,IF(AND($S839=1,$W839=1,$X839=1,$U839&gt;Config!$C$9),1,0))</f>
        <v>0</v>
      </c>
      <c r="AL839" s="108">
        <f t="shared" si="167"/>
        <v>0</v>
      </c>
    </row>
    <row r="840" spans="1:38" x14ac:dyDescent="0.25">
      <c r="A840" s="106" t="s">
        <v>946</v>
      </c>
      <c r="B840" s="106" t="s">
        <v>614</v>
      </c>
      <c r="C840" s="107">
        <v>46264</v>
      </c>
      <c r="D840" s="106" t="s">
        <v>623</v>
      </c>
      <c r="E840" s="106" t="s">
        <v>128</v>
      </c>
      <c r="F840" s="106" t="s">
        <v>615</v>
      </c>
      <c r="G840" s="106"/>
      <c r="H840" s="106" t="s">
        <v>819</v>
      </c>
      <c r="I840" s="106"/>
      <c r="J840" s="106"/>
      <c r="K840" s="106">
        <v>0.375</v>
      </c>
      <c r="L840" s="106">
        <v>0</v>
      </c>
      <c r="M840" s="106">
        <v>0</v>
      </c>
      <c r="N840" s="106"/>
      <c r="O840" s="106"/>
      <c r="P840" s="106">
        <v>0</v>
      </c>
      <c r="Q840" s="106" t="s">
        <v>1593</v>
      </c>
      <c r="S840" s="108">
        <f>IF($A840="","",COUNTIF(BPOworkers!$B$6:$B$105,$A840))</f>
        <v>0</v>
      </c>
      <c r="T840" s="109">
        <f>IF($A840="","",$K840*Config!$C$9)</f>
        <v>3</v>
      </c>
      <c r="U840" s="109">
        <f>IF($A840="","",IF(COUNTIF(Config!$C$21:$C$23,$H840)&gt;0,IFERROR(VALUE(LEFT(TRIM($Q840),FIND(" ",TRIM($Q840)&amp;" ")-1)),0),0))</f>
        <v>0</v>
      </c>
      <c r="V840" s="109">
        <f t="shared" si="156"/>
        <v>3</v>
      </c>
      <c r="W840" s="108">
        <f>IF($A840="",0,IF(AND($C840&gt;=Config!$C$7,$C840&lt;=Config!$C$8),1,0))</f>
        <v>0</v>
      </c>
      <c r="X840" s="108">
        <f>IF($A840="",0,IF(COUNTIF(Config!$C$21:$C$23,$H840)&gt;0,1,0))</f>
        <v>0</v>
      </c>
      <c r="Y840" s="108">
        <f t="shared" si="157"/>
        <v>24</v>
      </c>
      <c r="Z840" s="108" t="str">
        <f t="shared" si="158"/>
        <v/>
      </c>
      <c r="AB840" s="108">
        <f t="shared" si="159"/>
        <v>0</v>
      </c>
      <c r="AC840" s="108">
        <f>IF($A840="",0,IF(AND($AB840=1,COUNTIF($A$2:$A840,$A840)=1),1,0))</f>
        <v>0</v>
      </c>
      <c r="AD840" s="108">
        <f t="shared" si="160"/>
        <v>1</v>
      </c>
      <c r="AE840" s="108" t="str">
        <f t="shared" si="161"/>
        <v/>
      </c>
      <c r="AF840" s="108">
        <f t="shared" si="162"/>
        <v>0</v>
      </c>
      <c r="AG840" s="108">
        <f t="shared" si="163"/>
        <v>0</v>
      </c>
      <c r="AH840" s="110" t="str">
        <f t="shared" si="164"/>
        <v>L. Carollo|20260830|Training - BPO|0.375|Worked on training materials for presentation 8/31.</v>
      </c>
      <c r="AI840" s="108">
        <f t="shared" si="165"/>
        <v>0</v>
      </c>
      <c r="AJ840" s="108">
        <f t="shared" si="166"/>
        <v>0</v>
      </c>
      <c r="AK840" s="108">
        <f>IF($A840="",0,IF(AND($S840=1,$W840=1,$X840=1,$U840&gt;Config!$C$9),1,0))</f>
        <v>0</v>
      </c>
      <c r="AL840" s="108">
        <f t="shared" si="167"/>
        <v>0</v>
      </c>
    </row>
    <row r="841" spans="1:38" x14ac:dyDescent="0.25">
      <c r="A841" s="106" t="s">
        <v>679</v>
      </c>
      <c r="B841" s="106" t="s">
        <v>618</v>
      </c>
      <c r="C841" s="107">
        <v>46264</v>
      </c>
      <c r="D841" s="106" t="s">
        <v>680</v>
      </c>
      <c r="E841" s="106" t="s">
        <v>681</v>
      </c>
      <c r="F841" s="106" t="s">
        <v>686</v>
      </c>
      <c r="G841" s="106"/>
      <c r="H841" s="106" t="s">
        <v>631</v>
      </c>
      <c r="I841" s="106"/>
      <c r="J841" s="106"/>
      <c r="K841" s="106">
        <v>1</v>
      </c>
      <c r="L841" s="106">
        <v>0</v>
      </c>
      <c r="M841" s="106">
        <v>0</v>
      </c>
      <c r="N841" s="106"/>
      <c r="O841" s="106"/>
      <c r="P841" s="106">
        <v>0</v>
      </c>
      <c r="Q841" s="106" t="s">
        <v>1594</v>
      </c>
      <c r="S841" s="108">
        <f>IF($A841="","",COUNTIF(BPOworkers!$B$6:$B$105,$A841))</f>
        <v>0</v>
      </c>
      <c r="T841" s="109">
        <f>IF($A841="","",$K841*Config!$C$9)</f>
        <v>8</v>
      </c>
      <c r="U841" s="109">
        <f>IF($A841="","",IF(COUNTIF(Config!$C$21:$C$23,$H841)&gt;0,IFERROR(VALUE(LEFT(TRIM($Q841),FIND(" ",TRIM($Q841)&amp;" ")-1)),0),0))</f>
        <v>0</v>
      </c>
      <c r="V841" s="109">
        <f t="shared" si="156"/>
        <v>8</v>
      </c>
      <c r="W841" s="108">
        <f>IF($A841="",0,IF(AND($C841&gt;=Config!$C$7,$C841&lt;=Config!$C$8),1,0))</f>
        <v>0</v>
      </c>
      <c r="X841" s="108">
        <f>IF($A841="",0,IF(COUNTIF(Config!$C$21:$C$23,$H841)&gt;0,1,0))</f>
        <v>0</v>
      </c>
      <c r="Y841" s="108">
        <f t="shared" si="157"/>
        <v>24</v>
      </c>
      <c r="Z841" s="108" t="str">
        <f t="shared" si="158"/>
        <v/>
      </c>
      <c r="AB841" s="108">
        <f t="shared" si="159"/>
        <v>0</v>
      </c>
      <c r="AC841" s="108">
        <f>IF($A841="",0,IF(AND($AB841=1,COUNTIF($A$2:$A841,$A841)=1),1,0))</f>
        <v>0</v>
      </c>
      <c r="AD841" s="108">
        <f t="shared" si="160"/>
        <v>1</v>
      </c>
      <c r="AE841" s="108" t="str">
        <f t="shared" si="161"/>
        <v/>
      </c>
      <c r="AF841" s="108">
        <f t="shared" si="162"/>
        <v>0</v>
      </c>
      <c r="AG841" s="108">
        <f t="shared" si="163"/>
        <v>0</v>
      </c>
      <c r="AH841" s="110" t="str">
        <f t="shared" si="164"/>
        <v>M. Soter|20260830|Title|1.000|Indexing in Carroll, Columbiana and Harrison Counties to confirm source deeds into Rising Phoenix or Strata Petroleum, L</v>
      </c>
      <c r="AI841" s="108">
        <f t="shared" si="165"/>
        <v>0</v>
      </c>
      <c r="AJ841" s="108">
        <f t="shared" si="166"/>
        <v>0</v>
      </c>
      <c r="AK841" s="108">
        <f>IF($A841="",0,IF(AND($S841=1,$W841=1,$X841=1,$U841&gt;Config!$C$9),1,0))</f>
        <v>0</v>
      </c>
      <c r="AL841" s="108">
        <f t="shared" si="167"/>
        <v>0</v>
      </c>
    </row>
    <row r="842" spans="1:38" ht="192.75" x14ac:dyDescent="0.25">
      <c r="A842" s="106" t="s">
        <v>478</v>
      </c>
      <c r="B842" s="106" t="s">
        <v>618</v>
      </c>
      <c r="C842" s="107">
        <v>46264</v>
      </c>
      <c r="D842" s="106" t="s">
        <v>902</v>
      </c>
      <c r="E842" s="106" t="s">
        <v>903</v>
      </c>
      <c r="F842" s="106" t="s">
        <v>1108</v>
      </c>
      <c r="G842" s="106" t="s">
        <v>1109</v>
      </c>
      <c r="H842" s="106" t="s">
        <v>639</v>
      </c>
      <c r="I842" s="106"/>
      <c r="J842" s="106"/>
      <c r="K842" s="106">
        <v>0.875</v>
      </c>
      <c r="L842" s="106">
        <v>0</v>
      </c>
      <c r="M842" s="106">
        <v>0</v>
      </c>
      <c r="N842" s="106"/>
      <c r="O842" s="106"/>
      <c r="P842" s="106">
        <v>0</v>
      </c>
      <c r="Q842" s="111" t="s">
        <v>1595</v>
      </c>
      <c r="S842" s="108">
        <f>IF($A842="","",COUNTIF(BPOworkers!$B$6:$B$105,$A842))</f>
        <v>1</v>
      </c>
      <c r="T842" s="109">
        <f>IF($A842="","",$K842*Config!$C$9)</f>
        <v>7</v>
      </c>
      <c r="U842" s="109">
        <f>IF($A842="","",IF(COUNTIF(Config!$C$21:$C$23,$H842)&gt;0,IFERROR(VALUE(LEFT(TRIM($Q842),FIND(" ",TRIM($Q842)&amp;" ")-1)),0),0))</f>
        <v>0</v>
      </c>
      <c r="V842" s="109">
        <f t="shared" si="156"/>
        <v>7</v>
      </c>
      <c r="W842" s="108">
        <f>IF($A842="",0,IF(AND($C842&gt;=Config!$C$7,$C842&lt;=Config!$C$8),1,0))</f>
        <v>0</v>
      </c>
      <c r="X842" s="108">
        <f>IF($A842="",0,IF(COUNTIF(Config!$C$21:$C$23,$H842)&gt;0,1,0))</f>
        <v>0</v>
      </c>
      <c r="Y842" s="108">
        <f t="shared" si="157"/>
        <v>24</v>
      </c>
      <c r="Z842" s="108" t="str">
        <f t="shared" si="158"/>
        <v/>
      </c>
      <c r="AB842" s="108">
        <f t="shared" si="159"/>
        <v>0</v>
      </c>
      <c r="AC842" s="108">
        <f>IF($A842="",0,IF(AND($AB842=1,COUNTIF($A$2:$A842,$A842)=1),1,0))</f>
        <v>0</v>
      </c>
      <c r="AD842" s="108">
        <f t="shared" si="160"/>
        <v>1</v>
      </c>
      <c r="AE842" s="108" t="str">
        <f t="shared" si="161"/>
        <v/>
      </c>
      <c r="AF842" s="108">
        <f t="shared" si="162"/>
        <v>1</v>
      </c>
      <c r="AG842" s="108">
        <f t="shared" si="163"/>
        <v>1</v>
      </c>
      <c r="AH842" s="112" t="str">
        <f t="shared" si="164"/>
        <v>L Silva|20260830|Review|0.875|- Continued reviewing and correcting assignments following the client responses/corrections/changes
 1-36N-71W (Valeen</v>
      </c>
      <c r="AI842" s="108">
        <f t="shared" si="165"/>
        <v>0</v>
      </c>
      <c r="AJ842" s="108">
        <f t="shared" si="166"/>
        <v>0</v>
      </c>
      <c r="AK842" s="108">
        <f>IF($A842="",0,IF(AND($S842=1,$W842=1,$X842=1,$U842&gt;Config!$C$9),1,0))</f>
        <v>0</v>
      </c>
      <c r="AL842" s="108">
        <f t="shared" si="167"/>
        <v>0</v>
      </c>
    </row>
    <row r="843" spans="1:38" ht="192.75" x14ac:dyDescent="0.25">
      <c r="A843" s="106" t="s">
        <v>478</v>
      </c>
      <c r="B843" s="106" t="s">
        <v>614</v>
      </c>
      <c r="C843" s="107">
        <v>46264</v>
      </c>
      <c r="D843" s="106" t="s">
        <v>623</v>
      </c>
      <c r="E843" s="106" t="s">
        <v>624</v>
      </c>
      <c r="F843" s="106" t="s">
        <v>615</v>
      </c>
      <c r="G843" s="106" t="s">
        <v>625</v>
      </c>
      <c r="H843" s="106" t="s">
        <v>691</v>
      </c>
      <c r="I843" s="106"/>
      <c r="J843" s="106" t="s">
        <v>699</v>
      </c>
      <c r="K843" s="106">
        <v>0.375</v>
      </c>
      <c r="L843" s="106">
        <v>0</v>
      </c>
      <c r="M843" s="106">
        <v>0</v>
      </c>
      <c r="N843" s="106"/>
      <c r="O843" s="106"/>
      <c r="P843" s="106">
        <v>0</v>
      </c>
      <c r="Q843" s="111" t="s">
        <v>1596</v>
      </c>
      <c r="S843" s="108">
        <f>IF($A843="","",COUNTIF(BPOworkers!$B$6:$B$105,$A843))</f>
        <v>1</v>
      </c>
      <c r="T843" s="109">
        <f>IF($A843="","",$K843*Config!$C$9)</f>
        <v>3</v>
      </c>
      <c r="U843" s="109">
        <f>IF($A843="","",IF(COUNTIF(Config!$C$21:$C$23,$H843)&gt;0,IFERROR(VALUE(LEFT(TRIM($Q843),FIND(" ",TRIM($Q843)&amp;" ")-1)),0),0))</f>
        <v>0</v>
      </c>
      <c r="V843" s="109">
        <f t="shared" si="156"/>
        <v>3</v>
      </c>
      <c r="W843" s="108">
        <f>IF($A843="",0,IF(AND($C843&gt;=Config!$C$7,$C843&lt;=Config!$C$8),1,0))</f>
        <v>0</v>
      </c>
      <c r="X843" s="108">
        <f>IF($A843="",0,IF(COUNTIF(Config!$C$21:$C$23,$H843)&gt;0,1,0))</f>
        <v>0</v>
      </c>
      <c r="Y843" s="108">
        <f t="shared" si="157"/>
        <v>24</v>
      </c>
      <c r="Z843" s="108" t="str">
        <f t="shared" si="158"/>
        <v/>
      </c>
      <c r="AB843" s="108">
        <f t="shared" si="159"/>
        <v>0</v>
      </c>
      <c r="AC843" s="108">
        <f>IF($A843="",0,IF(AND($AB843=1,COUNTIF($A$2:$A843,$A843)=1),1,0))</f>
        <v>0</v>
      </c>
      <c r="AD843" s="108">
        <f t="shared" si="160"/>
        <v>1</v>
      </c>
      <c r="AE843" s="108" t="str">
        <f t="shared" si="161"/>
        <v/>
      </c>
      <c r="AF843" s="108">
        <f t="shared" si="162"/>
        <v>1</v>
      </c>
      <c r="AG843" s="108">
        <f t="shared" si="163"/>
        <v>1</v>
      </c>
      <c r="AH843" s="112" t="str">
        <f t="shared" si="164"/>
        <v>L Silva|20260830|BPO Project Management|0.375|Training reading materials.
 Elaborated an schedule for Lara to review.
 Reading pdf for trainees.</v>
      </c>
      <c r="AI843" s="108">
        <f t="shared" si="165"/>
        <v>0</v>
      </c>
      <c r="AJ843" s="108">
        <f t="shared" si="166"/>
        <v>0</v>
      </c>
      <c r="AK843" s="108">
        <f>IF($A843="",0,IF(AND($S843=1,$W843=1,$X843=1,$U843&gt;Config!$C$9),1,0))</f>
        <v>0</v>
      </c>
      <c r="AL843" s="108">
        <f t="shared" si="167"/>
        <v>0</v>
      </c>
    </row>
    <row r="844" spans="1:38" ht="192.75" x14ac:dyDescent="0.25">
      <c r="A844" s="106" t="s">
        <v>496</v>
      </c>
      <c r="B844" s="106" t="s">
        <v>618</v>
      </c>
      <c r="C844" s="107">
        <v>46264</v>
      </c>
      <c r="D844" s="106" t="s">
        <v>902</v>
      </c>
      <c r="E844" s="106" t="s">
        <v>903</v>
      </c>
      <c r="F844" s="106" t="s">
        <v>1108</v>
      </c>
      <c r="G844" s="106" t="s">
        <v>1109</v>
      </c>
      <c r="H844" s="106" t="s">
        <v>639</v>
      </c>
      <c r="I844" s="106"/>
      <c r="J844" s="106"/>
      <c r="K844" s="106">
        <v>1</v>
      </c>
      <c r="L844" s="106">
        <v>0</v>
      </c>
      <c r="M844" s="106">
        <v>0</v>
      </c>
      <c r="N844" s="106"/>
      <c r="O844" s="106"/>
      <c r="P844" s="106">
        <v>0</v>
      </c>
      <c r="Q844" s="111" t="s">
        <v>1597</v>
      </c>
      <c r="S844" s="108">
        <f>IF($A844="","",COUNTIF(BPOworkers!$B$6:$B$105,$A844))</f>
        <v>1</v>
      </c>
      <c r="T844" s="109">
        <f>IF($A844="","",$K844*Config!$C$9)</f>
        <v>8</v>
      </c>
      <c r="U844" s="109">
        <f>IF($A844="","",IF(COUNTIF(Config!$C$21:$C$23,$H844)&gt;0,IFERROR(VALUE(LEFT(TRIM($Q844),FIND(" ",TRIM($Q844)&amp;" ")-1)),0),0))</f>
        <v>0</v>
      </c>
      <c r="V844" s="109">
        <f t="shared" si="156"/>
        <v>8</v>
      </c>
      <c r="W844" s="108">
        <f>IF($A844="",0,IF(AND($C844&gt;=Config!$C$7,$C844&lt;=Config!$C$8),1,0))</f>
        <v>0</v>
      </c>
      <c r="X844" s="108">
        <f>IF($A844="",0,IF(COUNTIF(Config!$C$21:$C$23,$H844)&gt;0,1,0))</f>
        <v>0</v>
      </c>
      <c r="Y844" s="108">
        <f t="shared" si="157"/>
        <v>24</v>
      </c>
      <c r="Z844" s="108" t="str">
        <f t="shared" si="158"/>
        <v/>
      </c>
      <c r="AB844" s="108">
        <f t="shared" si="159"/>
        <v>0</v>
      </c>
      <c r="AC844" s="108">
        <f>IF($A844="",0,IF(AND($AB844=1,COUNTIF($A$2:$A844,$A844)=1),1,0))</f>
        <v>0</v>
      </c>
      <c r="AD844" s="108">
        <f t="shared" si="160"/>
        <v>1</v>
      </c>
      <c r="AE844" s="108" t="str">
        <f t="shared" si="161"/>
        <v/>
      </c>
      <c r="AF844" s="108">
        <f t="shared" si="162"/>
        <v>1</v>
      </c>
      <c r="AG844" s="108">
        <f t="shared" si="163"/>
        <v>1</v>
      </c>
      <c r="AH844" s="112" t="str">
        <f t="shared" si="164"/>
        <v>N Espitia|20260830|Review|1.000|- Continued reviewing and correcting assignments following the client responses/corrections/changes
 - Reviewed all assi</v>
      </c>
      <c r="AI844" s="108">
        <f t="shared" si="165"/>
        <v>0</v>
      </c>
      <c r="AJ844" s="108">
        <f t="shared" si="166"/>
        <v>0</v>
      </c>
      <c r="AK844" s="108">
        <f>IF($A844="",0,IF(AND($S844=1,$W844=1,$X844=1,$U844&gt;Config!$C$9),1,0))</f>
        <v>0</v>
      </c>
      <c r="AL844" s="108">
        <f t="shared" si="167"/>
        <v>0</v>
      </c>
    </row>
    <row r="845" spans="1:38" ht="192.75" x14ac:dyDescent="0.25">
      <c r="A845" s="106" t="s">
        <v>496</v>
      </c>
      <c r="B845" s="106" t="s">
        <v>618</v>
      </c>
      <c r="C845" s="107">
        <v>46264</v>
      </c>
      <c r="D845" s="106" t="s">
        <v>902</v>
      </c>
      <c r="E845" s="106" t="s">
        <v>903</v>
      </c>
      <c r="F845" s="106" t="s">
        <v>1108</v>
      </c>
      <c r="G845" s="106" t="s">
        <v>1109</v>
      </c>
      <c r="H845" s="106" t="s">
        <v>639</v>
      </c>
      <c r="I845" s="106"/>
      <c r="J845" s="106"/>
      <c r="K845" s="106">
        <v>0.5</v>
      </c>
      <c r="L845" s="106">
        <v>0</v>
      </c>
      <c r="M845" s="106">
        <v>0</v>
      </c>
      <c r="N845" s="106"/>
      <c r="O845" s="106"/>
      <c r="P845" s="106">
        <v>0</v>
      </c>
      <c r="Q845" s="111" t="s">
        <v>1597</v>
      </c>
      <c r="S845" s="108">
        <f>IF($A845="","",COUNTIF(BPOworkers!$B$6:$B$105,$A845))</f>
        <v>1</v>
      </c>
      <c r="T845" s="109">
        <f>IF($A845="","",$K845*Config!$C$9)</f>
        <v>4</v>
      </c>
      <c r="U845" s="109">
        <f>IF($A845="","",IF(COUNTIF(Config!$C$21:$C$23,$H845)&gt;0,IFERROR(VALUE(LEFT(TRIM($Q845),FIND(" ",TRIM($Q845)&amp;" ")-1)),0),0))</f>
        <v>0</v>
      </c>
      <c r="V845" s="109">
        <f t="shared" si="156"/>
        <v>4</v>
      </c>
      <c r="W845" s="108">
        <f>IF($A845="",0,IF(AND($C845&gt;=Config!$C$7,$C845&lt;=Config!$C$8),1,0))</f>
        <v>0</v>
      </c>
      <c r="X845" s="108">
        <f>IF($A845="",0,IF(COUNTIF(Config!$C$21:$C$23,$H845)&gt;0,1,0))</f>
        <v>0</v>
      </c>
      <c r="Y845" s="108">
        <f t="shared" si="157"/>
        <v>24</v>
      </c>
      <c r="Z845" s="108" t="str">
        <f t="shared" si="158"/>
        <v/>
      </c>
      <c r="AB845" s="108">
        <f t="shared" si="159"/>
        <v>0</v>
      </c>
      <c r="AC845" s="108">
        <f>IF($A845="",0,IF(AND($AB845=1,COUNTIF($A$2:$A845,$A845)=1),1,0))</f>
        <v>0</v>
      </c>
      <c r="AD845" s="108">
        <f t="shared" si="160"/>
        <v>1</v>
      </c>
      <c r="AE845" s="108" t="str">
        <f t="shared" si="161"/>
        <v/>
      </c>
      <c r="AF845" s="108">
        <f t="shared" si="162"/>
        <v>1</v>
      </c>
      <c r="AG845" s="108">
        <f t="shared" si="163"/>
        <v>1</v>
      </c>
      <c r="AH845" s="112" t="str">
        <f t="shared" si="164"/>
        <v>N Espitia|20260830|Review|0.500|- Continued reviewing and correcting assignments following the client responses/corrections/changes
 - Reviewed all assi</v>
      </c>
      <c r="AI845" s="108">
        <f t="shared" si="165"/>
        <v>0</v>
      </c>
      <c r="AJ845" s="108">
        <f t="shared" si="166"/>
        <v>0</v>
      </c>
      <c r="AK845" s="108">
        <f>IF($A845="",0,IF(AND($S845=1,$W845=1,$X845=1,$U845&gt;Config!$C$9),1,0))</f>
        <v>0</v>
      </c>
      <c r="AL845" s="108">
        <f t="shared" si="167"/>
        <v>0</v>
      </c>
    </row>
    <row r="846" spans="1:38" ht="192.75" x14ac:dyDescent="0.25">
      <c r="A846" s="106" t="s">
        <v>489</v>
      </c>
      <c r="B846" s="106" t="s">
        <v>618</v>
      </c>
      <c r="C846" s="107">
        <v>46264</v>
      </c>
      <c r="D846" s="106" t="s">
        <v>902</v>
      </c>
      <c r="E846" s="106" t="s">
        <v>903</v>
      </c>
      <c r="F846" s="106" t="s">
        <v>1108</v>
      </c>
      <c r="G846" s="106" t="s">
        <v>1109</v>
      </c>
      <c r="H846" s="106" t="s">
        <v>639</v>
      </c>
      <c r="I846" s="106"/>
      <c r="J846" s="106"/>
      <c r="K846" s="106">
        <v>1</v>
      </c>
      <c r="L846" s="106">
        <v>0</v>
      </c>
      <c r="M846" s="106">
        <v>0</v>
      </c>
      <c r="N846" s="106"/>
      <c r="O846" s="106"/>
      <c r="P846" s="106">
        <v>0</v>
      </c>
      <c r="Q846" s="111" t="s">
        <v>1598</v>
      </c>
      <c r="S846" s="108">
        <f>IF($A846="","",COUNTIF(BPOworkers!$B$6:$B$105,$A846))</f>
        <v>1</v>
      </c>
      <c r="T846" s="109">
        <f>IF($A846="","",$K846*Config!$C$9)</f>
        <v>8</v>
      </c>
      <c r="U846" s="109">
        <f>IF($A846="","",IF(COUNTIF(Config!$C$21:$C$23,$H846)&gt;0,IFERROR(VALUE(LEFT(TRIM($Q846),FIND(" ",TRIM($Q846)&amp;" ")-1)),0),0))</f>
        <v>0</v>
      </c>
      <c r="V846" s="109">
        <f t="shared" si="156"/>
        <v>8</v>
      </c>
      <c r="W846" s="108">
        <f>IF($A846="",0,IF(AND($C846&gt;=Config!$C$7,$C846&lt;=Config!$C$8),1,0))</f>
        <v>0</v>
      </c>
      <c r="X846" s="108">
        <f>IF($A846="",0,IF(COUNTIF(Config!$C$21:$C$23,$H846)&gt;0,1,0))</f>
        <v>0</v>
      </c>
      <c r="Y846" s="108">
        <f t="shared" si="157"/>
        <v>24</v>
      </c>
      <c r="Z846" s="108" t="str">
        <f t="shared" si="158"/>
        <v/>
      </c>
      <c r="AB846" s="108">
        <f t="shared" si="159"/>
        <v>0</v>
      </c>
      <c r="AC846" s="108">
        <f>IF($A846="",0,IF(AND($AB846=1,COUNTIF($A$2:$A846,$A846)=1),1,0))</f>
        <v>0</v>
      </c>
      <c r="AD846" s="108">
        <f t="shared" si="160"/>
        <v>1</v>
      </c>
      <c r="AE846" s="108" t="str">
        <f t="shared" si="161"/>
        <v/>
      </c>
      <c r="AF846" s="108">
        <f t="shared" si="162"/>
        <v>1</v>
      </c>
      <c r="AG846" s="108">
        <f t="shared" si="163"/>
        <v>1</v>
      </c>
      <c r="AH846" s="112" t="str">
        <f t="shared" si="164"/>
        <v xml:space="preserve">G Pereira|20260830|Review|1.000|Continued reviewing and correcting assignments following
 the client responses/corrections/changes
 24-42N-71W (NE, NW)
</v>
      </c>
      <c r="AI846" s="108">
        <f t="shared" si="165"/>
        <v>0</v>
      </c>
      <c r="AJ846" s="108">
        <f t="shared" si="166"/>
        <v>0</v>
      </c>
      <c r="AK846" s="108">
        <f>IF($A846="",0,IF(AND($S846=1,$W846=1,$X846=1,$U846&gt;Config!$C$9),1,0))</f>
        <v>0</v>
      </c>
      <c r="AL846" s="108">
        <f t="shared" si="167"/>
        <v>0</v>
      </c>
    </row>
    <row r="847" spans="1:38" ht="192.75" x14ac:dyDescent="0.25">
      <c r="A847" s="106" t="s">
        <v>489</v>
      </c>
      <c r="B847" s="106" t="s">
        <v>618</v>
      </c>
      <c r="C847" s="107">
        <v>46264</v>
      </c>
      <c r="D847" s="106" t="s">
        <v>902</v>
      </c>
      <c r="E847" s="106" t="s">
        <v>903</v>
      </c>
      <c r="F847" s="106" t="s">
        <v>1108</v>
      </c>
      <c r="G847" s="106" t="s">
        <v>1109</v>
      </c>
      <c r="H847" s="106" t="s">
        <v>639</v>
      </c>
      <c r="I847" s="106"/>
      <c r="J847" s="106"/>
      <c r="K847" s="106">
        <v>0.5</v>
      </c>
      <c r="L847" s="106">
        <v>0</v>
      </c>
      <c r="M847" s="106">
        <v>0</v>
      </c>
      <c r="N847" s="106"/>
      <c r="O847" s="106"/>
      <c r="P847" s="106">
        <v>0</v>
      </c>
      <c r="Q847" s="111" t="s">
        <v>1598</v>
      </c>
      <c r="S847" s="108">
        <f>IF($A847="","",COUNTIF(BPOworkers!$B$6:$B$105,$A847))</f>
        <v>1</v>
      </c>
      <c r="T847" s="109">
        <f>IF($A847="","",$K847*Config!$C$9)</f>
        <v>4</v>
      </c>
      <c r="U847" s="109">
        <f>IF($A847="","",IF(COUNTIF(Config!$C$21:$C$23,$H847)&gt;0,IFERROR(VALUE(LEFT(TRIM($Q847),FIND(" ",TRIM($Q847)&amp;" ")-1)),0),0))</f>
        <v>0</v>
      </c>
      <c r="V847" s="109">
        <f t="shared" si="156"/>
        <v>4</v>
      </c>
      <c r="W847" s="108">
        <f>IF($A847="",0,IF(AND($C847&gt;=Config!$C$7,$C847&lt;=Config!$C$8),1,0))</f>
        <v>0</v>
      </c>
      <c r="X847" s="108">
        <f>IF($A847="",0,IF(COUNTIF(Config!$C$21:$C$23,$H847)&gt;0,1,0))</f>
        <v>0</v>
      </c>
      <c r="Y847" s="108">
        <f t="shared" si="157"/>
        <v>24</v>
      </c>
      <c r="Z847" s="108" t="str">
        <f t="shared" si="158"/>
        <v/>
      </c>
      <c r="AB847" s="108">
        <f t="shared" si="159"/>
        <v>0</v>
      </c>
      <c r="AC847" s="108">
        <f>IF($A847="",0,IF(AND($AB847=1,COUNTIF($A$2:$A847,$A847)=1),1,0))</f>
        <v>0</v>
      </c>
      <c r="AD847" s="108">
        <f t="shared" si="160"/>
        <v>1</v>
      </c>
      <c r="AE847" s="108" t="str">
        <f t="shared" si="161"/>
        <v/>
      </c>
      <c r="AF847" s="108">
        <f t="shared" si="162"/>
        <v>1</v>
      </c>
      <c r="AG847" s="108">
        <f t="shared" si="163"/>
        <v>1</v>
      </c>
      <c r="AH847" s="112" t="str">
        <f t="shared" si="164"/>
        <v xml:space="preserve">G Pereira|20260830|Review|0.500|Continued reviewing and correcting assignments following
 the client responses/corrections/changes
 24-42N-71W (NE, NW)
</v>
      </c>
      <c r="AI847" s="108">
        <f t="shared" si="165"/>
        <v>0</v>
      </c>
      <c r="AJ847" s="108">
        <f t="shared" si="166"/>
        <v>0</v>
      </c>
      <c r="AK847" s="108">
        <f>IF($A847="",0,IF(AND($S847=1,$W847=1,$X847=1,$U847&gt;Config!$C$9),1,0))</f>
        <v>0</v>
      </c>
      <c r="AL847" s="108">
        <f t="shared" si="167"/>
        <v>0</v>
      </c>
    </row>
    <row r="848" spans="1:38" x14ac:dyDescent="0.25">
      <c r="A848" s="106" t="s">
        <v>622</v>
      </c>
      <c r="B848" s="106" t="s">
        <v>618</v>
      </c>
      <c r="C848" s="107">
        <v>46263</v>
      </c>
      <c r="D848" s="106" t="s">
        <v>680</v>
      </c>
      <c r="E848" s="106" t="s">
        <v>681</v>
      </c>
      <c r="F848" s="106" t="s">
        <v>893</v>
      </c>
      <c r="G848" s="106" t="s">
        <v>894</v>
      </c>
      <c r="H848" s="106" t="s">
        <v>656</v>
      </c>
      <c r="I848" s="106"/>
      <c r="J848" s="106"/>
      <c r="K848" s="106">
        <v>0.125</v>
      </c>
      <c r="L848" s="106">
        <v>0</v>
      </c>
      <c r="M848" s="106">
        <v>0</v>
      </c>
      <c r="N848" s="106"/>
      <c r="O848" s="106"/>
      <c r="P848" s="106">
        <v>0</v>
      </c>
      <c r="Q848" s="106" t="s">
        <v>1599</v>
      </c>
      <c r="S848" s="108">
        <f>IF($A848="","",COUNTIF(BPOworkers!$B$6:$B$105,$A848))</f>
        <v>0</v>
      </c>
      <c r="T848" s="109">
        <f>IF($A848="","",$K848*Config!$C$9)</f>
        <v>1</v>
      </c>
      <c r="U848" s="109">
        <f>IF($A848="","",IF(COUNTIF(Config!$C$21:$C$23,$H848)&gt;0,IFERROR(VALUE(LEFT(TRIM($Q848),FIND(" ",TRIM($Q848)&amp;" ")-1)),0),0))</f>
        <v>0</v>
      </c>
      <c r="V848" s="109">
        <f t="shared" si="156"/>
        <v>1</v>
      </c>
      <c r="W848" s="108">
        <f>IF($A848="",0,IF(AND($C848&gt;=Config!$C$7,$C848&lt;=Config!$C$8),1,0))</f>
        <v>0</v>
      </c>
      <c r="X848" s="108">
        <f>IF($A848="",0,IF(COUNTIF(Config!$C$21:$C$23,$H848)&gt;0,1,0))</f>
        <v>0</v>
      </c>
      <c r="Y848" s="108">
        <f t="shared" si="157"/>
        <v>24</v>
      </c>
      <c r="Z848" s="108" t="str">
        <f t="shared" si="158"/>
        <v/>
      </c>
      <c r="AB848" s="108">
        <f t="shared" si="159"/>
        <v>0</v>
      </c>
      <c r="AC848" s="108">
        <f>IF($A848="",0,IF(AND($AB848=1,COUNTIF($A$2:$A848,$A848)=1),1,0))</f>
        <v>0</v>
      </c>
      <c r="AD848" s="108">
        <f t="shared" si="160"/>
        <v>1</v>
      </c>
      <c r="AE848" s="108" t="str">
        <f t="shared" si="161"/>
        <v/>
      </c>
      <c r="AF848" s="108">
        <f t="shared" si="162"/>
        <v>0</v>
      </c>
      <c r="AG848" s="108">
        <f t="shared" si="163"/>
        <v>0</v>
      </c>
      <c r="AH848" s="110" t="str">
        <f t="shared" si="164"/>
        <v>K. Milcarzyk|20260829|Project Management|0.125|Assigning out Parcel checks to identify common mineral tracts on the 15 lines of data sent over by client.</v>
      </c>
      <c r="AI848" s="108">
        <f t="shared" si="165"/>
        <v>0</v>
      </c>
      <c r="AJ848" s="108">
        <f t="shared" si="166"/>
        <v>0</v>
      </c>
      <c r="AK848" s="108">
        <f>IF($A848="",0,IF(AND($S848=1,$W848=1,$X848=1,$U848&gt;Config!$C$9),1,0))</f>
        <v>0</v>
      </c>
      <c r="AL848" s="108">
        <f t="shared" si="167"/>
        <v>0</v>
      </c>
    </row>
    <row r="849" spans="1:38" x14ac:dyDescent="0.25">
      <c r="A849" s="106" t="s">
        <v>634</v>
      </c>
      <c r="B849" s="106" t="s">
        <v>618</v>
      </c>
      <c r="C849" s="107">
        <v>46263</v>
      </c>
      <c r="D849" s="106" t="s">
        <v>635</v>
      </c>
      <c r="E849" s="106" t="s">
        <v>636</v>
      </c>
      <c r="F849" s="106" t="s">
        <v>637</v>
      </c>
      <c r="G849" s="106" t="s">
        <v>638</v>
      </c>
      <c r="H849" s="106" t="s">
        <v>639</v>
      </c>
      <c r="I849" s="106"/>
      <c r="J849" s="106"/>
      <c r="K849" s="106">
        <v>1</v>
      </c>
      <c r="L849" s="106">
        <v>0</v>
      </c>
      <c r="M849" s="106">
        <v>0</v>
      </c>
      <c r="N849" s="106"/>
      <c r="O849" s="106"/>
      <c r="P849" s="106">
        <v>0</v>
      </c>
      <c r="Q849" s="106" t="s">
        <v>861</v>
      </c>
      <c r="S849" s="108">
        <f>IF($A849="","",COUNTIF(BPOworkers!$B$6:$B$105,$A849))</f>
        <v>0</v>
      </c>
      <c r="T849" s="109">
        <f>IF($A849="","",$K849*Config!$C$9)</f>
        <v>8</v>
      </c>
      <c r="U849" s="109">
        <f>IF($A849="","",IF(COUNTIF(Config!$C$21:$C$23,$H849)&gt;0,IFERROR(VALUE(LEFT(TRIM($Q849),FIND(" ",TRIM($Q849)&amp;" ")-1)),0),0))</f>
        <v>0</v>
      </c>
      <c r="V849" s="109">
        <f t="shared" si="156"/>
        <v>8</v>
      </c>
      <c r="W849" s="108">
        <f>IF($A849="",0,IF(AND($C849&gt;=Config!$C$7,$C849&lt;=Config!$C$8),1,0))</f>
        <v>0</v>
      </c>
      <c r="X849" s="108">
        <f>IF($A849="",0,IF(COUNTIF(Config!$C$21:$C$23,$H849)&gt;0,1,0))</f>
        <v>0</v>
      </c>
      <c r="Y849" s="108">
        <f t="shared" si="157"/>
        <v>24</v>
      </c>
      <c r="Z849" s="108" t="str">
        <f t="shared" si="158"/>
        <v/>
      </c>
      <c r="AB849" s="108">
        <f t="shared" si="159"/>
        <v>0</v>
      </c>
      <c r="AC849" s="108">
        <f>IF($A849="",0,IF(AND($AB849=1,COUNTIF($A$2:$A849,$A849)=1),1,0))</f>
        <v>0</v>
      </c>
      <c r="AD849" s="108">
        <f t="shared" si="160"/>
        <v>1</v>
      </c>
      <c r="AE849" s="108" t="str">
        <f t="shared" si="161"/>
        <v/>
      </c>
      <c r="AF849" s="108">
        <f t="shared" si="162"/>
        <v>0</v>
      </c>
      <c r="AG849" s="108">
        <f t="shared" si="163"/>
        <v>0</v>
      </c>
      <c r="AH849" s="110" t="str">
        <f t="shared" si="164"/>
        <v xml:space="preserve">L. Bailiff|20260829|Review|1.000|Reviewed AOI for Section 28, Township 19 South, Range 34 East in Lea County, NM associated with Federal Lease NM057285. </v>
      </c>
      <c r="AI849" s="108">
        <f t="shared" si="165"/>
        <v>0</v>
      </c>
      <c r="AJ849" s="108">
        <f t="shared" si="166"/>
        <v>0</v>
      </c>
      <c r="AK849" s="108">
        <f>IF($A849="",0,IF(AND($S849=1,$W849=1,$X849=1,$U849&gt;Config!$C$9),1,0))</f>
        <v>0</v>
      </c>
      <c r="AL849" s="108">
        <f t="shared" si="167"/>
        <v>0</v>
      </c>
    </row>
    <row r="850" spans="1:38" x14ac:dyDescent="0.25">
      <c r="A850" s="106" t="s">
        <v>641</v>
      </c>
      <c r="B850" s="106" t="s">
        <v>618</v>
      </c>
      <c r="C850" s="107">
        <v>46263</v>
      </c>
      <c r="D850" s="106" t="s">
        <v>643</v>
      </c>
      <c r="E850" s="106" t="s">
        <v>644</v>
      </c>
      <c r="F850" s="106" t="s">
        <v>645</v>
      </c>
      <c r="G850" s="106" t="s">
        <v>1070</v>
      </c>
      <c r="H850" s="106" t="s">
        <v>639</v>
      </c>
      <c r="I850" s="106"/>
      <c r="J850" s="106"/>
      <c r="K850" s="106">
        <v>0.375</v>
      </c>
      <c r="L850" s="106">
        <v>0</v>
      </c>
      <c r="M850" s="106">
        <v>0</v>
      </c>
      <c r="N850" s="106"/>
      <c r="O850" s="106"/>
      <c r="P850" s="106">
        <v>0</v>
      </c>
      <c r="Q850" s="106" t="s">
        <v>647</v>
      </c>
      <c r="S850" s="108">
        <f>IF($A850="","",COUNTIF(BPOworkers!$B$6:$B$105,$A850))</f>
        <v>0</v>
      </c>
      <c r="T850" s="109">
        <f>IF($A850="","",$K850*Config!$C$9)</f>
        <v>3</v>
      </c>
      <c r="U850" s="109">
        <f>IF($A850="","",IF(COUNTIF(Config!$C$21:$C$23,$H850)&gt;0,IFERROR(VALUE(LEFT(TRIM($Q850),FIND(" ",TRIM($Q850)&amp;" ")-1)),0),0))</f>
        <v>0</v>
      </c>
      <c r="V850" s="109">
        <f t="shared" si="156"/>
        <v>3</v>
      </c>
      <c r="W850" s="108">
        <f>IF($A850="",0,IF(AND($C850&gt;=Config!$C$7,$C850&lt;=Config!$C$8),1,0))</f>
        <v>0</v>
      </c>
      <c r="X850" s="108">
        <f>IF($A850="",0,IF(COUNTIF(Config!$C$21:$C$23,$H850)&gt;0,1,0))</f>
        <v>0</v>
      </c>
      <c r="Y850" s="108">
        <f t="shared" si="157"/>
        <v>24</v>
      </c>
      <c r="Z850" s="108" t="str">
        <f t="shared" si="158"/>
        <v/>
      </c>
      <c r="AB850" s="108">
        <f t="shared" si="159"/>
        <v>0</v>
      </c>
      <c r="AC850" s="108">
        <f>IF($A850="",0,IF(AND($AB850=1,COUNTIF($A$2:$A850,$A850)=1),1,0))</f>
        <v>0</v>
      </c>
      <c r="AD850" s="108">
        <f t="shared" si="160"/>
        <v>1</v>
      </c>
      <c r="AE850" s="108" t="str">
        <f t="shared" si="161"/>
        <v/>
      </c>
      <c r="AF850" s="108">
        <f t="shared" si="162"/>
        <v>0</v>
      </c>
      <c r="AG850" s="108">
        <f t="shared" si="163"/>
        <v>0</v>
      </c>
      <c r="AH850" s="110" t="str">
        <f t="shared" si="164"/>
        <v>M. Young|20260829|Review|0.375|Review cards</v>
      </c>
      <c r="AI850" s="108">
        <f t="shared" si="165"/>
        <v>0</v>
      </c>
      <c r="AJ850" s="108">
        <f t="shared" si="166"/>
        <v>0</v>
      </c>
      <c r="AK850" s="108">
        <f>IF($A850="",0,IF(AND($S850=1,$W850=1,$X850=1,$U850&gt;Config!$C$9),1,0))</f>
        <v>0</v>
      </c>
      <c r="AL850" s="108">
        <f t="shared" si="167"/>
        <v>0</v>
      </c>
    </row>
    <row r="851" spans="1:38" x14ac:dyDescent="0.25">
      <c r="A851" s="106" t="s">
        <v>653</v>
      </c>
      <c r="B851" s="106" t="s">
        <v>614</v>
      </c>
      <c r="C851" s="107">
        <v>46263</v>
      </c>
      <c r="D851" s="106" t="s">
        <v>623</v>
      </c>
      <c r="E851" s="106" t="s">
        <v>624</v>
      </c>
      <c r="F851" s="106" t="s">
        <v>615</v>
      </c>
      <c r="G851" s="106" t="s">
        <v>625</v>
      </c>
      <c r="H851" s="106" t="s">
        <v>830</v>
      </c>
      <c r="I851" s="106" t="s">
        <v>657</v>
      </c>
      <c r="J851" s="106"/>
      <c r="K851" s="106">
        <v>0.25</v>
      </c>
      <c r="L851" s="106">
        <v>0</v>
      </c>
      <c r="M851" s="106">
        <v>0</v>
      </c>
      <c r="N851" s="106"/>
      <c r="O851" s="106"/>
      <c r="P851" s="106">
        <v>0</v>
      </c>
      <c r="Q851" s="106" t="s">
        <v>928</v>
      </c>
      <c r="S851" s="108">
        <f>IF($A851="","",COUNTIF(BPOworkers!$B$6:$B$105,$A851))</f>
        <v>0</v>
      </c>
      <c r="T851" s="109">
        <f>IF($A851="","",$K851*Config!$C$9)</f>
        <v>2</v>
      </c>
      <c r="U851" s="109">
        <f>IF($A851="","",IF(COUNTIF(Config!$C$21:$C$23,$H851)&gt;0,IFERROR(VALUE(LEFT(TRIM($Q851),FIND(" ",TRIM($Q851)&amp;" ")-1)),0),0))</f>
        <v>0</v>
      </c>
      <c r="V851" s="109">
        <f t="shared" si="156"/>
        <v>2</v>
      </c>
      <c r="W851" s="108">
        <f>IF($A851="",0,IF(AND($C851&gt;=Config!$C$7,$C851&lt;=Config!$C$8),1,0))</f>
        <v>0</v>
      </c>
      <c r="X851" s="108">
        <f>IF($A851="",0,IF(COUNTIF(Config!$C$21:$C$23,$H851)&gt;0,1,0))</f>
        <v>0</v>
      </c>
      <c r="Y851" s="108">
        <f t="shared" si="157"/>
        <v>24</v>
      </c>
      <c r="Z851" s="108" t="str">
        <f t="shared" si="158"/>
        <v/>
      </c>
      <c r="AB851" s="108">
        <f t="shared" si="159"/>
        <v>0</v>
      </c>
      <c r="AC851" s="108">
        <f>IF($A851="",0,IF(AND($AB851=1,COUNTIF($A$2:$A851,$A851)=1),1,0))</f>
        <v>0</v>
      </c>
      <c r="AD851" s="108">
        <f t="shared" si="160"/>
        <v>1</v>
      </c>
      <c r="AE851" s="108" t="str">
        <f t="shared" si="161"/>
        <v/>
      </c>
      <c r="AF851" s="108">
        <f t="shared" si="162"/>
        <v>0</v>
      </c>
      <c r="AG851" s="108">
        <f t="shared" si="163"/>
        <v>0</v>
      </c>
      <c r="AH851" s="110" t="str">
        <f t="shared" si="164"/>
        <v>J. Howell|20260829|Training - TLS|0.250|Sponsored</v>
      </c>
      <c r="AI851" s="108">
        <f t="shared" si="165"/>
        <v>0</v>
      </c>
      <c r="AJ851" s="108">
        <f t="shared" si="166"/>
        <v>0</v>
      </c>
      <c r="AK851" s="108">
        <f>IF($A851="",0,IF(AND($S851=1,$W851=1,$X851=1,$U851&gt;Config!$C$9),1,0))</f>
        <v>0</v>
      </c>
      <c r="AL851" s="108">
        <f t="shared" si="167"/>
        <v>0</v>
      </c>
    </row>
    <row r="852" spans="1:38" x14ac:dyDescent="0.25">
      <c r="A852" s="106" t="s">
        <v>653</v>
      </c>
      <c r="B852" s="106" t="s">
        <v>614</v>
      </c>
      <c r="C852" s="107">
        <v>46263</v>
      </c>
      <c r="D852" s="106" t="s">
        <v>623</v>
      </c>
      <c r="E852" s="106" t="s">
        <v>624</v>
      </c>
      <c r="F852" s="106" t="s">
        <v>615</v>
      </c>
      <c r="G852" s="106" t="s">
        <v>625</v>
      </c>
      <c r="H852" s="106" t="s">
        <v>931</v>
      </c>
      <c r="I852" s="106" t="s">
        <v>657</v>
      </c>
      <c r="J852" s="106"/>
      <c r="K852" s="106">
        <v>0.125</v>
      </c>
      <c r="L852" s="106">
        <v>0</v>
      </c>
      <c r="M852" s="106">
        <v>0</v>
      </c>
      <c r="N852" s="106"/>
      <c r="O852" s="106"/>
      <c r="P852" s="106">
        <v>0</v>
      </c>
      <c r="Q852" s="106"/>
      <c r="S852" s="108">
        <f>IF($A852="","",COUNTIF(BPOworkers!$B$6:$B$105,$A852))</f>
        <v>0</v>
      </c>
      <c r="T852" s="109">
        <f>IF($A852="","",$K852*Config!$C$9)</f>
        <v>1</v>
      </c>
      <c r="U852" s="109">
        <f>IF($A852="","",IF(COUNTIF(Config!$C$21:$C$23,$H852)&gt;0,IFERROR(VALUE(LEFT(TRIM($Q852),FIND(" ",TRIM($Q852)&amp;" ")-1)),0),0))</f>
        <v>0</v>
      </c>
      <c r="V852" s="109">
        <f t="shared" si="156"/>
        <v>1</v>
      </c>
      <c r="W852" s="108">
        <f>IF($A852="",0,IF(AND($C852&gt;=Config!$C$7,$C852&lt;=Config!$C$8),1,0))</f>
        <v>0</v>
      </c>
      <c r="X852" s="108">
        <f>IF($A852="",0,IF(COUNTIF(Config!$C$21:$C$23,$H852)&gt;0,1,0))</f>
        <v>0</v>
      </c>
      <c r="Y852" s="108">
        <f t="shared" si="157"/>
        <v>24</v>
      </c>
      <c r="Z852" s="108" t="str">
        <f t="shared" si="158"/>
        <v/>
      </c>
      <c r="AB852" s="108">
        <f t="shared" si="159"/>
        <v>0</v>
      </c>
      <c r="AC852" s="108">
        <f>IF($A852="",0,IF(AND($AB852=1,COUNTIF($A$2:$A852,$A852)=1),1,0))</f>
        <v>0</v>
      </c>
      <c r="AD852" s="108">
        <f t="shared" si="160"/>
        <v>1</v>
      </c>
      <c r="AE852" s="108" t="str">
        <f t="shared" si="161"/>
        <v/>
      </c>
      <c r="AF852" s="108">
        <f t="shared" si="162"/>
        <v>0</v>
      </c>
      <c r="AG852" s="108">
        <f t="shared" si="163"/>
        <v>0</v>
      </c>
      <c r="AH852" s="110" t="str">
        <f t="shared" si="164"/>
        <v>J. Howell|20260829|Support|0.125|</v>
      </c>
      <c r="AI852" s="108">
        <f t="shared" si="165"/>
        <v>0</v>
      </c>
      <c r="AJ852" s="108">
        <f t="shared" si="166"/>
        <v>0</v>
      </c>
      <c r="AK852" s="108">
        <f>IF($A852="",0,IF(AND($S852=1,$W852=1,$X852=1,$U852&gt;Config!$C$9),1,0))</f>
        <v>0</v>
      </c>
      <c r="AL852" s="108">
        <f t="shared" si="167"/>
        <v>0</v>
      </c>
    </row>
    <row r="853" spans="1:38" x14ac:dyDescent="0.25">
      <c r="A853" s="106" t="s">
        <v>942</v>
      </c>
      <c r="B853" s="106" t="s">
        <v>618</v>
      </c>
      <c r="C853" s="107">
        <v>46263</v>
      </c>
      <c r="D853" s="106" t="s">
        <v>635</v>
      </c>
      <c r="E853" s="106" t="s">
        <v>636</v>
      </c>
      <c r="F853" s="106" t="s">
        <v>943</v>
      </c>
      <c r="G853" s="106"/>
      <c r="H853" s="106" t="s">
        <v>639</v>
      </c>
      <c r="I853" s="106"/>
      <c r="J853" s="106" t="s">
        <v>807</v>
      </c>
      <c r="K853" s="106">
        <v>1</v>
      </c>
      <c r="L853" s="106">
        <v>0</v>
      </c>
      <c r="M853" s="106">
        <v>0</v>
      </c>
      <c r="N853" s="106"/>
      <c r="O853" s="106"/>
      <c r="P853" s="106">
        <v>0</v>
      </c>
      <c r="Q853" s="106" t="s">
        <v>639</v>
      </c>
      <c r="S853" s="108">
        <f>IF($A853="","",COUNTIF(BPOworkers!$B$6:$B$105,$A853))</f>
        <v>0</v>
      </c>
      <c r="T853" s="109">
        <f>IF($A853="","",$K853*Config!$C$9)</f>
        <v>8</v>
      </c>
      <c r="U853" s="109">
        <f>IF($A853="","",IF(COUNTIF(Config!$C$21:$C$23,$H853)&gt;0,IFERROR(VALUE(LEFT(TRIM($Q853),FIND(" ",TRIM($Q853)&amp;" ")-1)),0),0))</f>
        <v>0</v>
      </c>
      <c r="V853" s="109">
        <f t="shared" si="156"/>
        <v>8</v>
      </c>
      <c r="W853" s="108">
        <f>IF($A853="",0,IF(AND($C853&gt;=Config!$C$7,$C853&lt;=Config!$C$8),1,0))</f>
        <v>0</v>
      </c>
      <c r="X853" s="108">
        <f>IF($A853="",0,IF(COUNTIF(Config!$C$21:$C$23,$H853)&gt;0,1,0))</f>
        <v>0</v>
      </c>
      <c r="Y853" s="108">
        <f t="shared" si="157"/>
        <v>24</v>
      </c>
      <c r="Z853" s="108" t="str">
        <f t="shared" si="158"/>
        <v/>
      </c>
      <c r="AB853" s="108">
        <f t="shared" si="159"/>
        <v>0</v>
      </c>
      <c r="AC853" s="108">
        <f>IF($A853="",0,IF(AND($AB853=1,COUNTIF($A$2:$A853,$A853)=1),1,0))</f>
        <v>0</v>
      </c>
      <c r="AD853" s="108">
        <f t="shared" si="160"/>
        <v>1</v>
      </c>
      <c r="AE853" s="108" t="str">
        <f t="shared" si="161"/>
        <v/>
      </c>
      <c r="AF853" s="108">
        <f t="shared" si="162"/>
        <v>0</v>
      </c>
      <c r="AG853" s="108">
        <f t="shared" si="163"/>
        <v>0</v>
      </c>
      <c r="AH853" s="110" t="str">
        <f t="shared" si="164"/>
        <v>J. Warlick|20260829|Review|1.000|Review</v>
      </c>
      <c r="AI853" s="108">
        <f t="shared" si="165"/>
        <v>0</v>
      </c>
      <c r="AJ853" s="108">
        <f t="shared" si="166"/>
        <v>0</v>
      </c>
      <c r="AK853" s="108">
        <f>IF($A853="",0,IF(AND($S853=1,$W853=1,$X853=1,$U853&gt;Config!$C$9),1,0))</f>
        <v>0</v>
      </c>
      <c r="AL853" s="108">
        <f t="shared" si="167"/>
        <v>0</v>
      </c>
    </row>
    <row r="854" spans="1:38" x14ac:dyDescent="0.25">
      <c r="A854" s="106" t="s">
        <v>679</v>
      </c>
      <c r="B854" s="106" t="s">
        <v>618</v>
      </c>
      <c r="C854" s="107">
        <v>46263</v>
      </c>
      <c r="D854" s="106" t="s">
        <v>680</v>
      </c>
      <c r="E854" s="106" t="s">
        <v>681</v>
      </c>
      <c r="F854" s="106" t="s">
        <v>682</v>
      </c>
      <c r="G854" s="106"/>
      <c r="H854" s="106" t="s">
        <v>631</v>
      </c>
      <c r="I854" s="106"/>
      <c r="J854" s="106"/>
      <c r="K854" s="106">
        <v>0.5</v>
      </c>
      <c r="L854" s="106">
        <v>0</v>
      </c>
      <c r="M854" s="106">
        <v>0</v>
      </c>
      <c r="N854" s="106"/>
      <c r="O854" s="106"/>
      <c r="P854" s="106">
        <v>0</v>
      </c>
      <c r="Q854" s="106" t="s">
        <v>1594</v>
      </c>
      <c r="S854" s="108">
        <f>IF($A854="","",COUNTIF(BPOworkers!$B$6:$B$105,$A854))</f>
        <v>0</v>
      </c>
      <c r="T854" s="109">
        <f>IF($A854="","",$K854*Config!$C$9)</f>
        <v>4</v>
      </c>
      <c r="U854" s="109">
        <f>IF($A854="","",IF(COUNTIF(Config!$C$21:$C$23,$H854)&gt;0,IFERROR(VALUE(LEFT(TRIM($Q854),FIND(" ",TRIM($Q854)&amp;" ")-1)),0),0))</f>
        <v>0</v>
      </c>
      <c r="V854" s="109">
        <f t="shared" si="156"/>
        <v>4</v>
      </c>
      <c r="W854" s="108">
        <f>IF($A854="",0,IF(AND($C854&gt;=Config!$C$7,$C854&lt;=Config!$C$8),1,0))</f>
        <v>0</v>
      </c>
      <c r="X854" s="108">
        <f>IF($A854="",0,IF(COUNTIF(Config!$C$21:$C$23,$H854)&gt;0,1,0))</f>
        <v>0</v>
      </c>
      <c r="Y854" s="108">
        <f t="shared" si="157"/>
        <v>24</v>
      </c>
      <c r="Z854" s="108" t="str">
        <f t="shared" si="158"/>
        <v/>
      </c>
      <c r="AB854" s="108">
        <f t="shared" si="159"/>
        <v>0</v>
      </c>
      <c r="AC854" s="108">
        <f>IF($A854="",0,IF(AND($AB854=1,COUNTIF($A$2:$A854,$A854)=1),1,0))</f>
        <v>0</v>
      </c>
      <c r="AD854" s="108">
        <f t="shared" si="160"/>
        <v>1</v>
      </c>
      <c r="AE854" s="108" t="str">
        <f t="shared" si="161"/>
        <v/>
      </c>
      <c r="AF854" s="108">
        <f t="shared" si="162"/>
        <v>0</v>
      </c>
      <c r="AG854" s="108">
        <f t="shared" si="163"/>
        <v>0</v>
      </c>
      <c r="AH854" s="110" t="str">
        <f t="shared" si="164"/>
        <v>M. Soter|20260829|Title|0.500|Indexing in Carroll, Columbiana and Harrison Counties to confirm source deeds into Rising Phoenix or Strata Petroleum, L</v>
      </c>
      <c r="AI854" s="108">
        <f t="shared" si="165"/>
        <v>0</v>
      </c>
      <c r="AJ854" s="108">
        <f t="shared" si="166"/>
        <v>0</v>
      </c>
      <c r="AK854" s="108">
        <f>IF($A854="",0,IF(AND($S854=1,$W854=1,$X854=1,$U854&gt;Config!$C$9),1,0))</f>
        <v>0</v>
      </c>
      <c r="AL854" s="108">
        <f t="shared" si="167"/>
        <v>0</v>
      </c>
    </row>
    <row r="855" spans="1:38" ht="204.75" x14ac:dyDescent="0.25">
      <c r="A855" s="106" t="s">
        <v>478</v>
      </c>
      <c r="B855" s="106" t="s">
        <v>618</v>
      </c>
      <c r="C855" s="107">
        <v>46263</v>
      </c>
      <c r="D855" s="106" t="s">
        <v>902</v>
      </c>
      <c r="E855" s="106" t="s">
        <v>903</v>
      </c>
      <c r="F855" s="106" t="s">
        <v>1108</v>
      </c>
      <c r="G855" s="106" t="s">
        <v>1109</v>
      </c>
      <c r="H855" s="106" t="s">
        <v>639</v>
      </c>
      <c r="I855" s="106"/>
      <c r="J855" s="106"/>
      <c r="K855" s="106">
        <v>0.75</v>
      </c>
      <c r="L855" s="106">
        <v>0</v>
      </c>
      <c r="M855" s="106">
        <v>0</v>
      </c>
      <c r="N855" s="106"/>
      <c r="O855" s="106"/>
      <c r="P855" s="106">
        <v>0</v>
      </c>
      <c r="Q855" s="111" t="s">
        <v>1600</v>
      </c>
      <c r="S855" s="108">
        <f>IF($A855="","",COUNTIF(BPOworkers!$B$6:$B$105,$A855))</f>
        <v>1</v>
      </c>
      <c r="T855" s="109">
        <f>IF($A855="","",$K855*Config!$C$9)</f>
        <v>6</v>
      </c>
      <c r="U855" s="109">
        <f>IF($A855="","",IF(COUNTIF(Config!$C$21:$C$23,$H855)&gt;0,IFERROR(VALUE(LEFT(TRIM($Q855),FIND(" ",TRIM($Q855)&amp;" ")-1)),0),0))</f>
        <v>0</v>
      </c>
      <c r="V855" s="109">
        <f t="shared" si="156"/>
        <v>6</v>
      </c>
      <c r="W855" s="108">
        <f>IF($A855="",0,IF(AND($C855&gt;=Config!$C$7,$C855&lt;=Config!$C$8),1,0))</f>
        <v>0</v>
      </c>
      <c r="X855" s="108">
        <f>IF($A855="",0,IF(COUNTIF(Config!$C$21:$C$23,$H855)&gt;0,1,0))</f>
        <v>0</v>
      </c>
      <c r="Y855" s="108">
        <f t="shared" si="157"/>
        <v>24</v>
      </c>
      <c r="Z855" s="108" t="str">
        <f t="shared" si="158"/>
        <v/>
      </c>
      <c r="AB855" s="108">
        <f t="shared" si="159"/>
        <v>0</v>
      </c>
      <c r="AC855" s="108">
        <f>IF($A855="",0,IF(AND($AB855=1,COUNTIF($A$2:$A855,$A855)=1),1,0))</f>
        <v>0</v>
      </c>
      <c r="AD855" s="108">
        <f t="shared" si="160"/>
        <v>1</v>
      </c>
      <c r="AE855" s="108" t="str">
        <f t="shared" si="161"/>
        <v/>
      </c>
      <c r="AF855" s="108">
        <f t="shared" si="162"/>
        <v>1</v>
      </c>
      <c r="AG855" s="108">
        <f t="shared" si="163"/>
        <v>1</v>
      </c>
      <c r="AH855" s="112" t="str">
        <f t="shared" si="164"/>
        <v xml:space="preserve">L Silva|20260829|Review|0.750|- Continued reviewing and correcting assignments following the client responses/corrections/changes
 5-35N-69W (S2SE)
</v>
      </c>
      <c r="AI855" s="108">
        <f t="shared" si="165"/>
        <v>0</v>
      </c>
      <c r="AJ855" s="108">
        <f t="shared" si="166"/>
        <v>0</v>
      </c>
      <c r="AK855" s="108">
        <f>IF($A855="",0,IF(AND($S855=1,$W855=1,$X855=1,$U855&gt;Config!$C$9),1,0))</f>
        <v>0</v>
      </c>
      <c r="AL855" s="108">
        <f t="shared" si="167"/>
        <v>0</v>
      </c>
    </row>
    <row r="856" spans="1:38" ht="180.75" x14ac:dyDescent="0.25">
      <c r="A856" s="106" t="s">
        <v>496</v>
      </c>
      <c r="B856" s="106" t="s">
        <v>618</v>
      </c>
      <c r="C856" s="107">
        <v>46263</v>
      </c>
      <c r="D856" s="106" t="s">
        <v>902</v>
      </c>
      <c r="E856" s="106" t="s">
        <v>903</v>
      </c>
      <c r="F856" s="106" t="s">
        <v>1108</v>
      </c>
      <c r="G856" s="106" t="s">
        <v>1109</v>
      </c>
      <c r="H856" s="106" t="s">
        <v>639</v>
      </c>
      <c r="I856" s="106"/>
      <c r="J856" s="106"/>
      <c r="K856" s="106">
        <v>1</v>
      </c>
      <c r="L856" s="106">
        <v>0</v>
      </c>
      <c r="M856" s="106">
        <v>0</v>
      </c>
      <c r="N856" s="106"/>
      <c r="O856" s="106"/>
      <c r="P856" s="106">
        <v>0</v>
      </c>
      <c r="Q856" s="111" t="s">
        <v>1601</v>
      </c>
      <c r="S856" s="108">
        <f>IF($A856="","",COUNTIF(BPOworkers!$B$6:$B$105,$A856))</f>
        <v>1</v>
      </c>
      <c r="T856" s="109">
        <f>IF($A856="","",$K856*Config!$C$9)</f>
        <v>8</v>
      </c>
      <c r="U856" s="109">
        <f>IF($A856="","",IF(COUNTIF(Config!$C$21:$C$23,$H856)&gt;0,IFERROR(VALUE(LEFT(TRIM($Q856),FIND(" ",TRIM($Q856)&amp;" ")-1)),0),0))</f>
        <v>0</v>
      </c>
      <c r="V856" s="109">
        <f t="shared" si="156"/>
        <v>8</v>
      </c>
      <c r="W856" s="108">
        <f>IF($A856="",0,IF(AND($C856&gt;=Config!$C$7,$C856&lt;=Config!$C$8),1,0))</f>
        <v>0</v>
      </c>
      <c r="X856" s="108">
        <f>IF($A856="",0,IF(COUNTIF(Config!$C$21:$C$23,$H856)&gt;0,1,0))</f>
        <v>0</v>
      </c>
      <c r="Y856" s="108">
        <f t="shared" si="157"/>
        <v>24</v>
      </c>
      <c r="Z856" s="108" t="str">
        <f t="shared" si="158"/>
        <v/>
      </c>
      <c r="AB856" s="108">
        <f t="shared" si="159"/>
        <v>0</v>
      </c>
      <c r="AC856" s="108">
        <f>IF($A856="",0,IF(AND($AB856=1,COUNTIF($A$2:$A856,$A856)=1),1,0))</f>
        <v>0</v>
      </c>
      <c r="AD856" s="108">
        <f t="shared" si="160"/>
        <v>1</v>
      </c>
      <c r="AE856" s="108" t="str">
        <f t="shared" si="161"/>
        <v/>
      </c>
      <c r="AF856" s="108">
        <f t="shared" si="162"/>
        <v>1</v>
      </c>
      <c r="AG856" s="108">
        <f t="shared" si="163"/>
        <v>1</v>
      </c>
      <c r="AH856" s="112" t="str">
        <f t="shared" si="164"/>
        <v>N Espitia|20260829|Review|1.000|- Continued reviewing and correcting assignments following the client responses/corrections/changes
 - Reviewed all assi</v>
      </c>
      <c r="AI856" s="108">
        <f t="shared" si="165"/>
        <v>0</v>
      </c>
      <c r="AJ856" s="108">
        <f t="shared" si="166"/>
        <v>0</v>
      </c>
      <c r="AK856" s="108">
        <f>IF($A856="",0,IF(AND($S856=1,$W856=1,$X856=1,$U856&gt;Config!$C$9),1,0))</f>
        <v>0</v>
      </c>
      <c r="AL856" s="108">
        <f t="shared" si="167"/>
        <v>0</v>
      </c>
    </row>
    <row r="857" spans="1:38" ht="180.75" x14ac:dyDescent="0.25">
      <c r="A857" s="106" t="s">
        <v>496</v>
      </c>
      <c r="B857" s="106" t="s">
        <v>618</v>
      </c>
      <c r="C857" s="107">
        <v>46263</v>
      </c>
      <c r="D857" s="106" t="s">
        <v>902</v>
      </c>
      <c r="E857" s="106" t="s">
        <v>903</v>
      </c>
      <c r="F857" s="106" t="s">
        <v>1108</v>
      </c>
      <c r="G857" s="106" t="s">
        <v>1109</v>
      </c>
      <c r="H857" s="106" t="s">
        <v>639</v>
      </c>
      <c r="I857" s="106"/>
      <c r="J857" s="106"/>
      <c r="K857" s="106">
        <v>0.5</v>
      </c>
      <c r="L857" s="106">
        <v>0</v>
      </c>
      <c r="M857" s="106">
        <v>0</v>
      </c>
      <c r="N857" s="106"/>
      <c r="O857" s="106"/>
      <c r="P857" s="106">
        <v>0</v>
      </c>
      <c r="Q857" s="111" t="s">
        <v>1601</v>
      </c>
      <c r="S857" s="108">
        <f>IF($A857="","",COUNTIF(BPOworkers!$B$6:$B$105,$A857))</f>
        <v>1</v>
      </c>
      <c r="T857" s="109">
        <f>IF($A857="","",$K857*Config!$C$9)</f>
        <v>4</v>
      </c>
      <c r="U857" s="109">
        <f>IF($A857="","",IF(COUNTIF(Config!$C$21:$C$23,$H857)&gt;0,IFERROR(VALUE(LEFT(TRIM($Q857),FIND(" ",TRIM($Q857)&amp;" ")-1)),0),0))</f>
        <v>0</v>
      </c>
      <c r="V857" s="109">
        <f t="shared" si="156"/>
        <v>4</v>
      </c>
      <c r="W857" s="108">
        <f>IF($A857="",0,IF(AND($C857&gt;=Config!$C$7,$C857&lt;=Config!$C$8),1,0))</f>
        <v>0</v>
      </c>
      <c r="X857" s="108">
        <f>IF($A857="",0,IF(COUNTIF(Config!$C$21:$C$23,$H857)&gt;0,1,0))</f>
        <v>0</v>
      </c>
      <c r="Y857" s="108">
        <f t="shared" si="157"/>
        <v>24</v>
      </c>
      <c r="Z857" s="108" t="str">
        <f t="shared" si="158"/>
        <v/>
      </c>
      <c r="AB857" s="108">
        <f t="shared" si="159"/>
        <v>0</v>
      </c>
      <c r="AC857" s="108">
        <f>IF($A857="",0,IF(AND($AB857=1,COUNTIF($A$2:$A857,$A857)=1),1,0))</f>
        <v>0</v>
      </c>
      <c r="AD857" s="108">
        <f t="shared" si="160"/>
        <v>1</v>
      </c>
      <c r="AE857" s="108" t="str">
        <f t="shared" si="161"/>
        <v/>
      </c>
      <c r="AF857" s="108">
        <f t="shared" si="162"/>
        <v>1</v>
      </c>
      <c r="AG857" s="108">
        <f t="shared" si="163"/>
        <v>1</v>
      </c>
      <c r="AH857" s="112" t="str">
        <f t="shared" si="164"/>
        <v>N Espitia|20260829|Review|0.500|- Continued reviewing and correcting assignments following the client responses/corrections/changes
 - Reviewed all assi</v>
      </c>
      <c r="AI857" s="108">
        <f t="shared" si="165"/>
        <v>0</v>
      </c>
      <c r="AJ857" s="108">
        <f t="shared" si="166"/>
        <v>0</v>
      </c>
      <c r="AK857" s="108">
        <f>IF($A857="",0,IF(AND($S857=1,$W857=1,$X857=1,$U857&gt;Config!$C$9),1,0))</f>
        <v>0</v>
      </c>
      <c r="AL857" s="108">
        <f t="shared" si="167"/>
        <v>0</v>
      </c>
    </row>
    <row r="858" spans="1:38" ht="192.75" x14ac:dyDescent="0.25">
      <c r="A858" s="106" t="s">
        <v>489</v>
      </c>
      <c r="B858" s="106" t="s">
        <v>618</v>
      </c>
      <c r="C858" s="107">
        <v>46263</v>
      </c>
      <c r="D858" s="106" t="s">
        <v>902</v>
      </c>
      <c r="E858" s="106" t="s">
        <v>903</v>
      </c>
      <c r="F858" s="106" t="s">
        <v>1108</v>
      </c>
      <c r="G858" s="106" t="s">
        <v>1109</v>
      </c>
      <c r="H858" s="106" t="s">
        <v>639</v>
      </c>
      <c r="I858" s="106"/>
      <c r="J858" s="106"/>
      <c r="K858" s="106">
        <v>1</v>
      </c>
      <c r="L858" s="106">
        <v>0</v>
      </c>
      <c r="M858" s="106">
        <v>0</v>
      </c>
      <c r="N858" s="106"/>
      <c r="O858" s="106"/>
      <c r="P858" s="106">
        <v>0</v>
      </c>
      <c r="Q858" s="111" t="s">
        <v>1602</v>
      </c>
      <c r="S858" s="108">
        <f>IF($A858="","",COUNTIF(BPOworkers!$B$6:$B$105,$A858))</f>
        <v>1</v>
      </c>
      <c r="T858" s="109">
        <f>IF($A858="","",$K858*Config!$C$9)</f>
        <v>8</v>
      </c>
      <c r="U858" s="109">
        <f>IF($A858="","",IF(COUNTIF(Config!$C$21:$C$23,$H858)&gt;0,IFERROR(VALUE(LEFT(TRIM($Q858),FIND(" ",TRIM($Q858)&amp;" ")-1)),0),0))</f>
        <v>0</v>
      </c>
      <c r="V858" s="109">
        <f t="shared" si="156"/>
        <v>8</v>
      </c>
      <c r="W858" s="108">
        <f>IF($A858="",0,IF(AND($C858&gt;=Config!$C$7,$C858&lt;=Config!$C$8),1,0))</f>
        <v>0</v>
      </c>
      <c r="X858" s="108">
        <f>IF($A858="",0,IF(COUNTIF(Config!$C$21:$C$23,$H858)&gt;0,1,0))</f>
        <v>0</v>
      </c>
      <c r="Y858" s="108">
        <f t="shared" si="157"/>
        <v>24</v>
      </c>
      <c r="Z858" s="108" t="str">
        <f t="shared" si="158"/>
        <v/>
      </c>
      <c r="AB858" s="108">
        <f t="shared" si="159"/>
        <v>0</v>
      </c>
      <c r="AC858" s="108">
        <f>IF($A858="",0,IF(AND($AB858=1,COUNTIF($A$2:$A858,$A858)=1),1,0))</f>
        <v>0</v>
      </c>
      <c r="AD858" s="108">
        <f t="shared" si="160"/>
        <v>1</v>
      </c>
      <c r="AE858" s="108" t="str">
        <f t="shared" si="161"/>
        <v/>
      </c>
      <c r="AF858" s="108">
        <f t="shared" si="162"/>
        <v>1</v>
      </c>
      <c r="AG858" s="108">
        <f t="shared" si="163"/>
        <v>1</v>
      </c>
      <c r="AH858" s="112" t="str">
        <f t="shared" si="164"/>
        <v>G Pereira|20260829|Review|1.000|Continued reviewing and correcting assignments following
 the client responses/corrections/changes
 10-34N-68W (NWNE)
 1</v>
      </c>
      <c r="AI858" s="108">
        <f t="shared" si="165"/>
        <v>0</v>
      </c>
      <c r="AJ858" s="108">
        <f t="shared" si="166"/>
        <v>0</v>
      </c>
      <c r="AK858" s="108">
        <f>IF($A858="",0,IF(AND($S858=1,$W858=1,$X858=1,$U858&gt;Config!$C$9),1,0))</f>
        <v>0</v>
      </c>
      <c r="AL858" s="108">
        <f t="shared" si="167"/>
        <v>0</v>
      </c>
    </row>
    <row r="859" spans="1:38" ht="192.75" x14ac:dyDescent="0.25">
      <c r="A859" s="106" t="s">
        <v>489</v>
      </c>
      <c r="B859" s="106" t="s">
        <v>618</v>
      </c>
      <c r="C859" s="107">
        <v>46263</v>
      </c>
      <c r="D859" s="106" t="s">
        <v>902</v>
      </c>
      <c r="E859" s="106" t="s">
        <v>903</v>
      </c>
      <c r="F859" s="106" t="s">
        <v>1108</v>
      </c>
      <c r="G859" s="106" t="s">
        <v>1109</v>
      </c>
      <c r="H859" s="106" t="s">
        <v>639</v>
      </c>
      <c r="I859" s="106"/>
      <c r="J859" s="106"/>
      <c r="K859" s="106">
        <v>0.5</v>
      </c>
      <c r="L859" s="106">
        <v>0</v>
      </c>
      <c r="M859" s="106">
        <v>0</v>
      </c>
      <c r="N859" s="106"/>
      <c r="O859" s="106"/>
      <c r="P859" s="106">
        <v>0</v>
      </c>
      <c r="Q859" s="111" t="s">
        <v>1602</v>
      </c>
      <c r="S859" s="108">
        <f>IF($A859="","",COUNTIF(BPOworkers!$B$6:$B$105,$A859))</f>
        <v>1</v>
      </c>
      <c r="T859" s="109">
        <f>IF($A859="","",$K859*Config!$C$9)</f>
        <v>4</v>
      </c>
      <c r="U859" s="109">
        <f>IF($A859="","",IF(COUNTIF(Config!$C$21:$C$23,$H859)&gt;0,IFERROR(VALUE(LEFT(TRIM($Q859),FIND(" ",TRIM($Q859)&amp;" ")-1)),0),0))</f>
        <v>0</v>
      </c>
      <c r="V859" s="109">
        <f t="shared" si="156"/>
        <v>4</v>
      </c>
      <c r="W859" s="108">
        <f>IF($A859="",0,IF(AND($C859&gt;=Config!$C$7,$C859&lt;=Config!$C$8),1,0))</f>
        <v>0</v>
      </c>
      <c r="X859" s="108">
        <f>IF($A859="",0,IF(COUNTIF(Config!$C$21:$C$23,$H859)&gt;0,1,0))</f>
        <v>0</v>
      </c>
      <c r="Y859" s="108">
        <f t="shared" si="157"/>
        <v>24</v>
      </c>
      <c r="Z859" s="108" t="str">
        <f t="shared" si="158"/>
        <v/>
      </c>
      <c r="AB859" s="108">
        <f t="shared" si="159"/>
        <v>0</v>
      </c>
      <c r="AC859" s="108">
        <f>IF($A859="",0,IF(AND($AB859=1,COUNTIF($A$2:$A859,$A859)=1),1,0))</f>
        <v>0</v>
      </c>
      <c r="AD859" s="108">
        <f t="shared" si="160"/>
        <v>1</v>
      </c>
      <c r="AE859" s="108" t="str">
        <f t="shared" si="161"/>
        <v/>
      </c>
      <c r="AF859" s="108">
        <f t="shared" si="162"/>
        <v>1</v>
      </c>
      <c r="AG859" s="108">
        <f t="shared" si="163"/>
        <v>1</v>
      </c>
      <c r="AH859" s="112" t="str">
        <f t="shared" si="164"/>
        <v>G Pereira|20260829|Review|0.500|Continued reviewing and correcting assignments following
 the client responses/corrections/changes
 10-34N-68W (NWNE)
 1</v>
      </c>
      <c r="AI859" s="108">
        <f t="shared" si="165"/>
        <v>0</v>
      </c>
      <c r="AJ859" s="108">
        <f t="shared" si="166"/>
        <v>0</v>
      </c>
      <c r="AK859" s="108">
        <f>IF($A859="",0,IF(AND($S859=1,$W859=1,$X859=1,$U859&gt;Config!$C$9),1,0))</f>
        <v>0</v>
      </c>
      <c r="AL859" s="108">
        <f t="shared" si="167"/>
        <v>0</v>
      </c>
    </row>
    <row r="860" spans="1:38" x14ac:dyDescent="0.25">
      <c r="S860" s="108" t="str">
        <f>IF($A860="","",COUNTIF(BPOworkers!$B$6:$B$105,$A860))</f>
        <v/>
      </c>
      <c r="T860" s="109" t="str">
        <f>IF($A860="","",$K860*Config!$C$9)</f>
        <v/>
      </c>
      <c r="U860" s="109" t="str">
        <f>IF($A860="","",IF(COUNTIF(Config!$C$21:$C$23,$H860)&gt;0,IFERROR(VALUE(LEFT(TRIM($Q860),FIND(" ",TRIM($Q860)&amp;" ")-1)),0),0))</f>
        <v/>
      </c>
      <c r="V860" s="109" t="str">
        <f t="shared" si="156"/>
        <v/>
      </c>
      <c r="W860" s="108">
        <f>IF($A860="",0,IF(AND($C860&gt;=Config!$C$7,$C860&lt;=Config!$C$8),1,0))</f>
        <v>0</v>
      </c>
      <c r="X860" s="108">
        <f>IF($A860="",0,IF(COUNTIF(Config!$C$21:$C$23,$H860)&gt;0,1,0))</f>
        <v>0</v>
      </c>
      <c r="Y860" s="108">
        <f t="shared" si="157"/>
        <v>24</v>
      </c>
      <c r="Z860" s="108" t="str">
        <f t="shared" si="158"/>
        <v/>
      </c>
      <c r="AB860" s="108">
        <f t="shared" si="159"/>
        <v>0</v>
      </c>
      <c r="AC860" s="108">
        <f>IF($A860="",0,IF(AND($AB860=1,COUNTIF($A$2:$A860,$A860)=1),1,0))</f>
        <v>0</v>
      </c>
      <c r="AD860" s="108">
        <f t="shared" si="160"/>
        <v>1</v>
      </c>
      <c r="AE860" s="108" t="str">
        <f t="shared" si="161"/>
        <v/>
      </c>
      <c r="AF860" s="108">
        <f t="shared" si="162"/>
        <v>0</v>
      </c>
      <c r="AG860" s="108">
        <f t="shared" si="163"/>
        <v>0</v>
      </c>
      <c r="AH860" s="110" t="str">
        <f t="shared" si="164"/>
        <v/>
      </c>
      <c r="AI860" s="108">
        <f t="shared" si="165"/>
        <v>0</v>
      </c>
      <c r="AJ860" s="108">
        <f t="shared" si="166"/>
        <v>0</v>
      </c>
      <c r="AK860" s="108">
        <f>IF($A860="",0,IF(AND($S860=1,$W860=1,$X860=1,$U860&gt;Config!$C$9),1,0))</f>
        <v>0</v>
      </c>
      <c r="AL860" s="108">
        <f t="shared" si="167"/>
        <v>0</v>
      </c>
    </row>
    <row r="861" spans="1:38" x14ac:dyDescent="0.25">
      <c r="S861" s="108" t="str">
        <f>IF($A861="","",COUNTIF(BPOworkers!$B$6:$B$105,$A861))</f>
        <v/>
      </c>
      <c r="T861" s="109" t="str">
        <f>IF($A861="","",$K861*Config!$C$9)</f>
        <v/>
      </c>
      <c r="U861" s="109" t="str">
        <f>IF($A861="","",IF(COUNTIF(Config!$C$21:$C$23,$H861)&gt;0,IFERROR(VALUE(LEFT(TRIM($Q861),FIND(" ",TRIM($Q861)&amp;" ")-1)),0),0))</f>
        <v/>
      </c>
      <c r="V861" s="109" t="str">
        <f t="shared" si="156"/>
        <v/>
      </c>
      <c r="W861" s="108">
        <f>IF($A861="",0,IF(AND($C861&gt;=Config!$C$7,$C861&lt;=Config!$C$8),1,0))</f>
        <v>0</v>
      </c>
      <c r="X861" s="108">
        <f>IF($A861="",0,IF(COUNTIF(Config!$C$21:$C$23,$H861)&gt;0,1,0))</f>
        <v>0</v>
      </c>
      <c r="Y861" s="108">
        <f t="shared" si="157"/>
        <v>24</v>
      </c>
      <c r="Z861" s="108" t="str">
        <f t="shared" si="158"/>
        <v/>
      </c>
      <c r="AB861" s="108">
        <f t="shared" si="159"/>
        <v>0</v>
      </c>
      <c r="AC861" s="108">
        <f>IF($A861="",0,IF(AND($AB861=1,COUNTIF($A$2:$A861,$A861)=1),1,0))</f>
        <v>0</v>
      </c>
      <c r="AD861" s="108">
        <f t="shared" si="160"/>
        <v>1</v>
      </c>
      <c r="AE861" s="108" t="str">
        <f t="shared" si="161"/>
        <v/>
      </c>
      <c r="AF861" s="108">
        <f t="shared" si="162"/>
        <v>0</v>
      </c>
      <c r="AG861" s="108">
        <f t="shared" si="163"/>
        <v>0</v>
      </c>
      <c r="AH861" s="110" t="str">
        <f t="shared" si="164"/>
        <v/>
      </c>
      <c r="AI861" s="108">
        <f t="shared" si="165"/>
        <v>0</v>
      </c>
      <c r="AJ861" s="108">
        <f t="shared" si="166"/>
        <v>0</v>
      </c>
      <c r="AK861" s="108">
        <f>IF($A861="",0,IF(AND($S861=1,$W861=1,$X861=1,$U861&gt;Config!$C$9),1,0))</f>
        <v>0</v>
      </c>
      <c r="AL861" s="108">
        <f t="shared" si="167"/>
        <v>0</v>
      </c>
    </row>
    <row r="862" spans="1:38" x14ac:dyDescent="0.25">
      <c r="S862" s="108" t="str">
        <f>IF($A862="","",COUNTIF(BPOworkers!$B$6:$B$105,$A862))</f>
        <v/>
      </c>
      <c r="T862" s="109" t="str">
        <f>IF($A862="","",$K862*Config!$C$9)</f>
        <v/>
      </c>
      <c r="U862" s="109" t="str">
        <f>IF($A862="","",IF(COUNTIF(Config!$C$21:$C$23,$H862)&gt;0,IFERROR(VALUE(LEFT(TRIM($Q862),FIND(" ",TRIM($Q862)&amp;" ")-1)),0),0))</f>
        <v/>
      </c>
      <c r="V862" s="109" t="str">
        <f t="shared" si="156"/>
        <v/>
      </c>
      <c r="W862" s="108">
        <f>IF($A862="",0,IF(AND($C862&gt;=Config!$C$7,$C862&lt;=Config!$C$8),1,0))</f>
        <v>0</v>
      </c>
      <c r="X862" s="108">
        <f>IF($A862="",0,IF(COUNTIF(Config!$C$21:$C$23,$H862)&gt;0,1,0))</f>
        <v>0</v>
      </c>
      <c r="Y862" s="108">
        <f t="shared" si="157"/>
        <v>24</v>
      </c>
      <c r="Z862" s="108" t="str">
        <f t="shared" si="158"/>
        <v/>
      </c>
      <c r="AB862" s="108">
        <f t="shared" si="159"/>
        <v>0</v>
      </c>
      <c r="AC862" s="108">
        <f>IF($A862="",0,IF(AND($AB862=1,COUNTIF($A$2:$A862,$A862)=1),1,0))</f>
        <v>0</v>
      </c>
      <c r="AD862" s="108">
        <f t="shared" si="160"/>
        <v>1</v>
      </c>
      <c r="AE862" s="108" t="str">
        <f t="shared" si="161"/>
        <v/>
      </c>
      <c r="AF862" s="108">
        <f t="shared" si="162"/>
        <v>0</v>
      </c>
      <c r="AG862" s="108">
        <f t="shared" si="163"/>
        <v>0</v>
      </c>
      <c r="AH862" s="110" t="str">
        <f t="shared" si="164"/>
        <v/>
      </c>
      <c r="AI862" s="108">
        <f t="shared" si="165"/>
        <v>0</v>
      </c>
      <c r="AJ862" s="108">
        <f t="shared" si="166"/>
        <v>0</v>
      </c>
      <c r="AK862" s="108">
        <f>IF($A862="",0,IF(AND($S862=1,$W862=1,$X862=1,$U862&gt;Config!$C$9),1,0))</f>
        <v>0</v>
      </c>
      <c r="AL862" s="108">
        <f t="shared" si="167"/>
        <v>0</v>
      </c>
    </row>
    <row r="863" spans="1:38" x14ac:dyDescent="0.25">
      <c r="S863" s="108" t="str">
        <f>IF($A863="","",COUNTIF(BPOworkers!$B$6:$B$105,$A863))</f>
        <v/>
      </c>
      <c r="T863" s="109" t="str">
        <f>IF($A863="","",$K863*Config!$C$9)</f>
        <v/>
      </c>
      <c r="U863" s="109" t="str">
        <f>IF($A863="","",IF(COUNTIF(Config!$C$21:$C$23,$H863)&gt;0,IFERROR(VALUE(LEFT(TRIM($Q863),FIND(" ",TRIM($Q863)&amp;" ")-1)),0),0))</f>
        <v/>
      </c>
      <c r="V863" s="109" t="str">
        <f t="shared" si="156"/>
        <v/>
      </c>
      <c r="W863" s="108">
        <f>IF($A863="",0,IF(AND($C863&gt;=Config!$C$7,$C863&lt;=Config!$C$8),1,0))</f>
        <v>0</v>
      </c>
      <c r="X863" s="108">
        <f>IF($A863="",0,IF(COUNTIF(Config!$C$21:$C$23,$H863)&gt;0,1,0))</f>
        <v>0</v>
      </c>
      <c r="Y863" s="108">
        <f t="shared" si="157"/>
        <v>24</v>
      </c>
      <c r="Z863" s="108" t="str">
        <f t="shared" si="158"/>
        <v/>
      </c>
      <c r="AB863" s="108">
        <f t="shared" si="159"/>
        <v>0</v>
      </c>
      <c r="AC863" s="108">
        <f>IF($A863="",0,IF(AND($AB863=1,COUNTIF($A$2:$A863,$A863)=1),1,0))</f>
        <v>0</v>
      </c>
      <c r="AD863" s="108">
        <f t="shared" si="160"/>
        <v>1</v>
      </c>
      <c r="AE863" s="108" t="str">
        <f t="shared" si="161"/>
        <v/>
      </c>
      <c r="AF863" s="108">
        <f t="shared" si="162"/>
        <v>0</v>
      </c>
      <c r="AG863" s="108">
        <f t="shared" si="163"/>
        <v>0</v>
      </c>
      <c r="AH863" s="110" t="str">
        <f t="shared" si="164"/>
        <v/>
      </c>
      <c r="AI863" s="108">
        <f t="shared" si="165"/>
        <v>0</v>
      </c>
      <c r="AJ863" s="108">
        <f t="shared" si="166"/>
        <v>0</v>
      </c>
      <c r="AK863" s="108">
        <f>IF($A863="",0,IF(AND($S863=1,$W863=1,$X863=1,$U863&gt;Config!$C$9),1,0))</f>
        <v>0</v>
      </c>
      <c r="AL863" s="108">
        <f t="shared" si="167"/>
        <v>0</v>
      </c>
    </row>
    <row r="864" spans="1:38" x14ac:dyDescent="0.25">
      <c r="S864" s="108" t="str">
        <f>IF($A864="","",COUNTIF(BPOworkers!$B$6:$B$105,$A864))</f>
        <v/>
      </c>
      <c r="T864" s="109" t="str">
        <f>IF($A864="","",$K864*Config!$C$9)</f>
        <v/>
      </c>
      <c r="U864" s="109" t="str">
        <f>IF($A864="","",IF(COUNTIF(Config!$C$21:$C$23,$H864)&gt;0,IFERROR(VALUE(LEFT(TRIM($Q864),FIND(" ",TRIM($Q864)&amp;" ")-1)),0),0))</f>
        <v/>
      </c>
      <c r="V864" s="109" t="str">
        <f t="shared" si="156"/>
        <v/>
      </c>
      <c r="W864" s="108">
        <f>IF($A864="",0,IF(AND($C864&gt;=Config!$C$7,$C864&lt;=Config!$C$8),1,0))</f>
        <v>0</v>
      </c>
      <c r="X864" s="108">
        <f>IF($A864="",0,IF(COUNTIF(Config!$C$21:$C$23,$H864)&gt;0,1,0))</f>
        <v>0</v>
      </c>
      <c r="Y864" s="108">
        <f t="shared" si="157"/>
        <v>24</v>
      </c>
      <c r="Z864" s="108" t="str">
        <f t="shared" si="158"/>
        <v/>
      </c>
      <c r="AB864" s="108">
        <f t="shared" si="159"/>
        <v>0</v>
      </c>
      <c r="AC864" s="108">
        <f>IF($A864="",0,IF(AND($AB864=1,COUNTIF($A$2:$A864,$A864)=1),1,0))</f>
        <v>0</v>
      </c>
      <c r="AD864" s="108">
        <f t="shared" si="160"/>
        <v>1</v>
      </c>
      <c r="AE864" s="108" t="str">
        <f t="shared" si="161"/>
        <v/>
      </c>
      <c r="AF864" s="108">
        <f t="shared" si="162"/>
        <v>0</v>
      </c>
      <c r="AG864" s="108">
        <f t="shared" si="163"/>
        <v>0</v>
      </c>
      <c r="AH864" s="110" t="str">
        <f t="shared" si="164"/>
        <v/>
      </c>
      <c r="AI864" s="108">
        <f t="shared" si="165"/>
        <v>0</v>
      </c>
      <c r="AJ864" s="108">
        <f t="shared" si="166"/>
        <v>0</v>
      </c>
      <c r="AK864" s="108">
        <f>IF($A864="",0,IF(AND($S864=1,$W864=1,$X864=1,$U864&gt;Config!$C$9),1,0))</f>
        <v>0</v>
      </c>
      <c r="AL864" s="108">
        <f t="shared" si="167"/>
        <v>0</v>
      </c>
    </row>
    <row r="865" spans="19:38" x14ac:dyDescent="0.25">
      <c r="S865" s="108" t="str">
        <f>IF($A865="","",COUNTIF(BPOworkers!$B$6:$B$105,$A865))</f>
        <v/>
      </c>
      <c r="T865" s="109" t="str">
        <f>IF($A865="","",$K865*Config!$C$9)</f>
        <v/>
      </c>
      <c r="U865" s="109" t="str">
        <f>IF($A865="","",IF(COUNTIF(Config!$C$21:$C$23,$H865)&gt;0,IFERROR(VALUE(LEFT(TRIM($Q865),FIND(" ",TRIM($Q865)&amp;" ")-1)),0),0))</f>
        <v/>
      </c>
      <c r="V865" s="109" t="str">
        <f t="shared" si="156"/>
        <v/>
      </c>
      <c r="W865" s="108">
        <f>IF($A865="",0,IF(AND($C865&gt;=Config!$C$7,$C865&lt;=Config!$C$8),1,0))</f>
        <v>0</v>
      </c>
      <c r="X865" s="108">
        <f>IF($A865="",0,IF(COUNTIF(Config!$C$21:$C$23,$H865)&gt;0,1,0))</f>
        <v>0</v>
      </c>
      <c r="Y865" s="108">
        <f t="shared" si="157"/>
        <v>24</v>
      </c>
      <c r="Z865" s="108" t="str">
        <f t="shared" si="158"/>
        <v/>
      </c>
      <c r="AB865" s="108">
        <f t="shared" si="159"/>
        <v>0</v>
      </c>
      <c r="AC865" s="108">
        <f>IF($A865="",0,IF(AND($AB865=1,COUNTIF($A$2:$A865,$A865)=1),1,0))</f>
        <v>0</v>
      </c>
      <c r="AD865" s="108">
        <f t="shared" si="160"/>
        <v>1</v>
      </c>
      <c r="AE865" s="108" t="str">
        <f t="shared" si="161"/>
        <v/>
      </c>
      <c r="AF865" s="108">
        <f t="shared" si="162"/>
        <v>0</v>
      </c>
      <c r="AG865" s="108">
        <f t="shared" si="163"/>
        <v>0</v>
      </c>
      <c r="AH865" s="110" t="str">
        <f t="shared" si="164"/>
        <v/>
      </c>
      <c r="AI865" s="108">
        <f t="shared" si="165"/>
        <v>0</v>
      </c>
      <c r="AJ865" s="108">
        <f t="shared" si="166"/>
        <v>0</v>
      </c>
      <c r="AK865" s="108">
        <f>IF($A865="",0,IF(AND($S865=1,$W865=1,$X865=1,$U865&gt;Config!$C$9),1,0))</f>
        <v>0</v>
      </c>
      <c r="AL865" s="108">
        <f t="shared" si="167"/>
        <v>0</v>
      </c>
    </row>
    <row r="866" spans="19:38" x14ac:dyDescent="0.25">
      <c r="S866" s="108" t="str">
        <f>IF($A866="","",COUNTIF(BPOworkers!$B$6:$B$105,$A866))</f>
        <v/>
      </c>
      <c r="T866" s="109" t="str">
        <f>IF($A866="","",$K866*Config!$C$9)</f>
        <v/>
      </c>
      <c r="U866" s="109" t="str">
        <f>IF($A866="","",IF(COUNTIF(Config!$C$21:$C$23,$H866)&gt;0,IFERROR(VALUE(LEFT(TRIM($Q866),FIND(" ",TRIM($Q866)&amp;" ")-1)),0),0))</f>
        <v/>
      </c>
      <c r="V866" s="109" t="str">
        <f t="shared" si="156"/>
        <v/>
      </c>
      <c r="W866" s="108">
        <f>IF($A866="",0,IF(AND($C866&gt;=Config!$C$7,$C866&lt;=Config!$C$8),1,0))</f>
        <v>0</v>
      </c>
      <c r="X866" s="108">
        <f>IF($A866="",0,IF(COUNTIF(Config!$C$21:$C$23,$H866)&gt;0,1,0))</f>
        <v>0</v>
      </c>
      <c r="Y866" s="108">
        <f t="shared" si="157"/>
        <v>24</v>
      </c>
      <c r="Z866" s="108" t="str">
        <f t="shared" si="158"/>
        <v/>
      </c>
      <c r="AB866" s="108">
        <f t="shared" si="159"/>
        <v>0</v>
      </c>
      <c r="AC866" s="108">
        <f>IF($A866="",0,IF(AND($AB866=1,COUNTIF($A$2:$A866,$A866)=1),1,0))</f>
        <v>0</v>
      </c>
      <c r="AD866" s="108">
        <f t="shared" si="160"/>
        <v>1</v>
      </c>
      <c r="AE866" s="108" t="str">
        <f t="shared" si="161"/>
        <v/>
      </c>
      <c r="AF866" s="108">
        <f t="shared" si="162"/>
        <v>0</v>
      </c>
      <c r="AG866" s="108">
        <f t="shared" si="163"/>
        <v>0</v>
      </c>
      <c r="AH866" s="110" t="str">
        <f t="shared" si="164"/>
        <v/>
      </c>
      <c r="AI866" s="108">
        <f t="shared" si="165"/>
        <v>0</v>
      </c>
      <c r="AJ866" s="108">
        <f t="shared" si="166"/>
        <v>0</v>
      </c>
      <c r="AK866" s="108">
        <f>IF($A866="",0,IF(AND($S866=1,$W866=1,$X866=1,$U866&gt;Config!$C$9),1,0))</f>
        <v>0</v>
      </c>
      <c r="AL866" s="108">
        <f t="shared" si="167"/>
        <v>0</v>
      </c>
    </row>
    <row r="867" spans="19:38" x14ac:dyDescent="0.25">
      <c r="S867" s="108" t="str">
        <f>IF($A867="","",COUNTIF(BPOworkers!$B$6:$B$105,$A867))</f>
        <v/>
      </c>
      <c r="T867" s="109" t="str">
        <f>IF($A867="","",$K867*Config!$C$9)</f>
        <v/>
      </c>
      <c r="U867" s="109" t="str">
        <f>IF($A867="","",IF(COUNTIF(Config!$C$21:$C$23,$H867)&gt;0,IFERROR(VALUE(LEFT(TRIM($Q867),FIND(" ",TRIM($Q867)&amp;" ")-1)),0),0))</f>
        <v/>
      </c>
      <c r="V867" s="109" t="str">
        <f t="shared" si="156"/>
        <v/>
      </c>
      <c r="W867" s="108">
        <f>IF($A867="",0,IF(AND($C867&gt;=Config!$C$7,$C867&lt;=Config!$C$8),1,0))</f>
        <v>0</v>
      </c>
      <c r="X867" s="108">
        <f>IF($A867="",0,IF(COUNTIF(Config!$C$21:$C$23,$H867)&gt;0,1,0))</f>
        <v>0</v>
      </c>
      <c r="Y867" s="108">
        <f t="shared" si="157"/>
        <v>24</v>
      </c>
      <c r="Z867" s="108" t="str">
        <f t="shared" si="158"/>
        <v/>
      </c>
      <c r="AB867" s="108">
        <f t="shared" si="159"/>
        <v>0</v>
      </c>
      <c r="AC867" s="108">
        <f>IF($A867="",0,IF(AND($AB867=1,COUNTIF($A$2:$A867,$A867)=1),1,0))</f>
        <v>0</v>
      </c>
      <c r="AD867" s="108">
        <f t="shared" si="160"/>
        <v>1</v>
      </c>
      <c r="AE867" s="108" t="str">
        <f t="shared" si="161"/>
        <v/>
      </c>
      <c r="AF867" s="108">
        <f t="shared" si="162"/>
        <v>0</v>
      </c>
      <c r="AG867" s="108">
        <f t="shared" si="163"/>
        <v>0</v>
      </c>
      <c r="AH867" s="110" t="str">
        <f t="shared" si="164"/>
        <v/>
      </c>
      <c r="AI867" s="108">
        <f t="shared" si="165"/>
        <v>0</v>
      </c>
      <c r="AJ867" s="108">
        <f t="shared" si="166"/>
        <v>0</v>
      </c>
      <c r="AK867" s="108">
        <f>IF($A867="",0,IF(AND($S867=1,$W867=1,$X867=1,$U867&gt;Config!$C$9),1,0))</f>
        <v>0</v>
      </c>
      <c r="AL867" s="108">
        <f t="shared" si="167"/>
        <v>0</v>
      </c>
    </row>
    <row r="868" spans="19:38" x14ac:dyDescent="0.25">
      <c r="S868" s="108" t="str">
        <f>IF($A868="","",COUNTIF(BPOworkers!$B$6:$B$105,$A868))</f>
        <v/>
      </c>
      <c r="T868" s="109" t="str">
        <f>IF($A868="","",$K868*Config!$C$9)</f>
        <v/>
      </c>
      <c r="U868" s="109" t="str">
        <f>IF($A868="","",IF(COUNTIF(Config!$C$21:$C$23,$H868)&gt;0,IFERROR(VALUE(LEFT(TRIM($Q868),FIND(" ",TRIM($Q868)&amp;" ")-1)),0),0))</f>
        <v/>
      </c>
      <c r="V868" s="109" t="str">
        <f t="shared" si="156"/>
        <v/>
      </c>
      <c r="W868" s="108">
        <f>IF($A868="",0,IF(AND($C868&gt;=Config!$C$7,$C868&lt;=Config!$C$8),1,0))</f>
        <v>0</v>
      </c>
      <c r="X868" s="108">
        <f>IF($A868="",0,IF(COUNTIF(Config!$C$21:$C$23,$H868)&gt;0,1,0))</f>
        <v>0</v>
      </c>
      <c r="Y868" s="108">
        <f t="shared" si="157"/>
        <v>24</v>
      </c>
      <c r="Z868" s="108" t="str">
        <f t="shared" si="158"/>
        <v/>
      </c>
      <c r="AB868" s="108">
        <f t="shared" si="159"/>
        <v>0</v>
      </c>
      <c r="AC868" s="108">
        <f>IF($A868="",0,IF(AND($AB868=1,COUNTIF($A$2:$A868,$A868)=1),1,0))</f>
        <v>0</v>
      </c>
      <c r="AD868" s="108">
        <f t="shared" si="160"/>
        <v>1</v>
      </c>
      <c r="AE868" s="108" t="str">
        <f t="shared" si="161"/>
        <v/>
      </c>
      <c r="AF868" s="108">
        <f t="shared" si="162"/>
        <v>0</v>
      </c>
      <c r="AG868" s="108">
        <f t="shared" si="163"/>
        <v>0</v>
      </c>
      <c r="AH868" s="110" t="str">
        <f t="shared" si="164"/>
        <v/>
      </c>
      <c r="AI868" s="108">
        <f t="shared" si="165"/>
        <v>0</v>
      </c>
      <c r="AJ868" s="108">
        <f t="shared" si="166"/>
        <v>0</v>
      </c>
      <c r="AK868" s="108">
        <f>IF($A868="",0,IF(AND($S868=1,$W868=1,$X868=1,$U868&gt;Config!$C$9),1,0))</f>
        <v>0</v>
      </c>
      <c r="AL868" s="108">
        <f t="shared" si="167"/>
        <v>0</v>
      </c>
    </row>
    <row r="869" spans="19:38" x14ac:dyDescent="0.25">
      <c r="S869" s="108" t="str">
        <f>IF($A869="","",COUNTIF(BPOworkers!$B$6:$B$105,$A869))</f>
        <v/>
      </c>
      <c r="T869" s="109" t="str">
        <f>IF($A869="","",$K869*Config!$C$9)</f>
        <v/>
      </c>
      <c r="U869" s="109" t="str">
        <f>IF($A869="","",IF(COUNTIF(Config!$C$21:$C$23,$H869)&gt;0,IFERROR(VALUE(LEFT(TRIM($Q869),FIND(" ",TRIM($Q869)&amp;" ")-1)),0),0))</f>
        <v/>
      </c>
      <c r="V869" s="109" t="str">
        <f t="shared" si="156"/>
        <v/>
      </c>
      <c r="W869" s="108">
        <f>IF($A869="",0,IF(AND($C869&gt;=Config!$C$7,$C869&lt;=Config!$C$8),1,0))</f>
        <v>0</v>
      </c>
      <c r="X869" s="108">
        <f>IF($A869="",0,IF(COUNTIF(Config!$C$21:$C$23,$H869)&gt;0,1,0))</f>
        <v>0</v>
      </c>
      <c r="Y869" s="108">
        <f t="shared" si="157"/>
        <v>24</v>
      </c>
      <c r="Z869" s="108" t="str">
        <f t="shared" si="158"/>
        <v/>
      </c>
      <c r="AB869" s="108">
        <f t="shared" si="159"/>
        <v>0</v>
      </c>
      <c r="AC869" s="108">
        <f>IF($A869="",0,IF(AND($AB869=1,COUNTIF($A$2:$A869,$A869)=1),1,0))</f>
        <v>0</v>
      </c>
      <c r="AD869" s="108">
        <f t="shared" si="160"/>
        <v>1</v>
      </c>
      <c r="AE869" s="108" t="str">
        <f t="shared" si="161"/>
        <v/>
      </c>
      <c r="AF869" s="108">
        <f t="shared" si="162"/>
        <v>0</v>
      </c>
      <c r="AG869" s="108">
        <f t="shared" si="163"/>
        <v>0</v>
      </c>
      <c r="AH869" s="110" t="str">
        <f t="shared" si="164"/>
        <v/>
      </c>
      <c r="AI869" s="108">
        <f t="shared" si="165"/>
        <v>0</v>
      </c>
      <c r="AJ869" s="108">
        <f t="shared" si="166"/>
        <v>0</v>
      </c>
      <c r="AK869" s="108">
        <f>IF($A869="",0,IF(AND($S869=1,$W869=1,$X869=1,$U869&gt;Config!$C$9),1,0))</f>
        <v>0</v>
      </c>
      <c r="AL869" s="108">
        <f t="shared" si="167"/>
        <v>0</v>
      </c>
    </row>
    <row r="870" spans="19:38" x14ac:dyDescent="0.25">
      <c r="S870" s="108" t="str">
        <f>IF($A870="","",COUNTIF(BPOworkers!$B$6:$B$105,$A870))</f>
        <v/>
      </c>
      <c r="T870" s="109" t="str">
        <f>IF($A870="","",$K870*Config!$C$9)</f>
        <v/>
      </c>
      <c r="U870" s="109" t="str">
        <f>IF($A870="","",IF(COUNTIF(Config!$C$21:$C$23,$H870)&gt;0,IFERROR(VALUE(LEFT(TRIM($Q870),FIND(" ",TRIM($Q870)&amp;" ")-1)),0),0))</f>
        <v/>
      </c>
      <c r="V870" s="109" t="str">
        <f t="shared" si="156"/>
        <v/>
      </c>
      <c r="W870" s="108">
        <f>IF($A870="",0,IF(AND($C870&gt;=Config!$C$7,$C870&lt;=Config!$C$8),1,0))</f>
        <v>0</v>
      </c>
      <c r="X870" s="108">
        <f>IF($A870="",0,IF(COUNTIF(Config!$C$21:$C$23,$H870)&gt;0,1,0))</f>
        <v>0</v>
      </c>
      <c r="Y870" s="108">
        <f t="shared" si="157"/>
        <v>24</v>
      </c>
      <c r="Z870" s="108" t="str">
        <f t="shared" si="158"/>
        <v/>
      </c>
      <c r="AB870" s="108">
        <f t="shared" si="159"/>
        <v>0</v>
      </c>
      <c r="AC870" s="108">
        <f>IF($A870="",0,IF(AND($AB870=1,COUNTIF($A$2:$A870,$A870)=1),1,0))</f>
        <v>0</v>
      </c>
      <c r="AD870" s="108">
        <f t="shared" si="160"/>
        <v>1</v>
      </c>
      <c r="AE870" s="108" t="str">
        <f t="shared" si="161"/>
        <v/>
      </c>
      <c r="AF870" s="108">
        <f t="shared" si="162"/>
        <v>0</v>
      </c>
      <c r="AG870" s="108">
        <f t="shared" si="163"/>
        <v>0</v>
      </c>
      <c r="AH870" s="110" t="str">
        <f t="shared" si="164"/>
        <v/>
      </c>
      <c r="AI870" s="108">
        <f t="shared" si="165"/>
        <v>0</v>
      </c>
      <c r="AJ870" s="108">
        <f t="shared" si="166"/>
        <v>0</v>
      </c>
      <c r="AK870" s="108">
        <f>IF($A870="",0,IF(AND($S870=1,$W870=1,$X870=1,$U870&gt;Config!$C$9),1,0))</f>
        <v>0</v>
      </c>
      <c r="AL870" s="108">
        <f t="shared" si="167"/>
        <v>0</v>
      </c>
    </row>
    <row r="871" spans="19:38" x14ac:dyDescent="0.25">
      <c r="S871" s="108" t="str">
        <f>IF($A871="","",COUNTIF(BPOworkers!$B$6:$B$105,$A871))</f>
        <v/>
      </c>
      <c r="T871" s="109" t="str">
        <f>IF($A871="","",$K871*Config!$C$9)</f>
        <v/>
      </c>
      <c r="U871" s="109" t="str">
        <f>IF($A871="","",IF(COUNTIF(Config!$C$21:$C$23,$H871)&gt;0,IFERROR(VALUE(LEFT(TRIM($Q871),FIND(" ",TRIM($Q871)&amp;" ")-1)),0),0))</f>
        <v/>
      </c>
      <c r="V871" s="109" t="str">
        <f t="shared" si="156"/>
        <v/>
      </c>
      <c r="W871" s="108">
        <f>IF($A871="",0,IF(AND($C871&gt;=Config!$C$7,$C871&lt;=Config!$C$8),1,0))</f>
        <v>0</v>
      </c>
      <c r="X871" s="108">
        <f>IF($A871="",0,IF(COUNTIF(Config!$C$21:$C$23,$H871)&gt;0,1,0))</f>
        <v>0</v>
      </c>
      <c r="Y871" s="108">
        <f t="shared" si="157"/>
        <v>24</v>
      </c>
      <c r="Z871" s="108" t="str">
        <f t="shared" si="158"/>
        <v/>
      </c>
      <c r="AB871" s="108">
        <f t="shared" si="159"/>
        <v>0</v>
      </c>
      <c r="AC871" s="108">
        <f>IF($A871="",0,IF(AND($AB871=1,COUNTIF($A$2:$A871,$A871)=1),1,0))</f>
        <v>0</v>
      </c>
      <c r="AD871" s="108">
        <f t="shared" si="160"/>
        <v>1</v>
      </c>
      <c r="AE871" s="108" t="str">
        <f t="shared" si="161"/>
        <v/>
      </c>
      <c r="AF871" s="108">
        <f t="shared" si="162"/>
        <v>0</v>
      </c>
      <c r="AG871" s="108">
        <f t="shared" si="163"/>
        <v>0</v>
      </c>
      <c r="AH871" s="110" t="str">
        <f t="shared" si="164"/>
        <v/>
      </c>
      <c r="AI871" s="108">
        <f t="shared" si="165"/>
        <v>0</v>
      </c>
      <c r="AJ871" s="108">
        <f t="shared" si="166"/>
        <v>0</v>
      </c>
      <c r="AK871" s="108">
        <f>IF($A871="",0,IF(AND($S871=1,$W871=1,$X871=1,$U871&gt;Config!$C$9),1,0))</f>
        <v>0</v>
      </c>
      <c r="AL871" s="108">
        <f t="shared" si="167"/>
        <v>0</v>
      </c>
    </row>
    <row r="872" spans="19:38" x14ac:dyDescent="0.25">
      <c r="S872" s="108" t="str">
        <f>IF($A872="","",COUNTIF(BPOworkers!$B$6:$B$105,$A872))</f>
        <v/>
      </c>
      <c r="T872" s="109" t="str">
        <f>IF($A872="","",$K872*Config!$C$9)</f>
        <v/>
      </c>
      <c r="U872" s="109" t="str">
        <f>IF($A872="","",IF(COUNTIF(Config!$C$21:$C$23,$H872)&gt;0,IFERROR(VALUE(LEFT(TRIM($Q872),FIND(" ",TRIM($Q872)&amp;" ")-1)),0),0))</f>
        <v/>
      </c>
      <c r="V872" s="109" t="str">
        <f t="shared" si="156"/>
        <v/>
      </c>
      <c r="W872" s="108">
        <f>IF($A872="",0,IF(AND($C872&gt;=Config!$C$7,$C872&lt;=Config!$C$8),1,0))</f>
        <v>0</v>
      </c>
      <c r="X872" s="108">
        <f>IF($A872="",0,IF(COUNTIF(Config!$C$21:$C$23,$H872)&gt;0,1,0))</f>
        <v>0</v>
      </c>
      <c r="Y872" s="108">
        <f t="shared" si="157"/>
        <v>24</v>
      </c>
      <c r="Z872" s="108" t="str">
        <f t="shared" si="158"/>
        <v/>
      </c>
      <c r="AB872" s="108">
        <f t="shared" si="159"/>
        <v>0</v>
      </c>
      <c r="AC872" s="108">
        <f>IF($A872="",0,IF(AND($AB872=1,COUNTIF($A$2:$A872,$A872)=1),1,0))</f>
        <v>0</v>
      </c>
      <c r="AD872" s="108">
        <f t="shared" si="160"/>
        <v>1</v>
      </c>
      <c r="AE872" s="108" t="str">
        <f t="shared" si="161"/>
        <v/>
      </c>
      <c r="AF872" s="108">
        <f t="shared" si="162"/>
        <v>0</v>
      </c>
      <c r="AG872" s="108">
        <f t="shared" si="163"/>
        <v>0</v>
      </c>
      <c r="AH872" s="110" t="str">
        <f t="shared" si="164"/>
        <v/>
      </c>
      <c r="AI872" s="108">
        <f t="shared" si="165"/>
        <v>0</v>
      </c>
      <c r="AJ872" s="108">
        <f t="shared" si="166"/>
        <v>0</v>
      </c>
      <c r="AK872" s="108">
        <f>IF($A872="",0,IF(AND($S872=1,$W872=1,$X872=1,$U872&gt;Config!$C$9),1,0))</f>
        <v>0</v>
      </c>
      <c r="AL872" s="108">
        <f t="shared" si="167"/>
        <v>0</v>
      </c>
    </row>
    <row r="873" spans="19:38" x14ac:dyDescent="0.25">
      <c r="S873" s="108" t="str">
        <f>IF($A873="","",COUNTIF(BPOworkers!$B$6:$B$105,$A873))</f>
        <v/>
      </c>
      <c r="T873" s="109" t="str">
        <f>IF($A873="","",$K873*Config!$C$9)</f>
        <v/>
      </c>
      <c r="U873" s="109" t="str">
        <f>IF($A873="","",IF(COUNTIF(Config!$C$21:$C$23,$H873)&gt;0,IFERROR(VALUE(LEFT(TRIM($Q873),FIND(" ",TRIM($Q873)&amp;" ")-1)),0),0))</f>
        <v/>
      </c>
      <c r="V873" s="109" t="str">
        <f t="shared" si="156"/>
        <v/>
      </c>
      <c r="W873" s="108">
        <f>IF($A873="",0,IF(AND($C873&gt;=Config!$C$7,$C873&lt;=Config!$C$8),1,0))</f>
        <v>0</v>
      </c>
      <c r="X873" s="108">
        <f>IF($A873="",0,IF(COUNTIF(Config!$C$21:$C$23,$H873)&gt;0,1,0))</f>
        <v>0</v>
      </c>
      <c r="Y873" s="108">
        <f t="shared" si="157"/>
        <v>24</v>
      </c>
      <c r="Z873" s="108" t="str">
        <f t="shared" si="158"/>
        <v/>
      </c>
      <c r="AB873" s="108">
        <f t="shared" si="159"/>
        <v>0</v>
      </c>
      <c r="AC873" s="108">
        <f>IF($A873="",0,IF(AND($AB873=1,COUNTIF($A$2:$A873,$A873)=1),1,0))</f>
        <v>0</v>
      </c>
      <c r="AD873" s="108">
        <f t="shared" si="160"/>
        <v>1</v>
      </c>
      <c r="AE873" s="108" t="str">
        <f t="shared" si="161"/>
        <v/>
      </c>
      <c r="AF873" s="108">
        <f t="shared" si="162"/>
        <v>0</v>
      </c>
      <c r="AG873" s="108">
        <f t="shared" si="163"/>
        <v>0</v>
      </c>
      <c r="AH873" s="110" t="str">
        <f t="shared" si="164"/>
        <v/>
      </c>
      <c r="AI873" s="108">
        <f t="shared" si="165"/>
        <v>0</v>
      </c>
      <c r="AJ873" s="108">
        <f t="shared" si="166"/>
        <v>0</v>
      </c>
      <c r="AK873" s="108">
        <f>IF($A873="",0,IF(AND($S873=1,$W873=1,$X873=1,$U873&gt;Config!$C$9),1,0))</f>
        <v>0</v>
      </c>
      <c r="AL873" s="108">
        <f t="shared" si="167"/>
        <v>0</v>
      </c>
    </row>
    <row r="874" spans="19:38" x14ac:dyDescent="0.25">
      <c r="S874" s="108" t="str">
        <f>IF($A874="","",COUNTIF(BPOworkers!$B$6:$B$105,$A874))</f>
        <v/>
      </c>
      <c r="T874" s="109" t="str">
        <f>IF($A874="","",$K874*Config!$C$9)</f>
        <v/>
      </c>
      <c r="U874" s="109" t="str">
        <f>IF($A874="","",IF(COUNTIF(Config!$C$21:$C$23,$H874)&gt;0,IFERROR(VALUE(LEFT(TRIM($Q874),FIND(" ",TRIM($Q874)&amp;" ")-1)),0),0))</f>
        <v/>
      </c>
      <c r="V874" s="109" t="str">
        <f t="shared" si="156"/>
        <v/>
      </c>
      <c r="W874" s="108">
        <f>IF($A874="",0,IF(AND($C874&gt;=Config!$C$7,$C874&lt;=Config!$C$8),1,0))</f>
        <v>0</v>
      </c>
      <c r="X874" s="108">
        <f>IF($A874="",0,IF(COUNTIF(Config!$C$21:$C$23,$H874)&gt;0,1,0))</f>
        <v>0</v>
      </c>
      <c r="Y874" s="108">
        <f t="shared" si="157"/>
        <v>24</v>
      </c>
      <c r="Z874" s="108" t="str">
        <f t="shared" si="158"/>
        <v/>
      </c>
      <c r="AB874" s="108">
        <f t="shared" si="159"/>
        <v>0</v>
      </c>
      <c r="AC874" s="108">
        <f>IF($A874="",0,IF(AND($AB874=1,COUNTIF($A$2:$A874,$A874)=1),1,0))</f>
        <v>0</v>
      </c>
      <c r="AD874" s="108">
        <f t="shared" si="160"/>
        <v>1</v>
      </c>
      <c r="AE874" s="108" t="str">
        <f t="shared" si="161"/>
        <v/>
      </c>
      <c r="AF874" s="108">
        <f t="shared" si="162"/>
        <v>0</v>
      </c>
      <c r="AG874" s="108">
        <f t="shared" si="163"/>
        <v>0</v>
      </c>
      <c r="AH874" s="110" t="str">
        <f t="shared" si="164"/>
        <v/>
      </c>
      <c r="AI874" s="108">
        <f t="shared" si="165"/>
        <v>0</v>
      </c>
      <c r="AJ874" s="108">
        <f t="shared" si="166"/>
        <v>0</v>
      </c>
      <c r="AK874" s="108">
        <f>IF($A874="",0,IF(AND($S874=1,$W874=1,$X874=1,$U874&gt;Config!$C$9),1,0))</f>
        <v>0</v>
      </c>
      <c r="AL874" s="108">
        <f t="shared" si="167"/>
        <v>0</v>
      </c>
    </row>
    <row r="875" spans="19:38" x14ac:dyDescent="0.25">
      <c r="S875" s="108" t="str">
        <f>IF($A875="","",COUNTIF(BPOworkers!$B$6:$B$105,$A875))</f>
        <v/>
      </c>
      <c r="T875" s="109" t="str">
        <f>IF($A875="","",$K875*Config!$C$9)</f>
        <v/>
      </c>
      <c r="U875" s="109" t="str">
        <f>IF($A875="","",IF(COUNTIF(Config!$C$21:$C$23,$H875)&gt;0,IFERROR(VALUE(LEFT(TRIM($Q875),FIND(" ",TRIM($Q875)&amp;" ")-1)),0),0))</f>
        <v/>
      </c>
      <c r="V875" s="109" t="str">
        <f t="shared" si="156"/>
        <v/>
      </c>
      <c r="W875" s="108">
        <f>IF($A875="",0,IF(AND($C875&gt;=Config!$C$7,$C875&lt;=Config!$C$8),1,0))</f>
        <v>0</v>
      </c>
      <c r="X875" s="108">
        <f>IF($A875="",0,IF(COUNTIF(Config!$C$21:$C$23,$H875)&gt;0,1,0))</f>
        <v>0</v>
      </c>
      <c r="Y875" s="108">
        <f t="shared" si="157"/>
        <v>24</v>
      </c>
      <c r="Z875" s="108" t="str">
        <f t="shared" si="158"/>
        <v/>
      </c>
      <c r="AB875" s="108">
        <f t="shared" si="159"/>
        <v>0</v>
      </c>
      <c r="AC875" s="108">
        <f>IF($A875="",0,IF(AND($AB875=1,COUNTIF($A$2:$A875,$A875)=1),1,0))</f>
        <v>0</v>
      </c>
      <c r="AD875" s="108">
        <f t="shared" si="160"/>
        <v>1</v>
      </c>
      <c r="AE875" s="108" t="str">
        <f t="shared" si="161"/>
        <v/>
      </c>
      <c r="AF875" s="108">
        <f t="shared" si="162"/>
        <v>0</v>
      </c>
      <c r="AG875" s="108">
        <f t="shared" si="163"/>
        <v>0</v>
      </c>
      <c r="AH875" s="110" t="str">
        <f t="shared" si="164"/>
        <v/>
      </c>
      <c r="AI875" s="108">
        <f t="shared" si="165"/>
        <v>0</v>
      </c>
      <c r="AJ875" s="108">
        <f t="shared" si="166"/>
        <v>0</v>
      </c>
      <c r="AK875" s="108">
        <f>IF($A875="",0,IF(AND($S875=1,$W875=1,$X875=1,$U875&gt;Config!$C$9),1,0))</f>
        <v>0</v>
      </c>
      <c r="AL875" s="108">
        <f t="shared" si="167"/>
        <v>0</v>
      </c>
    </row>
    <row r="876" spans="19:38" x14ac:dyDescent="0.25">
      <c r="S876" s="108" t="str">
        <f>IF($A876="","",COUNTIF(BPOworkers!$B$6:$B$105,$A876))</f>
        <v/>
      </c>
      <c r="T876" s="109" t="str">
        <f>IF($A876="","",$K876*Config!$C$9)</f>
        <v/>
      </c>
      <c r="U876" s="109" t="str">
        <f>IF($A876="","",IF(COUNTIF(Config!$C$21:$C$23,$H876)&gt;0,IFERROR(VALUE(LEFT(TRIM($Q876),FIND(" ",TRIM($Q876)&amp;" ")-1)),0),0))</f>
        <v/>
      </c>
      <c r="V876" s="109" t="str">
        <f t="shared" si="156"/>
        <v/>
      </c>
      <c r="W876" s="108">
        <f>IF($A876="",0,IF(AND($C876&gt;=Config!$C$7,$C876&lt;=Config!$C$8),1,0))</f>
        <v>0</v>
      </c>
      <c r="X876" s="108">
        <f>IF($A876="",0,IF(COUNTIF(Config!$C$21:$C$23,$H876)&gt;0,1,0))</f>
        <v>0</v>
      </c>
      <c r="Y876" s="108">
        <f t="shared" si="157"/>
        <v>24</v>
      </c>
      <c r="Z876" s="108" t="str">
        <f t="shared" si="158"/>
        <v/>
      </c>
      <c r="AB876" s="108">
        <f t="shared" si="159"/>
        <v>0</v>
      </c>
      <c r="AC876" s="108">
        <f>IF($A876="",0,IF(AND($AB876=1,COUNTIF($A$2:$A876,$A876)=1),1,0))</f>
        <v>0</v>
      </c>
      <c r="AD876" s="108">
        <f t="shared" si="160"/>
        <v>1</v>
      </c>
      <c r="AE876" s="108" t="str">
        <f t="shared" si="161"/>
        <v/>
      </c>
      <c r="AF876" s="108">
        <f t="shared" si="162"/>
        <v>0</v>
      </c>
      <c r="AG876" s="108">
        <f t="shared" si="163"/>
        <v>0</v>
      </c>
      <c r="AH876" s="110" t="str">
        <f t="shared" si="164"/>
        <v/>
      </c>
      <c r="AI876" s="108">
        <f t="shared" si="165"/>
        <v>0</v>
      </c>
      <c r="AJ876" s="108">
        <f t="shared" si="166"/>
        <v>0</v>
      </c>
      <c r="AK876" s="108">
        <f>IF($A876="",0,IF(AND($S876=1,$W876=1,$X876=1,$U876&gt;Config!$C$9),1,0))</f>
        <v>0</v>
      </c>
      <c r="AL876" s="108">
        <f t="shared" si="167"/>
        <v>0</v>
      </c>
    </row>
    <row r="877" spans="19:38" x14ac:dyDescent="0.25">
      <c r="S877" s="108" t="str">
        <f>IF($A877="","",COUNTIF(BPOworkers!$B$6:$B$105,$A877))</f>
        <v/>
      </c>
      <c r="T877" s="109" t="str">
        <f>IF($A877="","",$K877*Config!$C$9)</f>
        <v/>
      </c>
      <c r="U877" s="109" t="str">
        <f>IF($A877="","",IF(COUNTIF(Config!$C$21:$C$23,$H877)&gt;0,IFERROR(VALUE(LEFT(TRIM($Q877),FIND(" ",TRIM($Q877)&amp;" ")-1)),0),0))</f>
        <v/>
      </c>
      <c r="V877" s="109" t="str">
        <f t="shared" si="156"/>
        <v/>
      </c>
      <c r="W877" s="108">
        <f>IF($A877="",0,IF(AND($C877&gt;=Config!$C$7,$C877&lt;=Config!$C$8),1,0))</f>
        <v>0</v>
      </c>
      <c r="X877" s="108">
        <f>IF($A877="",0,IF(COUNTIF(Config!$C$21:$C$23,$H877)&gt;0,1,0))</f>
        <v>0</v>
      </c>
      <c r="Y877" s="108">
        <f t="shared" si="157"/>
        <v>24</v>
      </c>
      <c r="Z877" s="108" t="str">
        <f t="shared" si="158"/>
        <v/>
      </c>
      <c r="AB877" s="108">
        <f t="shared" si="159"/>
        <v>0</v>
      </c>
      <c r="AC877" s="108">
        <f>IF($A877="",0,IF(AND($AB877=1,COUNTIF($A$2:$A877,$A877)=1),1,0))</f>
        <v>0</v>
      </c>
      <c r="AD877" s="108">
        <f t="shared" si="160"/>
        <v>1</v>
      </c>
      <c r="AE877" s="108" t="str">
        <f t="shared" si="161"/>
        <v/>
      </c>
      <c r="AF877" s="108">
        <f t="shared" si="162"/>
        <v>0</v>
      </c>
      <c r="AG877" s="108">
        <f t="shared" si="163"/>
        <v>0</v>
      </c>
      <c r="AH877" s="110" t="str">
        <f t="shared" si="164"/>
        <v/>
      </c>
      <c r="AI877" s="108">
        <f t="shared" si="165"/>
        <v>0</v>
      </c>
      <c r="AJ877" s="108">
        <f t="shared" si="166"/>
        <v>0</v>
      </c>
      <c r="AK877" s="108">
        <f>IF($A877="",0,IF(AND($S877=1,$W877=1,$X877=1,$U877&gt;Config!$C$9),1,0))</f>
        <v>0</v>
      </c>
      <c r="AL877" s="108">
        <f t="shared" si="167"/>
        <v>0</v>
      </c>
    </row>
    <row r="878" spans="19:38" x14ac:dyDescent="0.25">
      <c r="S878" s="108" t="str">
        <f>IF($A878="","",COUNTIF(BPOworkers!$B$6:$B$105,$A878))</f>
        <v/>
      </c>
      <c r="T878" s="109" t="str">
        <f>IF($A878="","",$K878*Config!$C$9)</f>
        <v/>
      </c>
      <c r="U878" s="109" t="str">
        <f>IF($A878="","",IF(COUNTIF(Config!$C$21:$C$23,$H878)&gt;0,IFERROR(VALUE(LEFT(TRIM($Q878),FIND(" ",TRIM($Q878)&amp;" ")-1)),0),0))</f>
        <v/>
      </c>
      <c r="V878" s="109" t="str">
        <f t="shared" si="156"/>
        <v/>
      </c>
      <c r="W878" s="108">
        <f>IF($A878="",0,IF(AND($C878&gt;=Config!$C$7,$C878&lt;=Config!$C$8),1,0))</f>
        <v>0</v>
      </c>
      <c r="X878" s="108">
        <f>IF($A878="",0,IF(COUNTIF(Config!$C$21:$C$23,$H878)&gt;0,1,0))</f>
        <v>0</v>
      </c>
      <c r="Y878" s="108">
        <f t="shared" si="157"/>
        <v>24</v>
      </c>
      <c r="Z878" s="108" t="str">
        <f t="shared" si="158"/>
        <v/>
      </c>
      <c r="AB878" s="108">
        <f t="shared" si="159"/>
        <v>0</v>
      </c>
      <c r="AC878" s="108">
        <f>IF($A878="",0,IF(AND($AB878=1,COUNTIF($A$2:$A878,$A878)=1),1,0))</f>
        <v>0</v>
      </c>
      <c r="AD878" s="108">
        <f t="shared" si="160"/>
        <v>1</v>
      </c>
      <c r="AE878" s="108" t="str">
        <f t="shared" si="161"/>
        <v/>
      </c>
      <c r="AF878" s="108">
        <f t="shared" si="162"/>
        <v>0</v>
      </c>
      <c r="AG878" s="108">
        <f t="shared" si="163"/>
        <v>0</v>
      </c>
      <c r="AH878" s="110" t="str">
        <f t="shared" si="164"/>
        <v/>
      </c>
      <c r="AI878" s="108">
        <f t="shared" si="165"/>
        <v>0</v>
      </c>
      <c r="AJ878" s="108">
        <f t="shared" si="166"/>
        <v>0</v>
      </c>
      <c r="AK878" s="108">
        <f>IF($A878="",0,IF(AND($S878=1,$W878=1,$X878=1,$U878&gt;Config!$C$9),1,0))</f>
        <v>0</v>
      </c>
      <c r="AL878" s="108">
        <f t="shared" si="167"/>
        <v>0</v>
      </c>
    </row>
    <row r="879" spans="19:38" x14ac:dyDescent="0.25">
      <c r="S879" s="108" t="str">
        <f>IF($A879="","",COUNTIF(BPOworkers!$B$6:$B$105,$A879))</f>
        <v/>
      </c>
      <c r="T879" s="109" t="str">
        <f>IF($A879="","",$K879*Config!$C$9)</f>
        <v/>
      </c>
      <c r="U879" s="109" t="str">
        <f>IF($A879="","",IF(COUNTIF(Config!$C$21:$C$23,$H879)&gt;0,IFERROR(VALUE(LEFT(TRIM($Q879),FIND(" ",TRIM($Q879)&amp;" ")-1)),0),0))</f>
        <v/>
      </c>
      <c r="V879" s="109" t="str">
        <f t="shared" si="156"/>
        <v/>
      </c>
      <c r="W879" s="108">
        <f>IF($A879="",0,IF(AND($C879&gt;=Config!$C$7,$C879&lt;=Config!$C$8),1,0))</f>
        <v>0</v>
      </c>
      <c r="X879" s="108">
        <f>IF($A879="",0,IF(COUNTIF(Config!$C$21:$C$23,$H879)&gt;0,1,0))</f>
        <v>0</v>
      </c>
      <c r="Y879" s="108">
        <f t="shared" si="157"/>
        <v>24</v>
      </c>
      <c r="Z879" s="108" t="str">
        <f t="shared" si="158"/>
        <v/>
      </c>
      <c r="AB879" s="108">
        <f t="shared" si="159"/>
        <v>0</v>
      </c>
      <c r="AC879" s="108">
        <f>IF($A879="",0,IF(AND($AB879=1,COUNTIF($A$2:$A879,$A879)=1),1,0))</f>
        <v>0</v>
      </c>
      <c r="AD879" s="108">
        <f t="shared" si="160"/>
        <v>1</v>
      </c>
      <c r="AE879" s="108" t="str">
        <f t="shared" si="161"/>
        <v/>
      </c>
      <c r="AF879" s="108">
        <f t="shared" si="162"/>
        <v>0</v>
      </c>
      <c r="AG879" s="108">
        <f t="shared" si="163"/>
        <v>0</v>
      </c>
      <c r="AH879" s="110" t="str">
        <f t="shared" si="164"/>
        <v/>
      </c>
      <c r="AI879" s="108">
        <f t="shared" si="165"/>
        <v>0</v>
      </c>
      <c r="AJ879" s="108">
        <f t="shared" si="166"/>
        <v>0</v>
      </c>
      <c r="AK879" s="108">
        <f>IF($A879="",0,IF(AND($S879=1,$W879=1,$X879=1,$U879&gt;Config!$C$9),1,0))</f>
        <v>0</v>
      </c>
      <c r="AL879" s="108">
        <f t="shared" si="167"/>
        <v>0</v>
      </c>
    </row>
    <row r="880" spans="19:38" x14ac:dyDescent="0.25">
      <c r="S880" s="108" t="str">
        <f>IF($A880="","",COUNTIF(BPOworkers!$B$6:$B$105,$A880))</f>
        <v/>
      </c>
      <c r="T880" s="109" t="str">
        <f>IF($A880="","",$K880*Config!$C$9)</f>
        <v/>
      </c>
      <c r="U880" s="109" t="str">
        <f>IF($A880="","",IF(COUNTIF(Config!$C$21:$C$23,$H880)&gt;0,IFERROR(VALUE(LEFT(TRIM($Q880),FIND(" ",TRIM($Q880)&amp;" ")-1)),0),0))</f>
        <v/>
      </c>
      <c r="V880" s="109" t="str">
        <f t="shared" si="156"/>
        <v/>
      </c>
      <c r="W880" s="108">
        <f>IF($A880="",0,IF(AND($C880&gt;=Config!$C$7,$C880&lt;=Config!$C$8),1,0))</f>
        <v>0</v>
      </c>
      <c r="X880" s="108">
        <f>IF($A880="",0,IF(COUNTIF(Config!$C$21:$C$23,$H880)&gt;0,1,0))</f>
        <v>0</v>
      </c>
      <c r="Y880" s="108">
        <f t="shared" si="157"/>
        <v>24</v>
      </c>
      <c r="Z880" s="108" t="str">
        <f t="shared" si="158"/>
        <v/>
      </c>
      <c r="AB880" s="108">
        <f t="shared" si="159"/>
        <v>0</v>
      </c>
      <c r="AC880" s="108">
        <f>IF($A880="",0,IF(AND($AB880=1,COUNTIF($A$2:$A880,$A880)=1),1,0))</f>
        <v>0</v>
      </c>
      <c r="AD880" s="108">
        <f t="shared" si="160"/>
        <v>1</v>
      </c>
      <c r="AE880" s="108" t="str">
        <f t="shared" si="161"/>
        <v/>
      </c>
      <c r="AF880" s="108">
        <f t="shared" si="162"/>
        <v>0</v>
      </c>
      <c r="AG880" s="108">
        <f t="shared" si="163"/>
        <v>0</v>
      </c>
      <c r="AH880" s="110" t="str">
        <f t="shared" si="164"/>
        <v/>
      </c>
      <c r="AI880" s="108">
        <f t="shared" si="165"/>
        <v>0</v>
      </c>
      <c r="AJ880" s="108">
        <f t="shared" si="166"/>
        <v>0</v>
      </c>
      <c r="AK880" s="108">
        <f>IF($A880="",0,IF(AND($S880=1,$W880=1,$X880=1,$U880&gt;Config!$C$9),1,0))</f>
        <v>0</v>
      </c>
      <c r="AL880" s="108">
        <f t="shared" si="167"/>
        <v>0</v>
      </c>
    </row>
    <row r="881" spans="19:38" x14ac:dyDescent="0.25">
      <c r="S881" s="108" t="str">
        <f>IF($A881="","",COUNTIF(BPOworkers!$B$6:$B$105,$A881))</f>
        <v/>
      </c>
      <c r="T881" s="109" t="str">
        <f>IF($A881="","",$K881*Config!$C$9)</f>
        <v/>
      </c>
      <c r="U881" s="109" t="str">
        <f>IF($A881="","",IF(COUNTIF(Config!$C$21:$C$23,$H881)&gt;0,IFERROR(VALUE(LEFT(TRIM($Q881),FIND(" ",TRIM($Q881)&amp;" ")-1)),0),0))</f>
        <v/>
      </c>
      <c r="V881" s="109" t="str">
        <f t="shared" si="156"/>
        <v/>
      </c>
      <c r="W881" s="108">
        <f>IF($A881="",0,IF(AND($C881&gt;=Config!$C$7,$C881&lt;=Config!$C$8),1,0))</f>
        <v>0</v>
      </c>
      <c r="X881" s="108">
        <f>IF($A881="",0,IF(COUNTIF(Config!$C$21:$C$23,$H881)&gt;0,1,0))</f>
        <v>0</v>
      </c>
      <c r="Y881" s="108">
        <f t="shared" si="157"/>
        <v>24</v>
      </c>
      <c r="Z881" s="108" t="str">
        <f t="shared" si="158"/>
        <v/>
      </c>
      <c r="AB881" s="108">
        <f t="shared" si="159"/>
        <v>0</v>
      </c>
      <c r="AC881" s="108">
        <f>IF($A881="",0,IF(AND($AB881=1,COUNTIF($A$2:$A881,$A881)=1),1,0))</f>
        <v>0</v>
      </c>
      <c r="AD881" s="108">
        <f t="shared" si="160"/>
        <v>1</v>
      </c>
      <c r="AE881" s="108" t="str">
        <f t="shared" si="161"/>
        <v/>
      </c>
      <c r="AF881" s="108">
        <f t="shared" si="162"/>
        <v>0</v>
      </c>
      <c r="AG881" s="108">
        <f t="shared" si="163"/>
        <v>0</v>
      </c>
      <c r="AH881" s="110" t="str">
        <f t="shared" si="164"/>
        <v/>
      </c>
      <c r="AI881" s="108">
        <f t="shared" si="165"/>
        <v>0</v>
      </c>
      <c r="AJ881" s="108">
        <f t="shared" si="166"/>
        <v>0</v>
      </c>
      <c r="AK881" s="108">
        <f>IF($A881="",0,IF(AND($S881=1,$W881=1,$X881=1,$U881&gt;Config!$C$9),1,0))</f>
        <v>0</v>
      </c>
      <c r="AL881" s="108">
        <f t="shared" si="167"/>
        <v>0</v>
      </c>
    </row>
    <row r="882" spans="19:38" x14ac:dyDescent="0.25">
      <c r="S882" s="108" t="str">
        <f>IF($A882="","",COUNTIF(BPOworkers!$B$6:$B$105,$A882))</f>
        <v/>
      </c>
      <c r="T882" s="109" t="str">
        <f>IF($A882="","",$K882*Config!$C$9)</f>
        <v/>
      </c>
      <c r="U882" s="109" t="str">
        <f>IF($A882="","",IF(COUNTIF(Config!$C$21:$C$23,$H882)&gt;0,IFERROR(VALUE(LEFT(TRIM($Q882),FIND(" ",TRIM($Q882)&amp;" ")-1)),0),0))</f>
        <v/>
      </c>
      <c r="V882" s="109" t="str">
        <f t="shared" si="156"/>
        <v/>
      </c>
      <c r="W882" s="108">
        <f>IF($A882="",0,IF(AND($C882&gt;=Config!$C$7,$C882&lt;=Config!$C$8),1,0))</f>
        <v>0</v>
      </c>
      <c r="X882" s="108">
        <f>IF($A882="",0,IF(COUNTIF(Config!$C$21:$C$23,$H882)&gt;0,1,0))</f>
        <v>0</v>
      </c>
      <c r="Y882" s="108">
        <f t="shared" si="157"/>
        <v>24</v>
      </c>
      <c r="Z882" s="108" t="str">
        <f t="shared" si="158"/>
        <v/>
      </c>
      <c r="AB882" s="108">
        <f t="shared" si="159"/>
        <v>0</v>
      </c>
      <c r="AC882" s="108">
        <f>IF($A882="",0,IF(AND($AB882=1,COUNTIF($A$2:$A882,$A882)=1),1,0))</f>
        <v>0</v>
      </c>
      <c r="AD882" s="108">
        <f t="shared" si="160"/>
        <v>1</v>
      </c>
      <c r="AE882" s="108" t="str">
        <f t="shared" si="161"/>
        <v/>
      </c>
      <c r="AF882" s="108">
        <f t="shared" si="162"/>
        <v>0</v>
      </c>
      <c r="AG882" s="108">
        <f t="shared" si="163"/>
        <v>0</v>
      </c>
      <c r="AH882" s="110" t="str">
        <f t="shared" si="164"/>
        <v/>
      </c>
      <c r="AI882" s="108">
        <f t="shared" si="165"/>
        <v>0</v>
      </c>
      <c r="AJ882" s="108">
        <f t="shared" si="166"/>
        <v>0</v>
      </c>
      <c r="AK882" s="108">
        <f>IF($A882="",0,IF(AND($S882=1,$W882=1,$X882=1,$U882&gt;Config!$C$9),1,0))</f>
        <v>0</v>
      </c>
      <c r="AL882" s="108">
        <f t="shared" si="167"/>
        <v>0</v>
      </c>
    </row>
    <row r="883" spans="19:38" x14ac:dyDescent="0.25">
      <c r="S883" s="108" t="str">
        <f>IF($A883="","",COUNTIF(BPOworkers!$B$6:$B$105,$A883))</f>
        <v/>
      </c>
      <c r="T883" s="109" t="str">
        <f>IF($A883="","",$K883*Config!$C$9)</f>
        <v/>
      </c>
      <c r="U883" s="109" t="str">
        <f>IF($A883="","",IF(COUNTIF(Config!$C$21:$C$23,$H883)&gt;0,IFERROR(VALUE(LEFT(TRIM($Q883),FIND(" ",TRIM($Q883)&amp;" ")-1)),0),0))</f>
        <v/>
      </c>
      <c r="V883" s="109" t="str">
        <f t="shared" si="156"/>
        <v/>
      </c>
      <c r="W883" s="108">
        <f>IF($A883="",0,IF(AND($C883&gt;=Config!$C$7,$C883&lt;=Config!$C$8),1,0))</f>
        <v>0</v>
      </c>
      <c r="X883" s="108">
        <f>IF($A883="",0,IF(COUNTIF(Config!$C$21:$C$23,$H883)&gt;0,1,0))</f>
        <v>0</v>
      </c>
      <c r="Y883" s="108">
        <f t="shared" si="157"/>
        <v>24</v>
      </c>
      <c r="Z883" s="108" t="str">
        <f t="shared" si="158"/>
        <v/>
      </c>
      <c r="AB883" s="108">
        <f t="shared" si="159"/>
        <v>0</v>
      </c>
      <c r="AC883" s="108">
        <f>IF($A883="",0,IF(AND($AB883=1,COUNTIF($A$2:$A883,$A883)=1),1,0))</f>
        <v>0</v>
      </c>
      <c r="AD883" s="108">
        <f t="shared" si="160"/>
        <v>1</v>
      </c>
      <c r="AE883" s="108" t="str">
        <f t="shared" si="161"/>
        <v/>
      </c>
      <c r="AF883" s="108">
        <f t="shared" si="162"/>
        <v>0</v>
      </c>
      <c r="AG883" s="108">
        <f t="shared" si="163"/>
        <v>0</v>
      </c>
      <c r="AH883" s="110" t="str">
        <f t="shared" si="164"/>
        <v/>
      </c>
      <c r="AI883" s="108">
        <f t="shared" si="165"/>
        <v>0</v>
      </c>
      <c r="AJ883" s="108">
        <f t="shared" si="166"/>
        <v>0</v>
      </c>
      <c r="AK883" s="108">
        <f>IF($A883="",0,IF(AND($S883=1,$W883=1,$X883=1,$U883&gt;Config!$C$9),1,0))</f>
        <v>0</v>
      </c>
      <c r="AL883" s="108">
        <f t="shared" si="167"/>
        <v>0</v>
      </c>
    </row>
    <row r="884" spans="19:38" x14ac:dyDescent="0.25">
      <c r="S884" s="108" t="str">
        <f>IF($A884="","",COUNTIF(BPOworkers!$B$6:$B$105,$A884))</f>
        <v/>
      </c>
      <c r="T884" s="109" t="str">
        <f>IF($A884="","",$K884*Config!$C$9)</f>
        <v/>
      </c>
      <c r="U884" s="109" t="str">
        <f>IF($A884="","",IF(COUNTIF(Config!$C$21:$C$23,$H884)&gt;0,IFERROR(VALUE(LEFT(TRIM($Q884),FIND(" ",TRIM($Q884)&amp;" ")-1)),0),0))</f>
        <v/>
      </c>
      <c r="V884" s="109" t="str">
        <f t="shared" si="156"/>
        <v/>
      </c>
      <c r="W884" s="108">
        <f>IF($A884="",0,IF(AND($C884&gt;=Config!$C$7,$C884&lt;=Config!$C$8),1,0))</f>
        <v>0</v>
      </c>
      <c r="X884" s="108">
        <f>IF($A884="",0,IF(COUNTIF(Config!$C$21:$C$23,$H884)&gt;0,1,0))</f>
        <v>0</v>
      </c>
      <c r="Y884" s="108">
        <f t="shared" si="157"/>
        <v>24</v>
      </c>
      <c r="Z884" s="108" t="str">
        <f t="shared" si="158"/>
        <v/>
      </c>
      <c r="AB884" s="108">
        <f t="shared" si="159"/>
        <v>0</v>
      </c>
      <c r="AC884" s="108">
        <f>IF($A884="",0,IF(AND($AB884=1,COUNTIF($A$2:$A884,$A884)=1),1,0))</f>
        <v>0</v>
      </c>
      <c r="AD884" s="108">
        <f t="shared" si="160"/>
        <v>1</v>
      </c>
      <c r="AE884" s="108" t="str">
        <f t="shared" si="161"/>
        <v/>
      </c>
      <c r="AF884" s="108">
        <f t="shared" si="162"/>
        <v>0</v>
      </c>
      <c r="AG884" s="108">
        <f t="shared" si="163"/>
        <v>0</v>
      </c>
      <c r="AH884" s="110" t="str">
        <f t="shared" si="164"/>
        <v/>
      </c>
      <c r="AI884" s="108">
        <f t="shared" si="165"/>
        <v>0</v>
      </c>
      <c r="AJ884" s="108">
        <f t="shared" si="166"/>
        <v>0</v>
      </c>
      <c r="AK884" s="108">
        <f>IF($A884="",0,IF(AND($S884=1,$W884=1,$X884=1,$U884&gt;Config!$C$9),1,0))</f>
        <v>0</v>
      </c>
      <c r="AL884" s="108">
        <f t="shared" si="167"/>
        <v>0</v>
      </c>
    </row>
    <row r="885" spans="19:38" x14ac:dyDescent="0.25">
      <c r="S885" s="108" t="str">
        <f>IF($A885="","",COUNTIF(BPOworkers!$B$6:$B$105,$A885))</f>
        <v/>
      </c>
      <c r="T885" s="109" t="str">
        <f>IF($A885="","",$K885*Config!$C$9)</f>
        <v/>
      </c>
      <c r="U885" s="109" t="str">
        <f>IF($A885="","",IF(COUNTIF(Config!$C$21:$C$23,$H885)&gt;0,IFERROR(VALUE(LEFT(TRIM($Q885),FIND(" ",TRIM($Q885)&amp;" ")-1)),0),0))</f>
        <v/>
      </c>
      <c r="V885" s="109" t="str">
        <f t="shared" si="156"/>
        <v/>
      </c>
      <c r="W885" s="108">
        <f>IF($A885="",0,IF(AND($C885&gt;=Config!$C$7,$C885&lt;=Config!$C$8),1,0))</f>
        <v>0</v>
      </c>
      <c r="X885" s="108">
        <f>IF($A885="",0,IF(COUNTIF(Config!$C$21:$C$23,$H885)&gt;0,1,0))</f>
        <v>0</v>
      </c>
      <c r="Y885" s="108">
        <f t="shared" si="157"/>
        <v>24</v>
      </c>
      <c r="Z885" s="108" t="str">
        <f t="shared" si="158"/>
        <v/>
      </c>
      <c r="AB885" s="108">
        <f t="shared" si="159"/>
        <v>0</v>
      </c>
      <c r="AC885" s="108">
        <f>IF($A885="",0,IF(AND($AB885=1,COUNTIF($A$2:$A885,$A885)=1),1,0))</f>
        <v>0</v>
      </c>
      <c r="AD885" s="108">
        <f t="shared" si="160"/>
        <v>1</v>
      </c>
      <c r="AE885" s="108" t="str">
        <f t="shared" si="161"/>
        <v/>
      </c>
      <c r="AF885" s="108">
        <f t="shared" si="162"/>
        <v>0</v>
      </c>
      <c r="AG885" s="108">
        <f t="shared" si="163"/>
        <v>0</v>
      </c>
      <c r="AH885" s="110" t="str">
        <f t="shared" si="164"/>
        <v/>
      </c>
      <c r="AI885" s="108">
        <f t="shared" si="165"/>
        <v>0</v>
      </c>
      <c r="AJ885" s="108">
        <f t="shared" si="166"/>
        <v>0</v>
      </c>
      <c r="AK885" s="108">
        <f>IF($A885="",0,IF(AND($S885=1,$W885=1,$X885=1,$U885&gt;Config!$C$9),1,0))</f>
        <v>0</v>
      </c>
      <c r="AL885" s="108">
        <f t="shared" si="167"/>
        <v>0</v>
      </c>
    </row>
    <row r="886" spans="19:38" x14ac:dyDescent="0.25">
      <c r="S886" s="108" t="str">
        <f>IF($A886="","",COUNTIF(BPOworkers!$B$6:$B$105,$A886))</f>
        <v/>
      </c>
      <c r="T886" s="109" t="str">
        <f>IF($A886="","",$K886*Config!$C$9)</f>
        <v/>
      </c>
      <c r="U886" s="109" t="str">
        <f>IF($A886="","",IF(COUNTIF(Config!$C$21:$C$23,$H886)&gt;0,IFERROR(VALUE(LEFT(TRIM($Q886),FIND(" ",TRIM($Q886)&amp;" ")-1)),0),0))</f>
        <v/>
      </c>
      <c r="V886" s="109" t="str">
        <f t="shared" si="156"/>
        <v/>
      </c>
      <c r="W886" s="108">
        <f>IF($A886="",0,IF(AND($C886&gt;=Config!$C$7,$C886&lt;=Config!$C$8),1,0))</f>
        <v>0</v>
      </c>
      <c r="X886" s="108">
        <f>IF($A886="",0,IF(COUNTIF(Config!$C$21:$C$23,$H886)&gt;0,1,0))</f>
        <v>0</v>
      </c>
      <c r="Y886" s="108">
        <f t="shared" si="157"/>
        <v>24</v>
      </c>
      <c r="Z886" s="108" t="str">
        <f t="shared" si="158"/>
        <v/>
      </c>
      <c r="AB886" s="108">
        <f t="shared" si="159"/>
        <v>0</v>
      </c>
      <c r="AC886" s="108">
        <f>IF($A886="",0,IF(AND($AB886=1,COUNTIF($A$2:$A886,$A886)=1),1,0))</f>
        <v>0</v>
      </c>
      <c r="AD886" s="108">
        <f t="shared" si="160"/>
        <v>1</v>
      </c>
      <c r="AE886" s="108" t="str">
        <f t="shared" si="161"/>
        <v/>
      </c>
      <c r="AF886" s="108">
        <f t="shared" si="162"/>
        <v>0</v>
      </c>
      <c r="AG886" s="108">
        <f t="shared" si="163"/>
        <v>0</v>
      </c>
      <c r="AH886" s="110" t="str">
        <f t="shared" si="164"/>
        <v/>
      </c>
      <c r="AI886" s="108">
        <f t="shared" si="165"/>
        <v>0</v>
      </c>
      <c r="AJ886" s="108">
        <f t="shared" si="166"/>
        <v>0</v>
      </c>
      <c r="AK886" s="108">
        <f>IF($A886="",0,IF(AND($S886=1,$W886=1,$X886=1,$U886&gt;Config!$C$9),1,0))</f>
        <v>0</v>
      </c>
      <c r="AL886" s="108">
        <f t="shared" si="167"/>
        <v>0</v>
      </c>
    </row>
    <row r="887" spans="19:38" x14ac:dyDescent="0.25">
      <c r="S887" s="108" t="str">
        <f>IF($A887="","",COUNTIF(BPOworkers!$B$6:$B$105,$A887))</f>
        <v/>
      </c>
      <c r="T887" s="109" t="str">
        <f>IF($A887="","",$K887*Config!$C$9)</f>
        <v/>
      </c>
      <c r="U887" s="109" t="str">
        <f>IF($A887="","",IF(COUNTIF(Config!$C$21:$C$23,$H887)&gt;0,IFERROR(VALUE(LEFT(TRIM($Q887),FIND(" ",TRIM($Q887)&amp;" ")-1)),0),0))</f>
        <v/>
      </c>
      <c r="V887" s="109" t="str">
        <f t="shared" si="156"/>
        <v/>
      </c>
      <c r="W887" s="108">
        <f>IF($A887="",0,IF(AND($C887&gt;=Config!$C$7,$C887&lt;=Config!$C$8),1,0))</f>
        <v>0</v>
      </c>
      <c r="X887" s="108">
        <f>IF($A887="",0,IF(COUNTIF(Config!$C$21:$C$23,$H887)&gt;0,1,0))</f>
        <v>0</v>
      </c>
      <c r="Y887" s="108">
        <f t="shared" si="157"/>
        <v>24</v>
      </c>
      <c r="Z887" s="108" t="str">
        <f t="shared" si="158"/>
        <v/>
      </c>
      <c r="AB887" s="108">
        <f t="shared" si="159"/>
        <v>0</v>
      </c>
      <c r="AC887" s="108">
        <f>IF($A887="",0,IF(AND($AB887=1,COUNTIF($A$2:$A887,$A887)=1),1,0))</f>
        <v>0</v>
      </c>
      <c r="AD887" s="108">
        <f t="shared" si="160"/>
        <v>1</v>
      </c>
      <c r="AE887" s="108" t="str">
        <f t="shared" si="161"/>
        <v/>
      </c>
      <c r="AF887" s="108">
        <f t="shared" si="162"/>
        <v>0</v>
      </c>
      <c r="AG887" s="108">
        <f t="shared" si="163"/>
        <v>0</v>
      </c>
      <c r="AH887" s="110" t="str">
        <f t="shared" si="164"/>
        <v/>
      </c>
      <c r="AI887" s="108">
        <f t="shared" si="165"/>
        <v>0</v>
      </c>
      <c r="AJ887" s="108">
        <f t="shared" si="166"/>
        <v>0</v>
      </c>
      <c r="AK887" s="108">
        <f>IF($A887="",0,IF(AND($S887=1,$W887=1,$X887=1,$U887&gt;Config!$C$9),1,0))</f>
        <v>0</v>
      </c>
      <c r="AL887" s="108">
        <f t="shared" si="167"/>
        <v>0</v>
      </c>
    </row>
    <row r="888" spans="19:38" x14ac:dyDescent="0.25">
      <c r="S888" s="108" t="str">
        <f>IF($A888="","",COUNTIF(BPOworkers!$B$6:$B$105,$A888))</f>
        <v/>
      </c>
      <c r="T888" s="109" t="str">
        <f>IF($A888="","",$K888*Config!$C$9)</f>
        <v/>
      </c>
      <c r="U888" s="109" t="str">
        <f>IF($A888="","",IF(COUNTIF(Config!$C$21:$C$23,$H888)&gt;0,IFERROR(VALUE(LEFT(TRIM($Q888),FIND(" ",TRIM($Q888)&amp;" ")-1)),0),0))</f>
        <v/>
      </c>
      <c r="V888" s="109" t="str">
        <f t="shared" si="156"/>
        <v/>
      </c>
      <c r="W888" s="108">
        <f>IF($A888="",0,IF(AND($C888&gt;=Config!$C$7,$C888&lt;=Config!$C$8),1,0))</f>
        <v>0</v>
      </c>
      <c r="X888" s="108">
        <f>IF($A888="",0,IF(COUNTIF(Config!$C$21:$C$23,$H888)&gt;0,1,0))</f>
        <v>0</v>
      </c>
      <c r="Y888" s="108">
        <f t="shared" si="157"/>
        <v>24</v>
      </c>
      <c r="Z888" s="108" t="str">
        <f t="shared" si="158"/>
        <v/>
      </c>
      <c r="AB888" s="108">
        <f t="shared" si="159"/>
        <v>0</v>
      </c>
      <c r="AC888" s="108">
        <f>IF($A888="",0,IF(AND($AB888=1,COUNTIF($A$2:$A888,$A888)=1),1,0))</f>
        <v>0</v>
      </c>
      <c r="AD888" s="108">
        <f t="shared" si="160"/>
        <v>1</v>
      </c>
      <c r="AE888" s="108" t="str">
        <f t="shared" si="161"/>
        <v/>
      </c>
      <c r="AF888" s="108">
        <f t="shared" si="162"/>
        <v>0</v>
      </c>
      <c r="AG888" s="108">
        <f t="shared" si="163"/>
        <v>0</v>
      </c>
      <c r="AH888" s="110" t="str">
        <f t="shared" si="164"/>
        <v/>
      </c>
      <c r="AI888" s="108">
        <f t="shared" si="165"/>
        <v>0</v>
      </c>
      <c r="AJ888" s="108">
        <f t="shared" si="166"/>
        <v>0</v>
      </c>
      <c r="AK888" s="108">
        <f>IF($A888="",0,IF(AND($S888=1,$W888=1,$X888=1,$U888&gt;Config!$C$9),1,0))</f>
        <v>0</v>
      </c>
      <c r="AL888" s="108">
        <f t="shared" si="167"/>
        <v>0</v>
      </c>
    </row>
    <row r="889" spans="19:38" x14ac:dyDescent="0.25">
      <c r="S889" s="108" t="str">
        <f>IF($A889="","",COUNTIF(BPOworkers!$B$6:$B$105,$A889))</f>
        <v/>
      </c>
      <c r="T889" s="109" t="str">
        <f>IF($A889="","",$K889*Config!$C$9)</f>
        <v/>
      </c>
      <c r="U889" s="109" t="str">
        <f>IF($A889="","",IF(COUNTIF(Config!$C$21:$C$23,$H889)&gt;0,IFERROR(VALUE(LEFT(TRIM($Q889),FIND(" ",TRIM($Q889)&amp;" ")-1)),0),0))</f>
        <v/>
      </c>
      <c r="V889" s="109" t="str">
        <f t="shared" si="156"/>
        <v/>
      </c>
      <c r="W889" s="108">
        <f>IF($A889="",0,IF(AND($C889&gt;=Config!$C$7,$C889&lt;=Config!$C$8),1,0))</f>
        <v>0</v>
      </c>
      <c r="X889" s="108">
        <f>IF($A889="",0,IF(COUNTIF(Config!$C$21:$C$23,$H889)&gt;0,1,0))</f>
        <v>0</v>
      </c>
      <c r="Y889" s="108">
        <f t="shared" si="157"/>
        <v>24</v>
      </c>
      <c r="Z889" s="108" t="str">
        <f t="shared" si="158"/>
        <v/>
      </c>
      <c r="AB889" s="108">
        <f t="shared" si="159"/>
        <v>0</v>
      </c>
      <c r="AC889" s="108">
        <f>IF($A889="",0,IF(AND($AB889=1,COUNTIF($A$2:$A889,$A889)=1),1,0))</f>
        <v>0</v>
      </c>
      <c r="AD889" s="108">
        <f t="shared" si="160"/>
        <v>1</v>
      </c>
      <c r="AE889" s="108" t="str">
        <f t="shared" si="161"/>
        <v/>
      </c>
      <c r="AF889" s="108">
        <f t="shared" si="162"/>
        <v>0</v>
      </c>
      <c r="AG889" s="108">
        <f t="shared" si="163"/>
        <v>0</v>
      </c>
      <c r="AH889" s="110" t="str">
        <f t="shared" si="164"/>
        <v/>
      </c>
      <c r="AI889" s="108">
        <f t="shared" si="165"/>
        <v>0</v>
      </c>
      <c r="AJ889" s="108">
        <f t="shared" si="166"/>
        <v>0</v>
      </c>
      <c r="AK889" s="108">
        <f>IF($A889="",0,IF(AND($S889=1,$W889=1,$X889=1,$U889&gt;Config!$C$9),1,0))</f>
        <v>0</v>
      </c>
      <c r="AL889" s="108">
        <f t="shared" si="167"/>
        <v>0</v>
      </c>
    </row>
    <row r="890" spans="19:38" x14ac:dyDescent="0.25">
      <c r="S890" s="108" t="str">
        <f>IF($A890="","",COUNTIF(BPOworkers!$B$6:$B$105,$A890))</f>
        <v/>
      </c>
      <c r="T890" s="109" t="str">
        <f>IF($A890="","",$K890*Config!$C$9)</f>
        <v/>
      </c>
      <c r="U890" s="109" t="str">
        <f>IF($A890="","",IF(COUNTIF(Config!$C$21:$C$23,$H890)&gt;0,IFERROR(VALUE(LEFT(TRIM($Q890),FIND(" ",TRIM($Q890)&amp;" ")-1)),0),0))</f>
        <v/>
      </c>
      <c r="V890" s="109" t="str">
        <f t="shared" si="156"/>
        <v/>
      </c>
      <c r="W890" s="108">
        <f>IF($A890="",0,IF(AND($C890&gt;=Config!$C$7,$C890&lt;=Config!$C$8),1,0))</f>
        <v>0</v>
      </c>
      <c r="X890" s="108">
        <f>IF($A890="",0,IF(COUNTIF(Config!$C$21:$C$23,$H890)&gt;0,1,0))</f>
        <v>0</v>
      </c>
      <c r="Y890" s="108">
        <f t="shared" si="157"/>
        <v>24</v>
      </c>
      <c r="Z890" s="108" t="str">
        <f t="shared" si="158"/>
        <v/>
      </c>
      <c r="AB890" s="108">
        <f t="shared" si="159"/>
        <v>0</v>
      </c>
      <c r="AC890" s="108">
        <f>IF($A890="",0,IF(AND($AB890=1,COUNTIF($A$2:$A890,$A890)=1),1,0))</f>
        <v>0</v>
      </c>
      <c r="AD890" s="108">
        <f t="shared" si="160"/>
        <v>1</v>
      </c>
      <c r="AE890" s="108" t="str">
        <f t="shared" si="161"/>
        <v/>
      </c>
      <c r="AF890" s="108">
        <f t="shared" si="162"/>
        <v>0</v>
      </c>
      <c r="AG890" s="108">
        <f t="shared" si="163"/>
        <v>0</v>
      </c>
      <c r="AH890" s="110" t="str">
        <f t="shared" si="164"/>
        <v/>
      </c>
      <c r="AI890" s="108">
        <f t="shared" si="165"/>
        <v>0</v>
      </c>
      <c r="AJ890" s="108">
        <f t="shared" si="166"/>
        <v>0</v>
      </c>
      <c r="AK890" s="108">
        <f>IF($A890="",0,IF(AND($S890=1,$W890=1,$X890=1,$U890&gt;Config!$C$9),1,0))</f>
        <v>0</v>
      </c>
      <c r="AL890" s="108">
        <f t="shared" si="167"/>
        <v>0</v>
      </c>
    </row>
    <row r="891" spans="19:38" x14ac:dyDescent="0.25">
      <c r="S891" s="108" t="str">
        <f>IF($A891="","",COUNTIF(BPOworkers!$B$6:$B$105,$A891))</f>
        <v/>
      </c>
      <c r="T891" s="109" t="str">
        <f>IF($A891="","",$K891*Config!$C$9)</f>
        <v/>
      </c>
      <c r="U891" s="109" t="str">
        <f>IF($A891="","",IF(COUNTIF(Config!$C$21:$C$23,$H891)&gt;0,IFERROR(VALUE(LEFT(TRIM($Q891),FIND(" ",TRIM($Q891)&amp;" ")-1)),0),0))</f>
        <v/>
      </c>
      <c r="V891" s="109" t="str">
        <f t="shared" si="156"/>
        <v/>
      </c>
      <c r="W891" s="108">
        <f>IF($A891="",0,IF(AND($C891&gt;=Config!$C$7,$C891&lt;=Config!$C$8),1,0))</f>
        <v>0</v>
      </c>
      <c r="X891" s="108">
        <f>IF($A891="",0,IF(COUNTIF(Config!$C$21:$C$23,$H891)&gt;0,1,0))</f>
        <v>0</v>
      </c>
      <c r="Y891" s="108">
        <f t="shared" si="157"/>
        <v>24</v>
      </c>
      <c r="Z891" s="108" t="str">
        <f t="shared" si="158"/>
        <v/>
      </c>
      <c r="AB891" s="108">
        <f t="shared" si="159"/>
        <v>0</v>
      </c>
      <c r="AC891" s="108">
        <f>IF($A891="",0,IF(AND($AB891=1,COUNTIF($A$2:$A891,$A891)=1),1,0))</f>
        <v>0</v>
      </c>
      <c r="AD891" s="108">
        <f t="shared" si="160"/>
        <v>1</v>
      </c>
      <c r="AE891" s="108" t="str">
        <f t="shared" si="161"/>
        <v/>
      </c>
      <c r="AF891" s="108">
        <f t="shared" si="162"/>
        <v>0</v>
      </c>
      <c r="AG891" s="108">
        <f t="shared" si="163"/>
        <v>0</v>
      </c>
      <c r="AH891" s="110" t="str">
        <f t="shared" si="164"/>
        <v/>
      </c>
      <c r="AI891" s="108">
        <f t="shared" si="165"/>
        <v>0</v>
      </c>
      <c r="AJ891" s="108">
        <f t="shared" si="166"/>
        <v>0</v>
      </c>
      <c r="AK891" s="108">
        <f>IF($A891="",0,IF(AND($S891=1,$W891=1,$X891=1,$U891&gt;Config!$C$9),1,0))</f>
        <v>0</v>
      </c>
      <c r="AL891" s="108">
        <f t="shared" si="167"/>
        <v>0</v>
      </c>
    </row>
    <row r="892" spans="19:38" x14ac:dyDescent="0.25">
      <c r="S892" s="108" t="str">
        <f>IF($A892="","",COUNTIF(BPOworkers!$B$6:$B$105,$A892))</f>
        <v/>
      </c>
      <c r="T892" s="109" t="str">
        <f>IF($A892="","",$K892*Config!$C$9)</f>
        <v/>
      </c>
      <c r="U892" s="109" t="str">
        <f>IF($A892="","",IF(COUNTIF(Config!$C$21:$C$23,$H892)&gt;0,IFERROR(VALUE(LEFT(TRIM($Q892),FIND(" ",TRIM($Q892)&amp;" ")-1)),0),0))</f>
        <v/>
      </c>
      <c r="V892" s="109" t="str">
        <f t="shared" si="156"/>
        <v/>
      </c>
      <c r="W892" s="108">
        <f>IF($A892="",0,IF(AND($C892&gt;=Config!$C$7,$C892&lt;=Config!$C$8),1,0))</f>
        <v>0</v>
      </c>
      <c r="X892" s="108">
        <f>IF($A892="",0,IF(COUNTIF(Config!$C$21:$C$23,$H892)&gt;0,1,0))</f>
        <v>0</v>
      </c>
      <c r="Y892" s="108">
        <f t="shared" si="157"/>
        <v>24</v>
      </c>
      <c r="Z892" s="108" t="str">
        <f t="shared" si="158"/>
        <v/>
      </c>
      <c r="AB892" s="108">
        <f t="shared" si="159"/>
        <v>0</v>
      </c>
      <c r="AC892" s="108">
        <f>IF($A892="",0,IF(AND($AB892=1,COUNTIF($A$2:$A892,$A892)=1),1,0))</f>
        <v>0</v>
      </c>
      <c r="AD892" s="108">
        <f t="shared" si="160"/>
        <v>1</v>
      </c>
      <c r="AE892" s="108" t="str">
        <f t="shared" si="161"/>
        <v/>
      </c>
      <c r="AF892" s="108">
        <f t="shared" si="162"/>
        <v>0</v>
      </c>
      <c r="AG892" s="108">
        <f t="shared" si="163"/>
        <v>0</v>
      </c>
      <c r="AH892" s="110" t="str">
        <f t="shared" si="164"/>
        <v/>
      </c>
      <c r="AI892" s="108">
        <f t="shared" si="165"/>
        <v>0</v>
      </c>
      <c r="AJ892" s="108">
        <f t="shared" si="166"/>
        <v>0</v>
      </c>
      <c r="AK892" s="108">
        <f>IF($A892="",0,IF(AND($S892=1,$W892=1,$X892=1,$U892&gt;Config!$C$9),1,0))</f>
        <v>0</v>
      </c>
      <c r="AL892" s="108">
        <f t="shared" si="167"/>
        <v>0</v>
      </c>
    </row>
    <row r="893" spans="19:38" x14ac:dyDescent="0.25">
      <c r="S893" s="108" t="str">
        <f>IF($A893="","",COUNTIF(BPOworkers!$B$6:$B$105,$A893))</f>
        <v/>
      </c>
      <c r="T893" s="109" t="str">
        <f>IF($A893="","",$K893*Config!$C$9)</f>
        <v/>
      </c>
      <c r="U893" s="109" t="str">
        <f>IF($A893="","",IF(COUNTIF(Config!$C$21:$C$23,$H893)&gt;0,IFERROR(VALUE(LEFT(TRIM($Q893),FIND(" ",TRIM($Q893)&amp;" ")-1)),0),0))</f>
        <v/>
      </c>
      <c r="V893" s="109" t="str">
        <f t="shared" si="156"/>
        <v/>
      </c>
      <c r="W893" s="108">
        <f>IF($A893="",0,IF(AND($C893&gt;=Config!$C$7,$C893&lt;=Config!$C$8),1,0))</f>
        <v>0</v>
      </c>
      <c r="X893" s="108">
        <f>IF($A893="",0,IF(COUNTIF(Config!$C$21:$C$23,$H893)&gt;0,1,0))</f>
        <v>0</v>
      </c>
      <c r="Y893" s="108">
        <f t="shared" si="157"/>
        <v>24</v>
      </c>
      <c r="Z893" s="108" t="str">
        <f t="shared" si="158"/>
        <v/>
      </c>
      <c r="AB893" s="108">
        <f t="shared" si="159"/>
        <v>0</v>
      </c>
      <c r="AC893" s="108">
        <f>IF($A893="",0,IF(AND($AB893=1,COUNTIF($A$2:$A893,$A893)=1),1,0))</f>
        <v>0</v>
      </c>
      <c r="AD893" s="108">
        <f t="shared" si="160"/>
        <v>1</v>
      </c>
      <c r="AE893" s="108" t="str">
        <f t="shared" si="161"/>
        <v/>
      </c>
      <c r="AF893" s="108">
        <f t="shared" si="162"/>
        <v>0</v>
      </c>
      <c r="AG893" s="108">
        <f t="shared" si="163"/>
        <v>0</v>
      </c>
      <c r="AH893" s="110" t="str">
        <f t="shared" si="164"/>
        <v/>
      </c>
      <c r="AI893" s="108">
        <f t="shared" si="165"/>
        <v>0</v>
      </c>
      <c r="AJ893" s="108">
        <f t="shared" si="166"/>
        <v>0</v>
      </c>
      <c r="AK893" s="108">
        <f>IF($A893="",0,IF(AND($S893=1,$W893=1,$X893=1,$U893&gt;Config!$C$9),1,0))</f>
        <v>0</v>
      </c>
      <c r="AL893" s="108">
        <f t="shared" si="167"/>
        <v>0</v>
      </c>
    </row>
    <row r="894" spans="19:38" x14ac:dyDescent="0.25">
      <c r="S894" s="108" t="str">
        <f>IF($A894="","",COUNTIF(BPOworkers!$B$6:$B$105,$A894))</f>
        <v/>
      </c>
      <c r="T894" s="109" t="str">
        <f>IF($A894="","",$K894*Config!$C$9)</f>
        <v/>
      </c>
      <c r="U894" s="109" t="str">
        <f>IF($A894="","",IF(COUNTIF(Config!$C$21:$C$23,$H894)&gt;0,IFERROR(VALUE(LEFT(TRIM($Q894),FIND(" ",TRIM($Q894)&amp;" ")-1)),0),0))</f>
        <v/>
      </c>
      <c r="V894" s="109" t="str">
        <f t="shared" si="156"/>
        <v/>
      </c>
      <c r="W894" s="108">
        <f>IF($A894="",0,IF(AND($C894&gt;=Config!$C$7,$C894&lt;=Config!$C$8),1,0))</f>
        <v>0</v>
      </c>
      <c r="X894" s="108">
        <f>IF($A894="",0,IF(COUNTIF(Config!$C$21:$C$23,$H894)&gt;0,1,0))</f>
        <v>0</v>
      </c>
      <c r="Y894" s="108">
        <f t="shared" si="157"/>
        <v>24</v>
      </c>
      <c r="Z894" s="108" t="str">
        <f t="shared" si="158"/>
        <v/>
      </c>
      <c r="AB894" s="108">
        <f t="shared" si="159"/>
        <v>0</v>
      </c>
      <c r="AC894" s="108">
        <f>IF($A894="",0,IF(AND($AB894=1,COUNTIF($A$2:$A894,$A894)=1),1,0))</f>
        <v>0</v>
      </c>
      <c r="AD894" s="108">
        <f t="shared" si="160"/>
        <v>1</v>
      </c>
      <c r="AE894" s="108" t="str">
        <f t="shared" si="161"/>
        <v/>
      </c>
      <c r="AF894" s="108">
        <f t="shared" si="162"/>
        <v>0</v>
      </c>
      <c r="AG894" s="108">
        <f t="shared" si="163"/>
        <v>0</v>
      </c>
      <c r="AH894" s="110" t="str">
        <f t="shared" si="164"/>
        <v/>
      </c>
      <c r="AI894" s="108">
        <f t="shared" si="165"/>
        <v>0</v>
      </c>
      <c r="AJ894" s="108">
        <f t="shared" si="166"/>
        <v>0</v>
      </c>
      <c r="AK894" s="108">
        <f>IF($A894="",0,IF(AND($S894=1,$W894=1,$X894=1,$U894&gt;Config!$C$9),1,0))</f>
        <v>0</v>
      </c>
      <c r="AL894" s="108">
        <f t="shared" si="167"/>
        <v>0</v>
      </c>
    </row>
    <row r="895" spans="19:38" x14ac:dyDescent="0.25">
      <c r="S895" s="108" t="str">
        <f>IF($A895="","",COUNTIF(BPOworkers!$B$6:$B$105,$A895))</f>
        <v/>
      </c>
      <c r="T895" s="109" t="str">
        <f>IF($A895="","",$K895*Config!$C$9)</f>
        <v/>
      </c>
      <c r="U895" s="109" t="str">
        <f>IF($A895="","",IF(COUNTIF(Config!$C$21:$C$23,$H895)&gt;0,IFERROR(VALUE(LEFT(TRIM($Q895),FIND(" ",TRIM($Q895)&amp;" ")-1)),0),0))</f>
        <v/>
      </c>
      <c r="V895" s="109" t="str">
        <f t="shared" si="156"/>
        <v/>
      </c>
      <c r="W895" s="108">
        <f>IF($A895="",0,IF(AND($C895&gt;=Config!$C$7,$C895&lt;=Config!$C$8),1,0))</f>
        <v>0</v>
      </c>
      <c r="X895" s="108">
        <f>IF($A895="",0,IF(COUNTIF(Config!$C$21:$C$23,$H895)&gt;0,1,0))</f>
        <v>0</v>
      </c>
      <c r="Y895" s="108">
        <f t="shared" si="157"/>
        <v>24</v>
      </c>
      <c r="Z895" s="108" t="str">
        <f t="shared" si="158"/>
        <v/>
      </c>
      <c r="AB895" s="108">
        <f t="shared" si="159"/>
        <v>0</v>
      </c>
      <c r="AC895" s="108">
        <f>IF($A895="",0,IF(AND($AB895=1,COUNTIF($A$2:$A895,$A895)=1),1,0))</f>
        <v>0</v>
      </c>
      <c r="AD895" s="108">
        <f t="shared" si="160"/>
        <v>1</v>
      </c>
      <c r="AE895" s="108" t="str">
        <f t="shared" si="161"/>
        <v/>
      </c>
      <c r="AF895" s="108">
        <f t="shared" si="162"/>
        <v>0</v>
      </c>
      <c r="AG895" s="108">
        <f t="shared" si="163"/>
        <v>0</v>
      </c>
      <c r="AH895" s="110" t="str">
        <f t="shared" si="164"/>
        <v/>
      </c>
      <c r="AI895" s="108">
        <f t="shared" si="165"/>
        <v>0</v>
      </c>
      <c r="AJ895" s="108">
        <f t="shared" si="166"/>
        <v>0</v>
      </c>
      <c r="AK895" s="108">
        <f>IF($A895="",0,IF(AND($S895=1,$W895=1,$X895=1,$U895&gt;Config!$C$9),1,0))</f>
        <v>0</v>
      </c>
      <c r="AL895" s="108">
        <f t="shared" si="167"/>
        <v>0</v>
      </c>
    </row>
    <row r="896" spans="19:38" x14ac:dyDescent="0.25">
      <c r="S896" s="108" t="str">
        <f>IF($A896="","",COUNTIF(BPOworkers!$B$6:$B$105,$A896))</f>
        <v/>
      </c>
      <c r="T896" s="109" t="str">
        <f>IF($A896="","",$K896*Config!$C$9)</f>
        <v/>
      </c>
      <c r="U896" s="109" t="str">
        <f>IF($A896="","",IF(COUNTIF(Config!$C$21:$C$23,$H896)&gt;0,IFERROR(VALUE(LEFT(TRIM($Q896),FIND(" ",TRIM($Q896)&amp;" ")-1)),0),0))</f>
        <v/>
      </c>
      <c r="V896" s="109" t="str">
        <f t="shared" si="156"/>
        <v/>
      </c>
      <c r="W896" s="108">
        <f>IF($A896="",0,IF(AND($C896&gt;=Config!$C$7,$C896&lt;=Config!$C$8),1,0))</f>
        <v>0</v>
      </c>
      <c r="X896" s="108">
        <f>IF($A896="",0,IF(COUNTIF(Config!$C$21:$C$23,$H896)&gt;0,1,0))</f>
        <v>0</v>
      </c>
      <c r="Y896" s="108">
        <f t="shared" si="157"/>
        <v>24</v>
      </c>
      <c r="Z896" s="108" t="str">
        <f t="shared" si="158"/>
        <v/>
      </c>
      <c r="AB896" s="108">
        <f t="shared" si="159"/>
        <v>0</v>
      </c>
      <c r="AC896" s="108">
        <f>IF($A896="",0,IF(AND($AB896=1,COUNTIF($A$2:$A896,$A896)=1),1,0))</f>
        <v>0</v>
      </c>
      <c r="AD896" s="108">
        <f t="shared" si="160"/>
        <v>1</v>
      </c>
      <c r="AE896" s="108" t="str">
        <f t="shared" si="161"/>
        <v/>
      </c>
      <c r="AF896" s="108">
        <f t="shared" si="162"/>
        <v>0</v>
      </c>
      <c r="AG896" s="108">
        <f t="shared" si="163"/>
        <v>0</v>
      </c>
      <c r="AH896" s="110" t="str">
        <f t="shared" si="164"/>
        <v/>
      </c>
      <c r="AI896" s="108">
        <f t="shared" si="165"/>
        <v>0</v>
      </c>
      <c r="AJ896" s="108">
        <f t="shared" si="166"/>
        <v>0</v>
      </c>
      <c r="AK896" s="108">
        <f>IF($A896="",0,IF(AND($S896=1,$W896=1,$X896=1,$U896&gt;Config!$C$9),1,0))</f>
        <v>0</v>
      </c>
      <c r="AL896" s="108">
        <f t="shared" si="167"/>
        <v>0</v>
      </c>
    </row>
    <row r="897" spans="19:38" x14ac:dyDescent="0.25">
      <c r="S897" s="108" t="str">
        <f>IF($A897="","",COUNTIF(BPOworkers!$B$6:$B$105,$A897))</f>
        <v/>
      </c>
      <c r="T897" s="109" t="str">
        <f>IF($A897="","",$K897*Config!$C$9)</f>
        <v/>
      </c>
      <c r="U897" s="109" t="str">
        <f>IF($A897="","",IF(COUNTIF(Config!$C$21:$C$23,$H897)&gt;0,IFERROR(VALUE(LEFT(TRIM($Q897),FIND(" ",TRIM($Q897)&amp;" ")-1)),0),0))</f>
        <v/>
      </c>
      <c r="V897" s="109" t="str">
        <f t="shared" si="156"/>
        <v/>
      </c>
      <c r="W897" s="108">
        <f>IF($A897="",0,IF(AND($C897&gt;=Config!$C$7,$C897&lt;=Config!$C$8),1,0))</f>
        <v>0</v>
      </c>
      <c r="X897" s="108">
        <f>IF($A897="",0,IF(COUNTIF(Config!$C$21:$C$23,$H897)&gt;0,1,0))</f>
        <v>0</v>
      </c>
      <c r="Y897" s="108">
        <f t="shared" si="157"/>
        <v>24</v>
      </c>
      <c r="Z897" s="108" t="str">
        <f t="shared" si="158"/>
        <v/>
      </c>
      <c r="AB897" s="108">
        <f t="shared" si="159"/>
        <v>0</v>
      </c>
      <c r="AC897" s="108">
        <f>IF($A897="",0,IF(AND($AB897=1,COUNTIF($A$2:$A897,$A897)=1),1,0))</f>
        <v>0</v>
      </c>
      <c r="AD897" s="108">
        <f t="shared" si="160"/>
        <v>1</v>
      </c>
      <c r="AE897" s="108" t="str">
        <f t="shared" si="161"/>
        <v/>
      </c>
      <c r="AF897" s="108">
        <f t="shared" si="162"/>
        <v>0</v>
      </c>
      <c r="AG897" s="108">
        <f t="shared" si="163"/>
        <v>0</v>
      </c>
      <c r="AH897" s="110" t="str">
        <f t="shared" si="164"/>
        <v/>
      </c>
      <c r="AI897" s="108">
        <f t="shared" si="165"/>
        <v>0</v>
      </c>
      <c r="AJ897" s="108">
        <f t="shared" si="166"/>
        <v>0</v>
      </c>
      <c r="AK897" s="108">
        <f>IF($A897="",0,IF(AND($S897=1,$W897=1,$X897=1,$U897&gt;Config!$C$9),1,0))</f>
        <v>0</v>
      </c>
      <c r="AL897" s="108">
        <f t="shared" si="167"/>
        <v>0</v>
      </c>
    </row>
    <row r="898" spans="19:38" x14ac:dyDescent="0.25">
      <c r="S898" s="108" t="str">
        <f>IF($A898="","",COUNTIF(BPOworkers!$B$6:$B$105,$A898))</f>
        <v/>
      </c>
      <c r="T898" s="109" t="str">
        <f>IF($A898="","",$K898*Config!$C$9)</f>
        <v/>
      </c>
      <c r="U898" s="109" t="str">
        <f>IF($A898="","",IF(COUNTIF(Config!$C$21:$C$23,$H898)&gt;0,IFERROR(VALUE(LEFT(TRIM($Q898),FIND(" ",TRIM($Q898)&amp;" ")-1)),0),0))</f>
        <v/>
      </c>
      <c r="V898" s="109" t="str">
        <f t="shared" ref="V898:V961" si="168">IF($A898="","",$T898+$U898)</f>
        <v/>
      </c>
      <c r="W898" s="108">
        <f>IF($A898="",0,IF(AND($C898&gt;=Config!$C$7,$C898&lt;=Config!$C$8),1,0))</f>
        <v>0</v>
      </c>
      <c r="X898" s="108">
        <f>IF($A898="",0,IF(COUNTIF(Config!$C$21:$C$23,$H898)&gt;0,1,0))</f>
        <v>0</v>
      </c>
      <c r="Y898" s="108">
        <f t="shared" ref="Y898:Y961" si="169">IF($A898="",MAX(0,Y897),MAX(0,Y897)+IF(AND($W898=1,$X898=1,$S898=1),1,0))</f>
        <v>24</v>
      </c>
      <c r="Z898" s="108" t="str">
        <f t="shared" ref="Z898:Z961" si="170">IF($A898="","",IF(AND($W898=1,$X898=1,$S898=1),$Y898,""))</f>
        <v/>
      </c>
      <c r="AB898" s="108">
        <f t="shared" ref="AB898:AB961" si="171">IF($A898="",0,IF(AND($S898=0,ISERROR(FIND(".",$A898))),1,0))</f>
        <v>0</v>
      </c>
      <c r="AC898" s="108">
        <f>IF($A898="",0,IF(AND($AB898=1,COUNTIF($A$2:$A898,$A898)=1),1,0))</f>
        <v>0</v>
      </c>
      <c r="AD898" s="108">
        <f t="shared" ref="AD898:AD961" si="172">IF($A898="",MAX(0,AD897),MAX(0,AD897)+$AC898)</f>
        <v>1</v>
      </c>
      <c r="AE898" s="108" t="str">
        <f t="shared" ref="AE898:AE961" si="173">IF($AC898=1,$AD898,"")</f>
        <v/>
      </c>
      <c r="AF898" s="108">
        <f t="shared" ref="AF898:AF961" si="174">IF($A898="",0,IFERROR(IF(AND($S898=1,WEEKDAY($C898,2)&gt;5),1,0),0))</f>
        <v>0</v>
      </c>
      <c r="AG898" s="108">
        <f t="shared" ref="AG898:AG961" si="175">IF($A898="",0,IF(AND($S898=1,$W898=0),1,0))</f>
        <v>0</v>
      </c>
      <c r="AH898" s="110" t="str">
        <f t="shared" ref="AH898:AH961" si="176">IF($A898="","",$A898&amp;"|"&amp;TEXT($C898,"yyyymmdd")&amp;"|"&amp;$H898&amp;"|"&amp;TEXT($K898,"0.000")&amp;"|"&amp;SUBSTITUTE(SUBSTITUTE(SUBSTITUTE(LEFT($Q898,120),"~",""),"*",""),"?",""))</f>
        <v/>
      </c>
      <c r="AI898" s="108">
        <f t="shared" ref="AI898:AI961" si="177">IF($A898="",0,IF(AND($S898=1,$W898=1,COUNTIF($AH$2:$AH$1500,$AH898)&gt;1),1,0))</f>
        <v>0</v>
      </c>
      <c r="AJ898" s="108">
        <f t="shared" ref="AJ898:AJ961" si="178">IF($A898="",0,IF(AND($S898=1,$W898=1,ABS($K898*8-ROUND($K898*8,0))&gt;0.0001),1,0))</f>
        <v>0</v>
      </c>
      <c r="AK898" s="108">
        <f>IF($A898="",0,IF(AND($S898=1,$W898=1,$X898=1,$U898&gt;Config!$C$9),1,0))</f>
        <v>0</v>
      </c>
      <c r="AL898" s="108">
        <f t="shared" ref="AL898:AL961" si="179">IF($A898="",0,IF(AND($S898=1,$W898=1,$X898=1,$U898=0),1,0))</f>
        <v>0</v>
      </c>
    </row>
    <row r="899" spans="19:38" x14ac:dyDescent="0.25">
      <c r="S899" s="108" t="str">
        <f>IF($A899="","",COUNTIF(BPOworkers!$B$6:$B$105,$A899))</f>
        <v/>
      </c>
      <c r="T899" s="109" t="str">
        <f>IF($A899="","",$K899*Config!$C$9)</f>
        <v/>
      </c>
      <c r="U899" s="109" t="str">
        <f>IF($A899="","",IF(COUNTIF(Config!$C$21:$C$23,$H899)&gt;0,IFERROR(VALUE(LEFT(TRIM($Q899),FIND(" ",TRIM($Q899)&amp;" ")-1)),0),0))</f>
        <v/>
      </c>
      <c r="V899" s="109" t="str">
        <f t="shared" si="168"/>
        <v/>
      </c>
      <c r="W899" s="108">
        <f>IF($A899="",0,IF(AND($C899&gt;=Config!$C$7,$C899&lt;=Config!$C$8),1,0))</f>
        <v>0</v>
      </c>
      <c r="X899" s="108">
        <f>IF($A899="",0,IF(COUNTIF(Config!$C$21:$C$23,$H899)&gt;0,1,0))</f>
        <v>0</v>
      </c>
      <c r="Y899" s="108">
        <f t="shared" si="169"/>
        <v>24</v>
      </c>
      <c r="Z899" s="108" t="str">
        <f t="shared" si="170"/>
        <v/>
      </c>
      <c r="AB899" s="108">
        <f t="shared" si="171"/>
        <v>0</v>
      </c>
      <c r="AC899" s="108">
        <f>IF($A899="",0,IF(AND($AB899=1,COUNTIF($A$2:$A899,$A899)=1),1,0))</f>
        <v>0</v>
      </c>
      <c r="AD899" s="108">
        <f t="shared" si="172"/>
        <v>1</v>
      </c>
      <c r="AE899" s="108" t="str">
        <f t="shared" si="173"/>
        <v/>
      </c>
      <c r="AF899" s="108">
        <f t="shared" si="174"/>
        <v>0</v>
      </c>
      <c r="AG899" s="108">
        <f t="shared" si="175"/>
        <v>0</v>
      </c>
      <c r="AH899" s="110" t="str">
        <f t="shared" si="176"/>
        <v/>
      </c>
      <c r="AI899" s="108">
        <f t="shared" si="177"/>
        <v>0</v>
      </c>
      <c r="AJ899" s="108">
        <f t="shared" si="178"/>
        <v>0</v>
      </c>
      <c r="AK899" s="108">
        <f>IF($A899="",0,IF(AND($S899=1,$W899=1,$X899=1,$U899&gt;Config!$C$9),1,0))</f>
        <v>0</v>
      </c>
      <c r="AL899" s="108">
        <f t="shared" si="179"/>
        <v>0</v>
      </c>
    </row>
    <row r="900" spans="19:38" x14ac:dyDescent="0.25">
      <c r="S900" s="108" t="str">
        <f>IF($A900="","",COUNTIF(BPOworkers!$B$6:$B$105,$A900))</f>
        <v/>
      </c>
      <c r="T900" s="109" t="str">
        <f>IF($A900="","",$K900*Config!$C$9)</f>
        <v/>
      </c>
      <c r="U900" s="109" t="str">
        <f>IF($A900="","",IF(COUNTIF(Config!$C$21:$C$23,$H900)&gt;0,IFERROR(VALUE(LEFT(TRIM($Q900),FIND(" ",TRIM($Q900)&amp;" ")-1)),0),0))</f>
        <v/>
      </c>
      <c r="V900" s="109" t="str">
        <f t="shared" si="168"/>
        <v/>
      </c>
      <c r="W900" s="108">
        <f>IF($A900="",0,IF(AND($C900&gt;=Config!$C$7,$C900&lt;=Config!$C$8),1,0))</f>
        <v>0</v>
      </c>
      <c r="X900" s="108">
        <f>IF($A900="",0,IF(COUNTIF(Config!$C$21:$C$23,$H900)&gt;0,1,0))</f>
        <v>0</v>
      </c>
      <c r="Y900" s="108">
        <f t="shared" si="169"/>
        <v>24</v>
      </c>
      <c r="Z900" s="108" t="str">
        <f t="shared" si="170"/>
        <v/>
      </c>
      <c r="AB900" s="108">
        <f t="shared" si="171"/>
        <v>0</v>
      </c>
      <c r="AC900" s="108">
        <f>IF($A900="",0,IF(AND($AB900=1,COUNTIF($A$2:$A900,$A900)=1),1,0))</f>
        <v>0</v>
      </c>
      <c r="AD900" s="108">
        <f t="shared" si="172"/>
        <v>1</v>
      </c>
      <c r="AE900" s="108" t="str">
        <f t="shared" si="173"/>
        <v/>
      </c>
      <c r="AF900" s="108">
        <f t="shared" si="174"/>
        <v>0</v>
      </c>
      <c r="AG900" s="108">
        <f t="shared" si="175"/>
        <v>0</v>
      </c>
      <c r="AH900" s="110" t="str">
        <f t="shared" si="176"/>
        <v/>
      </c>
      <c r="AI900" s="108">
        <f t="shared" si="177"/>
        <v>0</v>
      </c>
      <c r="AJ900" s="108">
        <f t="shared" si="178"/>
        <v>0</v>
      </c>
      <c r="AK900" s="108">
        <f>IF($A900="",0,IF(AND($S900=1,$W900=1,$X900=1,$U900&gt;Config!$C$9),1,0))</f>
        <v>0</v>
      </c>
      <c r="AL900" s="108">
        <f t="shared" si="179"/>
        <v>0</v>
      </c>
    </row>
    <row r="901" spans="19:38" x14ac:dyDescent="0.25">
      <c r="S901" s="108" t="str">
        <f>IF($A901="","",COUNTIF(BPOworkers!$B$6:$B$105,$A901))</f>
        <v/>
      </c>
      <c r="T901" s="109" t="str">
        <f>IF($A901="","",$K901*Config!$C$9)</f>
        <v/>
      </c>
      <c r="U901" s="109" t="str">
        <f>IF($A901="","",IF(COUNTIF(Config!$C$21:$C$23,$H901)&gt;0,IFERROR(VALUE(LEFT(TRIM($Q901),FIND(" ",TRIM($Q901)&amp;" ")-1)),0),0))</f>
        <v/>
      </c>
      <c r="V901" s="109" t="str">
        <f t="shared" si="168"/>
        <v/>
      </c>
      <c r="W901" s="108">
        <f>IF($A901="",0,IF(AND($C901&gt;=Config!$C$7,$C901&lt;=Config!$C$8),1,0))</f>
        <v>0</v>
      </c>
      <c r="X901" s="108">
        <f>IF($A901="",0,IF(COUNTIF(Config!$C$21:$C$23,$H901)&gt;0,1,0))</f>
        <v>0</v>
      </c>
      <c r="Y901" s="108">
        <f t="shared" si="169"/>
        <v>24</v>
      </c>
      <c r="Z901" s="108" t="str">
        <f t="shared" si="170"/>
        <v/>
      </c>
      <c r="AB901" s="108">
        <f t="shared" si="171"/>
        <v>0</v>
      </c>
      <c r="AC901" s="108">
        <f>IF($A901="",0,IF(AND($AB901=1,COUNTIF($A$2:$A901,$A901)=1),1,0))</f>
        <v>0</v>
      </c>
      <c r="AD901" s="108">
        <f t="shared" si="172"/>
        <v>1</v>
      </c>
      <c r="AE901" s="108" t="str">
        <f t="shared" si="173"/>
        <v/>
      </c>
      <c r="AF901" s="108">
        <f t="shared" si="174"/>
        <v>0</v>
      </c>
      <c r="AG901" s="108">
        <f t="shared" si="175"/>
        <v>0</v>
      </c>
      <c r="AH901" s="110" t="str">
        <f t="shared" si="176"/>
        <v/>
      </c>
      <c r="AI901" s="108">
        <f t="shared" si="177"/>
        <v>0</v>
      </c>
      <c r="AJ901" s="108">
        <f t="shared" si="178"/>
        <v>0</v>
      </c>
      <c r="AK901" s="108">
        <f>IF($A901="",0,IF(AND($S901=1,$W901=1,$X901=1,$U901&gt;Config!$C$9),1,0))</f>
        <v>0</v>
      </c>
      <c r="AL901" s="108">
        <f t="shared" si="179"/>
        <v>0</v>
      </c>
    </row>
    <row r="902" spans="19:38" x14ac:dyDescent="0.25">
      <c r="S902" s="108" t="str">
        <f>IF($A902="","",COUNTIF(BPOworkers!$B$6:$B$105,$A902))</f>
        <v/>
      </c>
      <c r="T902" s="109" t="str">
        <f>IF($A902="","",$K902*Config!$C$9)</f>
        <v/>
      </c>
      <c r="U902" s="109" t="str">
        <f>IF($A902="","",IF(COUNTIF(Config!$C$21:$C$23,$H902)&gt;0,IFERROR(VALUE(LEFT(TRIM($Q902),FIND(" ",TRIM($Q902)&amp;" ")-1)),0),0))</f>
        <v/>
      </c>
      <c r="V902" s="109" t="str">
        <f t="shared" si="168"/>
        <v/>
      </c>
      <c r="W902" s="108">
        <f>IF($A902="",0,IF(AND($C902&gt;=Config!$C$7,$C902&lt;=Config!$C$8),1,0))</f>
        <v>0</v>
      </c>
      <c r="X902" s="108">
        <f>IF($A902="",0,IF(COUNTIF(Config!$C$21:$C$23,$H902)&gt;0,1,0))</f>
        <v>0</v>
      </c>
      <c r="Y902" s="108">
        <f t="shared" si="169"/>
        <v>24</v>
      </c>
      <c r="Z902" s="108" t="str">
        <f t="shared" si="170"/>
        <v/>
      </c>
      <c r="AB902" s="108">
        <f t="shared" si="171"/>
        <v>0</v>
      </c>
      <c r="AC902" s="108">
        <f>IF($A902="",0,IF(AND($AB902=1,COUNTIF($A$2:$A902,$A902)=1),1,0))</f>
        <v>0</v>
      </c>
      <c r="AD902" s="108">
        <f t="shared" si="172"/>
        <v>1</v>
      </c>
      <c r="AE902" s="108" t="str">
        <f t="shared" si="173"/>
        <v/>
      </c>
      <c r="AF902" s="108">
        <f t="shared" si="174"/>
        <v>0</v>
      </c>
      <c r="AG902" s="108">
        <f t="shared" si="175"/>
        <v>0</v>
      </c>
      <c r="AH902" s="110" t="str">
        <f t="shared" si="176"/>
        <v/>
      </c>
      <c r="AI902" s="108">
        <f t="shared" si="177"/>
        <v>0</v>
      </c>
      <c r="AJ902" s="108">
        <f t="shared" si="178"/>
        <v>0</v>
      </c>
      <c r="AK902" s="108">
        <f>IF($A902="",0,IF(AND($S902=1,$W902=1,$X902=1,$U902&gt;Config!$C$9),1,0))</f>
        <v>0</v>
      </c>
      <c r="AL902" s="108">
        <f t="shared" si="179"/>
        <v>0</v>
      </c>
    </row>
    <row r="903" spans="19:38" x14ac:dyDescent="0.25">
      <c r="S903" s="108" t="str">
        <f>IF($A903="","",COUNTIF(BPOworkers!$B$6:$B$105,$A903))</f>
        <v/>
      </c>
      <c r="T903" s="109" t="str">
        <f>IF($A903="","",$K903*Config!$C$9)</f>
        <v/>
      </c>
      <c r="U903" s="109" t="str">
        <f>IF($A903="","",IF(COUNTIF(Config!$C$21:$C$23,$H903)&gt;0,IFERROR(VALUE(LEFT(TRIM($Q903),FIND(" ",TRIM($Q903)&amp;" ")-1)),0),0))</f>
        <v/>
      </c>
      <c r="V903" s="109" t="str">
        <f t="shared" si="168"/>
        <v/>
      </c>
      <c r="W903" s="108">
        <f>IF($A903="",0,IF(AND($C903&gt;=Config!$C$7,$C903&lt;=Config!$C$8),1,0))</f>
        <v>0</v>
      </c>
      <c r="X903" s="108">
        <f>IF($A903="",0,IF(COUNTIF(Config!$C$21:$C$23,$H903)&gt;0,1,0))</f>
        <v>0</v>
      </c>
      <c r="Y903" s="108">
        <f t="shared" si="169"/>
        <v>24</v>
      </c>
      <c r="Z903" s="108" t="str">
        <f t="shared" si="170"/>
        <v/>
      </c>
      <c r="AB903" s="108">
        <f t="shared" si="171"/>
        <v>0</v>
      </c>
      <c r="AC903" s="108">
        <f>IF($A903="",0,IF(AND($AB903=1,COUNTIF($A$2:$A903,$A903)=1),1,0))</f>
        <v>0</v>
      </c>
      <c r="AD903" s="108">
        <f t="shared" si="172"/>
        <v>1</v>
      </c>
      <c r="AE903" s="108" t="str">
        <f t="shared" si="173"/>
        <v/>
      </c>
      <c r="AF903" s="108">
        <f t="shared" si="174"/>
        <v>0</v>
      </c>
      <c r="AG903" s="108">
        <f t="shared" si="175"/>
        <v>0</v>
      </c>
      <c r="AH903" s="110" t="str">
        <f t="shared" si="176"/>
        <v/>
      </c>
      <c r="AI903" s="108">
        <f t="shared" si="177"/>
        <v>0</v>
      </c>
      <c r="AJ903" s="108">
        <f t="shared" si="178"/>
        <v>0</v>
      </c>
      <c r="AK903" s="108">
        <f>IF($A903="",0,IF(AND($S903=1,$W903=1,$X903=1,$U903&gt;Config!$C$9),1,0))</f>
        <v>0</v>
      </c>
      <c r="AL903" s="108">
        <f t="shared" si="179"/>
        <v>0</v>
      </c>
    </row>
    <row r="904" spans="19:38" x14ac:dyDescent="0.25">
      <c r="S904" s="108" t="str">
        <f>IF($A904="","",COUNTIF(BPOworkers!$B$6:$B$105,$A904))</f>
        <v/>
      </c>
      <c r="T904" s="109" t="str">
        <f>IF($A904="","",$K904*Config!$C$9)</f>
        <v/>
      </c>
      <c r="U904" s="109" t="str">
        <f>IF($A904="","",IF(COUNTIF(Config!$C$21:$C$23,$H904)&gt;0,IFERROR(VALUE(LEFT(TRIM($Q904),FIND(" ",TRIM($Q904)&amp;" ")-1)),0),0))</f>
        <v/>
      </c>
      <c r="V904" s="109" t="str">
        <f t="shared" si="168"/>
        <v/>
      </c>
      <c r="W904" s="108">
        <f>IF($A904="",0,IF(AND($C904&gt;=Config!$C$7,$C904&lt;=Config!$C$8),1,0))</f>
        <v>0</v>
      </c>
      <c r="X904" s="108">
        <f>IF($A904="",0,IF(COUNTIF(Config!$C$21:$C$23,$H904)&gt;0,1,0))</f>
        <v>0</v>
      </c>
      <c r="Y904" s="108">
        <f t="shared" si="169"/>
        <v>24</v>
      </c>
      <c r="Z904" s="108" t="str">
        <f t="shared" si="170"/>
        <v/>
      </c>
      <c r="AB904" s="108">
        <f t="shared" si="171"/>
        <v>0</v>
      </c>
      <c r="AC904" s="108">
        <f>IF($A904="",0,IF(AND($AB904=1,COUNTIF($A$2:$A904,$A904)=1),1,0))</f>
        <v>0</v>
      </c>
      <c r="AD904" s="108">
        <f t="shared" si="172"/>
        <v>1</v>
      </c>
      <c r="AE904" s="108" t="str">
        <f t="shared" si="173"/>
        <v/>
      </c>
      <c r="AF904" s="108">
        <f t="shared" si="174"/>
        <v>0</v>
      </c>
      <c r="AG904" s="108">
        <f t="shared" si="175"/>
        <v>0</v>
      </c>
      <c r="AH904" s="110" t="str">
        <f t="shared" si="176"/>
        <v/>
      </c>
      <c r="AI904" s="108">
        <f t="shared" si="177"/>
        <v>0</v>
      </c>
      <c r="AJ904" s="108">
        <f t="shared" si="178"/>
        <v>0</v>
      </c>
      <c r="AK904" s="108">
        <f>IF($A904="",0,IF(AND($S904=1,$W904=1,$X904=1,$U904&gt;Config!$C$9),1,0))</f>
        <v>0</v>
      </c>
      <c r="AL904" s="108">
        <f t="shared" si="179"/>
        <v>0</v>
      </c>
    </row>
    <row r="905" spans="19:38" x14ac:dyDescent="0.25">
      <c r="S905" s="108" t="str">
        <f>IF($A905="","",COUNTIF(BPOworkers!$B$6:$B$105,$A905))</f>
        <v/>
      </c>
      <c r="T905" s="109" t="str">
        <f>IF($A905="","",$K905*Config!$C$9)</f>
        <v/>
      </c>
      <c r="U905" s="109" t="str">
        <f>IF($A905="","",IF(COUNTIF(Config!$C$21:$C$23,$H905)&gt;0,IFERROR(VALUE(LEFT(TRIM($Q905),FIND(" ",TRIM($Q905)&amp;" ")-1)),0),0))</f>
        <v/>
      </c>
      <c r="V905" s="109" t="str">
        <f t="shared" si="168"/>
        <v/>
      </c>
      <c r="W905" s="108">
        <f>IF($A905="",0,IF(AND($C905&gt;=Config!$C$7,$C905&lt;=Config!$C$8),1,0))</f>
        <v>0</v>
      </c>
      <c r="X905" s="108">
        <f>IF($A905="",0,IF(COUNTIF(Config!$C$21:$C$23,$H905)&gt;0,1,0))</f>
        <v>0</v>
      </c>
      <c r="Y905" s="108">
        <f t="shared" si="169"/>
        <v>24</v>
      </c>
      <c r="Z905" s="108" t="str">
        <f t="shared" si="170"/>
        <v/>
      </c>
      <c r="AB905" s="108">
        <f t="shared" si="171"/>
        <v>0</v>
      </c>
      <c r="AC905" s="108">
        <f>IF($A905="",0,IF(AND($AB905=1,COUNTIF($A$2:$A905,$A905)=1),1,0))</f>
        <v>0</v>
      </c>
      <c r="AD905" s="108">
        <f t="shared" si="172"/>
        <v>1</v>
      </c>
      <c r="AE905" s="108" t="str">
        <f t="shared" si="173"/>
        <v/>
      </c>
      <c r="AF905" s="108">
        <f t="shared" si="174"/>
        <v>0</v>
      </c>
      <c r="AG905" s="108">
        <f t="shared" si="175"/>
        <v>0</v>
      </c>
      <c r="AH905" s="110" t="str">
        <f t="shared" si="176"/>
        <v/>
      </c>
      <c r="AI905" s="108">
        <f t="shared" si="177"/>
        <v>0</v>
      </c>
      <c r="AJ905" s="108">
        <f t="shared" si="178"/>
        <v>0</v>
      </c>
      <c r="AK905" s="108">
        <f>IF($A905="",0,IF(AND($S905=1,$W905=1,$X905=1,$U905&gt;Config!$C$9),1,0))</f>
        <v>0</v>
      </c>
      <c r="AL905" s="108">
        <f t="shared" si="179"/>
        <v>0</v>
      </c>
    </row>
    <row r="906" spans="19:38" x14ac:dyDescent="0.25">
      <c r="S906" s="108" t="str">
        <f>IF($A906="","",COUNTIF(BPOworkers!$B$6:$B$105,$A906))</f>
        <v/>
      </c>
      <c r="T906" s="109" t="str">
        <f>IF($A906="","",$K906*Config!$C$9)</f>
        <v/>
      </c>
      <c r="U906" s="109" t="str">
        <f>IF($A906="","",IF(COUNTIF(Config!$C$21:$C$23,$H906)&gt;0,IFERROR(VALUE(LEFT(TRIM($Q906),FIND(" ",TRIM($Q906)&amp;" ")-1)),0),0))</f>
        <v/>
      </c>
      <c r="V906" s="109" t="str">
        <f t="shared" si="168"/>
        <v/>
      </c>
      <c r="W906" s="108">
        <f>IF($A906="",0,IF(AND($C906&gt;=Config!$C$7,$C906&lt;=Config!$C$8),1,0))</f>
        <v>0</v>
      </c>
      <c r="X906" s="108">
        <f>IF($A906="",0,IF(COUNTIF(Config!$C$21:$C$23,$H906)&gt;0,1,0))</f>
        <v>0</v>
      </c>
      <c r="Y906" s="108">
        <f t="shared" si="169"/>
        <v>24</v>
      </c>
      <c r="Z906" s="108" t="str">
        <f t="shared" si="170"/>
        <v/>
      </c>
      <c r="AB906" s="108">
        <f t="shared" si="171"/>
        <v>0</v>
      </c>
      <c r="AC906" s="108">
        <f>IF($A906="",0,IF(AND($AB906=1,COUNTIF($A$2:$A906,$A906)=1),1,0))</f>
        <v>0</v>
      </c>
      <c r="AD906" s="108">
        <f t="shared" si="172"/>
        <v>1</v>
      </c>
      <c r="AE906" s="108" t="str">
        <f t="shared" si="173"/>
        <v/>
      </c>
      <c r="AF906" s="108">
        <f t="shared" si="174"/>
        <v>0</v>
      </c>
      <c r="AG906" s="108">
        <f t="shared" si="175"/>
        <v>0</v>
      </c>
      <c r="AH906" s="110" t="str">
        <f t="shared" si="176"/>
        <v/>
      </c>
      <c r="AI906" s="108">
        <f t="shared" si="177"/>
        <v>0</v>
      </c>
      <c r="AJ906" s="108">
        <f t="shared" si="178"/>
        <v>0</v>
      </c>
      <c r="AK906" s="108">
        <f>IF($A906="",0,IF(AND($S906=1,$W906=1,$X906=1,$U906&gt;Config!$C$9),1,0))</f>
        <v>0</v>
      </c>
      <c r="AL906" s="108">
        <f t="shared" si="179"/>
        <v>0</v>
      </c>
    </row>
    <row r="907" spans="19:38" x14ac:dyDescent="0.25">
      <c r="S907" s="108" t="str">
        <f>IF($A907="","",COUNTIF(BPOworkers!$B$6:$B$105,$A907))</f>
        <v/>
      </c>
      <c r="T907" s="109" t="str">
        <f>IF($A907="","",$K907*Config!$C$9)</f>
        <v/>
      </c>
      <c r="U907" s="109" t="str">
        <f>IF($A907="","",IF(COUNTIF(Config!$C$21:$C$23,$H907)&gt;0,IFERROR(VALUE(LEFT(TRIM($Q907),FIND(" ",TRIM($Q907)&amp;" ")-1)),0),0))</f>
        <v/>
      </c>
      <c r="V907" s="109" t="str">
        <f t="shared" si="168"/>
        <v/>
      </c>
      <c r="W907" s="108">
        <f>IF($A907="",0,IF(AND($C907&gt;=Config!$C$7,$C907&lt;=Config!$C$8),1,0))</f>
        <v>0</v>
      </c>
      <c r="X907" s="108">
        <f>IF($A907="",0,IF(COUNTIF(Config!$C$21:$C$23,$H907)&gt;0,1,0))</f>
        <v>0</v>
      </c>
      <c r="Y907" s="108">
        <f t="shared" si="169"/>
        <v>24</v>
      </c>
      <c r="Z907" s="108" t="str">
        <f t="shared" si="170"/>
        <v/>
      </c>
      <c r="AB907" s="108">
        <f t="shared" si="171"/>
        <v>0</v>
      </c>
      <c r="AC907" s="108">
        <f>IF($A907="",0,IF(AND($AB907=1,COUNTIF($A$2:$A907,$A907)=1),1,0))</f>
        <v>0</v>
      </c>
      <c r="AD907" s="108">
        <f t="shared" si="172"/>
        <v>1</v>
      </c>
      <c r="AE907" s="108" t="str">
        <f t="shared" si="173"/>
        <v/>
      </c>
      <c r="AF907" s="108">
        <f t="shared" si="174"/>
        <v>0</v>
      </c>
      <c r="AG907" s="108">
        <f t="shared" si="175"/>
        <v>0</v>
      </c>
      <c r="AH907" s="110" t="str">
        <f t="shared" si="176"/>
        <v/>
      </c>
      <c r="AI907" s="108">
        <f t="shared" si="177"/>
        <v>0</v>
      </c>
      <c r="AJ907" s="108">
        <f t="shared" si="178"/>
        <v>0</v>
      </c>
      <c r="AK907" s="108">
        <f>IF($A907="",0,IF(AND($S907=1,$W907=1,$X907=1,$U907&gt;Config!$C$9),1,0))</f>
        <v>0</v>
      </c>
      <c r="AL907" s="108">
        <f t="shared" si="179"/>
        <v>0</v>
      </c>
    </row>
    <row r="908" spans="19:38" x14ac:dyDescent="0.25">
      <c r="S908" s="108" t="str">
        <f>IF($A908="","",COUNTIF(BPOworkers!$B$6:$B$105,$A908))</f>
        <v/>
      </c>
      <c r="T908" s="109" t="str">
        <f>IF($A908="","",$K908*Config!$C$9)</f>
        <v/>
      </c>
      <c r="U908" s="109" t="str">
        <f>IF($A908="","",IF(COUNTIF(Config!$C$21:$C$23,$H908)&gt;0,IFERROR(VALUE(LEFT(TRIM($Q908),FIND(" ",TRIM($Q908)&amp;" ")-1)),0),0))</f>
        <v/>
      </c>
      <c r="V908" s="109" t="str">
        <f t="shared" si="168"/>
        <v/>
      </c>
      <c r="W908" s="108">
        <f>IF($A908="",0,IF(AND($C908&gt;=Config!$C$7,$C908&lt;=Config!$C$8),1,0))</f>
        <v>0</v>
      </c>
      <c r="X908" s="108">
        <f>IF($A908="",0,IF(COUNTIF(Config!$C$21:$C$23,$H908)&gt;0,1,0))</f>
        <v>0</v>
      </c>
      <c r="Y908" s="108">
        <f t="shared" si="169"/>
        <v>24</v>
      </c>
      <c r="Z908" s="108" t="str">
        <f t="shared" si="170"/>
        <v/>
      </c>
      <c r="AB908" s="108">
        <f t="shared" si="171"/>
        <v>0</v>
      </c>
      <c r="AC908" s="108">
        <f>IF($A908="",0,IF(AND($AB908=1,COUNTIF($A$2:$A908,$A908)=1),1,0))</f>
        <v>0</v>
      </c>
      <c r="AD908" s="108">
        <f t="shared" si="172"/>
        <v>1</v>
      </c>
      <c r="AE908" s="108" t="str">
        <f t="shared" si="173"/>
        <v/>
      </c>
      <c r="AF908" s="108">
        <f t="shared" si="174"/>
        <v>0</v>
      </c>
      <c r="AG908" s="108">
        <f t="shared" si="175"/>
        <v>0</v>
      </c>
      <c r="AH908" s="110" t="str">
        <f t="shared" si="176"/>
        <v/>
      </c>
      <c r="AI908" s="108">
        <f t="shared" si="177"/>
        <v>0</v>
      </c>
      <c r="AJ908" s="108">
        <f t="shared" si="178"/>
        <v>0</v>
      </c>
      <c r="AK908" s="108">
        <f>IF($A908="",0,IF(AND($S908=1,$W908=1,$X908=1,$U908&gt;Config!$C$9),1,0))</f>
        <v>0</v>
      </c>
      <c r="AL908" s="108">
        <f t="shared" si="179"/>
        <v>0</v>
      </c>
    </row>
    <row r="909" spans="19:38" x14ac:dyDescent="0.25">
      <c r="S909" s="108" t="str">
        <f>IF($A909="","",COUNTIF(BPOworkers!$B$6:$B$105,$A909))</f>
        <v/>
      </c>
      <c r="T909" s="109" t="str">
        <f>IF($A909="","",$K909*Config!$C$9)</f>
        <v/>
      </c>
      <c r="U909" s="109" t="str">
        <f>IF($A909="","",IF(COUNTIF(Config!$C$21:$C$23,$H909)&gt;0,IFERROR(VALUE(LEFT(TRIM($Q909),FIND(" ",TRIM($Q909)&amp;" ")-1)),0),0))</f>
        <v/>
      </c>
      <c r="V909" s="109" t="str">
        <f t="shared" si="168"/>
        <v/>
      </c>
      <c r="W909" s="108">
        <f>IF($A909="",0,IF(AND($C909&gt;=Config!$C$7,$C909&lt;=Config!$C$8),1,0))</f>
        <v>0</v>
      </c>
      <c r="X909" s="108">
        <f>IF($A909="",0,IF(COUNTIF(Config!$C$21:$C$23,$H909)&gt;0,1,0))</f>
        <v>0</v>
      </c>
      <c r="Y909" s="108">
        <f t="shared" si="169"/>
        <v>24</v>
      </c>
      <c r="Z909" s="108" t="str">
        <f t="shared" si="170"/>
        <v/>
      </c>
      <c r="AB909" s="108">
        <f t="shared" si="171"/>
        <v>0</v>
      </c>
      <c r="AC909" s="108">
        <f>IF($A909="",0,IF(AND($AB909=1,COUNTIF($A$2:$A909,$A909)=1),1,0))</f>
        <v>0</v>
      </c>
      <c r="AD909" s="108">
        <f t="shared" si="172"/>
        <v>1</v>
      </c>
      <c r="AE909" s="108" t="str">
        <f t="shared" si="173"/>
        <v/>
      </c>
      <c r="AF909" s="108">
        <f t="shared" si="174"/>
        <v>0</v>
      </c>
      <c r="AG909" s="108">
        <f t="shared" si="175"/>
        <v>0</v>
      </c>
      <c r="AH909" s="110" t="str">
        <f t="shared" si="176"/>
        <v/>
      </c>
      <c r="AI909" s="108">
        <f t="shared" si="177"/>
        <v>0</v>
      </c>
      <c r="AJ909" s="108">
        <f t="shared" si="178"/>
        <v>0</v>
      </c>
      <c r="AK909" s="108">
        <f>IF($A909="",0,IF(AND($S909=1,$W909=1,$X909=1,$U909&gt;Config!$C$9),1,0))</f>
        <v>0</v>
      </c>
      <c r="AL909" s="108">
        <f t="shared" si="179"/>
        <v>0</v>
      </c>
    </row>
    <row r="910" spans="19:38" x14ac:dyDescent="0.25">
      <c r="S910" s="108" t="str">
        <f>IF($A910="","",COUNTIF(BPOworkers!$B$6:$B$105,$A910))</f>
        <v/>
      </c>
      <c r="T910" s="109" t="str">
        <f>IF($A910="","",$K910*Config!$C$9)</f>
        <v/>
      </c>
      <c r="U910" s="109" t="str">
        <f>IF($A910="","",IF(COUNTIF(Config!$C$21:$C$23,$H910)&gt;0,IFERROR(VALUE(LEFT(TRIM($Q910),FIND(" ",TRIM($Q910)&amp;" ")-1)),0),0))</f>
        <v/>
      </c>
      <c r="V910" s="109" t="str">
        <f t="shared" si="168"/>
        <v/>
      </c>
      <c r="W910" s="108">
        <f>IF($A910="",0,IF(AND($C910&gt;=Config!$C$7,$C910&lt;=Config!$C$8),1,0))</f>
        <v>0</v>
      </c>
      <c r="X910" s="108">
        <f>IF($A910="",0,IF(COUNTIF(Config!$C$21:$C$23,$H910)&gt;0,1,0))</f>
        <v>0</v>
      </c>
      <c r="Y910" s="108">
        <f t="shared" si="169"/>
        <v>24</v>
      </c>
      <c r="Z910" s="108" t="str">
        <f t="shared" si="170"/>
        <v/>
      </c>
      <c r="AB910" s="108">
        <f t="shared" si="171"/>
        <v>0</v>
      </c>
      <c r="AC910" s="108">
        <f>IF($A910="",0,IF(AND($AB910=1,COUNTIF($A$2:$A910,$A910)=1),1,0))</f>
        <v>0</v>
      </c>
      <c r="AD910" s="108">
        <f t="shared" si="172"/>
        <v>1</v>
      </c>
      <c r="AE910" s="108" t="str">
        <f t="shared" si="173"/>
        <v/>
      </c>
      <c r="AF910" s="108">
        <f t="shared" si="174"/>
        <v>0</v>
      </c>
      <c r="AG910" s="108">
        <f t="shared" si="175"/>
        <v>0</v>
      </c>
      <c r="AH910" s="110" t="str">
        <f t="shared" si="176"/>
        <v/>
      </c>
      <c r="AI910" s="108">
        <f t="shared" si="177"/>
        <v>0</v>
      </c>
      <c r="AJ910" s="108">
        <f t="shared" si="178"/>
        <v>0</v>
      </c>
      <c r="AK910" s="108">
        <f>IF($A910="",0,IF(AND($S910=1,$W910=1,$X910=1,$U910&gt;Config!$C$9),1,0))</f>
        <v>0</v>
      </c>
      <c r="AL910" s="108">
        <f t="shared" si="179"/>
        <v>0</v>
      </c>
    </row>
    <row r="911" spans="19:38" x14ac:dyDescent="0.25">
      <c r="S911" s="108" t="str">
        <f>IF($A911="","",COUNTIF(BPOworkers!$B$6:$B$105,$A911))</f>
        <v/>
      </c>
      <c r="T911" s="109" t="str">
        <f>IF($A911="","",$K911*Config!$C$9)</f>
        <v/>
      </c>
      <c r="U911" s="109" t="str">
        <f>IF($A911="","",IF(COUNTIF(Config!$C$21:$C$23,$H911)&gt;0,IFERROR(VALUE(LEFT(TRIM($Q911),FIND(" ",TRIM($Q911)&amp;" ")-1)),0),0))</f>
        <v/>
      </c>
      <c r="V911" s="109" t="str">
        <f t="shared" si="168"/>
        <v/>
      </c>
      <c r="W911" s="108">
        <f>IF($A911="",0,IF(AND($C911&gt;=Config!$C$7,$C911&lt;=Config!$C$8),1,0))</f>
        <v>0</v>
      </c>
      <c r="X911" s="108">
        <f>IF($A911="",0,IF(COUNTIF(Config!$C$21:$C$23,$H911)&gt;0,1,0))</f>
        <v>0</v>
      </c>
      <c r="Y911" s="108">
        <f t="shared" si="169"/>
        <v>24</v>
      </c>
      <c r="Z911" s="108" t="str">
        <f t="shared" si="170"/>
        <v/>
      </c>
      <c r="AB911" s="108">
        <f t="shared" si="171"/>
        <v>0</v>
      </c>
      <c r="AC911" s="108">
        <f>IF($A911="",0,IF(AND($AB911=1,COUNTIF($A$2:$A911,$A911)=1),1,0))</f>
        <v>0</v>
      </c>
      <c r="AD911" s="108">
        <f t="shared" si="172"/>
        <v>1</v>
      </c>
      <c r="AE911" s="108" t="str">
        <f t="shared" si="173"/>
        <v/>
      </c>
      <c r="AF911" s="108">
        <f t="shared" si="174"/>
        <v>0</v>
      </c>
      <c r="AG911" s="108">
        <f t="shared" si="175"/>
        <v>0</v>
      </c>
      <c r="AH911" s="110" t="str">
        <f t="shared" si="176"/>
        <v/>
      </c>
      <c r="AI911" s="108">
        <f t="shared" si="177"/>
        <v>0</v>
      </c>
      <c r="AJ911" s="108">
        <f t="shared" si="178"/>
        <v>0</v>
      </c>
      <c r="AK911" s="108">
        <f>IF($A911="",0,IF(AND($S911=1,$W911=1,$X911=1,$U911&gt;Config!$C$9),1,0))</f>
        <v>0</v>
      </c>
      <c r="AL911" s="108">
        <f t="shared" si="179"/>
        <v>0</v>
      </c>
    </row>
    <row r="912" spans="19:38" x14ac:dyDescent="0.25">
      <c r="S912" s="108" t="str">
        <f>IF($A912="","",COUNTIF(BPOworkers!$B$6:$B$105,$A912))</f>
        <v/>
      </c>
      <c r="T912" s="109" t="str">
        <f>IF($A912="","",$K912*Config!$C$9)</f>
        <v/>
      </c>
      <c r="U912" s="109" t="str">
        <f>IF($A912="","",IF(COUNTIF(Config!$C$21:$C$23,$H912)&gt;0,IFERROR(VALUE(LEFT(TRIM($Q912),FIND(" ",TRIM($Q912)&amp;" ")-1)),0),0))</f>
        <v/>
      </c>
      <c r="V912" s="109" t="str">
        <f t="shared" si="168"/>
        <v/>
      </c>
      <c r="W912" s="108">
        <f>IF($A912="",0,IF(AND($C912&gt;=Config!$C$7,$C912&lt;=Config!$C$8),1,0))</f>
        <v>0</v>
      </c>
      <c r="X912" s="108">
        <f>IF($A912="",0,IF(COUNTIF(Config!$C$21:$C$23,$H912)&gt;0,1,0))</f>
        <v>0</v>
      </c>
      <c r="Y912" s="108">
        <f t="shared" si="169"/>
        <v>24</v>
      </c>
      <c r="Z912" s="108" t="str">
        <f t="shared" si="170"/>
        <v/>
      </c>
      <c r="AB912" s="108">
        <f t="shared" si="171"/>
        <v>0</v>
      </c>
      <c r="AC912" s="108">
        <f>IF($A912="",0,IF(AND($AB912=1,COUNTIF($A$2:$A912,$A912)=1),1,0))</f>
        <v>0</v>
      </c>
      <c r="AD912" s="108">
        <f t="shared" si="172"/>
        <v>1</v>
      </c>
      <c r="AE912" s="108" t="str">
        <f t="shared" si="173"/>
        <v/>
      </c>
      <c r="AF912" s="108">
        <f t="shared" si="174"/>
        <v>0</v>
      </c>
      <c r="AG912" s="108">
        <f t="shared" si="175"/>
        <v>0</v>
      </c>
      <c r="AH912" s="110" t="str">
        <f t="shared" si="176"/>
        <v/>
      </c>
      <c r="AI912" s="108">
        <f t="shared" si="177"/>
        <v>0</v>
      </c>
      <c r="AJ912" s="108">
        <f t="shared" si="178"/>
        <v>0</v>
      </c>
      <c r="AK912" s="108">
        <f>IF($A912="",0,IF(AND($S912=1,$W912=1,$X912=1,$U912&gt;Config!$C$9),1,0))</f>
        <v>0</v>
      </c>
      <c r="AL912" s="108">
        <f t="shared" si="179"/>
        <v>0</v>
      </c>
    </row>
    <row r="913" spans="19:38" x14ac:dyDescent="0.25">
      <c r="S913" s="108" t="str">
        <f>IF($A913="","",COUNTIF(BPOworkers!$B$6:$B$105,$A913))</f>
        <v/>
      </c>
      <c r="T913" s="109" t="str">
        <f>IF($A913="","",$K913*Config!$C$9)</f>
        <v/>
      </c>
      <c r="U913" s="109" t="str">
        <f>IF($A913="","",IF(COUNTIF(Config!$C$21:$C$23,$H913)&gt;0,IFERROR(VALUE(LEFT(TRIM($Q913),FIND(" ",TRIM($Q913)&amp;" ")-1)),0),0))</f>
        <v/>
      </c>
      <c r="V913" s="109" t="str">
        <f t="shared" si="168"/>
        <v/>
      </c>
      <c r="W913" s="108">
        <f>IF($A913="",0,IF(AND($C913&gt;=Config!$C$7,$C913&lt;=Config!$C$8),1,0))</f>
        <v>0</v>
      </c>
      <c r="X913" s="108">
        <f>IF($A913="",0,IF(COUNTIF(Config!$C$21:$C$23,$H913)&gt;0,1,0))</f>
        <v>0</v>
      </c>
      <c r="Y913" s="108">
        <f t="shared" si="169"/>
        <v>24</v>
      </c>
      <c r="Z913" s="108" t="str">
        <f t="shared" si="170"/>
        <v/>
      </c>
      <c r="AB913" s="108">
        <f t="shared" si="171"/>
        <v>0</v>
      </c>
      <c r="AC913" s="108">
        <f>IF($A913="",0,IF(AND($AB913=1,COUNTIF($A$2:$A913,$A913)=1),1,0))</f>
        <v>0</v>
      </c>
      <c r="AD913" s="108">
        <f t="shared" si="172"/>
        <v>1</v>
      </c>
      <c r="AE913" s="108" t="str">
        <f t="shared" si="173"/>
        <v/>
      </c>
      <c r="AF913" s="108">
        <f t="shared" si="174"/>
        <v>0</v>
      </c>
      <c r="AG913" s="108">
        <f t="shared" si="175"/>
        <v>0</v>
      </c>
      <c r="AH913" s="110" t="str">
        <f t="shared" si="176"/>
        <v/>
      </c>
      <c r="AI913" s="108">
        <f t="shared" si="177"/>
        <v>0</v>
      </c>
      <c r="AJ913" s="108">
        <f t="shared" si="178"/>
        <v>0</v>
      </c>
      <c r="AK913" s="108">
        <f>IF($A913="",0,IF(AND($S913=1,$W913=1,$X913=1,$U913&gt;Config!$C$9),1,0))</f>
        <v>0</v>
      </c>
      <c r="AL913" s="108">
        <f t="shared" si="179"/>
        <v>0</v>
      </c>
    </row>
    <row r="914" spans="19:38" x14ac:dyDescent="0.25">
      <c r="S914" s="108" t="str">
        <f>IF($A914="","",COUNTIF(BPOworkers!$B$6:$B$105,$A914))</f>
        <v/>
      </c>
      <c r="T914" s="109" t="str">
        <f>IF($A914="","",$K914*Config!$C$9)</f>
        <v/>
      </c>
      <c r="U914" s="109" t="str">
        <f>IF($A914="","",IF(COUNTIF(Config!$C$21:$C$23,$H914)&gt;0,IFERROR(VALUE(LEFT(TRIM($Q914),FIND(" ",TRIM($Q914)&amp;" ")-1)),0),0))</f>
        <v/>
      </c>
      <c r="V914" s="109" t="str">
        <f t="shared" si="168"/>
        <v/>
      </c>
      <c r="W914" s="108">
        <f>IF($A914="",0,IF(AND($C914&gt;=Config!$C$7,$C914&lt;=Config!$C$8),1,0))</f>
        <v>0</v>
      </c>
      <c r="X914" s="108">
        <f>IF($A914="",0,IF(COUNTIF(Config!$C$21:$C$23,$H914)&gt;0,1,0))</f>
        <v>0</v>
      </c>
      <c r="Y914" s="108">
        <f t="shared" si="169"/>
        <v>24</v>
      </c>
      <c r="Z914" s="108" t="str">
        <f t="shared" si="170"/>
        <v/>
      </c>
      <c r="AB914" s="108">
        <f t="shared" si="171"/>
        <v>0</v>
      </c>
      <c r="AC914" s="108">
        <f>IF($A914="",0,IF(AND($AB914=1,COUNTIF($A$2:$A914,$A914)=1),1,0))</f>
        <v>0</v>
      </c>
      <c r="AD914" s="108">
        <f t="shared" si="172"/>
        <v>1</v>
      </c>
      <c r="AE914" s="108" t="str">
        <f t="shared" si="173"/>
        <v/>
      </c>
      <c r="AF914" s="108">
        <f t="shared" si="174"/>
        <v>0</v>
      </c>
      <c r="AG914" s="108">
        <f t="shared" si="175"/>
        <v>0</v>
      </c>
      <c r="AH914" s="110" t="str">
        <f t="shared" si="176"/>
        <v/>
      </c>
      <c r="AI914" s="108">
        <f t="shared" si="177"/>
        <v>0</v>
      </c>
      <c r="AJ914" s="108">
        <f t="shared" si="178"/>
        <v>0</v>
      </c>
      <c r="AK914" s="108">
        <f>IF($A914="",0,IF(AND($S914=1,$W914=1,$X914=1,$U914&gt;Config!$C$9),1,0))</f>
        <v>0</v>
      </c>
      <c r="AL914" s="108">
        <f t="shared" si="179"/>
        <v>0</v>
      </c>
    </row>
    <row r="915" spans="19:38" x14ac:dyDescent="0.25">
      <c r="S915" s="108" t="str">
        <f>IF($A915="","",COUNTIF(BPOworkers!$B$6:$B$105,$A915))</f>
        <v/>
      </c>
      <c r="T915" s="109" t="str">
        <f>IF($A915="","",$K915*Config!$C$9)</f>
        <v/>
      </c>
      <c r="U915" s="109" t="str">
        <f>IF($A915="","",IF(COUNTIF(Config!$C$21:$C$23,$H915)&gt;0,IFERROR(VALUE(LEFT(TRIM($Q915),FIND(" ",TRIM($Q915)&amp;" ")-1)),0),0))</f>
        <v/>
      </c>
      <c r="V915" s="109" t="str">
        <f t="shared" si="168"/>
        <v/>
      </c>
      <c r="W915" s="108">
        <f>IF($A915="",0,IF(AND($C915&gt;=Config!$C$7,$C915&lt;=Config!$C$8),1,0))</f>
        <v>0</v>
      </c>
      <c r="X915" s="108">
        <f>IF($A915="",0,IF(COUNTIF(Config!$C$21:$C$23,$H915)&gt;0,1,0))</f>
        <v>0</v>
      </c>
      <c r="Y915" s="108">
        <f t="shared" si="169"/>
        <v>24</v>
      </c>
      <c r="Z915" s="108" t="str">
        <f t="shared" si="170"/>
        <v/>
      </c>
      <c r="AB915" s="108">
        <f t="shared" si="171"/>
        <v>0</v>
      </c>
      <c r="AC915" s="108">
        <f>IF($A915="",0,IF(AND($AB915=1,COUNTIF($A$2:$A915,$A915)=1),1,0))</f>
        <v>0</v>
      </c>
      <c r="AD915" s="108">
        <f t="shared" si="172"/>
        <v>1</v>
      </c>
      <c r="AE915" s="108" t="str">
        <f t="shared" si="173"/>
        <v/>
      </c>
      <c r="AF915" s="108">
        <f t="shared" si="174"/>
        <v>0</v>
      </c>
      <c r="AG915" s="108">
        <f t="shared" si="175"/>
        <v>0</v>
      </c>
      <c r="AH915" s="110" t="str">
        <f t="shared" si="176"/>
        <v/>
      </c>
      <c r="AI915" s="108">
        <f t="shared" si="177"/>
        <v>0</v>
      </c>
      <c r="AJ915" s="108">
        <f t="shared" si="178"/>
        <v>0</v>
      </c>
      <c r="AK915" s="108">
        <f>IF($A915="",0,IF(AND($S915=1,$W915=1,$X915=1,$U915&gt;Config!$C$9),1,0))</f>
        <v>0</v>
      </c>
      <c r="AL915" s="108">
        <f t="shared" si="179"/>
        <v>0</v>
      </c>
    </row>
    <row r="916" spans="19:38" x14ac:dyDescent="0.25">
      <c r="S916" s="108" t="str">
        <f>IF($A916="","",COUNTIF(BPOworkers!$B$6:$B$105,$A916))</f>
        <v/>
      </c>
      <c r="T916" s="109" t="str">
        <f>IF($A916="","",$K916*Config!$C$9)</f>
        <v/>
      </c>
      <c r="U916" s="109" t="str">
        <f>IF($A916="","",IF(COUNTIF(Config!$C$21:$C$23,$H916)&gt;0,IFERROR(VALUE(LEFT(TRIM($Q916),FIND(" ",TRIM($Q916)&amp;" ")-1)),0),0))</f>
        <v/>
      </c>
      <c r="V916" s="109" t="str">
        <f t="shared" si="168"/>
        <v/>
      </c>
      <c r="W916" s="108">
        <f>IF($A916="",0,IF(AND($C916&gt;=Config!$C$7,$C916&lt;=Config!$C$8),1,0))</f>
        <v>0</v>
      </c>
      <c r="X916" s="108">
        <f>IF($A916="",0,IF(COUNTIF(Config!$C$21:$C$23,$H916)&gt;0,1,0))</f>
        <v>0</v>
      </c>
      <c r="Y916" s="108">
        <f t="shared" si="169"/>
        <v>24</v>
      </c>
      <c r="Z916" s="108" t="str">
        <f t="shared" si="170"/>
        <v/>
      </c>
      <c r="AB916" s="108">
        <f t="shared" si="171"/>
        <v>0</v>
      </c>
      <c r="AC916" s="108">
        <f>IF($A916="",0,IF(AND($AB916=1,COUNTIF($A$2:$A916,$A916)=1),1,0))</f>
        <v>0</v>
      </c>
      <c r="AD916" s="108">
        <f t="shared" si="172"/>
        <v>1</v>
      </c>
      <c r="AE916" s="108" t="str">
        <f t="shared" si="173"/>
        <v/>
      </c>
      <c r="AF916" s="108">
        <f t="shared" si="174"/>
        <v>0</v>
      </c>
      <c r="AG916" s="108">
        <f t="shared" si="175"/>
        <v>0</v>
      </c>
      <c r="AH916" s="110" t="str">
        <f t="shared" si="176"/>
        <v/>
      </c>
      <c r="AI916" s="108">
        <f t="shared" si="177"/>
        <v>0</v>
      </c>
      <c r="AJ916" s="108">
        <f t="shared" si="178"/>
        <v>0</v>
      </c>
      <c r="AK916" s="108">
        <f>IF($A916="",0,IF(AND($S916=1,$W916=1,$X916=1,$U916&gt;Config!$C$9),1,0))</f>
        <v>0</v>
      </c>
      <c r="AL916" s="108">
        <f t="shared" si="179"/>
        <v>0</v>
      </c>
    </row>
    <row r="917" spans="19:38" x14ac:dyDescent="0.25">
      <c r="S917" s="108" t="str">
        <f>IF($A917="","",COUNTIF(BPOworkers!$B$6:$B$105,$A917))</f>
        <v/>
      </c>
      <c r="T917" s="109" t="str">
        <f>IF($A917="","",$K917*Config!$C$9)</f>
        <v/>
      </c>
      <c r="U917" s="109" t="str">
        <f>IF($A917="","",IF(COUNTIF(Config!$C$21:$C$23,$H917)&gt;0,IFERROR(VALUE(LEFT(TRIM($Q917),FIND(" ",TRIM($Q917)&amp;" ")-1)),0),0))</f>
        <v/>
      </c>
      <c r="V917" s="109" t="str">
        <f t="shared" si="168"/>
        <v/>
      </c>
      <c r="W917" s="108">
        <f>IF($A917="",0,IF(AND($C917&gt;=Config!$C$7,$C917&lt;=Config!$C$8),1,0))</f>
        <v>0</v>
      </c>
      <c r="X917" s="108">
        <f>IF($A917="",0,IF(COUNTIF(Config!$C$21:$C$23,$H917)&gt;0,1,0))</f>
        <v>0</v>
      </c>
      <c r="Y917" s="108">
        <f t="shared" si="169"/>
        <v>24</v>
      </c>
      <c r="Z917" s="108" t="str">
        <f t="shared" si="170"/>
        <v/>
      </c>
      <c r="AB917" s="108">
        <f t="shared" si="171"/>
        <v>0</v>
      </c>
      <c r="AC917" s="108">
        <f>IF($A917="",0,IF(AND($AB917=1,COUNTIF($A$2:$A917,$A917)=1),1,0))</f>
        <v>0</v>
      </c>
      <c r="AD917" s="108">
        <f t="shared" si="172"/>
        <v>1</v>
      </c>
      <c r="AE917" s="108" t="str">
        <f t="shared" si="173"/>
        <v/>
      </c>
      <c r="AF917" s="108">
        <f t="shared" si="174"/>
        <v>0</v>
      </c>
      <c r="AG917" s="108">
        <f t="shared" si="175"/>
        <v>0</v>
      </c>
      <c r="AH917" s="110" t="str">
        <f t="shared" si="176"/>
        <v/>
      </c>
      <c r="AI917" s="108">
        <f t="shared" si="177"/>
        <v>0</v>
      </c>
      <c r="AJ917" s="108">
        <f t="shared" si="178"/>
        <v>0</v>
      </c>
      <c r="AK917" s="108">
        <f>IF($A917="",0,IF(AND($S917=1,$W917=1,$X917=1,$U917&gt;Config!$C$9),1,0))</f>
        <v>0</v>
      </c>
      <c r="AL917" s="108">
        <f t="shared" si="179"/>
        <v>0</v>
      </c>
    </row>
    <row r="918" spans="19:38" x14ac:dyDescent="0.25">
      <c r="S918" s="108" t="str">
        <f>IF($A918="","",COUNTIF(BPOworkers!$B$6:$B$105,$A918))</f>
        <v/>
      </c>
      <c r="T918" s="109" t="str">
        <f>IF($A918="","",$K918*Config!$C$9)</f>
        <v/>
      </c>
      <c r="U918" s="109" t="str">
        <f>IF($A918="","",IF(COUNTIF(Config!$C$21:$C$23,$H918)&gt;0,IFERROR(VALUE(LEFT(TRIM($Q918),FIND(" ",TRIM($Q918)&amp;" ")-1)),0),0))</f>
        <v/>
      </c>
      <c r="V918" s="109" t="str">
        <f t="shared" si="168"/>
        <v/>
      </c>
      <c r="W918" s="108">
        <f>IF($A918="",0,IF(AND($C918&gt;=Config!$C$7,$C918&lt;=Config!$C$8),1,0))</f>
        <v>0</v>
      </c>
      <c r="X918" s="108">
        <f>IF($A918="",0,IF(COUNTIF(Config!$C$21:$C$23,$H918)&gt;0,1,0))</f>
        <v>0</v>
      </c>
      <c r="Y918" s="108">
        <f t="shared" si="169"/>
        <v>24</v>
      </c>
      <c r="Z918" s="108" t="str">
        <f t="shared" si="170"/>
        <v/>
      </c>
      <c r="AB918" s="108">
        <f t="shared" si="171"/>
        <v>0</v>
      </c>
      <c r="AC918" s="108">
        <f>IF($A918="",0,IF(AND($AB918=1,COUNTIF($A$2:$A918,$A918)=1),1,0))</f>
        <v>0</v>
      </c>
      <c r="AD918" s="108">
        <f t="shared" si="172"/>
        <v>1</v>
      </c>
      <c r="AE918" s="108" t="str">
        <f t="shared" si="173"/>
        <v/>
      </c>
      <c r="AF918" s="108">
        <f t="shared" si="174"/>
        <v>0</v>
      </c>
      <c r="AG918" s="108">
        <f t="shared" si="175"/>
        <v>0</v>
      </c>
      <c r="AH918" s="110" t="str">
        <f t="shared" si="176"/>
        <v/>
      </c>
      <c r="AI918" s="108">
        <f t="shared" si="177"/>
        <v>0</v>
      </c>
      <c r="AJ918" s="108">
        <f t="shared" si="178"/>
        <v>0</v>
      </c>
      <c r="AK918" s="108">
        <f>IF($A918="",0,IF(AND($S918=1,$W918=1,$X918=1,$U918&gt;Config!$C$9),1,0))</f>
        <v>0</v>
      </c>
      <c r="AL918" s="108">
        <f t="shared" si="179"/>
        <v>0</v>
      </c>
    </row>
    <row r="919" spans="19:38" x14ac:dyDescent="0.25">
      <c r="S919" s="108" t="str">
        <f>IF($A919="","",COUNTIF(BPOworkers!$B$6:$B$105,$A919))</f>
        <v/>
      </c>
      <c r="T919" s="109" t="str">
        <f>IF($A919="","",$K919*Config!$C$9)</f>
        <v/>
      </c>
      <c r="U919" s="109" t="str">
        <f>IF($A919="","",IF(COUNTIF(Config!$C$21:$C$23,$H919)&gt;0,IFERROR(VALUE(LEFT(TRIM($Q919),FIND(" ",TRIM($Q919)&amp;" ")-1)),0),0))</f>
        <v/>
      </c>
      <c r="V919" s="109" t="str">
        <f t="shared" si="168"/>
        <v/>
      </c>
      <c r="W919" s="108">
        <f>IF($A919="",0,IF(AND($C919&gt;=Config!$C$7,$C919&lt;=Config!$C$8),1,0))</f>
        <v>0</v>
      </c>
      <c r="X919" s="108">
        <f>IF($A919="",0,IF(COUNTIF(Config!$C$21:$C$23,$H919)&gt;0,1,0))</f>
        <v>0</v>
      </c>
      <c r="Y919" s="108">
        <f t="shared" si="169"/>
        <v>24</v>
      </c>
      <c r="Z919" s="108" t="str">
        <f t="shared" si="170"/>
        <v/>
      </c>
      <c r="AB919" s="108">
        <f t="shared" si="171"/>
        <v>0</v>
      </c>
      <c r="AC919" s="108">
        <f>IF($A919="",0,IF(AND($AB919=1,COUNTIF($A$2:$A919,$A919)=1),1,0))</f>
        <v>0</v>
      </c>
      <c r="AD919" s="108">
        <f t="shared" si="172"/>
        <v>1</v>
      </c>
      <c r="AE919" s="108" t="str">
        <f t="shared" si="173"/>
        <v/>
      </c>
      <c r="AF919" s="108">
        <f t="shared" si="174"/>
        <v>0</v>
      </c>
      <c r="AG919" s="108">
        <f t="shared" si="175"/>
        <v>0</v>
      </c>
      <c r="AH919" s="110" t="str">
        <f t="shared" si="176"/>
        <v/>
      </c>
      <c r="AI919" s="108">
        <f t="shared" si="177"/>
        <v>0</v>
      </c>
      <c r="AJ919" s="108">
        <f t="shared" si="178"/>
        <v>0</v>
      </c>
      <c r="AK919" s="108">
        <f>IF($A919="",0,IF(AND($S919=1,$W919=1,$X919=1,$U919&gt;Config!$C$9),1,0))</f>
        <v>0</v>
      </c>
      <c r="AL919" s="108">
        <f t="shared" si="179"/>
        <v>0</v>
      </c>
    </row>
    <row r="920" spans="19:38" x14ac:dyDescent="0.25">
      <c r="S920" s="108" t="str">
        <f>IF($A920="","",COUNTIF(BPOworkers!$B$6:$B$105,$A920))</f>
        <v/>
      </c>
      <c r="T920" s="109" t="str">
        <f>IF($A920="","",$K920*Config!$C$9)</f>
        <v/>
      </c>
      <c r="U920" s="109" t="str">
        <f>IF($A920="","",IF(COUNTIF(Config!$C$21:$C$23,$H920)&gt;0,IFERROR(VALUE(LEFT(TRIM($Q920),FIND(" ",TRIM($Q920)&amp;" ")-1)),0),0))</f>
        <v/>
      </c>
      <c r="V920" s="109" t="str">
        <f t="shared" si="168"/>
        <v/>
      </c>
      <c r="W920" s="108">
        <f>IF($A920="",0,IF(AND($C920&gt;=Config!$C$7,$C920&lt;=Config!$C$8),1,0))</f>
        <v>0</v>
      </c>
      <c r="X920" s="108">
        <f>IF($A920="",0,IF(COUNTIF(Config!$C$21:$C$23,$H920)&gt;0,1,0))</f>
        <v>0</v>
      </c>
      <c r="Y920" s="108">
        <f t="shared" si="169"/>
        <v>24</v>
      </c>
      <c r="Z920" s="108" t="str">
        <f t="shared" si="170"/>
        <v/>
      </c>
      <c r="AB920" s="108">
        <f t="shared" si="171"/>
        <v>0</v>
      </c>
      <c r="AC920" s="108">
        <f>IF($A920="",0,IF(AND($AB920=1,COUNTIF($A$2:$A920,$A920)=1),1,0))</f>
        <v>0</v>
      </c>
      <c r="AD920" s="108">
        <f t="shared" si="172"/>
        <v>1</v>
      </c>
      <c r="AE920" s="108" t="str">
        <f t="shared" si="173"/>
        <v/>
      </c>
      <c r="AF920" s="108">
        <f t="shared" si="174"/>
        <v>0</v>
      </c>
      <c r="AG920" s="108">
        <f t="shared" si="175"/>
        <v>0</v>
      </c>
      <c r="AH920" s="110" t="str">
        <f t="shared" si="176"/>
        <v/>
      </c>
      <c r="AI920" s="108">
        <f t="shared" si="177"/>
        <v>0</v>
      </c>
      <c r="AJ920" s="108">
        <f t="shared" si="178"/>
        <v>0</v>
      </c>
      <c r="AK920" s="108">
        <f>IF($A920="",0,IF(AND($S920=1,$W920=1,$X920=1,$U920&gt;Config!$C$9),1,0))</f>
        <v>0</v>
      </c>
      <c r="AL920" s="108">
        <f t="shared" si="179"/>
        <v>0</v>
      </c>
    </row>
    <row r="921" spans="19:38" x14ac:dyDescent="0.25">
      <c r="S921" s="108" t="str">
        <f>IF($A921="","",COUNTIF(BPOworkers!$B$6:$B$105,$A921))</f>
        <v/>
      </c>
      <c r="T921" s="109" t="str">
        <f>IF($A921="","",$K921*Config!$C$9)</f>
        <v/>
      </c>
      <c r="U921" s="109" t="str">
        <f>IF($A921="","",IF(COUNTIF(Config!$C$21:$C$23,$H921)&gt;0,IFERROR(VALUE(LEFT(TRIM($Q921),FIND(" ",TRIM($Q921)&amp;" ")-1)),0),0))</f>
        <v/>
      </c>
      <c r="V921" s="109" t="str">
        <f t="shared" si="168"/>
        <v/>
      </c>
      <c r="W921" s="108">
        <f>IF($A921="",0,IF(AND($C921&gt;=Config!$C$7,$C921&lt;=Config!$C$8),1,0))</f>
        <v>0</v>
      </c>
      <c r="X921" s="108">
        <f>IF($A921="",0,IF(COUNTIF(Config!$C$21:$C$23,$H921)&gt;0,1,0))</f>
        <v>0</v>
      </c>
      <c r="Y921" s="108">
        <f t="shared" si="169"/>
        <v>24</v>
      </c>
      <c r="Z921" s="108" t="str">
        <f t="shared" si="170"/>
        <v/>
      </c>
      <c r="AB921" s="108">
        <f t="shared" si="171"/>
        <v>0</v>
      </c>
      <c r="AC921" s="108">
        <f>IF($A921="",0,IF(AND($AB921=1,COUNTIF($A$2:$A921,$A921)=1),1,0))</f>
        <v>0</v>
      </c>
      <c r="AD921" s="108">
        <f t="shared" si="172"/>
        <v>1</v>
      </c>
      <c r="AE921" s="108" t="str">
        <f t="shared" si="173"/>
        <v/>
      </c>
      <c r="AF921" s="108">
        <f t="shared" si="174"/>
        <v>0</v>
      </c>
      <c r="AG921" s="108">
        <f t="shared" si="175"/>
        <v>0</v>
      </c>
      <c r="AH921" s="110" t="str">
        <f t="shared" si="176"/>
        <v/>
      </c>
      <c r="AI921" s="108">
        <f t="shared" si="177"/>
        <v>0</v>
      </c>
      <c r="AJ921" s="108">
        <f t="shared" si="178"/>
        <v>0</v>
      </c>
      <c r="AK921" s="108">
        <f>IF($A921="",0,IF(AND($S921=1,$W921=1,$X921=1,$U921&gt;Config!$C$9),1,0))</f>
        <v>0</v>
      </c>
      <c r="AL921" s="108">
        <f t="shared" si="179"/>
        <v>0</v>
      </c>
    </row>
    <row r="922" spans="19:38" x14ac:dyDescent="0.25">
      <c r="S922" s="108" t="str">
        <f>IF($A922="","",COUNTIF(BPOworkers!$B$6:$B$105,$A922))</f>
        <v/>
      </c>
      <c r="T922" s="109" t="str">
        <f>IF($A922="","",$K922*Config!$C$9)</f>
        <v/>
      </c>
      <c r="U922" s="109" t="str">
        <f>IF($A922="","",IF(COUNTIF(Config!$C$21:$C$23,$H922)&gt;0,IFERROR(VALUE(LEFT(TRIM($Q922),FIND(" ",TRIM($Q922)&amp;" ")-1)),0),0))</f>
        <v/>
      </c>
      <c r="V922" s="109" t="str">
        <f t="shared" si="168"/>
        <v/>
      </c>
      <c r="W922" s="108">
        <f>IF($A922="",0,IF(AND($C922&gt;=Config!$C$7,$C922&lt;=Config!$C$8),1,0))</f>
        <v>0</v>
      </c>
      <c r="X922" s="108">
        <f>IF($A922="",0,IF(COUNTIF(Config!$C$21:$C$23,$H922)&gt;0,1,0))</f>
        <v>0</v>
      </c>
      <c r="Y922" s="108">
        <f t="shared" si="169"/>
        <v>24</v>
      </c>
      <c r="Z922" s="108" t="str">
        <f t="shared" si="170"/>
        <v/>
      </c>
      <c r="AB922" s="108">
        <f t="shared" si="171"/>
        <v>0</v>
      </c>
      <c r="AC922" s="108">
        <f>IF($A922="",0,IF(AND($AB922=1,COUNTIF($A$2:$A922,$A922)=1),1,0))</f>
        <v>0</v>
      </c>
      <c r="AD922" s="108">
        <f t="shared" si="172"/>
        <v>1</v>
      </c>
      <c r="AE922" s="108" t="str">
        <f t="shared" si="173"/>
        <v/>
      </c>
      <c r="AF922" s="108">
        <f t="shared" si="174"/>
        <v>0</v>
      </c>
      <c r="AG922" s="108">
        <f t="shared" si="175"/>
        <v>0</v>
      </c>
      <c r="AH922" s="110" t="str">
        <f t="shared" si="176"/>
        <v/>
      </c>
      <c r="AI922" s="108">
        <f t="shared" si="177"/>
        <v>0</v>
      </c>
      <c r="AJ922" s="108">
        <f t="shared" si="178"/>
        <v>0</v>
      </c>
      <c r="AK922" s="108">
        <f>IF($A922="",0,IF(AND($S922=1,$W922=1,$X922=1,$U922&gt;Config!$C$9),1,0))</f>
        <v>0</v>
      </c>
      <c r="AL922" s="108">
        <f t="shared" si="179"/>
        <v>0</v>
      </c>
    </row>
    <row r="923" spans="19:38" x14ac:dyDescent="0.25">
      <c r="S923" s="108" t="str">
        <f>IF($A923="","",COUNTIF(BPOworkers!$B$6:$B$105,$A923))</f>
        <v/>
      </c>
      <c r="T923" s="109" t="str">
        <f>IF($A923="","",$K923*Config!$C$9)</f>
        <v/>
      </c>
      <c r="U923" s="109" t="str">
        <f>IF($A923="","",IF(COUNTIF(Config!$C$21:$C$23,$H923)&gt;0,IFERROR(VALUE(LEFT(TRIM($Q923),FIND(" ",TRIM($Q923)&amp;" ")-1)),0),0))</f>
        <v/>
      </c>
      <c r="V923" s="109" t="str">
        <f t="shared" si="168"/>
        <v/>
      </c>
      <c r="W923" s="108">
        <f>IF($A923="",0,IF(AND($C923&gt;=Config!$C$7,$C923&lt;=Config!$C$8),1,0))</f>
        <v>0</v>
      </c>
      <c r="X923" s="108">
        <f>IF($A923="",0,IF(COUNTIF(Config!$C$21:$C$23,$H923)&gt;0,1,0))</f>
        <v>0</v>
      </c>
      <c r="Y923" s="108">
        <f t="shared" si="169"/>
        <v>24</v>
      </c>
      <c r="Z923" s="108" t="str">
        <f t="shared" si="170"/>
        <v/>
      </c>
      <c r="AB923" s="108">
        <f t="shared" si="171"/>
        <v>0</v>
      </c>
      <c r="AC923" s="108">
        <f>IF($A923="",0,IF(AND($AB923=1,COUNTIF($A$2:$A923,$A923)=1),1,0))</f>
        <v>0</v>
      </c>
      <c r="AD923" s="108">
        <f t="shared" si="172"/>
        <v>1</v>
      </c>
      <c r="AE923" s="108" t="str">
        <f t="shared" si="173"/>
        <v/>
      </c>
      <c r="AF923" s="108">
        <f t="shared" si="174"/>
        <v>0</v>
      </c>
      <c r="AG923" s="108">
        <f t="shared" si="175"/>
        <v>0</v>
      </c>
      <c r="AH923" s="110" t="str">
        <f t="shared" si="176"/>
        <v/>
      </c>
      <c r="AI923" s="108">
        <f t="shared" si="177"/>
        <v>0</v>
      </c>
      <c r="AJ923" s="108">
        <f t="shared" si="178"/>
        <v>0</v>
      </c>
      <c r="AK923" s="108">
        <f>IF($A923="",0,IF(AND($S923=1,$W923=1,$X923=1,$U923&gt;Config!$C$9),1,0))</f>
        <v>0</v>
      </c>
      <c r="AL923" s="108">
        <f t="shared" si="179"/>
        <v>0</v>
      </c>
    </row>
    <row r="924" spans="19:38" x14ac:dyDescent="0.25">
      <c r="S924" s="108" t="str">
        <f>IF($A924="","",COUNTIF(BPOworkers!$B$6:$B$105,$A924))</f>
        <v/>
      </c>
      <c r="T924" s="109" t="str">
        <f>IF($A924="","",$K924*Config!$C$9)</f>
        <v/>
      </c>
      <c r="U924" s="109" t="str">
        <f>IF($A924="","",IF(COUNTIF(Config!$C$21:$C$23,$H924)&gt;0,IFERROR(VALUE(LEFT(TRIM($Q924),FIND(" ",TRIM($Q924)&amp;" ")-1)),0),0))</f>
        <v/>
      </c>
      <c r="V924" s="109" t="str">
        <f t="shared" si="168"/>
        <v/>
      </c>
      <c r="W924" s="108">
        <f>IF($A924="",0,IF(AND($C924&gt;=Config!$C$7,$C924&lt;=Config!$C$8),1,0))</f>
        <v>0</v>
      </c>
      <c r="X924" s="108">
        <f>IF($A924="",0,IF(COUNTIF(Config!$C$21:$C$23,$H924)&gt;0,1,0))</f>
        <v>0</v>
      </c>
      <c r="Y924" s="108">
        <f t="shared" si="169"/>
        <v>24</v>
      </c>
      <c r="Z924" s="108" t="str">
        <f t="shared" si="170"/>
        <v/>
      </c>
      <c r="AB924" s="108">
        <f t="shared" si="171"/>
        <v>0</v>
      </c>
      <c r="AC924" s="108">
        <f>IF($A924="",0,IF(AND($AB924=1,COUNTIF($A$2:$A924,$A924)=1),1,0))</f>
        <v>0</v>
      </c>
      <c r="AD924" s="108">
        <f t="shared" si="172"/>
        <v>1</v>
      </c>
      <c r="AE924" s="108" t="str">
        <f t="shared" si="173"/>
        <v/>
      </c>
      <c r="AF924" s="108">
        <f t="shared" si="174"/>
        <v>0</v>
      </c>
      <c r="AG924" s="108">
        <f t="shared" si="175"/>
        <v>0</v>
      </c>
      <c r="AH924" s="110" t="str">
        <f t="shared" si="176"/>
        <v/>
      </c>
      <c r="AI924" s="108">
        <f t="shared" si="177"/>
        <v>0</v>
      </c>
      <c r="AJ924" s="108">
        <f t="shared" si="178"/>
        <v>0</v>
      </c>
      <c r="AK924" s="108">
        <f>IF($A924="",0,IF(AND($S924=1,$W924=1,$X924=1,$U924&gt;Config!$C$9),1,0))</f>
        <v>0</v>
      </c>
      <c r="AL924" s="108">
        <f t="shared" si="179"/>
        <v>0</v>
      </c>
    </row>
    <row r="925" spans="19:38" x14ac:dyDescent="0.25">
      <c r="S925" s="108" t="str">
        <f>IF($A925="","",COUNTIF(BPOworkers!$B$6:$B$105,$A925))</f>
        <v/>
      </c>
      <c r="T925" s="109" t="str">
        <f>IF($A925="","",$K925*Config!$C$9)</f>
        <v/>
      </c>
      <c r="U925" s="109" t="str">
        <f>IF($A925="","",IF(COUNTIF(Config!$C$21:$C$23,$H925)&gt;0,IFERROR(VALUE(LEFT(TRIM($Q925),FIND(" ",TRIM($Q925)&amp;" ")-1)),0),0))</f>
        <v/>
      </c>
      <c r="V925" s="109" t="str">
        <f t="shared" si="168"/>
        <v/>
      </c>
      <c r="W925" s="108">
        <f>IF($A925="",0,IF(AND($C925&gt;=Config!$C$7,$C925&lt;=Config!$C$8),1,0))</f>
        <v>0</v>
      </c>
      <c r="X925" s="108">
        <f>IF($A925="",0,IF(COUNTIF(Config!$C$21:$C$23,$H925)&gt;0,1,0))</f>
        <v>0</v>
      </c>
      <c r="Y925" s="108">
        <f t="shared" si="169"/>
        <v>24</v>
      </c>
      <c r="Z925" s="108" t="str">
        <f t="shared" si="170"/>
        <v/>
      </c>
      <c r="AB925" s="108">
        <f t="shared" si="171"/>
        <v>0</v>
      </c>
      <c r="AC925" s="108">
        <f>IF($A925="",0,IF(AND($AB925=1,COUNTIF($A$2:$A925,$A925)=1),1,0))</f>
        <v>0</v>
      </c>
      <c r="AD925" s="108">
        <f t="shared" si="172"/>
        <v>1</v>
      </c>
      <c r="AE925" s="108" t="str">
        <f t="shared" si="173"/>
        <v/>
      </c>
      <c r="AF925" s="108">
        <f t="shared" si="174"/>
        <v>0</v>
      </c>
      <c r="AG925" s="108">
        <f t="shared" si="175"/>
        <v>0</v>
      </c>
      <c r="AH925" s="110" t="str">
        <f t="shared" si="176"/>
        <v/>
      </c>
      <c r="AI925" s="108">
        <f t="shared" si="177"/>
        <v>0</v>
      </c>
      <c r="AJ925" s="108">
        <f t="shared" si="178"/>
        <v>0</v>
      </c>
      <c r="AK925" s="108">
        <f>IF($A925="",0,IF(AND($S925=1,$W925=1,$X925=1,$U925&gt;Config!$C$9),1,0))</f>
        <v>0</v>
      </c>
      <c r="AL925" s="108">
        <f t="shared" si="179"/>
        <v>0</v>
      </c>
    </row>
    <row r="926" spans="19:38" x14ac:dyDescent="0.25">
      <c r="S926" s="108" t="str">
        <f>IF($A926="","",COUNTIF(BPOworkers!$B$6:$B$105,$A926))</f>
        <v/>
      </c>
      <c r="T926" s="109" t="str">
        <f>IF($A926="","",$K926*Config!$C$9)</f>
        <v/>
      </c>
      <c r="U926" s="109" t="str">
        <f>IF($A926="","",IF(COUNTIF(Config!$C$21:$C$23,$H926)&gt;0,IFERROR(VALUE(LEFT(TRIM($Q926),FIND(" ",TRIM($Q926)&amp;" ")-1)),0),0))</f>
        <v/>
      </c>
      <c r="V926" s="109" t="str">
        <f t="shared" si="168"/>
        <v/>
      </c>
      <c r="W926" s="108">
        <f>IF($A926="",0,IF(AND($C926&gt;=Config!$C$7,$C926&lt;=Config!$C$8),1,0))</f>
        <v>0</v>
      </c>
      <c r="X926" s="108">
        <f>IF($A926="",0,IF(COUNTIF(Config!$C$21:$C$23,$H926)&gt;0,1,0))</f>
        <v>0</v>
      </c>
      <c r="Y926" s="108">
        <f t="shared" si="169"/>
        <v>24</v>
      </c>
      <c r="Z926" s="108" t="str">
        <f t="shared" si="170"/>
        <v/>
      </c>
      <c r="AB926" s="108">
        <f t="shared" si="171"/>
        <v>0</v>
      </c>
      <c r="AC926" s="108">
        <f>IF($A926="",0,IF(AND($AB926=1,COUNTIF($A$2:$A926,$A926)=1),1,0))</f>
        <v>0</v>
      </c>
      <c r="AD926" s="108">
        <f t="shared" si="172"/>
        <v>1</v>
      </c>
      <c r="AE926" s="108" t="str">
        <f t="shared" si="173"/>
        <v/>
      </c>
      <c r="AF926" s="108">
        <f t="shared" si="174"/>
        <v>0</v>
      </c>
      <c r="AG926" s="108">
        <f t="shared" si="175"/>
        <v>0</v>
      </c>
      <c r="AH926" s="110" t="str">
        <f t="shared" si="176"/>
        <v/>
      </c>
      <c r="AI926" s="108">
        <f t="shared" si="177"/>
        <v>0</v>
      </c>
      <c r="AJ926" s="108">
        <f t="shared" si="178"/>
        <v>0</v>
      </c>
      <c r="AK926" s="108">
        <f>IF($A926="",0,IF(AND($S926=1,$W926=1,$X926=1,$U926&gt;Config!$C$9),1,0))</f>
        <v>0</v>
      </c>
      <c r="AL926" s="108">
        <f t="shared" si="179"/>
        <v>0</v>
      </c>
    </row>
    <row r="927" spans="19:38" x14ac:dyDescent="0.25">
      <c r="S927" s="108" t="str">
        <f>IF($A927="","",COUNTIF(BPOworkers!$B$6:$B$105,$A927))</f>
        <v/>
      </c>
      <c r="T927" s="109" t="str">
        <f>IF($A927="","",$K927*Config!$C$9)</f>
        <v/>
      </c>
      <c r="U927" s="109" t="str">
        <f>IF($A927="","",IF(COUNTIF(Config!$C$21:$C$23,$H927)&gt;0,IFERROR(VALUE(LEFT(TRIM($Q927),FIND(" ",TRIM($Q927)&amp;" ")-1)),0),0))</f>
        <v/>
      </c>
      <c r="V927" s="109" t="str">
        <f t="shared" si="168"/>
        <v/>
      </c>
      <c r="W927" s="108">
        <f>IF($A927="",0,IF(AND($C927&gt;=Config!$C$7,$C927&lt;=Config!$C$8),1,0))</f>
        <v>0</v>
      </c>
      <c r="X927" s="108">
        <f>IF($A927="",0,IF(COUNTIF(Config!$C$21:$C$23,$H927)&gt;0,1,0))</f>
        <v>0</v>
      </c>
      <c r="Y927" s="108">
        <f t="shared" si="169"/>
        <v>24</v>
      </c>
      <c r="Z927" s="108" t="str">
        <f t="shared" si="170"/>
        <v/>
      </c>
      <c r="AB927" s="108">
        <f t="shared" si="171"/>
        <v>0</v>
      </c>
      <c r="AC927" s="108">
        <f>IF($A927="",0,IF(AND($AB927=1,COUNTIF($A$2:$A927,$A927)=1),1,0))</f>
        <v>0</v>
      </c>
      <c r="AD927" s="108">
        <f t="shared" si="172"/>
        <v>1</v>
      </c>
      <c r="AE927" s="108" t="str">
        <f t="shared" si="173"/>
        <v/>
      </c>
      <c r="AF927" s="108">
        <f t="shared" si="174"/>
        <v>0</v>
      </c>
      <c r="AG927" s="108">
        <f t="shared" si="175"/>
        <v>0</v>
      </c>
      <c r="AH927" s="110" t="str">
        <f t="shared" si="176"/>
        <v/>
      </c>
      <c r="AI927" s="108">
        <f t="shared" si="177"/>
        <v>0</v>
      </c>
      <c r="AJ927" s="108">
        <f t="shared" si="178"/>
        <v>0</v>
      </c>
      <c r="AK927" s="108">
        <f>IF($A927="",0,IF(AND($S927=1,$W927=1,$X927=1,$U927&gt;Config!$C$9),1,0))</f>
        <v>0</v>
      </c>
      <c r="AL927" s="108">
        <f t="shared" si="179"/>
        <v>0</v>
      </c>
    </row>
    <row r="928" spans="19:38" x14ac:dyDescent="0.25">
      <c r="S928" s="108" t="str">
        <f>IF($A928="","",COUNTIF(BPOworkers!$B$6:$B$105,$A928))</f>
        <v/>
      </c>
      <c r="T928" s="109" t="str">
        <f>IF($A928="","",$K928*Config!$C$9)</f>
        <v/>
      </c>
      <c r="U928" s="109" t="str">
        <f>IF($A928="","",IF(COUNTIF(Config!$C$21:$C$23,$H928)&gt;0,IFERROR(VALUE(LEFT(TRIM($Q928),FIND(" ",TRIM($Q928)&amp;" ")-1)),0),0))</f>
        <v/>
      </c>
      <c r="V928" s="109" t="str">
        <f t="shared" si="168"/>
        <v/>
      </c>
      <c r="W928" s="108">
        <f>IF($A928="",0,IF(AND($C928&gt;=Config!$C$7,$C928&lt;=Config!$C$8),1,0))</f>
        <v>0</v>
      </c>
      <c r="X928" s="108">
        <f>IF($A928="",0,IF(COUNTIF(Config!$C$21:$C$23,$H928)&gt;0,1,0))</f>
        <v>0</v>
      </c>
      <c r="Y928" s="108">
        <f t="shared" si="169"/>
        <v>24</v>
      </c>
      <c r="Z928" s="108" t="str">
        <f t="shared" si="170"/>
        <v/>
      </c>
      <c r="AB928" s="108">
        <f t="shared" si="171"/>
        <v>0</v>
      </c>
      <c r="AC928" s="108">
        <f>IF($A928="",0,IF(AND($AB928=1,COUNTIF($A$2:$A928,$A928)=1),1,0))</f>
        <v>0</v>
      </c>
      <c r="AD928" s="108">
        <f t="shared" si="172"/>
        <v>1</v>
      </c>
      <c r="AE928" s="108" t="str">
        <f t="shared" si="173"/>
        <v/>
      </c>
      <c r="AF928" s="108">
        <f t="shared" si="174"/>
        <v>0</v>
      </c>
      <c r="AG928" s="108">
        <f t="shared" si="175"/>
        <v>0</v>
      </c>
      <c r="AH928" s="110" t="str">
        <f t="shared" si="176"/>
        <v/>
      </c>
      <c r="AI928" s="108">
        <f t="shared" si="177"/>
        <v>0</v>
      </c>
      <c r="AJ928" s="108">
        <f t="shared" si="178"/>
        <v>0</v>
      </c>
      <c r="AK928" s="108">
        <f>IF($A928="",0,IF(AND($S928=1,$W928=1,$X928=1,$U928&gt;Config!$C$9),1,0))</f>
        <v>0</v>
      </c>
      <c r="AL928" s="108">
        <f t="shared" si="179"/>
        <v>0</v>
      </c>
    </row>
    <row r="929" spans="19:38" x14ac:dyDescent="0.25">
      <c r="S929" s="108" t="str">
        <f>IF($A929="","",COUNTIF(BPOworkers!$B$6:$B$105,$A929))</f>
        <v/>
      </c>
      <c r="T929" s="109" t="str">
        <f>IF($A929="","",$K929*Config!$C$9)</f>
        <v/>
      </c>
      <c r="U929" s="109" t="str">
        <f>IF($A929="","",IF(COUNTIF(Config!$C$21:$C$23,$H929)&gt;0,IFERROR(VALUE(LEFT(TRIM($Q929),FIND(" ",TRIM($Q929)&amp;" ")-1)),0),0))</f>
        <v/>
      </c>
      <c r="V929" s="109" t="str">
        <f t="shared" si="168"/>
        <v/>
      </c>
      <c r="W929" s="108">
        <f>IF($A929="",0,IF(AND($C929&gt;=Config!$C$7,$C929&lt;=Config!$C$8),1,0))</f>
        <v>0</v>
      </c>
      <c r="X929" s="108">
        <f>IF($A929="",0,IF(COUNTIF(Config!$C$21:$C$23,$H929)&gt;0,1,0))</f>
        <v>0</v>
      </c>
      <c r="Y929" s="108">
        <f t="shared" si="169"/>
        <v>24</v>
      </c>
      <c r="Z929" s="108" t="str">
        <f t="shared" si="170"/>
        <v/>
      </c>
      <c r="AB929" s="108">
        <f t="shared" si="171"/>
        <v>0</v>
      </c>
      <c r="AC929" s="108">
        <f>IF($A929="",0,IF(AND($AB929=1,COUNTIF($A$2:$A929,$A929)=1),1,0))</f>
        <v>0</v>
      </c>
      <c r="AD929" s="108">
        <f t="shared" si="172"/>
        <v>1</v>
      </c>
      <c r="AE929" s="108" t="str">
        <f t="shared" si="173"/>
        <v/>
      </c>
      <c r="AF929" s="108">
        <f t="shared" si="174"/>
        <v>0</v>
      </c>
      <c r="AG929" s="108">
        <f t="shared" si="175"/>
        <v>0</v>
      </c>
      <c r="AH929" s="110" t="str">
        <f t="shared" si="176"/>
        <v/>
      </c>
      <c r="AI929" s="108">
        <f t="shared" si="177"/>
        <v>0</v>
      </c>
      <c r="AJ929" s="108">
        <f t="shared" si="178"/>
        <v>0</v>
      </c>
      <c r="AK929" s="108">
        <f>IF($A929="",0,IF(AND($S929=1,$W929=1,$X929=1,$U929&gt;Config!$C$9),1,0))</f>
        <v>0</v>
      </c>
      <c r="AL929" s="108">
        <f t="shared" si="179"/>
        <v>0</v>
      </c>
    </row>
    <row r="930" spans="19:38" x14ac:dyDescent="0.25">
      <c r="S930" s="108" t="str">
        <f>IF($A930="","",COUNTIF(BPOworkers!$B$6:$B$105,$A930))</f>
        <v/>
      </c>
      <c r="T930" s="109" t="str">
        <f>IF($A930="","",$K930*Config!$C$9)</f>
        <v/>
      </c>
      <c r="U930" s="109" t="str">
        <f>IF($A930="","",IF(COUNTIF(Config!$C$21:$C$23,$H930)&gt;0,IFERROR(VALUE(LEFT(TRIM($Q930),FIND(" ",TRIM($Q930)&amp;" ")-1)),0),0))</f>
        <v/>
      </c>
      <c r="V930" s="109" t="str">
        <f t="shared" si="168"/>
        <v/>
      </c>
      <c r="W930" s="108">
        <f>IF($A930="",0,IF(AND($C930&gt;=Config!$C$7,$C930&lt;=Config!$C$8),1,0))</f>
        <v>0</v>
      </c>
      <c r="X930" s="108">
        <f>IF($A930="",0,IF(COUNTIF(Config!$C$21:$C$23,$H930)&gt;0,1,0))</f>
        <v>0</v>
      </c>
      <c r="Y930" s="108">
        <f t="shared" si="169"/>
        <v>24</v>
      </c>
      <c r="Z930" s="108" t="str">
        <f t="shared" si="170"/>
        <v/>
      </c>
      <c r="AB930" s="108">
        <f t="shared" si="171"/>
        <v>0</v>
      </c>
      <c r="AC930" s="108">
        <f>IF($A930="",0,IF(AND($AB930=1,COUNTIF($A$2:$A930,$A930)=1),1,0))</f>
        <v>0</v>
      </c>
      <c r="AD930" s="108">
        <f t="shared" si="172"/>
        <v>1</v>
      </c>
      <c r="AE930" s="108" t="str">
        <f t="shared" si="173"/>
        <v/>
      </c>
      <c r="AF930" s="108">
        <f t="shared" si="174"/>
        <v>0</v>
      </c>
      <c r="AG930" s="108">
        <f t="shared" si="175"/>
        <v>0</v>
      </c>
      <c r="AH930" s="110" t="str">
        <f t="shared" si="176"/>
        <v/>
      </c>
      <c r="AI930" s="108">
        <f t="shared" si="177"/>
        <v>0</v>
      </c>
      <c r="AJ930" s="108">
        <f t="shared" si="178"/>
        <v>0</v>
      </c>
      <c r="AK930" s="108">
        <f>IF($A930="",0,IF(AND($S930=1,$W930=1,$X930=1,$U930&gt;Config!$C$9),1,0))</f>
        <v>0</v>
      </c>
      <c r="AL930" s="108">
        <f t="shared" si="179"/>
        <v>0</v>
      </c>
    </row>
    <row r="931" spans="19:38" x14ac:dyDescent="0.25">
      <c r="S931" s="108" t="str">
        <f>IF($A931="","",COUNTIF(BPOworkers!$B$6:$B$105,$A931))</f>
        <v/>
      </c>
      <c r="T931" s="109" t="str">
        <f>IF($A931="","",$K931*Config!$C$9)</f>
        <v/>
      </c>
      <c r="U931" s="109" t="str">
        <f>IF($A931="","",IF(COUNTIF(Config!$C$21:$C$23,$H931)&gt;0,IFERROR(VALUE(LEFT(TRIM($Q931),FIND(" ",TRIM($Q931)&amp;" ")-1)),0),0))</f>
        <v/>
      </c>
      <c r="V931" s="109" t="str">
        <f t="shared" si="168"/>
        <v/>
      </c>
      <c r="W931" s="108">
        <f>IF($A931="",0,IF(AND($C931&gt;=Config!$C$7,$C931&lt;=Config!$C$8),1,0))</f>
        <v>0</v>
      </c>
      <c r="X931" s="108">
        <f>IF($A931="",0,IF(COUNTIF(Config!$C$21:$C$23,$H931)&gt;0,1,0))</f>
        <v>0</v>
      </c>
      <c r="Y931" s="108">
        <f t="shared" si="169"/>
        <v>24</v>
      </c>
      <c r="Z931" s="108" t="str">
        <f t="shared" si="170"/>
        <v/>
      </c>
      <c r="AB931" s="108">
        <f t="shared" si="171"/>
        <v>0</v>
      </c>
      <c r="AC931" s="108">
        <f>IF($A931="",0,IF(AND($AB931=1,COUNTIF($A$2:$A931,$A931)=1),1,0))</f>
        <v>0</v>
      </c>
      <c r="AD931" s="108">
        <f t="shared" si="172"/>
        <v>1</v>
      </c>
      <c r="AE931" s="108" t="str">
        <f t="shared" si="173"/>
        <v/>
      </c>
      <c r="AF931" s="108">
        <f t="shared" si="174"/>
        <v>0</v>
      </c>
      <c r="AG931" s="108">
        <f t="shared" si="175"/>
        <v>0</v>
      </c>
      <c r="AH931" s="110" t="str">
        <f t="shared" si="176"/>
        <v/>
      </c>
      <c r="AI931" s="108">
        <f t="shared" si="177"/>
        <v>0</v>
      </c>
      <c r="AJ931" s="108">
        <f t="shared" si="178"/>
        <v>0</v>
      </c>
      <c r="AK931" s="108">
        <f>IF($A931="",0,IF(AND($S931=1,$W931=1,$X931=1,$U931&gt;Config!$C$9),1,0))</f>
        <v>0</v>
      </c>
      <c r="AL931" s="108">
        <f t="shared" si="179"/>
        <v>0</v>
      </c>
    </row>
    <row r="932" spans="19:38" x14ac:dyDescent="0.25">
      <c r="S932" s="108" t="str">
        <f>IF($A932="","",COUNTIF(BPOworkers!$B$6:$B$105,$A932))</f>
        <v/>
      </c>
      <c r="T932" s="109" t="str">
        <f>IF($A932="","",$K932*Config!$C$9)</f>
        <v/>
      </c>
      <c r="U932" s="109" t="str">
        <f>IF($A932="","",IF(COUNTIF(Config!$C$21:$C$23,$H932)&gt;0,IFERROR(VALUE(LEFT(TRIM($Q932),FIND(" ",TRIM($Q932)&amp;" ")-1)),0),0))</f>
        <v/>
      </c>
      <c r="V932" s="109" t="str">
        <f t="shared" si="168"/>
        <v/>
      </c>
      <c r="W932" s="108">
        <f>IF($A932="",0,IF(AND($C932&gt;=Config!$C$7,$C932&lt;=Config!$C$8),1,0))</f>
        <v>0</v>
      </c>
      <c r="X932" s="108">
        <f>IF($A932="",0,IF(COUNTIF(Config!$C$21:$C$23,$H932)&gt;0,1,0))</f>
        <v>0</v>
      </c>
      <c r="Y932" s="108">
        <f t="shared" si="169"/>
        <v>24</v>
      </c>
      <c r="Z932" s="108" t="str">
        <f t="shared" si="170"/>
        <v/>
      </c>
      <c r="AB932" s="108">
        <f t="shared" si="171"/>
        <v>0</v>
      </c>
      <c r="AC932" s="108">
        <f>IF($A932="",0,IF(AND($AB932=1,COUNTIF($A$2:$A932,$A932)=1),1,0))</f>
        <v>0</v>
      </c>
      <c r="AD932" s="108">
        <f t="shared" si="172"/>
        <v>1</v>
      </c>
      <c r="AE932" s="108" t="str">
        <f t="shared" si="173"/>
        <v/>
      </c>
      <c r="AF932" s="108">
        <f t="shared" si="174"/>
        <v>0</v>
      </c>
      <c r="AG932" s="108">
        <f t="shared" si="175"/>
        <v>0</v>
      </c>
      <c r="AH932" s="110" t="str">
        <f t="shared" si="176"/>
        <v/>
      </c>
      <c r="AI932" s="108">
        <f t="shared" si="177"/>
        <v>0</v>
      </c>
      <c r="AJ932" s="108">
        <f t="shared" si="178"/>
        <v>0</v>
      </c>
      <c r="AK932" s="108">
        <f>IF($A932="",0,IF(AND($S932=1,$W932=1,$X932=1,$U932&gt;Config!$C$9),1,0))</f>
        <v>0</v>
      </c>
      <c r="AL932" s="108">
        <f t="shared" si="179"/>
        <v>0</v>
      </c>
    </row>
    <row r="933" spans="19:38" x14ac:dyDescent="0.25">
      <c r="S933" s="108" t="str">
        <f>IF($A933="","",COUNTIF(BPOworkers!$B$6:$B$105,$A933))</f>
        <v/>
      </c>
      <c r="T933" s="109" t="str">
        <f>IF($A933="","",$K933*Config!$C$9)</f>
        <v/>
      </c>
      <c r="U933" s="109" t="str">
        <f>IF($A933="","",IF(COUNTIF(Config!$C$21:$C$23,$H933)&gt;0,IFERROR(VALUE(LEFT(TRIM($Q933),FIND(" ",TRIM($Q933)&amp;" ")-1)),0),0))</f>
        <v/>
      </c>
      <c r="V933" s="109" t="str">
        <f t="shared" si="168"/>
        <v/>
      </c>
      <c r="W933" s="108">
        <f>IF($A933="",0,IF(AND($C933&gt;=Config!$C$7,$C933&lt;=Config!$C$8),1,0))</f>
        <v>0</v>
      </c>
      <c r="X933" s="108">
        <f>IF($A933="",0,IF(COUNTIF(Config!$C$21:$C$23,$H933)&gt;0,1,0))</f>
        <v>0</v>
      </c>
      <c r="Y933" s="108">
        <f t="shared" si="169"/>
        <v>24</v>
      </c>
      <c r="Z933" s="108" t="str">
        <f t="shared" si="170"/>
        <v/>
      </c>
      <c r="AB933" s="108">
        <f t="shared" si="171"/>
        <v>0</v>
      </c>
      <c r="AC933" s="108">
        <f>IF($A933="",0,IF(AND($AB933=1,COUNTIF($A$2:$A933,$A933)=1),1,0))</f>
        <v>0</v>
      </c>
      <c r="AD933" s="108">
        <f t="shared" si="172"/>
        <v>1</v>
      </c>
      <c r="AE933" s="108" t="str">
        <f t="shared" si="173"/>
        <v/>
      </c>
      <c r="AF933" s="108">
        <f t="shared" si="174"/>
        <v>0</v>
      </c>
      <c r="AG933" s="108">
        <f t="shared" si="175"/>
        <v>0</v>
      </c>
      <c r="AH933" s="110" t="str">
        <f t="shared" si="176"/>
        <v/>
      </c>
      <c r="AI933" s="108">
        <f t="shared" si="177"/>
        <v>0</v>
      </c>
      <c r="AJ933" s="108">
        <f t="shared" si="178"/>
        <v>0</v>
      </c>
      <c r="AK933" s="108">
        <f>IF($A933="",0,IF(AND($S933=1,$W933=1,$X933=1,$U933&gt;Config!$C$9),1,0))</f>
        <v>0</v>
      </c>
      <c r="AL933" s="108">
        <f t="shared" si="179"/>
        <v>0</v>
      </c>
    </row>
    <row r="934" spans="19:38" x14ac:dyDescent="0.25">
      <c r="S934" s="108" t="str">
        <f>IF($A934="","",COUNTIF(BPOworkers!$B$6:$B$105,$A934))</f>
        <v/>
      </c>
      <c r="T934" s="109" t="str">
        <f>IF($A934="","",$K934*Config!$C$9)</f>
        <v/>
      </c>
      <c r="U934" s="109" t="str">
        <f>IF($A934="","",IF(COUNTIF(Config!$C$21:$C$23,$H934)&gt;0,IFERROR(VALUE(LEFT(TRIM($Q934),FIND(" ",TRIM($Q934)&amp;" ")-1)),0),0))</f>
        <v/>
      </c>
      <c r="V934" s="109" t="str">
        <f t="shared" si="168"/>
        <v/>
      </c>
      <c r="W934" s="108">
        <f>IF($A934="",0,IF(AND($C934&gt;=Config!$C$7,$C934&lt;=Config!$C$8),1,0))</f>
        <v>0</v>
      </c>
      <c r="X934" s="108">
        <f>IF($A934="",0,IF(COUNTIF(Config!$C$21:$C$23,$H934)&gt;0,1,0))</f>
        <v>0</v>
      </c>
      <c r="Y934" s="108">
        <f t="shared" si="169"/>
        <v>24</v>
      </c>
      <c r="Z934" s="108" t="str">
        <f t="shared" si="170"/>
        <v/>
      </c>
      <c r="AB934" s="108">
        <f t="shared" si="171"/>
        <v>0</v>
      </c>
      <c r="AC934" s="108">
        <f>IF($A934="",0,IF(AND($AB934=1,COUNTIF($A$2:$A934,$A934)=1),1,0))</f>
        <v>0</v>
      </c>
      <c r="AD934" s="108">
        <f t="shared" si="172"/>
        <v>1</v>
      </c>
      <c r="AE934" s="108" t="str">
        <f t="shared" si="173"/>
        <v/>
      </c>
      <c r="AF934" s="108">
        <f t="shared" si="174"/>
        <v>0</v>
      </c>
      <c r="AG934" s="108">
        <f t="shared" si="175"/>
        <v>0</v>
      </c>
      <c r="AH934" s="110" t="str">
        <f t="shared" si="176"/>
        <v/>
      </c>
      <c r="AI934" s="108">
        <f t="shared" si="177"/>
        <v>0</v>
      </c>
      <c r="AJ934" s="108">
        <f t="shared" si="178"/>
        <v>0</v>
      </c>
      <c r="AK934" s="108">
        <f>IF($A934="",0,IF(AND($S934=1,$W934=1,$X934=1,$U934&gt;Config!$C$9),1,0))</f>
        <v>0</v>
      </c>
      <c r="AL934" s="108">
        <f t="shared" si="179"/>
        <v>0</v>
      </c>
    </row>
    <row r="935" spans="19:38" x14ac:dyDescent="0.25">
      <c r="S935" s="108" t="str">
        <f>IF($A935="","",COUNTIF(BPOworkers!$B$6:$B$105,$A935))</f>
        <v/>
      </c>
      <c r="T935" s="109" t="str">
        <f>IF($A935="","",$K935*Config!$C$9)</f>
        <v/>
      </c>
      <c r="U935" s="109" t="str">
        <f>IF($A935="","",IF(COUNTIF(Config!$C$21:$C$23,$H935)&gt;0,IFERROR(VALUE(LEFT(TRIM($Q935),FIND(" ",TRIM($Q935)&amp;" ")-1)),0),0))</f>
        <v/>
      </c>
      <c r="V935" s="109" t="str">
        <f t="shared" si="168"/>
        <v/>
      </c>
      <c r="W935" s="108">
        <f>IF($A935="",0,IF(AND($C935&gt;=Config!$C$7,$C935&lt;=Config!$C$8),1,0))</f>
        <v>0</v>
      </c>
      <c r="X935" s="108">
        <f>IF($A935="",0,IF(COUNTIF(Config!$C$21:$C$23,$H935)&gt;0,1,0))</f>
        <v>0</v>
      </c>
      <c r="Y935" s="108">
        <f t="shared" si="169"/>
        <v>24</v>
      </c>
      <c r="Z935" s="108" t="str">
        <f t="shared" si="170"/>
        <v/>
      </c>
      <c r="AB935" s="108">
        <f t="shared" si="171"/>
        <v>0</v>
      </c>
      <c r="AC935" s="108">
        <f>IF($A935="",0,IF(AND($AB935=1,COUNTIF($A$2:$A935,$A935)=1),1,0))</f>
        <v>0</v>
      </c>
      <c r="AD935" s="108">
        <f t="shared" si="172"/>
        <v>1</v>
      </c>
      <c r="AE935" s="108" t="str">
        <f t="shared" si="173"/>
        <v/>
      </c>
      <c r="AF935" s="108">
        <f t="shared" si="174"/>
        <v>0</v>
      </c>
      <c r="AG935" s="108">
        <f t="shared" si="175"/>
        <v>0</v>
      </c>
      <c r="AH935" s="110" t="str">
        <f t="shared" si="176"/>
        <v/>
      </c>
      <c r="AI935" s="108">
        <f t="shared" si="177"/>
        <v>0</v>
      </c>
      <c r="AJ935" s="108">
        <f t="shared" si="178"/>
        <v>0</v>
      </c>
      <c r="AK935" s="108">
        <f>IF($A935="",0,IF(AND($S935=1,$W935=1,$X935=1,$U935&gt;Config!$C$9),1,0))</f>
        <v>0</v>
      </c>
      <c r="AL935" s="108">
        <f t="shared" si="179"/>
        <v>0</v>
      </c>
    </row>
    <row r="936" spans="19:38" x14ac:dyDescent="0.25">
      <c r="S936" s="108" t="str">
        <f>IF($A936="","",COUNTIF(BPOworkers!$B$6:$B$105,$A936))</f>
        <v/>
      </c>
      <c r="T936" s="109" t="str">
        <f>IF($A936="","",$K936*Config!$C$9)</f>
        <v/>
      </c>
      <c r="U936" s="109" t="str">
        <f>IF($A936="","",IF(COUNTIF(Config!$C$21:$C$23,$H936)&gt;0,IFERROR(VALUE(LEFT(TRIM($Q936),FIND(" ",TRIM($Q936)&amp;" ")-1)),0),0))</f>
        <v/>
      </c>
      <c r="V936" s="109" t="str">
        <f t="shared" si="168"/>
        <v/>
      </c>
      <c r="W936" s="108">
        <f>IF($A936="",0,IF(AND($C936&gt;=Config!$C$7,$C936&lt;=Config!$C$8),1,0))</f>
        <v>0</v>
      </c>
      <c r="X936" s="108">
        <f>IF($A936="",0,IF(COUNTIF(Config!$C$21:$C$23,$H936)&gt;0,1,0))</f>
        <v>0</v>
      </c>
      <c r="Y936" s="108">
        <f t="shared" si="169"/>
        <v>24</v>
      </c>
      <c r="Z936" s="108" t="str">
        <f t="shared" si="170"/>
        <v/>
      </c>
      <c r="AB936" s="108">
        <f t="shared" si="171"/>
        <v>0</v>
      </c>
      <c r="AC936" s="108">
        <f>IF($A936="",0,IF(AND($AB936=1,COUNTIF($A$2:$A936,$A936)=1),1,0))</f>
        <v>0</v>
      </c>
      <c r="AD936" s="108">
        <f t="shared" si="172"/>
        <v>1</v>
      </c>
      <c r="AE936" s="108" t="str">
        <f t="shared" si="173"/>
        <v/>
      </c>
      <c r="AF936" s="108">
        <f t="shared" si="174"/>
        <v>0</v>
      </c>
      <c r="AG936" s="108">
        <f t="shared" si="175"/>
        <v>0</v>
      </c>
      <c r="AH936" s="110" t="str">
        <f t="shared" si="176"/>
        <v/>
      </c>
      <c r="AI936" s="108">
        <f t="shared" si="177"/>
        <v>0</v>
      </c>
      <c r="AJ936" s="108">
        <f t="shared" si="178"/>
        <v>0</v>
      </c>
      <c r="AK936" s="108">
        <f>IF($A936="",0,IF(AND($S936=1,$W936=1,$X936=1,$U936&gt;Config!$C$9),1,0))</f>
        <v>0</v>
      </c>
      <c r="AL936" s="108">
        <f t="shared" si="179"/>
        <v>0</v>
      </c>
    </row>
    <row r="937" spans="19:38" x14ac:dyDescent="0.25">
      <c r="S937" s="108" t="str">
        <f>IF($A937="","",COUNTIF(BPOworkers!$B$6:$B$105,$A937))</f>
        <v/>
      </c>
      <c r="T937" s="109" t="str">
        <f>IF($A937="","",$K937*Config!$C$9)</f>
        <v/>
      </c>
      <c r="U937" s="109" t="str">
        <f>IF($A937="","",IF(COUNTIF(Config!$C$21:$C$23,$H937)&gt;0,IFERROR(VALUE(LEFT(TRIM($Q937),FIND(" ",TRIM($Q937)&amp;" ")-1)),0),0))</f>
        <v/>
      </c>
      <c r="V937" s="109" t="str">
        <f t="shared" si="168"/>
        <v/>
      </c>
      <c r="W937" s="108">
        <f>IF($A937="",0,IF(AND($C937&gt;=Config!$C$7,$C937&lt;=Config!$C$8),1,0))</f>
        <v>0</v>
      </c>
      <c r="X937" s="108">
        <f>IF($A937="",0,IF(COUNTIF(Config!$C$21:$C$23,$H937)&gt;0,1,0))</f>
        <v>0</v>
      </c>
      <c r="Y937" s="108">
        <f t="shared" si="169"/>
        <v>24</v>
      </c>
      <c r="Z937" s="108" t="str">
        <f t="shared" si="170"/>
        <v/>
      </c>
      <c r="AB937" s="108">
        <f t="shared" si="171"/>
        <v>0</v>
      </c>
      <c r="AC937" s="108">
        <f>IF($A937="",0,IF(AND($AB937=1,COUNTIF($A$2:$A937,$A937)=1),1,0))</f>
        <v>0</v>
      </c>
      <c r="AD937" s="108">
        <f t="shared" si="172"/>
        <v>1</v>
      </c>
      <c r="AE937" s="108" t="str">
        <f t="shared" si="173"/>
        <v/>
      </c>
      <c r="AF937" s="108">
        <f t="shared" si="174"/>
        <v>0</v>
      </c>
      <c r="AG937" s="108">
        <f t="shared" si="175"/>
        <v>0</v>
      </c>
      <c r="AH937" s="110" t="str">
        <f t="shared" si="176"/>
        <v/>
      </c>
      <c r="AI937" s="108">
        <f t="shared" si="177"/>
        <v>0</v>
      </c>
      <c r="AJ937" s="108">
        <f t="shared" si="178"/>
        <v>0</v>
      </c>
      <c r="AK937" s="108">
        <f>IF($A937="",0,IF(AND($S937=1,$W937=1,$X937=1,$U937&gt;Config!$C$9),1,0))</f>
        <v>0</v>
      </c>
      <c r="AL937" s="108">
        <f t="shared" si="179"/>
        <v>0</v>
      </c>
    </row>
    <row r="938" spans="19:38" x14ac:dyDescent="0.25">
      <c r="S938" s="108" t="str">
        <f>IF($A938="","",COUNTIF(BPOworkers!$B$6:$B$105,$A938))</f>
        <v/>
      </c>
      <c r="T938" s="109" t="str">
        <f>IF($A938="","",$K938*Config!$C$9)</f>
        <v/>
      </c>
      <c r="U938" s="109" t="str">
        <f>IF($A938="","",IF(COUNTIF(Config!$C$21:$C$23,$H938)&gt;0,IFERROR(VALUE(LEFT(TRIM($Q938),FIND(" ",TRIM($Q938)&amp;" ")-1)),0),0))</f>
        <v/>
      </c>
      <c r="V938" s="109" t="str">
        <f t="shared" si="168"/>
        <v/>
      </c>
      <c r="W938" s="108">
        <f>IF($A938="",0,IF(AND($C938&gt;=Config!$C$7,$C938&lt;=Config!$C$8),1,0))</f>
        <v>0</v>
      </c>
      <c r="X938" s="108">
        <f>IF($A938="",0,IF(COUNTIF(Config!$C$21:$C$23,$H938)&gt;0,1,0))</f>
        <v>0</v>
      </c>
      <c r="Y938" s="108">
        <f t="shared" si="169"/>
        <v>24</v>
      </c>
      <c r="Z938" s="108" t="str">
        <f t="shared" si="170"/>
        <v/>
      </c>
      <c r="AB938" s="108">
        <f t="shared" si="171"/>
        <v>0</v>
      </c>
      <c r="AC938" s="108">
        <f>IF($A938="",0,IF(AND($AB938=1,COUNTIF($A$2:$A938,$A938)=1),1,0))</f>
        <v>0</v>
      </c>
      <c r="AD938" s="108">
        <f t="shared" si="172"/>
        <v>1</v>
      </c>
      <c r="AE938" s="108" t="str">
        <f t="shared" si="173"/>
        <v/>
      </c>
      <c r="AF938" s="108">
        <f t="shared" si="174"/>
        <v>0</v>
      </c>
      <c r="AG938" s="108">
        <f t="shared" si="175"/>
        <v>0</v>
      </c>
      <c r="AH938" s="110" t="str">
        <f t="shared" si="176"/>
        <v/>
      </c>
      <c r="AI938" s="108">
        <f t="shared" si="177"/>
        <v>0</v>
      </c>
      <c r="AJ938" s="108">
        <f t="shared" si="178"/>
        <v>0</v>
      </c>
      <c r="AK938" s="108">
        <f>IF($A938="",0,IF(AND($S938=1,$W938=1,$X938=1,$U938&gt;Config!$C$9),1,0))</f>
        <v>0</v>
      </c>
      <c r="AL938" s="108">
        <f t="shared" si="179"/>
        <v>0</v>
      </c>
    </row>
    <row r="939" spans="19:38" x14ac:dyDescent="0.25">
      <c r="S939" s="108" t="str">
        <f>IF($A939="","",COUNTIF(BPOworkers!$B$6:$B$105,$A939))</f>
        <v/>
      </c>
      <c r="T939" s="109" t="str">
        <f>IF($A939="","",$K939*Config!$C$9)</f>
        <v/>
      </c>
      <c r="U939" s="109" t="str">
        <f>IF($A939="","",IF(COUNTIF(Config!$C$21:$C$23,$H939)&gt;0,IFERROR(VALUE(LEFT(TRIM($Q939),FIND(" ",TRIM($Q939)&amp;" ")-1)),0),0))</f>
        <v/>
      </c>
      <c r="V939" s="109" t="str">
        <f t="shared" si="168"/>
        <v/>
      </c>
      <c r="W939" s="108">
        <f>IF($A939="",0,IF(AND($C939&gt;=Config!$C$7,$C939&lt;=Config!$C$8),1,0))</f>
        <v>0</v>
      </c>
      <c r="X939" s="108">
        <f>IF($A939="",0,IF(COUNTIF(Config!$C$21:$C$23,$H939)&gt;0,1,0))</f>
        <v>0</v>
      </c>
      <c r="Y939" s="108">
        <f t="shared" si="169"/>
        <v>24</v>
      </c>
      <c r="Z939" s="108" t="str">
        <f t="shared" si="170"/>
        <v/>
      </c>
      <c r="AB939" s="108">
        <f t="shared" si="171"/>
        <v>0</v>
      </c>
      <c r="AC939" s="108">
        <f>IF($A939="",0,IF(AND($AB939=1,COUNTIF($A$2:$A939,$A939)=1),1,0))</f>
        <v>0</v>
      </c>
      <c r="AD939" s="108">
        <f t="shared" si="172"/>
        <v>1</v>
      </c>
      <c r="AE939" s="108" t="str">
        <f t="shared" si="173"/>
        <v/>
      </c>
      <c r="AF939" s="108">
        <f t="shared" si="174"/>
        <v>0</v>
      </c>
      <c r="AG939" s="108">
        <f t="shared" si="175"/>
        <v>0</v>
      </c>
      <c r="AH939" s="110" t="str">
        <f t="shared" si="176"/>
        <v/>
      </c>
      <c r="AI939" s="108">
        <f t="shared" si="177"/>
        <v>0</v>
      </c>
      <c r="AJ939" s="108">
        <f t="shared" si="178"/>
        <v>0</v>
      </c>
      <c r="AK939" s="108">
        <f>IF($A939="",0,IF(AND($S939=1,$W939=1,$X939=1,$U939&gt;Config!$C$9),1,0))</f>
        <v>0</v>
      </c>
      <c r="AL939" s="108">
        <f t="shared" si="179"/>
        <v>0</v>
      </c>
    </row>
    <row r="940" spans="19:38" x14ac:dyDescent="0.25">
      <c r="S940" s="108" t="str">
        <f>IF($A940="","",COUNTIF(BPOworkers!$B$6:$B$105,$A940))</f>
        <v/>
      </c>
      <c r="T940" s="109" t="str">
        <f>IF($A940="","",$K940*Config!$C$9)</f>
        <v/>
      </c>
      <c r="U940" s="109" t="str">
        <f>IF($A940="","",IF(COUNTIF(Config!$C$21:$C$23,$H940)&gt;0,IFERROR(VALUE(LEFT(TRIM($Q940),FIND(" ",TRIM($Q940)&amp;" ")-1)),0),0))</f>
        <v/>
      </c>
      <c r="V940" s="109" t="str">
        <f t="shared" si="168"/>
        <v/>
      </c>
      <c r="W940" s="108">
        <f>IF($A940="",0,IF(AND($C940&gt;=Config!$C$7,$C940&lt;=Config!$C$8),1,0))</f>
        <v>0</v>
      </c>
      <c r="X940" s="108">
        <f>IF($A940="",0,IF(COUNTIF(Config!$C$21:$C$23,$H940)&gt;0,1,0))</f>
        <v>0</v>
      </c>
      <c r="Y940" s="108">
        <f t="shared" si="169"/>
        <v>24</v>
      </c>
      <c r="Z940" s="108" t="str">
        <f t="shared" si="170"/>
        <v/>
      </c>
      <c r="AB940" s="108">
        <f t="shared" si="171"/>
        <v>0</v>
      </c>
      <c r="AC940" s="108">
        <f>IF($A940="",0,IF(AND($AB940=1,COUNTIF($A$2:$A940,$A940)=1),1,0))</f>
        <v>0</v>
      </c>
      <c r="AD940" s="108">
        <f t="shared" si="172"/>
        <v>1</v>
      </c>
      <c r="AE940" s="108" t="str">
        <f t="shared" si="173"/>
        <v/>
      </c>
      <c r="AF940" s="108">
        <f t="shared" si="174"/>
        <v>0</v>
      </c>
      <c r="AG940" s="108">
        <f t="shared" si="175"/>
        <v>0</v>
      </c>
      <c r="AH940" s="110" t="str">
        <f t="shared" si="176"/>
        <v/>
      </c>
      <c r="AI940" s="108">
        <f t="shared" si="177"/>
        <v>0</v>
      </c>
      <c r="AJ940" s="108">
        <f t="shared" si="178"/>
        <v>0</v>
      </c>
      <c r="AK940" s="108">
        <f>IF($A940="",0,IF(AND($S940=1,$W940=1,$X940=1,$U940&gt;Config!$C$9),1,0))</f>
        <v>0</v>
      </c>
      <c r="AL940" s="108">
        <f t="shared" si="179"/>
        <v>0</v>
      </c>
    </row>
    <row r="941" spans="19:38" x14ac:dyDescent="0.25">
      <c r="S941" s="108" t="str">
        <f>IF($A941="","",COUNTIF(BPOworkers!$B$6:$B$105,$A941))</f>
        <v/>
      </c>
      <c r="T941" s="109" t="str">
        <f>IF($A941="","",$K941*Config!$C$9)</f>
        <v/>
      </c>
      <c r="U941" s="109" t="str">
        <f>IF($A941="","",IF(COUNTIF(Config!$C$21:$C$23,$H941)&gt;0,IFERROR(VALUE(LEFT(TRIM($Q941),FIND(" ",TRIM($Q941)&amp;" ")-1)),0),0))</f>
        <v/>
      </c>
      <c r="V941" s="109" t="str">
        <f t="shared" si="168"/>
        <v/>
      </c>
      <c r="W941" s="108">
        <f>IF($A941="",0,IF(AND($C941&gt;=Config!$C$7,$C941&lt;=Config!$C$8),1,0))</f>
        <v>0</v>
      </c>
      <c r="X941" s="108">
        <f>IF($A941="",0,IF(COUNTIF(Config!$C$21:$C$23,$H941)&gt;0,1,0))</f>
        <v>0</v>
      </c>
      <c r="Y941" s="108">
        <f t="shared" si="169"/>
        <v>24</v>
      </c>
      <c r="Z941" s="108" t="str">
        <f t="shared" si="170"/>
        <v/>
      </c>
      <c r="AB941" s="108">
        <f t="shared" si="171"/>
        <v>0</v>
      </c>
      <c r="AC941" s="108">
        <f>IF($A941="",0,IF(AND($AB941=1,COUNTIF($A$2:$A941,$A941)=1),1,0))</f>
        <v>0</v>
      </c>
      <c r="AD941" s="108">
        <f t="shared" si="172"/>
        <v>1</v>
      </c>
      <c r="AE941" s="108" t="str">
        <f t="shared" si="173"/>
        <v/>
      </c>
      <c r="AF941" s="108">
        <f t="shared" si="174"/>
        <v>0</v>
      </c>
      <c r="AG941" s="108">
        <f t="shared" si="175"/>
        <v>0</v>
      </c>
      <c r="AH941" s="110" t="str">
        <f t="shared" si="176"/>
        <v/>
      </c>
      <c r="AI941" s="108">
        <f t="shared" si="177"/>
        <v>0</v>
      </c>
      <c r="AJ941" s="108">
        <f t="shared" si="178"/>
        <v>0</v>
      </c>
      <c r="AK941" s="108">
        <f>IF($A941="",0,IF(AND($S941=1,$W941=1,$X941=1,$U941&gt;Config!$C$9),1,0))</f>
        <v>0</v>
      </c>
      <c r="AL941" s="108">
        <f t="shared" si="179"/>
        <v>0</v>
      </c>
    </row>
    <row r="942" spans="19:38" x14ac:dyDescent="0.25">
      <c r="S942" s="108" t="str">
        <f>IF($A942="","",COUNTIF(BPOworkers!$B$6:$B$105,$A942))</f>
        <v/>
      </c>
      <c r="T942" s="109" t="str">
        <f>IF($A942="","",$K942*Config!$C$9)</f>
        <v/>
      </c>
      <c r="U942" s="109" t="str">
        <f>IF($A942="","",IF(COUNTIF(Config!$C$21:$C$23,$H942)&gt;0,IFERROR(VALUE(LEFT(TRIM($Q942),FIND(" ",TRIM($Q942)&amp;" ")-1)),0),0))</f>
        <v/>
      </c>
      <c r="V942" s="109" t="str">
        <f t="shared" si="168"/>
        <v/>
      </c>
      <c r="W942" s="108">
        <f>IF($A942="",0,IF(AND($C942&gt;=Config!$C$7,$C942&lt;=Config!$C$8),1,0))</f>
        <v>0</v>
      </c>
      <c r="X942" s="108">
        <f>IF($A942="",0,IF(COUNTIF(Config!$C$21:$C$23,$H942)&gt;0,1,0))</f>
        <v>0</v>
      </c>
      <c r="Y942" s="108">
        <f t="shared" si="169"/>
        <v>24</v>
      </c>
      <c r="Z942" s="108" t="str">
        <f t="shared" si="170"/>
        <v/>
      </c>
      <c r="AB942" s="108">
        <f t="shared" si="171"/>
        <v>0</v>
      </c>
      <c r="AC942" s="108">
        <f>IF($A942="",0,IF(AND($AB942=1,COUNTIF($A$2:$A942,$A942)=1),1,0))</f>
        <v>0</v>
      </c>
      <c r="AD942" s="108">
        <f t="shared" si="172"/>
        <v>1</v>
      </c>
      <c r="AE942" s="108" t="str">
        <f t="shared" si="173"/>
        <v/>
      </c>
      <c r="AF942" s="108">
        <f t="shared" si="174"/>
        <v>0</v>
      </c>
      <c r="AG942" s="108">
        <f t="shared" si="175"/>
        <v>0</v>
      </c>
      <c r="AH942" s="110" t="str">
        <f t="shared" si="176"/>
        <v/>
      </c>
      <c r="AI942" s="108">
        <f t="shared" si="177"/>
        <v>0</v>
      </c>
      <c r="AJ942" s="108">
        <f t="shared" si="178"/>
        <v>0</v>
      </c>
      <c r="AK942" s="108">
        <f>IF($A942="",0,IF(AND($S942=1,$W942=1,$X942=1,$U942&gt;Config!$C$9),1,0))</f>
        <v>0</v>
      </c>
      <c r="AL942" s="108">
        <f t="shared" si="179"/>
        <v>0</v>
      </c>
    </row>
    <row r="943" spans="19:38" x14ac:dyDescent="0.25">
      <c r="S943" s="108" t="str">
        <f>IF($A943="","",COUNTIF(BPOworkers!$B$6:$B$105,$A943))</f>
        <v/>
      </c>
      <c r="T943" s="109" t="str">
        <f>IF($A943="","",$K943*Config!$C$9)</f>
        <v/>
      </c>
      <c r="U943" s="109" t="str">
        <f>IF($A943="","",IF(COUNTIF(Config!$C$21:$C$23,$H943)&gt;0,IFERROR(VALUE(LEFT(TRIM($Q943),FIND(" ",TRIM($Q943)&amp;" ")-1)),0),0))</f>
        <v/>
      </c>
      <c r="V943" s="109" t="str">
        <f t="shared" si="168"/>
        <v/>
      </c>
      <c r="W943" s="108">
        <f>IF($A943="",0,IF(AND($C943&gt;=Config!$C$7,$C943&lt;=Config!$C$8),1,0))</f>
        <v>0</v>
      </c>
      <c r="X943" s="108">
        <f>IF($A943="",0,IF(COUNTIF(Config!$C$21:$C$23,$H943)&gt;0,1,0))</f>
        <v>0</v>
      </c>
      <c r="Y943" s="108">
        <f t="shared" si="169"/>
        <v>24</v>
      </c>
      <c r="Z943" s="108" t="str">
        <f t="shared" si="170"/>
        <v/>
      </c>
      <c r="AB943" s="108">
        <f t="shared" si="171"/>
        <v>0</v>
      </c>
      <c r="AC943" s="108">
        <f>IF($A943="",0,IF(AND($AB943=1,COUNTIF($A$2:$A943,$A943)=1),1,0))</f>
        <v>0</v>
      </c>
      <c r="AD943" s="108">
        <f t="shared" si="172"/>
        <v>1</v>
      </c>
      <c r="AE943" s="108" t="str">
        <f t="shared" si="173"/>
        <v/>
      </c>
      <c r="AF943" s="108">
        <f t="shared" si="174"/>
        <v>0</v>
      </c>
      <c r="AG943" s="108">
        <f t="shared" si="175"/>
        <v>0</v>
      </c>
      <c r="AH943" s="110" t="str">
        <f t="shared" si="176"/>
        <v/>
      </c>
      <c r="AI943" s="108">
        <f t="shared" si="177"/>
        <v>0</v>
      </c>
      <c r="AJ943" s="108">
        <f t="shared" si="178"/>
        <v>0</v>
      </c>
      <c r="AK943" s="108">
        <f>IF($A943="",0,IF(AND($S943=1,$W943=1,$X943=1,$U943&gt;Config!$C$9),1,0))</f>
        <v>0</v>
      </c>
      <c r="AL943" s="108">
        <f t="shared" si="179"/>
        <v>0</v>
      </c>
    </row>
    <row r="944" spans="19:38" x14ac:dyDescent="0.25">
      <c r="S944" s="108" t="str">
        <f>IF($A944="","",COUNTIF(BPOworkers!$B$6:$B$105,$A944))</f>
        <v/>
      </c>
      <c r="T944" s="109" t="str">
        <f>IF($A944="","",$K944*Config!$C$9)</f>
        <v/>
      </c>
      <c r="U944" s="109" t="str">
        <f>IF($A944="","",IF(COUNTIF(Config!$C$21:$C$23,$H944)&gt;0,IFERROR(VALUE(LEFT(TRIM($Q944),FIND(" ",TRIM($Q944)&amp;" ")-1)),0),0))</f>
        <v/>
      </c>
      <c r="V944" s="109" t="str">
        <f t="shared" si="168"/>
        <v/>
      </c>
      <c r="W944" s="108">
        <f>IF($A944="",0,IF(AND($C944&gt;=Config!$C$7,$C944&lt;=Config!$C$8),1,0))</f>
        <v>0</v>
      </c>
      <c r="X944" s="108">
        <f>IF($A944="",0,IF(COUNTIF(Config!$C$21:$C$23,$H944)&gt;0,1,0))</f>
        <v>0</v>
      </c>
      <c r="Y944" s="108">
        <f t="shared" si="169"/>
        <v>24</v>
      </c>
      <c r="Z944" s="108" t="str">
        <f t="shared" si="170"/>
        <v/>
      </c>
      <c r="AB944" s="108">
        <f t="shared" si="171"/>
        <v>0</v>
      </c>
      <c r="AC944" s="108">
        <f>IF($A944="",0,IF(AND($AB944=1,COUNTIF($A$2:$A944,$A944)=1),1,0))</f>
        <v>0</v>
      </c>
      <c r="AD944" s="108">
        <f t="shared" si="172"/>
        <v>1</v>
      </c>
      <c r="AE944" s="108" t="str">
        <f t="shared" si="173"/>
        <v/>
      </c>
      <c r="AF944" s="108">
        <f t="shared" si="174"/>
        <v>0</v>
      </c>
      <c r="AG944" s="108">
        <f t="shared" si="175"/>
        <v>0</v>
      </c>
      <c r="AH944" s="110" t="str">
        <f t="shared" si="176"/>
        <v/>
      </c>
      <c r="AI944" s="108">
        <f t="shared" si="177"/>
        <v>0</v>
      </c>
      <c r="AJ944" s="108">
        <f t="shared" si="178"/>
        <v>0</v>
      </c>
      <c r="AK944" s="108">
        <f>IF($A944="",0,IF(AND($S944=1,$W944=1,$X944=1,$U944&gt;Config!$C$9),1,0))</f>
        <v>0</v>
      </c>
      <c r="AL944" s="108">
        <f t="shared" si="179"/>
        <v>0</v>
      </c>
    </row>
    <row r="945" spans="19:38" x14ac:dyDescent="0.25">
      <c r="S945" s="108" t="str">
        <f>IF($A945="","",COUNTIF(BPOworkers!$B$6:$B$105,$A945))</f>
        <v/>
      </c>
      <c r="T945" s="109" t="str">
        <f>IF($A945="","",$K945*Config!$C$9)</f>
        <v/>
      </c>
      <c r="U945" s="109" t="str">
        <f>IF($A945="","",IF(COUNTIF(Config!$C$21:$C$23,$H945)&gt;0,IFERROR(VALUE(LEFT(TRIM($Q945),FIND(" ",TRIM($Q945)&amp;" ")-1)),0),0))</f>
        <v/>
      </c>
      <c r="V945" s="109" t="str">
        <f t="shared" si="168"/>
        <v/>
      </c>
      <c r="W945" s="108">
        <f>IF($A945="",0,IF(AND($C945&gt;=Config!$C$7,$C945&lt;=Config!$C$8),1,0))</f>
        <v>0</v>
      </c>
      <c r="X945" s="108">
        <f>IF($A945="",0,IF(COUNTIF(Config!$C$21:$C$23,$H945)&gt;0,1,0))</f>
        <v>0</v>
      </c>
      <c r="Y945" s="108">
        <f t="shared" si="169"/>
        <v>24</v>
      </c>
      <c r="Z945" s="108" t="str">
        <f t="shared" si="170"/>
        <v/>
      </c>
      <c r="AB945" s="108">
        <f t="shared" si="171"/>
        <v>0</v>
      </c>
      <c r="AC945" s="108">
        <f>IF($A945="",0,IF(AND($AB945=1,COUNTIF($A$2:$A945,$A945)=1),1,0))</f>
        <v>0</v>
      </c>
      <c r="AD945" s="108">
        <f t="shared" si="172"/>
        <v>1</v>
      </c>
      <c r="AE945" s="108" t="str">
        <f t="shared" si="173"/>
        <v/>
      </c>
      <c r="AF945" s="108">
        <f t="shared" si="174"/>
        <v>0</v>
      </c>
      <c r="AG945" s="108">
        <f t="shared" si="175"/>
        <v>0</v>
      </c>
      <c r="AH945" s="110" t="str">
        <f t="shared" si="176"/>
        <v/>
      </c>
      <c r="AI945" s="108">
        <f t="shared" si="177"/>
        <v>0</v>
      </c>
      <c r="AJ945" s="108">
        <f t="shared" si="178"/>
        <v>0</v>
      </c>
      <c r="AK945" s="108">
        <f>IF($A945="",0,IF(AND($S945=1,$W945=1,$X945=1,$U945&gt;Config!$C$9),1,0))</f>
        <v>0</v>
      </c>
      <c r="AL945" s="108">
        <f t="shared" si="179"/>
        <v>0</v>
      </c>
    </row>
    <row r="946" spans="19:38" x14ac:dyDescent="0.25">
      <c r="S946" s="108" t="str">
        <f>IF($A946="","",COUNTIF(BPOworkers!$B$6:$B$105,$A946))</f>
        <v/>
      </c>
      <c r="T946" s="109" t="str">
        <f>IF($A946="","",$K946*Config!$C$9)</f>
        <v/>
      </c>
      <c r="U946" s="109" t="str">
        <f>IF($A946="","",IF(COUNTIF(Config!$C$21:$C$23,$H946)&gt;0,IFERROR(VALUE(LEFT(TRIM($Q946),FIND(" ",TRIM($Q946)&amp;" ")-1)),0),0))</f>
        <v/>
      </c>
      <c r="V946" s="109" t="str">
        <f t="shared" si="168"/>
        <v/>
      </c>
      <c r="W946" s="108">
        <f>IF($A946="",0,IF(AND($C946&gt;=Config!$C$7,$C946&lt;=Config!$C$8),1,0))</f>
        <v>0</v>
      </c>
      <c r="X946" s="108">
        <f>IF($A946="",0,IF(COUNTIF(Config!$C$21:$C$23,$H946)&gt;0,1,0))</f>
        <v>0</v>
      </c>
      <c r="Y946" s="108">
        <f t="shared" si="169"/>
        <v>24</v>
      </c>
      <c r="Z946" s="108" t="str">
        <f t="shared" si="170"/>
        <v/>
      </c>
      <c r="AB946" s="108">
        <f t="shared" si="171"/>
        <v>0</v>
      </c>
      <c r="AC946" s="108">
        <f>IF($A946="",0,IF(AND($AB946=1,COUNTIF($A$2:$A946,$A946)=1),1,0))</f>
        <v>0</v>
      </c>
      <c r="AD946" s="108">
        <f t="shared" si="172"/>
        <v>1</v>
      </c>
      <c r="AE946" s="108" t="str">
        <f t="shared" si="173"/>
        <v/>
      </c>
      <c r="AF946" s="108">
        <f t="shared" si="174"/>
        <v>0</v>
      </c>
      <c r="AG946" s="108">
        <f t="shared" si="175"/>
        <v>0</v>
      </c>
      <c r="AH946" s="110" t="str">
        <f t="shared" si="176"/>
        <v/>
      </c>
      <c r="AI946" s="108">
        <f t="shared" si="177"/>
        <v>0</v>
      </c>
      <c r="AJ946" s="108">
        <f t="shared" si="178"/>
        <v>0</v>
      </c>
      <c r="AK946" s="108">
        <f>IF($A946="",0,IF(AND($S946=1,$W946=1,$X946=1,$U946&gt;Config!$C$9),1,0))</f>
        <v>0</v>
      </c>
      <c r="AL946" s="108">
        <f t="shared" si="179"/>
        <v>0</v>
      </c>
    </row>
    <row r="947" spans="19:38" x14ac:dyDescent="0.25">
      <c r="S947" s="108" t="str">
        <f>IF($A947="","",COUNTIF(BPOworkers!$B$6:$B$105,$A947))</f>
        <v/>
      </c>
      <c r="T947" s="109" t="str">
        <f>IF($A947="","",$K947*Config!$C$9)</f>
        <v/>
      </c>
      <c r="U947" s="109" t="str">
        <f>IF($A947="","",IF(COUNTIF(Config!$C$21:$C$23,$H947)&gt;0,IFERROR(VALUE(LEFT(TRIM($Q947),FIND(" ",TRIM($Q947)&amp;" ")-1)),0),0))</f>
        <v/>
      </c>
      <c r="V947" s="109" t="str">
        <f t="shared" si="168"/>
        <v/>
      </c>
      <c r="W947" s="108">
        <f>IF($A947="",0,IF(AND($C947&gt;=Config!$C$7,$C947&lt;=Config!$C$8),1,0))</f>
        <v>0</v>
      </c>
      <c r="X947" s="108">
        <f>IF($A947="",0,IF(COUNTIF(Config!$C$21:$C$23,$H947)&gt;0,1,0))</f>
        <v>0</v>
      </c>
      <c r="Y947" s="108">
        <f t="shared" si="169"/>
        <v>24</v>
      </c>
      <c r="Z947" s="108" t="str">
        <f t="shared" si="170"/>
        <v/>
      </c>
      <c r="AB947" s="108">
        <f t="shared" si="171"/>
        <v>0</v>
      </c>
      <c r="AC947" s="108">
        <f>IF($A947="",0,IF(AND($AB947=1,COUNTIF($A$2:$A947,$A947)=1),1,0))</f>
        <v>0</v>
      </c>
      <c r="AD947" s="108">
        <f t="shared" si="172"/>
        <v>1</v>
      </c>
      <c r="AE947" s="108" t="str">
        <f t="shared" si="173"/>
        <v/>
      </c>
      <c r="AF947" s="108">
        <f t="shared" si="174"/>
        <v>0</v>
      </c>
      <c r="AG947" s="108">
        <f t="shared" si="175"/>
        <v>0</v>
      </c>
      <c r="AH947" s="110" t="str">
        <f t="shared" si="176"/>
        <v/>
      </c>
      <c r="AI947" s="108">
        <f t="shared" si="177"/>
        <v>0</v>
      </c>
      <c r="AJ947" s="108">
        <f t="shared" si="178"/>
        <v>0</v>
      </c>
      <c r="AK947" s="108">
        <f>IF($A947="",0,IF(AND($S947=1,$W947=1,$X947=1,$U947&gt;Config!$C$9),1,0))</f>
        <v>0</v>
      </c>
      <c r="AL947" s="108">
        <f t="shared" si="179"/>
        <v>0</v>
      </c>
    </row>
    <row r="948" spans="19:38" x14ac:dyDescent="0.25">
      <c r="S948" s="108" t="str">
        <f>IF($A948="","",COUNTIF(BPOworkers!$B$6:$B$105,$A948))</f>
        <v/>
      </c>
      <c r="T948" s="109" t="str">
        <f>IF($A948="","",$K948*Config!$C$9)</f>
        <v/>
      </c>
      <c r="U948" s="109" t="str">
        <f>IF($A948="","",IF(COUNTIF(Config!$C$21:$C$23,$H948)&gt;0,IFERROR(VALUE(LEFT(TRIM($Q948),FIND(" ",TRIM($Q948)&amp;" ")-1)),0),0))</f>
        <v/>
      </c>
      <c r="V948" s="109" t="str">
        <f t="shared" si="168"/>
        <v/>
      </c>
      <c r="W948" s="108">
        <f>IF($A948="",0,IF(AND($C948&gt;=Config!$C$7,$C948&lt;=Config!$C$8),1,0))</f>
        <v>0</v>
      </c>
      <c r="X948" s="108">
        <f>IF($A948="",0,IF(COUNTIF(Config!$C$21:$C$23,$H948)&gt;0,1,0))</f>
        <v>0</v>
      </c>
      <c r="Y948" s="108">
        <f t="shared" si="169"/>
        <v>24</v>
      </c>
      <c r="Z948" s="108" t="str">
        <f t="shared" si="170"/>
        <v/>
      </c>
      <c r="AB948" s="108">
        <f t="shared" si="171"/>
        <v>0</v>
      </c>
      <c r="AC948" s="108">
        <f>IF($A948="",0,IF(AND($AB948=1,COUNTIF($A$2:$A948,$A948)=1),1,0))</f>
        <v>0</v>
      </c>
      <c r="AD948" s="108">
        <f t="shared" si="172"/>
        <v>1</v>
      </c>
      <c r="AE948" s="108" t="str">
        <f t="shared" si="173"/>
        <v/>
      </c>
      <c r="AF948" s="108">
        <f t="shared" si="174"/>
        <v>0</v>
      </c>
      <c r="AG948" s="108">
        <f t="shared" si="175"/>
        <v>0</v>
      </c>
      <c r="AH948" s="110" t="str">
        <f t="shared" si="176"/>
        <v/>
      </c>
      <c r="AI948" s="108">
        <f t="shared" si="177"/>
        <v>0</v>
      </c>
      <c r="AJ948" s="108">
        <f t="shared" si="178"/>
        <v>0</v>
      </c>
      <c r="AK948" s="108">
        <f>IF($A948="",0,IF(AND($S948=1,$W948=1,$X948=1,$U948&gt;Config!$C$9),1,0))</f>
        <v>0</v>
      </c>
      <c r="AL948" s="108">
        <f t="shared" si="179"/>
        <v>0</v>
      </c>
    </row>
    <row r="949" spans="19:38" x14ac:dyDescent="0.25">
      <c r="S949" s="108" t="str">
        <f>IF($A949="","",COUNTIF(BPOworkers!$B$6:$B$105,$A949))</f>
        <v/>
      </c>
      <c r="T949" s="109" t="str">
        <f>IF($A949="","",$K949*Config!$C$9)</f>
        <v/>
      </c>
      <c r="U949" s="109" t="str">
        <f>IF($A949="","",IF(COUNTIF(Config!$C$21:$C$23,$H949)&gt;0,IFERROR(VALUE(LEFT(TRIM($Q949),FIND(" ",TRIM($Q949)&amp;" ")-1)),0),0))</f>
        <v/>
      </c>
      <c r="V949" s="109" t="str">
        <f t="shared" si="168"/>
        <v/>
      </c>
      <c r="W949" s="108">
        <f>IF($A949="",0,IF(AND($C949&gt;=Config!$C$7,$C949&lt;=Config!$C$8),1,0))</f>
        <v>0</v>
      </c>
      <c r="X949" s="108">
        <f>IF($A949="",0,IF(COUNTIF(Config!$C$21:$C$23,$H949)&gt;0,1,0))</f>
        <v>0</v>
      </c>
      <c r="Y949" s="108">
        <f t="shared" si="169"/>
        <v>24</v>
      </c>
      <c r="Z949" s="108" t="str">
        <f t="shared" si="170"/>
        <v/>
      </c>
      <c r="AB949" s="108">
        <f t="shared" si="171"/>
        <v>0</v>
      </c>
      <c r="AC949" s="108">
        <f>IF($A949="",0,IF(AND($AB949=1,COUNTIF($A$2:$A949,$A949)=1),1,0))</f>
        <v>0</v>
      </c>
      <c r="AD949" s="108">
        <f t="shared" si="172"/>
        <v>1</v>
      </c>
      <c r="AE949" s="108" t="str">
        <f t="shared" si="173"/>
        <v/>
      </c>
      <c r="AF949" s="108">
        <f t="shared" si="174"/>
        <v>0</v>
      </c>
      <c r="AG949" s="108">
        <f t="shared" si="175"/>
        <v>0</v>
      </c>
      <c r="AH949" s="110" t="str">
        <f t="shared" si="176"/>
        <v/>
      </c>
      <c r="AI949" s="108">
        <f t="shared" si="177"/>
        <v>0</v>
      </c>
      <c r="AJ949" s="108">
        <f t="shared" si="178"/>
        <v>0</v>
      </c>
      <c r="AK949" s="108">
        <f>IF($A949="",0,IF(AND($S949=1,$W949=1,$X949=1,$U949&gt;Config!$C$9),1,0))</f>
        <v>0</v>
      </c>
      <c r="AL949" s="108">
        <f t="shared" si="179"/>
        <v>0</v>
      </c>
    </row>
    <row r="950" spans="19:38" x14ac:dyDescent="0.25">
      <c r="S950" s="108" t="str">
        <f>IF($A950="","",COUNTIF(BPOworkers!$B$6:$B$105,$A950))</f>
        <v/>
      </c>
      <c r="T950" s="109" t="str">
        <f>IF($A950="","",$K950*Config!$C$9)</f>
        <v/>
      </c>
      <c r="U950" s="109" t="str">
        <f>IF($A950="","",IF(COUNTIF(Config!$C$21:$C$23,$H950)&gt;0,IFERROR(VALUE(LEFT(TRIM($Q950),FIND(" ",TRIM($Q950)&amp;" ")-1)),0),0))</f>
        <v/>
      </c>
      <c r="V950" s="109" t="str">
        <f t="shared" si="168"/>
        <v/>
      </c>
      <c r="W950" s="108">
        <f>IF($A950="",0,IF(AND($C950&gt;=Config!$C$7,$C950&lt;=Config!$C$8),1,0))</f>
        <v>0</v>
      </c>
      <c r="X950" s="108">
        <f>IF($A950="",0,IF(COUNTIF(Config!$C$21:$C$23,$H950)&gt;0,1,0))</f>
        <v>0</v>
      </c>
      <c r="Y950" s="108">
        <f t="shared" si="169"/>
        <v>24</v>
      </c>
      <c r="Z950" s="108" t="str">
        <f t="shared" si="170"/>
        <v/>
      </c>
      <c r="AB950" s="108">
        <f t="shared" si="171"/>
        <v>0</v>
      </c>
      <c r="AC950" s="108">
        <f>IF($A950="",0,IF(AND($AB950=1,COUNTIF($A$2:$A950,$A950)=1),1,0))</f>
        <v>0</v>
      </c>
      <c r="AD950" s="108">
        <f t="shared" si="172"/>
        <v>1</v>
      </c>
      <c r="AE950" s="108" t="str">
        <f t="shared" si="173"/>
        <v/>
      </c>
      <c r="AF950" s="108">
        <f t="shared" si="174"/>
        <v>0</v>
      </c>
      <c r="AG950" s="108">
        <f t="shared" si="175"/>
        <v>0</v>
      </c>
      <c r="AH950" s="110" t="str">
        <f t="shared" si="176"/>
        <v/>
      </c>
      <c r="AI950" s="108">
        <f t="shared" si="177"/>
        <v>0</v>
      </c>
      <c r="AJ950" s="108">
        <f t="shared" si="178"/>
        <v>0</v>
      </c>
      <c r="AK950" s="108">
        <f>IF($A950="",0,IF(AND($S950=1,$W950=1,$X950=1,$U950&gt;Config!$C$9),1,0))</f>
        <v>0</v>
      </c>
      <c r="AL950" s="108">
        <f t="shared" si="179"/>
        <v>0</v>
      </c>
    </row>
    <row r="951" spans="19:38" x14ac:dyDescent="0.25">
      <c r="S951" s="108" t="str">
        <f>IF($A951="","",COUNTIF(BPOworkers!$B$6:$B$105,$A951))</f>
        <v/>
      </c>
      <c r="T951" s="109" t="str">
        <f>IF($A951="","",$K951*Config!$C$9)</f>
        <v/>
      </c>
      <c r="U951" s="109" t="str">
        <f>IF($A951="","",IF(COUNTIF(Config!$C$21:$C$23,$H951)&gt;0,IFERROR(VALUE(LEFT(TRIM($Q951),FIND(" ",TRIM($Q951)&amp;" ")-1)),0),0))</f>
        <v/>
      </c>
      <c r="V951" s="109" t="str">
        <f t="shared" si="168"/>
        <v/>
      </c>
      <c r="W951" s="108">
        <f>IF($A951="",0,IF(AND($C951&gt;=Config!$C$7,$C951&lt;=Config!$C$8),1,0))</f>
        <v>0</v>
      </c>
      <c r="X951" s="108">
        <f>IF($A951="",0,IF(COUNTIF(Config!$C$21:$C$23,$H951)&gt;0,1,0))</f>
        <v>0</v>
      </c>
      <c r="Y951" s="108">
        <f t="shared" si="169"/>
        <v>24</v>
      </c>
      <c r="Z951" s="108" t="str">
        <f t="shared" si="170"/>
        <v/>
      </c>
      <c r="AB951" s="108">
        <f t="shared" si="171"/>
        <v>0</v>
      </c>
      <c r="AC951" s="108">
        <f>IF($A951="",0,IF(AND($AB951=1,COUNTIF($A$2:$A951,$A951)=1),1,0))</f>
        <v>0</v>
      </c>
      <c r="AD951" s="108">
        <f t="shared" si="172"/>
        <v>1</v>
      </c>
      <c r="AE951" s="108" t="str">
        <f t="shared" si="173"/>
        <v/>
      </c>
      <c r="AF951" s="108">
        <f t="shared" si="174"/>
        <v>0</v>
      </c>
      <c r="AG951" s="108">
        <f t="shared" si="175"/>
        <v>0</v>
      </c>
      <c r="AH951" s="110" t="str">
        <f t="shared" si="176"/>
        <v/>
      </c>
      <c r="AI951" s="108">
        <f t="shared" si="177"/>
        <v>0</v>
      </c>
      <c r="AJ951" s="108">
        <f t="shared" si="178"/>
        <v>0</v>
      </c>
      <c r="AK951" s="108">
        <f>IF($A951="",0,IF(AND($S951=1,$W951=1,$X951=1,$U951&gt;Config!$C$9),1,0))</f>
        <v>0</v>
      </c>
      <c r="AL951" s="108">
        <f t="shared" si="179"/>
        <v>0</v>
      </c>
    </row>
    <row r="952" spans="19:38" x14ac:dyDescent="0.25">
      <c r="S952" s="108" t="str">
        <f>IF($A952="","",COUNTIF(BPOworkers!$B$6:$B$105,$A952))</f>
        <v/>
      </c>
      <c r="T952" s="109" t="str">
        <f>IF($A952="","",$K952*Config!$C$9)</f>
        <v/>
      </c>
      <c r="U952" s="109" t="str">
        <f>IF($A952="","",IF(COUNTIF(Config!$C$21:$C$23,$H952)&gt;0,IFERROR(VALUE(LEFT(TRIM($Q952),FIND(" ",TRIM($Q952)&amp;" ")-1)),0),0))</f>
        <v/>
      </c>
      <c r="V952" s="109" t="str">
        <f t="shared" si="168"/>
        <v/>
      </c>
      <c r="W952" s="108">
        <f>IF($A952="",0,IF(AND($C952&gt;=Config!$C$7,$C952&lt;=Config!$C$8),1,0))</f>
        <v>0</v>
      </c>
      <c r="X952" s="108">
        <f>IF($A952="",0,IF(COUNTIF(Config!$C$21:$C$23,$H952)&gt;0,1,0))</f>
        <v>0</v>
      </c>
      <c r="Y952" s="108">
        <f t="shared" si="169"/>
        <v>24</v>
      </c>
      <c r="Z952" s="108" t="str">
        <f t="shared" si="170"/>
        <v/>
      </c>
      <c r="AB952" s="108">
        <f t="shared" si="171"/>
        <v>0</v>
      </c>
      <c r="AC952" s="108">
        <f>IF($A952="",0,IF(AND($AB952=1,COUNTIF($A$2:$A952,$A952)=1),1,0))</f>
        <v>0</v>
      </c>
      <c r="AD952" s="108">
        <f t="shared" si="172"/>
        <v>1</v>
      </c>
      <c r="AE952" s="108" t="str">
        <f t="shared" si="173"/>
        <v/>
      </c>
      <c r="AF952" s="108">
        <f t="shared" si="174"/>
        <v>0</v>
      </c>
      <c r="AG952" s="108">
        <f t="shared" si="175"/>
        <v>0</v>
      </c>
      <c r="AH952" s="110" t="str">
        <f t="shared" si="176"/>
        <v/>
      </c>
      <c r="AI952" s="108">
        <f t="shared" si="177"/>
        <v>0</v>
      </c>
      <c r="AJ952" s="108">
        <f t="shared" si="178"/>
        <v>0</v>
      </c>
      <c r="AK952" s="108">
        <f>IF($A952="",0,IF(AND($S952=1,$W952=1,$X952=1,$U952&gt;Config!$C$9),1,0))</f>
        <v>0</v>
      </c>
      <c r="AL952" s="108">
        <f t="shared" si="179"/>
        <v>0</v>
      </c>
    </row>
    <row r="953" spans="19:38" x14ac:dyDescent="0.25">
      <c r="S953" s="108" t="str">
        <f>IF($A953="","",COUNTIF(BPOworkers!$B$6:$B$105,$A953))</f>
        <v/>
      </c>
      <c r="T953" s="109" t="str">
        <f>IF($A953="","",$K953*Config!$C$9)</f>
        <v/>
      </c>
      <c r="U953" s="109" t="str">
        <f>IF($A953="","",IF(COUNTIF(Config!$C$21:$C$23,$H953)&gt;0,IFERROR(VALUE(LEFT(TRIM($Q953),FIND(" ",TRIM($Q953)&amp;" ")-1)),0),0))</f>
        <v/>
      </c>
      <c r="V953" s="109" t="str">
        <f t="shared" si="168"/>
        <v/>
      </c>
      <c r="W953" s="108">
        <f>IF($A953="",0,IF(AND($C953&gt;=Config!$C$7,$C953&lt;=Config!$C$8),1,0))</f>
        <v>0</v>
      </c>
      <c r="X953" s="108">
        <f>IF($A953="",0,IF(COUNTIF(Config!$C$21:$C$23,$H953)&gt;0,1,0))</f>
        <v>0</v>
      </c>
      <c r="Y953" s="108">
        <f t="shared" si="169"/>
        <v>24</v>
      </c>
      <c r="Z953" s="108" t="str">
        <f t="shared" si="170"/>
        <v/>
      </c>
      <c r="AB953" s="108">
        <f t="shared" si="171"/>
        <v>0</v>
      </c>
      <c r="AC953" s="108">
        <f>IF($A953="",0,IF(AND($AB953=1,COUNTIF($A$2:$A953,$A953)=1),1,0))</f>
        <v>0</v>
      </c>
      <c r="AD953" s="108">
        <f t="shared" si="172"/>
        <v>1</v>
      </c>
      <c r="AE953" s="108" t="str">
        <f t="shared" si="173"/>
        <v/>
      </c>
      <c r="AF953" s="108">
        <f t="shared" si="174"/>
        <v>0</v>
      </c>
      <c r="AG953" s="108">
        <f t="shared" si="175"/>
        <v>0</v>
      </c>
      <c r="AH953" s="110" t="str">
        <f t="shared" si="176"/>
        <v/>
      </c>
      <c r="AI953" s="108">
        <f t="shared" si="177"/>
        <v>0</v>
      </c>
      <c r="AJ953" s="108">
        <f t="shared" si="178"/>
        <v>0</v>
      </c>
      <c r="AK953" s="108">
        <f>IF($A953="",0,IF(AND($S953=1,$W953=1,$X953=1,$U953&gt;Config!$C$9),1,0))</f>
        <v>0</v>
      </c>
      <c r="AL953" s="108">
        <f t="shared" si="179"/>
        <v>0</v>
      </c>
    </row>
    <row r="954" spans="19:38" x14ac:dyDescent="0.25">
      <c r="S954" s="108" t="str">
        <f>IF($A954="","",COUNTIF(BPOworkers!$B$6:$B$105,$A954))</f>
        <v/>
      </c>
      <c r="T954" s="109" t="str">
        <f>IF($A954="","",$K954*Config!$C$9)</f>
        <v/>
      </c>
      <c r="U954" s="109" t="str">
        <f>IF($A954="","",IF(COUNTIF(Config!$C$21:$C$23,$H954)&gt;0,IFERROR(VALUE(LEFT(TRIM($Q954),FIND(" ",TRIM($Q954)&amp;" ")-1)),0),0))</f>
        <v/>
      </c>
      <c r="V954" s="109" t="str">
        <f t="shared" si="168"/>
        <v/>
      </c>
      <c r="W954" s="108">
        <f>IF($A954="",0,IF(AND($C954&gt;=Config!$C$7,$C954&lt;=Config!$C$8),1,0))</f>
        <v>0</v>
      </c>
      <c r="X954" s="108">
        <f>IF($A954="",0,IF(COUNTIF(Config!$C$21:$C$23,$H954)&gt;0,1,0))</f>
        <v>0</v>
      </c>
      <c r="Y954" s="108">
        <f t="shared" si="169"/>
        <v>24</v>
      </c>
      <c r="Z954" s="108" t="str">
        <f t="shared" si="170"/>
        <v/>
      </c>
      <c r="AB954" s="108">
        <f t="shared" si="171"/>
        <v>0</v>
      </c>
      <c r="AC954" s="108">
        <f>IF($A954="",0,IF(AND($AB954=1,COUNTIF($A$2:$A954,$A954)=1),1,0))</f>
        <v>0</v>
      </c>
      <c r="AD954" s="108">
        <f t="shared" si="172"/>
        <v>1</v>
      </c>
      <c r="AE954" s="108" t="str">
        <f t="shared" si="173"/>
        <v/>
      </c>
      <c r="AF954" s="108">
        <f t="shared" si="174"/>
        <v>0</v>
      </c>
      <c r="AG954" s="108">
        <f t="shared" si="175"/>
        <v>0</v>
      </c>
      <c r="AH954" s="110" t="str">
        <f t="shared" si="176"/>
        <v/>
      </c>
      <c r="AI954" s="108">
        <f t="shared" si="177"/>
        <v>0</v>
      </c>
      <c r="AJ954" s="108">
        <f t="shared" si="178"/>
        <v>0</v>
      </c>
      <c r="AK954" s="108">
        <f>IF($A954="",0,IF(AND($S954=1,$W954=1,$X954=1,$U954&gt;Config!$C$9),1,0))</f>
        <v>0</v>
      </c>
      <c r="AL954" s="108">
        <f t="shared" si="179"/>
        <v>0</v>
      </c>
    </row>
    <row r="955" spans="19:38" x14ac:dyDescent="0.25">
      <c r="S955" s="108" t="str">
        <f>IF($A955="","",COUNTIF(BPOworkers!$B$6:$B$105,$A955))</f>
        <v/>
      </c>
      <c r="T955" s="109" t="str">
        <f>IF($A955="","",$K955*Config!$C$9)</f>
        <v/>
      </c>
      <c r="U955" s="109" t="str">
        <f>IF($A955="","",IF(COUNTIF(Config!$C$21:$C$23,$H955)&gt;0,IFERROR(VALUE(LEFT(TRIM($Q955),FIND(" ",TRIM($Q955)&amp;" ")-1)),0),0))</f>
        <v/>
      </c>
      <c r="V955" s="109" t="str">
        <f t="shared" si="168"/>
        <v/>
      </c>
      <c r="W955" s="108">
        <f>IF($A955="",0,IF(AND($C955&gt;=Config!$C$7,$C955&lt;=Config!$C$8),1,0))</f>
        <v>0</v>
      </c>
      <c r="X955" s="108">
        <f>IF($A955="",0,IF(COUNTIF(Config!$C$21:$C$23,$H955)&gt;0,1,0))</f>
        <v>0</v>
      </c>
      <c r="Y955" s="108">
        <f t="shared" si="169"/>
        <v>24</v>
      </c>
      <c r="Z955" s="108" t="str">
        <f t="shared" si="170"/>
        <v/>
      </c>
      <c r="AB955" s="108">
        <f t="shared" si="171"/>
        <v>0</v>
      </c>
      <c r="AC955" s="108">
        <f>IF($A955="",0,IF(AND($AB955=1,COUNTIF($A$2:$A955,$A955)=1),1,0))</f>
        <v>0</v>
      </c>
      <c r="AD955" s="108">
        <f t="shared" si="172"/>
        <v>1</v>
      </c>
      <c r="AE955" s="108" t="str">
        <f t="shared" si="173"/>
        <v/>
      </c>
      <c r="AF955" s="108">
        <f t="shared" si="174"/>
        <v>0</v>
      </c>
      <c r="AG955" s="108">
        <f t="shared" si="175"/>
        <v>0</v>
      </c>
      <c r="AH955" s="110" t="str">
        <f t="shared" si="176"/>
        <v/>
      </c>
      <c r="AI955" s="108">
        <f t="shared" si="177"/>
        <v>0</v>
      </c>
      <c r="AJ955" s="108">
        <f t="shared" si="178"/>
        <v>0</v>
      </c>
      <c r="AK955" s="108">
        <f>IF($A955="",0,IF(AND($S955=1,$W955=1,$X955=1,$U955&gt;Config!$C$9),1,0))</f>
        <v>0</v>
      </c>
      <c r="AL955" s="108">
        <f t="shared" si="179"/>
        <v>0</v>
      </c>
    </row>
    <row r="956" spans="19:38" x14ac:dyDescent="0.25">
      <c r="S956" s="108" t="str">
        <f>IF($A956="","",COUNTIF(BPOworkers!$B$6:$B$105,$A956))</f>
        <v/>
      </c>
      <c r="T956" s="109" t="str">
        <f>IF($A956="","",$K956*Config!$C$9)</f>
        <v/>
      </c>
      <c r="U956" s="109" t="str">
        <f>IF($A956="","",IF(COUNTIF(Config!$C$21:$C$23,$H956)&gt;0,IFERROR(VALUE(LEFT(TRIM($Q956),FIND(" ",TRIM($Q956)&amp;" ")-1)),0),0))</f>
        <v/>
      </c>
      <c r="V956" s="109" t="str">
        <f t="shared" si="168"/>
        <v/>
      </c>
      <c r="W956" s="108">
        <f>IF($A956="",0,IF(AND($C956&gt;=Config!$C$7,$C956&lt;=Config!$C$8),1,0))</f>
        <v>0</v>
      </c>
      <c r="X956" s="108">
        <f>IF($A956="",0,IF(COUNTIF(Config!$C$21:$C$23,$H956)&gt;0,1,0))</f>
        <v>0</v>
      </c>
      <c r="Y956" s="108">
        <f t="shared" si="169"/>
        <v>24</v>
      </c>
      <c r="Z956" s="108" t="str">
        <f t="shared" si="170"/>
        <v/>
      </c>
      <c r="AB956" s="108">
        <f t="shared" si="171"/>
        <v>0</v>
      </c>
      <c r="AC956" s="108">
        <f>IF($A956="",0,IF(AND($AB956=1,COUNTIF($A$2:$A956,$A956)=1),1,0))</f>
        <v>0</v>
      </c>
      <c r="AD956" s="108">
        <f t="shared" si="172"/>
        <v>1</v>
      </c>
      <c r="AE956" s="108" t="str">
        <f t="shared" si="173"/>
        <v/>
      </c>
      <c r="AF956" s="108">
        <f t="shared" si="174"/>
        <v>0</v>
      </c>
      <c r="AG956" s="108">
        <f t="shared" si="175"/>
        <v>0</v>
      </c>
      <c r="AH956" s="110" t="str">
        <f t="shared" si="176"/>
        <v/>
      </c>
      <c r="AI956" s="108">
        <f t="shared" si="177"/>
        <v>0</v>
      </c>
      <c r="AJ956" s="108">
        <f t="shared" si="178"/>
        <v>0</v>
      </c>
      <c r="AK956" s="108">
        <f>IF($A956="",0,IF(AND($S956=1,$W956=1,$X956=1,$U956&gt;Config!$C$9),1,0))</f>
        <v>0</v>
      </c>
      <c r="AL956" s="108">
        <f t="shared" si="179"/>
        <v>0</v>
      </c>
    </row>
    <row r="957" spans="19:38" x14ac:dyDescent="0.25">
      <c r="S957" s="108" t="str">
        <f>IF($A957="","",COUNTIF(BPOworkers!$B$6:$B$105,$A957))</f>
        <v/>
      </c>
      <c r="T957" s="109" t="str">
        <f>IF($A957="","",$K957*Config!$C$9)</f>
        <v/>
      </c>
      <c r="U957" s="109" t="str">
        <f>IF($A957="","",IF(COUNTIF(Config!$C$21:$C$23,$H957)&gt;0,IFERROR(VALUE(LEFT(TRIM($Q957),FIND(" ",TRIM($Q957)&amp;" ")-1)),0),0))</f>
        <v/>
      </c>
      <c r="V957" s="109" t="str">
        <f t="shared" si="168"/>
        <v/>
      </c>
      <c r="W957" s="108">
        <f>IF($A957="",0,IF(AND($C957&gt;=Config!$C$7,$C957&lt;=Config!$C$8),1,0))</f>
        <v>0</v>
      </c>
      <c r="X957" s="108">
        <f>IF($A957="",0,IF(COUNTIF(Config!$C$21:$C$23,$H957)&gt;0,1,0))</f>
        <v>0</v>
      </c>
      <c r="Y957" s="108">
        <f t="shared" si="169"/>
        <v>24</v>
      </c>
      <c r="Z957" s="108" t="str">
        <f t="shared" si="170"/>
        <v/>
      </c>
      <c r="AB957" s="108">
        <f t="shared" si="171"/>
        <v>0</v>
      </c>
      <c r="AC957" s="108">
        <f>IF($A957="",0,IF(AND($AB957=1,COUNTIF($A$2:$A957,$A957)=1),1,0))</f>
        <v>0</v>
      </c>
      <c r="AD957" s="108">
        <f t="shared" si="172"/>
        <v>1</v>
      </c>
      <c r="AE957" s="108" t="str">
        <f t="shared" si="173"/>
        <v/>
      </c>
      <c r="AF957" s="108">
        <f t="shared" si="174"/>
        <v>0</v>
      </c>
      <c r="AG957" s="108">
        <f t="shared" si="175"/>
        <v>0</v>
      </c>
      <c r="AH957" s="110" t="str">
        <f t="shared" si="176"/>
        <v/>
      </c>
      <c r="AI957" s="108">
        <f t="shared" si="177"/>
        <v>0</v>
      </c>
      <c r="AJ957" s="108">
        <f t="shared" si="178"/>
        <v>0</v>
      </c>
      <c r="AK957" s="108">
        <f>IF($A957="",0,IF(AND($S957=1,$W957=1,$X957=1,$U957&gt;Config!$C$9),1,0))</f>
        <v>0</v>
      </c>
      <c r="AL957" s="108">
        <f t="shared" si="179"/>
        <v>0</v>
      </c>
    </row>
    <row r="958" spans="19:38" x14ac:dyDescent="0.25">
      <c r="S958" s="108" t="str">
        <f>IF($A958="","",COUNTIF(BPOworkers!$B$6:$B$105,$A958))</f>
        <v/>
      </c>
      <c r="T958" s="109" t="str">
        <f>IF($A958="","",$K958*Config!$C$9)</f>
        <v/>
      </c>
      <c r="U958" s="109" t="str">
        <f>IF($A958="","",IF(COUNTIF(Config!$C$21:$C$23,$H958)&gt;0,IFERROR(VALUE(LEFT(TRIM($Q958),FIND(" ",TRIM($Q958)&amp;" ")-1)),0),0))</f>
        <v/>
      </c>
      <c r="V958" s="109" t="str">
        <f t="shared" si="168"/>
        <v/>
      </c>
      <c r="W958" s="108">
        <f>IF($A958="",0,IF(AND($C958&gt;=Config!$C$7,$C958&lt;=Config!$C$8),1,0))</f>
        <v>0</v>
      </c>
      <c r="X958" s="108">
        <f>IF($A958="",0,IF(COUNTIF(Config!$C$21:$C$23,$H958)&gt;0,1,0))</f>
        <v>0</v>
      </c>
      <c r="Y958" s="108">
        <f t="shared" si="169"/>
        <v>24</v>
      </c>
      <c r="Z958" s="108" t="str">
        <f t="shared" si="170"/>
        <v/>
      </c>
      <c r="AB958" s="108">
        <f t="shared" si="171"/>
        <v>0</v>
      </c>
      <c r="AC958" s="108">
        <f>IF($A958="",0,IF(AND($AB958=1,COUNTIF($A$2:$A958,$A958)=1),1,0))</f>
        <v>0</v>
      </c>
      <c r="AD958" s="108">
        <f t="shared" si="172"/>
        <v>1</v>
      </c>
      <c r="AE958" s="108" t="str">
        <f t="shared" si="173"/>
        <v/>
      </c>
      <c r="AF958" s="108">
        <f t="shared" si="174"/>
        <v>0</v>
      </c>
      <c r="AG958" s="108">
        <f t="shared" si="175"/>
        <v>0</v>
      </c>
      <c r="AH958" s="110" t="str">
        <f t="shared" si="176"/>
        <v/>
      </c>
      <c r="AI958" s="108">
        <f t="shared" si="177"/>
        <v>0</v>
      </c>
      <c r="AJ958" s="108">
        <f t="shared" si="178"/>
        <v>0</v>
      </c>
      <c r="AK958" s="108">
        <f>IF($A958="",0,IF(AND($S958=1,$W958=1,$X958=1,$U958&gt;Config!$C$9),1,0))</f>
        <v>0</v>
      </c>
      <c r="AL958" s="108">
        <f t="shared" si="179"/>
        <v>0</v>
      </c>
    </row>
    <row r="959" spans="19:38" x14ac:dyDescent="0.25">
      <c r="S959" s="108" t="str">
        <f>IF($A959="","",COUNTIF(BPOworkers!$B$6:$B$105,$A959))</f>
        <v/>
      </c>
      <c r="T959" s="109" t="str">
        <f>IF($A959="","",$K959*Config!$C$9)</f>
        <v/>
      </c>
      <c r="U959" s="109" t="str">
        <f>IF($A959="","",IF(COUNTIF(Config!$C$21:$C$23,$H959)&gt;0,IFERROR(VALUE(LEFT(TRIM($Q959),FIND(" ",TRIM($Q959)&amp;" ")-1)),0),0))</f>
        <v/>
      </c>
      <c r="V959" s="109" t="str">
        <f t="shared" si="168"/>
        <v/>
      </c>
      <c r="W959" s="108">
        <f>IF($A959="",0,IF(AND($C959&gt;=Config!$C$7,$C959&lt;=Config!$C$8),1,0))</f>
        <v>0</v>
      </c>
      <c r="X959" s="108">
        <f>IF($A959="",0,IF(COUNTIF(Config!$C$21:$C$23,$H959)&gt;0,1,0))</f>
        <v>0</v>
      </c>
      <c r="Y959" s="108">
        <f t="shared" si="169"/>
        <v>24</v>
      </c>
      <c r="Z959" s="108" t="str">
        <f t="shared" si="170"/>
        <v/>
      </c>
      <c r="AB959" s="108">
        <f t="shared" si="171"/>
        <v>0</v>
      </c>
      <c r="AC959" s="108">
        <f>IF($A959="",0,IF(AND($AB959=1,COUNTIF($A$2:$A959,$A959)=1),1,0))</f>
        <v>0</v>
      </c>
      <c r="AD959" s="108">
        <f t="shared" si="172"/>
        <v>1</v>
      </c>
      <c r="AE959" s="108" t="str">
        <f t="shared" si="173"/>
        <v/>
      </c>
      <c r="AF959" s="108">
        <f t="shared" si="174"/>
        <v>0</v>
      </c>
      <c r="AG959" s="108">
        <f t="shared" si="175"/>
        <v>0</v>
      </c>
      <c r="AH959" s="110" t="str">
        <f t="shared" si="176"/>
        <v/>
      </c>
      <c r="AI959" s="108">
        <f t="shared" si="177"/>
        <v>0</v>
      </c>
      <c r="AJ959" s="108">
        <f t="shared" si="178"/>
        <v>0</v>
      </c>
      <c r="AK959" s="108">
        <f>IF($A959="",0,IF(AND($S959=1,$W959=1,$X959=1,$U959&gt;Config!$C$9),1,0))</f>
        <v>0</v>
      </c>
      <c r="AL959" s="108">
        <f t="shared" si="179"/>
        <v>0</v>
      </c>
    </row>
    <row r="960" spans="19:38" x14ac:dyDescent="0.25">
      <c r="S960" s="108" t="str">
        <f>IF($A960="","",COUNTIF(BPOworkers!$B$6:$B$105,$A960))</f>
        <v/>
      </c>
      <c r="T960" s="109" t="str">
        <f>IF($A960="","",$K960*Config!$C$9)</f>
        <v/>
      </c>
      <c r="U960" s="109" t="str">
        <f>IF($A960="","",IF(COUNTIF(Config!$C$21:$C$23,$H960)&gt;0,IFERROR(VALUE(LEFT(TRIM($Q960),FIND(" ",TRIM($Q960)&amp;" ")-1)),0),0))</f>
        <v/>
      </c>
      <c r="V960" s="109" t="str">
        <f t="shared" si="168"/>
        <v/>
      </c>
      <c r="W960" s="108">
        <f>IF($A960="",0,IF(AND($C960&gt;=Config!$C$7,$C960&lt;=Config!$C$8),1,0))</f>
        <v>0</v>
      </c>
      <c r="X960" s="108">
        <f>IF($A960="",0,IF(COUNTIF(Config!$C$21:$C$23,$H960)&gt;0,1,0))</f>
        <v>0</v>
      </c>
      <c r="Y960" s="108">
        <f t="shared" si="169"/>
        <v>24</v>
      </c>
      <c r="Z960" s="108" t="str">
        <f t="shared" si="170"/>
        <v/>
      </c>
      <c r="AB960" s="108">
        <f t="shared" si="171"/>
        <v>0</v>
      </c>
      <c r="AC960" s="108">
        <f>IF($A960="",0,IF(AND($AB960=1,COUNTIF($A$2:$A960,$A960)=1),1,0))</f>
        <v>0</v>
      </c>
      <c r="AD960" s="108">
        <f t="shared" si="172"/>
        <v>1</v>
      </c>
      <c r="AE960" s="108" t="str">
        <f t="shared" si="173"/>
        <v/>
      </c>
      <c r="AF960" s="108">
        <f t="shared" si="174"/>
        <v>0</v>
      </c>
      <c r="AG960" s="108">
        <f t="shared" si="175"/>
        <v>0</v>
      </c>
      <c r="AH960" s="110" t="str">
        <f t="shared" si="176"/>
        <v/>
      </c>
      <c r="AI960" s="108">
        <f t="shared" si="177"/>
        <v>0</v>
      </c>
      <c r="AJ960" s="108">
        <f t="shared" si="178"/>
        <v>0</v>
      </c>
      <c r="AK960" s="108">
        <f>IF($A960="",0,IF(AND($S960=1,$W960=1,$X960=1,$U960&gt;Config!$C$9),1,0))</f>
        <v>0</v>
      </c>
      <c r="AL960" s="108">
        <f t="shared" si="179"/>
        <v>0</v>
      </c>
    </row>
    <row r="961" spans="19:38" x14ac:dyDescent="0.25">
      <c r="S961" s="108" t="str">
        <f>IF($A961="","",COUNTIF(BPOworkers!$B$6:$B$105,$A961))</f>
        <v/>
      </c>
      <c r="T961" s="109" t="str">
        <f>IF($A961="","",$K961*Config!$C$9)</f>
        <v/>
      </c>
      <c r="U961" s="109" t="str">
        <f>IF($A961="","",IF(COUNTIF(Config!$C$21:$C$23,$H961)&gt;0,IFERROR(VALUE(LEFT(TRIM($Q961),FIND(" ",TRIM($Q961)&amp;" ")-1)),0),0))</f>
        <v/>
      </c>
      <c r="V961" s="109" t="str">
        <f t="shared" si="168"/>
        <v/>
      </c>
      <c r="W961" s="108">
        <f>IF($A961="",0,IF(AND($C961&gt;=Config!$C$7,$C961&lt;=Config!$C$8),1,0))</f>
        <v>0</v>
      </c>
      <c r="X961" s="108">
        <f>IF($A961="",0,IF(COUNTIF(Config!$C$21:$C$23,$H961)&gt;0,1,0))</f>
        <v>0</v>
      </c>
      <c r="Y961" s="108">
        <f t="shared" si="169"/>
        <v>24</v>
      </c>
      <c r="Z961" s="108" t="str">
        <f t="shared" si="170"/>
        <v/>
      </c>
      <c r="AB961" s="108">
        <f t="shared" si="171"/>
        <v>0</v>
      </c>
      <c r="AC961" s="108">
        <f>IF($A961="",0,IF(AND($AB961=1,COUNTIF($A$2:$A961,$A961)=1),1,0))</f>
        <v>0</v>
      </c>
      <c r="AD961" s="108">
        <f t="shared" si="172"/>
        <v>1</v>
      </c>
      <c r="AE961" s="108" t="str">
        <f t="shared" si="173"/>
        <v/>
      </c>
      <c r="AF961" s="108">
        <f t="shared" si="174"/>
        <v>0</v>
      </c>
      <c r="AG961" s="108">
        <f t="shared" si="175"/>
        <v>0</v>
      </c>
      <c r="AH961" s="110" t="str">
        <f t="shared" si="176"/>
        <v/>
      </c>
      <c r="AI961" s="108">
        <f t="shared" si="177"/>
        <v>0</v>
      </c>
      <c r="AJ961" s="108">
        <f t="shared" si="178"/>
        <v>0</v>
      </c>
      <c r="AK961" s="108">
        <f>IF($A961="",0,IF(AND($S961=1,$W961=1,$X961=1,$U961&gt;Config!$C$9),1,0))</f>
        <v>0</v>
      </c>
      <c r="AL961" s="108">
        <f t="shared" si="179"/>
        <v>0</v>
      </c>
    </row>
    <row r="962" spans="19:38" x14ac:dyDescent="0.25">
      <c r="S962" s="108" t="str">
        <f>IF($A962="","",COUNTIF(BPOworkers!$B$6:$B$105,$A962))</f>
        <v/>
      </c>
      <c r="T962" s="109" t="str">
        <f>IF($A962="","",$K962*Config!$C$9)</f>
        <v/>
      </c>
      <c r="U962" s="109" t="str">
        <f>IF($A962="","",IF(COUNTIF(Config!$C$21:$C$23,$H962)&gt;0,IFERROR(VALUE(LEFT(TRIM($Q962),FIND(" ",TRIM($Q962)&amp;" ")-1)),0),0))</f>
        <v/>
      </c>
      <c r="V962" s="109" t="str">
        <f t="shared" ref="V962:V1025" si="180">IF($A962="","",$T962+$U962)</f>
        <v/>
      </c>
      <c r="W962" s="108">
        <f>IF($A962="",0,IF(AND($C962&gt;=Config!$C$7,$C962&lt;=Config!$C$8),1,0))</f>
        <v>0</v>
      </c>
      <c r="X962" s="108">
        <f>IF($A962="",0,IF(COUNTIF(Config!$C$21:$C$23,$H962)&gt;0,1,0))</f>
        <v>0</v>
      </c>
      <c r="Y962" s="108">
        <f t="shared" ref="Y962:Y1025" si="181">IF($A962="",MAX(0,Y961),MAX(0,Y961)+IF(AND($W962=1,$X962=1,$S962=1),1,0))</f>
        <v>24</v>
      </c>
      <c r="Z962" s="108" t="str">
        <f t="shared" ref="Z962:Z1025" si="182">IF($A962="","",IF(AND($W962=1,$X962=1,$S962=1),$Y962,""))</f>
        <v/>
      </c>
      <c r="AB962" s="108">
        <f t="shared" ref="AB962:AB1025" si="183">IF($A962="",0,IF(AND($S962=0,ISERROR(FIND(".",$A962))),1,0))</f>
        <v>0</v>
      </c>
      <c r="AC962" s="108">
        <f>IF($A962="",0,IF(AND($AB962=1,COUNTIF($A$2:$A962,$A962)=1),1,0))</f>
        <v>0</v>
      </c>
      <c r="AD962" s="108">
        <f t="shared" ref="AD962:AD1025" si="184">IF($A962="",MAX(0,AD961),MAX(0,AD961)+$AC962)</f>
        <v>1</v>
      </c>
      <c r="AE962" s="108" t="str">
        <f t="shared" ref="AE962:AE1025" si="185">IF($AC962=1,$AD962,"")</f>
        <v/>
      </c>
      <c r="AF962" s="108">
        <f t="shared" ref="AF962:AF1025" si="186">IF($A962="",0,IFERROR(IF(AND($S962=1,WEEKDAY($C962,2)&gt;5),1,0),0))</f>
        <v>0</v>
      </c>
      <c r="AG962" s="108">
        <f t="shared" ref="AG962:AG1025" si="187">IF($A962="",0,IF(AND($S962=1,$W962=0),1,0))</f>
        <v>0</v>
      </c>
      <c r="AH962" s="110" t="str">
        <f t="shared" ref="AH962:AH1025" si="188">IF($A962="","",$A962&amp;"|"&amp;TEXT($C962,"yyyymmdd")&amp;"|"&amp;$H962&amp;"|"&amp;TEXT($K962,"0.000")&amp;"|"&amp;SUBSTITUTE(SUBSTITUTE(SUBSTITUTE(LEFT($Q962,120),"~",""),"*",""),"?",""))</f>
        <v/>
      </c>
      <c r="AI962" s="108">
        <f t="shared" ref="AI962:AI1025" si="189">IF($A962="",0,IF(AND($S962=1,$W962=1,COUNTIF($AH$2:$AH$1500,$AH962)&gt;1),1,0))</f>
        <v>0</v>
      </c>
      <c r="AJ962" s="108">
        <f t="shared" ref="AJ962:AJ1025" si="190">IF($A962="",0,IF(AND($S962=1,$W962=1,ABS($K962*8-ROUND($K962*8,0))&gt;0.0001),1,0))</f>
        <v>0</v>
      </c>
      <c r="AK962" s="108">
        <f>IF($A962="",0,IF(AND($S962=1,$W962=1,$X962=1,$U962&gt;Config!$C$9),1,0))</f>
        <v>0</v>
      </c>
      <c r="AL962" s="108">
        <f t="shared" ref="AL962:AL1025" si="191">IF($A962="",0,IF(AND($S962=1,$W962=1,$X962=1,$U962=0),1,0))</f>
        <v>0</v>
      </c>
    </row>
    <row r="963" spans="19:38" x14ac:dyDescent="0.25">
      <c r="S963" s="108" t="str">
        <f>IF($A963="","",COUNTIF(BPOworkers!$B$6:$B$105,$A963))</f>
        <v/>
      </c>
      <c r="T963" s="109" t="str">
        <f>IF($A963="","",$K963*Config!$C$9)</f>
        <v/>
      </c>
      <c r="U963" s="109" t="str">
        <f>IF($A963="","",IF(COUNTIF(Config!$C$21:$C$23,$H963)&gt;0,IFERROR(VALUE(LEFT(TRIM($Q963),FIND(" ",TRIM($Q963)&amp;" ")-1)),0),0))</f>
        <v/>
      </c>
      <c r="V963" s="109" t="str">
        <f t="shared" si="180"/>
        <v/>
      </c>
      <c r="W963" s="108">
        <f>IF($A963="",0,IF(AND($C963&gt;=Config!$C$7,$C963&lt;=Config!$C$8),1,0))</f>
        <v>0</v>
      </c>
      <c r="X963" s="108">
        <f>IF($A963="",0,IF(COUNTIF(Config!$C$21:$C$23,$H963)&gt;0,1,0))</f>
        <v>0</v>
      </c>
      <c r="Y963" s="108">
        <f t="shared" si="181"/>
        <v>24</v>
      </c>
      <c r="Z963" s="108" t="str">
        <f t="shared" si="182"/>
        <v/>
      </c>
      <c r="AB963" s="108">
        <f t="shared" si="183"/>
        <v>0</v>
      </c>
      <c r="AC963" s="108">
        <f>IF($A963="",0,IF(AND($AB963=1,COUNTIF($A$2:$A963,$A963)=1),1,0))</f>
        <v>0</v>
      </c>
      <c r="AD963" s="108">
        <f t="shared" si="184"/>
        <v>1</v>
      </c>
      <c r="AE963" s="108" t="str">
        <f t="shared" si="185"/>
        <v/>
      </c>
      <c r="AF963" s="108">
        <f t="shared" si="186"/>
        <v>0</v>
      </c>
      <c r="AG963" s="108">
        <f t="shared" si="187"/>
        <v>0</v>
      </c>
      <c r="AH963" s="110" t="str">
        <f t="shared" si="188"/>
        <v/>
      </c>
      <c r="AI963" s="108">
        <f t="shared" si="189"/>
        <v>0</v>
      </c>
      <c r="AJ963" s="108">
        <f t="shared" si="190"/>
        <v>0</v>
      </c>
      <c r="AK963" s="108">
        <f>IF($A963="",0,IF(AND($S963=1,$W963=1,$X963=1,$U963&gt;Config!$C$9),1,0))</f>
        <v>0</v>
      </c>
      <c r="AL963" s="108">
        <f t="shared" si="191"/>
        <v>0</v>
      </c>
    </row>
    <row r="964" spans="19:38" x14ac:dyDescent="0.25">
      <c r="S964" s="108" t="str">
        <f>IF($A964="","",COUNTIF(BPOworkers!$B$6:$B$105,$A964))</f>
        <v/>
      </c>
      <c r="T964" s="109" t="str">
        <f>IF($A964="","",$K964*Config!$C$9)</f>
        <v/>
      </c>
      <c r="U964" s="109" t="str">
        <f>IF($A964="","",IF(COUNTIF(Config!$C$21:$C$23,$H964)&gt;0,IFERROR(VALUE(LEFT(TRIM($Q964),FIND(" ",TRIM($Q964)&amp;" ")-1)),0),0))</f>
        <v/>
      </c>
      <c r="V964" s="109" t="str">
        <f t="shared" si="180"/>
        <v/>
      </c>
      <c r="W964" s="108">
        <f>IF($A964="",0,IF(AND($C964&gt;=Config!$C$7,$C964&lt;=Config!$C$8),1,0))</f>
        <v>0</v>
      </c>
      <c r="X964" s="108">
        <f>IF($A964="",0,IF(COUNTIF(Config!$C$21:$C$23,$H964)&gt;0,1,0))</f>
        <v>0</v>
      </c>
      <c r="Y964" s="108">
        <f t="shared" si="181"/>
        <v>24</v>
      </c>
      <c r="Z964" s="108" t="str">
        <f t="shared" si="182"/>
        <v/>
      </c>
      <c r="AB964" s="108">
        <f t="shared" si="183"/>
        <v>0</v>
      </c>
      <c r="AC964" s="108">
        <f>IF($A964="",0,IF(AND($AB964=1,COUNTIF($A$2:$A964,$A964)=1),1,0))</f>
        <v>0</v>
      </c>
      <c r="AD964" s="108">
        <f t="shared" si="184"/>
        <v>1</v>
      </c>
      <c r="AE964" s="108" t="str">
        <f t="shared" si="185"/>
        <v/>
      </c>
      <c r="AF964" s="108">
        <f t="shared" si="186"/>
        <v>0</v>
      </c>
      <c r="AG964" s="108">
        <f t="shared" si="187"/>
        <v>0</v>
      </c>
      <c r="AH964" s="110" t="str">
        <f t="shared" si="188"/>
        <v/>
      </c>
      <c r="AI964" s="108">
        <f t="shared" si="189"/>
        <v>0</v>
      </c>
      <c r="AJ964" s="108">
        <f t="shared" si="190"/>
        <v>0</v>
      </c>
      <c r="AK964" s="108">
        <f>IF($A964="",0,IF(AND($S964=1,$W964=1,$X964=1,$U964&gt;Config!$C$9),1,0))</f>
        <v>0</v>
      </c>
      <c r="AL964" s="108">
        <f t="shared" si="191"/>
        <v>0</v>
      </c>
    </row>
    <row r="965" spans="19:38" x14ac:dyDescent="0.25">
      <c r="S965" s="108" t="str">
        <f>IF($A965="","",COUNTIF(BPOworkers!$B$6:$B$105,$A965))</f>
        <v/>
      </c>
      <c r="T965" s="109" t="str">
        <f>IF($A965="","",$K965*Config!$C$9)</f>
        <v/>
      </c>
      <c r="U965" s="109" t="str">
        <f>IF($A965="","",IF(COUNTIF(Config!$C$21:$C$23,$H965)&gt;0,IFERROR(VALUE(LEFT(TRIM($Q965),FIND(" ",TRIM($Q965)&amp;" ")-1)),0),0))</f>
        <v/>
      </c>
      <c r="V965" s="109" t="str">
        <f t="shared" si="180"/>
        <v/>
      </c>
      <c r="W965" s="108">
        <f>IF($A965="",0,IF(AND($C965&gt;=Config!$C$7,$C965&lt;=Config!$C$8),1,0))</f>
        <v>0</v>
      </c>
      <c r="X965" s="108">
        <f>IF($A965="",0,IF(COUNTIF(Config!$C$21:$C$23,$H965)&gt;0,1,0))</f>
        <v>0</v>
      </c>
      <c r="Y965" s="108">
        <f t="shared" si="181"/>
        <v>24</v>
      </c>
      <c r="Z965" s="108" t="str">
        <f t="shared" si="182"/>
        <v/>
      </c>
      <c r="AB965" s="108">
        <f t="shared" si="183"/>
        <v>0</v>
      </c>
      <c r="AC965" s="108">
        <f>IF($A965="",0,IF(AND($AB965=1,COUNTIF($A$2:$A965,$A965)=1),1,0))</f>
        <v>0</v>
      </c>
      <c r="AD965" s="108">
        <f t="shared" si="184"/>
        <v>1</v>
      </c>
      <c r="AE965" s="108" t="str">
        <f t="shared" si="185"/>
        <v/>
      </c>
      <c r="AF965" s="108">
        <f t="shared" si="186"/>
        <v>0</v>
      </c>
      <c r="AG965" s="108">
        <f t="shared" si="187"/>
        <v>0</v>
      </c>
      <c r="AH965" s="110" t="str">
        <f t="shared" si="188"/>
        <v/>
      </c>
      <c r="AI965" s="108">
        <f t="shared" si="189"/>
        <v>0</v>
      </c>
      <c r="AJ965" s="108">
        <f t="shared" si="190"/>
        <v>0</v>
      </c>
      <c r="AK965" s="108">
        <f>IF($A965="",0,IF(AND($S965=1,$W965=1,$X965=1,$U965&gt;Config!$C$9),1,0))</f>
        <v>0</v>
      </c>
      <c r="AL965" s="108">
        <f t="shared" si="191"/>
        <v>0</v>
      </c>
    </row>
    <row r="966" spans="19:38" x14ac:dyDescent="0.25">
      <c r="S966" s="108" t="str">
        <f>IF($A966="","",COUNTIF(BPOworkers!$B$6:$B$105,$A966))</f>
        <v/>
      </c>
      <c r="T966" s="109" t="str">
        <f>IF($A966="","",$K966*Config!$C$9)</f>
        <v/>
      </c>
      <c r="U966" s="109" t="str">
        <f>IF($A966="","",IF(COUNTIF(Config!$C$21:$C$23,$H966)&gt;0,IFERROR(VALUE(LEFT(TRIM($Q966),FIND(" ",TRIM($Q966)&amp;" ")-1)),0),0))</f>
        <v/>
      </c>
      <c r="V966" s="109" t="str">
        <f t="shared" si="180"/>
        <v/>
      </c>
      <c r="W966" s="108">
        <f>IF($A966="",0,IF(AND($C966&gt;=Config!$C$7,$C966&lt;=Config!$C$8),1,0))</f>
        <v>0</v>
      </c>
      <c r="X966" s="108">
        <f>IF($A966="",0,IF(COUNTIF(Config!$C$21:$C$23,$H966)&gt;0,1,0))</f>
        <v>0</v>
      </c>
      <c r="Y966" s="108">
        <f t="shared" si="181"/>
        <v>24</v>
      </c>
      <c r="Z966" s="108" t="str">
        <f t="shared" si="182"/>
        <v/>
      </c>
      <c r="AB966" s="108">
        <f t="shared" si="183"/>
        <v>0</v>
      </c>
      <c r="AC966" s="108">
        <f>IF($A966="",0,IF(AND($AB966=1,COUNTIF($A$2:$A966,$A966)=1),1,0))</f>
        <v>0</v>
      </c>
      <c r="AD966" s="108">
        <f t="shared" si="184"/>
        <v>1</v>
      </c>
      <c r="AE966" s="108" t="str">
        <f t="shared" si="185"/>
        <v/>
      </c>
      <c r="AF966" s="108">
        <f t="shared" si="186"/>
        <v>0</v>
      </c>
      <c r="AG966" s="108">
        <f t="shared" si="187"/>
        <v>0</v>
      </c>
      <c r="AH966" s="110" t="str">
        <f t="shared" si="188"/>
        <v/>
      </c>
      <c r="AI966" s="108">
        <f t="shared" si="189"/>
        <v>0</v>
      </c>
      <c r="AJ966" s="108">
        <f t="shared" si="190"/>
        <v>0</v>
      </c>
      <c r="AK966" s="108">
        <f>IF($A966="",0,IF(AND($S966=1,$W966=1,$X966=1,$U966&gt;Config!$C$9),1,0))</f>
        <v>0</v>
      </c>
      <c r="AL966" s="108">
        <f t="shared" si="191"/>
        <v>0</v>
      </c>
    </row>
    <row r="967" spans="19:38" x14ac:dyDescent="0.25">
      <c r="S967" s="108" t="str">
        <f>IF($A967="","",COUNTIF(BPOworkers!$B$6:$B$105,$A967))</f>
        <v/>
      </c>
      <c r="T967" s="109" t="str">
        <f>IF($A967="","",$K967*Config!$C$9)</f>
        <v/>
      </c>
      <c r="U967" s="109" t="str">
        <f>IF($A967="","",IF(COUNTIF(Config!$C$21:$C$23,$H967)&gt;0,IFERROR(VALUE(LEFT(TRIM($Q967),FIND(" ",TRIM($Q967)&amp;" ")-1)),0),0))</f>
        <v/>
      </c>
      <c r="V967" s="109" t="str">
        <f t="shared" si="180"/>
        <v/>
      </c>
      <c r="W967" s="108">
        <f>IF($A967="",0,IF(AND($C967&gt;=Config!$C$7,$C967&lt;=Config!$C$8),1,0))</f>
        <v>0</v>
      </c>
      <c r="X967" s="108">
        <f>IF($A967="",0,IF(COUNTIF(Config!$C$21:$C$23,$H967)&gt;0,1,0))</f>
        <v>0</v>
      </c>
      <c r="Y967" s="108">
        <f t="shared" si="181"/>
        <v>24</v>
      </c>
      <c r="Z967" s="108" t="str">
        <f t="shared" si="182"/>
        <v/>
      </c>
      <c r="AB967" s="108">
        <f t="shared" si="183"/>
        <v>0</v>
      </c>
      <c r="AC967" s="108">
        <f>IF($A967="",0,IF(AND($AB967=1,COUNTIF($A$2:$A967,$A967)=1),1,0))</f>
        <v>0</v>
      </c>
      <c r="AD967" s="108">
        <f t="shared" si="184"/>
        <v>1</v>
      </c>
      <c r="AE967" s="108" t="str">
        <f t="shared" si="185"/>
        <v/>
      </c>
      <c r="AF967" s="108">
        <f t="shared" si="186"/>
        <v>0</v>
      </c>
      <c r="AG967" s="108">
        <f t="shared" si="187"/>
        <v>0</v>
      </c>
      <c r="AH967" s="110" t="str">
        <f t="shared" si="188"/>
        <v/>
      </c>
      <c r="AI967" s="108">
        <f t="shared" si="189"/>
        <v>0</v>
      </c>
      <c r="AJ967" s="108">
        <f t="shared" si="190"/>
        <v>0</v>
      </c>
      <c r="AK967" s="108">
        <f>IF($A967="",0,IF(AND($S967=1,$W967=1,$X967=1,$U967&gt;Config!$C$9),1,0))</f>
        <v>0</v>
      </c>
      <c r="AL967" s="108">
        <f t="shared" si="191"/>
        <v>0</v>
      </c>
    </row>
    <row r="968" spans="19:38" x14ac:dyDescent="0.25">
      <c r="S968" s="108" t="str">
        <f>IF($A968="","",COUNTIF(BPOworkers!$B$6:$B$105,$A968))</f>
        <v/>
      </c>
      <c r="T968" s="109" t="str">
        <f>IF($A968="","",$K968*Config!$C$9)</f>
        <v/>
      </c>
      <c r="U968" s="109" t="str">
        <f>IF($A968="","",IF(COUNTIF(Config!$C$21:$C$23,$H968)&gt;0,IFERROR(VALUE(LEFT(TRIM($Q968),FIND(" ",TRIM($Q968)&amp;" ")-1)),0),0))</f>
        <v/>
      </c>
      <c r="V968" s="109" t="str">
        <f t="shared" si="180"/>
        <v/>
      </c>
      <c r="W968" s="108">
        <f>IF($A968="",0,IF(AND($C968&gt;=Config!$C$7,$C968&lt;=Config!$C$8),1,0))</f>
        <v>0</v>
      </c>
      <c r="X968" s="108">
        <f>IF($A968="",0,IF(COUNTIF(Config!$C$21:$C$23,$H968)&gt;0,1,0))</f>
        <v>0</v>
      </c>
      <c r="Y968" s="108">
        <f t="shared" si="181"/>
        <v>24</v>
      </c>
      <c r="Z968" s="108" t="str">
        <f t="shared" si="182"/>
        <v/>
      </c>
      <c r="AB968" s="108">
        <f t="shared" si="183"/>
        <v>0</v>
      </c>
      <c r="AC968" s="108">
        <f>IF($A968="",0,IF(AND($AB968=1,COUNTIF($A$2:$A968,$A968)=1),1,0))</f>
        <v>0</v>
      </c>
      <c r="AD968" s="108">
        <f t="shared" si="184"/>
        <v>1</v>
      </c>
      <c r="AE968" s="108" t="str">
        <f t="shared" si="185"/>
        <v/>
      </c>
      <c r="AF968" s="108">
        <f t="shared" si="186"/>
        <v>0</v>
      </c>
      <c r="AG968" s="108">
        <f t="shared" si="187"/>
        <v>0</v>
      </c>
      <c r="AH968" s="110" t="str">
        <f t="shared" si="188"/>
        <v/>
      </c>
      <c r="AI968" s="108">
        <f t="shared" si="189"/>
        <v>0</v>
      </c>
      <c r="AJ968" s="108">
        <f t="shared" si="190"/>
        <v>0</v>
      </c>
      <c r="AK968" s="108">
        <f>IF($A968="",0,IF(AND($S968=1,$W968=1,$X968=1,$U968&gt;Config!$C$9),1,0))</f>
        <v>0</v>
      </c>
      <c r="AL968" s="108">
        <f t="shared" si="191"/>
        <v>0</v>
      </c>
    </row>
    <row r="969" spans="19:38" x14ac:dyDescent="0.25">
      <c r="S969" s="108" t="str">
        <f>IF($A969="","",COUNTIF(BPOworkers!$B$6:$B$105,$A969))</f>
        <v/>
      </c>
      <c r="T969" s="109" t="str">
        <f>IF($A969="","",$K969*Config!$C$9)</f>
        <v/>
      </c>
      <c r="U969" s="109" t="str">
        <f>IF($A969="","",IF(COUNTIF(Config!$C$21:$C$23,$H969)&gt;0,IFERROR(VALUE(LEFT(TRIM($Q969),FIND(" ",TRIM($Q969)&amp;" ")-1)),0),0))</f>
        <v/>
      </c>
      <c r="V969" s="109" t="str">
        <f t="shared" si="180"/>
        <v/>
      </c>
      <c r="W969" s="108">
        <f>IF($A969="",0,IF(AND($C969&gt;=Config!$C$7,$C969&lt;=Config!$C$8),1,0))</f>
        <v>0</v>
      </c>
      <c r="X969" s="108">
        <f>IF($A969="",0,IF(COUNTIF(Config!$C$21:$C$23,$H969)&gt;0,1,0))</f>
        <v>0</v>
      </c>
      <c r="Y969" s="108">
        <f t="shared" si="181"/>
        <v>24</v>
      </c>
      <c r="Z969" s="108" t="str">
        <f t="shared" si="182"/>
        <v/>
      </c>
      <c r="AB969" s="108">
        <f t="shared" si="183"/>
        <v>0</v>
      </c>
      <c r="AC969" s="108">
        <f>IF($A969="",0,IF(AND($AB969=1,COUNTIF($A$2:$A969,$A969)=1),1,0))</f>
        <v>0</v>
      </c>
      <c r="AD969" s="108">
        <f t="shared" si="184"/>
        <v>1</v>
      </c>
      <c r="AE969" s="108" t="str">
        <f t="shared" si="185"/>
        <v/>
      </c>
      <c r="AF969" s="108">
        <f t="shared" si="186"/>
        <v>0</v>
      </c>
      <c r="AG969" s="108">
        <f t="shared" si="187"/>
        <v>0</v>
      </c>
      <c r="AH969" s="110" t="str">
        <f t="shared" si="188"/>
        <v/>
      </c>
      <c r="AI969" s="108">
        <f t="shared" si="189"/>
        <v>0</v>
      </c>
      <c r="AJ969" s="108">
        <f t="shared" si="190"/>
        <v>0</v>
      </c>
      <c r="AK969" s="108">
        <f>IF($A969="",0,IF(AND($S969=1,$W969=1,$X969=1,$U969&gt;Config!$C$9),1,0))</f>
        <v>0</v>
      </c>
      <c r="AL969" s="108">
        <f t="shared" si="191"/>
        <v>0</v>
      </c>
    </row>
    <row r="970" spans="19:38" x14ac:dyDescent="0.25">
      <c r="S970" s="108" t="str">
        <f>IF($A970="","",COUNTIF(BPOworkers!$B$6:$B$105,$A970))</f>
        <v/>
      </c>
      <c r="T970" s="109" t="str">
        <f>IF($A970="","",$K970*Config!$C$9)</f>
        <v/>
      </c>
      <c r="U970" s="109" t="str">
        <f>IF($A970="","",IF(COUNTIF(Config!$C$21:$C$23,$H970)&gt;0,IFERROR(VALUE(LEFT(TRIM($Q970),FIND(" ",TRIM($Q970)&amp;" ")-1)),0),0))</f>
        <v/>
      </c>
      <c r="V970" s="109" t="str">
        <f t="shared" si="180"/>
        <v/>
      </c>
      <c r="W970" s="108">
        <f>IF($A970="",0,IF(AND($C970&gt;=Config!$C$7,$C970&lt;=Config!$C$8),1,0))</f>
        <v>0</v>
      </c>
      <c r="X970" s="108">
        <f>IF($A970="",0,IF(COUNTIF(Config!$C$21:$C$23,$H970)&gt;0,1,0))</f>
        <v>0</v>
      </c>
      <c r="Y970" s="108">
        <f t="shared" si="181"/>
        <v>24</v>
      </c>
      <c r="Z970" s="108" t="str">
        <f t="shared" si="182"/>
        <v/>
      </c>
      <c r="AB970" s="108">
        <f t="shared" si="183"/>
        <v>0</v>
      </c>
      <c r="AC970" s="108">
        <f>IF($A970="",0,IF(AND($AB970=1,COUNTIF($A$2:$A970,$A970)=1),1,0))</f>
        <v>0</v>
      </c>
      <c r="AD970" s="108">
        <f t="shared" si="184"/>
        <v>1</v>
      </c>
      <c r="AE970" s="108" t="str">
        <f t="shared" si="185"/>
        <v/>
      </c>
      <c r="AF970" s="108">
        <f t="shared" si="186"/>
        <v>0</v>
      </c>
      <c r="AG970" s="108">
        <f t="shared" si="187"/>
        <v>0</v>
      </c>
      <c r="AH970" s="110" t="str">
        <f t="shared" si="188"/>
        <v/>
      </c>
      <c r="AI970" s="108">
        <f t="shared" si="189"/>
        <v>0</v>
      </c>
      <c r="AJ970" s="108">
        <f t="shared" si="190"/>
        <v>0</v>
      </c>
      <c r="AK970" s="108">
        <f>IF($A970="",0,IF(AND($S970=1,$W970=1,$X970=1,$U970&gt;Config!$C$9),1,0))</f>
        <v>0</v>
      </c>
      <c r="AL970" s="108">
        <f t="shared" si="191"/>
        <v>0</v>
      </c>
    </row>
    <row r="971" spans="19:38" x14ac:dyDescent="0.25">
      <c r="S971" s="108" t="str">
        <f>IF($A971="","",COUNTIF(BPOworkers!$B$6:$B$105,$A971))</f>
        <v/>
      </c>
      <c r="T971" s="109" t="str">
        <f>IF($A971="","",$K971*Config!$C$9)</f>
        <v/>
      </c>
      <c r="U971" s="109" t="str">
        <f>IF($A971="","",IF(COUNTIF(Config!$C$21:$C$23,$H971)&gt;0,IFERROR(VALUE(LEFT(TRIM($Q971),FIND(" ",TRIM($Q971)&amp;" ")-1)),0),0))</f>
        <v/>
      </c>
      <c r="V971" s="109" t="str">
        <f t="shared" si="180"/>
        <v/>
      </c>
      <c r="W971" s="108">
        <f>IF($A971="",0,IF(AND($C971&gt;=Config!$C$7,$C971&lt;=Config!$C$8),1,0))</f>
        <v>0</v>
      </c>
      <c r="X971" s="108">
        <f>IF($A971="",0,IF(COUNTIF(Config!$C$21:$C$23,$H971)&gt;0,1,0))</f>
        <v>0</v>
      </c>
      <c r="Y971" s="108">
        <f t="shared" si="181"/>
        <v>24</v>
      </c>
      <c r="Z971" s="108" t="str">
        <f t="shared" si="182"/>
        <v/>
      </c>
      <c r="AB971" s="108">
        <f t="shared" si="183"/>
        <v>0</v>
      </c>
      <c r="AC971" s="108">
        <f>IF($A971="",0,IF(AND($AB971=1,COUNTIF($A$2:$A971,$A971)=1),1,0))</f>
        <v>0</v>
      </c>
      <c r="AD971" s="108">
        <f t="shared" si="184"/>
        <v>1</v>
      </c>
      <c r="AE971" s="108" t="str">
        <f t="shared" si="185"/>
        <v/>
      </c>
      <c r="AF971" s="108">
        <f t="shared" si="186"/>
        <v>0</v>
      </c>
      <c r="AG971" s="108">
        <f t="shared" si="187"/>
        <v>0</v>
      </c>
      <c r="AH971" s="110" t="str">
        <f t="shared" si="188"/>
        <v/>
      </c>
      <c r="AI971" s="108">
        <f t="shared" si="189"/>
        <v>0</v>
      </c>
      <c r="AJ971" s="108">
        <f t="shared" si="190"/>
        <v>0</v>
      </c>
      <c r="AK971" s="108">
        <f>IF($A971="",0,IF(AND($S971=1,$W971=1,$X971=1,$U971&gt;Config!$C$9),1,0))</f>
        <v>0</v>
      </c>
      <c r="AL971" s="108">
        <f t="shared" si="191"/>
        <v>0</v>
      </c>
    </row>
    <row r="972" spans="19:38" x14ac:dyDescent="0.25">
      <c r="S972" s="108" t="str">
        <f>IF($A972="","",COUNTIF(BPOworkers!$B$6:$B$105,$A972))</f>
        <v/>
      </c>
      <c r="T972" s="109" t="str">
        <f>IF($A972="","",$K972*Config!$C$9)</f>
        <v/>
      </c>
      <c r="U972" s="109" t="str">
        <f>IF($A972="","",IF(COUNTIF(Config!$C$21:$C$23,$H972)&gt;0,IFERROR(VALUE(LEFT(TRIM($Q972),FIND(" ",TRIM($Q972)&amp;" ")-1)),0),0))</f>
        <v/>
      </c>
      <c r="V972" s="109" t="str">
        <f t="shared" si="180"/>
        <v/>
      </c>
      <c r="W972" s="108">
        <f>IF($A972="",0,IF(AND($C972&gt;=Config!$C$7,$C972&lt;=Config!$C$8),1,0))</f>
        <v>0</v>
      </c>
      <c r="X972" s="108">
        <f>IF($A972="",0,IF(COUNTIF(Config!$C$21:$C$23,$H972)&gt;0,1,0))</f>
        <v>0</v>
      </c>
      <c r="Y972" s="108">
        <f t="shared" si="181"/>
        <v>24</v>
      </c>
      <c r="Z972" s="108" t="str">
        <f t="shared" si="182"/>
        <v/>
      </c>
      <c r="AB972" s="108">
        <f t="shared" si="183"/>
        <v>0</v>
      </c>
      <c r="AC972" s="108">
        <f>IF($A972="",0,IF(AND($AB972=1,COUNTIF($A$2:$A972,$A972)=1),1,0))</f>
        <v>0</v>
      </c>
      <c r="AD972" s="108">
        <f t="shared" si="184"/>
        <v>1</v>
      </c>
      <c r="AE972" s="108" t="str">
        <f t="shared" si="185"/>
        <v/>
      </c>
      <c r="AF972" s="108">
        <f t="shared" si="186"/>
        <v>0</v>
      </c>
      <c r="AG972" s="108">
        <f t="shared" si="187"/>
        <v>0</v>
      </c>
      <c r="AH972" s="110" t="str">
        <f t="shared" si="188"/>
        <v/>
      </c>
      <c r="AI972" s="108">
        <f t="shared" si="189"/>
        <v>0</v>
      </c>
      <c r="AJ972" s="108">
        <f t="shared" si="190"/>
        <v>0</v>
      </c>
      <c r="AK972" s="108">
        <f>IF($A972="",0,IF(AND($S972=1,$W972=1,$X972=1,$U972&gt;Config!$C$9),1,0))</f>
        <v>0</v>
      </c>
      <c r="AL972" s="108">
        <f t="shared" si="191"/>
        <v>0</v>
      </c>
    </row>
    <row r="973" spans="19:38" x14ac:dyDescent="0.25">
      <c r="S973" s="108" t="str">
        <f>IF($A973="","",COUNTIF(BPOworkers!$B$6:$B$105,$A973))</f>
        <v/>
      </c>
      <c r="T973" s="109" t="str">
        <f>IF($A973="","",$K973*Config!$C$9)</f>
        <v/>
      </c>
      <c r="U973" s="109" t="str">
        <f>IF($A973="","",IF(COUNTIF(Config!$C$21:$C$23,$H973)&gt;0,IFERROR(VALUE(LEFT(TRIM($Q973),FIND(" ",TRIM($Q973)&amp;" ")-1)),0),0))</f>
        <v/>
      </c>
      <c r="V973" s="109" t="str">
        <f t="shared" si="180"/>
        <v/>
      </c>
      <c r="W973" s="108">
        <f>IF($A973="",0,IF(AND($C973&gt;=Config!$C$7,$C973&lt;=Config!$C$8),1,0))</f>
        <v>0</v>
      </c>
      <c r="X973" s="108">
        <f>IF($A973="",0,IF(COUNTIF(Config!$C$21:$C$23,$H973)&gt;0,1,0))</f>
        <v>0</v>
      </c>
      <c r="Y973" s="108">
        <f t="shared" si="181"/>
        <v>24</v>
      </c>
      <c r="Z973" s="108" t="str">
        <f t="shared" si="182"/>
        <v/>
      </c>
      <c r="AB973" s="108">
        <f t="shared" si="183"/>
        <v>0</v>
      </c>
      <c r="AC973" s="108">
        <f>IF($A973="",0,IF(AND($AB973=1,COUNTIF($A$2:$A973,$A973)=1),1,0))</f>
        <v>0</v>
      </c>
      <c r="AD973" s="108">
        <f t="shared" si="184"/>
        <v>1</v>
      </c>
      <c r="AE973" s="108" t="str">
        <f t="shared" si="185"/>
        <v/>
      </c>
      <c r="AF973" s="108">
        <f t="shared" si="186"/>
        <v>0</v>
      </c>
      <c r="AG973" s="108">
        <f t="shared" si="187"/>
        <v>0</v>
      </c>
      <c r="AH973" s="110" t="str">
        <f t="shared" si="188"/>
        <v/>
      </c>
      <c r="AI973" s="108">
        <f t="shared" si="189"/>
        <v>0</v>
      </c>
      <c r="AJ973" s="108">
        <f t="shared" si="190"/>
        <v>0</v>
      </c>
      <c r="AK973" s="108">
        <f>IF($A973="",0,IF(AND($S973=1,$W973=1,$X973=1,$U973&gt;Config!$C$9),1,0))</f>
        <v>0</v>
      </c>
      <c r="AL973" s="108">
        <f t="shared" si="191"/>
        <v>0</v>
      </c>
    </row>
    <row r="974" spans="19:38" x14ac:dyDescent="0.25">
      <c r="S974" s="108" t="str">
        <f>IF($A974="","",COUNTIF(BPOworkers!$B$6:$B$105,$A974))</f>
        <v/>
      </c>
      <c r="T974" s="109" t="str">
        <f>IF($A974="","",$K974*Config!$C$9)</f>
        <v/>
      </c>
      <c r="U974" s="109" t="str">
        <f>IF($A974="","",IF(COUNTIF(Config!$C$21:$C$23,$H974)&gt;0,IFERROR(VALUE(LEFT(TRIM($Q974),FIND(" ",TRIM($Q974)&amp;" ")-1)),0),0))</f>
        <v/>
      </c>
      <c r="V974" s="109" t="str">
        <f t="shared" si="180"/>
        <v/>
      </c>
      <c r="W974" s="108">
        <f>IF($A974="",0,IF(AND($C974&gt;=Config!$C$7,$C974&lt;=Config!$C$8),1,0))</f>
        <v>0</v>
      </c>
      <c r="X974" s="108">
        <f>IF($A974="",0,IF(COUNTIF(Config!$C$21:$C$23,$H974)&gt;0,1,0))</f>
        <v>0</v>
      </c>
      <c r="Y974" s="108">
        <f t="shared" si="181"/>
        <v>24</v>
      </c>
      <c r="Z974" s="108" t="str">
        <f t="shared" si="182"/>
        <v/>
      </c>
      <c r="AB974" s="108">
        <f t="shared" si="183"/>
        <v>0</v>
      </c>
      <c r="AC974" s="108">
        <f>IF($A974="",0,IF(AND($AB974=1,COUNTIF($A$2:$A974,$A974)=1),1,0))</f>
        <v>0</v>
      </c>
      <c r="AD974" s="108">
        <f t="shared" si="184"/>
        <v>1</v>
      </c>
      <c r="AE974" s="108" t="str">
        <f t="shared" si="185"/>
        <v/>
      </c>
      <c r="AF974" s="108">
        <f t="shared" si="186"/>
        <v>0</v>
      </c>
      <c r="AG974" s="108">
        <f t="shared" si="187"/>
        <v>0</v>
      </c>
      <c r="AH974" s="110" t="str">
        <f t="shared" si="188"/>
        <v/>
      </c>
      <c r="AI974" s="108">
        <f t="shared" si="189"/>
        <v>0</v>
      </c>
      <c r="AJ974" s="108">
        <f t="shared" si="190"/>
        <v>0</v>
      </c>
      <c r="AK974" s="108">
        <f>IF($A974="",0,IF(AND($S974=1,$W974=1,$X974=1,$U974&gt;Config!$C$9),1,0))</f>
        <v>0</v>
      </c>
      <c r="AL974" s="108">
        <f t="shared" si="191"/>
        <v>0</v>
      </c>
    </row>
    <row r="975" spans="19:38" x14ac:dyDescent="0.25">
      <c r="S975" s="108" t="str">
        <f>IF($A975="","",COUNTIF(BPOworkers!$B$6:$B$105,$A975))</f>
        <v/>
      </c>
      <c r="T975" s="109" t="str">
        <f>IF($A975="","",$K975*Config!$C$9)</f>
        <v/>
      </c>
      <c r="U975" s="109" t="str">
        <f>IF($A975="","",IF(COUNTIF(Config!$C$21:$C$23,$H975)&gt;0,IFERROR(VALUE(LEFT(TRIM($Q975),FIND(" ",TRIM($Q975)&amp;" ")-1)),0),0))</f>
        <v/>
      </c>
      <c r="V975" s="109" t="str">
        <f t="shared" si="180"/>
        <v/>
      </c>
      <c r="W975" s="108">
        <f>IF($A975="",0,IF(AND($C975&gt;=Config!$C$7,$C975&lt;=Config!$C$8),1,0))</f>
        <v>0</v>
      </c>
      <c r="X975" s="108">
        <f>IF($A975="",0,IF(COUNTIF(Config!$C$21:$C$23,$H975)&gt;0,1,0))</f>
        <v>0</v>
      </c>
      <c r="Y975" s="108">
        <f t="shared" si="181"/>
        <v>24</v>
      </c>
      <c r="Z975" s="108" t="str">
        <f t="shared" si="182"/>
        <v/>
      </c>
      <c r="AB975" s="108">
        <f t="shared" si="183"/>
        <v>0</v>
      </c>
      <c r="AC975" s="108">
        <f>IF($A975="",0,IF(AND($AB975=1,COUNTIF($A$2:$A975,$A975)=1),1,0))</f>
        <v>0</v>
      </c>
      <c r="AD975" s="108">
        <f t="shared" si="184"/>
        <v>1</v>
      </c>
      <c r="AE975" s="108" t="str">
        <f t="shared" si="185"/>
        <v/>
      </c>
      <c r="AF975" s="108">
        <f t="shared" si="186"/>
        <v>0</v>
      </c>
      <c r="AG975" s="108">
        <f t="shared" si="187"/>
        <v>0</v>
      </c>
      <c r="AH975" s="110" t="str">
        <f t="shared" si="188"/>
        <v/>
      </c>
      <c r="AI975" s="108">
        <f t="shared" si="189"/>
        <v>0</v>
      </c>
      <c r="AJ975" s="108">
        <f t="shared" si="190"/>
        <v>0</v>
      </c>
      <c r="AK975" s="108">
        <f>IF($A975="",0,IF(AND($S975=1,$W975=1,$X975=1,$U975&gt;Config!$C$9),1,0))</f>
        <v>0</v>
      </c>
      <c r="AL975" s="108">
        <f t="shared" si="191"/>
        <v>0</v>
      </c>
    </row>
    <row r="976" spans="19:38" x14ac:dyDescent="0.25">
      <c r="S976" s="108" t="str">
        <f>IF($A976="","",COUNTIF(BPOworkers!$B$6:$B$105,$A976))</f>
        <v/>
      </c>
      <c r="T976" s="109" t="str">
        <f>IF($A976="","",$K976*Config!$C$9)</f>
        <v/>
      </c>
      <c r="U976" s="109" t="str">
        <f>IF($A976="","",IF(COUNTIF(Config!$C$21:$C$23,$H976)&gt;0,IFERROR(VALUE(LEFT(TRIM($Q976),FIND(" ",TRIM($Q976)&amp;" ")-1)),0),0))</f>
        <v/>
      </c>
      <c r="V976" s="109" t="str">
        <f t="shared" si="180"/>
        <v/>
      </c>
      <c r="W976" s="108">
        <f>IF($A976="",0,IF(AND($C976&gt;=Config!$C$7,$C976&lt;=Config!$C$8),1,0))</f>
        <v>0</v>
      </c>
      <c r="X976" s="108">
        <f>IF($A976="",0,IF(COUNTIF(Config!$C$21:$C$23,$H976)&gt;0,1,0))</f>
        <v>0</v>
      </c>
      <c r="Y976" s="108">
        <f t="shared" si="181"/>
        <v>24</v>
      </c>
      <c r="Z976" s="108" t="str">
        <f t="shared" si="182"/>
        <v/>
      </c>
      <c r="AB976" s="108">
        <f t="shared" si="183"/>
        <v>0</v>
      </c>
      <c r="AC976" s="108">
        <f>IF($A976="",0,IF(AND($AB976=1,COUNTIF($A$2:$A976,$A976)=1),1,0))</f>
        <v>0</v>
      </c>
      <c r="AD976" s="108">
        <f t="shared" si="184"/>
        <v>1</v>
      </c>
      <c r="AE976" s="108" t="str">
        <f t="shared" si="185"/>
        <v/>
      </c>
      <c r="AF976" s="108">
        <f t="shared" si="186"/>
        <v>0</v>
      </c>
      <c r="AG976" s="108">
        <f t="shared" si="187"/>
        <v>0</v>
      </c>
      <c r="AH976" s="110" t="str">
        <f t="shared" si="188"/>
        <v/>
      </c>
      <c r="AI976" s="108">
        <f t="shared" si="189"/>
        <v>0</v>
      </c>
      <c r="AJ976" s="108">
        <f t="shared" si="190"/>
        <v>0</v>
      </c>
      <c r="AK976" s="108">
        <f>IF($A976="",0,IF(AND($S976=1,$W976=1,$X976=1,$U976&gt;Config!$C$9),1,0))</f>
        <v>0</v>
      </c>
      <c r="AL976" s="108">
        <f t="shared" si="191"/>
        <v>0</v>
      </c>
    </row>
    <row r="977" spans="19:38" x14ac:dyDescent="0.25">
      <c r="S977" s="108" t="str">
        <f>IF($A977="","",COUNTIF(BPOworkers!$B$6:$B$105,$A977))</f>
        <v/>
      </c>
      <c r="T977" s="109" t="str">
        <f>IF($A977="","",$K977*Config!$C$9)</f>
        <v/>
      </c>
      <c r="U977" s="109" t="str">
        <f>IF($A977="","",IF(COUNTIF(Config!$C$21:$C$23,$H977)&gt;0,IFERROR(VALUE(LEFT(TRIM($Q977),FIND(" ",TRIM($Q977)&amp;" ")-1)),0),0))</f>
        <v/>
      </c>
      <c r="V977" s="109" t="str">
        <f t="shared" si="180"/>
        <v/>
      </c>
      <c r="W977" s="108">
        <f>IF($A977="",0,IF(AND($C977&gt;=Config!$C$7,$C977&lt;=Config!$C$8),1,0))</f>
        <v>0</v>
      </c>
      <c r="X977" s="108">
        <f>IF($A977="",0,IF(COUNTIF(Config!$C$21:$C$23,$H977)&gt;0,1,0))</f>
        <v>0</v>
      </c>
      <c r="Y977" s="108">
        <f t="shared" si="181"/>
        <v>24</v>
      </c>
      <c r="Z977" s="108" t="str">
        <f t="shared" si="182"/>
        <v/>
      </c>
      <c r="AB977" s="108">
        <f t="shared" si="183"/>
        <v>0</v>
      </c>
      <c r="AC977" s="108">
        <f>IF($A977="",0,IF(AND($AB977=1,COUNTIF($A$2:$A977,$A977)=1),1,0))</f>
        <v>0</v>
      </c>
      <c r="AD977" s="108">
        <f t="shared" si="184"/>
        <v>1</v>
      </c>
      <c r="AE977" s="108" t="str">
        <f t="shared" si="185"/>
        <v/>
      </c>
      <c r="AF977" s="108">
        <f t="shared" si="186"/>
        <v>0</v>
      </c>
      <c r="AG977" s="108">
        <f t="shared" si="187"/>
        <v>0</v>
      </c>
      <c r="AH977" s="110" t="str">
        <f t="shared" si="188"/>
        <v/>
      </c>
      <c r="AI977" s="108">
        <f t="shared" si="189"/>
        <v>0</v>
      </c>
      <c r="AJ977" s="108">
        <f t="shared" si="190"/>
        <v>0</v>
      </c>
      <c r="AK977" s="108">
        <f>IF($A977="",0,IF(AND($S977=1,$W977=1,$X977=1,$U977&gt;Config!$C$9),1,0))</f>
        <v>0</v>
      </c>
      <c r="AL977" s="108">
        <f t="shared" si="191"/>
        <v>0</v>
      </c>
    </row>
    <row r="978" spans="19:38" x14ac:dyDescent="0.25">
      <c r="S978" s="108" t="str">
        <f>IF($A978="","",COUNTIF(BPOworkers!$B$6:$B$105,$A978))</f>
        <v/>
      </c>
      <c r="T978" s="109" t="str">
        <f>IF($A978="","",$K978*Config!$C$9)</f>
        <v/>
      </c>
      <c r="U978" s="109" t="str">
        <f>IF($A978="","",IF(COUNTIF(Config!$C$21:$C$23,$H978)&gt;0,IFERROR(VALUE(LEFT(TRIM($Q978),FIND(" ",TRIM($Q978)&amp;" ")-1)),0),0))</f>
        <v/>
      </c>
      <c r="V978" s="109" t="str">
        <f t="shared" si="180"/>
        <v/>
      </c>
      <c r="W978" s="108">
        <f>IF($A978="",0,IF(AND($C978&gt;=Config!$C$7,$C978&lt;=Config!$C$8),1,0))</f>
        <v>0</v>
      </c>
      <c r="X978" s="108">
        <f>IF($A978="",0,IF(COUNTIF(Config!$C$21:$C$23,$H978)&gt;0,1,0))</f>
        <v>0</v>
      </c>
      <c r="Y978" s="108">
        <f t="shared" si="181"/>
        <v>24</v>
      </c>
      <c r="Z978" s="108" t="str">
        <f t="shared" si="182"/>
        <v/>
      </c>
      <c r="AB978" s="108">
        <f t="shared" si="183"/>
        <v>0</v>
      </c>
      <c r="AC978" s="108">
        <f>IF($A978="",0,IF(AND($AB978=1,COUNTIF($A$2:$A978,$A978)=1),1,0))</f>
        <v>0</v>
      </c>
      <c r="AD978" s="108">
        <f t="shared" si="184"/>
        <v>1</v>
      </c>
      <c r="AE978" s="108" t="str">
        <f t="shared" si="185"/>
        <v/>
      </c>
      <c r="AF978" s="108">
        <f t="shared" si="186"/>
        <v>0</v>
      </c>
      <c r="AG978" s="108">
        <f t="shared" si="187"/>
        <v>0</v>
      </c>
      <c r="AH978" s="110" t="str">
        <f t="shared" si="188"/>
        <v/>
      </c>
      <c r="AI978" s="108">
        <f t="shared" si="189"/>
        <v>0</v>
      </c>
      <c r="AJ978" s="108">
        <f t="shared" si="190"/>
        <v>0</v>
      </c>
      <c r="AK978" s="108">
        <f>IF($A978="",0,IF(AND($S978=1,$W978=1,$X978=1,$U978&gt;Config!$C$9),1,0))</f>
        <v>0</v>
      </c>
      <c r="AL978" s="108">
        <f t="shared" si="191"/>
        <v>0</v>
      </c>
    </row>
    <row r="979" spans="19:38" x14ac:dyDescent="0.25">
      <c r="S979" s="108" t="str">
        <f>IF($A979="","",COUNTIF(BPOworkers!$B$6:$B$105,$A979))</f>
        <v/>
      </c>
      <c r="T979" s="109" t="str">
        <f>IF($A979="","",$K979*Config!$C$9)</f>
        <v/>
      </c>
      <c r="U979" s="109" t="str">
        <f>IF($A979="","",IF(COUNTIF(Config!$C$21:$C$23,$H979)&gt;0,IFERROR(VALUE(LEFT(TRIM($Q979),FIND(" ",TRIM($Q979)&amp;" ")-1)),0),0))</f>
        <v/>
      </c>
      <c r="V979" s="109" t="str">
        <f t="shared" si="180"/>
        <v/>
      </c>
      <c r="W979" s="108">
        <f>IF($A979="",0,IF(AND($C979&gt;=Config!$C$7,$C979&lt;=Config!$C$8),1,0))</f>
        <v>0</v>
      </c>
      <c r="X979" s="108">
        <f>IF($A979="",0,IF(COUNTIF(Config!$C$21:$C$23,$H979)&gt;0,1,0))</f>
        <v>0</v>
      </c>
      <c r="Y979" s="108">
        <f t="shared" si="181"/>
        <v>24</v>
      </c>
      <c r="Z979" s="108" t="str">
        <f t="shared" si="182"/>
        <v/>
      </c>
      <c r="AB979" s="108">
        <f t="shared" si="183"/>
        <v>0</v>
      </c>
      <c r="AC979" s="108">
        <f>IF($A979="",0,IF(AND($AB979=1,COUNTIF($A$2:$A979,$A979)=1),1,0))</f>
        <v>0</v>
      </c>
      <c r="AD979" s="108">
        <f t="shared" si="184"/>
        <v>1</v>
      </c>
      <c r="AE979" s="108" t="str">
        <f t="shared" si="185"/>
        <v/>
      </c>
      <c r="AF979" s="108">
        <f t="shared" si="186"/>
        <v>0</v>
      </c>
      <c r="AG979" s="108">
        <f t="shared" si="187"/>
        <v>0</v>
      </c>
      <c r="AH979" s="110" t="str">
        <f t="shared" si="188"/>
        <v/>
      </c>
      <c r="AI979" s="108">
        <f t="shared" si="189"/>
        <v>0</v>
      </c>
      <c r="AJ979" s="108">
        <f t="shared" si="190"/>
        <v>0</v>
      </c>
      <c r="AK979" s="108">
        <f>IF($A979="",0,IF(AND($S979=1,$W979=1,$X979=1,$U979&gt;Config!$C$9),1,0))</f>
        <v>0</v>
      </c>
      <c r="AL979" s="108">
        <f t="shared" si="191"/>
        <v>0</v>
      </c>
    </row>
    <row r="980" spans="19:38" x14ac:dyDescent="0.25">
      <c r="S980" s="108" t="str">
        <f>IF($A980="","",COUNTIF(BPOworkers!$B$6:$B$105,$A980))</f>
        <v/>
      </c>
      <c r="T980" s="109" t="str">
        <f>IF($A980="","",$K980*Config!$C$9)</f>
        <v/>
      </c>
      <c r="U980" s="109" t="str">
        <f>IF($A980="","",IF(COUNTIF(Config!$C$21:$C$23,$H980)&gt;0,IFERROR(VALUE(LEFT(TRIM($Q980),FIND(" ",TRIM($Q980)&amp;" ")-1)),0),0))</f>
        <v/>
      </c>
      <c r="V980" s="109" t="str">
        <f t="shared" si="180"/>
        <v/>
      </c>
      <c r="W980" s="108">
        <f>IF($A980="",0,IF(AND($C980&gt;=Config!$C$7,$C980&lt;=Config!$C$8),1,0))</f>
        <v>0</v>
      </c>
      <c r="X980" s="108">
        <f>IF($A980="",0,IF(COUNTIF(Config!$C$21:$C$23,$H980)&gt;0,1,0))</f>
        <v>0</v>
      </c>
      <c r="Y980" s="108">
        <f t="shared" si="181"/>
        <v>24</v>
      </c>
      <c r="Z980" s="108" t="str">
        <f t="shared" si="182"/>
        <v/>
      </c>
      <c r="AB980" s="108">
        <f t="shared" si="183"/>
        <v>0</v>
      </c>
      <c r="AC980" s="108">
        <f>IF($A980="",0,IF(AND($AB980=1,COUNTIF($A$2:$A980,$A980)=1),1,0))</f>
        <v>0</v>
      </c>
      <c r="AD980" s="108">
        <f t="shared" si="184"/>
        <v>1</v>
      </c>
      <c r="AE980" s="108" t="str">
        <f t="shared" si="185"/>
        <v/>
      </c>
      <c r="AF980" s="108">
        <f t="shared" si="186"/>
        <v>0</v>
      </c>
      <c r="AG980" s="108">
        <f t="shared" si="187"/>
        <v>0</v>
      </c>
      <c r="AH980" s="110" t="str">
        <f t="shared" si="188"/>
        <v/>
      </c>
      <c r="AI980" s="108">
        <f t="shared" si="189"/>
        <v>0</v>
      </c>
      <c r="AJ980" s="108">
        <f t="shared" si="190"/>
        <v>0</v>
      </c>
      <c r="AK980" s="108">
        <f>IF($A980="",0,IF(AND($S980=1,$W980=1,$X980=1,$U980&gt;Config!$C$9),1,0))</f>
        <v>0</v>
      </c>
      <c r="AL980" s="108">
        <f t="shared" si="191"/>
        <v>0</v>
      </c>
    </row>
    <row r="981" spans="19:38" x14ac:dyDescent="0.25">
      <c r="S981" s="108" t="str">
        <f>IF($A981="","",COUNTIF(BPOworkers!$B$6:$B$105,$A981))</f>
        <v/>
      </c>
      <c r="T981" s="109" t="str">
        <f>IF($A981="","",$K981*Config!$C$9)</f>
        <v/>
      </c>
      <c r="U981" s="109" t="str">
        <f>IF($A981="","",IF(COUNTIF(Config!$C$21:$C$23,$H981)&gt;0,IFERROR(VALUE(LEFT(TRIM($Q981),FIND(" ",TRIM($Q981)&amp;" ")-1)),0),0))</f>
        <v/>
      </c>
      <c r="V981" s="109" t="str">
        <f t="shared" si="180"/>
        <v/>
      </c>
      <c r="W981" s="108">
        <f>IF($A981="",0,IF(AND($C981&gt;=Config!$C$7,$C981&lt;=Config!$C$8),1,0))</f>
        <v>0</v>
      </c>
      <c r="X981" s="108">
        <f>IF($A981="",0,IF(COUNTIF(Config!$C$21:$C$23,$H981)&gt;0,1,0))</f>
        <v>0</v>
      </c>
      <c r="Y981" s="108">
        <f t="shared" si="181"/>
        <v>24</v>
      </c>
      <c r="Z981" s="108" t="str">
        <f t="shared" si="182"/>
        <v/>
      </c>
      <c r="AB981" s="108">
        <f t="shared" si="183"/>
        <v>0</v>
      </c>
      <c r="AC981" s="108">
        <f>IF($A981="",0,IF(AND($AB981=1,COUNTIF($A$2:$A981,$A981)=1),1,0))</f>
        <v>0</v>
      </c>
      <c r="AD981" s="108">
        <f t="shared" si="184"/>
        <v>1</v>
      </c>
      <c r="AE981" s="108" t="str">
        <f t="shared" si="185"/>
        <v/>
      </c>
      <c r="AF981" s="108">
        <f t="shared" si="186"/>
        <v>0</v>
      </c>
      <c r="AG981" s="108">
        <f t="shared" si="187"/>
        <v>0</v>
      </c>
      <c r="AH981" s="110" t="str">
        <f t="shared" si="188"/>
        <v/>
      </c>
      <c r="AI981" s="108">
        <f t="shared" si="189"/>
        <v>0</v>
      </c>
      <c r="AJ981" s="108">
        <f t="shared" si="190"/>
        <v>0</v>
      </c>
      <c r="AK981" s="108">
        <f>IF($A981="",0,IF(AND($S981=1,$W981=1,$X981=1,$U981&gt;Config!$C$9),1,0))</f>
        <v>0</v>
      </c>
      <c r="AL981" s="108">
        <f t="shared" si="191"/>
        <v>0</v>
      </c>
    </row>
    <row r="982" spans="19:38" x14ac:dyDescent="0.25">
      <c r="S982" s="108" t="str">
        <f>IF($A982="","",COUNTIF(BPOworkers!$B$6:$B$105,$A982))</f>
        <v/>
      </c>
      <c r="T982" s="109" t="str">
        <f>IF($A982="","",$K982*Config!$C$9)</f>
        <v/>
      </c>
      <c r="U982" s="109" t="str">
        <f>IF($A982="","",IF(COUNTIF(Config!$C$21:$C$23,$H982)&gt;0,IFERROR(VALUE(LEFT(TRIM($Q982),FIND(" ",TRIM($Q982)&amp;" ")-1)),0),0))</f>
        <v/>
      </c>
      <c r="V982" s="109" t="str">
        <f t="shared" si="180"/>
        <v/>
      </c>
      <c r="W982" s="108">
        <f>IF($A982="",0,IF(AND($C982&gt;=Config!$C$7,$C982&lt;=Config!$C$8),1,0))</f>
        <v>0</v>
      </c>
      <c r="X982" s="108">
        <f>IF($A982="",0,IF(COUNTIF(Config!$C$21:$C$23,$H982)&gt;0,1,0))</f>
        <v>0</v>
      </c>
      <c r="Y982" s="108">
        <f t="shared" si="181"/>
        <v>24</v>
      </c>
      <c r="Z982" s="108" t="str">
        <f t="shared" si="182"/>
        <v/>
      </c>
      <c r="AB982" s="108">
        <f t="shared" si="183"/>
        <v>0</v>
      </c>
      <c r="AC982" s="108">
        <f>IF($A982="",0,IF(AND($AB982=1,COUNTIF($A$2:$A982,$A982)=1),1,0))</f>
        <v>0</v>
      </c>
      <c r="AD982" s="108">
        <f t="shared" si="184"/>
        <v>1</v>
      </c>
      <c r="AE982" s="108" t="str">
        <f t="shared" si="185"/>
        <v/>
      </c>
      <c r="AF982" s="108">
        <f t="shared" si="186"/>
        <v>0</v>
      </c>
      <c r="AG982" s="108">
        <f t="shared" si="187"/>
        <v>0</v>
      </c>
      <c r="AH982" s="110" t="str">
        <f t="shared" si="188"/>
        <v/>
      </c>
      <c r="AI982" s="108">
        <f t="shared" si="189"/>
        <v>0</v>
      </c>
      <c r="AJ982" s="108">
        <f t="shared" si="190"/>
        <v>0</v>
      </c>
      <c r="AK982" s="108">
        <f>IF($A982="",0,IF(AND($S982=1,$W982=1,$X982=1,$U982&gt;Config!$C$9),1,0))</f>
        <v>0</v>
      </c>
      <c r="AL982" s="108">
        <f t="shared" si="191"/>
        <v>0</v>
      </c>
    </row>
    <row r="983" spans="19:38" x14ac:dyDescent="0.25">
      <c r="S983" s="108" t="str">
        <f>IF($A983="","",COUNTIF(BPOworkers!$B$6:$B$105,$A983))</f>
        <v/>
      </c>
      <c r="T983" s="109" t="str">
        <f>IF($A983="","",$K983*Config!$C$9)</f>
        <v/>
      </c>
      <c r="U983" s="109" t="str">
        <f>IF($A983="","",IF(COUNTIF(Config!$C$21:$C$23,$H983)&gt;0,IFERROR(VALUE(LEFT(TRIM($Q983),FIND(" ",TRIM($Q983)&amp;" ")-1)),0),0))</f>
        <v/>
      </c>
      <c r="V983" s="109" t="str">
        <f t="shared" si="180"/>
        <v/>
      </c>
      <c r="W983" s="108">
        <f>IF($A983="",0,IF(AND($C983&gt;=Config!$C$7,$C983&lt;=Config!$C$8),1,0))</f>
        <v>0</v>
      </c>
      <c r="X983" s="108">
        <f>IF($A983="",0,IF(COUNTIF(Config!$C$21:$C$23,$H983)&gt;0,1,0))</f>
        <v>0</v>
      </c>
      <c r="Y983" s="108">
        <f t="shared" si="181"/>
        <v>24</v>
      </c>
      <c r="Z983" s="108" t="str">
        <f t="shared" si="182"/>
        <v/>
      </c>
      <c r="AB983" s="108">
        <f t="shared" si="183"/>
        <v>0</v>
      </c>
      <c r="AC983" s="108">
        <f>IF($A983="",0,IF(AND($AB983=1,COUNTIF($A$2:$A983,$A983)=1),1,0))</f>
        <v>0</v>
      </c>
      <c r="AD983" s="108">
        <f t="shared" si="184"/>
        <v>1</v>
      </c>
      <c r="AE983" s="108" t="str">
        <f t="shared" si="185"/>
        <v/>
      </c>
      <c r="AF983" s="108">
        <f t="shared" si="186"/>
        <v>0</v>
      </c>
      <c r="AG983" s="108">
        <f t="shared" si="187"/>
        <v>0</v>
      </c>
      <c r="AH983" s="110" t="str">
        <f t="shared" si="188"/>
        <v/>
      </c>
      <c r="AI983" s="108">
        <f t="shared" si="189"/>
        <v>0</v>
      </c>
      <c r="AJ983" s="108">
        <f t="shared" si="190"/>
        <v>0</v>
      </c>
      <c r="AK983" s="108">
        <f>IF($A983="",0,IF(AND($S983=1,$W983=1,$X983=1,$U983&gt;Config!$C$9),1,0))</f>
        <v>0</v>
      </c>
      <c r="AL983" s="108">
        <f t="shared" si="191"/>
        <v>0</v>
      </c>
    </row>
    <row r="984" spans="19:38" x14ac:dyDescent="0.25">
      <c r="S984" s="108" t="str">
        <f>IF($A984="","",COUNTIF(BPOworkers!$B$6:$B$105,$A984))</f>
        <v/>
      </c>
      <c r="T984" s="109" t="str">
        <f>IF($A984="","",$K984*Config!$C$9)</f>
        <v/>
      </c>
      <c r="U984" s="109" t="str">
        <f>IF($A984="","",IF(COUNTIF(Config!$C$21:$C$23,$H984)&gt;0,IFERROR(VALUE(LEFT(TRIM($Q984),FIND(" ",TRIM($Q984)&amp;" ")-1)),0),0))</f>
        <v/>
      </c>
      <c r="V984" s="109" t="str">
        <f t="shared" si="180"/>
        <v/>
      </c>
      <c r="W984" s="108">
        <f>IF($A984="",0,IF(AND($C984&gt;=Config!$C$7,$C984&lt;=Config!$C$8),1,0))</f>
        <v>0</v>
      </c>
      <c r="X984" s="108">
        <f>IF($A984="",0,IF(COUNTIF(Config!$C$21:$C$23,$H984)&gt;0,1,0))</f>
        <v>0</v>
      </c>
      <c r="Y984" s="108">
        <f t="shared" si="181"/>
        <v>24</v>
      </c>
      <c r="Z984" s="108" t="str">
        <f t="shared" si="182"/>
        <v/>
      </c>
      <c r="AB984" s="108">
        <f t="shared" si="183"/>
        <v>0</v>
      </c>
      <c r="AC984" s="108">
        <f>IF($A984="",0,IF(AND($AB984=1,COUNTIF($A$2:$A984,$A984)=1),1,0))</f>
        <v>0</v>
      </c>
      <c r="AD984" s="108">
        <f t="shared" si="184"/>
        <v>1</v>
      </c>
      <c r="AE984" s="108" t="str">
        <f t="shared" si="185"/>
        <v/>
      </c>
      <c r="AF984" s="108">
        <f t="shared" si="186"/>
        <v>0</v>
      </c>
      <c r="AG984" s="108">
        <f t="shared" si="187"/>
        <v>0</v>
      </c>
      <c r="AH984" s="110" t="str">
        <f t="shared" si="188"/>
        <v/>
      </c>
      <c r="AI984" s="108">
        <f t="shared" si="189"/>
        <v>0</v>
      </c>
      <c r="AJ984" s="108">
        <f t="shared" si="190"/>
        <v>0</v>
      </c>
      <c r="AK984" s="108">
        <f>IF($A984="",0,IF(AND($S984=1,$W984=1,$X984=1,$U984&gt;Config!$C$9),1,0))</f>
        <v>0</v>
      </c>
      <c r="AL984" s="108">
        <f t="shared" si="191"/>
        <v>0</v>
      </c>
    </row>
    <row r="985" spans="19:38" x14ac:dyDescent="0.25">
      <c r="S985" s="108" t="str">
        <f>IF($A985="","",COUNTIF(BPOworkers!$B$6:$B$105,$A985))</f>
        <v/>
      </c>
      <c r="T985" s="109" t="str">
        <f>IF($A985="","",$K985*Config!$C$9)</f>
        <v/>
      </c>
      <c r="U985" s="109" t="str">
        <f>IF($A985="","",IF(COUNTIF(Config!$C$21:$C$23,$H985)&gt;0,IFERROR(VALUE(LEFT(TRIM($Q985),FIND(" ",TRIM($Q985)&amp;" ")-1)),0),0))</f>
        <v/>
      </c>
      <c r="V985" s="109" t="str">
        <f t="shared" si="180"/>
        <v/>
      </c>
      <c r="W985" s="108">
        <f>IF($A985="",0,IF(AND($C985&gt;=Config!$C$7,$C985&lt;=Config!$C$8),1,0))</f>
        <v>0</v>
      </c>
      <c r="X985" s="108">
        <f>IF($A985="",0,IF(COUNTIF(Config!$C$21:$C$23,$H985)&gt;0,1,0))</f>
        <v>0</v>
      </c>
      <c r="Y985" s="108">
        <f t="shared" si="181"/>
        <v>24</v>
      </c>
      <c r="Z985" s="108" t="str">
        <f t="shared" si="182"/>
        <v/>
      </c>
      <c r="AB985" s="108">
        <f t="shared" si="183"/>
        <v>0</v>
      </c>
      <c r="AC985" s="108">
        <f>IF($A985="",0,IF(AND($AB985=1,COUNTIF($A$2:$A985,$A985)=1),1,0))</f>
        <v>0</v>
      </c>
      <c r="AD985" s="108">
        <f t="shared" si="184"/>
        <v>1</v>
      </c>
      <c r="AE985" s="108" t="str">
        <f t="shared" si="185"/>
        <v/>
      </c>
      <c r="AF985" s="108">
        <f t="shared" si="186"/>
        <v>0</v>
      </c>
      <c r="AG985" s="108">
        <f t="shared" si="187"/>
        <v>0</v>
      </c>
      <c r="AH985" s="110" t="str">
        <f t="shared" si="188"/>
        <v/>
      </c>
      <c r="AI985" s="108">
        <f t="shared" si="189"/>
        <v>0</v>
      </c>
      <c r="AJ985" s="108">
        <f t="shared" si="190"/>
        <v>0</v>
      </c>
      <c r="AK985" s="108">
        <f>IF($A985="",0,IF(AND($S985=1,$W985=1,$X985=1,$U985&gt;Config!$C$9),1,0))</f>
        <v>0</v>
      </c>
      <c r="AL985" s="108">
        <f t="shared" si="191"/>
        <v>0</v>
      </c>
    </row>
    <row r="986" spans="19:38" x14ac:dyDescent="0.25">
      <c r="S986" s="108" t="str">
        <f>IF($A986="","",COUNTIF(BPOworkers!$B$6:$B$105,$A986))</f>
        <v/>
      </c>
      <c r="T986" s="109" t="str">
        <f>IF($A986="","",$K986*Config!$C$9)</f>
        <v/>
      </c>
      <c r="U986" s="109" t="str">
        <f>IF($A986="","",IF(COUNTIF(Config!$C$21:$C$23,$H986)&gt;0,IFERROR(VALUE(LEFT(TRIM($Q986),FIND(" ",TRIM($Q986)&amp;" ")-1)),0),0))</f>
        <v/>
      </c>
      <c r="V986" s="109" t="str">
        <f t="shared" si="180"/>
        <v/>
      </c>
      <c r="W986" s="108">
        <f>IF($A986="",0,IF(AND($C986&gt;=Config!$C$7,$C986&lt;=Config!$C$8),1,0))</f>
        <v>0</v>
      </c>
      <c r="X986" s="108">
        <f>IF($A986="",0,IF(COUNTIF(Config!$C$21:$C$23,$H986)&gt;0,1,0))</f>
        <v>0</v>
      </c>
      <c r="Y986" s="108">
        <f t="shared" si="181"/>
        <v>24</v>
      </c>
      <c r="Z986" s="108" t="str">
        <f t="shared" si="182"/>
        <v/>
      </c>
      <c r="AB986" s="108">
        <f t="shared" si="183"/>
        <v>0</v>
      </c>
      <c r="AC986" s="108">
        <f>IF($A986="",0,IF(AND($AB986=1,COUNTIF($A$2:$A986,$A986)=1),1,0))</f>
        <v>0</v>
      </c>
      <c r="AD986" s="108">
        <f t="shared" si="184"/>
        <v>1</v>
      </c>
      <c r="AE986" s="108" t="str">
        <f t="shared" si="185"/>
        <v/>
      </c>
      <c r="AF986" s="108">
        <f t="shared" si="186"/>
        <v>0</v>
      </c>
      <c r="AG986" s="108">
        <f t="shared" si="187"/>
        <v>0</v>
      </c>
      <c r="AH986" s="110" t="str">
        <f t="shared" si="188"/>
        <v/>
      </c>
      <c r="AI986" s="108">
        <f t="shared" si="189"/>
        <v>0</v>
      </c>
      <c r="AJ986" s="108">
        <f t="shared" si="190"/>
        <v>0</v>
      </c>
      <c r="AK986" s="108">
        <f>IF($A986="",0,IF(AND($S986=1,$W986=1,$X986=1,$U986&gt;Config!$C$9),1,0))</f>
        <v>0</v>
      </c>
      <c r="AL986" s="108">
        <f t="shared" si="191"/>
        <v>0</v>
      </c>
    </row>
    <row r="987" spans="19:38" x14ac:dyDescent="0.25">
      <c r="S987" s="108" t="str">
        <f>IF($A987="","",COUNTIF(BPOworkers!$B$6:$B$105,$A987))</f>
        <v/>
      </c>
      <c r="T987" s="109" t="str">
        <f>IF($A987="","",$K987*Config!$C$9)</f>
        <v/>
      </c>
      <c r="U987" s="109" t="str">
        <f>IF($A987="","",IF(COUNTIF(Config!$C$21:$C$23,$H987)&gt;0,IFERROR(VALUE(LEFT(TRIM($Q987),FIND(" ",TRIM($Q987)&amp;" ")-1)),0),0))</f>
        <v/>
      </c>
      <c r="V987" s="109" t="str">
        <f t="shared" si="180"/>
        <v/>
      </c>
      <c r="W987" s="108">
        <f>IF($A987="",0,IF(AND($C987&gt;=Config!$C$7,$C987&lt;=Config!$C$8),1,0))</f>
        <v>0</v>
      </c>
      <c r="X987" s="108">
        <f>IF($A987="",0,IF(COUNTIF(Config!$C$21:$C$23,$H987)&gt;0,1,0))</f>
        <v>0</v>
      </c>
      <c r="Y987" s="108">
        <f t="shared" si="181"/>
        <v>24</v>
      </c>
      <c r="Z987" s="108" t="str">
        <f t="shared" si="182"/>
        <v/>
      </c>
      <c r="AB987" s="108">
        <f t="shared" si="183"/>
        <v>0</v>
      </c>
      <c r="AC987" s="108">
        <f>IF($A987="",0,IF(AND($AB987=1,COUNTIF($A$2:$A987,$A987)=1),1,0))</f>
        <v>0</v>
      </c>
      <c r="AD987" s="108">
        <f t="shared" si="184"/>
        <v>1</v>
      </c>
      <c r="AE987" s="108" t="str">
        <f t="shared" si="185"/>
        <v/>
      </c>
      <c r="AF987" s="108">
        <f t="shared" si="186"/>
        <v>0</v>
      </c>
      <c r="AG987" s="108">
        <f t="shared" si="187"/>
        <v>0</v>
      </c>
      <c r="AH987" s="110" t="str">
        <f t="shared" si="188"/>
        <v/>
      </c>
      <c r="AI987" s="108">
        <f t="shared" si="189"/>
        <v>0</v>
      </c>
      <c r="AJ987" s="108">
        <f t="shared" si="190"/>
        <v>0</v>
      </c>
      <c r="AK987" s="108">
        <f>IF($A987="",0,IF(AND($S987=1,$W987=1,$X987=1,$U987&gt;Config!$C$9),1,0))</f>
        <v>0</v>
      </c>
      <c r="AL987" s="108">
        <f t="shared" si="191"/>
        <v>0</v>
      </c>
    </row>
    <row r="988" spans="19:38" x14ac:dyDescent="0.25">
      <c r="S988" s="108" t="str">
        <f>IF($A988="","",COUNTIF(BPOworkers!$B$6:$B$105,$A988))</f>
        <v/>
      </c>
      <c r="T988" s="109" t="str">
        <f>IF($A988="","",$K988*Config!$C$9)</f>
        <v/>
      </c>
      <c r="U988" s="109" t="str">
        <f>IF($A988="","",IF(COUNTIF(Config!$C$21:$C$23,$H988)&gt;0,IFERROR(VALUE(LEFT(TRIM($Q988),FIND(" ",TRIM($Q988)&amp;" ")-1)),0),0))</f>
        <v/>
      </c>
      <c r="V988" s="109" t="str">
        <f t="shared" si="180"/>
        <v/>
      </c>
      <c r="W988" s="108">
        <f>IF($A988="",0,IF(AND($C988&gt;=Config!$C$7,$C988&lt;=Config!$C$8),1,0))</f>
        <v>0</v>
      </c>
      <c r="X988" s="108">
        <f>IF($A988="",0,IF(COUNTIF(Config!$C$21:$C$23,$H988)&gt;0,1,0))</f>
        <v>0</v>
      </c>
      <c r="Y988" s="108">
        <f t="shared" si="181"/>
        <v>24</v>
      </c>
      <c r="Z988" s="108" t="str">
        <f t="shared" si="182"/>
        <v/>
      </c>
      <c r="AB988" s="108">
        <f t="shared" si="183"/>
        <v>0</v>
      </c>
      <c r="AC988" s="108">
        <f>IF($A988="",0,IF(AND($AB988=1,COUNTIF($A$2:$A988,$A988)=1),1,0))</f>
        <v>0</v>
      </c>
      <c r="AD988" s="108">
        <f t="shared" si="184"/>
        <v>1</v>
      </c>
      <c r="AE988" s="108" t="str">
        <f t="shared" si="185"/>
        <v/>
      </c>
      <c r="AF988" s="108">
        <f t="shared" si="186"/>
        <v>0</v>
      </c>
      <c r="AG988" s="108">
        <f t="shared" si="187"/>
        <v>0</v>
      </c>
      <c r="AH988" s="110" t="str">
        <f t="shared" si="188"/>
        <v/>
      </c>
      <c r="AI988" s="108">
        <f t="shared" si="189"/>
        <v>0</v>
      </c>
      <c r="AJ988" s="108">
        <f t="shared" si="190"/>
        <v>0</v>
      </c>
      <c r="AK988" s="108">
        <f>IF($A988="",0,IF(AND($S988=1,$W988=1,$X988=1,$U988&gt;Config!$C$9),1,0))</f>
        <v>0</v>
      </c>
      <c r="AL988" s="108">
        <f t="shared" si="191"/>
        <v>0</v>
      </c>
    </row>
    <row r="989" spans="19:38" x14ac:dyDescent="0.25">
      <c r="S989" s="108" t="str">
        <f>IF($A989="","",COUNTIF(BPOworkers!$B$6:$B$105,$A989))</f>
        <v/>
      </c>
      <c r="T989" s="109" t="str">
        <f>IF($A989="","",$K989*Config!$C$9)</f>
        <v/>
      </c>
      <c r="U989" s="109" t="str">
        <f>IF($A989="","",IF(COUNTIF(Config!$C$21:$C$23,$H989)&gt;0,IFERROR(VALUE(LEFT(TRIM($Q989),FIND(" ",TRIM($Q989)&amp;" ")-1)),0),0))</f>
        <v/>
      </c>
      <c r="V989" s="109" t="str">
        <f t="shared" si="180"/>
        <v/>
      </c>
      <c r="W989" s="108">
        <f>IF($A989="",0,IF(AND($C989&gt;=Config!$C$7,$C989&lt;=Config!$C$8),1,0))</f>
        <v>0</v>
      </c>
      <c r="X989" s="108">
        <f>IF($A989="",0,IF(COUNTIF(Config!$C$21:$C$23,$H989)&gt;0,1,0))</f>
        <v>0</v>
      </c>
      <c r="Y989" s="108">
        <f t="shared" si="181"/>
        <v>24</v>
      </c>
      <c r="Z989" s="108" t="str">
        <f t="shared" si="182"/>
        <v/>
      </c>
      <c r="AB989" s="108">
        <f t="shared" si="183"/>
        <v>0</v>
      </c>
      <c r="AC989" s="108">
        <f>IF($A989="",0,IF(AND($AB989=1,COUNTIF($A$2:$A989,$A989)=1),1,0))</f>
        <v>0</v>
      </c>
      <c r="AD989" s="108">
        <f t="shared" si="184"/>
        <v>1</v>
      </c>
      <c r="AE989" s="108" t="str">
        <f t="shared" si="185"/>
        <v/>
      </c>
      <c r="AF989" s="108">
        <f t="shared" si="186"/>
        <v>0</v>
      </c>
      <c r="AG989" s="108">
        <f t="shared" si="187"/>
        <v>0</v>
      </c>
      <c r="AH989" s="110" t="str">
        <f t="shared" si="188"/>
        <v/>
      </c>
      <c r="AI989" s="108">
        <f t="shared" si="189"/>
        <v>0</v>
      </c>
      <c r="AJ989" s="108">
        <f t="shared" si="190"/>
        <v>0</v>
      </c>
      <c r="AK989" s="108">
        <f>IF($A989="",0,IF(AND($S989=1,$W989=1,$X989=1,$U989&gt;Config!$C$9),1,0))</f>
        <v>0</v>
      </c>
      <c r="AL989" s="108">
        <f t="shared" si="191"/>
        <v>0</v>
      </c>
    </row>
    <row r="990" spans="19:38" x14ac:dyDescent="0.25">
      <c r="S990" s="108" t="str">
        <f>IF($A990="","",COUNTIF(BPOworkers!$B$6:$B$105,$A990))</f>
        <v/>
      </c>
      <c r="T990" s="109" t="str">
        <f>IF($A990="","",$K990*Config!$C$9)</f>
        <v/>
      </c>
      <c r="U990" s="109" t="str">
        <f>IF($A990="","",IF(COUNTIF(Config!$C$21:$C$23,$H990)&gt;0,IFERROR(VALUE(LEFT(TRIM($Q990),FIND(" ",TRIM($Q990)&amp;" ")-1)),0),0))</f>
        <v/>
      </c>
      <c r="V990" s="109" t="str">
        <f t="shared" si="180"/>
        <v/>
      </c>
      <c r="W990" s="108">
        <f>IF($A990="",0,IF(AND($C990&gt;=Config!$C$7,$C990&lt;=Config!$C$8),1,0))</f>
        <v>0</v>
      </c>
      <c r="X990" s="108">
        <f>IF($A990="",0,IF(COUNTIF(Config!$C$21:$C$23,$H990)&gt;0,1,0))</f>
        <v>0</v>
      </c>
      <c r="Y990" s="108">
        <f t="shared" si="181"/>
        <v>24</v>
      </c>
      <c r="Z990" s="108" t="str">
        <f t="shared" si="182"/>
        <v/>
      </c>
      <c r="AB990" s="108">
        <f t="shared" si="183"/>
        <v>0</v>
      </c>
      <c r="AC990" s="108">
        <f>IF($A990="",0,IF(AND($AB990=1,COUNTIF($A$2:$A990,$A990)=1),1,0))</f>
        <v>0</v>
      </c>
      <c r="AD990" s="108">
        <f t="shared" si="184"/>
        <v>1</v>
      </c>
      <c r="AE990" s="108" t="str">
        <f t="shared" si="185"/>
        <v/>
      </c>
      <c r="AF990" s="108">
        <f t="shared" si="186"/>
        <v>0</v>
      </c>
      <c r="AG990" s="108">
        <f t="shared" si="187"/>
        <v>0</v>
      </c>
      <c r="AH990" s="110" t="str">
        <f t="shared" si="188"/>
        <v/>
      </c>
      <c r="AI990" s="108">
        <f t="shared" si="189"/>
        <v>0</v>
      </c>
      <c r="AJ990" s="108">
        <f t="shared" si="190"/>
        <v>0</v>
      </c>
      <c r="AK990" s="108">
        <f>IF($A990="",0,IF(AND($S990=1,$W990=1,$X990=1,$U990&gt;Config!$C$9),1,0))</f>
        <v>0</v>
      </c>
      <c r="AL990" s="108">
        <f t="shared" si="191"/>
        <v>0</v>
      </c>
    </row>
    <row r="991" spans="19:38" x14ac:dyDescent="0.25">
      <c r="S991" s="108" t="str">
        <f>IF($A991="","",COUNTIF(BPOworkers!$B$6:$B$105,$A991))</f>
        <v/>
      </c>
      <c r="T991" s="109" t="str">
        <f>IF($A991="","",$K991*Config!$C$9)</f>
        <v/>
      </c>
      <c r="U991" s="109" t="str">
        <f>IF($A991="","",IF(COUNTIF(Config!$C$21:$C$23,$H991)&gt;0,IFERROR(VALUE(LEFT(TRIM($Q991),FIND(" ",TRIM($Q991)&amp;" ")-1)),0),0))</f>
        <v/>
      </c>
      <c r="V991" s="109" t="str">
        <f t="shared" si="180"/>
        <v/>
      </c>
      <c r="W991" s="108">
        <f>IF($A991="",0,IF(AND($C991&gt;=Config!$C$7,$C991&lt;=Config!$C$8),1,0))</f>
        <v>0</v>
      </c>
      <c r="X991" s="108">
        <f>IF($A991="",0,IF(COUNTIF(Config!$C$21:$C$23,$H991)&gt;0,1,0))</f>
        <v>0</v>
      </c>
      <c r="Y991" s="108">
        <f t="shared" si="181"/>
        <v>24</v>
      </c>
      <c r="Z991" s="108" t="str">
        <f t="shared" si="182"/>
        <v/>
      </c>
      <c r="AB991" s="108">
        <f t="shared" si="183"/>
        <v>0</v>
      </c>
      <c r="AC991" s="108">
        <f>IF($A991="",0,IF(AND($AB991=1,COUNTIF($A$2:$A991,$A991)=1),1,0))</f>
        <v>0</v>
      </c>
      <c r="AD991" s="108">
        <f t="shared" si="184"/>
        <v>1</v>
      </c>
      <c r="AE991" s="108" t="str">
        <f t="shared" si="185"/>
        <v/>
      </c>
      <c r="AF991" s="108">
        <f t="shared" si="186"/>
        <v>0</v>
      </c>
      <c r="AG991" s="108">
        <f t="shared" si="187"/>
        <v>0</v>
      </c>
      <c r="AH991" s="110" t="str">
        <f t="shared" si="188"/>
        <v/>
      </c>
      <c r="AI991" s="108">
        <f t="shared" si="189"/>
        <v>0</v>
      </c>
      <c r="AJ991" s="108">
        <f t="shared" si="190"/>
        <v>0</v>
      </c>
      <c r="AK991" s="108">
        <f>IF($A991="",0,IF(AND($S991=1,$W991=1,$X991=1,$U991&gt;Config!$C$9),1,0))</f>
        <v>0</v>
      </c>
      <c r="AL991" s="108">
        <f t="shared" si="191"/>
        <v>0</v>
      </c>
    </row>
    <row r="992" spans="19:38" x14ac:dyDescent="0.25">
      <c r="S992" s="108" t="str">
        <f>IF($A992="","",COUNTIF(BPOworkers!$B$6:$B$105,$A992))</f>
        <v/>
      </c>
      <c r="T992" s="109" t="str">
        <f>IF($A992="","",$K992*Config!$C$9)</f>
        <v/>
      </c>
      <c r="U992" s="109" t="str">
        <f>IF($A992="","",IF(COUNTIF(Config!$C$21:$C$23,$H992)&gt;0,IFERROR(VALUE(LEFT(TRIM($Q992),FIND(" ",TRIM($Q992)&amp;" ")-1)),0),0))</f>
        <v/>
      </c>
      <c r="V992" s="109" t="str">
        <f t="shared" si="180"/>
        <v/>
      </c>
      <c r="W992" s="108">
        <f>IF($A992="",0,IF(AND($C992&gt;=Config!$C$7,$C992&lt;=Config!$C$8),1,0))</f>
        <v>0</v>
      </c>
      <c r="X992" s="108">
        <f>IF($A992="",0,IF(COUNTIF(Config!$C$21:$C$23,$H992)&gt;0,1,0))</f>
        <v>0</v>
      </c>
      <c r="Y992" s="108">
        <f t="shared" si="181"/>
        <v>24</v>
      </c>
      <c r="Z992" s="108" t="str">
        <f t="shared" si="182"/>
        <v/>
      </c>
      <c r="AB992" s="108">
        <f t="shared" si="183"/>
        <v>0</v>
      </c>
      <c r="AC992" s="108">
        <f>IF($A992="",0,IF(AND($AB992=1,COUNTIF($A$2:$A992,$A992)=1),1,0))</f>
        <v>0</v>
      </c>
      <c r="AD992" s="108">
        <f t="shared" si="184"/>
        <v>1</v>
      </c>
      <c r="AE992" s="108" t="str">
        <f t="shared" si="185"/>
        <v/>
      </c>
      <c r="AF992" s="108">
        <f t="shared" si="186"/>
        <v>0</v>
      </c>
      <c r="AG992" s="108">
        <f t="shared" si="187"/>
        <v>0</v>
      </c>
      <c r="AH992" s="110" t="str">
        <f t="shared" si="188"/>
        <v/>
      </c>
      <c r="AI992" s="108">
        <f t="shared" si="189"/>
        <v>0</v>
      </c>
      <c r="AJ992" s="108">
        <f t="shared" si="190"/>
        <v>0</v>
      </c>
      <c r="AK992" s="108">
        <f>IF($A992="",0,IF(AND($S992=1,$W992=1,$X992=1,$U992&gt;Config!$C$9),1,0))</f>
        <v>0</v>
      </c>
      <c r="AL992" s="108">
        <f t="shared" si="191"/>
        <v>0</v>
      </c>
    </row>
    <row r="993" spans="19:38" x14ac:dyDescent="0.25">
      <c r="S993" s="108" t="str">
        <f>IF($A993="","",COUNTIF(BPOworkers!$B$6:$B$105,$A993))</f>
        <v/>
      </c>
      <c r="T993" s="109" t="str">
        <f>IF($A993="","",$K993*Config!$C$9)</f>
        <v/>
      </c>
      <c r="U993" s="109" t="str">
        <f>IF($A993="","",IF(COUNTIF(Config!$C$21:$C$23,$H993)&gt;0,IFERROR(VALUE(LEFT(TRIM($Q993),FIND(" ",TRIM($Q993)&amp;" ")-1)),0),0))</f>
        <v/>
      </c>
      <c r="V993" s="109" t="str">
        <f t="shared" si="180"/>
        <v/>
      </c>
      <c r="W993" s="108">
        <f>IF($A993="",0,IF(AND($C993&gt;=Config!$C$7,$C993&lt;=Config!$C$8),1,0))</f>
        <v>0</v>
      </c>
      <c r="X993" s="108">
        <f>IF($A993="",0,IF(COUNTIF(Config!$C$21:$C$23,$H993)&gt;0,1,0))</f>
        <v>0</v>
      </c>
      <c r="Y993" s="108">
        <f t="shared" si="181"/>
        <v>24</v>
      </c>
      <c r="Z993" s="108" t="str">
        <f t="shared" si="182"/>
        <v/>
      </c>
      <c r="AB993" s="108">
        <f t="shared" si="183"/>
        <v>0</v>
      </c>
      <c r="AC993" s="108">
        <f>IF($A993="",0,IF(AND($AB993=1,COUNTIF($A$2:$A993,$A993)=1),1,0))</f>
        <v>0</v>
      </c>
      <c r="AD993" s="108">
        <f t="shared" si="184"/>
        <v>1</v>
      </c>
      <c r="AE993" s="108" t="str">
        <f t="shared" si="185"/>
        <v/>
      </c>
      <c r="AF993" s="108">
        <f t="shared" si="186"/>
        <v>0</v>
      </c>
      <c r="AG993" s="108">
        <f t="shared" si="187"/>
        <v>0</v>
      </c>
      <c r="AH993" s="110" t="str">
        <f t="shared" si="188"/>
        <v/>
      </c>
      <c r="AI993" s="108">
        <f t="shared" si="189"/>
        <v>0</v>
      </c>
      <c r="AJ993" s="108">
        <f t="shared" si="190"/>
        <v>0</v>
      </c>
      <c r="AK993" s="108">
        <f>IF($A993="",0,IF(AND($S993=1,$W993=1,$X993=1,$U993&gt;Config!$C$9),1,0))</f>
        <v>0</v>
      </c>
      <c r="AL993" s="108">
        <f t="shared" si="191"/>
        <v>0</v>
      </c>
    </row>
    <row r="994" spans="19:38" x14ac:dyDescent="0.25">
      <c r="S994" s="108" t="str">
        <f>IF($A994="","",COUNTIF(BPOworkers!$B$6:$B$105,$A994))</f>
        <v/>
      </c>
      <c r="T994" s="109" t="str">
        <f>IF($A994="","",$K994*Config!$C$9)</f>
        <v/>
      </c>
      <c r="U994" s="109" t="str">
        <f>IF($A994="","",IF(COUNTIF(Config!$C$21:$C$23,$H994)&gt;0,IFERROR(VALUE(LEFT(TRIM($Q994),FIND(" ",TRIM($Q994)&amp;" ")-1)),0),0))</f>
        <v/>
      </c>
      <c r="V994" s="109" t="str">
        <f t="shared" si="180"/>
        <v/>
      </c>
      <c r="W994" s="108">
        <f>IF($A994="",0,IF(AND($C994&gt;=Config!$C$7,$C994&lt;=Config!$C$8),1,0))</f>
        <v>0</v>
      </c>
      <c r="X994" s="108">
        <f>IF($A994="",0,IF(COUNTIF(Config!$C$21:$C$23,$H994)&gt;0,1,0))</f>
        <v>0</v>
      </c>
      <c r="Y994" s="108">
        <f t="shared" si="181"/>
        <v>24</v>
      </c>
      <c r="Z994" s="108" t="str">
        <f t="shared" si="182"/>
        <v/>
      </c>
      <c r="AB994" s="108">
        <f t="shared" si="183"/>
        <v>0</v>
      </c>
      <c r="AC994" s="108">
        <f>IF($A994="",0,IF(AND($AB994=1,COUNTIF($A$2:$A994,$A994)=1),1,0))</f>
        <v>0</v>
      </c>
      <c r="AD994" s="108">
        <f t="shared" si="184"/>
        <v>1</v>
      </c>
      <c r="AE994" s="108" t="str">
        <f t="shared" si="185"/>
        <v/>
      </c>
      <c r="AF994" s="108">
        <f t="shared" si="186"/>
        <v>0</v>
      </c>
      <c r="AG994" s="108">
        <f t="shared" si="187"/>
        <v>0</v>
      </c>
      <c r="AH994" s="110" t="str">
        <f t="shared" si="188"/>
        <v/>
      </c>
      <c r="AI994" s="108">
        <f t="shared" si="189"/>
        <v>0</v>
      </c>
      <c r="AJ994" s="108">
        <f t="shared" si="190"/>
        <v>0</v>
      </c>
      <c r="AK994" s="108">
        <f>IF($A994="",0,IF(AND($S994=1,$W994=1,$X994=1,$U994&gt;Config!$C$9),1,0))</f>
        <v>0</v>
      </c>
      <c r="AL994" s="108">
        <f t="shared" si="191"/>
        <v>0</v>
      </c>
    </row>
    <row r="995" spans="19:38" x14ac:dyDescent="0.25">
      <c r="S995" s="108" t="str">
        <f>IF($A995="","",COUNTIF(BPOworkers!$B$6:$B$105,$A995))</f>
        <v/>
      </c>
      <c r="T995" s="109" t="str">
        <f>IF($A995="","",$K995*Config!$C$9)</f>
        <v/>
      </c>
      <c r="U995" s="109" t="str">
        <f>IF($A995="","",IF(COUNTIF(Config!$C$21:$C$23,$H995)&gt;0,IFERROR(VALUE(LEFT(TRIM($Q995),FIND(" ",TRIM($Q995)&amp;" ")-1)),0),0))</f>
        <v/>
      </c>
      <c r="V995" s="109" t="str">
        <f t="shared" si="180"/>
        <v/>
      </c>
      <c r="W995" s="108">
        <f>IF($A995="",0,IF(AND($C995&gt;=Config!$C$7,$C995&lt;=Config!$C$8),1,0))</f>
        <v>0</v>
      </c>
      <c r="X995" s="108">
        <f>IF($A995="",0,IF(COUNTIF(Config!$C$21:$C$23,$H995)&gt;0,1,0))</f>
        <v>0</v>
      </c>
      <c r="Y995" s="108">
        <f t="shared" si="181"/>
        <v>24</v>
      </c>
      <c r="Z995" s="108" t="str">
        <f t="shared" si="182"/>
        <v/>
      </c>
      <c r="AB995" s="108">
        <f t="shared" si="183"/>
        <v>0</v>
      </c>
      <c r="AC995" s="108">
        <f>IF($A995="",0,IF(AND($AB995=1,COUNTIF($A$2:$A995,$A995)=1),1,0))</f>
        <v>0</v>
      </c>
      <c r="AD995" s="108">
        <f t="shared" si="184"/>
        <v>1</v>
      </c>
      <c r="AE995" s="108" t="str">
        <f t="shared" si="185"/>
        <v/>
      </c>
      <c r="AF995" s="108">
        <f t="shared" si="186"/>
        <v>0</v>
      </c>
      <c r="AG995" s="108">
        <f t="shared" si="187"/>
        <v>0</v>
      </c>
      <c r="AH995" s="110" t="str">
        <f t="shared" si="188"/>
        <v/>
      </c>
      <c r="AI995" s="108">
        <f t="shared" si="189"/>
        <v>0</v>
      </c>
      <c r="AJ995" s="108">
        <f t="shared" si="190"/>
        <v>0</v>
      </c>
      <c r="AK995" s="108">
        <f>IF($A995="",0,IF(AND($S995=1,$W995=1,$X995=1,$U995&gt;Config!$C$9),1,0))</f>
        <v>0</v>
      </c>
      <c r="AL995" s="108">
        <f t="shared" si="191"/>
        <v>0</v>
      </c>
    </row>
    <row r="996" spans="19:38" x14ac:dyDescent="0.25">
      <c r="S996" s="108" t="str">
        <f>IF($A996="","",COUNTIF(BPOworkers!$B$6:$B$105,$A996))</f>
        <v/>
      </c>
      <c r="T996" s="109" t="str">
        <f>IF($A996="","",$K996*Config!$C$9)</f>
        <v/>
      </c>
      <c r="U996" s="109" t="str">
        <f>IF($A996="","",IF(COUNTIF(Config!$C$21:$C$23,$H996)&gt;0,IFERROR(VALUE(LEFT(TRIM($Q996),FIND(" ",TRIM($Q996)&amp;" ")-1)),0),0))</f>
        <v/>
      </c>
      <c r="V996" s="109" t="str">
        <f t="shared" si="180"/>
        <v/>
      </c>
      <c r="W996" s="108">
        <f>IF($A996="",0,IF(AND($C996&gt;=Config!$C$7,$C996&lt;=Config!$C$8),1,0))</f>
        <v>0</v>
      </c>
      <c r="X996" s="108">
        <f>IF($A996="",0,IF(COUNTIF(Config!$C$21:$C$23,$H996)&gt;0,1,0))</f>
        <v>0</v>
      </c>
      <c r="Y996" s="108">
        <f t="shared" si="181"/>
        <v>24</v>
      </c>
      <c r="Z996" s="108" t="str">
        <f t="shared" si="182"/>
        <v/>
      </c>
      <c r="AB996" s="108">
        <f t="shared" si="183"/>
        <v>0</v>
      </c>
      <c r="AC996" s="108">
        <f>IF($A996="",0,IF(AND($AB996=1,COUNTIF($A$2:$A996,$A996)=1),1,0))</f>
        <v>0</v>
      </c>
      <c r="AD996" s="108">
        <f t="shared" si="184"/>
        <v>1</v>
      </c>
      <c r="AE996" s="108" t="str">
        <f t="shared" si="185"/>
        <v/>
      </c>
      <c r="AF996" s="108">
        <f t="shared" si="186"/>
        <v>0</v>
      </c>
      <c r="AG996" s="108">
        <f t="shared" si="187"/>
        <v>0</v>
      </c>
      <c r="AH996" s="110" t="str">
        <f t="shared" si="188"/>
        <v/>
      </c>
      <c r="AI996" s="108">
        <f t="shared" si="189"/>
        <v>0</v>
      </c>
      <c r="AJ996" s="108">
        <f t="shared" si="190"/>
        <v>0</v>
      </c>
      <c r="AK996" s="108">
        <f>IF($A996="",0,IF(AND($S996=1,$W996=1,$X996=1,$U996&gt;Config!$C$9),1,0))</f>
        <v>0</v>
      </c>
      <c r="AL996" s="108">
        <f t="shared" si="191"/>
        <v>0</v>
      </c>
    </row>
    <row r="997" spans="19:38" x14ac:dyDescent="0.25">
      <c r="S997" s="108" t="str">
        <f>IF($A997="","",COUNTIF(BPOworkers!$B$6:$B$105,$A997))</f>
        <v/>
      </c>
      <c r="T997" s="109" t="str">
        <f>IF($A997="","",$K997*Config!$C$9)</f>
        <v/>
      </c>
      <c r="U997" s="109" t="str">
        <f>IF($A997="","",IF(COUNTIF(Config!$C$21:$C$23,$H997)&gt;0,IFERROR(VALUE(LEFT(TRIM($Q997),FIND(" ",TRIM($Q997)&amp;" ")-1)),0),0))</f>
        <v/>
      </c>
      <c r="V997" s="109" t="str">
        <f t="shared" si="180"/>
        <v/>
      </c>
      <c r="W997" s="108">
        <f>IF($A997="",0,IF(AND($C997&gt;=Config!$C$7,$C997&lt;=Config!$C$8),1,0))</f>
        <v>0</v>
      </c>
      <c r="X997" s="108">
        <f>IF($A997="",0,IF(COUNTIF(Config!$C$21:$C$23,$H997)&gt;0,1,0))</f>
        <v>0</v>
      </c>
      <c r="Y997" s="108">
        <f t="shared" si="181"/>
        <v>24</v>
      </c>
      <c r="Z997" s="108" t="str">
        <f t="shared" si="182"/>
        <v/>
      </c>
      <c r="AB997" s="108">
        <f t="shared" si="183"/>
        <v>0</v>
      </c>
      <c r="AC997" s="108">
        <f>IF($A997="",0,IF(AND($AB997=1,COUNTIF($A$2:$A997,$A997)=1),1,0))</f>
        <v>0</v>
      </c>
      <c r="AD997" s="108">
        <f t="shared" si="184"/>
        <v>1</v>
      </c>
      <c r="AE997" s="108" t="str">
        <f t="shared" si="185"/>
        <v/>
      </c>
      <c r="AF997" s="108">
        <f t="shared" si="186"/>
        <v>0</v>
      </c>
      <c r="AG997" s="108">
        <f t="shared" si="187"/>
        <v>0</v>
      </c>
      <c r="AH997" s="110" t="str">
        <f t="shared" si="188"/>
        <v/>
      </c>
      <c r="AI997" s="108">
        <f t="shared" si="189"/>
        <v>0</v>
      </c>
      <c r="AJ997" s="108">
        <f t="shared" si="190"/>
        <v>0</v>
      </c>
      <c r="AK997" s="108">
        <f>IF($A997="",0,IF(AND($S997=1,$W997=1,$X997=1,$U997&gt;Config!$C$9),1,0))</f>
        <v>0</v>
      </c>
      <c r="AL997" s="108">
        <f t="shared" si="191"/>
        <v>0</v>
      </c>
    </row>
    <row r="998" spans="19:38" x14ac:dyDescent="0.25">
      <c r="S998" s="108" t="str">
        <f>IF($A998="","",COUNTIF(BPOworkers!$B$6:$B$105,$A998))</f>
        <v/>
      </c>
      <c r="T998" s="109" t="str">
        <f>IF($A998="","",$K998*Config!$C$9)</f>
        <v/>
      </c>
      <c r="U998" s="109" t="str">
        <f>IF($A998="","",IF(COUNTIF(Config!$C$21:$C$23,$H998)&gt;0,IFERROR(VALUE(LEFT(TRIM($Q998),FIND(" ",TRIM($Q998)&amp;" ")-1)),0),0))</f>
        <v/>
      </c>
      <c r="V998" s="109" t="str">
        <f t="shared" si="180"/>
        <v/>
      </c>
      <c r="W998" s="108">
        <f>IF($A998="",0,IF(AND($C998&gt;=Config!$C$7,$C998&lt;=Config!$C$8),1,0))</f>
        <v>0</v>
      </c>
      <c r="X998" s="108">
        <f>IF($A998="",0,IF(COUNTIF(Config!$C$21:$C$23,$H998)&gt;0,1,0))</f>
        <v>0</v>
      </c>
      <c r="Y998" s="108">
        <f t="shared" si="181"/>
        <v>24</v>
      </c>
      <c r="Z998" s="108" t="str">
        <f t="shared" si="182"/>
        <v/>
      </c>
      <c r="AB998" s="108">
        <f t="shared" si="183"/>
        <v>0</v>
      </c>
      <c r="AC998" s="108">
        <f>IF($A998="",0,IF(AND($AB998=1,COUNTIF($A$2:$A998,$A998)=1),1,0))</f>
        <v>0</v>
      </c>
      <c r="AD998" s="108">
        <f t="shared" si="184"/>
        <v>1</v>
      </c>
      <c r="AE998" s="108" t="str">
        <f t="shared" si="185"/>
        <v/>
      </c>
      <c r="AF998" s="108">
        <f t="shared" si="186"/>
        <v>0</v>
      </c>
      <c r="AG998" s="108">
        <f t="shared" si="187"/>
        <v>0</v>
      </c>
      <c r="AH998" s="110" t="str">
        <f t="shared" si="188"/>
        <v/>
      </c>
      <c r="AI998" s="108">
        <f t="shared" si="189"/>
        <v>0</v>
      </c>
      <c r="AJ998" s="108">
        <f t="shared" si="190"/>
        <v>0</v>
      </c>
      <c r="AK998" s="108">
        <f>IF($A998="",0,IF(AND($S998=1,$W998=1,$X998=1,$U998&gt;Config!$C$9),1,0))</f>
        <v>0</v>
      </c>
      <c r="AL998" s="108">
        <f t="shared" si="191"/>
        <v>0</v>
      </c>
    </row>
    <row r="999" spans="19:38" x14ac:dyDescent="0.25">
      <c r="S999" s="108" t="str">
        <f>IF($A999="","",COUNTIF(BPOworkers!$B$6:$B$105,$A999))</f>
        <v/>
      </c>
      <c r="T999" s="109" t="str">
        <f>IF($A999="","",$K999*Config!$C$9)</f>
        <v/>
      </c>
      <c r="U999" s="109" t="str">
        <f>IF($A999="","",IF(COUNTIF(Config!$C$21:$C$23,$H999)&gt;0,IFERROR(VALUE(LEFT(TRIM($Q999),FIND(" ",TRIM($Q999)&amp;" ")-1)),0),0))</f>
        <v/>
      </c>
      <c r="V999" s="109" t="str">
        <f t="shared" si="180"/>
        <v/>
      </c>
      <c r="W999" s="108">
        <f>IF($A999="",0,IF(AND($C999&gt;=Config!$C$7,$C999&lt;=Config!$C$8),1,0))</f>
        <v>0</v>
      </c>
      <c r="X999" s="108">
        <f>IF($A999="",0,IF(COUNTIF(Config!$C$21:$C$23,$H999)&gt;0,1,0))</f>
        <v>0</v>
      </c>
      <c r="Y999" s="108">
        <f t="shared" si="181"/>
        <v>24</v>
      </c>
      <c r="Z999" s="108" t="str">
        <f t="shared" si="182"/>
        <v/>
      </c>
      <c r="AB999" s="108">
        <f t="shared" si="183"/>
        <v>0</v>
      </c>
      <c r="AC999" s="108">
        <f>IF($A999="",0,IF(AND($AB999=1,COUNTIF($A$2:$A999,$A999)=1),1,0))</f>
        <v>0</v>
      </c>
      <c r="AD999" s="108">
        <f t="shared" si="184"/>
        <v>1</v>
      </c>
      <c r="AE999" s="108" t="str">
        <f t="shared" si="185"/>
        <v/>
      </c>
      <c r="AF999" s="108">
        <f t="shared" si="186"/>
        <v>0</v>
      </c>
      <c r="AG999" s="108">
        <f t="shared" si="187"/>
        <v>0</v>
      </c>
      <c r="AH999" s="110" t="str">
        <f t="shared" si="188"/>
        <v/>
      </c>
      <c r="AI999" s="108">
        <f t="shared" si="189"/>
        <v>0</v>
      </c>
      <c r="AJ999" s="108">
        <f t="shared" si="190"/>
        <v>0</v>
      </c>
      <c r="AK999" s="108">
        <f>IF($A999="",0,IF(AND($S999=1,$W999=1,$X999=1,$U999&gt;Config!$C$9),1,0))</f>
        <v>0</v>
      </c>
      <c r="AL999" s="108">
        <f t="shared" si="191"/>
        <v>0</v>
      </c>
    </row>
    <row r="1000" spans="19:38" x14ac:dyDescent="0.25">
      <c r="S1000" s="108" t="str">
        <f>IF($A1000="","",COUNTIF(BPOworkers!$B$6:$B$105,$A1000))</f>
        <v/>
      </c>
      <c r="T1000" s="109" t="str">
        <f>IF($A1000="","",$K1000*Config!$C$9)</f>
        <v/>
      </c>
      <c r="U1000" s="109" t="str">
        <f>IF($A1000="","",IF(COUNTIF(Config!$C$21:$C$23,$H1000)&gt;0,IFERROR(VALUE(LEFT(TRIM($Q1000),FIND(" ",TRIM($Q1000)&amp;" ")-1)),0),0))</f>
        <v/>
      </c>
      <c r="V1000" s="109" t="str">
        <f t="shared" si="180"/>
        <v/>
      </c>
      <c r="W1000" s="108">
        <f>IF($A1000="",0,IF(AND($C1000&gt;=Config!$C$7,$C1000&lt;=Config!$C$8),1,0))</f>
        <v>0</v>
      </c>
      <c r="X1000" s="108">
        <f>IF($A1000="",0,IF(COUNTIF(Config!$C$21:$C$23,$H1000)&gt;0,1,0))</f>
        <v>0</v>
      </c>
      <c r="Y1000" s="108">
        <f t="shared" si="181"/>
        <v>24</v>
      </c>
      <c r="Z1000" s="108" t="str">
        <f t="shared" si="182"/>
        <v/>
      </c>
      <c r="AB1000" s="108">
        <f t="shared" si="183"/>
        <v>0</v>
      </c>
      <c r="AC1000" s="108">
        <f>IF($A1000="",0,IF(AND($AB1000=1,COUNTIF($A$2:$A1000,$A1000)=1),1,0))</f>
        <v>0</v>
      </c>
      <c r="AD1000" s="108">
        <f t="shared" si="184"/>
        <v>1</v>
      </c>
      <c r="AE1000" s="108" t="str">
        <f t="shared" si="185"/>
        <v/>
      </c>
      <c r="AF1000" s="108">
        <f t="shared" si="186"/>
        <v>0</v>
      </c>
      <c r="AG1000" s="108">
        <f t="shared" si="187"/>
        <v>0</v>
      </c>
      <c r="AH1000" s="110" t="str">
        <f t="shared" si="188"/>
        <v/>
      </c>
      <c r="AI1000" s="108">
        <f t="shared" si="189"/>
        <v>0</v>
      </c>
      <c r="AJ1000" s="108">
        <f t="shared" si="190"/>
        <v>0</v>
      </c>
      <c r="AK1000" s="108">
        <f>IF($A1000="",0,IF(AND($S1000=1,$W1000=1,$X1000=1,$U1000&gt;Config!$C$9),1,0))</f>
        <v>0</v>
      </c>
      <c r="AL1000" s="108">
        <f t="shared" si="191"/>
        <v>0</v>
      </c>
    </row>
    <row r="1001" spans="19:38" x14ac:dyDescent="0.25">
      <c r="S1001" s="108" t="str">
        <f>IF($A1001="","",COUNTIF(BPOworkers!$B$6:$B$105,$A1001))</f>
        <v/>
      </c>
      <c r="T1001" s="109" t="str">
        <f>IF($A1001="","",$K1001*Config!$C$9)</f>
        <v/>
      </c>
      <c r="U1001" s="109" t="str">
        <f>IF($A1001="","",IF(COUNTIF(Config!$C$21:$C$23,$H1001)&gt;0,IFERROR(VALUE(LEFT(TRIM($Q1001),FIND(" ",TRIM($Q1001)&amp;" ")-1)),0),0))</f>
        <v/>
      </c>
      <c r="V1001" s="109" t="str">
        <f t="shared" si="180"/>
        <v/>
      </c>
      <c r="W1001" s="108">
        <f>IF($A1001="",0,IF(AND($C1001&gt;=Config!$C$7,$C1001&lt;=Config!$C$8),1,0))</f>
        <v>0</v>
      </c>
      <c r="X1001" s="108">
        <f>IF($A1001="",0,IF(COUNTIF(Config!$C$21:$C$23,$H1001)&gt;0,1,0))</f>
        <v>0</v>
      </c>
      <c r="Y1001" s="108">
        <f t="shared" si="181"/>
        <v>24</v>
      </c>
      <c r="Z1001" s="108" t="str">
        <f t="shared" si="182"/>
        <v/>
      </c>
      <c r="AB1001" s="108">
        <f t="shared" si="183"/>
        <v>0</v>
      </c>
      <c r="AC1001" s="108">
        <f>IF($A1001="",0,IF(AND($AB1001=1,COUNTIF($A$2:$A1001,$A1001)=1),1,0))</f>
        <v>0</v>
      </c>
      <c r="AD1001" s="108">
        <f t="shared" si="184"/>
        <v>1</v>
      </c>
      <c r="AE1001" s="108" t="str">
        <f t="shared" si="185"/>
        <v/>
      </c>
      <c r="AF1001" s="108">
        <f t="shared" si="186"/>
        <v>0</v>
      </c>
      <c r="AG1001" s="108">
        <f t="shared" si="187"/>
        <v>0</v>
      </c>
      <c r="AH1001" s="110" t="str">
        <f t="shared" si="188"/>
        <v/>
      </c>
      <c r="AI1001" s="108">
        <f t="shared" si="189"/>
        <v>0</v>
      </c>
      <c r="AJ1001" s="108">
        <f t="shared" si="190"/>
        <v>0</v>
      </c>
      <c r="AK1001" s="108">
        <f>IF($A1001="",0,IF(AND($S1001=1,$W1001=1,$X1001=1,$U1001&gt;Config!$C$9),1,0))</f>
        <v>0</v>
      </c>
      <c r="AL1001" s="108">
        <f t="shared" si="191"/>
        <v>0</v>
      </c>
    </row>
    <row r="1002" spans="19:38" x14ac:dyDescent="0.25">
      <c r="S1002" s="108" t="str">
        <f>IF($A1002="","",COUNTIF(BPOworkers!$B$6:$B$105,$A1002))</f>
        <v/>
      </c>
      <c r="T1002" s="109" t="str">
        <f>IF($A1002="","",$K1002*Config!$C$9)</f>
        <v/>
      </c>
      <c r="U1002" s="109" t="str">
        <f>IF($A1002="","",IF(COUNTIF(Config!$C$21:$C$23,$H1002)&gt;0,IFERROR(VALUE(LEFT(TRIM($Q1002),FIND(" ",TRIM($Q1002)&amp;" ")-1)),0),0))</f>
        <v/>
      </c>
      <c r="V1002" s="109" t="str">
        <f t="shared" si="180"/>
        <v/>
      </c>
      <c r="W1002" s="108">
        <f>IF($A1002="",0,IF(AND($C1002&gt;=Config!$C$7,$C1002&lt;=Config!$C$8),1,0))</f>
        <v>0</v>
      </c>
      <c r="X1002" s="108">
        <f>IF($A1002="",0,IF(COUNTIF(Config!$C$21:$C$23,$H1002)&gt;0,1,0))</f>
        <v>0</v>
      </c>
      <c r="Y1002" s="108">
        <f t="shared" si="181"/>
        <v>24</v>
      </c>
      <c r="Z1002" s="108" t="str">
        <f t="shared" si="182"/>
        <v/>
      </c>
      <c r="AB1002" s="108">
        <f t="shared" si="183"/>
        <v>0</v>
      </c>
      <c r="AC1002" s="108">
        <f>IF($A1002="",0,IF(AND($AB1002=1,COUNTIF($A$2:$A1002,$A1002)=1),1,0))</f>
        <v>0</v>
      </c>
      <c r="AD1002" s="108">
        <f t="shared" si="184"/>
        <v>1</v>
      </c>
      <c r="AE1002" s="108" t="str">
        <f t="shared" si="185"/>
        <v/>
      </c>
      <c r="AF1002" s="108">
        <f t="shared" si="186"/>
        <v>0</v>
      </c>
      <c r="AG1002" s="108">
        <f t="shared" si="187"/>
        <v>0</v>
      </c>
      <c r="AH1002" s="110" t="str">
        <f t="shared" si="188"/>
        <v/>
      </c>
      <c r="AI1002" s="108">
        <f t="shared" si="189"/>
        <v>0</v>
      </c>
      <c r="AJ1002" s="108">
        <f t="shared" si="190"/>
        <v>0</v>
      </c>
      <c r="AK1002" s="108">
        <f>IF($A1002="",0,IF(AND($S1002=1,$W1002=1,$X1002=1,$U1002&gt;Config!$C$9),1,0))</f>
        <v>0</v>
      </c>
      <c r="AL1002" s="108">
        <f t="shared" si="191"/>
        <v>0</v>
      </c>
    </row>
    <row r="1003" spans="19:38" x14ac:dyDescent="0.25">
      <c r="S1003" s="108" t="str">
        <f>IF($A1003="","",COUNTIF(BPOworkers!$B$6:$B$105,$A1003))</f>
        <v/>
      </c>
      <c r="T1003" s="109" t="str">
        <f>IF($A1003="","",$K1003*Config!$C$9)</f>
        <v/>
      </c>
      <c r="U1003" s="109" t="str">
        <f>IF($A1003="","",IF(COUNTIF(Config!$C$21:$C$23,$H1003)&gt;0,IFERROR(VALUE(LEFT(TRIM($Q1003),FIND(" ",TRIM($Q1003)&amp;" ")-1)),0),0))</f>
        <v/>
      </c>
      <c r="V1003" s="109" t="str">
        <f t="shared" si="180"/>
        <v/>
      </c>
      <c r="W1003" s="108">
        <f>IF($A1003="",0,IF(AND($C1003&gt;=Config!$C$7,$C1003&lt;=Config!$C$8),1,0))</f>
        <v>0</v>
      </c>
      <c r="X1003" s="108">
        <f>IF($A1003="",0,IF(COUNTIF(Config!$C$21:$C$23,$H1003)&gt;0,1,0))</f>
        <v>0</v>
      </c>
      <c r="Y1003" s="108">
        <f t="shared" si="181"/>
        <v>24</v>
      </c>
      <c r="Z1003" s="108" t="str">
        <f t="shared" si="182"/>
        <v/>
      </c>
      <c r="AB1003" s="108">
        <f t="shared" si="183"/>
        <v>0</v>
      </c>
      <c r="AC1003" s="108">
        <f>IF($A1003="",0,IF(AND($AB1003=1,COUNTIF($A$2:$A1003,$A1003)=1),1,0))</f>
        <v>0</v>
      </c>
      <c r="AD1003" s="108">
        <f t="shared" si="184"/>
        <v>1</v>
      </c>
      <c r="AE1003" s="108" t="str">
        <f t="shared" si="185"/>
        <v/>
      </c>
      <c r="AF1003" s="108">
        <f t="shared" si="186"/>
        <v>0</v>
      </c>
      <c r="AG1003" s="108">
        <f t="shared" si="187"/>
        <v>0</v>
      </c>
      <c r="AH1003" s="110" t="str">
        <f t="shared" si="188"/>
        <v/>
      </c>
      <c r="AI1003" s="108">
        <f t="shared" si="189"/>
        <v>0</v>
      </c>
      <c r="AJ1003" s="108">
        <f t="shared" si="190"/>
        <v>0</v>
      </c>
      <c r="AK1003" s="108">
        <f>IF($A1003="",0,IF(AND($S1003=1,$W1003=1,$X1003=1,$U1003&gt;Config!$C$9),1,0))</f>
        <v>0</v>
      </c>
      <c r="AL1003" s="108">
        <f t="shared" si="191"/>
        <v>0</v>
      </c>
    </row>
    <row r="1004" spans="19:38" x14ac:dyDescent="0.25">
      <c r="S1004" s="108" t="str">
        <f>IF($A1004="","",COUNTIF(BPOworkers!$B$6:$B$105,$A1004))</f>
        <v/>
      </c>
      <c r="T1004" s="109" t="str">
        <f>IF($A1004="","",$K1004*Config!$C$9)</f>
        <v/>
      </c>
      <c r="U1004" s="109" t="str">
        <f>IF($A1004="","",IF(COUNTIF(Config!$C$21:$C$23,$H1004)&gt;0,IFERROR(VALUE(LEFT(TRIM($Q1004),FIND(" ",TRIM($Q1004)&amp;" ")-1)),0),0))</f>
        <v/>
      </c>
      <c r="V1004" s="109" t="str">
        <f t="shared" si="180"/>
        <v/>
      </c>
      <c r="W1004" s="108">
        <f>IF($A1004="",0,IF(AND($C1004&gt;=Config!$C$7,$C1004&lt;=Config!$C$8),1,0))</f>
        <v>0</v>
      </c>
      <c r="X1004" s="108">
        <f>IF($A1004="",0,IF(COUNTIF(Config!$C$21:$C$23,$H1004)&gt;0,1,0))</f>
        <v>0</v>
      </c>
      <c r="Y1004" s="108">
        <f t="shared" si="181"/>
        <v>24</v>
      </c>
      <c r="Z1004" s="108" t="str">
        <f t="shared" si="182"/>
        <v/>
      </c>
      <c r="AB1004" s="108">
        <f t="shared" si="183"/>
        <v>0</v>
      </c>
      <c r="AC1004" s="108">
        <f>IF($A1004="",0,IF(AND($AB1004=1,COUNTIF($A$2:$A1004,$A1004)=1),1,0))</f>
        <v>0</v>
      </c>
      <c r="AD1004" s="108">
        <f t="shared" si="184"/>
        <v>1</v>
      </c>
      <c r="AE1004" s="108" t="str">
        <f t="shared" si="185"/>
        <v/>
      </c>
      <c r="AF1004" s="108">
        <f t="shared" si="186"/>
        <v>0</v>
      </c>
      <c r="AG1004" s="108">
        <f t="shared" si="187"/>
        <v>0</v>
      </c>
      <c r="AH1004" s="110" t="str">
        <f t="shared" si="188"/>
        <v/>
      </c>
      <c r="AI1004" s="108">
        <f t="shared" si="189"/>
        <v>0</v>
      </c>
      <c r="AJ1004" s="108">
        <f t="shared" si="190"/>
        <v>0</v>
      </c>
      <c r="AK1004" s="108">
        <f>IF($A1004="",0,IF(AND($S1004=1,$W1004=1,$X1004=1,$U1004&gt;Config!$C$9),1,0))</f>
        <v>0</v>
      </c>
      <c r="AL1004" s="108">
        <f t="shared" si="191"/>
        <v>0</v>
      </c>
    </row>
    <row r="1005" spans="19:38" x14ac:dyDescent="0.25">
      <c r="S1005" s="108" t="str">
        <f>IF($A1005="","",COUNTIF(BPOworkers!$B$6:$B$105,$A1005))</f>
        <v/>
      </c>
      <c r="T1005" s="109" t="str">
        <f>IF($A1005="","",$K1005*Config!$C$9)</f>
        <v/>
      </c>
      <c r="U1005" s="109" t="str">
        <f>IF($A1005="","",IF(COUNTIF(Config!$C$21:$C$23,$H1005)&gt;0,IFERROR(VALUE(LEFT(TRIM($Q1005),FIND(" ",TRIM($Q1005)&amp;" ")-1)),0),0))</f>
        <v/>
      </c>
      <c r="V1005" s="109" t="str">
        <f t="shared" si="180"/>
        <v/>
      </c>
      <c r="W1005" s="108">
        <f>IF($A1005="",0,IF(AND($C1005&gt;=Config!$C$7,$C1005&lt;=Config!$C$8),1,0))</f>
        <v>0</v>
      </c>
      <c r="X1005" s="108">
        <f>IF($A1005="",0,IF(COUNTIF(Config!$C$21:$C$23,$H1005)&gt;0,1,0))</f>
        <v>0</v>
      </c>
      <c r="Y1005" s="108">
        <f t="shared" si="181"/>
        <v>24</v>
      </c>
      <c r="Z1005" s="108" t="str">
        <f t="shared" si="182"/>
        <v/>
      </c>
      <c r="AB1005" s="108">
        <f t="shared" si="183"/>
        <v>0</v>
      </c>
      <c r="AC1005" s="108">
        <f>IF($A1005="",0,IF(AND($AB1005=1,COUNTIF($A$2:$A1005,$A1005)=1),1,0))</f>
        <v>0</v>
      </c>
      <c r="AD1005" s="108">
        <f t="shared" si="184"/>
        <v>1</v>
      </c>
      <c r="AE1005" s="108" t="str">
        <f t="shared" si="185"/>
        <v/>
      </c>
      <c r="AF1005" s="108">
        <f t="shared" si="186"/>
        <v>0</v>
      </c>
      <c r="AG1005" s="108">
        <f t="shared" si="187"/>
        <v>0</v>
      </c>
      <c r="AH1005" s="110" t="str">
        <f t="shared" si="188"/>
        <v/>
      </c>
      <c r="AI1005" s="108">
        <f t="shared" si="189"/>
        <v>0</v>
      </c>
      <c r="AJ1005" s="108">
        <f t="shared" si="190"/>
        <v>0</v>
      </c>
      <c r="AK1005" s="108">
        <f>IF($A1005="",0,IF(AND($S1005=1,$W1005=1,$X1005=1,$U1005&gt;Config!$C$9),1,0))</f>
        <v>0</v>
      </c>
      <c r="AL1005" s="108">
        <f t="shared" si="191"/>
        <v>0</v>
      </c>
    </row>
    <row r="1006" spans="19:38" x14ac:dyDescent="0.25">
      <c r="S1006" s="108" t="str">
        <f>IF($A1006="","",COUNTIF(BPOworkers!$B$6:$B$105,$A1006))</f>
        <v/>
      </c>
      <c r="T1006" s="109" t="str">
        <f>IF($A1006="","",$K1006*Config!$C$9)</f>
        <v/>
      </c>
      <c r="U1006" s="109" t="str">
        <f>IF($A1006="","",IF(COUNTIF(Config!$C$21:$C$23,$H1006)&gt;0,IFERROR(VALUE(LEFT(TRIM($Q1006),FIND(" ",TRIM($Q1006)&amp;" ")-1)),0),0))</f>
        <v/>
      </c>
      <c r="V1006" s="109" t="str">
        <f t="shared" si="180"/>
        <v/>
      </c>
      <c r="W1006" s="108">
        <f>IF($A1006="",0,IF(AND($C1006&gt;=Config!$C$7,$C1006&lt;=Config!$C$8),1,0))</f>
        <v>0</v>
      </c>
      <c r="X1006" s="108">
        <f>IF($A1006="",0,IF(COUNTIF(Config!$C$21:$C$23,$H1006)&gt;0,1,0))</f>
        <v>0</v>
      </c>
      <c r="Y1006" s="108">
        <f t="shared" si="181"/>
        <v>24</v>
      </c>
      <c r="Z1006" s="108" t="str">
        <f t="shared" si="182"/>
        <v/>
      </c>
      <c r="AB1006" s="108">
        <f t="shared" si="183"/>
        <v>0</v>
      </c>
      <c r="AC1006" s="108">
        <f>IF($A1006="",0,IF(AND($AB1006=1,COUNTIF($A$2:$A1006,$A1006)=1),1,0))</f>
        <v>0</v>
      </c>
      <c r="AD1006" s="108">
        <f t="shared" si="184"/>
        <v>1</v>
      </c>
      <c r="AE1006" s="108" t="str">
        <f t="shared" si="185"/>
        <v/>
      </c>
      <c r="AF1006" s="108">
        <f t="shared" si="186"/>
        <v>0</v>
      </c>
      <c r="AG1006" s="108">
        <f t="shared" si="187"/>
        <v>0</v>
      </c>
      <c r="AH1006" s="110" t="str">
        <f t="shared" si="188"/>
        <v/>
      </c>
      <c r="AI1006" s="108">
        <f t="shared" si="189"/>
        <v>0</v>
      </c>
      <c r="AJ1006" s="108">
        <f t="shared" si="190"/>
        <v>0</v>
      </c>
      <c r="AK1006" s="108">
        <f>IF($A1006="",0,IF(AND($S1006=1,$W1006=1,$X1006=1,$U1006&gt;Config!$C$9),1,0))</f>
        <v>0</v>
      </c>
      <c r="AL1006" s="108">
        <f t="shared" si="191"/>
        <v>0</v>
      </c>
    </row>
    <row r="1007" spans="19:38" x14ac:dyDescent="0.25">
      <c r="S1007" s="108" t="str">
        <f>IF($A1007="","",COUNTIF(BPOworkers!$B$6:$B$105,$A1007))</f>
        <v/>
      </c>
      <c r="T1007" s="109" t="str">
        <f>IF($A1007="","",$K1007*Config!$C$9)</f>
        <v/>
      </c>
      <c r="U1007" s="109" t="str">
        <f>IF($A1007="","",IF(COUNTIF(Config!$C$21:$C$23,$H1007)&gt;0,IFERROR(VALUE(LEFT(TRIM($Q1007),FIND(" ",TRIM($Q1007)&amp;" ")-1)),0),0))</f>
        <v/>
      </c>
      <c r="V1007" s="109" t="str">
        <f t="shared" si="180"/>
        <v/>
      </c>
      <c r="W1007" s="108">
        <f>IF($A1007="",0,IF(AND($C1007&gt;=Config!$C$7,$C1007&lt;=Config!$C$8),1,0))</f>
        <v>0</v>
      </c>
      <c r="X1007" s="108">
        <f>IF($A1007="",0,IF(COUNTIF(Config!$C$21:$C$23,$H1007)&gt;0,1,0))</f>
        <v>0</v>
      </c>
      <c r="Y1007" s="108">
        <f t="shared" si="181"/>
        <v>24</v>
      </c>
      <c r="Z1007" s="108" t="str">
        <f t="shared" si="182"/>
        <v/>
      </c>
      <c r="AB1007" s="108">
        <f t="shared" si="183"/>
        <v>0</v>
      </c>
      <c r="AC1007" s="108">
        <f>IF($A1007="",0,IF(AND($AB1007=1,COUNTIF($A$2:$A1007,$A1007)=1),1,0))</f>
        <v>0</v>
      </c>
      <c r="AD1007" s="108">
        <f t="shared" si="184"/>
        <v>1</v>
      </c>
      <c r="AE1007" s="108" t="str">
        <f t="shared" si="185"/>
        <v/>
      </c>
      <c r="AF1007" s="108">
        <f t="shared" si="186"/>
        <v>0</v>
      </c>
      <c r="AG1007" s="108">
        <f t="shared" si="187"/>
        <v>0</v>
      </c>
      <c r="AH1007" s="110" t="str">
        <f t="shared" si="188"/>
        <v/>
      </c>
      <c r="AI1007" s="108">
        <f t="shared" si="189"/>
        <v>0</v>
      </c>
      <c r="AJ1007" s="108">
        <f t="shared" si="190"/>
        <v>0</v>
      </c>
      <c r="AK1007" s="108">
        <f>IF($A1007="",0,IF(AND($S1007=1,$W1007=1,$X1007=1,$U1007&gt;Config!$C$9),1,0))</f>
        <v>0</v>
      </c>
      <c r="AL1007" s="108">
        <f t="shared" si="191"/>
        <v>0</v>
      </c>
    </row>
    <row r="1008" spans="19:38" x14ac:dyDescent="0.25">
      <c r="S1008" s="108" t="str">
        <f>IF($A1008="","",COUNTIF(BPOworkers!$B$6:$B$105,$A1008))</f>
        <v/>
      </c>
      <c r="T1008" s="109" t="str">
        <f>IF($A1008="","",$K1008*Config!$C$9)</f>
        <v/>
      </c>
      <c r="U1008" s="109" t="str">
        <f>IF($A1008="","",IF(COUNTIF(Config!$C$21:$C$23,$H1008)&gt;0,IFERROR(VALUE(LEFT(TRIM($Q1008),FIND(" ",TRIM($Q1008)&amp;" ")-1)),0),0))</f>
        <v/>
      </c>
      <c r="V1008" s="109" t="str">
        <f t="shared" si="180"/>
        <v/>
      </c>
      <c r="W1008" s="108">
        <f>IF($A1008="",0,IF(AND($C1008&gt;=Config!$C$7,$C1008&lt;=Config!$C$8),1,0))</f>
        <v>0</v>
      </c>
      <c r="X1008" s="108">
        <f>IF($A1008="",0,IF(COUNTIF(Config!$C$21:$C$23,$H1008)&gt;0,1,0))</f>
        <v>0</v>
      </c>
      <c r="Y1008" s="108">
        <f t="shared" si="181"/>
        <v>24</v>
      </c>
      <c r="Z1008" s="108" t="str">
        <f t="shared" si="182"/>
        <v/>
      </c>
      <c r="AB1008" s="108">
        <f t="shared" si="183"/>
        <v>0</v>
      </c>
      <c r="AC1008" s="108">
        <f>IF($A1008="",0,IF(AND($AB1008=1,COUNTIF($A$2:$A1008,$A1008)=1),1,0))</f>
        <v>0</v>
      </c>
      <c r="AD1008" s="108">
        <f t="shared" si="184"/>
        <v>1</v>
      </c>
      <c r="AE1008" s="108" t="str">
        <f t="shared" si="185"/>
        <v/>
      </c>
      <c r="AF1008" s="108">
        <f t="shared" si="186"/>
        <v>0</v>
      </c>
      <c r="AG1008" s="108">
        <f t="shared" si="187"/>
        <v>0</v>
      </c>
      <c r="AH1008" s="110" t="str">
        <f t="shared" si="188"/>
        <v/>
      </c>
      <c r="AI1008" s="108">
        <f t="shared" si="189"/>
        <v>0</v>
      </c>
      <c r="AJ1008" s="108">
        <f t="shared" si="190"/>
        <v>0</v>
      </c>
      <c r="AK1008" s="108">
        <f>IF($A1008="",0,IF(AND($S1008=1,$W1008=1,$X1008=1,$U1008&gt;Config!$C$9),1,0))</f>
        <v>0</v>
      </c>
      <c r="AL1008" s="108">
        <f t="shared" si="191"/>
        <v>0</v>
      </c>
    </row>
    <row r="1009" spans="19:38" x14ac:dyDescent="0.25">
      <c r="S1009" s="108" t="str">
        <f>IF($A1009="","",COUNTIF(BPOworkers!$B$6:$B$105,$A1009))</f>
        <v/>
      </c>
      <c r="T1009" s="109" t="str">
        <f>IF($A1009="","",$K1009*Config!$C$9)</f>
        <v/>
      </c>
      <c r="U1009" s="109" t="str">
        <f>IF($A1009="","",IF(COUNTIF(Config!$C$21:$C$23,$H1009)&gt;0,IFERROR(VALUE(LEFT(TRIM($Q1009),FIND(" ",TRIM($Q1009)&amp;" ")-1)),0),0))</f>
        <v/>
      </c>
      <c r="V1009" s="109" t="str">
        <f t="shared" si="180"/>
        <v/>
      </c>
      <c r="W1009" s="108">
        <f>IF($A1009="",0,IF(AND($C1009&gt;=Config!$C$7,$C1009&lt;=Config!$C$8),1,0))</f>
        <v>0</v>
      </c>
      <c r="X1009" s="108">
        <f>IF($A1009="",0,IF(COUNTIF(Config!$C$21:$C$23,$H1009)&gt;0,1,0))</f>
        <v>0</v>
      </c>
      <c r="Y1009" s="108">
        <f t="shared" si="181"/>
        <v>24</v>
      </c>
      <c r="Z1009" s="108" t="str">
        <f t="shared" si="182"/>
        <v/>
      </c>
      <c r="AB1009" s="108">
        <f t="shared" si="183"/>
        <v>0</v>
      </c>
      <c r="AC1009" s="108">
        <f>IF($A1009="",0,IF(AND($AB1009=1,COUNTIF($A$2:$A1009,$A1009)=1),1,0))</f>
        <v>0</v>
      </c>
      <c r="AD1009" s="108">
        <f t="shared" si="184"/>
        <v>1</v>
      </c>
      <c r="AE1009" s="108" t="str">
        <f t="shared" si="185"/>
        <v/>
      </c>
      <c r="AF1009" s="108">
        <f t="shared" si="186"/>
        <v>0</v>
      </c>
      <c r="AG1009" s="108">
        <f t="shared" si="187"/>
        <v>0</v>
      </c>
      <c r="AH1009" s="110" t="str">
        <f t="shared" si="188"/>
        <v/>
      </c>
      <c r="AI1009" s="108">
        <f t="shared" si="189"/>
        <v>0</v>
      </c>
      <c r="AJ1009" s="108">
        <f t="shared" si="190"/>
        <v>0</v>
      </c>
      <c r="AK1009" s="108">
        <f>IF($A1009="",0,IF(AND($S1009=1,$W1009=1,$X1009=1,$U1009&gt;Config!$C$9),1,0))</f>
        <v>0</v>
      </c>
      <c r="AL1009" s="108">
        <f t="shared" si="191"/>
        <v>0</v>
      </c>
    </row>
    <row r="1010" spans="19:38" x14ac:dyDescent="0.25">
      <c r="S1010" s="108" t="str">
        <f>IF($A1010="","",COUNTIF(BPOworkers!$B$6:$B$105,$A1010))</f>
        <v/>
      </c>
      <c r="T1010" s="109" t="str">
        <f>IF($A1010="","",$K1010*Config!$C$9)</f>
        <v/>
      </c>
      <c r="U1010" s="109" t="str">
        <f>IF($A1010="","",IF(COUNTIF(Config!$C$21:$C$23,$H1010)&gt;0,IFERROR(VALUE(LEFT(TRIM($Q1010),FIND(" ",TRIM($Q1010)&amp;" ")-1)),0),0))</f>
        <v/>
      </c>
      <c r="V1010" s="109" t="str">
        <f t="shared" si="180"/>
        <v/>
      </c>
      <c r="W1010" s="108">
        <f>IF($A1010="",0,IF(AND($C1010&gt;=Config!$C$7,$C1010&lt;=Config!$C$8),1,0))</f>
        <v>0</v>
      </c>
      <c r="X1010" s="108">
        <f>IF($A1010="",0,IF(COUNTIF(Config!$C$21:$C$23,$H1010)&gt;0,1,0))</f>
        <v>0</v>
      </c>
      <c r="Y1010" s="108">
        <f t="shared" si="181"/>
        <v>24</v>
      </c>
      <c r="Z1010" s="108" t="str">
        <f t="shared" si="182"/>
        <v/>
      </c>
      <c r="AB1010" s="108">
        <f t="shared" si="183"/>
        <v>0</v>
      </c>
      <c r="AC1010" s="108">
        <f>IF($A1010="",0,IF(AND($AB1010=1,COUNTIF($A$2:$A1010,$A1010)=1),1,0))</f>
        <v>0</v>
      </c>
      <c r="AD1010" s="108">
        <f t="shared" si="184"/>
        <v>1</v>
      </c>
      <c r="AE1010" s="108" t="str">
        <f t="shared" si="185"/>
        <v/>
      </c>
      <c r="AF1010" s="108">
        <f t="shared" si="186"/>
        <v>0</v>
      </c>
      <c r="AG1010" s="108">
        <f t="shared" si="187"/>
        <v>0</v>
      </c>
      <c r="AH1010" s="110" t="str">
        <f t="shared" si="188"/>
        <v/>
      </c>
      <c r="AI1010" s="108">
        <f t="shared" si="189"/>
        <v>0</v>
      </c>
      <c r="AJ1010" s="108">
        <f t="shared" si="190"/>
        <v>0</v>
      </c>
      <c r="AK1010" s="108">
        <f>IF($A1010="",0,IF(AND($S1010=1,$W1010=1,$X1010=1,$U1010&gt;Config!$C$9),1,0))</f>
        <v>0</v>
      </c>
      <c r="AL1010" s="108">
        <f t="shared" si="191"/>
        <v>0</v>
      </c>
    </row>
    <row r="1011" spans="19:38" x14ac:dyDescent="0.25">
      <c r="S1011" s="108" t="str">
        <f>IF($A1011="","",COUNTIF(BPOworkers!$B$6:$B$105,$A1011))</f>
        <v/>
      </c>
      <c r="T1011" s="109" t="str">
        <f>IF($A1011="","",$K1011*Config!$C$9)</f>
        <v/>
      </c>
      <c r="U1011" s="109" t="str">
        <f>IF($A1011="","",IF(COUNTIF(Config!$C$21:$C$23,$H1011)&gt;0,IFERROR(VALUE(LEFT(TRIM($Q1011),FIND(" ",TRIM($Q1011)&amp;" ")-1)),0),0))</f>
        <v/>
      </c>
      <c r="V1011" s="109" t="str">
        <f t="shared" si="180"/>
        <v/>
      </c>
      <c r="W1011" s="108">
        <f>IF($A1011="",0,IF(AND($C1011&gt;=Config!$C$7,$C1011&lt;=Config!$C$8),1,0))</f>
        <v>0</v>
      </c>
      <c r="X1011" s="108">
        <f>IF($A1011="",0,IF(COUNTIF(Config!$C$21:$C$23,$H1011)&gt;0,1,0))</f>
        <v>0</v>
      </c>
      <c r="Y1011" s="108">
        <f t="shared" si="181"/>
        <v>24</v>
      </c>
      <c r="Z1011" s="108" t="str">
        <f t="shared" si="182"/>
        <v/>
      </c>
      <c r="AB1011" s="108">
        <f t="shared" si="183"/>
        <v>0</v>
      </c>
      <c r="AC1011" s="108">
        <f>IF($A1011="",0,IF(AND($AB1011=1,COUNTIF($A$2:$A1011,$A1011)=1),1,0))</f>
        <v>0</v>
      </c>
      <c r="AD1011" s="108">
        <f t="shared" si="184"/>
        <v>1</v>
      </c>
      <c r="AE1011" s="108" t="str">
        <f t="shared" si="185"/>
        <v/>
      </c>
      <c r="AF1011" s="108">
        <f t="shared" si="186"/>
        <v>0</v>
      </c>
      <c r="AG1011" s="108">
        <f t="shared" si="187"/>
        <v>0</v>
      </c>
      <c r="AH1011" s="110" t="str">
        <f t="shared" si="188"/>
        <v/>
      </c>
      <c r="AI1011" s="108">
        <f t="shared" si="189"/>
        <v>0</v>
      </c>
      <c r="AJ1011" s="108">
        <f t="shared" si="190"/>
        <v>0</v>
      </c>
      <c r="AK1011" s="108">
        <f>IF($A1011="",0,IF(AND($S1011=1,$W1011=1,$X1011=1,$U1011&gt;Config!$C$9),1,0))</f>
        <v>0</v>
      </c>
      <c r="AL1011" s="108">
        <f t="shared" si="191"/>
        <v>0</v>
      </c>
    </row>
    <row r="1012" spans="19:38" x14ac:dyDescent="0.25">
      <c r="S1012" s="108" t="str">
        <f>IF($A1012="","",COUNTIF(BPOworkers!$B$6:$B$105,$A1012))</f>
        <v/>
      </c>
      <c r="T1012" s="109" t="str">
        <f>IF($A1012="","",$K1012*Config!$C$9)</f>
        <v/>
      </c>
      <c r="U1012" s="109" t="str">
        <f>IF($A1012="","",IF(COUNTIF(Config!$C$21:$C$23,$H1012)&gt;0,IFERROR(VALUE(LEFT(TRIM($Q1012),FIND(" ",TRIM($Q1012)&amp;" ")-1)),0),0))</f>
        <v/>
      </c>
      <c r="V1012" s="109" t="str">
        <f t="shared" si="180"/>
        <v/>
      </c>
      <c r="W1012" s="108">
        <f>IF($A1012="",0,IF(AND($C1012&gt;=Config!$C$7,$C1012&lt;=Config!$C$8),1,0))</f>
        <v>0</v>
      </c>
      <c r="X1012" s="108">
        <f>IF($A1012="",0,IF(COUNTIF(Config!$C$21:$C$23,$H1012)&gt;0,1,0))</f>
        <v>0</v>
      </c>
      <c r="Y1012" s="108">
        <f t="shared" si="181"/>
        <v>24</v>
      </c>
      <c r="Z1012" s="108" t="str">
        <f t="shared" si="182"/>
        <v/>
      </c>
      <c r="AB1012" s="108">
        <f t="shared" si="183"/>
        <v>0</v>
      </c>
      <c r="AC1012" s="108">
        <f>IF($A1012="",0,IF(AND($AB1012=1,COUNTIF($A$2:$A1012,$A1012)=1),1,0))</f>
        <v>0</v>
      </c>
      <c r="AD1012" s="108">
        <f t="shared" si="184"/>
        <v>1</v>
      </c>
      <c r="AE1012" s="108" t="str">
        <f t="shared" si="185"/>
        <v/>
      </c>
      <c r="AF1012" s="108">
        <f t="shared" si="186"/>
        <v>0</v>
      </c>
      <c r="AG1012" s="108">
        <f t="shared" si="187"/>
        <v>0</v>
      </c>
      <c r="AH1012" s="110" t="str">
        <f t="shared" si="188"/>
        <v/>
      </c>
      <c r="AI1012" s="108">
        <f t="shared" si="189"/>
        <v>0</v>
      </c>
      <c r="AJ1012" s="108">
        <f t="shared" si="190"/>
        <v>0</v>
      </c>
      <c r="AK1012" s="108">
        <f>IF($A1012="",0,IF(AND($S1012=1,$W1012=1,$X1012=1,$U1012&gt;Config!$C$9),1,0))</f>
        <v>0</v>
      </c>
      <c r="AL1012" s="108">
        <f t="shared" si="191"/>
        <v>0</v>
      </c>
    </row>
    <row r="1013" spans="19:38" x14ac:dyDescent="0.25">
      <c r="S1013" s="108" t="str">
        <f>IF($A1013="","",COUNTIF(BPOworkers!$B$6:$B$105,$A1013))</f>
        <v/>
      </c>
      <c r="T1013" s="109" t="str">
        <f>IF($A1013="","",$K1013*Config!$C$9)</f>
        <v/>
      </c>
      <c r="U1013" s="109" t="str">
        <f>IF($A1013="","",IF(COUNTIF(Config!$C$21:$C$23,$H1013)&gt;0,IFERROR(VALUE(LEFT(TRIM($Q1013),FIND(" ",TRIM($Q1013)&amp;" ")-1)),0),0))</f>
        <v/>
      </c>
      <c r="V1013" s="109" t="str">
        <f t="shared" si="180"/>
        <v/>
      </c>
      <c r="W1013" s="108">
        <f>IF($A1013="",0,IF(AND($C1013&gt;=Config!$C$7,$C1013&lt;=Config!$C$8),1,0))</f>
        <v>0</v>
      </c>
      <c r="X1013" s="108">
        <f>IF($A1013="",0,IF(COUNTIF(Config!$C$21:$C$23,$H1013)&gt;0,1,0))</f>
        <v>0</v>
      </c>
      <c r="Y1013" s="108">
        <f t="shared" si="181"/>
        <v>24</v>
      </c>
      <c r="Z1013" s="108" t="str">
        <f t="shared" si="182"/>
        <v/>
      </c>
      <c r="AB1013" s="108">
        <f t="shared" si="183"/>
        <v>0</v>
      </c>
      <c r="AC1013" s="108">
        <f>IF($A1013="",0,IF(AND($AB1013=1,COUNTIF($A$2:$A1013,$A1013)=1),1,0))</f>
        <v>0</v>
      </c>
      <c r="AD1013" s="108">
        <f t="shared" si="184"/>
        <v>1</v>
      </c>
      <c r="AE1013" s="108" t="str">
        <f t="shared" si="185"/>
        <v/>
      </c>
      <c r="AF1013" s="108">
        <f t="shared" si="186"/>
        <v>0</v>
      </c>
      <c r="AG1013" s="108">
        <f t="shared" si="187"/>
        <v>0</v>
      </c>
      <c r="AH1013" s="110" t="str">
        <f t="shared" si="188"/>
        <v/>
      </c>
      <c r="AI1013" s="108">
        <f t="shared" si="189"/>
        <v>0</v>
      </c>
      <c r="AJ1013" s="108">
        <f t="shared" si="190"/>
        <v>0</v>
      </c>
      <c r="AK1013" s="108">
        <f>IF($A1013="",0,IF(AND($S1013=1,$W1013=1,$X1013=1,$U1013&gt;Config!$C$9),1,0))</f>
        <v>0</v>
      </c>
      <c r="AL1013" s="108">
        <f t="shared" si="191"/>
        <v>0</v>
      </c>
    </row>
    <row r="1014" spans="19:38" x14ac:dyDescent="0.25">
      <c r="S1014" s="108" t="str">
        <f>IF($A1014="","",COUNTIF(BPOworkers!$B$6:$B$105,$A1014))</f>
        <v/>
      </c>
      <c r="T1014" s="109" t="str">
        <f>IF($A1014="","",$K1014*Config!$C$9)</f>
        <v/>
      </c>
      <c r="U1014" s="109" t="str">
        <f>IF($A1014="","",IF(COUNTIF(Config!$C$21:$C$23,$H1014)&gt;0,IFERROR(VALUE(LEFT(TRIM($Q1014),FIND(" ",TRIM($Q1014)&amp;" ")-1)),0),0))</f>
        <v/>
      </c>
      <c r="V1014" s="109" t="str">
        <f t="shared" si="180"/>
        <v/>
      </c>
      <c r="W1014" s="108">
        <f>IF($A1014="",0,IF(AND($C1014&gt;=Config!$C$7,$C1014&lt;=Config!$C$8),1,0))</f>
        <v>0</v>
      </c>
      <c r="X1014" s="108">
        <f>IF($A1014="",0,IF(COUNTIF(Config!$C$21:$C$23,$H1014)&gt;0,1,0))</f>
        <v>0</v>
      </c>
      <c r="Y1014" s="108">
        <f t="shared" si="181"/>
        <v>24</v>
      </c>
      <c r="Z1014" s="108" t="str">
        <f t="shared" si="182"/>
        <v/>
      </c>
      <c r="AB1014" s="108">
        <f t="shared" si="183"/>
        <v>0</v>
      </c>
      <c r="AC1014" s="108">
        <f>IF($A1014="",0,IF(AND($AB1014=1,COUNTIF($A$2:$A1014,$A1014)=1),1,0))</f>
        <v>0</v>
      </c>
      <c r="AD1014" s="108">
        <f t="shared" si="184"/>
        <v>1</v>
      </c>
      <c r="AE1014" s="108" t="str">
        <f t="shared" si="185"/>
        <v/>
      </c>
      <c r="AF1014" s="108">
        <f t="shared" si="186"/>
        <v>0</v>
      </c>
      <c r="AG1014" s="108">
        <f t="shared" si="187"/>
        <v>0</v>
      </c>
      <c r="AH1014" s="110" t="str">
        <f t="shared" si="188"/>
        <v/>
      </c>
      <c r="AI1014" s="108">
        <f t="shared" si="189"/>
        <v>0</v>
      </c>
      <c r="AJ1014" s="108">
        <f t="shared" si="190"/>
        <v>0</v>
      </c>
      <c r="AK1014" s="108">
        <f>IF($A1014="",0,IF(AND($S1014=1,$W1014=1,$X1014=1,$U1014&gt;Config!$C$9),1,0))</f>
        <v>0</v>
      </c>
      <c r="AL1014" s="108">
        <f t="shared" si="191"/>
        <v>0</v>
      </c>
    </row>
    <row r="1015" spans="19:38" x14ac:dyDescent="0.25">
      <c r="S1015" s="108" t="str">
        <f>IF($A1015="","",COUNTIF(BPOworkers!$B$6:$B$105,$A1015))</f>
        <v/>
      </c>
      <c r="T1015" s="109" t="str">
        <f>IF($A1015="","",$K1015*Config!$C$9)</f>
        <v/>
      </c>
      <c r="U1015" s="109" t="str">
        <f>IF($A1015="","",IF(COUNTIF(Config!$C$21:$C$23,$H1015)&gt;0,IFERROR(VALUE(LEFT(TRIM($Q1015),FIND(" ",TRIM($Q1015)&amp;" ")-1)),0),0))</f>
        <v/>
      </c>
      <c r="V1015" s="109" t="str">
        <f t="shared" si="180"/>
        <v/>
      </c>
      <c r="W1015" s="108">
        <f>IF($A1015="",0,IF(AND($C1015&gt;=Config!$C$7,$C1015&lt;=Config!$C$8),1,0))</f>
        <v>0</v>
      </c>
      <c r="X1015" s="108">
        <f>IF($A1015="",0,IF(COUNTIF(Config!$C$21:$C$23,$H1015)&gt;0,1,0))</f>
        <v>0</v>
      </c>
      <c r="Y1015" s="108">
        <f t="shared" si="181"/>
        <v>24</v>
      </c>
      <c r="Z1015" s="108" t="str">
        <f t="shared" si="182"/>
        <v/>
      </c>
      <c r="AB1015" s="108">
        <f t="shared" si="183"/>
        <v>0</v>
      </c>
      <c r="AC1015" s="108">
        <f>IF($A1015="",0,IF(AND($AB1015=1,COUNTIF($A$2:$A1015,$A1015)=1),1,0))</f>
        <v>0</v>
      </c>
      <c r="AD1015" s="108">
        <f t="shared" si="184"/>
        <v>1</v>
      </c>
      <c r="AE1015" s="108" t="str">
        <f t="shared" si="185"/>
        <v/>
      </c>
      <c r="AF1015" s="108">
        <f t="shared" si="186"/>
        <v>0</v>
      </c>
      <c r="AG1015" s="108">
        <f t="shared" si="187"/>
        <v>0</v>
      </c>
      <c r="AH1015" s="110" t="str">
        <f t="shared" si="188"/>
        <v/>
      </c>
      <c r="AI1015" s="108">
        <f t="shared" si="189"/>
        <v>0</v>
      </c>
      <c r="AJ1015" s="108">
        <f t="shared" si="190"/>
        <v>0</v>
      </c>
      <c r="AK1015" s="108">
        <f>IF($A1015="",0,IF(AND($S1015=1,$W1015=1,$X1015=1,$U1015&gt;Config!$C$9),1,0))</f>
        <v>0</v>
      </c>
      <c r="AL1015" s="108">
        <f t="shared" si="191"/>
        <v>0</v>
      </c>
    </row>
    <row r="1016" spans="19:38" x14ac:dyDescent="0.25">
      <c r="S1016" s="108" t="str">
        <f>IF($A1016="","",COUNTIF(BPOworkers!$B$6:$B$105,$A1016))</f>
        <v/>
      </c>
      <c r="T1016" s="109" t="str">
        <f>IF($A1016="","",$K1016*Config!$C$9)</f>
        <v/>
      </c>
      <c r="U1016" s="109" t="str">
        <f>IF($A1016="","",IF(COUNTIF(Config!$C$21:$C$23,$H1016)&gt;0,IFERROR(VALUE(LEFT(TRIM($Q1016),FIND(" ",TRIM($Q1016)&amp;" ")-1)),0),0))</f>
        <v/>
      </c>
      <c r="V1016" s="109" t="str">
        <f t="shared" si="180"/>
        <v/>
      </c>
      <c r="W1016" s="108">
        <f>IF($A1016="",0,IF(AND($C1016&gt;=Config!$C$7,$C1016&lt;=Config!$C$8),1,0))</f>
        <v>0</v>
      </c>
      <c r="X1016" s="108">
        <f>IF($A1016="",0,IF(COUNTIF(Config!$C$21:$C$23,$H1016)&gt;0,1,0))</f>
        <v>0</v>
      </c>
      <c r="Y1016" s="108">
        <f t="shared" si="181"/>
        <v>24</v>
      </c>
      <c r="Z1016" s="108" t="str">
        <f t="shared" si="182"/>
        <v/>
      </c>
      <c r="AB1016" s="108">
        <f t="shared" si="183"/>
        <v>0</v>
      </c>
      <c r="AC1016" s="108">
        <f>IF($A1016="",0,IF(AND($AB1016=1,COUNTIF($A$2:$A1016,$A1016)=1),1,0))</f>
        <v>0</v>
      </c>
      <c r="AD1016" s="108">
        <f t="shared" si="184"/>
        <v>1</v>
      </c>
      <c r="AE1016" s="108" t="str">
        <f t="shared" si="185"/>
        <v/>
      </c>
      <c r="AF1016" s="108">
        <f t="shared" si="186"/>
        <v>0</v>
      </c>
      <c r="AG1016" s="108">
        <f t="shared" si="187"/>
        <v>0</v>
      </c>
      <c r="AH1016" s="110" t="str">
        <f t="shared" si="188"/>
        <v/>
      </c>
      <c r="AI1016" s="108">
        <f t="shared" si="189"/>
        <v>0</v>
      </c>
      <c r="AJ1016" s="108">
        <f t="shared" si="190"/>
        <v>0</v>
      </c>
      <c r="AK1016" s="108">
        <f>IF($A1016="",0,IF(AND($S1016=1,$W1016=1,$X1016=1,$U1016&gt;Config!$C$9),1,0))</f>
        <v>0</v>
      </c>
      <c r="AL1016" s="108">
        <f t="shared" si="191"/>
        <v>0</v>
      </c>
    </row>
    <row r="1017" spans="19:38" x14ac:dyDescent="0.25">
      <c r="S1017" s="108" t="str">
        <f>IF($A1017="","",COUNTIF(BPOworkers!$B$6:$B$105,$A1017))</f>
        <v/>
      </c>
      <c r="T1017" s="109" t="str">
        <f>IF($A1017="","",$K1017*Config!$C$9)</f>
        <v/>
      </c>
      <c r="U1017" s="109" t="str">
        <f>IF($A1017="","",IF(COUNTIF(Config!$C$21:$C$23,$H1017)&gt;0,IFERROR(VALUE(LEFT(TRIM($Q1017),FIND(" ",TRIM($Q1017)&amp;" ")-1)),0),0))</f>
        <v/>
      </c>
      <c r="V1017" s="109" t="str">
        <f t="shared" si="180"/>
        <v/>
      </c>
      <c r="W1017" s="108">
        <f>IF($A1017="",0,IF(AND($C1017&gt;=Config!$C$7,$C1017&lt;=Config!$C$8),1,0))</f>
        <v>0</v>
      </c>
      <c r="X1017" s="108">
        <f>IF($A1017="",0,IF(COUNTIF(Config!$C$21:$C$23,$H1017)&gt;0,1,0))</f>
        <v>0</v>
      </c>
      <c r="Y1017" s="108">
        <f t="shared" si="181"/>
        <v>24</v>
      </c>
      <c r="Z1017" s="108" t="str">
        <f t="shared" si="182"/>
        <v/>
      </c>
      <c r="AB1017" s="108">
        <f t="shared" si="183"/>
        <v>0</v>
      </c>
      <c r="AC1017" s="108">
        <f>IF($A1017="",0,IF(AND($AB1017=1,COUNTIF($A$2:$A1017,$A1017)=1),1,0))</f>
        <v>0</v>
      </c>
      <c r="AD1017" s="108">
        <f t="shared" si="184"/>
        <v>1</v>
      </c>
      <c r="AE1017" s="108" t="str">
        <f t="shared" si="185"/>
        <v/>
      </c>
      <c r="AF1017" s="108">
        <f t="shared" si="186"/>
        <v>0</v>
      </c>
      <c r="AG1017" s="108">
        <f t="shared" si="187"/>
        <v>0</v>
      </c>
      <c r="AH1017" s="110" t="str">
        <f t="shared" si="188"/>
        <v/>
      </c>
      <c r="AI1017" s="108">
        <f t="shared" si="189"/>
        <v>0</v>
      </c>
      <c r="AJ1017" s="108">
        <f t="shared" si="190"/>
        <v>0</v>
      </c>
      <c r="AK1017" s="108">
        <f>IF($A1017="",0,IF(AND($S1017=1,$W1017=1,$X1017=1,$U1017&gt;Config!$C$9),1,0))</f>
        <v>0</v>
      </c>
      <c r="AL1017" s="108">
        <f t="shared" si="191"/>
        <v>0</v>
      </c>
    </row>
    <row r="1018" spans="19:38" x14ac:dyDescent="0.25">
      <c r="S1018" s="108" t="str">
        <f>IF($A1018="","",COUNTIF(BPOworkers!$B$6:$B$105,$A1018))</f>
        <v/>
      </c>
      <c r="T1018" s="109" t="str">
        <f>IF($A1018="","",$K1018*Config!$C$9)</f>
        <v/>
      </c>
      <c r="U1018" s="109" t="str">
        <f>IF($A1018="","",IF(COUNTIF(Config!$C$21:$C$23,$H1018)&gt;0,IFERROR(VALUE(LEFT(TRIM($Q1018),FIND(" ",TRIM($Q1018)&amp;" ")-1)),0),0))</f>
        <v/>
      </c>
      <c r="V1018" s="109" t="str">
        <f t="shared" si="180"/>
        <v/>
      </c>
      <c r="W1018" s="108">
        <f>IF($A1018="",0,IF(AND($C1018&gt;=Config!$C$7,$C1018&lt;=Config!$C$8),1,0))</f>
        <v>0</v>
      </c>
      <c r="X1018" s="108">
        <f>IF($A1018="",0,IF(COUNTIF(Config!$C$21:$C$23,$H1018)&gt;0,1,0))</f>
        <v>0</v>
      </c>
      <c r="Y1018" s="108">
        <f t="shared" si="181"/>
        <v>24</v>
      </c>
      <c r="Z1018" s="108" t="str">
        <f t="shared" si="182"/>
        <v/>
      </c>
      <c r="AB1018" s="108">
        <f t="shared" si="183"/>
        <v>0</v>
      </c>
      <c r="AC1018" s="108">
        <f>IF($A1018="",0,IF(AND($AB1018=1,COUNTIF($A$2:$A1018,$A1018)=1),1,0))</f>
        <v>0</v>
      </c>
      <c r="AD1018" s="108">
        <f t="shared" si="184"/>
        <v>1</v>
      </c>
      <c r="AE1018" s="108" t="str">
        <f t="shared" si="185"/>
        <v/>
      </c>
      <c r="AF1018" s="108">
        <f t="shared" si="186"/>
        <v>0</v>
      </c>
      <c r="AG1018" s="108">
        <f t="shared" si="187"/>
        <v>0</v>
      </c>
      <c r="AH1018" s="110" t="str">
        <f t="shared" si="188"/>
        <v/>
      </c>
      <c r="AI1018" s="108">
        <f t="shared" si="189"/>
        <v>0</v>
      </c>
      <c r="AJ1018" s="108">
        <f t="shared" si="190"/>
        <v>0</v>
      </c>
      <c r="AK1018" s="108">
        <f>IF($A1018="",0,IF(AND($S1018=1,$W1018=1,$X1018=1,$U1018&gt;Config!$C$9),1,0))</f>
        <v>0</v>
      </c>
      <c r="AL1018" s="108">
        <f t="shared" si="191"/>
        <v>0</v>
      </c>
    </row>
    <row r="1019" spans="19:38" x14ac:dyDescent="0.25">
      <c r="S1019" s="108" t="str">
        <f>IF($A1019="","",COUNTIF(BPOworkers!$B$6:$B$105,$A1019))</f>
        <v/>
      </c>
      <c r="T1019" s="109" t="str">
        <f>IF($A1019="","",$K1019*Config!$C$9)</f>
        <v/>
      </c>
      <c r="U1019" s="109" t="str">
        <f>IF($A1019="","",IF(COUNTIF(Config!$C$21:$C$23,$H1019)&gt;0,IFERROR(VALUE(LEFT(TRIM($Q1019),FIND(" ",TRIM($Q1019)&amp;" ")-1)),0),0))</f>
        <v/>
      </c>
      <c r="V1019" s="109" t="str">
        <f t="shared" si="180"/>
        <v/>
      </c>
      <c r="W1019" s="108">
        <f>IF($A1019="",0,IF(AND($C1019&gt;=Config!$C$7,$C1019&lt;=Config!$C$8),1,0))</f>
        <v>0</v>
      </c>
      <c r="X1019" s="108">
        <f>IF($A1019="",0,IF(COUNTIF(Config!$C$21:$C$23,$H1019)&gt;0,1,0))</f>
        <v>0</v>
      </c>
      <c r="Y1019" s="108">
        <f t="shared" si="181"/>
        <v>24</v>
      </c>
      <c r="Z1019" s="108" t="str">
        <f t="shared" si="182"/>
        <v/>
      </c>
      <c r="AB1019" s="108">
        <f t="shared" si="183"/>
        <v>0</v>
      </c>
      <c r="AC1019" s="108">
        <f>IF($A1019="",0,IF(AND($AB1019=1,COUNTIF($A$2:$A1019,$A1019)=1),1,0))</f>
        <v>0</v>
      </c>
      <c r="AD1019" s="108">
        <f t="shared" si="184"/>
        <v>1</v>
      </c>
      <c r="AE1019" s="108" t="str">
        <f t="shared" si="185"/>
        <v/>
      </c>
      <c r="AF1019" s="108">
        <f t="shared" si="186"/>
        <v>0</v>
      </c>
      <c r="AG1019" s="108">
        <f t="shared" si="187"/>
        <v>0</v>
      </c>
      <c r="AH1019" s="110" t="str">
        <f t="shared" si="188"/>
        <v/>
      </c>
      <c r="AI1019" s="108">
        <f t="shared" si="189"/>
        <v>0</v>
      </c>
      <c r="AJ1019" s="108">
        <f t="shared" si="190"/>
        <v>0</v>
      </c>
      <c r="AK1019" s="108">
        <f>IF($A1019="",0,IF(AND($S1019=1,$W1019=1,$X1019=1,$U1019&gt;Config!$C$9),1,0))</f>
        <v>0</v>
      </c>
      <c r="AL1019" s="108">
        <f t="shared" si="191"/>
        <v>0</v>
      </c>
    </row>
    <row r="1020" spans="19:38" x14ac:dyDescent="0.25">
      <c r="S1020" s="108" t="str">
        <f>IF($A1020="","",COUNTIF(BPOworkers!$B$6:$B$105,$A1020))</f>
        <v/>
      </c>
      <c r="T1020" s="109" t="str">
        <f>IF($A1020="","",$K1020*Config!$C$9)</f>
        <v/>
      </c>
      <c r="U1020" s="109" t="str">
        <f>IF($A1020="","",IF(COUNTIF(Config!$C$21:$C$23,$H1020)&gt;0,IFERROR(VALUE(LEFT(TRIM($Q1020),FIND(" ",TRIM($Q1020)&amp;" ")-1)),0),0))</f>
        <v/>
      </c>
      <c r="V1020" s="109" t="str">
        <f t="shared" si="180"/>
        <v/>
      </c>
      <c r="W1020" s="108">
        <f>IF($A1020="",0,IF(AND($C1020&gt;=Config!$C$7,$C1020&lt;=Config!$C$8),1,0))</f>
        <v>0</v>
      </c>
      <c r="X1020" s="108">
        <f>IF($A1020="",0,IF(COUNTIF(Config!$C$21:$C$23,$H1020)&gt;0,1,0))</f>
        <v>0</v>
      </c>
      <c r="Y1020" s="108">
        <f t="shared" si="181"/>
        <v>24</v>
      </c>
      <c r="Z1020" s="108" t="str">
        <f t="shared" si="182"/>
        <v/>
      </c>
      <c r="AB1020" s="108">
        <f t="shared" si="183"/>
        <v>0</v>
      </c>
      <c r="AC1020" s="108">
        <f>IF($A1020="",0,IF(AND($AB1020=1,COUNTIF($A$2:$A1020,$A1020)=1),1,0))</f>
        <v>0</v>
      </c>
      <c r="AD1020" s="108">
        <f t="shared" si="184"/>
        <v>1</v>
      </c>
      <c r="AE1020" s="108" t="str">
        <f t="shared" si="185"/>
        <v/>
      </c>
      <c r="AF1020" s="108">
        <f t="shared" si="186"/>
        <v>0</v>
      </c>
      <c r="AG1020" s="108">
        <f t="shared" si="187"/>
        <v>0</v>
      </c>
      <c r="AH1020" s="110" t="str">
        <f t="shared" si="188"/>
        <v/>
      </c>
      <c r="AI1020" s="108">
        <f t="shared" si="189"/>
        <v>0</v>
      </c>
      <c r="AJ1020" s="108">
        <f t="shared" si="190"/>
        <v>0</v>
      </c>
      <c r="AK1020" s="108">
        <f>IF($A1020="",0,IF(AND($S1020=1,$W1020=1,$X1020=1,$U1020&gt;Config!$C$9),1,0))</f>
        <v>0</v>
      </c>
      <c r="AL1020" s="108">
        <f t="shared" si="191"/>
        <v>0</v>
      </c>
    </row>
    <row r="1021" spans="19:38" x14ac:dyDescent="0.25">
      <c r="S1021" s="108" t="str">
        <f>IF($A1021="","",COUNTIF(BPOworkers!$B$6:$B$105,$A1021))</f>
        <v/>
      </c>
      <c r="T1021" s="109" t="str">
        <f>IF($A1021="","",$K1021*Config!$C$9)</f>
        <v/>
      </c>
      <c r="U1021" s="109" t="str">
        <f>IF($A1021="","",IF(COUNTIF(Config!$C$21:$C$23,$H1021)&gt;0,IFERROR(VALUE(LEFT(TRIM($Q1021),FIND(" ",TRIM($Q1021)&amp;" ")-1)),0),0))</f>
        <v/>
      </c>
      <c r="V1021" s="109" t="str">
        <f t="shared" si="180"/>
        <v/>
      </c>
      <c r="W1021" s="108">
        <f>IF($A1021="",0,IF(AND($C1021&gt;=Config!$C$7,$C1021&lt;=Config!$C$8),1,0))</f>
        <v>0</v>
      </c>
      <c r="X1021" s="108">
        <f>IF($A1021="",0,IF(COUNTIF(Config!$C$21:$C$23,$H1021)&gt;0,1,0))</f>
        <v>0</v>
      </c>
      <c r="Y1021" s="108">
        <f t="shared" si="181"/>
        <v>24</v>
      </c>
      <c r="Z1021" s="108" t="str">
        <f t="shared" si="182"/>
        <v/>
      </c>
      <c r="AB1021" s="108">
        <f t="shared" si="183"/>
        <v>0</v>
      </c>
      <c r="AC1021" s="108">
        <f>IF($A1021="",0,IF(AND($AB1021=1,COUNTIF($A$2:$A1021,$A1021)=1),1,0))</f>
        <v>0</v>
      </c>
      <c r="AD1021" s="108">
        <f t="shared" si="184"/>
        <v>1</v>
      </c>
      <c r="AE1021" s="108" t="str">
        <f t="shared" si="185"/>
        <v/>
      </c>
      <c r="AF1021" s="108">
        <f t="shared" si="186"/>
        <v>0</v>
      </c>
      <c r="AG1021" s="108">
        <f t="shared" si="187"/>
        <v>0</v>
      </c>
      <c r="AH1021" s="110" t="str">
        <f t="shared" si="188"/>
        <v/>
      </c>
      <c r="AI1021" s="108">
        <f t="shared" si="189"/>
        <v>0</v>
      </c>
      <c r="AJ1021" s="108">
        <f t="shared" si="190"/>
        <v>0</v>
      </c>
      <c r="AK1021" s="108">
        <f>IF($A1021="",0,IF(AND($S1021=1,$W1021=1,$X1021=1,$U1021&gt;Config!$C$9),1,0))</f>
        <v>0</v>
      </c>
      <c r="AL1021" s="108">
        <f t="shared" si="191"/>
        <v>0</v>
      </c>
    </row>
    <row r="1022" spans="19:38" x14ac:dyDescent="0.25">
      <c r="S1022" s="108" t="str">
        <f>IF($A1022="","",COUNTIF(BPOworkers!$B$6:$B$105,$A1022))</f>
        <v/>
      </c>
      <c r="T1022" s="109" t="str">
        <f>IF($A1022="","",$K1022*Config!$C$9)</f>
        <v/>
      </c>
      <c r="U1022" s="109" t="str">
        <f>IF($A1022="","",IF(COUNTIF(Config!$C$21:$C$23,$H1022)&gt;0,IFERROR(VALUE(LEFT(TRIM($Q1022),FIND(" ",TRIM($Q1022)&amp;" ")-1)),0),0))</f>
        <v/>
      </c>
      <c r="V1022" s="109" t="str">
        <f t="shared" si="180"/>
        <v/>
      </c>
      <c r="W1022" s="108">
        <f>IF($A1022="",0,IF(AND($C1022&gt;=Config!$C$7,$C1022&lt;=Config!$C$8),1,0))</f>
        <v>0</v>
      </c>
      <c r="X1022" s="108">
        <f>IF($A1022="",0,IF(COUNTIF(Config!$C$21:$C$23,$H1022)&gt;0,1,0))</f>
        <v>0</v>
      </c>
      <c r="Y1022" s="108">
        <f t="shared" si="181"/>
        <v>24</v>
      </c>
      <c r="Z1022" s="108" t="str">
        <f t="shared" si="182"/>
        <v/>
      </c>
      <c r="AB1022" s="108">
        <f t="shared" si="183"/>
        <v>0</v>
      </c>
      <c r="AC1022" s="108">
        <f>IF($A1022="",0,IF(AND($AB1022=1,COUNTIF($A$2:$A1022,$A1022)=1),1,0))</f>
        <v>0</v>
      </c>
      <c r="AD1022" s="108">
        <f t="shared" si="184"/>
        <v>1</v>
      </c>
      <c r="AE1022" s="108" t="str">
        <f t="shared" si="185"/>
        <v/>
      </c>
      <c r="AF1022" s="108">
        <f t="shared" si="186"/>
        <v>0</v>
      </c>
      <c r="AG1022" s="108">
        <f t="shared" si="187"/>
        <v>0</v>
      </c>
      <c r="AH1022" s="110" t="str">
        <f t="shared" si="188"/>
        <v/>
      </c>
      <c r="AI1022" s="108">
        <f t="shared" si="189"/>
        <v>0</v>
      </c>
      <c r="AJ1022" s="108">
        <f t="shared" si="190"/>
        <v>0</v>
      </c>
      <c r="AK1022" s="108">
        <f>IF($A1022="",0,IF(AND($S1022=1,$W1022=1,$X1022=1,$U1022&gt;Config!$C$9),1,0))</f>
        <v>0</v>
      </c>
      <c r="AL1022" s="108">
        <f t="shared" si="191"/>
        <v>0</v>
      </c>
    </row>
    <row r="1023" spans="19:38" x14ac:dyDescent="0.25">
      <c r="S1023" s="108" t="str">
        <f>IF($A1023="","",COUNTIF(BPOworkers!$B$6:$B$105,$A1023))</f>
        <v/>
      </c>
      <c r="T1023" s="109" t="str">
        <f>IF($A1023="","",$K1023*Config!$C$9)</f>
        <v/>
      </c>
      <c r="U1023" s="109" t="str">
        <f>IF($A1023="","",IF(COUNTIF(Config!$C$21:$C$23,$H1023)&gt;0,IFERROR(VALUE(LEFT(TRIM($Q1023),FIND(" ",TRIM($Q1023)&amp;" ")-1)),0),0))</f>
        <v/>
      </c>
      <c r="V1023" s="109" t="str">
        <f t="shared" si="180"/>
        <v/>
      </c>
      <c r="W1023" s="108">
        <f>IF($A1023="",0,IF(AND($C1023&gt;=Config!$C$7,$C1023&lt;=Config!$C$8),1,0))</f>
        <v>0</v>
      </c>
      <c r="X1023" s="108">
        <f>IF($A1023="",0,IF(COUNTIF(Config!$C$21:$C$23,$H1023)&gt;0,1,0))</f>
        <v>0</v>
      </c>
      <c r="Y1023" s="108">
        <f t="shared" si="181"/>
        <v>24</v>
      </c>
      <c r="Z1023" s="108" t="str">
        <f t="shared" si="182"/>
        <v/>
      </c>
      <c r="AB1023" s="108">
        <f t="shared" si="183"/>
        <v>0</v>
      </c>
      <c r="AC1023" s="108">
        <f>IF($A1023="",0,IF(AND($AB1023=1,COUNTIF($A$2:$A1023,$A1023)=1),1,0))</f>
        <v>0</v>
      </c>
      <c r="AD1023" s="108">
        <f t="shared" si="184"/>
        <v>1</v>
      </c>
      <c r="AE1023" s="108" t="str">
        <f t="shared" si="185"/>
        <v/>
      </c>
      <c r="AF1023" s="108">
        <f t="shared" si="186"/>
        <v>0</v>
      </c>
      <c r="AG1023" s="108">
        <f t="shared" si="187"/>
        <v>0</v>
      </c>
      <c r="AH1023" s="110" t="str">
        <f t="shared" si="188"/>
        <v/>
      </c>
      <c r="AI1023" s="108">
        <f t="shared" si="189"/>
        <v>0</v>
      </c>
      <c r="AJ1023" s="108">
        <f t="shared" si="190"/>
        <v>0</v>
      </c>
      <c r="AK1023" s="108">
        <f>IF($A1023="",0,IF(AND($S1023=1,$W1023=1,$X1023=1,$U1023&gt;Config!$C$9),1,0))</f>
        <v>0</v>
      </c>
      <c r="AL1023" s="108">
        <f t="shared" si="191"/>
        <v>0</v>
      </c>
    </row>
    <row r="1024" spans="19:38" x14ac:dyDescent="0.25">
      <c r="S1024" s="108" t="str">
        <f>IF($A1024="","",COUNTIF(BPOworkers!$B$6:$B$105,$A1024))</f>
        <v/>
      </c>
      <c r="T1024" s="109" t="str">
        <f>IF($A1024="","",$K1024*Config!$C$9)</f>
        <v/>
      </c>
      <c r="U1024" s="109" t="str">
        <f>IF($A1024="","",IF(COUNTIF(Config!$C$21:$C$23,$H1024)&gt;0,IFERROR(VALUE(LEFT(TRIM($Q1024),FIND(" ",TRIM($Q1024)&amp;" ")-1)),0),0))</f>
        <v/>
      </c>
      <c r="V1024" s="109" t="str">
        <f t="shared" si="180"/>
        <v/>
      </c>
      <c r="W1024" s="108">
        <f>IF($A1024="",0,IF(AND($C1024&gt;=Config!$C$7,$C1024&lt;=Config!$C$8),1,0))</f>
        <v>0</v>
      </c>
      <c r="X1024" s="108">
        <f>IF($A1024="",0,IF(COUNTIF(Config!$C$21:$C$23,$H1024)&gt;0,1,0))</f>
        <v>0</v>
      </c>
      <c r="Y1024" s="108">
        <f t="shared" si="181"/>
        <v>24</v>
      </c>
      <c r="Z1024" s="108" t="str">
        <f t="shared" si="182"/>
        <v/>
      </c>
      <c r="AB1024" s="108">
        <f t="shared" si="183"/>
        <v>0</v>
      </c>
      <c r="AC1024" s="108">
        <f>IF($A1024="",0,IF(AND($AB1024=1,COUNTIF($A$2:$A1024,$A1024)=1),1,0))</f>
        <v>0</v>
      </c>
      <c r="AD1024" s="108">
        <f t="shared" si="184"/>
        <v>1</v>
      </c>
      <c r="AE1024" s="108" t="str">
        <f t="shared" si="185"/>
        <v/>
      </c>
      <c r="AF1024" s="108">
        <f t="shared" si="186"/>
        <v>0</v>
      </c>
      <c r="AG1024" s="108">
        <f t="shared" si="187"/>
        <v>0</v>
      </c>
      <c r="AH1024" s="110" t="str">
        <f t="shared" si="188"/>
        <v/>
      </c>
      <c r="AI1024" s="108">
        <f t="shared" si="189"/>
        <v>0</v>
      </c>
      <c r="AJ1024" s="108">
        <f t="shared" si="190"/>
        <v>0</v>
      </c>
      <c r="AK1024" s="108">
        <f>IF($A1024="",0,IF(AND($S1024=1,$W1024=1,$X1024=1,$U1024&gt;Config!$C$9),1,0))</f>
        <v>0</v>
      </c>
      <c r="AL1024" s="108">
        <f t="shared" si="191"/>
        <v>0</v>
      </c>
    </row>
    <row r="1025" spans="19:38" x14ac:dyDescent="0.25">
      <c r="S1025" s="108" t="str">
        <f>IF($A1025="","",COUNTIF(BPOworkers!$B$6:$B$105,$A1025))</f>
        <v/>
      </c>
      <c r="T1025" s="109" t="str">
        <f>IF($A1025="","",$K1025*Config!$C$9)</f>
        <v/>
      </c>
      <c r="U1025" s="109" t="str">
        <f>IF($A1025="","",IF(COUNTIF(Config!$C$21:$C$23,$H1025)&gt;0,IFERROR(VALUE(LEFT(TRIM($Q1025),FIND(" ",TRIM($Q1025)&amp;" ")-1)),0),0))</f>
        <v/>
      </c>
      <c r="V1025" s="109" t="str">
        <f t="shared" si="180"/>
        <v/>
      </c>
      <c r="W1025" s="108">
        <f>IF($A1025="",0,IF(AND($C1025&gt;=Config!$C$7,$C1025&lt;=Config!$C$8),1,0))</f>
        <v>0</v>
      </c>
      <c r="X1025" s="108">
        <f>IF($A1025="",0,IF(COUNTIF(Config!$C$21:$C$23,$H1025)&gt;0,1,0))</f>
        <v>0</v>
      </c>
      <c r="Y1025" s="108">
        <f t="shared" si="181"/>
        <v>24</v>
      </c>
      <c r="Z1025" s="108" t="str">
        <f t="shared" si="182"/>
        <v/>
      </c>
      <c r="AB1025" s="108">
        <f t="shared" si="183"/>
        <v>0</v>
      </c>
      <c r="AC1025" s="108">
        <f>IF($A1025="",0,IF(AND($AB1025=1,COUNTIF($A$2:$A1025,$A1025)=1),1,0))</f>
        <v>0</v>
      </c>
      <c r="AD1025" s="108">
        <f t="shared" si="184"/>
        <v>1</v>
      </c>
      <c r="AE1025" s="108" t="str">
        <f t="shared" si="185"/>
        <v/>
      </c>
      <c r="AF1025" s="108">
        <f t="shared" si="186"/>
        <v>0</v>
      </c>
      <c r="AG1025" s="108">
        <f t="shared" si="187"/>
        <v>0</v>
      </c>
      <c r="AH1025" s="110" t="str">
        <f t="shared" si="188"/>
        <v/>
      </c>
      <c r="AI1025" s="108">
        <f t="shared" si="189"/>
        <v>0</v>
      </c>
      <c r="AJ1025" s="108">
        <f t="shared" si="190"/>
        <v>0</v>
      </c>
      <c r="AK1025" s="108">
        <f>IF($A1025="",0,IF(AND($S1025=1,$W1025=1,$X1025=1,$U1025&gt;Config!$C$9),1,0))</f>
        <v>0</v>
      </c>
      <c r="AL1025" s="108">
        <f t="shared" si="191"/>
        <v>0</v>
      </c>
    </row>
    <row r="1026" spans="19:38" x14ac:dyDescent="0.25">
      <c r="S1026" s="108" t="str">
        <f>IF($A1026="","",COUNTIF(BPOworkers!$B$6:$B$105,$A1026))</f>
        <v/>
      </c>
      <c r="T1026" s="109" t="str">
        <f>IF($A1026="","",$K1026*Config!$C$9)</f>
        <v/>
      </c>
      <c r="U1026" s="109" t="str">
        <f>IF($A1026="","",IF(COUNTIF(Config!$C$21:$C$23,$H1026)&gt;0,IFERROR(VALUE(LEFT(TRIM($Q1026),FIND(" ",TRIM($Q1026)&amp;" ")-1)),0),0))</f>
        <v/>
      </c>
      <c r="V1026" s="109" t="str">
        <f t="shared" ref="V1026:V1089" si="192">IF($A1026="","",$T1026+$U1026)</f>
        <v/>
      </c>
      <c r="W1026" s="108">
        <f>IF($A1026="",0,IF(AND($C1026&gt;=Config!$C$7,$C1026&lt;=Config!$C$8),1,0))</f>
        <v>0</v>
      </c>
      <c r="X1026" s="108">
        <f>IF($A1026="",0,IF(COUNTIF(Config!$C$21:$C$23,$H1026)&gt;0,1,0))</f>
        <v>0</v>
      </c>
      <c r="Y1026" s="108">
        <f t="shared" ref="Y1026:Y1089" si="193">IF($A1026="",MAX(0,Y1025),MAX(0,Y1025)+IF(AND($W1026=1,$X1026=1,$S1026=1),1,0))</f>
        <v>24</v>
      </c>
      <c r="Z1026" s="108" t="str">
        <f t="shared" ref="Z1026:Z1089" si="194">IF($A1026="","",IF(AND($W1026=1,$X1026=1,$S1026=1),$Y1026,""))</f>
        <v/>
      </c>
      <c r="AB1026" s="108">
        <f t="shared" ref="AB1026:AB1089" si="195">IF($A1026="",0,IF(AND($S1026=0,ISERROR(FIND(".",$A1026))),1,0))</f>
        <v>0</v>
      </c>
      <c r="AC1026" s="108">
        <f>IF($A1026="",0,IF(AND($AB1026=1,COUNTIF($A$2:$A1026,$A1026)=1),1,0))</f>
        <v>0</v>
      </c>
      <c r="AD1026" s="108">
        <f t="shared" ref="AD1026:AD1089" si="196">IF($A1026="",MAX(0,AD1025),MAX(0,AD1025)+$AC1026)</f>
        <v>1</v>
      </c>
      <c r="AE1026" s="108" t="str">
        <f t="shared" ref="AE1026:AE1089" si="197">IF($AC1026=1,$AD1026,"")</f>
        <v/>
      </c>
      <c r="AF1026" s="108">
        <f t="shared" ref="AF1026:AF1089" si="198">IF($A1026="",0,IFERROR(IF(AND($S1026=1,WEEKDAY($C1026,2)&gt;5),1,0),0))</f>
        <v>0</v>
      </c>
      <c r="AG1026" s="108">
        <f t="shared" ref="AG1026:AG1089" si="199">IF($A1026="",0,IF(AND($S1026=1,$W1026=0),1,0))</f>
        <v>0</v>
      </c>
      <c r="AH1026" s="110" t="str">
        <f t="shared" ref="AH1026:AH1089" si="200">IF($A1026="","",$A1026&amp;"|"&amp;TEXT($C1026,"yyyymmdd")&amp;"|"&amp;$H1026&amp;"|"&amp;TEXT($K1026,"0.000")&amp;"|"&amp;SUBSTITUTE(SUBSTITUTE(SUBSTITUTE(LEFT($Q1026,120),"~",""),"*",""),"?",""))</f>
        <v/>
      </c>
      <c r="AI1026" s="108">
        <f t="shared" ref="AI1026:AI1089" si="201">IF($A1026="",0,IF(AND($S1026=1,$W1026=1,COUNTIF($AH$2:$AH$1500,$AH1026)&gt;1),1,0))</f>
        <v>0</v>
      </c>
      <c r="AJ1026" s="108">
        <f t="shared" ref="AJ1026:AJ1089" si="202">IF($A1026="",0,IF(AND($S1026=1,$W1026=1,ABS($K1026*8-ROUND($K1026*8,0))&gt;0.0001),1,0))</f>
        <v>0</v>
      </c>
      <c r="AK1026" s="108">
        <f>IF($A1026="",0,IF(AND($S1026=1,$W1026=1,$X1026=1,$U1026&gt;Config!$C$9),1,0))</f>
        <v>0</v>
      </c>
      <c r="AL1026" s="108">
        <f t="shared" ref="AL1026:AL1089" si="203">IF($A1026="",0,IF(AND($S1026=1,$W1026=1,$X1026=1,$U1026=0),1,0))</f>
        <v>0</v>
      </c>
    </row>
    <row r="1027" spans="19:38" x14ac:dyDescent="0.25">
      <c r="S1027" s="108" t="str">
        <f>IF($A1027="","",COUNTIF(BPOworkers!$B$6:$B$105,$A1027))</f>
        <v/>
      </c>
      <c r="T1027" s="109" t="str">
        <f>IF($A1027="","",$K1027*Config!$C$9)</f>
        <v/>
      </c>
      <c r="U1027" s="109" t="str">
        <f>IF($A1027="","",IF(COUNTIF(Config!$C$21:$C$23,$H1027)&gt;0,IFERROR(VALUE(LEFT(TRIM($Q1027),FIND(" ",TRIM($Q1027)&amp;" ")-1)),0),0))</f>
        <v/>
      </c>
      <c r="V1027" s="109" t="str">
        <f t="shared" si="192"/>
        <v/>
      </c>
      <c r="W1027" s="108">
        <f>IF($A1027="",0,IF(AND($C1027&gt;=Config!$C$7,$C1027&lt;=Config!$C$8),1,0))</f>
        <v>0</v>
      </c>
      <c r="X1027" s="108">
        <f>IF($A1027="",0,IF(COUNTIF(Config!$C$21:$C$23,$H1027)&gt;0,1,0))</f>
        <v>0</v>
      </c>
      <c r="Y1027" s="108">
        <f t="shared" si="193"/>
        <v>24</v>
      </c>
      <c r="Z1027" s="108" t="str">
        <f t="shared" si="194"/>
        <v/>
      </c>
      <c r="AB1027" s="108">
        <f t="shared" si="195"/>
        <v>0</v>
      </c>
      <c r="AC1027" s="108">
        <f>IF($A1027="",0,IF(AND($AB1027=1,COUNTIF($A$2:$A1027,$A1027)=1),1,0))</f>
        <v>0</v>
      </c>
      <c r="AD1027" s="108">
        <f t="shared" si="196"/>
        <v>1</v>
      </c>
      <c r="AE1027" s="108" t="str">
        <f t="shared" si="197"/>
        <v/>
      </c>
      <c r="AF1027" s="108">
        <f t="shared" si="198"/>
        <v>0</v>
      </c>
      <c r="AG1027" s="108">
        <f t="shared" si="199"/>
        <v>0</v>
      </c>
      <c r="AH1027" s="110" t="str">
        <f t="shared" si="200"/>
        <v/>
      </c>
      <c r="AI1027" s="108">
        <f t="shared" si="201"/>
        <v>0</v>
      </c>
      <c r="AJ1027" s="108">
        <f t="shared" si="202"/>
        <v>0</v>
      </c>
      <c r="AK1027" s="108">
        <f>IF($A1027="",0,IF(AND($S1027=1,$W1027=1,$X1027=1,$U1027&gt;Config!$C$9),1,0))</f>
        <v>0</v>
      </c>
      <c r="AL1027" s="108">
        <f t="shared" si="203"/>
        <v>0</v>
      </c>
    </row>
    <row r="1028" spans="19:38" x14ac:dyDescent="0.25">
      <c r="S1028" s="108" t="str">
        <f>IF($A1028="","",COUNTIF(BPOworkers!$B$6:$B$105,$A1028))</f>
        <v/>
      </c>
      <c r="T1028" s="109" t="str">
        <f>IF($A1028="","",$K1028*Config!$C$9)</f>
        <v/>
      </c>
      <c r="U1028" s="109" t="str">
        <f>IF($A1028="","",IF(COUNTIF(Config!$C$21:$C$23,$H1028)&gt;0,IFERROR(VALUE(LEFT(TRIM($Q1028),FIND(" ",TRIM($Q1028)&amp;" ")-1)),0),0))</f>
        <v/>
      </c>
      <c r="V1028" s="109" t="str">
        <f t="shared" si="192"/>
        <v/>
      </c>
      <c r="W1028" s="108">
        <f>IF($A1028="",0,IF(AND($C1028&gt;=Config!$C$7,$C1028&lt;=Config!$C$8),1,0))</f>
        <v>0</v>
      </c>
      <c r="X1028" s="108">
        <f>IF($A1028="",0,IF(COUNTIF(Config!$C$21:$C$23,$H1028)&gt;0,1,0))</f>
        <v>0</v>
      </c>
      <c r="Y1028" s="108">
        <f t="shared" si="193"/>
        <v>24</v>
      </c>
      <c r="Z1028" s="108" t="str">
        <f t="shared" si="194"/>
        <v/>
      </c>
      <c r="AB1028" s="108">
        <f t="shared" si="195"/>
        <v>0</v>
      </c>
      <c r="AC1028" s="108">
        <f>IF($A1028="",0,IF(AND($AB1028=1,COUNTIF($A$2:$A1028,$A1028)=1),1,0))</f>
        <v>0</v>
      </c>
      <c r="AD1028" s="108">
        <f t="shared" si="196"/>
        <v>1</v>
      </c>
      <c r="AE1028" s="108" t="str">
        <f t="shared" si="197"/>
        <v/>
      </c>
      <c r="AF1028" s="108">
        <f t="shared" si="198"/>
        <v>0</v>
      </c>
      <c r="AG1028" s="108">
        <f t="shared" si="199"/>
        <v>0</v>
      </c>
      <c r="AH1028" s="110" t="str">
        <f t="shared" si="200"/>
        <v/>
      </c>
      <c r="AI1028" s="108">
        <f t="shared" si="201"/>
        <v>0</v>
      </c>
      <c r="AJ1028" s="108">
        <f t="shared" si="202"/>
        <v>0</v>
      </c>
      <c r="AK1028" s="108">
        <f>IF($A1028="",0,IF(AND($S1028=1,$W1028=1,$X1028=1,$U1028&gt;Config!$C$9),1,0))</f>
        <v>0</v>
      </c>
      <c r="AL1028" s="108">
        <f t="shared" si="203"/>
        <v>0</v>
      </c>
    </row>
    <row r="1029" spans="19:38" x14ac:dyDescent="0.25">
      <c r="S1029" s="108" t="str">
        <f>IF($A1029="","",COUNTIF(BPOworkers!$B$6:$B$105,$A1029))</f>
        <v/>
      </c>
      <c r="T1029" s="109" t="str">
        <f>IF($A1029="","",$K1029*Config!$C$9)</f>
        <v/>
      </c>
      <c r="U1029" s="109" t="str">
        <f>IF($A1029="","",IF(COUNTIF(Config!$C$21:$C$23,$H1029)&gt;0,IFERROR(VALUE(LEFT(TRIM($Q1029),FIND(" ",TRIM($Q1029)&amp;" ")-1)),0),0))</f>
        <v/>
      </c>
      <c r="V1029" s="109" t="str">
        <f t="shared" si="192"/>
        <v/>
      </c>
      <c r="W1029" s="108">
        <f>IF($A1029="",0,IF(AND($C1029&gt;=Config!$C$7,$C1029&lt;=Config!$C$8),1,0))</f>
        <v>0</v>
      </c>
      <c r="X1029" s="108">
        <f>IF($A1029="",0,IF(COUNTIF(Config!$C$21:$C$23,$H1029)&gt;0,1,0))</f>
        <v>0</v>
      </c>
      <c r="Y1029" s="108">
        <f t="shared" si="193"/>
        <v>24</v>
      </c>
      <c r="Z1029" s="108" t="str">
        <f t="shared" si="194"/>
        <v/>
      </c>
      <c r="AB1029" s="108">
        <f t="shared" si="195"/>
        <v>0</v>
      </c>
      <c r="AC1029" s="108">
        <f>IF($A1029="",0,IF(AND($AB1029=1,COUNTIF($A$2:$A1029,$A1029)=1),1,0))</f>
        <v>0</v>
      </c>
      <c r="AD1029" s="108">
        <f t="shared" si="196"/>
        <v>1</v>
      </c>
      <c r="AE1029" s="108" t="str">
        <f t="shared" si="197"/>
        <v/>
      </c>
      <c r="AF1029" s="108">
        <f t="shared" si="198"/>
        <v>0</v>
      </c>
      <c r="AG1029" s="108">
        <f t="shared" si="199"/>
        <v>0</v>
      </c>
      <c r="AH1029" s="110" t="str">
        <f t="shared" si="200"/>
        <v/>
      </c>
      <c r="AI1029" s="108">
        <f t="shared" si="201"/>
        <v>0</v>
      </c>
      <c r="AJ1029" s="108">
        <f t="shared" si="202"/>
        <v>0</v>
      </c>
      <c r="AK1029" s="108">
        <f>IF($A1029="",0,IF(AND($S1029=1,$W1029=1,$X1029=1,$U1029&gt;Config!$C$9),1,0))</f>
        <v>0</v>
      </c>
      <c r="AL1029" s="108">
        <f t="shared" si="203"/>
        <v>0</v>
      </c>
    </row>
    <row r="1030" spans="19:38" x14ac:dyDescent="0.25">
      <c r="S1030" s="108" t="str">
        <f>IF($A1030="","",COUNTIF(BPOworkers!$B$6:$B$105,$A1030))</f>
        <v/>
      </c>
      <c r="T1030" s="109" t="str">
        <f>IF($A1030="","",$K1030*Config!$C$9)</f>
        <v/>
      </c>
      <c r="U1030" s="109" t="str">
        <f>IF($A1030="","",IF(COUNTIF(Config!$C$21:$C$23,$H1030)&gt;0,IFERROR(VALUE(LEFT(TRIM($Q1030),FIND(" ",TRIM($Q1030)&amp;" ")-1)),0),0))</f>
        <v/>
      </c>
      <c r="V1030" s="109" t="str">
        <f t="shared" si="192"/>
        <v/>
      </c>
      <c r="W1030" s="108">
        <f>IF($A1030="",0,IF(AND($C1030&gt;=Config!$C$7,$C1030&lt;=Config!$C$8),1,0))</f>
        <v>0</v>
      </c>
      <c r="X1030" s="108">
        <f>IF($A1030="",0,IF(COUNTIF(Config!$C$21:$C$23,$H1030)&gt;0,1,0))</f>
        <v>0</v>
      </c>
      <c r="Y1030" s="108">
        <f t="shared" si="193"/>
        <v>24</v>
      </c>
      <c r="Z1030" s="108" t="str">
        <f t="shared" si="194"/>
        <v/>
      </c>
      <c r="AB1030" s="108">
        <f t="shared" si="195"/>
        <v>0</v>
      </c>
      <c r="AC1030" s="108">
        <f>IF($A1030="",0,IF(AND($AB1030=1,COUNTIF($A$2:$A1030,$A1030)=1),1,0))</f>
        <v>0</v>
      </c>
      <c r="AD1030" s="108">
        <f t="shared" si="196"/>
        <v>1</v>
      </c>
      <c r="AE1030" s="108" t="str">
        <f t="shared" si="197"/>
        <v/>
      </c>
      <c r="AF1030" s="108">
        <f t="shared" si="198"/>
        <v>0</v>
      </c>
      <c r="AG1030" s="108">
        <f t="shared" si="199"/>
        <v>0</v>
      </c>
      <c r="AH1030" s="110" t="str">
        <f t="shared" si="200"/>
        <v/>
      </c>
      <c r="AI1030" s="108">
        <f t="shared" si="201"/>
        <v>0</v>
      </c>
      <c r="AJ1030" s="108">
        <f t="shared" si="202"/>
        <v>0</v>
      </c>
      <c r="AK1030" s="108">
        <f>IF($A1030="",0,IF(AND($S1030=1,$W1030=1,$X1030=1,$U1030&gt;Config!$C$9),1,0))</f>
        <v>0</v>
      </c>
      <c r="AL1030" s="108">
        <f t="shared" si="203"/>
        <v>0</v>
      </c>
    </row>
    <row r="1031" spans="19:38" x14ac:dyDescent="0.25">
      <c r="S1031" s="108" t="str">
        <f>IF($A1031="","",COUNTIF(BPOworkers!$B$6:$B$105,$A1031))</f>
        <v/>
      </c>
      <c r="T1031" s="109" t="str">
        <f>IF($A1031="","",$K1031*Config!$C$9)</f>
        <v/>
      </c>
      <c r="U1031" s="109" t="str">
        <f>IF($A1031="","",IF(COUNTIF(Config!$C$21:$C$23,$H1031)&gt;0,IFERROR(VALUE(LEFT(TRIM($Q1031),FIND(" ",TRIM($Q1031)&amp;" ")-1)),0),0))</f>
        <v/>
      </c>
      <c r="V1031" s="109" t="str">
        <f t="shared" si="192"/>
        <v/>
      </c>
      <c r="W1031" s="108">
        <f>IF($A1031="",0,IF(AND($C1031&gt;=Config!$C$7,$C1031&lt;=Config!$C$8),1,0))</f>
        <v>0</v>
      </c>
      <c r="X1031" s="108">
        <f>IF($A1031="",0,IF(COUNTIF(Config!$C$21:$C$23,$H1031)&gt;0,1,0))</f>
        <v>0</v>
      </c>
      <c r="Y1031" s="108">
        <f t="shared" si="193"/>
        <v>24</v>
      </c>
      <c r="Z1031" s="108" t="str">
        <f t="shared" si="194"/>
        <v/>
      </c>
      <c r="AB1031" s="108">
        <f t="shared" si="195"/>
        <v>0</v>
      </c>
      <c r="AC1031" s="108">
        <f>IF($A1031="",0,IF(AND($AB1031=1,COUNTIF($A$2:$A1031,$A1031)=1),1,0))</f>
        <v>0</v>
      </c>
      <c r="AD1031" s="108">
        <f t="shared" si="196"/>
        <v>1</v>
      </c>
      <c r="AE1031" s="108" t="str">
        <f t="shared" si="197"/>
        <v/>
      </c>
      <c r="AF1031" s="108">
        <f t="shared" si="198"/>
        <v>0</v>
      </c>
      <c r="AG1031" s="108">
        <f t="shared" si="199"/>
        <v>0</v>
      </c>
      <c r="AH1031" s="110" t="str">
        <f t="shared" si="200"/>
        <v/>
      </c>
      <c r="AI1031" s="108">
        <f t="shared" si="201"/>
        <v>0</v>
      </c>
      <c r="AJ1031" s="108">
        <f t="shared" si="202"/>
        <v>0</v>
      </c>
      <c r="AK1031" s="108">
        <f>IF($A1031="",0,IF(AND($S1031=1,$W1031=1,$X1031=1,$U1031&gt;Config!$C$9),1,0))</f>
        <v>0</v>
      </c>
      <c r="AL1031" s="108">
        <f t="shared" si="203"/>
        <v>0</v>
      </c>
    </row>
    <row r="1032" spans="19:38" x14ac:dyDescent="0.25">
      <c r="S1032" s="108" t="str">
        <f>IF($A1032="","",COUNTIF(BPOworkers!$B$6:$B$105,$A1032))</f>
        <v/>
      </c>
      <c r="T1032" s="109" t="str">
        <f>IF($A1032="","",$K1032*Config!$C$9)</f>
        <v/>
      </c>
      <c r="U1032" s="109" t="str">
        <f>IF($A1032="","",IF(COUNTIF(Config!$C$21:$C$23,$H1032)&gt;0,IFERROR(VALUE(LEFT(TRIM($Q1032),FIND(" ",TRIM($Q1032)&amp;" ")-1)),0),0))</f>
        <v/>
      </c>
      <c r="V1032" s="109" t="str">
        <f t="shared" si="192"/>
        <v/>
      </c>
      <c r="W1032" s="108">
        <f>IF($A1032="",0,IF(AND($C1032&gt;=Config!$C$7,$C1032&lt;=Config!$C$8),1,0))</f>
        <v>0</v>
      </c>
      <c r="X1032" s="108">
        <f>IF($A1032="",0,IF(COUNTIF(Config!$C$21:$C$23,$H1032)&gt;0,1,0))</f>
        <v>0</v>
      </c>
      <c r="Y1032" s="108">
        <f t="shared" si="193"/>
        <v>24</v>
      </c>
      <c r="Z1032" s="108" t="str">
        <f t="shared" si="194"/>
        <v/>
      </c>
      <c r="AB1032" s="108">
        <f t="shared" si="195"/>
        <v>0</v>
      </c>
      <c r="AC1032" s="108">
        <f>IF($A1032="",0,IF(AND($AB1032=1,COUNTIF($A$2:$A1032,$A1032)=1),1,0))</f>
        <v>0</v>
      </c>
      <c r="AD1032" s="108">
        <f t="shared" si="196"/>
        <v>1</v>
      </c>
      <c r="AE1032" s="108" t="str">
        <f t="shared" si="197"/>
        <v/>
      </c>
      <c r="AF1032" s="108">
        <f t="shared" si="198"/>
        <v>0</v>
      </c>
      <c r="AG1032" s="108">
        <f t="shared" si="199"/>
        <v>0</v>
      </c>
      <c r="AH1032" s="110" t="str">
        <f t="shared" si="200"/>
        <v/>
      </c>
      <c r="AI1032" s="108">
        <f t="shared" si="201"/>
        <v>0</v>
      </c>
      <c r="AJ1032" s="108">
        <f t="shared" si="202"/>
        <v>0</v>
      </c>
      <c r="AK1032" s="108">
        <f>IF($A1032="",0,IF(AND($S1032=1,$W1032=1,$X1032=1,$U1032&gt;Config!$C$9),1,0))</f>
        <v>0</v>
      </c>
      <c r="AL1032" s="108">
        <f t="shared" si="203"/>
        <v>0</v>
      </c>
    </row>
    <row r="1033" spans="19:38" x14ac:dyDescent="0.25">
      <c r="S1033" s="108" t="str">
        <f>IF($A1033="","",COUNTIF(BPOworkers!$B$6:$B$105,$A1033))</f>
        <v/>
      </c>
      <c r="T1033" s="109" t="str">
        <f>IF($A1033="","",$K1033*Config!$C$9)</f>
        <v/>
      </c>
      <c r="U1033" s="109" t="str">
        <f>IF($A1033="","",IF(COUNTIF(Config!$C$21:$C$23,$H1033)&gt;0,IFERROR(VALUE(LEFT(TRIM($Q1033),FIND(" ",TRIM($Q1033)&amp;" ")-1)),0),0))</f>
        <v/>
      </c>
      <c r="V1033" s="109" t="str">
        <f t="shared" si="192"/>
        <v/>
      </c>
      <c r="W1033" s="108">
        <f>IF($A1033="",0,IF(AND($C1033&gt;=Config!$C$7,$C1033&lt;=Config!$C$8),1,0))</f>
        <v>0</v>
      </c>
      <c r="X1033" s="108">
        <f>IF($A1033="",0,IF(COUNTIF(Config!$C$21:$C$23,$H1033)&gt;0,1,0))</f>
        <v>0</v>
      </c>
      <c r="Y1033" s="108">
        <f t="shared" si="193"/>
        <v>24</v>
      </c>
      <c r="Z1033" s="108" t="str">
        <f t="shared" si="194"/>
        <v/>
      </c>
      <c r="AB1033" s="108">
        <f t="shared" si="195"/>
        <v>0</v>
      </c>
      <c r="AC1033" s="108">
        <f>IF($A1033="",0,IF(AND($AB1033=1,COUNTIF($A$2:$A1033,$A1033)=1),1,0))</f>
        <v>0</v>
      </c>
      <c r="AD1033" s="108">
        <f t="shared" si="196"/>
        <v>1</v>
      </c>
      <c r="AE1033" s="108" t="str">
        <f t="shared" si="197"/>
        <v/>
      </c>
      <c r="AF1033" s="108">
        <f t="shared" si="198"/>
        <v>0</v>
      </c>
      <c r="AG1033" s="108">
        <f t="shared" si="199"/>
        <v>0</v>
      </c>
      <c r="AH1033" s="110" t="str">
        <f t="shared" si="200"/>
        <v/>
      </c>
      <c r="AI1033" s="108">
        <f t="shared" si="201"/>
        <v>0</v>
      </c>
      <c r="AJ1033" s="108">
        <f t="shared" si="202"/>
        <v>0</v>
      </c>
      <c r="AK1033" s="108">
        <f>IF($A1033="",0,IF(AND($S1033=1,$W1033=1,$X1033=1,$U1033&gt;Config!$C$9),1,0))</f>
        <v>0</v>
      </c>
      <c r="AL1033" s="108">
        <f t="shared" si="203"/>
        <v>0</v>
      </c>
    </row>
    <row r="1034" spans="19:38" x14ac:dyDescent="0.25">
      <c r="S1034" s="108" t="str">
        <f>IF($A1034="","",COUNTIF(BPOworkers!$B$6:$B$105,$A1034))</f>
        <v/>
      </c>
      <c r="T1034" s="109" t="str">
        <f>IF($A1034="","",$K1034*Config!$C$9)</f>
        <v/>
      </c>
      <c r="U1034" s="109" t="str">
        <f>IF($A1034="","",IF(COUNTIF(Config!$C$21:$C$23,$H1034)&gt;0,IFERROR(VALUE(LEFT(TRIM($Q1034),FIND(" ",TRIM($Q1034)&amp;" ")-1)),0),0))</f>
        <v/>
      </c>
      <c r="V1034" s="109" t="str">
        <f t="shared" si="192"/>
        <v/>
      </c>
      <c r="W1034" s="108">
        <f>IF($A1034="",0,IF(AND($C1034&gt;=Config!$C$7,$C1034&lt;=Config!$C$8),1,0))</f>
        <v>0</v>
      </c>
      <c r="X1034" s="108">
        <f>IF($A1034="",0,IF(COUNTIF(Config!$C$21:$C$23,$H1034)&gt;0,1,0))</f>
        <v>0</v>
      </c>
      <c r="Y1034" s="108">
        <f t="shared" si="193"/>
        <v>24</v>
      </c>
      <c r="Z1034" s="108" t="str">
        <f t="shared" si="194"/>
        <v/>
      </c>
      <c r="AB1034" s="108">
        <f t="shared" si="195"/>
        <v>0</v>
      </c>
      <c r="AC1034" s="108">
        <f>IF($A1034="",0,IF(AND($AB1034=1,COUNTIF($A$2:$A1034,$A1034)=1),1,0))</f>
        <v>0</v>
      </c>
      <c r="AD1034" s="108">
        <f t="shared" si="196"/>
        <v>1</v>
      </c>
      <c r="AE1034" s="108" t="str">
        <f t="shared" si="197"/>
        <v/>
      </c>
      <c r="AF1034" s="108">
        <f t="shared" si="198"/>
        <v>0</v>
      </c>
      <c r="AG1034" s="108">
        <f t="shared" si="199"/>
        <v>0</v>
      </c>
      <c r="AH1034" s="110" t="str">
        <f t="shared" si="200"/>
        <v/>
      </c>
      <c r="AI1034" s="108">
        <f t="shared" si="201"/>
        <v>0</v>
      </c>
      <c r="AJ1034" s="108">
        <f t="shared" si="202"/>
        <v>0</v>
      </c>
      <c r="AK1034" s="108">
        <f>IF($A1034="",0,IF(AND($S1034=1,$W1034=1,$X1034=1,$U1034&gt;Config!$C$9),1,0))</f>
        <v>0</v>
      </c>
      <c r="AL1034" s="108">
        <f t="shared" si="203"/>
        <v>0</v>
      </c>
    </row>
    <row r="1035" spans="19:38" x14ac:dyDescent="0.25">
      <c r="S1035" s="108" t="str">
        <f>IF($A1035="","",COUNTIF(BPOworkers!$B$6:$B$105,$A1035))</f>
        <v/>
      </c>
      <c r="T1035" s="109" t="str">
        <f>IF($A1035="","",$K1035*Config!$C$9)</f>
        <v/>
      </c>
      <c r="U1035" s="109" t="str">
        <f>IF($A1035="","",IF(COUNTIF(Config!$C$21:$C$23,$H1035)&gt;0,IFERROR(VALUE(LEFT(TRIM($Q1035),FIND(" ",TRIM($Q1035)&amp;" ")-1)),0),0))</f>
        <v/>
      </c>
      <c r="V1035" s="109" t="str">
        <f t="shared" si="192"/>
        <v/>
      </c>
      <c r="W1035" s="108">
        <f>IF($A1035="",0,IF(AND($C1035&gt;=Config!$C$7,$C1035&lt;=Config!$C$8),1,0))</f>
        <v>0</v>
      </c>
      <c r="X1035" s="108">
        <f>IF($A1035="",0,IF(COUNTIF(Config!$C$21:$C$23,$H1035)&gt;0,1,0))</f>
        <v>0</v>
      </c>
      <c r="Y1035" s="108">
        <f t="shared" si="193"/>
        <v>24</v>
      </c>
      <c r="Z1035" s="108" t="str">
        <f t="shared" si="194"/>
        <v/>
      </c>
      <c r="AB1035" s="108">
        <f t="shared" si="195"/>
        <v>0</v>
      </c>
      <c r="AC1035" s="108">
        <f>IF($A1035="",0,IF(AND($AB1035=1,COUNTIF($A$2:$A1035,$A1035)=1),1,0))</f>
        <v>0</v>
      </c>
      <c r="AD1035" s="108">
        <f t="shared" si="196"/>
        <v>1</v>
      </c>
      <c r="AE1035" s="108" t="str">
        <f t="shared" si="197"/>
        <v/>
      </c>
      <c r="AF1035" s="108">
        <f t="shared" si="198"/>
        <v>0</v>
      </c>
      <c r="AG1035" s="108">
        <f t="shared" si="199"/>
        <v>0</v>
      </c>
      <c r="AH1035" s="110" t="str">
        <f t="shared" si="200"/>
        <v/>
      </c>
      <c r="AI1035" s="108">
        <f t="shared" si="201"/>
        <v>0</v>
      </c>
      <c r="AJ1035" s="108">
        <f t="shared" si="202"/>
        <v>0</v>
      </c>
      <c r="AK1035" s="108">
        <f>IF($A1035="",0,IF(AND($S1035=1,$W1035=1,$X1035=1,$U1035&gt;Config!$C$9),1,0))</f>
        <v>0</v>
      </c>
      <c r="AL1035" s="108">
        <f t="shared" si="203"/>
        <v>0</v>
      </c>
    </row>
    <row r="1036" spans="19:38" x14ac:dyDescent="0.25">
      <c r="S1036" s="108" t="str">
        <f>IF($A1036="","",COUNTIF(BPOworkers!$B$6:$B$105,$A1036))</f>
        <v/>
      </c>
      <c r="T1036" s="109" t="str">
        <f>IF($A1036="","",$K1036*Config!$C$9)</f>
        <v/>
      </c>
      <c r="U1036" s="109" t="str">
        <f>IF($A1036="","",IF(COUNTIF(Config!$C$21:$C$23,$H1036)&gt;0,IFERROR(VALUE(LEFT(TRIM($Q1036),FIND(" ",TRIM($Q1036)&amp;" ")-1)),0),0))</f>
        <v/>
      </c>
      <c r="V1036" s="109" t="str">
        <f t="shared" si="192"/>
        <v/>
      </c>
      <c r="W1036" s="108">
        <f>IF($A1036="",0,IF(AND($C1036&gt;=Config!$C$7,$C1036&lt;=Config!$C$8),1,0))</f>
        <v>0</v>
      </c>
      <c r="X1036" s="108">
        <f>IF($A1036="",0,IF(COUNTIF(Config!$C$21:$C$23,$H1036)&gt;0,1,0))</f>
        <v>0</v>
      </c>
      <c r="Y1036" s="108">
        <f t="shared" si="193"/>
        <v>24</v>
      </c>
      <c r="Z1036" s="108" t="str">
        <f t="shared" si="194"/>
        <v/>
      </c>
      <c r="AB1036" s="108">
        <f t="shared" si="195"/>
        <v>0</v>
      </c>
      <c r="AC1036" s="108">
        <f>IF($A1036="",0,IF(AND($AB1036=1,COUNTIF($A$2:$A1036,$A1036)=1),1,0))</f>
        <v>0</v>
      </c>
      <c r="AD1036" s="108">
        <f t="shared" si="196"/>
        <v>1</v>
      </c>
      <c r="AE1036" s="108" t="str">
        <f t="shared" si="197"/>
        <v/>
      </c>
      <c r="AF1036" s="108">
        <f t="shared" si="198"/>
        <v>0</v>
      </c>
      <c r="AG1036" s="108">
        <f t="shared" si="199"/>
        <v>0</v>
      </c>
      <c r="AH1036" s="110" t="str">
        <f t="shared" si="200"/>
        <v/>
      </c>
      <c r="AI1036" s="108">
        <f t="shared" si="201"/>
        <v>0</v>
      </c>
      <c r="AJ1036" s="108">
        <f t="shared" si="202"/>
        <v>0</v>
      </c>
      <c r="AK1036" s="108">
        <f>IF($A1036="",0,IF(AND($S1036=1,$W1036=1,$X1036=1,$U1036&gt;Config!$C$9),1,0))</f>
        <v>0</v>
      </c>
      <c r="AL1036" s="108">
        <f t="shared" si="203"/>
        <v>0</v>
      </c>
    </row>
    <row r="1037" spans="19:38" x14ac:dyDescent="0.25">
      <c r="S1037" s="108" t="str">
        <f>IF($A1037="","",COUNTIF(BPOworkers!$B$6:$B$105,$A1037))</f>
        <v/>
      </c>
      <c r="T1037" s="109" t="str">
        <f>IF($A1037="","",$K1037*Config!$C$9)</f>
        <v/>
      </c>
      <c r="U1037" s="109" t="str">
        <f>IF($A1037="","",IF(COUNTIF(Config!$C$21:$C$23,$H1037)&gt;0,IFERROR(VALUE(LEFT(TRIM($Q1037),FIND(" ",TRIM($Q1037)&amp;" ")-1)),0),0))</f>
        <v/>
      </c>
      <c r="V1037" s="109" t="str">
        <f t="shared" si="192"/>
        <v/>
      </c>
      <c r="W1037" s="108">
        <f>IF($A1037="",0,IF(AND($C1037&gt;=Config!$C$7,$C1037&lt;=Config!$C$8),1,0))</f>
        <v>0</v>
      </c>
      <c r="X1037" s="108">
        <f>IF($A1037="",0,IF(COUNTIF(Config!$C$21:$C$23,$H1037)&gt;0,1,0))</f>
        <v>0</v>
      </c>
      <c r="Y1037" s="108">
        <f t="shared" si="193"/>
        <v>24</v>
      </c>
      <c r="Z1037" s="108" t="str">
        <f t="shared" si="194"/>
        <v/>
      </c>
      <c r="AB1037" s="108">
        <f t="shared" si="195"/>
        <v>0</v>
      </c>
      <c r="AC1037" s="108">
        <f>IF($A1037="",0,IF(AND($AB1037=1,COUNTIF($A$2:$A1037,$A1037)=1),1,0))</f>
        <v>0</v>
      </c>
      <c r="AD1037" s="108">
        <f t="shared" si="196"/>
        <v>1</v>
      </c>
      <c r="AE1037" s="108" t="str">
        <f t="shared" si="197"/>
        <v/>
      </c>
      <c r="AF1037" s="108">
        <f t="shared" si="198"/>
        <v>0</v>
      </c>
      <c r="AG1037" s="108">
        <f t="shared" si="199"/>
        <v>0</v>
      </c>
      <c r="AH1037" s="110" t="str">
        <f t="shared" si="200"/>
        <v/>
      </c>
      <c r="AI1037" s="108">
        <f t="shared" si="201"/>
        <v>0</v>
      </c>
      <c r="AJ1037" s="108">
        <f t="shared" si="202"/>
        <v>0</v>
      </c>
      <c r="AK1037" s="108">
        <f>IF($A1037="",0,IF(AND($S1037=1,$W1037=1,$X1037=1,$U1037&gt;Config!$C$9),1,0))</f>
        <v>0</v>
      </c>
      <c r="AL1037" s="108">
        <f t="shared" si="203"/>
        <v>0</v>
      </c>
    </row>
    <row r="1038" spans="19:38" x14ac:dyDescent="0.25">
      <c r="S1038" s="108" t="str">
        <f>IF($A1038="","",COUNTIF(BPOworkers!$B$6:$B$105,$A1038))</f>
        <v/>
      </c>
      <c r="T1038" s="109" t="str">
        <f>IF($A1038="","",$K1038*Config!$C$9)</f>
        <v/>
      </c>
      <c r="U1038" s="109" t="str">
        <f>IF($A1038="","",IF(COUNTIF(Config!$C$21:$C$23,$H1038)&gt;0,IFERROR(VALUE(LEFT(TRIM($Q1038),FIND(" ",TRIM($Q1038)&amp;" ")-1)),0),0))</f>
        <v/>
      </c>
      <c r="V1038" s="109" t="str">
        <f t="shared" si="192"/>
        <v/>
      </c>
      <c r="W1038" s="108">
        <f>IF($A1038="",0,IF(AND($C1038&gt;=Config!$C$7,$C1038&lt;=Config!$C$8),1,0))</f>
        <v>0</v>
      </c>
      <c r="X1038" s="108">
        <f>IF($A1038="",0,IF(COUNTIF(Config!$C$21:$C$23,$H1038)&gt;0,1,0))</f>
        <v>0</v>
      </c>
      <c r="Y1038" s="108">
        <f t="shared" si="193"/>
        <v>24</v>
      </c>
      <c r="Z1038" s="108" t="str">
        <f t="shared" si="194"/>
        <v/>
      </c>
      <c r="AB1038" s="108">
        <f t="shared" si="195"/>
        <v>0</v>
      </c>
      <c r="AC1038" s="108">
        <f>IF($A1038="",0,IF(AND($AB1038=1,COUNTIF($A$2:$A1038,$A1038)=1),1,0))</f>
        <v>0</v>
      </c>
      <c r="AD1038" s="108">
        <f t="shared" si="196"/>
        <v>1</v>
      </c>
      <c r="AE1038" s="108" t="str">
        <f t="shared" si="197"/>
        <v/>
      </c>
      <c r="AF1038" s="108">
        <f t="shared" si="198"/>
        <v>0</v>
      </c>
      <c r="AG1038" s="108">
        <f t="shared" si="199"/>
        <v>0</v>
      </c>
      <c r="AH1038" s="110" t="str">
        <f t="shared" si="200"/>
        <v/>
      </c>
      <c r="AI1038" s="108">
        <f t="shared" si="201"/>
        <v>0</v>
      </c>
      <c r="AJ1038" s="108">
        <f t="shared" si="202"/>
        <v>0</v>
      </c>
      <c r="AK1038" s="108">
        <f>IF($A1038="",0,IF(AND($S1038=1,$W1038=1,$X1038=1,$U1038&gt;Config!$C$9),1,0))</f>
        <v>0</v>
      </c>
      <c r="AL1038" s="108">
        <f t="shared" si="203"/>
        <v>0</v>
      </c>
    </row>
    <row r="1039" spans="19:38" x14ac:dyDescent="0.25">
      <c r="S1039" s="108" t="str">
        <f>IF($A1039="","",COUNTIF(BPOworkers!$B$6:$B$105,$A1039))</f>
        <v/>
      </c>
      <c r="T1039" s="109" t="str">
        <f>IF($A1039="","",$K1039*Config!$C$9)</f>
        <v/>
      </c>
      <c r="U1039" s="109" t="str">
        <f>IF($A1039="","",IF(COUNTIF(Config!$C$21:$C$23,$H1039)&gt;0,IFERROR(VALUE(LEFT(TRIM($Q1039),FIND(" ",TRIM($Q1039)&amp;" ")-1)),0),0))</f>
        <v/>
      </c>
      <c r="V1039" s="109" t="str">
        <f t="shared" si="192"/>
        <v/>
      </c>
      <c r="W1039" s="108">
        <f>IF($A1039="",0,IF(AND($C1039&gt;=Config!$C$7,$C1039&lt;=Config!$C$8),1,0))</f>
        <v>0</v>
      </c>
      <c r="X1039" s="108">
        <f>IF($A1039="",0,IF(COUNTIF(Config!$C$21:$C$23,$H1039)&gt;0,1,0))</f>
        <v>0</v>
      </c>
      <c r="Y1039" s="108">
        <f t="shared" si="193"/>
        <v>24</v>
      </c>
      <c r="Z1039" s="108" t="str">
        <f t="shared" si="194"/>
        <v/>
      </c>
      <c r="AB1039" s="108">
        <f t="shared" si="195"/>
        <v>0</v>
      </c>
      <c r="AC1039" s="108">
        <f>IF($A1039="",0,IF(AND($AB1039=1,COUNTIF($A$2:$A1039,$A1039)=1),1,0))</f>
        <v>0</v>
      </c>
      <c r="AD1039" s="108">
        <f t="shared" si="196"/>
        <v>1</v>
      </c>
      <c r="AE1039" s="108" t="str">
        <f t="shared" si="197"/>
        <v/>
      </c>
      <c r="AF1039" s="108">
        <f t="shared" si="198"/>
        <v>0</v>
      </c>
      <c r="AG1039" s="108">
        <f t="shared" si="199"/>
        <v>0</v>
      </c>
      <c r="AH1039" s="110" t="str">
        <f t="shared" si="200"/>
        <v/>
      </c>
      <c r="AI1039" s="108">
        <f t="shared" si="201"/>
        <v>0</v>
      </c>
      <c r="AJ1039" s="108">
        <f t="shared" si="202"/>
        <v>0</v>
      </c>
      <c r="AK1039" s="108">
        <f>IF($A1039="",0,IF(AND($S1039=1,$W1039=1,$X1039=1,$U1039&gt;Config!$C$9),1,0))</f>
        <v>0</v>
      </c>
      <c r="AL1039" s="108">
        <f t="shared" si="203"/>
        <v>0</v>
      </c>
    </row>
    <row r="1040" spans="19:38" x14ac:dyDescent="0.25">
      <c r="S1040" s="108" t="str">
        <f>IF($A1040="","",COUNTIF(BPOworkers!$B$6:$B$105,$A1040))</f>
        <v/>
      </c>
      <c r="T1040" s="109" t="str">
        <f>IF($A1040="","",$K1040*Config!$C$9)</f>
        <v/>
      </c>
      <c r="U1040" s="109" t="str">
        <f>IF($A1040="","",IF(COUNTIF(Config!$C$21:$C$23,$H1040)&gt;0,IFERROR(VALUE(LEFT(TRIM($Q1040),FIND(" ",TRIM($Q1040)&amp;" ")-1)),0),0))</f>
        <v/>
      </c>
      <c r="V1040" s="109" t="str">
        <f t="shared" si="192"/>
        <v/>
      </c>
      <c r="W1040" s="108">
        <f>IF($A1040="",0,IF(AND($C1040&gt;=Config!$C$7,$C1040&lt;=Config!$C$8),1,0))</f>
        <v>0</v>
      </c>
      <c r="X1040" s="108">
        <f>IF($A1040="",0,IF(COUNTIF(Config!$C$21:$C$23,$H1040)&gt;0,1,0))</f>
        <v>0</v>
      </c>
      <c r="Y1040" s="108">
        <f t="shared" si="193"/>
        <v>24</v>
      </c>
      <c r="Z1040" s="108" t="str">
        <f t="shared" si="194"/>
        <v/>
      </c>
      <c r="AB1040" s="108">
        <f t="shared" si="195"/>
        <v>0</v>
      </c>
      <c r="AC1040" s="108">
        <f>IF($A1040="",0,IF(AND($AB1040=1,COUNTIF($A$2:$A1040,$A1040)=1),1,0))</f>
        <v>0</v>
      </c>
      <c r="AD1040" s="108">
        <f t="shared" si="196"/>
        <v>1</v>
      </c>
      <c r="AE1040" s="108" t="str">
        <f t="shared" si="197"/>
        <v/>
      </c>
      <c r="AF1040" s="108">
        <f t="shared" si="198"/>
        <v>0</v>
      </c>
      <c r="AG1040" s="108">
        <f t="shared" si="199"/>
        <v>0</v>
      </c>
      <c r="AH1040" s="110" t="str">
        <f t="shared" si="200"/>
        <v/>
      </c>
      <c r="AI1040" s="108">
        <f t="shared" si="201"/>
        <v>0</v>
      </c>
      <c r="AJ1040" s="108">
        <f t="shared" si="202"/>
        <v>0</v>
      </c>
      <c r="AK1040" s="108">
        <f>IF($A1040="",0,IF(AND($S1040=1,$W1040=1,$X1040=1,$U1040&gt;Config!$C$9),1,0))</f>
        <v>0</v>
      </c>
      <c r="AL1040" s="108">
        <f t="shared" si="203"/>
        <v>0</v>
      </c>
    </row>
    <row r="1041" spans="19:38" x14ac:dyDescent="0.25">
      <c r="S1041" s="108" t="str">
        <f>IF($A1041="","",COUNTIF(BPOworkers!$B$6:$B$105,$A1041))</f>
        <v/>
      </c>
      <c r="T1041" s="109" t="str">
        <f>IF($A1041="","",$K1041*Config!$C$9)</f>
        <v/>
      </c>
      <c r="U1041" s="109" t="str">
        <f>IF($A1041="","",IF(COUNTIF(Config!$C$21:$C$23,$H1041)&gt;0,IFERROR(VALUE(LEFT(TRIM($Q1041),FIND(" ",TRIM($Q1041)&amp;" ")-1)),0),0))</f>
        <v/>
      </c>
      <c r="V1041" s="109" t="str">
        <f t="shared" si="192"/>
        <v/>
      </c>
      <c r="W1041" s="108">
        <f>IF($A1041="",0,IF(AND($C1041&gt;=Config!$C$7,$C1041&lt;=Config!$C$8),1,0))</f>
        <v>0</v>
      </c>
      <c r="X1041" s="108">
        <f>IF($A1041="",0,IF(COUNTIF(Config!$C$21:$C$23,$H1041)&gt;0,1,0))</f>
        <v>0</v>
      </c>
      <c r="Y1041" s="108">
        <f t="shared" si="193"/>
        <v>24</v>
      </c>
      <c r="Z1041" s="108" t="str">
        <f t="shared" si="194"/>
        <v/>
      </c>
      <c r="AB1041" s="108">
        <f t="shared" si="195"/>
        <v>0</v>
      </c>
      <c r="AC1041" s="108">
        <f>IF($A1041="",0,IF(AND($AB1041=1,COUNTIF($A$2:$A1041,$A1041)=1),1,0))</f>
        <v>0</v>
      </c>
      <c r="AD1041" s="108">
        <f t="shared" si="196"/>
        <v>1</v>
      </c>
      <c r="AE1041" s="108" t="str">
        <f t="shared" si="197"/>
        <v/>
      </c>
      <c r="AF1041" s="108">
        <f t="shared" si="198"/>
        <v>0</v>
      </c>
      <c r="AG1041" s="108">
        <f t="shared" si="199"/>
        <v>0</v>
      </c>
      <c r="AH1041" s="110" t="str">
        <f t="shared" si="200"/>
        <v/>
      </c>
      <c r="AI1041" s="108">
        <f t="shared" si="201"/>
        <v>0</v>
      </c>
      <c r="AJ1041" s="108">
        <f t="shared" si="202"/>
        <v>0</v>
      </c>
      <c r="AK1041" s="108">
        <f>IF($A1041="",0,IF(AND($S1041=1,$W1041=1,$X1041=1,$U1041&gt;Config!$C$9),1,0))</f>
        <v>0</v>
      </c>
      <c r="AL1041" s="108">
        <f t="shared" si="203"/>
        <v>0</v>
      </c>
    </row>
    <row r="1042" spans="19:38" x14ac:dyDescent="0.25">
      <c r="S1042" s="108" t="str">
        <f>IF($A1042="","",COUNTIF(BPOworkers!$B$6:$B$105,$A1042))</f>
        <v/>
      </c>
      <c r="T1042" s="109" t="str">
        <f>IF($A1042="","",$K1042*Config!$C$9)</f>
        <v/>
      </c>
      <c r="U1042" s="109" t="str">
        <f>IF($A1042="","",IF(COUNTIF(Config!$C$21:$C$23,$H1042)&gt;0,IFERROR(VALUE(LEFT(TRIM($Q1042),FIND(" ",TRIM($Q1042)&amp;" ")-1)),0),0))</f>
        <v/>
      </c>
      <c r="V1042" s="109" t="str">
        <f t="shared" si="192"/>
        <v/>
      </c>
      <c r="W1042" s="108">
        <f>IF($A1042="",0,IF(AND($C1042&gt;=Config!$C$7,$C1042&lt;=Config!$C$8),1,0))</f>
        <v>0</v>
      </c>
      <c r="X1042" s="108">
        <f>IF($A1042="",0,IF(COUNTIF(Config!$C$21:$C$23,$H1042)&gt;0,1,0))</f>
        <v>0</v>
      </c>
      <c r="Y1042" s="108">
        <f t="shared" si="193"/>
        <v>24</v>
      </c>
      <c r="Z1042" s="108" t="str">
        <f t="shared" si="194"/>
        <v/>
      </c>
      <c r="AB1042" s="108">
        <f t="shared" si="195"/>
        <v>0</v>
      </c>
      <c r="AC1042" s="108">
        <f>IF($A1042="",0,IF(AND($AB1042=1,COUNTIF($A$2:$A1042,$A1042)=1),1,0))</f>
        <v>0</v>
      </c>
      <c r="AD1042" s="108">
        <f t="shared" si="196"/>
        <v>1</v>
      </c>
      <c r="AE1042" s="108" t="str">
        <f t="shared" si="197"/>
        <v/>
      </c>
      <c r="AF1042" s="108">
        <f t="shared" si="198"/>
        <v>0</v>
      </c>
      <c r="AG1042" s="108">
        <f t="shared" si="199"/>
        <v>0</v>
      </c>
      <c r="AH1042" s="110" t="str">
        <f t="shared" si="200"/>
        <v/>
      </c>
      <c r="AI1042" s="108">
        <f t="shared" si="201"/>
        <v>0</v>
      </c>
      <c r="AJ1042" s="108">
        <f t="shared" si="202"/>
        <v>0</v>
      </c>
      <c r="AK1042" s="108">
        <f>IF($A1042="",0,IF(AND($S1042=1,$W1042=1,$X1042=1,$U1042&gt;Config!$C$9),1,0))</f>
        <v>0</v>
      </c>
      <c r="AL1042" s="108">
        <f t="shared" si="203"/>
        <v>0</v>
      </c>
    </row>
    <row r="1043" spans="19:38" x14ac:dyDescent="0.25">
      <c r="S1043" s="108" t="str">
        <f>IF($A1043="","",COUNTIF(BPOworkers!$B$6:$B$105,$A1043))</f>
        <v/>
      </c>
      <c r="T1043" s="109" t="str">
        <f>IF($A1043="","",$K1043*Config!$C$9)</f>
        <v/>
      </c>
      <c r="U1043" s="109" t="str">
        <f>IF($A1043="","",IF(COUNTIF(Config!$C$21:$C$23,$H1043)&gt;0,IFERROR(VALUE(LEFT(TRIM($Q1043),FIND(" ",TRIM($Q1043)&amp;" ")-1)),0),0))</f>
        <v/>
      </c>
      <c r="V1043" s="109" t="str">
        <f t="shared" si="192"/>
        <v/>
      </c>
      <c r="W1043" s="108">
        <f>IF($A1043="",0,IF(AND($C1043&gt;=Config!$C$7,$C1043&lt;=Config!$C$8),1,0))</f>
        <v>0</v>
      </c>
      <c r="X1043" s="108">
        <f>IF($A1043="",0,IF(COUNTIF(Config!$C$21:$C$23,$H1043)&gt;0,1,0))</f>
        <v>0</v>
      </c>
      <c r="Y1043" s="108">
        <f t="shared" si="193"/>
        <v>24</v>
      </c>
      <c r="Z1043" s="108" t="str">
        <f t="shared" si="194"/>
        <v/>
      </c>
      <c r="AB1043" s="108">
        <f t="shared" si="195"/>
        <v>0</v>
      </c>
      <c r="AC1043" s="108">
        <f>IF($A1043="",0,IF(AND($AB1043=1,COUNTIF($A$2:$A1043,$A1043)=1),1,0))</f>
        <v>0</v>
      </c>
      <c r="AD1043" s="108">
        <f t="shared" si="196"/>
        <v>1</v>
      </c>
      <c r="AE1043" s="108" t="str">
        <f t="shared" si="197"/>
        <v/>
      </c>
      <c r="AF1043" s="108">
        <f t="shared" si="198"/>
        <v>0</v>
      </c>
      <c r="AG1043" s="108">
        <f t="shared" si="199"/>
        <v>0</v>
      </c>
      <c r="AH1043" s="110" t="str">
        <f t="shared" si="200"/>
        <v/>
      </c>
      <c r="AI1043" s="108">
        <f t="shared" si="201"/>
        <v>0</v>
      </c>
      <c r="AJ1043" s="108">
        <f t="shared" si="202"/>
        <v>0</v>
      </c>
      <c r="AK1043" s="108">
        <f>IF($A1043="",0,IF(AND($S1043=1,$W1043=1,$X1043=1,$U1043&gt;Config!$C$9),1,0))</f>
        <v>0</v>
      </c>
      <c r="AL1043" s="108">
        <f t="shared" si="203"/>
        <v>0</v>
      </c>
    </row>
    <row r="1044" spans="19:38" x14ac:dyDescent="0.25">
      <c r="S1044" s="108" t="str">
        <f>IF($A1044="","",COUNTIF(BPOworkers!$B$6:$B$105,$A1044))</f>
        <v/>
      </c>
      <c r="T1044" s="109" t="str">
        <f>IF($A1044="","",$K1044*Config!$C$9)</f>
        <v/>
      </c>
      <c r="U1044" s="109" t="str">
        <f>IF($A1044="","",IF(COUNTIF(Config!$C$21:$C$23,$H1044)&gt;0,IFERROR(VALUE(LEFT(TRIM($Q1044),FIND(" ",TRIM($Q1044)&amp;" ")-1)),0),0))</f>
        <v/>
      </c>
      <c r="V1044" s="109" t="str">
        <f t="shared" si="192"/>
        <v/>
      </c>
      <c r="W1044" s="108">
        <f>IF($A1044="",0,IF(AND($C1044&gt;=Config!$C$7,$C1044&lt;=Config!$C$8),1,0))</f>
        <v>0</v>
      </c>
      <c r="X1044" s="108">
        <f>IF($A1044="",0,IF(COUNTIF(Config!$C$21:$C$23,$H1044)&gt;0,1,0))</f>
        <v>0</v>
      </c>
      <c r="Y1044" s="108">
        <f t="shared" si="193"/>
        <v>24</v>
      </c>
      <c r="Z1044" s="108" t="str">
        <f t="shared" si="194"/>
        <v/>
      </c>
      <c r="AB1044" s="108">
        <f t="shared" si="195"/>
        <v>0</v>
      </c>
      <c r="AC1044" s="108">
        <f>IF($A1044="",0,IF(AND($AB1044=1,COUNTIF($A$2:$A1044,$A1044)=1),1,0))</f>
        <v>0</v>
      </c>
      <c r="AD1044" s="108">
        <f t="shared" si="196"/>
        <v>1</v>
      </c>
      <c r="AE1044" s="108" t="str">
        <f t="shared" si="197"/>
        <v/>
      </c>
      <c r="AF1044" s="108">
        <f t="shared" si="198"/>
        <v>0</v>
      </c>
      <c r="AG1044" s="108">
        <f t="shared" si="199"/>
        <v>0</v>
      </c>
      <c r="AH1044" s="110" t="str">
        <f t="shared" si="200"/>
        <v/>
      </c>
      <c r="AI1044" s="108">
        <f t="shared" si="201"/>
        <v>0</v>
      </c>
      <c r="AJ1044" s="108">
        <f t="shared" si="202"/>
        <v>0</v>
      </c>
      <c r="AK1044" s="108">
        <f>IF($A1044="",0,IF(AND($S1044=1,$W1044=1,$X1044=1,$U1044&gt;Config!$C$9),1,0))</f>
        <v>0</v>
      </c>
      <c r="AL1044" s="108">
        <f t="shared" si="203"/>
        <v>0</v>
      </c>
    </row>
    <row r="1045" spans="19:38" x14ac:dyDescent="0.25">
      <c r="S1045" s="108" t="str">
        <f>IF($A1045="","",COUNTIF(BPOworkers!$B$6:$B$105,$A1045))</f>
        <v/>
      </c>
      <c r="T1045" s="109" t="str">
        <f>IF($A1045="","",$K1045*Config!$C$9)</f>
        <v/>
      </c>
      <c r="U1045" s="109" t="str">
        <f>IF($A1045="","",IF(COUNTIF(Config!$C$21:$C$23,$H1045)&gt;0,IFERROR(VALUE(LEFT(TRIM($Q1045),FIND(" ",TRIM($Q1045)&amp;" ")-1)),0),0))</f>
        <v/>
      </c>
      <c r="V1045" s="109" t="str">
        <f t="shared" si="192"/>
        <v/>
      </c>
      <c r="W1045" s="108">
        <f>IF($A1045="",0,IF(AND($C1045&gt;=Config!$C$7,$C1045&lt;=Config!$C$8),1,0))</f>
        <v>0</v>
      </c>
      <c r="X1045" s="108">
        <f>IF($A1045="",0,IF(COUNTIF(Config!$C$21:$C$23,$H1045)&gt;0,1,0))</f>
        <v>0</v>
      </c>
      <c r="Y1045" s="108">
        <f t="shared" si="193"/>
        <v>24</v>
      </c>
      <c r="Z1045" s="108" t="str">
        <f t="shared" si="194"/>
        <v/>
      </c>
      <c r="AB1045" s="108">
        <f t="shared" si="195"/>
        <v>0</v>
      </c>
      <c r="AC1045" s="108">
        <f>IF($A1045="",0,IF(AND($AB1045=1,COUNTIF($A$2:$A1045,$A1045)=1),1,0))</f>
        <v>0</v>
      </c>
      <c r="AD1045" s="108">
        <f t="shared" si="196"/>
        <v>1</v>
      </c>
      <c r="AE1045" s="108" t="str">
        <f t="shared" si="197"/>
        <v/>
      </c>
      <c r="AF1045" s="108">
        <f t="shared" si="198"/>
        <v>0</v>
      </c>
      <c r="AG1045" s="108">
        <f t="shared" si="199"/>
        <v>0</v>
      </c>
      <c r="AH1045" s="110" t="str">
        <f t="shared" si="200"/>
        <v/>
      </c>
      <c r="AI1045" s="108">
        <f t="shared" si="201"/>
        <v>0</v>
      </c>
      <c r="AJ1045" s="108">
        <f t="shared" si="202"/>
        <v>0</v>
      </c>
      <c r="AK1045" s="108">
        <f>IF($A1045="",0,IF(AND($S1045=1,$W1045=1,$X1045=1,$U1045&gt;Config!$C$9),1,0))</f>
        <v>0</v>
      </c>
      <c r="AL1045" s="108">
        <f t="shared" si="203"/>
        <v>0</v>
      </c>
    </row>
    <row r="1046" spans="19:38" x14ac:dyDescent="0.25">
      <c r="S1046" s="108" t="str">
        <f>IF($A1046="","",COUNTIF(BPOworkers!$B$6:$B$105,$A1046))</f>
        <v/>
      </c>
      <c r="T1046" s="109" t="str">
        <f>IF($A1046="","",$K1046*Config!$C$9)</f>
        <v/>
      </c>
      <c r="U1046" s="109" t="str">
        <f>IF($A1046="","",IF(COUNTIF(Config!$C$21:$C$23,$H1046)&gt;0,IFERROR(VALUE(LEFT(TRIM($Q1046),FIND(" ",TRIM($Q1046)&amp;" ")-1)),0),0))</f>
        <v/>
      </c>
      <c r="V1046" s="109" t="str">
        <f t="shared" si="192"/>
        <v/>
      </c>
      <c r="W1046" s="108">
        <f>IF($A1046="",0,IF(AND($C1046&gt;=Config!$C$7,$C1046&lt;=Config!$C$8),1,0))</f>
        <v>0</v>
      </c>
      <c r="X1046" s="108">
        <f>IF($A1046="",0,IF(COUNTIF(Config!$C$21:$C$23,$H1046)&gt;0,1,0))</f>
        <v>0</v>
      </c>
      <c r="Y1046" s="108">
        <f t="shared" si="193"/>
        <v>24</v>
      </c>
      <c r="Z1046" s="108" t="str">
        <f t="shared" si="194"/>
        <v/>
      </c>
      <c r="AB1046" s="108">
        <f t="shared" si="195"/>
        <v>0</v>
      </c>
      <c r="AC1046" s="108">
        <f>IF($A1046="",0,IF(AND($AB1046=1,COUNTIF($A$2:$A1046,$A1046)=1),1,0))</f>
        <v>0</v>
      </c>
      <c r="AD1046" s="108">
        <f t="shared" si="196"/>
        <v>1</v>
      </c>
      <c r="AE1046" s="108" t="str">
        <f t="shared" si="197"/>
        <v/>
      </c>
      <c r="AF1046" s="108">
        <f t="shared" si="198"/>
        <v>0</v>
      </c>
      <c r="AG1046" s="108">
        <f t="shared" si="199"/>
        <v>0</v>
      </c>
      <c r="AH1046" s="110" t="str">
        <f t="shared" si="200"/>
        <v/>
      </c>
      <c r="AI1046" s="108">
        <f t="shared" si="201"/>
        <v>0</v>
      </c>
      <c r="AJ1046" s="108">
        <f t="shared" si="202"/>
        <v>0</v>
      </c>
      <c r="AK1046" s="108">
        <f>IF($A1046="",0,IF(AND($S1046=1,$W1046=1,$X1046=1,$U1046&gt;Config!$C$9),1,0))</f>
        <v>0</v>
      </c>
      <c r="AL1046" s="108">
        <f t="shared" si="203"/>
        <v>0</v>
      </c>
    </row>
    <row r="1047" spans="19:38" x14ac:dyDescent="0.25">
      <c r="S1047" s="108" t="str">
        <f>IF($A1047="","",COUNTIF(BPOworkers!$B$6:$B$105,$A1047))</f>
        <v/>
      </c>
      <c r="T1047" s="109" t="str">
        <f>IF($A1047="","",$K1047*Config!$C$9)</f>
        <v/>
      </c>
      <c r="U1047" s="109" t="str">
        <f>IF($A1047="","",IF(COUNTIF(Config!$C$21:$C$23,$H1047)&gt;0,IFERROR(VALUE(LEFT(TRIM($Q1047),FIND(" ",TRIM($Q1047)&amp;" ")-1)),0),0))</f>
        <v/>
      </c>
      <c r="V1047" s="109" t="str">
        <f t="shared" si="192"/>
        <v/>
      </c>
      <c r="W1047" s="108">
        <f>IF($A1047="",0,IF(AND($C1047&gt;=Config!$C$7,$C1047&lt;=Config!$C$8),1,0))</f>
        <v>0</v>
      </c>
      <c r="X1047" s="108">
        <f>IF($A1047="",0,IF(COUNTIF(Config!$C$21:$C$23,$H1047)&gt;0,1,0))</f>
        <v>0</v>
      </c>
      <c r="Y1047" s="108">
        <f t="shared" si="193"/>
        <v>24</v>
      </c>
      <c r="Z1047" s="108" t="str">
        <f t="shared" si="194"/>
        <v/>
      </c>
      <c r="AB1047" s="108">
        <f t="shared" si="195"/>
        <v>0</v>
      </c>
      <c r="AC1047" s="108">
        <f>IF($A1047="",0,IF(AND($AB1047=1,COUNTIF($A$2:$A1047,$A1047)=1),1,0))</f>
        <v>0</v>
      </c>
      <c r="AD1047" s="108">
        <f t="shared" si="196"/>
        <v>1</v>
      </c>
      <c r="AE1047" s="108" t="str">
        <f t="shared" si="197"/>
        <v/>
      </c>
      <c r="AF1047" s="108">
        <f t="shared" si="198"/>
        <v>0</v>
      </c>
      <c r="AG1047" s="108">
        <f t="shared" si="199"/>
        <v>0</v>
      </c>
      <c r="AH1047" s="110" t="str">
        <f t="shared" si="200"/>
        <v/>
      </c>
      <c r="AI1047" s="108">
        <f t="shared" si="201"/>
        <v>0</v>
      </c>
      <c r="AJ1047" s="108">
        <f t="shared" si="202"/>
        <v>0</v>
      </c>
      <c r="AK1047" s="108">
        <f>IF($A1047="",0,IF(AND($S1047=1,$W1047=1,$X1047=1,$U1047&gt;Config!$C$9),1,0))</f>
        <v>0</v>
      </c>
      <c r="AL1047" s="108">
        <f t="shared" si="203"/>
        <v>0</v>
      </c>
    </row>
    <row r="1048" spans="19:38" x14ac:dyDescent="0.25">
      <c r="S1048" s="108" t="str">
        <f>IF($A1048="","",COUNTIF(BPOworkers!$B$6:$B$105,$A1048))</f>
        <v/>
      </c>
      <c r="T1048" s="109" t="str">
        <f>IF($A1048="","",$K1048*Config!$C$9)</f>
        <v/>
      </c>
      <c r="U1048" s="109" t="str">
        <f>IF($A1048="","",IF(COUNTIF(Config!$C$21:$C$23,$H1048)&gt;0,IFERROR(VALUE(LEFT(TRIM($Q1048),FIND(" ",TRIM($Q1048)&amp;" ")-1)),0),0))</f>
        <v/>
      </c>
      <c r="V1048" s="109" t="str">
        <f t="shared" si="192"/>
        <v/>
      </c>
      <c r="W1048" s="108">
        <f>IF($A1048="",0,IF(AND($C1048&gt;=Config!$C$7,$C1048&lt;=Config!$C$8),1,0))</f>
        <v>0</v>
      </c>
      <c r="X1048" s="108">
        <f>IF($A1048="",0,IF(COUNTIF(Config!$C$21:$C$23,$H1048)&gt;0,1,0))</f>
        <v>0</v>
      </c>
      <c r="Y1048" s="108">
        <f t="shared" si="193"/>
        <v>24</v>
      </c>
      <c r="Z1048" s="108" t="str">
        <f t="shared" si="194"/>
        <v/>
      </c>
      <c r="AB1048" s="108">
        <f t="shared" si="195"/>
        <v>0</v>
      </c>
      <c r="AC1048" s="108">
        <f>IF($A1048="",0,IF(AND($AB1048=1,COUNTIF($A$2:$A1048,$A1048)=1),1,0))</f>
        <v>0</v>
      </c>
      <c r="AD1048" s="108">
        <f t="shared" si="196"/>
        <v>1</v>
      </c>
      <c r="AE1048" s="108" t="str">
        <f t="shared" si="197"/>
        <v/>
      </c>
      <c r="AF1048" s="108">
        <f t="shared" si="198"/>
        <v>0</v>
      </c>
      <c r="AG1048" s="108">
        <f t="shared" si="199"/>
        <v>0</v>
      </c>
      <c r="AH1048" s="110" t="str">
        <f t="shared" si="200"/>
        <v/>
      </c>
      <c r="AI1048" s="108">
        <f t="shared" si="201"/>
        <v>0</v>
      </c>
      <c r="AJ1048" s="108">
        <f t="shared" si="202"/>
        <v>0</v>
      </c>
      <c r="AK1048" s="108">
        <f>IF($A1048="",0,IF(AND($S1048=1,$W1048=1,$X1048=1,$U1048&gt;Config!$C$9),1,0))</f>
        <v>0</v>
      </c>
      <c r="AL1048" s="108">
        <f t="shared" si="203"/>
        <v>0</v>
      </c>
    </row>
    <row r="1049" spans="19:38" x14ac:dyDescent="0.25">
      <c r="S1049" s="108" t="str">
        <f>IF($A1049="","",COUNTIF(BPOworkers!$B$6:$B$105,$A1049))</f>
        <v/>
      </c>
      <c r="T1049" s="109" t="str">
        <f>IF($A1049="","",$K1049*Config!$C$9)</f>
        <v/>
      </c>
      <c r="U1049" s="109" t="str">
        <f>IF($A1049="","",IF(COUNTIF(Config!$C$21:$C$23,$H1049)&gt;0,IFERROR(VALUE(LEFT(TRIM($Q1049),FIND(" ",TRIM($Q1049)&amp;" ")-1)),0),0))</f>
        <v/>
      </c>
      <c r="V1049" s="109" t="str">
        <f t="shared" si="192"/>
        <v/>
      </c>
      <c r="W1049" s="108">
        <f>IF($A1049="",0,IF(AND($C1049&gt;=Config!$C$7,$C1049&lt;=Config!$C$8),1,0))</f>
        <v>0</v>
      </c>
      <c r="X1049" s="108">
        <f>IF($A1049="",0,IF(COUNTIF(Config!$C$21:$C$23,$H1049)&gt;0,1,0))</f>
        <v>0</v>
      </c>
      <c r="Y1049" s="108">
        <f t="shared" si="193"/>
        <v>24</v>
      </c>
      <c r="Z1049" s="108" t="str">
        <f t="shared" si="194"/>
        <v/>
      </c>
      <c r="AB1049" s="108">
        <f t="shared" si="195"/>
        <v>0</v>
      </c>
      <c r="AC1049" s="108">
        <f>IF($A1049="",0,IF(AND($AB1049=1,COUNTIF($A$2:$A1049,$A1049)=1),1,0))</f>
        <v>0</v>
      </c>
      <c r="AD1049" s="108">
        <f t="shared" si="196"/>
        <v>1</v>
      </c>
      <c r="AE1049" s="108" t="str">
        <f t="shared" si="197"/>
        <v/>
      </c>
      <c r="AF1049" s="108">
        <f t="shared" si="198"/>
        <v>0</v>
      </c>
      <c r="AG1049" s="108">
        <f t="shared" si="199"/>
        <v>0</v>
      </c>
      <c r="AH1049" s="110" t="str">
        <f t="shared" si="200"/>
        <v/>
      </c>
      <c r="AI1049" s="108">
        <f t="shared" si="201"/>
        <v>0</v>
      </c>
      <c r="AJ1049" s="108">
        <f t="shared" si="202"/>
        <v>0</v>
      </c>
      <c r="AK1049" s="108">
        <f>IF($A1049="",0,IF(AND($S1049=1,$W1049=1,$X1049=1,$U1049&gt;Config!$C$9),1,0))</f>
        <v>0</v>
      </c>
      <c r="AL1049" s="108">
        <f t="shared" si="203"/>
        <v>0</v>
      </c>
    </row>
    <row r="1050" spans="19:38" x14ac:dyDescent="0.25">
      <c r="S1050" s="108" t="str">
        <f>IF($A1050="","",COUNTIF(BPOworkers!$B$6:$B$105,$A1050))</f>
        <v/>
      </c>
      <c r="T1050" s="109" t="str">
        <f>IF($A1050="","",$K1050*Config!$C$9)</f>
        <v/>
      </c>
      <c r="U1050" s="109" t="str">
        <f>IF($A1050="","",IF(COUNTIF(Config!$C$21:$C$23,$H1050)&gt;0,IFERROR(VALUE(LEFT(TRIM($Q1050),FIND(" ",TRIM($Q1050)&amp;" ")-1)),0),0))</f>
        <v/>
      </c>
      <c r="V1050" s="109" t="str">
        <f t="shared" si="192"/>
        <v/>
      </c>
      <c r="W1050" s="108">
        <f>IF($A1050="",0,IF(AND($C1050&gt;=Config!$C$7,$C1050&lt;=Config!$C$8),1,0))</f>
        <v>0</v>
      </c>
      <c r="X1050" s="108">
        <f>IF($A1050="",0,IF(COUNTIF(Config!$C$21:$C$23,$H1050)&gt;0,1,0))</f>
        <v>0</v>
      </c>
      <c r="Y1050" s="108">
        <f t="shared" si="193"/>
        <v>24</v>
      </c>
      <c r="Z1050" s="108" t="str">
        <f t="shared" si="194"/>
        <v/>
      </c>
      <c r="AB1050" s="108">
        <f t="shared" si="195"/>
        <v>0</v>
      </c>
      <c r="AC1050" s="108">
        <f>IF($A1050="",0,IF(AND($AB1050=1,COUNTIF($A$2:$A1050,$A1050)=1),1,0))</f>
        <v>0</v>
      </c>
      <c r="AD1050" s="108">
        <f t="shared" si="196"/>
        <v>1</v>
      </c>
      <c r="AE1050" s="108" t="str">
        <f t="shared" si="197"/>
        <v/>
      </c>
      <c r="AF1050" s="108">
        <f t="shared" si="198"/>
        <v>0</v>
      </c>
      <c r="AG1050" s="108">
        <f t="shared" si="199"/>
        <v>0</v>
      </c>
      <c r="AH1050" s="110" t="str">
        <f t="shared" si="200"/>
        <v/>
      </c>
      <c r="AI1050" s="108">
        <f t="shared" si="201"/>
        <v>0</v>
      </c>
      <c r="AJ1050" s="108">
        <f t="shared" si="202"/>
        <v>0</v>
      </c>
      <c r="AK1050" s="108">
        <f>IF($A1050="",0,IF(AND($S1050=1,$W1050=1,$X1050=1,$U1050&gt;Config!$C$9),1,0))</f>
        <v>0</v>
      </c>
      <c r="AL1050" s="108">
        <f t="shared" si="203"/>
        <v>0</v>
      </c>
    </row>
    <row r="1051" spans="19:38" x14ac:dyDescent="0.25">
      <c r="S1051" s="108" t="str">
        <f>IF($A1051="","",COUNTIF(BPOworkers!$B$6:$B$105,$A1051))</f>
        <v/>
      </c>
      <c r="T1051" s="109" t="str">
        <f>IF($A1051="","",$K1051*Config!$C$9)</f>
        <v/>
      </c>
      <c r="U1051" s="109" t="str">
        <f>IF($A1051="","",IF(COUNTIF(Config!$C$21:$C$23,$H1051)&gt;0,IFERROR(VALUE(LEFT(TRIM($Q1051),FIND(" ",TRIM($Q1051)&amp;" ")-1)),0),0))</f>
        <v/>
      </c>
      <c r="V1051" s="109" t="str">
        <f t="shared" si="192"/>
        <v/>
      </c>
      <c r="W1051" s="108">
        <f>IF($A1051="",0,IF(AND($C1051&gt;=Config!$C$7,$C1051&lt;=Config!$C$8),1,0))</f>
        <v>0</v>
      </c>
      <c r="X1051" s="108">
        <f>IF($A1051="",0,IF(COUNTIF(Config!$C$21:$C$23,$H1051)&gt;0,1,0))</f>
        <v>0</v>
      </c>
      <c r="Y1051" s="108">
        <f t="shared" si="193"/>
        <v>24</v>
      </c>
      <c r="Z1051" s="108" t="str">
        <f t="shared" si="194"/>
        <v/>
      </c>
      <c r="AB1051" s="108">
        <f t="shared" si="195"/>
        <v>0</v>
      </c>
      <c r="AC1051" s="108">
        <f>IF($A1051="",0,IF(AND($AB1051=1,COUNTIF($A$2:$A1051,$A1051)=1),1,0))</f>
        <v>0</v>
      </c>
      <c r="AD1051" s="108">
        <f t="shared" si="196"/>
        <v>1</v>
      </c>
      <c r="AE1051" s="108" t="str">
        <f t="shared" si="197"/>
        <v/>
      </c>
      <c r="AF1051" s="108">
        <f t="shared" si="198"/>
        <v>0</v>
      </c>
      <c r="AG1051" s="108">
        <f t="shared" si="199"/>
        <v>0</v>
      </c>
      <c r="AH1051" s="110" t="str">
        <f t="shared" si="200"/>
        <v/>
      </c>
      <c r="AI1051" s="108">
        <f t="shared" si="201"/>
        <v>0</v>
      </c>
      <c r="AJ1051" s="108">
        <f t="shared" si="202"/>
        <v>0</v>
      </c>
      <c r="AK1051" s="108">
        <f>IF($A1051="",0,IF(AND($S1051=1,$W1051=1,$X1051=1,$U1051&gt;Config!$C$9),1,0))</f>
        <v>0</v>
      </c>
      <c r="AL1051" s="108">
        <f t="shared" si="203"/>
        <v>0</v>
      </c>
    </row>
    <row r="1052" spans="19:38" x14ac:dyDescent="0.25">
      <c r="S1052" s="108" t="str">
        <f>IF($A1052="","",COUNTIF(BPOworkers!$B$6:$B$105,$A1052))</f>
        <v/>
      </c>
      <c r="T1052" s="109" t="str">
        <f>IF($A1052="","",$K1052*Config!$C$9)</f>
        <v/>
      </c>
      <c r="U1052" s="109" t="str">
        <f>IF($A1052="","",IF(COUNTIF(Config!$C$21:$C$23,$H1052)&gt;0,IFERROR(VALUE(LEFT(TRIM($Q1052),FIND(" ",TRIM($Q1052)&amp;" ")-1)),0),0))</f>
        <v/>
      </c>
      <c r="V1052" s="109" t="str">
        <f t="shared" si="192"/>
        <v/>
      </c>
      <c r="W1052" s="108">
        <f>IF($A1052="",0,IF(AND($C1052&gt;=Config!$C$7,$C1052&lt;=Config!$C$8),1,0))</f>
        <v>0</v>
      </c>
      <c r="X1052" s="108">
        <f>IF($A1052="",0,IF(COUNTIF(Config!$C$21:$C$23,$H1052)&gt;0,1,0))</f>
        <v>0</v>
      </c>
      <c r="Y1052" s="108">
        <f t="shared" si="193"/>
        <v>24</v>
      </c>
      <c r="Z1052" s="108" t="str">
        <f t="shared" si="194"/>
        <v/>
      </c>
      <c r="AB1052" s="108">
        <f t="shared" si="195"/>
        <v>0</v>
      </c>
      <c r="AC1052" s="108">
        <f>IF($A1052="",0,IF(AND($AB1052=1,COUNTIF($A$2:$A1052,$A1052)=1),1,0))</f>
        <v>0</v>
      </c>
      <c r="AD1052" s="108">
        <f t="shared" si="196"/>
        <v>1</v>
      </c>
      <c r="AE1052" s="108" t="str">
        <f t="shared" si="197"/>
        <v/>
      </c>
      <c r="AF1052" s="108">
        <f t="shared" si="198"/>
        <v>0</v>
      </c>
      <c r="AG1052" s="108">
        <f t="shared" si="199"/>
        <v>0</v>
      </c>
      <c r="AH1052" s="110" t="str">
        <f t="shared" si="200"/>
        <v/>
      </c>
      <c r="AI1052" s="108">
        <f t="shared" si="201"/>
        <v>0</v>
      </c>
      <c r="AJ1052" s="108">
        <f t="shared" si="202"/>
        <v>0</v>
      </c>
      <c r="AK1052" s="108">
        <f>IF($A1052="",0,IF(AND($S1052=1,$W1052=1,$X1052=1,$U1052&gt;Config!$C$9),1,0))</f>
        <v>0</v>
      </c>
      <c r="AL1052" s="108">
        <f t="shared" si="203"/>
        <v>0</v>
      </c>
    </row>
    <row r="1053" spans="19:38" x14ac:dyDescent="0.25">
      <c r="S1053" s="108" t="str">
        <f>IF($A1053="","",COUNTIF(BPOworkers!$B$6:$B$105,$A1053))</f>
        <v/>
      </c>
      <c r="T1053" s="109" t="str">
        <f>IF($A1053="","",$K1053*Config!$C$9)</f>
        <v/>
      </c>
      <c r="U1053" s="109" t="str">
        <f>IF($A1053="","",IF(COUNTIF(Config!$C$21:$C$23,$H1053)&gt;0,IFERROR(VALUE(LEFT(TRIM($Q1053),FIND(" ",TRIM($Q1053)&amp;" ")-1)),0),0))</f>
        <v/>
      </c>
      <c r="V1053" s="109" t="str">
        <f t="shared" si="192"/>
        <v/>
      </c>
      <c r="W1053" s="108">
        <f>IF($A1053="",0,IF(AND($C1053&gt;=Config!$C$7,$C1053&lt;=Config!$C$8),1,0))</f>
        <v>0</v>
      </c>
      <c r="X1053" s="108">
        <f>IF($A1053="",0,IF(COUNTIF(Config!$C$21:$C$23,$H1053)&gt;0,1,0))</f>
        <v>0</v>
      </c>
      <c r="Y1053" s="108">
        <f t="shared" si="193"/>
        <v>24</v>
      </c>
      <c r="Z1053" s="108" t="str">
        <f t="shared" si="194"/>
        <v/>
      </c>
      <c r="AB1053" s="108">
        <f t="shared" si="195"/>
        <v>0</v>
      </c>
      <c r="AC1053" s="108">
        <f>IF($A1053="",0,IF(AND($AB1053=1,COUNTIF($A$2:$A1053,$A1053)=1),1,0))</f>
        <v>0</v>
      </c>
      <c r="AD1053" s="108">
        <f t="shared" si="196"/>
        <v>1</v>
      </c>
      <c r="AE1053" s="108" t="str">
        <f t="shared" si="197"/>
        <v/>
      </c>
      <c r="AF1053" s="108">
        <f t="shared" si="198"/>
        <v>0</v>
      </c>
      <c r="AG1053" s="108">
        <f t="shared" si="199"/>
        <v>0</v>
      </c>
      <c r="AH1053" s="110" t="str">
        <f t="shared" si="200"/>
        <v/>
      </c>
      <c r="AI1053" s="108">
        <f t="shared" si="201"/>
        <v>0</v>
      </c>
      <c r="AJ1053" s="108">
        <f t="shared" si="202"/>
        <v>0</v>
      </c>
      <c r="AK1053" s="108">
        <f>IF($A1053="",0,IF(AND($S1053=1,$W1053=1,$X1053=1,$U1053&gt;Config!$C$9),1,0))</f>
        <v>0</v>
      </c>
      <c r="AL1053" s="108">
        <f t="shared" si="203"/>
        <v>0</v>
      </c>
    </row>
    <row r="1054" spans="19:38" x14ac:dyDescent="0.25">
      <c r="S1054" s="108" t="str">
        <f>IF($A1054="","",COUNTIF(BPOworkers!$B$6:$B$105,$A1054))</f>
        <v/>
      </c>
      <c r="T1054" s="109" t="str">
        <f>IF($A1054="","",$K1054*Config!$C$9)</f>
        <v/>
      </c>
      <c r="U1054" s="109" t="str">
        <f>IF($A1054="","",IF(COUNTIF(Config!$C$21:$C$23,$H1054)&gt;0,IFERROR(VALUE(LEFT(TRIM($Q1054),FIND(" ",TRIM($Q1054)&amp;" ")-1)),0),0))</f>
        <v/>
      </c>
      <c r="V1054" s="109" t="str">
        <f t="shared" si="192"/>
        <v/>
      </c>
      <c r="W1054" s="108">
        <f>IF($A1054="",0,IF(AND($C1054&gt;=Config!$C$7,$C1054&lt;=Config!$C$8),1,0))</f>
        <v>0</v>
      </c>
      <c r="X1054" s="108">
        <f>IF($A1054="",0,IF(COUNTIF(Config!$C$21:$C$23,$H1054)&gt;0,1,0))</f>
        <v>0</v>
      </c>
      <c r="Y1054" s="108">
        <f t="shared" si="193"/>
        <v>24</v>
      </c>
      <c r="Z1054" s="108" t="str">
        <f t="shared" si="194"/>
        <v/>
      </c>
      <c r="AB1054" s="108">
        <f t="shared" si="195"/>
        <v>0</v>
      </c>
      <c r="AC1054" s="108">
        <f>IF($A1054="",0,IF(AND($AB1054=1,COUNTIF($A$2:$A1054,$A1054)=1),1,0))</f>
        <v>0</v>
      </c>
      <c r="AD1054" s="108">
        <f t="shared" si="196"/>
        <v>1</v>
      </c>
      <c r="AE1054" s="108" t="str">
        <f t="shared" si="197"/>
        <v/>
      </c>
      <c r="AF1054" s="108">
        <f t="shared" si="198"/>
        <v>0</v>
      </c>
      <c r="AG1054" s="108">
        <f t="shared" si="199"/>
        <v>0</v>
      </c>
      <c r="AH1054" s="110" t="str">
        <f t="shared" si="200"/>
        <v/>
      </c>
      <c r="AI1054" s="108">
        <f t="shared" si="201"/>
        <v>0</v>
      </c>
      <c r="AJ1054" s="108">
        <f t="shared" si="202"/>
        <v>0</v>
      </c>
      <c r="AK1054" s="108">
        <f>IF($A1054="",0,IF(AND($S1054=1,$W1054=1,$X1054=1,$U1054&gt;Config!$C$9),1,0))</f>
        <v>0</v>
      </c>
      <c r="AL1054" s="108">
        <f t="shared" si="203"/>
        <v>0</v>
      </c>
    </row>
    <row r="1055" spans="19:38" x14ac:dyDescent="0.25">
      <c r="S1055" s="108" t="str">
        <f>IF($A1055="","",COUNTIF(BPOworkers!$B$6:$B$105,$A1055))</f>
        <v/>
      </c>
      <c r="T1055" s="109" t="str">
        <f>IF($A1055="","",$K1055*Config!$C$9)</f>
        <v/>
      </c>
      <c r="U1055" s="109" t="str">
        <f>IF($A1055="","",IF(COUNTIF(Config!$C$21:$C$23,$H1055)&gt;0,IFERROR(VALUE(LEFT(TRIM($Q1055),FIND(" ",TRIM($Q1055)&amp;" ")-1)),0),0))</f>
        <v/>
      </c>
      <c r="V1055" s="109" t="str">
        <f t="shared" si="192"/>
        <v/>
      </c>
      <c r="W1055" s="108">
        <f>IF($A1055="",0,IF(AND($C1055&gt;=Config!$C$7,$C1055&lt;=Config!$C$8),1,0))</f>
        <v>0</v>
      </c>
      <c r="X1055" s="108">
        <f>IF($A1055="",0,IF(COUNTIF(Config!$C$21:$C$23,$H1055)&gt;0,1,0))</f>
        <v>0</v>
      </c>
      <c r="Y1055" s="108">
        <f t="shared" si="193"/>
        <v>24</v>
      </c>
      <c r="Z1055" s="108" t="str">
        <f t="shared" si="194"/>
        <v/>
      </c>
      <c r="AB1055" s="108">
        <f t="shared" si="195"/>
        <v>0</v>
      </c>
      <c r="AC1055" s="108">
        <f>IF($A1055="",0,IF(AND($AB1055=1,COUNTIF($A$2:$A1055,$A1055)=1),1,0))</f>
        <v>0</v>
      </c>
      <c r="AD1055" s="108">
        <f t="shared" si="196"/>
        <v>1</v>
      </c>
      <c r="AE1055" s="108" t="str">
        <f t="shared" si="197"/>
        <v/>
      </c>
      <c r="AF1055" s="108">
        <f t="shared" si="198"/>
        <v>0</v>
      </c>
      <c r="AG1055" s="108">
        <f t="shared" si="199"/>
        <v>0</v>
      </c>
      <c r="AH1055" s="110" t="str">
        <f t="shared" si="200"/>
        <v/>
      </c>
      <c r="AI1055" s="108">
        <f t="shared" si="201"/>
        <v>0</v>
      </c>
      <c r="AJ1055" s="108">
        <f t="shared" si="202"/>
        <v>0</v>
      </c>
      <c r="AK1055" s="108">
        <f>IF($A1055="",0,IF(AND($S1055=1,$W1055=1,$X1055=1,$U1055&gt;Config!$C$9),1,0))</f>
        <v>0</v>
      </c>
      <c r="AL1055" s="108">
        <f t="shared" si="203"/>
        <v>0</v>
      </c>
    </row>
    <row r="1056" spans="19:38" x14ac:dyDescent="0.25">
      <c r="S1056" s="108" t="str">
        <f>IF($A1056="","",COUNTIF(BPOworkers!$B$6:$B$105,$A1056))</f>
        <v/>
      </c>
      <c r="T1056" s="109" t="str">
        <f>IF($A1056="","",$K1056*Config!$C$9)</f>
        <v/>
      </c>
      <c r="U1056" s="109" t="str">
        <f>IF($A1056="","",IF(COUNTIF(Config!$C$21:$C$23,$H1056)&gt;0,IFERROR(VALUE(LEFT(TRIM($Q1056),FIND(" ",TRIM($Q1056)&amp;" ")-1)),0),0))</f>
        <v/>
      </c>
      <c r="V1056" s="109" t="str">
        <f t="shared" si="192"/>
        <v/>
      </c>
      <c r="W1056" s="108">
        <f>IF($A1056="",0,IF(AND($C1056&gt;=Config!$C$7,$C1056&lt;=Config!$C$8),1,0))</f>
        <v>0</v>
      </c>
      <c r="X1056" s="108">
        <f>IF($A1056="",0,IF(COUNTIF(Config!$C$21:$C$23,$H1056)&gt;0,1,0))</f>
        <v>0</v>
      </c>
      <c r="Y1056" s="108">
        <f t="shared" si="193"/>
        <v>24</v>
      </c>
      <c r="Z1056" s="108" t="str">
        <f t="shared" si="194"/>
        <v/>
      </c>
      <c r="AB1056" s="108">
        <f t="shared" si="195"/>
        <v>0</v>
      </c>
      <c r="AC1056" s="108">
        <f>IF($A1056="",0,IF(AND($AB1056=1,COUNTIF($A$2:$A1056,$A1056)=1),1,0))</f>
        <v>0</v>
      </c>
      <c r="AD1056" s="108">
        <f t="shared" si="196"/>
        <v>1</v>
      </c>
      <c r="AE1056" s="108" t="str">
        <f t="shared" si="197"/>
        <v/>
      </c>
      <c r="AF1056" s="108">
        <f t="shared" si="198"/>
        <v>0</v>
      </c>
      <c r="AG1056" s="108">
        <f t="shared" si="199"/>
        <v>0</v>
      </c>
      <c r="AH1056" s="110" t="str">
        <f t="shared" si="200"/>
        <v/>
      </c>
      <c r="AI1056" s="108">
        <f t="shared" si="201"/>
        <v>0</v>
      </c>
      <c r="AJ1056" s="108">
        <f t="shared" si="202"/>
        <v>0</v>
      </c>
      <c r="AK1056" s="108">
        <f>IF($A1056="",0,IF(AND($S1056=1,$W1056=1,$X1056=1,$U1056&gt;Config!$C$9),1,0))</f>
        <v>0</v>
      </c>
      <c r="AL1056" s="108">
        <f t="shared" si="203"/>
        <v>0</v>
      </c>
    </row>
    <row r="1057" spans="19:38" x14ac:dyDescent="0.25">
      <c r="S1057" s="108" t="str">
        <f>IF($A1057="","",COUNTIF(BPOworkers!$B$6:$B$105,$A1057))</f>
        <v/>
      </c>
      <c r="T1057" s="109" t="str">
        <f>IF($A1057="","",$K1057*Config!$C$9)</f>
        <v/>
      </c>
      <c r="U1057" s="109" t="str">
        <f>IF($A1057="","",IF(COUNTIF(Config!$C$21:$C$23,$H1057)&gt;0,IFERROR(VALUE(LEFT(TRIM($Q1057),FIND(" ",TRIM($Q1057)&amp;" ")-1)),0),0))</f>
        <v/>
      </c>
      <c r="V1057" s="109" t="str">
        <f t="shared" si="192"/>
        <v/>
      </c>
      <c r="W1057" s="108">
        <f>IF($A1057="",0,IF(AND($C1057&gt;=Config!$C$7,$C1057&lt;=Config!$C$8),1,0))</f>
        <v>0</v>
      </c>
      <c r="X1057" s="108">
        <f>IF($A1057="",0,IF(COUNTIF(Config!$C$21:$C$23,$H1057)&gt;0,1,0))</f>
        <v>0</v>
      </c>
      <c r="Y1057" s="108">
        <f t="shared" si="193"/>
        <v>24</v>
      </c>
      <c r="Z1057" s="108" t="str">
        <f t="shared" si="194"/>
        <v/>
      </c>
      <c r="AB1057" s="108">
        <f t="shared" si="195"/>
        <v>0</v>
      </c>
      <c r="AC1057" s="108">
        <f>IF($A1057="",0,IF(AND($AB1057=1,COUNTIF($A$2:$A1057,$A1057)=1),1,0))</f>
        <v>0</v>
      </c>
      <c r="AD1057" s="108">
        <f t="shared" si="196"/>
        <v>1</v>
      </c>
      <c r="AE1057" s="108" t="str">
        <f t="shared" si="197"/>
        <v/>
      </c>
      <c r="AF1057" s="108">
        <f t="shared" si="198"/>
        <v>0</v>
      </c>
      <c r="AG1057" s="108">
        <f t="shared" si="199"/>
        <v>0</v>
      </c>
      <c r="AH1057" s="110" t="str">
        <f t="shared" si="200"/>
        <v/>
      </c>
      <c r="AI1057" s="108">
        <f t="shared" si="201"/>
        <v>0</v>
      </c>
      <c r="AJ1057" s="108">
        <f t="shared" si="202"/>
        <v>0</v>
      </c>
      <c r="AK1057" s="108">
        <f>IF($A1057="",0,IF(AND($S1057=1,$W1057=1,$X1057=1,$U1057&gt;Config!$C$9),1,0))</f>
        <v>0</v>
      </c>
      <c r="AL1057" s="108">
        <f t="shared" si="203"/>
        <v>0</v>
      </c>
    </row>
    <row r="1058" spans="19:38" x14ac:dyDescent="0.25">
      <c r="S1058" s="108" t="str">
        <f>IF($A1058="","",COUNTIF(BPOworkers!$B$6:$B$105,$A1058))</f>
        <v/>
      </c>
      <c r="T1058" s="109" t="str">
        <f>IF($A1058="","",$K1058*Config!$C$9)</f>
        <v/>
      </c>
      <c r="U1058" s="109" t="str">
        <f>IF($A1058="","",IF(COUNTIF(Config!$C$21:$C$23,$H1058)&gt;0,IFERROR(VALUE(LEFT(TRIM($Q1058),FIND(" ",TRIM($Q1058)&amp;" ")-1)),0),0))</f>
        <v/>
      </c>
      <c r="V1058" s="109" t="str">
        <f t="shared" si="192"/>
        <v/>
      </c>
      <c r="W1058" s="108">
        <f>IF($A1058="",0,IF(AND($C1058&gt;=Config!$C$7,$C1058&lt;=Config!$C$8),1,0))</f>
        <v>0</v>
      </c>
      <c r="X1058" s="108">
        <f>IF($A1058="",0,IF(COUNTIF(Config!$C$21:$C$23,$H1058)&gt;0,1,0))</f>
        <v>0</v>
      </c>
      <c r="Y1058" s="108">
        <f t="shared" si="193"/>
        <v>24</v>
      </c>
      <c r="Z1058" s="108" t="str">
        <f t="shared" si="194"/>
        <v/>
      </c>
      <c r="AB1058" s="108">
        <f t="shared" si="195"/>
        <v>0</v>
      </c>
      <c r="AC1058" s="108">
        <f>IF($A1058="",0,IF(AND($AB1058=1,COUNTIF($A$2:$A1058,$A1058)=1),1,0))</f>
        <v>0</v>
      </c>
      <c r="AD1058" s="108">
        <f t="shared" si="196"/>
        <v>1</v>
      </c>
      <c r="AE1058" s="108" t="str">
        <f t="shared" si="197"/>
        <v/>
      </c>
      <c r="AF1058" s="108">
        <f t="shared" si="198"/>
        <v>0</v>
      </c>
      <c r="AG1058" s="108">
        <f t="shared" si="199"/>
        <v>0</v>
      </c>
      <c r="AH1058" s="110" t="str">
        <f t="shared" si="200"/>
        <v/>
      </c>
      <c r="AI1058" s="108">
        <f t="shared" si="201"/>
        <v>0</v>
      </c>
      <c r="AJ1058" s="108">
        <f t="shared" si="202"/>
        <v>0</v>
      </c>
      <c r="AK1058" s="108">
        <f>IF($A1058="",0,IF(AND($S1058=1,$W1058=1,$X1058=1,$U1058&gt;Config!$C$9),1,0))</f>
        <v>0</v>
      </c>
      <c r="AL1058" s="108">
        <f t="shared" si="203"/>
        <v>0</v>
      </c>
    </row>
    <row r="1059" spans="19:38" x14ac:dyDescent="0.25">
      <c r="S1059" s="108" t="str">
        <f>IF($A1059="","",COUNTIF(BPOworkers!$B$6:$B$105,$A1059))</f>
        <v/>
      </c>
      <c r="T1059" s="109" t="str">
        <f>IF($A1059="","",$K1059*Config!$C$9)</f>
        <v/>
      </c>
      <c r="U1059" s="109" t="str">
        <f>IF($A1059="","",IF(COUNTIF(Config!$C$21:$C$23,$H1059)&gt;0,IFERROR(VALUE(LEFT(TRIM($Q1059),FIND(" ",TRIM($Q1059)&amp;" ")-1)),0),0))</f>
        <v/>
      </c>
      <c r="V1059" s="109" t="str">
        <f t="shared" si="192"/>
        <v/>
      </c>
      <c r="W1059" s="108">
        <f>IF($A1059="",0,IF(AND($C1059&gt;=Config!$C$7,$C1059&lt;=Config!$C$8),1,0))</f>
        <v>0</v>
      </c>
      <c r="X1059" s="108">
        <f>IF($A1059="",0,IF(COUNTIF(Config!$C$21:$C$23,$H1059)&gt;0,1,0))</f>
        <v>0</v>
      </c>
      <c r="Y1059" s="108">
        <f t="shared" si="193"/>
        <v>24</v>
      </c>
      <c r="Z1059" s="108" t="str">
        <f t="shared" si="194"/>
        <v/>
      </c>
      <c r="AB1059" s="108">
        <f t="shared" si="195"/>
        <v>0</v>
      </c>
      <c r="AC1059" s="108">
        <f>IF($A1059="",0,IF(AND($AB1059=1,COUNTIF($A$2:$A1059,$A1059)=1),1,0))</f>
        <v>0</v>
      </c>
      <c r="AD1059" s="108">
        <f t="shared" si="196"/>
        <v>1</v>
      </c>
      <c r="AE1059" s="108" t="str">
        <f t="shared" si="197"/>
        <v/>
      </c>
      <c r="AF1059" s="108">
        <f t="shared" si="198"/>
        <v>0</v>
      </c>
      <c r="AG1059" s="108">
        <f t="shared" si="199"/>
        <v>0</v>
      </c>
      <c r="AH1059" s="110" t="str">
        <f t="shared" si="200"/>
        <v/>
      </c>
      <c r="AI1059" s="108">
        <f t="shared" si="201"/>
        <v>0</v>
      </c>
      <c r="AJ1059" s="108">
        <f t="shared" si="202"/>
        <v>0</v>
      </c>
      <c r="AK1059" s="108">
        <f>IF($A1059="",0,IF(AND($S1059=1,$W1059=1,$X1059=1,$U1059&gt;Config!$C$9),1,0))</f>
        <v>0</v>
      </c>
      <c r="AL1059" s="108">
        <f t="shared" si="203"/>
        <v>0</v>
      </c>
    </row>
    <row r="1060" spans="19:38" x14ac:dyDescent="0.25">
      <c r="S1060" s="108" t="str">
        <f>IF($A1060="","",COUNTIF(BPOworkers!$B$6:$B$105,$A1060))</f>
        <v/>
      </c>
      <c r="T1060" s="109" t="str">
        <f>IF($A1060="","",$K1060*Config!$C$9)</f>
        <v/>
      </c>
      <c r="U1060" s="109" t="str">
        <f>IF($A1060="","",IF(COUNTIF(Config!$C$21:$C$23,$H1060)&gt;0,IFERROR(VALUE(LEFT(TRIM($Q1060),FIND(" ",TRIM($Q1060)&amp;" ")-1)),0),0))</f>
        <v/>
      </c>
      <c r="V1060" s="109" t="str">
        <f t="shared" si="192"/>
        <v/>
      </c>
      <c r="W1060" s="108">
        <f>IF($A1060="",0,IF(AND($C1060&gt;=Config!$C$7,$C1060&lt;=Config!$C$8),1,0))</f>
        <v>0</v>
      </c>
      <c r="X1060" s="108">
        <f>IF($A1060="",0,IF(COUNTIF(Config!$C$21:$C$23,$H1060)&gt;0,1,0))</f>
        <v>0</v>
      </c>
      <c r="Y1060" s="108">
        <f t="shared" si="193"/>
        <v>24</v>
      </c>
      <c r="Z1060" s="108" t="str">
        <f t="shared" si="194"/>
        <v/>
      </c>
      <c r="AB1060" s="108">
        <f t="shared" si="195"/>
        <v>0</v>
      </c>
      <c r="AC1060" s="108">
        <f>IF($A1060="",0,IF(AND($AB1060=1,COUNTIF($A$2:$A1060,$A1060)=1),1,0))</f>
        <v>0</v>
      </c>
      <c r="AD1060" s="108">
        <f t="shared" si="196"/>
        <v>1</v>
      </c>
      <c r="AE1060" s="108" t="str">
        <f t="shared" si="197"/>
        <v/>
      </c>
      <c r="AF1060" s="108">
        <f t="shared" si="198"/>
        <v>0</v>
      </c>
      <c r="AG1060" s="108">
        <f t="shared" si="199"/>
        <v>0</v>
      </c>
      <c r="AH1060" s="110" t="str">
        <f t="shared" si="200"/>
        <v/>
      </c>
      <c r="AI1060" s="108">
        <f t="shared" si="201"/>
        <v>0</v>
      </c>
      <c r="AJ1060" s="108">
        <f t="shared" si="202"/>
        <v>0</v>
      </c>
      <c r="AK1060" s="108">
        <f>IF($A1060="",0,IF(AND($S1060=1,$W1060=1,$X1060=1,$U1060&gt;Config!$C$9),1,0))</f>
        <v>0</v>
      </c>
      <c r="AL1060" s="108">
        <f t="shared" si="203"/>
        <v>0</v>
      </c>
    </row>
    <row r="1061" spans="19:38" x14ac:dyDescent="0.25">
      <c r="S1061" s="108" t="str">
        <f>IF($A1061="","",COUNTIF(BPOworkers!$B$6:$B$105,$A1061))</f>
        <v/>
      </c>
      <c r="T1061" s="109" t="str">
        <f>IF($A1061="","",$K1061*Config!$C$9)</f>
        <v/>
      </c>
      <c r="U1061" s="109" t="str">
        <f>IF($A1061="","",IF(COUNTIF(Config!$C$21:$C$23,$H1061)&gt;0,IFERROR(VALUE(LEFT(TRIM($Q1061),FIND(" ",TRIM($Q1061)&amp;" ")-1)),0),0))</f>
        <v/>
      </c>
      <c r="V1061" s="109" t="str">
        <f t="shared" si="192"/>
        <v/>
      </c>
      <c r="W1061" s="108">
        <f>IF($A1061="",0,IF(AND($C1061&gt;=Config!$C$7,$C1061&lt;=Config!$C$8),1,0))</f>
        <v>0</v>
      </c>
      <c r="X1061" s="108">
        <f>IF($A1061="",0,IF(COUNTIF(Config!$C$21:$C$23,$H1061)&gt;0,1,0))</f>
        <v>0</v>
      </c>
      <c r="Y1061" s="108">
        <f t="shared" si="193"/>
        <v>24</v>
      </c>
      <c r="Z1061" s="108" t="str">
        <f t="shared" si="194"/>
        <v/>
      </c>
      <c r="AB1061" s="108">
        <f t="shared" si="195"/>
        <v>0</v>
      </c>
      <c r="AC1061" s="108">
        <f>IF($A1061="",0,IF(AND($AB1061=1,COUNTIF($A$2:$A1061,$A1061)=1),1,0))</f>
        <v>0</v>
      </c>
      <c r="AD1061" s="108">
        <f t="shared" si="196"/>
        <v>1</v>
      </c>
      <c r="AE1061" s="108" t="str">
        <f t="shared" si="197"/>
        <v/>
      </c>
      <c r="AF1061" s="108">
        <f t="shared" si="198"/>
        <v>0</v>
      </c>
      <c r="AG1061" s="108">
        <f t="shared" si="199"/>
        <v>0</v>
      </c>
      <c r="AH1061" s="110" t="str">
        <f t="shared" si="200"/>
        <v/>
      </c>
      <c r="AI1061" s="108">
        <f t="shared" si="201"/>
        <v>0</v>
      </c>
      <c r="AJ1061" s="108">
        <f t="shared" si="202"/>
        <v>0</v>
      </c>
      <c r="AK1061" s="108">
        <f>IF($A1061="",0,IF(AND($S1061=1,$W1061=1,$X1061=1,$U1061&gt;Config!$C$9),1,0))</f>
        <v>0</v>
      </c>
      <c r="AL1061" s="108">
        <f t="shared" si="203"/>
        <v>0</v>
      </c>
    </row>
    <row r="1062" spans="19:38" x14ac:dyDescent="0.25">
      <c r="S1062" s="108" t="str">
        <f>IF($A1062="","",COUNTIF(BPOworkers!$B$6:$B$105,$A1062))</f>
        <v/>
      </c>
      <c r="T1062" s="109" t="str">
        <f>IF($A1062="","",$K1062*Config!$C$9)</f>
        <v/>
      </c>
      <c r="U1062" s="109" t="str">
        <f>IF($A1062="","",IF(COUNTIF(Config!$C$21:$C$23,$H1062)&gt;0,IFERROR(VALUE(LEFT(TRIM($Q1062),FIND(" ",TRIM($Q1062)&amp;" ")-1)),0),0))</f>
        <v/>
      </c>
      <c r="V1062" s="109" t="str">
        <f t="shared" si="192"/>
        <v/>
      </c>
      <c r="W1062" s="108">
        <f>IF($A1062="",0,IF(AND($C1062&gt;=Config!$C$7,$C1062&lt;=Config!$C$8),1,0))</f>
        <v>0</v>
      </c>
      <c r="X1062" s="108">
        <f>IF($A1062="",0,IF(COUNTIF(Config!$C$21:$C$23,$H1062)&gt;0,1,0))</f>
        <v>0</v>
      </c>
      <c r="Y1062" s="108">
        <f t="shared" si="193"/>
        <v>24</v>
      </c>
      <c r="Z1062" s="108" t="str">
        <f t="shared" si="194"/>
        <v/>
      </c>
      <c r="AB1062" s="108">
        <f t="shared" si="195"/>
        <v>0</v>
      </c>
      <c r="AC1062" s="108">
        <f>IF($A1062="",0,IF(AND($AB1062=1,COUNTIF($A$2:$A1062,$A1062)=1),1,0))</f>
        <v>0</v>
      </c>
      <c r="AD1062" s="108">
        <f t="shared" si="196"/>
        <v>1</v>
      </c>
      <c r="AE1062" s="108" t="str">
        <f t="shared" si="197"/>
        <v/>
      </c>
      <c r="AF1062" s="108">
        <f t="shared" si="198"/>
        <v>0</v>
      </c>
      <c r="AG1062" s="108">
        <f t="shared" si="199"/>
        <v>0</v>
      </c>
      <c r="AH1062" s="110" t="str">
        <f t="shared" si="200"/>
        <v/>
      </c>
      <c r="AI1062" s="108">
        <f t="shared" si="201"/>
        <v>0</v>
      </c>
      <c r="AJ1062" s="108">
        <f t="shared" si="202"/>
        <v>0</v>
      </c>
      <c r="AK1062" s="108">
        <f>IF($A1062="",0,IF(AND($S1062=1,$W1062=1,$X1062=1,$U1062&gt;Config!$C$9),1,0))</f>
        <v>0</v>
      </c>
      <c r="AL1062" s="108">
        <f t="shared" si="203"/>
        <v>0</v>
      </c>
    </row>
    <row r="1063" spans="19:38" x14ac:dyDescent="0.25">
      <c r="S1063" s="108" t="str">
        <f>IF($A1063="","",COUNTIF(BPOworkers!$B$6:$B$105,$A1063))</f>
        <v/>
      </c>
      <c r="T1063" s="109" t="str">
        <f>IF($A1063="","",$K1063*Config!$C$9)</f>
        <v/>
      </c>
      <c r="U1063" s="109" t="str">
        <f>IF($A1063="","",IF(COUNTIF(Config!$C$21:$C$23,$H1063)&gt;0,IFERROR(VALUE(LEFT(TRIM($Q1063),FIND(" ",TRIM($Q1063)&amp;" ")-1)),0),0))</f>
        <v/>
      </c>
      <c r="V1063" s="109" t="str">
        <f t="shared" si="192"/>
        <v/>
      </c>
      <c r="W1063" s="108">
        <f>IF($A1063="",0,IF(AND($C1063&gt;=Config!$C$7,$C1063&lt;=Config!$C$8),1,0))</f>
        <v>0</v>
      </c>
      <c r="X1063" s="108">
        <f>IF($A1063="",0,IF(COUNTIF(Config!$C$21:$C$23,$H1063)&gt;0,1,0))</f>
        <v>0</v>
      </c>
      <c r="Y1063" s="108">
        <f t="shared" si="193"/>
        <v>24</v>
      </c>
      <c r="Z1063" s="108" t="str">
        <f t="shared" si="194"/>
        <v/>
      </c>
      <c r="AB1063" s="108">
        <f t="shared" si="195"/>
        <v>0</v>
      </c>
      <c r="AC1063" s="108">
        <f>IF($A1063="",0,IF(AND($AB1063=1,COUNTIF($A$2:$A1063,$A1063)=1),1,0))</f>
        <v>0</v>
      </c>
      <c r="AD1063" s="108">
        <f t="shared" si="196"/>
        <v>1</v>
      </c>
      <c r="AE1063" s="108" t="str">
        <f t="shared" si="197"/>
        <v/>
      </c>
      <c r="AF1063" s="108">
        <f t="shared" si="198"/>
        <v>0</v>
      </c>
      <c r="AG1063" s="108">
        <f t="shared" si="199"/>
        <v>0</v>
      </c>
      <c r="AH1063" s="110" t="str">
        <f t="shared" si="200"/>
        <v/>
      </c>
      <c r="AI1063" s="108">
        <f t="shared" si="201"/>
        <v>0</v>
      </c>
      <c r="AJ1063" s="108">
        <f t="shared" si="202"/>
        <v>0</v>
      </c>
      <c r="AK1063" s="108">
        <f>IF($A1063="",0,IF(AND($S1063=1,$W1063=1,$X1063=1,$U1063&gt;Config!$C$9),1,0))</f>
        <v>0</v>
      </c>
      <c r="AL1063" s="108">
        <f t="shared" si="203"/>
        <v>0</v>
      </c>
    </row>
    <row r="1064" spans="19:38" x14ac:dyDescent="0.25">
      <c r="S1064" s="108" t="str">
        <f>IF($A1064="","",COUNTIF(BPOworkers!$B$6:$B$105,$A1064))</f>
        <v/>
      </c>
      <c r="T1064" s="109" t="str">
        <f>IF($A1064="","",$K1064*Config!$C$9)</f>
        <v/>
      </c>
      <c r="U1064" s="109" t="str">
        <f>IF($A1064="","",IF(COUNTIF(Config!$C$21:$C$23,$H1064)&gt;0,IFERROR(VALUE(LEFT(TRIM($Q1064),FIND(" ",TRIM($Q1064)&amp;" ")-1)),0),0))</f>
        <v/>
      </c>
      <c r="V1064" s="109" t="str">
        <f t="shared" si="192"/>
        <v/>
      </c>
      <c r="W1064" s="108">
        <f>IF($A1064="",0,IF(AND($C1064&gt;=Config!$C$7,$C1064&lt;=Config!$C$8),1,0))</f>
        <v>0</v>
      </c>
      <c r="X1064" s="108">
        <f>IF($A1064="",0,IF(COUNTIF(Config!$C$21:$C$23,$H1064)&gt;0,1,0))</f>
        <v>0</v>
      </c>
      <c r="Y1064" s="108">
        <f t="shared" si="193"/>
        <v>24</v>
      </c>
      <c r="Z1064" s="108" t="str">
        <f t="shared" si="194"/>
        <v/>
      </c>
      <c r="AB1064" s="108">
        <f t="shared" si="195"/>
        <v>0</v>
      </c>
      <c r="AC1064" s="108">
        <f>IF($A1064="",0,IF(AND($AB1064=1,COUNTIF($A$2:$A1064,$A1064)=1),1,0))</f>
        <v>0</v>
      </c>
      <c r="AD1064" s="108">
        <f t="shared" si="196"/>
        <v>1</v>
      </c>
      <c r="AE1064" s="108" t="str">
        <f t="shared" si="197"/>
        <v/>
      </c>
      <c r="AF1064" s="108">
        <f t="shared" si="198"/>
        <v>0</v>
      </c>
      <c r="AG1064" s="108">
        <f t="shared" si="199"/>
        <v>0</v>
      </c>
      <c r="AH1064" s="110" t="str">
        <f t="shared" si="200"/>
        <v/>
      </c>
      <c r="AI1064" s="108">
        <f t="shared" si="201"/>
        <v>0</v>
      </c>
      <c r="AJ1064" s="108">
        <f t="shared" si="202"/>
        <v>0</v>
      </c>
      <c r="AK1064" s="108">
        <f>IF($A1064="",0,IF(AND($S1064=1,$W1064=1,$X1064=1,$U1064&gt;Config!$C$9),1,0))</f>
        <v>0</v>
      </c>
      <c r="AL1064" s="108">
        <f t="shared" si="203"/>
        <v>0</v>
      </c>
    </row>
    <row r="1065" spans="19:38" x14ac:dyDescent="0.25">
      <c r="S1065" s="108" t="str">
        <f>IF($A1065="","",COUNTIF(BPOworkers!$B$6:$B$105,$A1065))</f>
        <v/>
      </c>
      <c r="T1065" s="109" t="str">
        <f>IF($A1065="","",$K1065*Config!$C$9)</f>
        <v/>
      </c>
      <c r="U1065" s="109" t="str">
        <f>IF($A1065="","",IF(COUNTIF(Config!$C$21:$C$23,$H1065)&gt;0,IFERROR(VALUE(LEFT(TRIM($Q1065),FIND(" ",TRIM($Q1065)&amp;" ")-1)),0),0))</f>
        <v/>
      </c>
      <c r="V1065" s="109" t="str">
        <f t="shared" si="192"/>
        <v/>
      </c>
      <c r="W1065" s="108">
        <f>IF($A1065="",0,IF(AND($C1065&gt;=Config!$C$7,$C1065&lt;=Config!$C$8),1,0))</f>
        <v>0</v>
      </c>
      <c r="X1065" s="108">
        <f>IF($A1065="",0,IF(COUNTIF(Config!$C$21:$C$23,$H1065)&gt;0,1,0))</f>
        <v>0</v>
      </c>
      <c r="Y1065" s="108">
        <f t="shared" si="193"/>
        <v>24</v>
      </c>
      <c r="Z1065" s="108" t="str">
        <f t="shared" si="194"/>
        <v/>
      </c>
      <c r="AB1065" s="108">
        <f t="shared" si="195"/>
        <v>0</v>
      </c>
      <c r="AC1065" s="108">
        <f>IF($A1065="",0,IF(AND($AB1065=1,COUNTIF($A$2:$A1065,$A1065)=1),1,0))</f>
        <v>0</v>
      </c>
      <c r="AD1065" s="108">
        <f t="shared" si="196"/>
        <v>1</v>
      </c>
      <c r="AE1065" s="108" t="str">
        <f t="shared" si="197"/>
        <v/>
      </c>
      <c r="AF1065" s="108">
        <f t="shared" si="198"/>
        <v>0</v>
      </c>
      <c r="AG1065" s="108">
        <f t="shared" si="199"/>
        <v>0</v>
      </c>
      <c r="AH1065" s="110" t="str">
        <f t="shared" si="200"/>
        <v/>
      </c>
      <c r="AI1065" s="108">
        <f t="shared" si="201"/>
        <v>0</v>
      </c>
      <c r="AJ1065" s="108">
        <f t="shared" si="202"/>
        <v>0</v>
      </c>
      <c r="AK1065" s="108">
        <f>IF($A1065="",0,IF(AND($S1065=1,$W1065=1,$X1065=1,$U1065&gt;Config!$C$9),1,0))</f>
        <v>0</v>
      </c>
      <c r="AL1065" s="108">
        <f t="shared" si="203"/>
        <v>0</v>
      </c>
    </row>
    <row r="1066" spans="19:38" x14ac:dyDescent="0.25">
      <c r="S1066" s="108" t="str">
        <f>IF($A1066="","",COUNTIF(BPOworkers!$B$6:$B$105,$A1066))</f>
        <v/>
      </c>
      <c r="T1066" s="109" t="str">
        <f>IF($A1066="","",$K1066*Config!$C$9)</f>
        <v/>
      </c>
      <c r="U1066" s="109" t="str">
        <f>IF($A1066="","",IF(COUNTIF(Config!$C$21:$C$23,$H1066)&gt;0,IFERROR(VALUE(LEFT(TRIM($Q1066),FIND(" ",TRIM($Q1066)&amp;" ")-1)),0),0))</f>
        <v/>
      </c>
      <c r="V1066" s="109" t="str">
        <f t="shared" si="192"/>
        <v/>
      </c>
      <c r="W1066" s="108">
        <f>IF($A1066="",0,IF(AND($C1066&gt;=Config!$C$7,$C1066&lt;=Config!$C$8),1,0))</f>
        <v>0</v>
      </c>
      <c r="X1066" s="108">
        <f>IF($A1066="",0,IF(COUNTIF(Config!$C$21:$C$23,$H1066)&gt;0,1,0))</f>
        <v>0</v>
      </c>
      <c r="Y1066" s="108">
        <f t="shared" si="193"/>
        <v>24</v>
      </c>
      <c r="Z1066" s="108" t="str">
        <f t="shared" si="194"/>
        <v/>
      </c>
      <c r="AB1066" s="108">
        <f t="shared" si="195"/>
        <v>0</v>
      </c>
      <c r="AC1066" s="108">
        <f>IF($A1066="",0,IF(AND($AB1066=1,COUNTIF($A$2:$A1066,$A1066)=1),1,0))</f>
        <v>0</v>
      </c>
      <c r="AD1066" s="108">
        <f t="shared" si="196"/>
        <v>1</v>
      </c>
      <c r="AE1066" s="108" t="str">
        <f t="shared" si="197"/>
        <v/>
      </c>
      <c r="AF1066" s="108">
        <f t="shared" si="198"/>
        <v>0</v>
      </c>
      <c r="AG1066" s="108">
        <f t="shared" si="199"/>
        <v>0</v>
      </c>
      <c r="AH1066" s="110" t="str">
        <f t="shared" si="200"/>
        <v/>
      </c>
      <c r="AI1066" s="108">
        <f t="shared" si="201"/>
        <v>0</v>
      </c>
      <c r="AJ1066" s="108">
        <f t="shared" si="202"/>
        <v>0</v>
      </c>
      <c r="AK1066" s="108">
        <f>IF($A1066="",0,IF(AND($S1066=1,$W1066=1,$X1066=1,$U1066&gt;Config!$C$9),1,0))</f>
        <v>0</v>
      </c>
      <c r="AL1066" s="108">
        <f t="shared" si="203"/>
        <v>0</v>
      </c>
    </row>
    <row r="1067" spans="19:38" x14ac:dyDescent="0.25">
      <c r="S1067" s="108" t="str">
        <f>IF($A1067="","",COUNTIF(BPOworkers!$B$6:$B$105,$A1067))</f>
        <v/>
      </c>
      <c r="T1067" s="109" t="str">
        <f>IF($A1067="","",$K1067*Config!$C$9)</f>
        <v/>
      </c>
      <c r="U1067" s="109" t="str">
        <f>IF($A1067="","",IF(COUNTIF(Config!$C$21:$C$23,$H1067)&gt;0,IFERROR(VALUE(LEFT(TRIM($Q1067),FIND(" ",TRIM($Q1067)&amp;" ")-1)),0),0))</f>
        <v/>
      </c>
      <c r="V1067" s="109" t="str">
        <f t="shared" si="192"/>
        <v/>
      </c>
      <c r="W1067" s="108">
        <f>IF($A1067="",0,IF(AND($C1067&gt;=Config!$C$7,$C1067&lt;=Config!$C$8),1,0))</f>
        <v>0</v>
      </c>
      <c r="X1067" s="108">
        <f>IF($A1067="",0,IF(COUNTIF(Config!$C$21:$C$23,$H1067)&gt;0,1,0))</f>
        <v>0</v>
      </c>
      <c r="Y1067" s="108">
        <f t="shared" si="193"/>
        <v>24</v>
      </c>
      <c r="Z1067" s="108" t="str">
        <f t="shared" si="194"/>
        <v/>
      </c>
      <c r="AB1067" s="108">
        <f t="shared" si="195"/>
        <v>0</v>
      </c>
      <c r="AC1067" s="108">
        <f>IF($A1067="",0,IF(AND($AB1067=1,COUNTIF($A$2:$A1067,$A1067)=1),1,0))</f>
        <v>0</v>
      </c>
      <c r="AD1067" s="108">
        <f t="shared" si="196"/>
        <v>1</v>
      </c>
      <c r="AE1067" s="108" t="str">
        <f t="shared" si="197"/>
        <v/>
      </c>
      <c r="AF1067" s="108">
        <f t="shared" si="198"/>
        <v>0</v>
      </c>
      <c r="AG1067" s="108">
        <f t="shared" si="199"/>
        <v>0</v>
      </c>
      <c r="AH1067" s="110" t="str">
        <f t="shared" si="200"/>
        <v/>
      </c>
      <c r="AI1067" s="108">
        <f t="shared" si="201"/>
        <v>0</v>
      </c>
      <c r="AJ1067" s="108">
        <f t="shared" si="202"/>
        <v>0</v>
      </c>
      <c r="AK1067" s="108">
        <f>IF($A1067="",0,IF(AND($S1067=1,$W1067=1,$X1067=1,$U1067&gt;Config!$C$9),1,0))</f>
        <v>0</v>
      </c>
      <c r="AL1067" s="108">
        <f t="shared" si="203"/>
        <v>0</v>
      </c>
    </row>
    <row r="1068" spans="19:38" x14ac:dyDescent="0.25">
      <c r="S1068" s="108" t="str">
        <f>IF($A1068="","",COUNTIF(BPOworkers!$B$6:$B$105,$A1068))</f>
        <v/>
      </c>
      <c r="T1068" s="109" t="str">
        <f>IF($A1068="","",$K1068*Config!$C$9)</f>
        <v/>
      </c>
      <c r="U1068" s="109" t="str">
        <f>IF($A1068="","",IF(COUNTIF(Config!$C$21:$C$23,$H1068)&gt;0,IFERROR(VALUE(LEFT(TRIM($Q1068),FIND(" ",TRIM($Q1068)&amp;" ")-1)),0),0))</f>
        <v/>
      </c>
      <c r="V1068" s="109" t="str">
        <f t="shared" si="192"/>
        <v/>
      </c>
      <c r="W1068" s="108">
        <f>IF($A1068="",0,IF(AND($C1068&gt;=Config!$C$7,$C1068&lt;=Config!$C$8),1,0))</f>
        <v>0</v>
      </c>
      <c r="X1068" s="108">
        <f>IF($A1068="",0,IF(COUNTIF(Config!$C$21:$C$23,$H1068)&gt;0,1,0))</f>
        <v>0</v>
      </c>
      <c r="Y1068" s="108">
        <f t="shared" si="193"/>
        <v>24</v>
      </c>
      <c r="Z1068" s="108" t="str">
        <f t="shared" si="194"/>
        <v/>
      </c>
      <c r="AB1068" s="108">
        <f t="shared" si="195"/>
        <v>0</v>
      </c>
      <c r="AC1068" s="108">
        <f>IF($A1068="",0,IF(AND($AB1068=1,COUNTIF($A$2:$A1068,$A1068)=1),1,0))</f>
        <v>0</v>
      </c>
      <c r="AD1068" s="108">
        <f t="shared" si="196"/>
        <v>1</v>
      </c>
      <c r="AE1068" s="108" t="str">
        <f t="shared" si="197"/>
        <v/>
      </c>
      <c r="AF1068" s="108">
        <f t="shared" si="198"/>
        <v>0</v>
      </c>
      <c r="AG1068" s="108">
        <f t="shared" si="199"/>
        <v>0</v>
      </c>
      <c r="AH1068" s="110" t="str">
        <f t="shared" si="200"/>
        <v/>
      </c>
      <c r="AI1068" s="108">
        <f t="shared" si="201"/>
        <v>0</v>
      </c>
      <c r="AJ1068" s="108">
        <f t="shared" si="202"/>
        <v>0</v>
      </c>
      <c r="AK1068" s="108">
        <f>IF($A1068="",0,IF(AND($S1068=1,$W1068=1,$X1068=1,$U1068&gt;Config!$C$9),1,0))</f>
        <v>0</v>
      </c>
      <c r="AL1068" s="108">
        <f t="shared" si="203"/>
        <v>0</v>
      </c>
    </row>
    <row r="1069" spans="19:38" x14ac:dyDescent="0.25">
      <c r="S1069" s="108" t="str">
        <f>IF($A1069="","",COUNTIF(BPOworkers!$B$6:$B$105,$A1069))</f>
        <v/>
      </c>
      <c r="T1069" s="109" t="str">
        <f>IF($A1069="","",$K1069*Config!$C$9)</f>
        <v/>
      </c>
      <c r="U1069" s="109" t="str">
        <f>IF($A1069="","",IF(COUNTIF(Config!$C$21:$C$23,$H1069)&gt;0,IFERROR(VALUE(LEFT(TRIM($Q1069),FIND(" ",TRIM($Q1069)&amp;" ")-1)),0),0))</f>
        <v/>
      </c>
      <c r="V1069" s="109" t="str">
        <f t="shared" si="192"/>
        <v/>
      </c>
      <c r="W1069" s="108">
        <f>IF($A1069="",0,IF(AND($C1069&gt;=Config!$C$7,$C1069&lt;=Config!$C$8),1,0))</f>
        <v>0</v>
      </c>
      <c r="X1069" s="108">
        <f>IF($A1069="",0,IF(COUNTIF(Config!$C$21:$C$23,$H1069)&gt;0,1,0))</f>
        <v>0</v>
      </c>
      <c r="Y1069" s="108">
        <f t="shared" si="193"/>
        <v>24</v>
      </c>
      <c r="Z1069" s="108" t="str">
        <f t="shared" si="194"/>
        <v/>
      </c>
      <c r="AB1069" s="108">
        <f t="shared" si="195"/>
        <v>0</v>
      </c>
      <c r="AC1069" s="108">
        <f>IF($A1069="",0,IF(AND($AB1069=1,COUNTIF($A$2:$A1069,$A1069)=1),1,0))</f>
        <v>0</v>
      </c>
      <c r="AD1069" s="108">
        <f t="shared" si="196"/>
        <v>1</v>
      </c>
      <c r="AE1069" s="108" t="str">
        <f t="shared" si="197"/>
        <v/>
      </c>
      <c r="AF1069" s="108">
        <f t="shared" si="198"/>
        <v>0</v>
      </c>
      <c r="AG1069" s="108">
        <f t="shared" si="199"/>
        <v>0</v>
      </c>
      <c r="AH1069" s="110" t="str">
        <f t="shared" si="200"/>
        <v/>
      </c>
      <c r="AI1069" s="108">
        <f t="shared" si="201"/>
        <v>0</v>
      </c>
      <c r="AJ1069" s="108">
        <f t="shared" si="202"/>
        <v>0</v>
      </c>
      <c r="AK1069" s="108">
        <f>IF($A1069="",0,IF(AND($S1069=1,$W1069=1,$X1069=1,$U1069&gt;Config!$C$9),1,0))</f>
        <v>0</v>
      </c>
      <c r="AL1069" s="108">
        <f t="shared" si="203"/>
        <v>0</v>
      </c>
    </row>
    <row r="1070" spans="19:38" x14ac:dyDescent="0.25">
      <c r="S1070" s="108" t="str">
        <f>IF($A1070="","",COUNTIF(BPOworkers!$B$6:$B$105,$A1070))</f>
        <v/>
      </c>
      <c r="T1070" s="109" t="str">
        <f>IF($A1070="","",$K1070*Config!$C$9)</f>
        <v/>
      </c>
      <c r="U1070" s="109" t="str">
        <f>IF($A1070="","",IF(COUNTIF(Config!$C$21:$C$23,$H1070)&gt;0,IFERROR(VALUE(LEFT(TRIM($Q1070),FIND(" ",TRIM($Q1070)&amp;" ")-1)),0),0))</f>
        <v/>
      </c>
      <c r="V1070" s="109" t="str">
        <f t="shared" si="192"/>
        <v/>
      </c>
      <c r="W1070" s="108">
        <f>IF($A1070="",0,IF(AND($C1070&gt;=Config!$C$7,$C1070&lt;=Config!$C$8),1,0))</f>
        <v>0</v>
      </c>
      <c r="X1070" s="108">
        <f>IF($A1070="",0,IF(COUNTIF(Config!$C$21:$C$23,$H1070)&gt;0,1,0))</f>
        <v>0</v>
      </c>
      <c r="Y1070" s="108">
        <f t="shared" si="193"/>
        <v>24</v>
      </c>
      <c r="Z1070" s="108" t="str">
        <f t="shared" si="194"/>
        <v/>
      </c>
      <c r="AB1070" s="108">
        <f t="shared" si="195"/>
        <v>0</v>
      </c>
      <c r="AC1070" s="108">
        <f>IF($A1070="",0,IF(AND($AB1070=1,COUNTIF($A$2:$A1070,$A1070)=1),1,0))</f>
        <v>0</v>
      </c>
      <c r="AD1070" s="108">
        <f t="shared" si="196"/>
        <v>1</v>
      </c>
      <c r="AE1070" s="108" t="str">
        <f t="shared" si="197"/>
        <v/>
      </c>
      <c r="AF1070" s="108">
        <f t="shared" si="198"/>
        <v>0</v>
      </c>
      <c r="AG1070" s="108">
        <f t="shared" si="199"/>
        <v>0</v>
      </c>
      <c r="AH1070" s="110" t="str">
        <f t="shared" si="200"/>
        <v/>
      </c>
      <c r="AI1070" s="108">
        <f t="shared" si="201"/>
        <v>0</v>
      </c>
      <c r="AJ1070" s="108">
        <f t="shared" si="202"/>
        <v>0</v>
      </c>
      <c r="AK1070" s="108">
        <f>IF($A1070="",0,IF(AND($S1070=1,$W1070=1,$X1070=1,$U1070&gt;Config!$C$9),1,0))</f>
        <v>0</v>
      </c>
      <c r="AL1070" s="108">
        <f t="shared" si="203"/>
        <v>0</v>
      </c>
    </row>
    <row r="1071" spans="19:38" x14ac:dyDescent="0.25">
      <c r="S1071" s="108" t="str">
        <f>IF($A1071="","",COUNTIF(BPOworkers!$B$6:$B$105,$A1071))</f>
        <v/>
      </c>
      <c r="T1071" s="109" t="str">
        <f>IF($A1071="","",$K1071*Config!$C$9)</f>
        <v/>
      </c>
      <c r="U1071" s="109" t="str">
        <f>IF($A1071="","",IF(COUNTIF(Config!$C$21:$C$23,$H1071)&gt;0,IFERROR(VALUE(LEFT(TRIM($Q1071),FIND(" ",TRIM($Q1071)&amp;" ")-1)),0),0))</f>
        <v/>
      </c>
      <c r="V1071" s="109" t="str">
        <f t="shared" si="192"/>
        <v/>
      </c>
      <c r="W1071" s="108">
        <f>IF($A1071="",0,IF(AND($C1071&gt;=Config!$C$7,$C1071&lt;=Config!$C$8),1,0))</f>
        <v>0</v>
      </c>
      <c r="X1071" s="108">
        <f>IF($A1071="",0,IF(COUNTIF(Config!$C$21:$C$23,$H1071)&gt;0,1,0))</f>
        <v>0</v>
      </c>
      <c r="Y1071" s="108">
        <f t="shared" si="193"/>
        <v>24</v>
      </c>
      <c r="Z1071" s="108" t="str">
        <f t="shared" si="194"/>
        <v/>
      </c>
      <c r="AB1071" s="108">
        <f t="shared" si="195"/>
        <v>0</v>
      </c>
      <c r="AC1071" s="108">
        <f>IF($A1071="",0,IF(AND($AB1071=1,COUNTIF($A$2:$A1071,$A1071)=1),1,0))</f>
        <v>0</v>
      </c>
      <c r="AD1071" s="108">
        <f t="shared" si="196"/>
        <v>1</v>
      </c>
      <c r="AE1071" s="108" t="str">
        <f t="shared" si="197"/>
        <v/>
      </c>
      <c r="AF1071" s="108">
        <f t="shared" si="198"/>
        <v>0</v>
      </c>
      <c r="AG1071" s="108">
        <f t="shared" si="199"/>
        <v>0</v>
      </c>
      <c r="AH1071" s="110" t="str">
        <f t="shared" si="200"/>
        <v/>
      </c>
      <c r="AI1071" s="108">
        <f t="shared" si="201"/>
        <v>0</v>
      </c>
      <c r="AJ1071" s="108">
        <f t="shared" si="202"/>
        <v>0</v>
      </c>
      <c r="AK1071" s="108">
        <f>IF($A1071="",0,IF(AND($S1071=1,$W1071=1,$X1071=1,$U1071&gt;Config!$C$9),1,0))</f>
        <v>0</v>
      </c>
      <c r="AL1071" s="108">
        <f t="shared" si="203"/>
        <v>0</v>
      </c>
    </row>
    <row r="1072" spans="19:38" x14ac:dyDescent="0.25">
      <c r="S1072" s="108" t="str">
        <f>IF($A1072="","",COUNTIF(BPOworkers!$B$6:$B$105,$A1072))</f>
        <v/>
      </c>
      <c r="T1072" s="109" t="str">
        <f>IF($A1072="","",$K1072*Config!$C$9)</f>
        <v/>
      </c>
      <c r="U1072" s="109" t="str">
        <f>IF($A1072="","",IF(COUNTIF(Config!$C$21:$C$23,$H1072)&gt;0,IFERROR(VALUE(LEFT(TRIM($Q1072),FIND(" ",TRIM($Q1072)&amp;" ")-1)),0),0))</f>
        <v/>
      </c>
      <c r="V1072" s="109" t="str">
        <f t="shared" si="192"/>
        <v/>
      </c>
      <c r="W1072" s="108">
        <f>IF($A1072="",0,IF(AND($C1072&gt;=Config!$C$7,$C1072&lt;=Config!$C$8),1,0))</f>
        <v>0</v>
      </c>
      <c r="X1072" s="108">
        <f>IF($A1072="",0,IF(COUNTIF(Config!$C$21:$C$23,$H1072)&gt;0,1,0))</f>
        <v>0</v>
      </c>
      <c r="Y1072" s="108">
        <f t="shared" si="193"/>
        <v>24</v>
      </c>
      <c r="Z1072" s="108" t="str">
        <f t="shared" si="194"/>
        <v/>
      </c>
      <c r="AB1072" s="108">
        <f t="shared" si="195"/>
        <v>0</v>
      </c>
      <c r="AC1072" s="108">
        <f>IF($A1072="",0,IF(AND($AB1072=1,COUNTIF($A$2:$A1072,$A1072)=1),1,0))</f>
        <v>0</v>
      </c>
      <c r="AD1072" s="108">
        <f t="shared" si="196"/>
        <v>1</v>
      </c>
      <c r="AE1072" s="108" t="str">
        <f t="shared" si="197"/>
        <v/>
      </c>
      <c r="AF1072" s="108">
        <f t="shared" si="198"/>
        <v>0</v>
      </c>
      <c r="AG1072" s="108">
        <f t="shared" si="199"/>
        <v>0</v>
      </c>
      <c r="AH1072" s="110" t="str">
        <f t="shared" si="200"/>
        <v/>
      </c>
      <c r="AI1072" s="108">
        <f t="shared" si="201"/>
        <v>0</v>
      </c>
      <c r="AJ1072" s="108">
        <f t="shared" si="202"/>
        <v>0</v>
      </c>
      <c r="AK1072" s="108">
        <f>IF($A1072="",0,IF(AND($S1072=1,$W1072=1,$X1072=1,$U1072&gt;Config!$C$9),1,0))</f>
        <v>0</v>
      </c>
      <c r="AL1072" s="108">
        <f t="shared" si="203"/>
        <v>0</v>
      </c>
    </row>
    <row r="1073" spans="19:38" x14ac:dyDescent="0.25">
      <c r="S1073" s="108" t="str">
        <f>IF($A1073="","",COUNTIF(BPOworkers!$B$6:$B$105,$A1073))</f>
        <v/>
      </c>
      <c r="T1073" s="109" t="str">
        <f>IF($A1073="","",$K1073*Config!$C$9)</f>
        <v/>
      </c>
      <c r="U1073" s="109" t="str">
        <f>IF($A1073="","",IF(COUNTIF(Config!$C$21:$C$23,$H1073)&gt;0,IFERROR(VALUE(LEFT(TRIM($Q1073),FIND(" ",TRIM($Q1073)&amp;" ")-1)),0),0))</f>
        <v/>
      </c>
      <c r="V1073" s="109" t="str">
        <f t="shared" si="192"/>
        <v/>
      </c>
      <c r="W1073" s="108">
        <f>IF($A1073="",0,IF(AND($C1073&gt;=Config!$C$7,$C1073&lt;=Config!$C$8),1,0))</f>
        <v>0</v>
      </c>
      <c r="X1073" s="108">
        <f>IF($A1073="",0,IF(COUNTIF(Config!$C$21:$C$23,$H1073)&gt;0,1,0))</f>
        <v>0</v>
      </c>
      <c r="Y1073" s="108">
        <f t="shared" si="193"/>
        <v>24</v>
      </c>
      <c r="Z1073" s="108" t="str">
        <f t="shared" si="194"/>
        <v/>
      </c>
      <c r="AB1073" s="108">
        <f t="shared" si="195"/>
        <v>0</v>
      </c>
      <c r="AC1073" s="108">
        <f>IF($A1073="",0,IF(AND($AB1073=1,COUNTIF($A$2:$A1073,$A1073)=1),1,0))</f>
        <v>0</v>
      </c>
      <c r="AD1073" s="108">
        <f t="shared" si="196"/>
        <v>1</v>
      </c>
      <c r="AE1073" s="108" t="str">
        <f t="shared" si="197"/>
        <v/>
      </c>
      <c r="AF1073" s="108">
        <f t="shared" si="198"/>
        <v>0</v>
      </c>
      <c r="AG1073" s="108">
        <f t="shared" si="199"/>
        <v>0</v>
      </c>
      <c r="AH1073" s="110" t="str">
        <f t="shared" si="200"/>
        <v/>
      </c>
      <c r="AI1073" s="108">
        <f t="shared" si="201"/>
        <v>0</v>
      </c>
      <c r="AJ1073" s="108">
        <f t="shared" si="202"/>
        <v>0</v>
      </c>
      <c r="AK1073" s="108">
        <f>IF($A1073="",0,IF(AND($S1073=1,$W1073=1,$X1073=1,$U1073&gt;Config!$C$9),1,0))</f>
        <v>0</v>
      </c>
      <c r="AL1073" s="108">
        <f t="shared" si="203"/>
        <v>0</v>
      </c>
    </row>
    <row r="1074" spans="19:38" x14ac:dyDescent="0.25">
      <c r="S1074" s="108" t="str">
        <f>IF($A1074="","",COUNTIF(BPOworkers!$B$6:$B$105,$A1074))</f>
        <v/>
      </c>
      <c r="T1074" s="109" t="str">
        <f>IF($A1074="","",$K1074*Config!$C$9)</f>
        <v/>
      </c>
      <c r="U1074" s="109" t="str">
        <f>IF($A1074="","",IF(COUNTIF(Config!$C$21:$C$23,$H1074)&gt;0,IFERROR(VALUE(LEFT(TRIM($Q1074),FIND(" ",TRIM($Q1074)&amp;" ")-1)),0),0))</f>
        <v/>
      </c>
      <c r="V1074" s="109" t="str">
        <f t="shared" si="192"/>
        <v/>
      </c>
      <c r="W1074" s="108">
        <f>IF($A1074="",0,IF(AND($C1074&gt;=Config!$C$7,$C1074&lt;=Config!$C$8),1,0))</f>
        <v>0</v>
      </c>
      <c r="X1074" s="108">
        <f>IF($A1074="",0,IF(COUNTIF(Config!$C$21:$C$23,$H1074)&gt;0,1,0))</f>
        <v>0</v>
      </c>
      <c r="Y1074" s="108">
        <f t="shared" si="193"/>
        <v>24</v>
      </c>
      <c r="Z1074" s="108" t="str">
        <f t="shared" si="194"/>
        <v/>
      </c>
      <c r="AB1074" s="108">
        <f t="shared" si="195"/>
        <v>0</v>
      </c>
      <c r="AC1074" s="108">
        <f>IF($A1074="",0,IF(AND($AB1074=1,COUNTIF($A$2:$A1074,$A1074)=1),1,0))</f>
        <v>0</v>
      </c>
      <c r="AD1074" s="108">
        <f t="shared" si="196"/>
        <v>1</v>
      </c>
      <c r="AE1074" s="108" t="str">
        <f t="shared" si="197"/>
        <v/>
      </c>
      <c r="AF1074" s="108">
        <f t="shared" si="198"/>
        <v>0</v>
      </c>
      <c r="AG1074" s="108">
        <f t="shared" si="199"/>
        <v>0</v>
      </c>
      <c r="AH1074" s="110" t="str">
        <f t="shared" si="200"/>
        <v/>
      </c>
      <c r="AI1074" s="108">
        <f t="shared" si="201"/>
        <v>0</v>
      </c>
      <c r="AJ1074" s="108">
        <f t="shared" si="202"/>
        <v>0</v>
      </c>
      <c r="AK1074" s="108">
        <f>IF($A1074="",0,IF(AND($S1074=1,$W1074=1,$X1074=1,$U1074&gt;Config!$C$9),1,0))</f>
        <v>0</v>
      </c>
      <c r="AL1074" s="108">
        <f t="shared" si="203"/>
        <v>0</v>
      </c>
    </row>
    <row r="1075" spans="19:38" x14ac:dyDescent="0.25">
      <c r="S1075" s="108" t="str">
        <f>IF($A1075="","",COUNTIF(BPOworkers!$B$6:$B$105,$A1075))</f>
        <v/>
      </c>
      <c r="T1075" s="109" t="str">
        <f>IF($A1075="","",$K1075*Config!$C$9)</f>
        <v/>
      </c>
      <c r="U1075" s="109" t="str">
        <f>IF($A1075="","",IF(COUNTIF(Config!$C$21:$C$23,$H1075)&gt;0,IFERROR(VALUE(LEFT(TRIM($Q1075),FIND(" ",TRIM($Q1075)&amp;" ")-1)),0),0))</f>
        <v/>
      </c>
      <c r="V1075" s="109" t="str">
        <f t="shared" si="192"/>
        <v/>
      </c>
      <c r="W1075" s="108">
        <f>IF($A1075="",0,IF(AND($C1075&gt;=Config!$C$7,$C1075&lt;=Config!$C$8),1,0))</f>
        <v>0</v>
      </c>
      <c r="X1075" s="108">
        <f>IF($A1075="",0,IF(COUNTIF(Config!$C$21:$C$23,$H1075)&gt;0,1,0))</f>
        <v>0</v>
      </c>
      <c r="Y1075" s="108">
        <f t="shared" si="193"/>
        <v>24</v>
      </c>
      <c r="Z1075" s="108" t="str">
        <f t="shared" si="194"/>
        <v/>
      </c>
      <c r="AB1075" s="108">
        <f t="shared" si="195"/>
        <v>0</v>
      </c>
      <c r="AC1075" s="108">
        <f>IF($A1075="",0,IF(AND($AB1075=1,COUNTIF($A$2:$A1075,$A1075)=1),1,0))</f>
        <v>0</v>
      </c>
      <c r="AD1075" s="108">
        <f t="shared" si="196"/>
        <v>1</v>
      </c>
      <c r="AE1075" s="108" t="str">
        <f t="shared" si="197"/>
        <v/>
      </c>
      <c r="AF1075" s="108">
        <f t="shared" si="198"/>
        <v>0</v>
      </c>
      <c r="AG1075" s="108">
        <f t="shared" si="199"/>
        <v>0</v>
      </c>
      <c r="AH1075" s="110" t="str">
        <f t="shared" si="200"/>
        <v/>
      </c>
      <c r="AI1075" s="108">
        <f t="shared" si="201"/>
        <v>0</v>
      </c>
      <c r="AJ1075" s="108">
        <f t="shared" si="202"/>
        <v>0</v>
      </c>
      <c r="AK1075" s="108">
        <f>IF($A1075="",0,IF(AND($S1075=1,$W1075=1,$X1075=1,$U1075&gt;Config!$C$9),1,0))</f>
        <v>0</v>
      </c>
      <c r="AL1075" s="108">
        <f t="shared" si="203"/>
        <v>0</v>
      </c>
    </row>
    <row r="1076" spans="19:38" x14ac:dyDescent="0.25">
      <c r="S1076" s="108" t="str">
        <f>IF($A1076="","",COUNTIF(BPOworkers!$B$6:$B$105,$A1076))</f>
        <v/>
      </c>
      <c r="T1076" s="109" t="str">
        <f>IF($A1076="","",$K1076*Config!$C$9)</f>
        <v/>
      </c>
      <c r="U1076" s="109" t="str">
        <f>IF($A1076="","",IF(COUNTIF(Config!$C$21:$C$23,$H1076)&gt;0,IFERROR(VALUE(LEFT(TRIM($Q1076),FIND(" ",TRIM($Q1076)&amp;" ")-1)),0),0))</f>
        <v/>
      </c>
      <c r="V1076" s="109" t="str">
        <f t="shared" si="192"/>
        <v/>
      </c>
      <c r="W1076" s="108">
        <f>IF($A1076="",0,IF(AND($C1076&gt;=Config!$C$7,$C1076&lt;=Config!$C$8),1,0))</f>
        <v>0</v>
      </c>
      <c r="X1076" s="108">
        <f>IF($A1076="",0,IF(COUNTIF(Config!$C$21:$C$23,$H1076)&gt;0,1,0))</f>
        <v>0</v>
      </c>
      <c r="Y1076" s="108">
        <f t="shared" si="193"/>
        <v>24</v>
      </c>
      <c r="Z1076" s="108" t="str">
        <f t="shared" si="194"/>
        <v/>
      </c>
      <c r="AB1076" s="108">
        <f t="shared" si="195"/>
        <v>0</v>
      </c>
      <c r="AC1076" s="108">
        <f>IF($A1076="",0,IF(AND($AB1076=1,COUNTIF($A$2:$A1076,$A1076)=1),1,0))</f>
        <v>0</v>
      </c>
      <c r="AD1076" s="108">
        <f t="shared" si="196"/>
        <v>1</v>
      </c>
      <c r="AE1076" s="108" t="str">
        <f t="shared" si="197"/>
        <v/>
      </c>
      <c r="AF1076" s="108">
        <f t="shared" si="198"/>
        <v>0</v>
      </c>
      <c r="AG1076" s="108">
        <f t="shared" si="199"/>
        <v>0</v>
      </c>
      <c r="AH1076" s="110" t="str">
        <f t="shared" si="200"/>
        <v/>
      </c>
      <c r="AI1076" s="108">
        <f t="shared" si="201"/>
        <v>0</v>
      </c>
      <c r="AJ1076" s="108">
        <f t="shared" si="202"/>
        <v>0</v>
      </c>
      <c r="AK1076" s="108">
        <f>IF($A1076="",0,IF(AND($S1076=1,$W1076=1,$X1076=1,$U1076&gt;Config!$C$9),1,0))</f>
        <v>0</v>
      </c>
      <c r="AL1076" s="108">
        <f t="shared" si="203"/>
        <v>0</v>
      </c>
    </row>
    <row r="1077" spans="19:38" x14ac:dyDescent="0.25">
      <c r="S1077" s="108" t="str">
        <f>IF($A1077="","",COUNTIF(BPOworkers!$B$6:$B$105,$A1077))</f>
        <v/>
      </c>
      <c r="T1077" s="109" t="str">
        <f>IF($A1077="","",$K1077*Config!$C$9)</f>
        <v/>
      </c>
      <c r="U1077" s="109" t="str">
        <f>IF($A1077="","",IF(COUNTIF(Config!$C$21:$C$23,$H1077)&gt;0,IFERROR(VALUE(LEFT(TRIM($Q1077),FIND(" ",TRIM($Q1077)&amp;" ")-1)),0),0))</f>
        <v/>
      </c>
      <c r="V1077" s="109" t="str">
        <f t="shared" si="192"/>
        <v/>
      </c>
      <c r="W1077" s="108">
        <f>IF($A1077="",0,IF(AND($C1077&gt;=Config!$C$7,$C1077&lt;=Config!$C$8),1,0))</f>
        <v>0</v>
      </c>
      <c r="X1077" s="108">
        <f>IF($A1077="",0,IF(COUNTIF(Config!$C$21:$C$23,$H1077)&gt;0,1,0))</f>
        <v>0</v>
      </c>
      <c r="Y1077" s="108">
        <f t="shared" si="193"/>
        <v>24</v>
      </c>
      <c r="Z1077" s="108" t="str">
        <f t="shared" si="194"/>
        <v/>
      </c>
      <c r="AB1077" s="108">
        <f t="shared" si="195"/>
        <v>0</v>
      </c>
      <c r="AC1077" s="108">
        <f>IF($A1077="",0,IF(AND($AB1077=1,COUNTIF($A$2:$A1077,$A1077)=1),1,0))</f>
        <v>0</v>
      </c>
      <c r="AD1077" s="108">
        <f t="shared" si="196"/>
        <v>1</v>
      </c>
      <c r="AE1077" s="108" t="str">
        <f t="shared" si="197"/>
        <v/>
      </c>
      <c r="AF1077" s="108">
        <f t="shared" si="198"/>
        <v>0</v>
      </c>
      <c r="AG1077" s="108">
        <f t="shared" si="199"/>
        <v>0</v>
      </c>
      <c r="AH1077" s="110" t="str">
        <f t="shared" si="200"/>
        <v/>
      </c>
      <c r="AI1077" s="108">
        <f t="shared" si="201"/>
        <v>0</v>
      </c>
      <c r="AJ1077" s="108">
        <f t="shared" si="202"/>
        <v>0</v>
      </c>
      <c r="AK1077" s="108">
        <f>IF($A1077="",0,IF(AND($S1077=1,$W1077=1,$X1077=1,$U1077&gt;Config!$C$9),1,0))</f>
        <v>0</v>
      </c>
      <c r="AL1077" s="108">
        <f t="shared" si="203"/>
        <v>0</v>
      </c>
    </row>
    <row r="1078" spans="19:38" x14ac:dyDescent="0.25">
      <c r="S1078" s="108" t="str">
        <f>IF($A1078="","",COUNTIF(BPOworkers!$B$6:$B$105,$A1078))</f>
        <v/>
      </c>
      <c r="T1078" s="109" t="str">
        <f>IF($A1078="","",$K1078*Config!$C$9)</f>
        <v/>
      </c>
      <c r="U1078" s="109" t="str">
        <f>IF($A1078="","",IF(COUNTIF(Config!$C$21:$C$23,$H1078)&gt;0,IFERROR(VALUE(LEFT(TRIM($Q1078),FIND(" ",TRIM($Q1078)&amp;" ")-1)),0),0))</f>
        <v/>
      </c>
      <c r="V1078" s="109" t="str">
        <f t="shared" si="192"/>
        <v/>
      </c>
      <c r="W1078" s="108">
        <f>IF($A1078="",0,IF(AND($C1078&gt;=Config!$C$7,$C1078&lt;=Config!$C$8),1,0))</f>
        <v>0</v>
      </c>
      <c r="X1078" s="108">
        <f>IF($A1078="",0,IF(COUNTIF(Config!$C$21:$C$23,$H1078)&gt;0,1,0))</f>
        <v>0</v>
      </c>
      <c r="Y1078" s="108">
        <f t="shared" si="193"/>
        <v>24</v>
      </c>
      <c r="Z1078" s="108" t="str">
        <f t="shared" si="194"/>
        <v/>
      </c>
      <c r="AB1078" s="108">
        <f t="shared" si="195"/>
        <v>0</v>
      </c>
      <c r="AC1078" s="108">
        <f>IF($A1078="",0,IF(AND($AB1078=1,COUNTIF($A$2:$A1078,$A1078)=1),1,0))</f>
        <v>0</v>
      </c>
      <c r="AD1078" s="108">
        <f t="shared" si="196"/>
        <v>1</v>
      </c>
      <c r="AE1078" s="108" t="str">
        <f t="shared" si="197"/>
        <v/>
      </c>
      <c r="AF1078" s="108">
        <f t="shared" si="198"/>
        <v>0</v>
      </c>
      <c r="AG1078" s="108">
        <f t="shared" si="199"/>
        <v>0</v>
      </c>
      <c r="AH1078" s="110" t="str">
        <f t="shared" si="200"/>
        <v/>
      </c>
      <c r="AI1078" s="108">
        <f t="shared" si="201"/>
        <v>0</v>
      </c>
      <c r="AJ1078" s="108">
        <f t="shared" si="202"/>
        <v>0</v>
      </c>
      <c r="AK1078" s="108">
        <f>IF($A1078="",0,IF(AND($S1078=1,$W1078=1,$X1078=1,$U1078&gt;Config!$C$9),1,0))</f>
        <v>0</v>
      </c>
      <c r="AL1078" s="108">
        <f t="shared" si="203"/>
        <v>0</v>
      </c>
    </row>
    <row r="1079" spans="19:38" x14ac:dyDescent="0.25">
      <c r="S1079" s="108" t="str">
        <f>IF($A1079="","",COUNTIF(BPOworkers!$B$6:$B$105,$A1079))</f>
        <v/>
      </c>
      <c r="T1079" s="109" t="str">
        <f>IF($A1079="","",$K1079*Config!$C$9)</f>
        <v/>
      </c>
      <c r="U1079" s="109" t="str">
        <f>IF($A1079="","",IF(COUNTIF(Config!$C$21:$C$23,$H1079)&gt;0,IFERROR(VALUE(LEFT(TRIM($Q1079),FIND(" ",TRIM($Q1079)&amp;" ")-1)),0),0))</f>
        <v/>
      </c>
      <c r="V1079" s="109" t="str">
        <f t="shared" si="192"/>
        <v/>
      </c>
      <c r="W1079" s="108">
        <f>IF($A1079="",0,IF(AND($C1079&gt;=Config!$C$7,$C1079&lt;=Config!$C$8),1,0))</f>
        <v>0</v>
      </c>
      <c r="X1079" s="108">
        <f>IF($A1079="",0,IF(COUNTIF(Config!$C$21:$C$23,$H1079)&gt;0,1,0))</f>
        <v>0</v>
      </c>
      <c r="Y1079" s="108">
        <f t="shared" si="193"/>
        <v>24</v>
      </c>
      <c r="Z1079" s="108" t="str">
        <f t="shared" si="194"/>
        <v/>
      </c>
      <c r="AB1079" s="108">
        <f t="shared" si="195"/>
        <v>0</v>
      </c>
      <c r="AC1079" s="108">
        <f>IF($A1079="",0,IF(AND($AB1079=1,COUNTIF($A$2:$A1079,$A1079)=1),1,0))</f>
        <v>0</v>
      </c>
      <c r="AD1079" s="108">
        <f t="shared" si="196"/>
        <v>1</v>
      </c>
      <c r="AE1079" s="108" t="str">
        <f t="shared" si="197"/>
        <v/>
      </c>
      <c r="AF1079" s="108">
        <f t="shared" si="198"/>
        <v>0</v>
      </c>
      <c r="AG1079" s="108">
        <f t="shared" si="199"/>
        <v>0</v>
      </c>
      <c r="AH1079" s="110" t="str">
        <f t="shared" si="200"/>
        <v/>
      </c>
      <c r="AI1079" s="108">
        <f t="shared" si="201"/>
        <v>0</v>
      </c>
      <c r="AJ1079" s="108">
        <f t="shared" si="202"/>
        <v>0</v>
      </c>
      <c r="AK1079" s="108">
        <f>IF($A1079="",0,IF(AND($S1079=1,$W1079=1,$X1079=1,$U1079&gt;Config!$C$9),1,0))</f>
        <v>0</v>
      </c>
      <c r="AL1079" s="108">
        <f t="shared" si="203"/>
        <v>0</v>
      </c>
    </row>
    <row r="1080" spans="19:38" x14ac:dyDescent="0.25">
      <c r="S1080" s="108" t="str">
        <f>IF($A1080="","",COUNTIF(BPOworkers!$B$6:$B$105,$A1080))</f>
        <v/>
      </c>
      <c r="T1080" s="109" t="str">
        <f>IF($A1080="","",$K1080*Config!$C$9)</f>
        <v/>
      </c>
      <c r="U1080" s="109" t="str">
        <f>IF($A1080="","",IF(COUNTIF(Config!$C$21:$C$23,$H1080)&gt;0,IFERROR(VALUE(LEFT(TRIM($Q1080),FIND(" ",TRIM($Q1080)&amp;" ")-1)),0),0))</f>
        <v/>
      </c>
      <c r="V1080" s="109" t="str">
        <f t="shared" si="192"/>
        <v/>
      </c>
      <c r="W1080" s="108">
        <f>IF($A1080="",0,IF(AND($C1080&gt;=Config!$C$7,$C1080&lt;=Config!$C$8),1,0))</f>
        <v>0</v>
      </c>
      <c r="X1080" s="108">
        <f>IF($A1080="",0,IF(COUNTIF(Config!$C$21:$C$23,$H1080)&gt;0,1,0))</f>
        <v>0</v>
      </c>
      <c r="Y1080" s="108">
        <f t="shared" si="193"/>
        <v>24</v>
      </c>
      <c r="Z1080" s="108" t="str">
        <f t="shared" si="194"/>
        <v/>
      </c>
      <c r="AB1080" s="108">
        <f t="shared" si="195"/>
        <v>0</v>
      </c>
      <c r="AC1080" s="108">
        <f>IF($A1080="",0,IF(AND($AB1080=1,COUNTIF($A$2:$A1080,$A1080)=1),1,0))</f>
        <v>0</v>
      </c>
      <c r="AD1080" s="108">
        <f t="shared" si="196"/>
        <v>1</v>
      </c>
      <c r="AE1080" s="108" t="str">
        <f t="shared" si="197"/>
        <v/>
      </c>
      <c r="AF1080" s="108">
        <f t="shared" si="198"/>
        <v>0</v>
      </c>
      <c r="AG1080" s="108">
        <f t="shared" si="199"/>
        <v>0</v>
      </c>
      <c r="AH1080" s="110" t="str">
        <f t="shared" si="200"/>
        <v/>
      </c>
      <c r="AI1080" s="108">
        <f t="shared" si="201"/>
        <v>0</v>
      </c>
      <c r="AJ1080" s="108">
        <f t="shared" si="202"/>
        <v>0</v>
      </c>
      <c r="AK1080" s="108">
        <f>IF($A1080="",0,IF(AND($S1080=1,$W1080=1,$X1080=1,$U1080&gt;Config!$C$9),1,0))</f>
        <v>0</v>
      </c>
      <c r="AL1080" s="108">
        <f t="shared" si="203"/>
        <v>0</v>
      </c>
    </row>
    <row r="1081" spans="19:38" x14ac:dyDescent="0.25">
      <c r="S1081" s="108" t="str">
        <f>IF($A1081="","",COUNTIF(BPOworkers!$B$6:$B$105,$A1081))</f>
        <v/>
      </c>
      <c r="T1081" s="109" t="str">
        <f>IF($A1081="","",$K1081*Config!$C$9)</f>
        <v/>
      </c>
      <c r="U1081" s="109" t="str">
        <f>IF($A1081="","",IF(COUNTIF(Config!$C$21:$C$23,$H1081)&gt;0,IFERROR(VALUE(LEFT(TRIM($Q1081),FIND(" ",TRIM($Q1081)&amp;" ")-1)),0),0))</f>
        <v/>
      </c>
      <c r="V1081" s="109" t="str">
        <f t="shared" si="192"/>
        <v/>
      </c>
      <c r="W1081" s="108">
        <f>IF($A1081="",0,IF(AND($C1081&gt;=Config!$C$7,$C1081&lt;=Config!$C$8),1,0))</f>
        <v>0</v>
      </c>
      <c r="X1081" s="108">
        <f>IF($A1081="",0,IF(COUNTIF(Config!$C$21:$C$23,$H1081)&gt;0,1,0))</f>
        <v>0</v>
      </c>
      <c r="Y1081" s="108">
        <f t="shared" si="193"/>
        <v>24</v>
      </c>
      <c r="Z1081" s="108" t="str">
        <f t="shared" si="194"/>
        <v/>
      </c>
      <c r="AB1081" s="108">
        <f t="shared" si="195"/>
        <v>0</v>
      </c>
      <c r="AC1081" s="108">
        <f>IF($A1081="",0,IF(AND($AB1081=1,COUNTIF($A$2:$A1081,$A1081)=1),1,0))</f>
        <v>0</v>
      </c>
      <c r="AD1081" s="108">
        <f t="shared" si="196"/>
        <v>1</v>
      </c>
      <c r="AE1081" s="108" t="str">
        <f t="shared" si="197"/>
        <v/>
      </c>
      <c r="AF1081" s="108">
        <f t="shared" si="198"/>
        <v>0</v>
      </c>
      <c r="AG1081" s="108">
        <f t="shared" si="199"/>
        <v>0</v>
      </c>
      <c r="AH1081" s="110" t="str">
        <f t="shared" si="200"/>
        <v/>
      </c>
      <c r="AI1081" s="108">
        <f t="shared" si="201"/>
        <v>0</v>
      </c>
      <c r="AJ1081" s="108">
        <f t="shared" si="202"/>
        <v>0</v>
      </c>
      <c r="AK1081" s="108">
        <f>IF($A1081="",0,IF(AND($S1081=1,$W1081=1,$X1081=1,$U1081&gt;Config!$C$9),1,0))</f>
        <v>0</v>
      </c>
      <c r="AL1081" s="108">
        <f t="shared" si="203"/>
        <v>0</v>
      </c>
    </row>
    <row r="1082" spans="19:38" x14ac:dyDescent="0.25">
      <c r="S1082" s="108" t="str">
        <f>IF($A1082="","",COUNTIF(BPOworkers!$B$6:$B$105,$A1082))</f>
        <v/>
      </c>
      <c r="T1082" s="109" t="str">
        <f>IF($A1082="","",$K1082*Config!$C$9)</f>
        <v/>
      </c>
      <c r="U1082" s="109" t="str">
        <f>IF($A1082="","",IF(COUNTIF(Config!$C$21:$C$23,$H1082)&gt;0,IFERROR(VALUE(LEFT(TRIM($Q1082),FIND(" ",TRIM($Q1082)&amp;" ")-1)),0),0))</f>
        <v/>
      </c>
      <c r="V1082" s="109" t="str">
        <f t="shared" si="192"/>
        <v/>
      </c>
      <c r="W1082" s="108">
        <f>IF($A1082="",0,IF(AND($C1082&gt;=Config!$C$7,$C1082&lt;=Config!$C$8),1,0))</f>
        <v>0</v>
      </c>
      <c r="X1082" s="108">
        <f>IF($A1082="",0,IF(COUNTIF(Config!$C$21:$C$23,$H1082)&gt;0,1,0))</f>
        <v>0</v>
      </c>
      <c r="Y1082" s="108">
        <f t="shared" si="193"/>
        <v>24</v>
      </c>
      <c r="Z1082" s="108" t="str">
        <f t="shared" si="194"/>
        <v/>
      </c>
      <c r="AB1082" s="108">
        <f t="shared" si="195"/>
        <v>0</v>
      </c>
      <c r="AC1082" s="108">
        <f>IF($A1082="",0,IF(AND($AB1082=1,COUNTIF($A$2:$A1082,$A1082)=1),1,0))</f>
        <v>0</v>
      </c>
      <c r="AD1082" s="108">
        <f t="shared" si="196"/>
        <v>1</v>
      </c>
      <c r="AE1082" s="108" t="str">
        <f t="shared" si="197"/>
        <v/>
      </c>
      <c r="AF1082" s="108">
        <f t="shared" si="198"/>
        <v>0</v>
      </c>
      <c r="AG1082" s="108">
        <f t="shared" si="199"/>
        <v>0</v>
      </c>
      <c r="AH1082" s="110" t="str">
        <f t="shared" si="200"/>
        <v/>
      </c>
      <c r="AI1082" s="108">
        <f t="shared" si="201"/>
        <v>0</v>
      </c>
      <c r="AJ1082" s="108">
        <f t="shared" si="202"/>
        <v>0</v>
      </c>
      <c r="AK1082" s="108">
        <f>IF($A1082="",0,IF(AND($S1082=1,$W1082=1,$X1082=1,$U1082&gt;Config!$C$9),1,0))</f>
        <v>0</v>
      </c>
      <c r="AL1082" s="108">
        <f t="shared" si="203"/>
        <v>0</v>
      </c>
    </row>
    <row r="1083" spans="19:38" x14ac:dyDescent="0.25">
      <c r="S1083" s="108" t="str">
        <f>IF($A1083="","",COUNTIF(BPOworkers!$B$6:$B$105,$A1083))</f>
        <v/>
      </c>
      <c r="T1083" s="109" t="str">
        <f>IF($A1083="","",$K1083*Config!$C$9)</f>
        <v/>
      </c>
      <c r="U1083" s="109" t="str">
        <f>IF($A1083="","",IF(COUNTIF(Config!$C$21:$C$23,$H1083)&gt;0,IFERROR(VALUE(LEFT(TRIM($Q1083),FIND(" ",TRIM($Q1083)&amp;" ")-1)),0),0))</f>
        <v/>
      </c>
      <c r="V1083" s="109" t="str">
        <f t="shared" si="192"/>
        <v/>
      </c>
      <c r="W1083" s="108">
        <f>IF($A1083="",0,IF(AND($C1083&gt;=Config!$C$7,$C1083&lt;=Config!$C$8),1,0))</f>
        <v>0</v>
      </c>
      <c r="X1083" s="108">
        <f>IF($A1083="",0,IF(COUNTIF(Config!$C$21:$C$23,$H1083)&gt;0,1,0))</f>
        <v>0</v>
      </c>
      <c r="Y1083" s="108">
        <f t="shared" si="193"/>
        <v>24</v>
      </c>
      <c r="Z1083" s="108" t="str">
        <f t="shared" si="194"/>
        <v/>
      </c>
      <c r="AB1083" s="108">
        <f t="shared" si="195"/>
        <v>0</v>
      </c>
      <c r="AC1083" s="108">
        <f>IF($A1083="",0,IF(AND($AB1083=1,COUNTIF($A$2:$A1083,$A1083)=1),1,0))</f>
        <v>0</v>
      </c>
      <c r="AD1083" s="108">
        <f t="shared" si="196"/>
        <v>1</v>
      </c>
      <c r="AE1083" s="108" t="str">
        <f t="shared" si="197"/>
        <v/>
      </c>
      <c r="AF1083" s="108">
        <f t="shared" si="198"/>
        <v>0</v>
      </c>
      <c r="AG1083" s="108">
        <f t="shared" si="199"/>
        <v>0</v>
      </c>
      <c r="AH1083" s="110" t="str">
        <f t="shared" si="200"/>
        <v/>
      </c>
      <c r="AI1083" s="108">
        <f t="shared" si="201"/>
        <v>0</v>
      </c>
      <c r="AJ1083" s="108">
        <f t="shared" si="202"/>
        <v>0</v>
      </c>
      <c r="AK1083" s="108">
        <f>IF($A1083="",0,IF(AND($S1083=1,$W1083=1,$X1083=1,$U1083&gt;Config!$C$9),1,0))</f>
        <v>0</v>
      </c>
      <c r="AL1083" s="108">
        <f t="shared" si="203"/>
        <v>0</v>
      </c>
    </row>
    <row r="1084" spans="19:38" x14ac:dyDescent="0.25">
      <c r="S1084" s="108" t="str">
        <f>IF($A1084="","",COUNTIF(BPOworkers!$B$6:$B$105,$A1084))</f>
        <v/>
      </c>
      <c r="T1084" s="109" t="str">
        <f>IF($A1084="","",$K1084*Config!$C$9)</f>
        <v/>
      </c>
      <c r="U1084" s="109" t="str">
        <f>IF($A1084="","",IF(COUNTIF(Config!$C$21:$C$23,$H1084)&gt;0,IFERROR(VALUE(LEFT(TRIM($Q1084),FIND(" ",TRIM($Q1084)&amp;" ")-1)),0),0))</f>
        <v/>
      </c>
      <c r="V1084" s="109" t="str">
        <f t="shared" si="192"/>
        <v/>
      </c>
      <c r="W1084" s="108">
        <f>IF($A1084="",0,IF(AND($C1084&gt;=Config!$C$7,$C1084&lt;=Config!$C$8),1,0))</f>
        <v>0</v>
      </c>
      <c r="X1084" s="108">
        <f>IF($A1084="",0,IF(COUNTIF(Config!$C$21:$C$23,$H1084)&gt;0,1,0))</f>
        <v>0</v>
      </c>
      <c r="Y1084" s="108">
        <f t="shared" si="193"/>
        <v>24</v>
      </c>
      <c r="Z1084" s="108" t="str">
        <f t="shared" si="194"/>
        <v/>
      </c>
      <c r="AB1084" s="108">
        <f t="shared" si="195"/>
        <v>0</v>
      </c>
      <c r="AC1084" s="108">
        <f>IF($A1084="",0,IF(AND($AB1084=1,COUNTIF($A$2:$A1084,$A1084)=1),1,0))</f>
        <v>0</v>
      </c>
      <c r="AD1084" s="108">
        <f t="shared" si="196"/>
        <v>1</v>
      </c>
      <c r="AE1084" s="108" t="str">
        <f t="shared" si="197"/>
        <v/>
      </c>
      <c r="AF1084" s="108">
        <f t="shared" si="198"/>
        <v>0</v>
      </c>
      <c r="AG1084" s="108">
        <f t="shared" si="199"/>
        <v>0</v>
      </c>
      <c r="AH1084" s="110" t="str">
        <f t="shared" si="200"/>
        <v/>
      </c>
      <c r="AI1084" s="108">
        <f t="shared" si="201"/>
        <v>0</v>
      </c>
      <c r="AJ1084" s="108">
        <f t="shared" si="202"/>
        <v>0</v>
      </c>
      <c r="AK1084" s="108">
        <f>IF($A1084="",0,IF(AND($S1084=1,$W1084=1,$X1084=1,$U1084&gt;Config!$C$9),1,0))</f>
        <v>0</v>
      </c>
      <c r="AL1084" s="108">
        <f t="shared" si="203"/>
        <v>0</v>
      </c>
    </row>
    <row r="1085" spans="19:38" x14ac:dyDescent="0.25">
      <c r="S1085" s="108" t="str">
        <f>IF($A1085="","",COUNTIF(BPOworkers!$B$6:$B$105,$A1085))</f>
        <v/>
      </c>
      <c r="T1085" s="109" t="str">
        <f>IF($A1085="","",$K1085*Config!$C$9)</f>
        <v/>
      </c>
      <c r="U1085" s="109" t="str">
        <f>IF($A1085="","",IF(COUNTIF(Config!$C$21:$C$23,$H1085)&gt;0,IFERROR(VALUE(LEFT(TRIM($Q1085),FIND(" ",TRIM($Q1085)&amp;" ")-1)),0),0))</f>
        <v/>
      </c>
      <c r="V1085" s="109" t="str">
        <f t="shared" si="192"/>
        <v/>
      </c>
      <c r="W1085" s="108">
        <f>IF($A1085="",0,IF(AND($C1085&gt;=Config!$C$7,$C1085&lt;=Config!$C$8),1,0))</f>
        <v>0</v>
      </c>
      <c r="X1085" s="108">
        <f>IF($A1085="",0,IF(COUNTIF(Config!$C$21:$C$23,$H1085)&gt;0,1,0))</f>
        <v>0</v>
      </c>
      <c r="Y1085" s="108">
        <f t="shared" si="193"/>
        <v>24</v>
      </c>
      <c r="Z1085" s="108" t="str">
        <f t="shared" si="194"/>
        <v/>
      </c>
      <c r="AB1085" s="108">
        <f t="shared" si="195"/>
        <v>0</v>
      </c>
      <c r="AC1085" s="108">
        <f>IF($A1085="",0,IF(AND($AB1085=1,COUNTIF($A$2:$A1085,$A1085)=1),1,0))</f>
        <v>0</v>
      </c>
      <c r="AD1085" s="108">
        <f t="shared" si="196"/>
        <v>1</v>
      </c>
      <c r="AE1085" s="108" t="str">
        <f t="shared" si="197"/>
        <v/>
      </c>
      <c r="AF1085" s="108">
        <f t="shared" si="198"/>
        <v>0</v>
      </c>
      <c r="AG1085" s="108">
        <f t="shared" si="199"/>
        <v>0</v>
      </c>
      <c r="AH1085" s="110" t="str">
        <f t="shared" si="200"/>
        <v/>
      </c>
      <c r="AI1085" s="108">
        <f t="shared" si="201"/>
        <v>0</v>
      </c>
      <c r="AJ1085" s="108">
        <f t="shared" si="202"/>
        <v>0</v>
      </c>
      <c r="AK1085" s="108">
        <f>IF($A1085="",0,IF(AND($S1085=1,$W1085=1,$X1085=1,$U1085&gt;Config!$C$9),1,0))</f>
        <v>0</v>
      </c>
      <c r="AL1085" s="108">
        <f t="shared" si="203"/>
        <v>0</v>
      </c>
    </row>
    <row r="1086" spans="19:38" x14ac:dyDescent="0.25">
      <c r="S1086" s="108" t="str">
        <f>IF($A1086="","",COUNTIF(BPOworkers!$B$6:$B$105,$A1086))</f>
        <v/>
      </c>
      <c r="T1086" s="109" t="str">
        <f>IF($A1086="","",$K1086*Config!$C$9)</f>
        <v/>
      </c>
      <c r="U1086" s="109" t="str">
        <f>IF($A1086="","",IF(COUNTIF(Config!$C$21:$C$23,$H1086)&gt;0,IFERROR(VALUE(LEFT(TRIM($Q1086),FIND(" ",TRIM($Q1086)&amp;" ")-1)),0),0))</f>
        <v/>
      </c>
      <c r="V1086" s="109" t="str">
        <f t="shared" si="192"/>
        <v/>
      </c>
      <c r="W1086" s="108">
        <f>IF($A1086="",0,IF(AND($C1086&gt;=Config!$C$7,$C1086&lt;=Config!$C$8),1,0))</f>
        <v>0</v>
      </c>
      <c r="X1086" s="108">
        <f>IF($A1086="",0,IF(COUNTIF(Config!$C$21:$C$23,$H1086)&gt;0,1,0))</f>
        <v>0</v>
      </c>
      <c r="Y1086" s="108">
        <f t="shared" si="193"/>
        <v>24</v>
      </c>
      <c r="Z1086" s="108" t="str">
        <f t="shared" si="194"/>
        <v/>
      </c>
      <c r="AB1086" s="108">
        <f t="shared" si="195"/>
        <v>0</v>
      </c>
      <c r="AC1086" s="108">
        <f>IF($A1086="",0,IF(AND($AB1086=1,COUNTIF($A$2:$A1086,$A1086)=1),1,0))</f>
        <v>0</v>
      </c>
      <c r="AD1086" s="108">
        <f t="shared" si="196"/>
        <v>1</v>
      </c>
      <c r="AE1086" s="108" t="str">
        <f t="shared" si="197"/>
        <v/>
      </c>
      <c r="AF1086" s="108">
        <f t="shared" si="198"/>
        <v>0</v>
      </c>
      <c r="AG1086" s="108">
        <f t="shared" si="199"/>
        <v>0</v>
      </c>
      <c r="AH1086" s="110" t="str">
        <f t="shared" si="200"/>
        <v/>
      </c>
      <c r="AI1086" s="108">
        <f t="shared" si="201"/>
        <v>0</v>
      </c>
      <c r="AJ1086" s="108">
        <f t="shared" si="202"/>
        <v>0</v>
      </c>
      <c r="AK1086" s="108">
        <f>IF($A1086="",0,IF(AND($S1086=1,$W1086=1,$X1086=1,$U1086&gt;Config!$C$9),1,0))</f>
        <v>0</v>
      </c>
      <c r="AL1086" s="108">
        <f t="shared" si="203"/>
        <v>0</v>
      </c>
    </row>
    <row r="1087" spans="19:38" x14ac:dyDescent="0.25">
      <c r="S1087" s="108" t="str">
        <f>IF($A1087="","",COUNTIF(BPOworkers!$B$6:$B$105,$A1087))</f>
        <v/>
      </c>
      <c r="T1087" s="109" t="str">
        <f>IF($A1087="","",$K1087*Config!$C$9)</f>
        <v/>
      </c>
      <c r="U1087" s="109" t="str">
        <f>IF($A1087="","",IF(COUNTIF(Config!$C$21:$C$23,$H1087)&gt;0,IFERROR(VALUE(LEFT(TRIM($Q1087),FIND(" ",TRIM($Q1087)&amp;" ")-1)),0),0))</f>
        <v/>
      </c>
      <c r="V1087" s="109" t="str">
        <f t="shared" si="192"/>
        <v/>
      </c>
      <c r="W1087" s="108">
        <f>IF($A1087="",0,IF(AND($C1087&gt;=Config!$C$7,$C1087&lt;=Config!$C$8),1,0))</f>
        <v>0</v>
      </c>
      <c r="X1087" s="108">
        <f>IF($A1087="",0,IF(COUNTIF(Config!$C$21:$C$23,$H1087)&gt;0,1,0))</f>
        <v>0</v>
      </c>
      <c r="Y1087" s="108">
        <f t="shared" si="193"/>
        <v>24</v>
      </c>
      <c r="Z1087" s="108" t="str">
        <f t="shared" si="194"/>
        <v/>
      </c>
      <c r="AB1087" s="108">
        <f t="shared" si="195"/>
        <v>0</v>
      </c>
      <c r="AC1087" s="108">
        <f>IF($A1087="",0,IF(AND($AB1087=1,COUNTIF($A$2:$A1087,$A1087)=1),1,0))</f>
        <v>0</v>
      </c>
      <c r="AD1087" s="108">
        <f t="shared" si="196"/>
        <v>1</v>
      </c>
      <c r="AE1087" s="108" t="str">
        <f t="shared" si="197"/>
        <v/>
      </c>
      <c r="AF1087" s="108">
        <f t="shared" si="198"/>
        <v>0</v>
      </c>
      <c r="AG1087" s="108">
        <f t="shared" si="199"/>
        <v>0</v>
      </c>
      <c r="AH1087" s="110" t="str">
        <f t="shared" si="200"/>
        <v/>
      </c>
      <c r="AI1087" s="108">
        <f t="shared" si="201"/>
        <v>0</v>
      </c>
      <c r="AJ1087" s="108">
        <f t="shared" si="202"/>
        <v>0</v>
      </c>
      <c r="AK1087" s="108">
        <f>IF($A1087="",0,IF(AND($S1087=1,$W1087=1,$X1087=1,$U1087&gt;Config!$C$9),1,0))</f>
        <v>0</v>
      </c>
      <c r="AL1087" s="108">
        <f t="shared" si="203"/>
        <v>0</v>
      </c>
    </row>
    <row r="1088" spans="19:38" x14ac:dyDescent="0.25">
      <c r="S1088" s="108" t="str">
        <f>IF($A1088="","",COUNTIF(BPOworkers!$B$6:$B$105,$A1088))</f>
        <v/>
      </c>
      <c r="T1088" s="109" t="str">
        <f>IF($A1088="","",$K1088*Config!$C$9)</f>
        <v/>
      </c>
      <c r="U1088" s="109" t="str">
        <f>IF($A1088="","",IF(COUNTIF(Config!$C$21:$C$23,$H1088)&gt;0,IFERROR(VALUE(LEFT(TRIM($Q1088),FIND(" ",TRIM($Q1088)&amp;" ")-1)),0),0))</f>
        <v/>
      </c>
      <c r="V1088" s="109" t="str">
        <f t="shared" si="192"/>
        <v/>
      </c>
      <c r="W1088" s="108">
        <f>IF($A1088="",0,IF(AND($C1088&gt;=Config!$C$7,$C1088&lt;=Config!$C$8),1,0))</f>
        <v>0</v>
      </c>
      <c r="X1088" s="108">
        <f>IF($A1088="",0,IF(COUNTIF(Config!$C$21:$C$23,$H1088)&gt;0,1,0))</f>
        <v>0</v>
      </c>
      <c r="Y1088" s="108">
        <f t="shared" si="193"/>
        <v>24</v>
      </c>
      <c r="Z1088" s="108" t="str">
        <f t="shared" si="194"/>
        <v/>
      </c>
      <c r="AB1088" s="108">
        <f t="shared" si="195"/>
        <v>0</v>
      </c>
      <c r="AC1088" s="108">
        <f>IF($A1088="",0,IF(AND($AB1088=1,COUNTIF($A$2:$A1088,$A1088)=1),1,0))</f>
        <v>0</v>
      </c>
      <c r="AD1088" s="108">
        <f t="shared" si="196"/>
        <v>1</v>
      </c>
      <c r="AE1088" s="108" t="str">
        <f t="shared" si="197"/>
        <v/>
      </c>
      <c r="AF1088" s="108">
        <f t="shared" si="198"/>
        <v>0</v>
      </c>
      <c r="AG1088" s="108">
        <f t="shared" si="199"/>
        <v>0</v>
      </c>
      <c r="AH1088" s="110" t="str">
        <f t="shared" si="200"/>
        <v/>
      </c>
      <c r="AI1088" s="108">
        <f t="shared" si="201"/>
        <v>0</v>
      </c>
      <c r="AJ1088" s="108">
        <f t="shared" si="202"/>
        <v>0</v>
      </c>
      <c r="AK1088" s="108">
        <f>IF($A1088="",0,IF(AND($S1088=1,$W1088=1,$X1088=1,$U1088&gt;Config!$C$9),1,0))</f>
        <v>0</v>
      </c>
      <c r="AL1088" s="108">
        <f t="shared" si="203"/>
        <v>0</v>
      </c>
    </row>
    <row r="1089" spans="19:38" x14ac:dyDescent="0.25">
      <c r="S1089" s="108" t="str">
        <f>IF($A1089="","",COUNTIF(BPOworkers!$B$6:$B$105,$A1089))</f>
        <v/>
      </c>
      <c r="T1089" s="109" t="str">
        <f>IF($A1089="","",$K1089*Config!$C$9)</f>
        <v/>
      </c>
      <c r="U1089" s="109" t="str">
        <f>IF($A1089="","",IF(COUNTIF(Config!$C$21:$C$23,$H1089)&gt;0,IFERROR(VALUE(LEFT(TRIM($Q1089),FIND(" ",TRIM($Q1089)&amp;" ")-1)),0),0))</f>
        <v/>
      </c>
      <c r="V1089" s="109" t="str">
        <f t="shared" si="192"/>
        <v/>
      </c>
      <c r="W1089" s="108">
        <f>IF($A1089="",0,IF(AND($C1089&gt;=Config!$C$7,$C1089&lt;=Config!$C$8),1,0))</f>
        <v>0</v>
      </c>
      <c r="X1089" s="108">
        <f>IF($A1089="",0,IF(COUNTIF(Config!$C$21:$C$23,$H1089)&gt;0,1,0))</f>
        <v>0</v>
      </c>
      <c r="Y1089" s="108">
        <f t="shared" si="193"/>
        <v>24</v>
      </c>
      <c r="Z1089" s="108" t="str">
        <f t="shared" si="194"/>
        <v/>
      </c>
      <c r="AB1089" s="108">
        <f t="shared" si="195"/>
        <v>0</v>
      </c>
      <c r="AC1089" s="108">
        <f>IF($A1089="",0,IF(AND($AB1089=1,COUNTIF($A$2:$A1089,$A1089)=1),1,0))</f>
        <v>0</v>
      </c>
      <c r="AD1089" s="108">
        <f t="shared" si="196"/>
        <v>1</v>
      </c>
      <c r="AE1089" s="108" t="str">
        <f t="shared" si="197"/>
        <v/>
      </c>
      <c r="AF1089" s="108">
        <f t="shared" si="198"/>
        <v>0</v>
      </c>
      <c r="AG1089" s="108">
        <f t="shared" si="199"/>
        <v>0</v>
      </c>
      <c r="AH1089" s="110" t="str">
        <f t="shared" si="200"/>
        <v/>
      </c>
      <c r="AI1089" s="108">
        <f t="shared" si="201"/>
        <v>0</v>
      </c>
      <c r="AJ1089" s="108">
        <f t="shared" si="202"/>
        <v>0</v>
      </c>
      <c r="AK1089" s="108">
        <f>IF($A1089="",0,IF(AND($S1089=1,$W1089=1,$X1089=1,$U1089&gt;Config!$C$9),1,0))</f>
        <v>0</v>
      </c>
      <c r="AL1089" s="108">
        <f t="shared" si="203"/>
        <v>0</v>
      </c>
    </row>
    <row r="1090" spans="19:38" x14ac:dyDescent="0.25">
      <c r="S1090" s="108" t="str">
        <f>IF($A1090="","",COUNTIF(BPOworkers!$B$6:$B$105,$A1090))</f>
        <v/>
      </c>
      <c r="T1090" s="109" t="str">
        <f>IF($A1090="","",$K1090*Config!$C$9)</f>
        <v/>
      </c>
      <c r="U1090" s="109" t="str">
        <f>IF($A1090="","",IF(COUNTIF(Config!$C$21:$C$23,$H1090)&gt;0,IFERROR(VALUE(LEFT(TRIM($Q1090),FIND(" ",TRIM($Q1090)&amp;" ")-1)),0),0))</f>
        <v/>
      </c>
      <c r="V1090" s="109" t="str">
        <f t="shared" ref="V1090:V1153" si="204">IF($A1090="","",$T1090+$U1090)</f>
        <v/>
      </c>
      <c r="W1090" s="108">
        <f>IF($A1090="",0,IF(AND($C1090&gt;=Config!$C$7,$C1090&lt;=Config!$C$8),1,0))</f>
        <v>0</v>
      </c>
      <c r="X1090" s="108">
        <f>IF($A1090="",0,IF(COUNTIF(Config!$C$21:$C$23,$H1090)&gt;0,1,0))</f>
        <v>0</v>
      </c>
      <c r="Y1090" s="108">
        <f t="shared" ref="Y1090:Y1153" si="205">IF($A1090="",MAX(0,Y1089),MAX(0,Y1089)+IF(AND($W1090=1,$X1090=1,$S1090=1),1,0))</f>
        <v>24</v>
      </c>
      <c r="Z1090" s="108" t="str">
        <f t="shared" ref="Z1090:Z1153" si="206">IF($A1090="","",IF(AND($W1090=1,$X1090=1,$S1090=1),$Y1090,""))</f>
        <v/>
      </c>
      <c r="AB1090" s="108">
        <f t="shared" ref="AB1090:AB1153" si="207">IF($A1090="",0,IF(AND($S1090=0,ISERROR(FIND(".",$A1090))),1,0))</f>
        <v>0</v>
      </c>
      <c r="AC1090" s="108">
        <f>IF($A1090="",0,IF(AND($AB1090=1,COUNTIF($A$2:$A1090,$A1090)=1),1,0))</f>
        <v>0</v>
      </c>
      <c r="AD1090" s="108">
        <f t="shared" ref="AD1090:AD1153" si="208">IF($A1090="",MAX(0,AD1089),MAX(0,AD1089)+$AC1090)</f>
        <v>1</v>
      </c>
      <c r="AE1090" s="108" t="str">
        <f t="shared" ref="AE1090:AE1153" si="209">IF($AC1090=1,$AD1090,"")</f>
        <v/>
      </c>
      <c r="AF1090" s="108">
        <f t="shared" ref="AF1090:AF1153" si="210">IF($A1090="",0,IFERROR(IF(AND($S1090=1,WEEKDAY($C1090,2)&gt;5),1,0),0))</f>
        <v>0</v>
      </c>
      <c r="AG1090" s="108">
        <f t="shared" ref="AG1090:AG1153" si="211">IF($A1090="",0,IF(AND($S1090=1,$W1090=0),1,0))</f>
        <v>0</v>
      </c>
      <c r="AH1090" s="110" t="str">
        <f t="shared" ref="AH1090:AH1153" si="212">IF($A1090="","",$A1090&amp;"|"&amp;TEXT($C1090,"yyyymmdd")&amp;"|"&amp;$H1090&amp;"|"&amp;TEXT($K1090,"0.000")&amp;"|"&amp;SUBSTITUTE(SUBSTITUTE(SUBSTITUTE(LEFT($Q1090,120),"~",""),"*",""),"?",""))</f>
        <v/>
      </c>
      <c r="AI1090" s="108">
        <f t="shared" ref="AI1090:AI1153" si="213">IF($A1090="",0,IF(AND($S1090=1,$W1090=1,COUNTIF($AH$2:$AH$1500,$AH1090)&gt;1),1,0))</f>
        <v>0</v>
      </c>
      <c r="AJ1090" s="108">
        <f t="shared" ref="AJ1090:AJ1153" si="214">IF($A1090="",0,IF(AND($S1090=1,$W1090=1,ABS($K1090*8-ROUND($K1090*8,0))&gt;0.0001),1,0))</f>
        <v>0</v>
      </c>
      <c r="AK1090" s="108">
        <f>IF($A1090="",0,IF(AND($S1090=1,$W1090=1,$X1090=1,$U1090&gt;Config!$C$9),1,0))</f>
        <v>0</v>
      </c>
      <c r="AL1090" s="108">
        <f t="shared" ref="AL1090:AL1153" si="215">IF($A1090="",0,IF(AND($S1090=1,$W1090=1,$X1090=1,$U1090=0),1,0))</f>
        <v>0</v>
      </c>
    </row>
    <row r="1091" spans="19:38" x14ac:dyDescent="0.25">
      <c r="S1091" s="108" t="str">
        <f>IF($A1091="","",COUNTIF(BPOworkers!$B$6:$B$105,$A1091))</f>
        <v/>
      </c>
      <c r="T1091" s="109" t="str">
        <f>IF($A1091="","",$K1091*Config!$C$9)</f>
        <v/>
      </c>
      <c r="U1091" s="109" t="str">
        <f>IF($A1091="","",IF(COUNTIF(Config!$C$21:$C$23,$H1091)&gt;0,IFERROR(VALUE(LEFT(TRIM($Q1091),FIND(" ",TRIM($Q1091)&amp;" ")-1)),0),0))</f>
        <v/>
      </c>
      <c r="V1091" s="109" t="str">
        <f t="shared" si="204"/>
        <v/>
      </c>
      <c r="W1091" s="108">
        <f>IF($A1091="",0,IF(AND($C1091&gt;=Config!$C$7,$C1091&lt;=Config!$C$8),1,0))</f>
        <v>0</v>
      </c>
      <c r="X1091" s="108">
        <f>IF($A1091="",0,IF(COUNTIF(Config!$C$21:$C$23,$H1091)&gt;0,1,0))</f>
        <v>0</v>
      </c>
      <c r="Y1091" s="108">
        <f t="shared" si="205"/>
        <v>24</v>
      </c>
      <c r="Z1091" s="108" t="str">
        <f t="shared" si="206"/>
        <v/>
      </c>
      <c r="AB1091" s="108">
        <f t="shared" si="207"/>
        <v>0</v>
      </c>
      <c r="AC1091" s="108">
        <f>IF($A1091="",0,IF(AND($AB1091=1,COUNTIF($A$2:$A1091,$A1091)=1),1,0))</f>
        <v>0</v>
      </c>
      <c r="AD1091" s="108">
        <f t="shared" si="208"/>
        <v>1</v>
      </c>
      <c r="AE1091" s="108" t="str">
        <f t="shared" si="209"/>
        <v/>
      </c>
      <c r="AF1091" s="108">
        <f t="shared" si="210"/>
        <v>0</v>
      </c>
      <c r="AG1091" s="108">
        <f t="shared" si="211"/>
        <v>0</v>
      </c>
      <c r="AH1091" s="110" t="str">
        <f t="shared" si="212"/>
        <v/>
      </c>
      <c r="AI1091" s="108">
        <f t="shared" si="213"/>
        <v>0</v>
      </c>
      <c r="AJ1091" s="108">
        <f t="shared" si="214"/>
        <v>0</v>
      </c>
      <c r="AK1091" s="108">
        <f>IF($A1091="",0,IF(AND($S1091=1,$W1091=1,$X1091=1,$U1091&gt;Config!$C$9),1,0))</f>
        <v>0</v>
      </c>
      <c r="AL1091" s="108">
        <f t="shared" si="215"/>
        <v>0</v>
      </c>
    </row>
    <row r="1092" spans="19:38" x14ac:dyDescent="0.25">
      <c r="S1092" s="108" t="str">
        <f>IF($A1092="","",COUNTIF(BPOworkers!$B$6:$B$105,$A1092))</f>
        <v/>
      </c>
      <c r="T1092" s="109" t="str">
        <f>IF($A1092="","",$K1092*Config!$C$9)</f>
        <v/>
      </c>
      <c r="U1092" s="109" t="str">
        <f>IF($A1092="","",IF(COUNTIF(Config!$C$21:$C$23,$H1092)&gt;0,IFERROR(VALUE(LEFT(TRIM($Q1092),FIND(" ",TRIM($Q1092)&amp;" ")-1)),0),0))</f>
        <v/>
      </c>
      <c r="V1092" s="109" t="str">
        <f t="shared" si="204"/>
        <v/>
      </c>
      <c r="W1092" s="108">
        <f>IF($A1092="",0,IF(AND($C1092&gt;=Config!$C$7,$C1092&lt;=Config!$C$8),1,0))</f>
        <v>0</v>
      </c>
      <c r="X1092" s="108">
        <f>IF($A1092="",0,IF(COUNTIF(Config!$C$21:$C$23,$H1092)&gt;0,1,0))</f>
        <v>0</v>
      </c>
      <c r="Y1092" s="108">
        <f t="shared" si="205"/>
        <v>24</v>
      </c>
      <c r="Z1092" s="108" t="str">
        <f t="shared" si="206"/>
        <v/>
      </c>
      <c r="AB1092" s="108">
        <f t="shared" si="207"/>
        <v>0</v>
      </c>
      <c r="AC1092" s="108">
        <f>IF($A1092="",0,IF(AND($AB1092=1,COUNTIF($A$2:$A1092,$A1092)=1),1,0))</f>
        <v>0</v>
      </c>
      <c r="AD1092" s="108">
        <f t="shared" si="208"/>
        <v>1</v>
      </c>
      <c r="AE1092" s="108" t="str">
        <f t="shared" si="209"/>
        <v/>
      </c>
      <c r="AF1092" s="108">
        <f t="shared" si="210"/>
        <v>0</v>
      </c>
      <c r="AG1092" s="108">
        <f t="shared" si="211"/>
        <v>0</v>
      </c>
      <c r="AH1092" s="110" t="str">
        <f t="shared" si="212"/>
        <v/>
      </c>
      <c r="AI1092" s="108">
        <f t="shared" si="213"/>
        <v>0</v>
      </c>
      <c r="AJ1092" s="108">
        <f t="shared" si="214"/>
        <v>0</v>
      </c>
      <c r="AK1092" s="108">
        <f>IF($A1092="",0,IF(AND($S1092=1,$W1092=1,$X1092=1,$U1092&gt;Config!$C$9),1,0))</f>
        <v>0</v>
      </c>
      <c r="AL1092" s="108">
        <f t="shared" si="215"/>
        <v>0</v>
      </c>
    </row>
    <row r="1093" spans="19:38" x14ac:dyDescent="0.25">
      <c r="S1093" s="108" t="str">
        <f>IF($A1093="","",COUNTIF(BPOworkers!$B$6:$B$105,$A1093))</f>
        <v/>
      </c>
      <c r="T1093" s="109" t="str">
        <f>IF($A1093="","",$K1093*Config!$C$9)</f>
        <v/>
      </c>
      <c r="U1093" s="109" t="str">
        <f>IF($A1093="","",IF(COUNTIF(Config!$C$21:$C$23,$H1093)&gt;0,IFERROR(VALUE(LEFT(TRIM($Q1093),FIND(" ",TRIM($Q1093)&amp;" ")-1)),0),0))</f>
        <v/>
      </c>
      <c r="V1093" s="109" t="str">
        <f t="shared" si="204"/>
        <v/>
      </c>
      <c r="W1093" s="108">
        <f>IF($A1093="",0,IF(AND($C1093&gt;=Config!$C$7,$C1093&lt;=Config!$C$8),1,0))</f>
        <v>0</v>
      </c>
      <c r="X1093" s="108">
        <f>IF($A1093="",0,IF(COUNTIF(Config!$C$21:$C$23,$H1093)&gt;0,1,0))</f>
        <v>0</v>
      </c>
      <c r="Y1093" s="108">
        <f t="shared" si="205"/>
        <v>24</v>
      </c>
      <c r="Z1093" s="108" t="str">
        <f t="shared" si="206"/>
        <v/>
      </c>
      <c r="AB1093" s="108">
        <f t="shared" si="207"/>
        <v>0</v>
      </c>
      <c r="AC1093" s="108">
        <f>IF($A1093="",0,IF(AND($AB1093=1,COUNTIF($A$2:$A1093,$A1093)=1),1,0))</f>
        <v>0</v>
      </c>
      <c r="AD1093" s="108">
        <f t="shared" si="208"/>
        <v>1</v>
      </c>
      <c r="AE1093" s="108" t="str">
        <f t="shared" si="209"/>
        <v/>
      </c>
      <c r="AF1093" s="108">
        <f t="shared" si="210"/>
        <v>0</v>
      </c>
      <c r="AG1093" s="108">
        <f t="shared" si="211"/>
        <v>0</v>
      </c>
      <c r="AH1093" s="110" t="str">
        <f t="shared" si="212"/>
        <v/>
      </c>
      <c r="AI1093" s="108">
        <f t="shared" si="213"/>
        <v>0</v>
      </c>
      <c r="AJ1093" s="108">
        <f t="shared" si="214"/>
        <v>0</v>
      </c>
      <c r="AK1093" s="108">
        <f>IF($A1093="",0,IF(AND($S1093=1,$W1093=1,$X1093=1,$U1093&gt;Config!$C$9),1,0))</f>
        <v>0</v>
      </c>
      <c r="AL1093" s="108">
        <f t="shared" si="215"/>
        <v>0</v>
      </c>
    </row>
    <row r="1094" spans="19:38" x14ac:dyDescent="0.25">
      <c r="S1094" s="108" t="str">
        <f>IF($A1094="","",COUNTIF(BPOworkers!$B$6:$B$105,$A1094))</f>
        <v/>
      </c>
      <c r="T1094" s="109" t="str">
        <f>IF($A1094="","",$K1094*Config!$C$9)</f>
        <v/>
      </c>
      <c r="U1094" s="109" t="str">
        <f>IF($A1094="","",IF(COUNTIF(Config!$C$21:$C$23,$H1094)&gt;0,IFERROR(VALUE(LEFT(TRIM($Q1094),FIND(" ",TRIM($Q1094)&amp;" ")-1)),0),0))</f>
        <v/>
      </c>
      <c r="V1094" s="109" t="str">
        <f t="shared" si="204"/>
        <v/>
      </c>
      <c r="W1094" s="108">
        <f>IF($A1094="",0,IF(AND($C1094&gt;=Config!$C$7,$C1094&lt;=Config!$C$8),1,0))</f>
        <v>0</v>
      </c>
      <c r="X1094" s="108">
        <f>IF($A1094="",0,IF(COUNTIF(Config!$C$21:$C$23,$H1094)&gt;0,1,0))</f>
        <v>0</v>
      </c>
      <c r="Y1094" s="108">
        <f t="shared" si="205"/>
        <v>24</v>
      </c>
      <c r="Z1094" s="108" t="str">
        <f t="shared" si="206"/>
        <v/>
      </c>
      <c r="AB1094" s="108">
        <f t="shared" si="207"/>
        <v>0</v>
      </c>
      <c r="AC1094" s="108">
        <f>IF($A1094="",0,IF(AND($AB1094=1,COUNTIF($A$2:$A1094,$A1094)=1),1,0))</f>
        <v>0</v>
      </c>
      <c r="AD1094" s="108">
        <f t="shared" si="208"/>
        <v>1</v>
      </c>
      <c r="AE1094" s="108" t="str">
        <f t="shared" si="209"/>
        <v/>
      </c>
      <c r="AF1094" s="108">
        <f t="shared" si="210"/>
        <v>0</v>
      </c>
      <c r="AG1094" s="108">
        <f t="shared" si="211"/>
        <v>0</v>
      </c>
      <c r="AH1094" s="110" t="str">
        <f t="shared" si="212"/>
        <v/>
      </c>
      <c r="AI1094" s="108">
        <f t="shared" si="213"/>
        <v>0</v>
      </c>
      <c r="AJ1094" s="108">
        <f t="shared" si="214"/>
        <v>0</v>
      </c>
      <c r="AK1094" s="108">
        <f>IF($A1094="",0,IF(AND($S1094=1,$W1094=1,$X1094=1,$U1094&gt;Config!$C$9),1,0))</f>
        <v>0</v>
      </c>
      <c r="AL1094" s="108">
        <f t="shared" si="215"/>
        <v>0</v>
      </c>
    </row>
    <row r="1095" spans="19:38" x14ac:dyDescent="0.25">
      <c r="S1095" s="108" t="str">
        <f>IF($A1095="","",COUNTIF(BPOworkers!$B$6:$B$105,$A1095))</f>
        <v/>
      </c>
      <c r="T1095" s="109" t="str">
        <f>IF($A1095="","",$K1095*Config!$C$9)</f>
        <v/>
      </c>
      <c r="U1095" s="109" t="str">
        <f>IF($A1095="","",IF(COUNTIF(Config!$C$21:$C$23,$H1095)&gt;0,IFERROR(VALUE(LEFT(TRIM($Q1095),FIND(" ",TRIM($Q1095)&amp;" ")-1)),0),0))</f>
        <v/>
      </c>
      <c r="V1095" s="109" t="str">
        <f t="shared" si="204"/>
        <v/>
      </c>
      <c r="W1095" s="108">
        <f>IF($A1095="",0,IF(AND($C1095&gt;=Config!$C$7,$C1095&lt;=Config!$C$8),1,0))</f>
        <v>0</v>
      </c>
      <c r="X1095" s="108">
        <f>IF($A1095="",0,IF(COUNTIF(Config!$C$21:$C$23,$H1095)&gt;0,1,0))</f>
        <v>0</v>
      </c>
      <c r="Y1095" s="108">
        <f t="shared" si="205"/>
        <v>24</v>
      </c>
      <c r="Z1095" s="108" t="str">
        <f t="shared" si="206"/>
        <v/>
      </c>
      <c r="AB1095" s="108">
        <f t="shared" si="207"/>
        <v>0</v>
      </c>
      <c r="AC1095" s="108">
        <f>IF($A1095="",0,IF(AND($AB1095=1,COUNTIF($A$2:$A1095,$A1095)=1),1,0))</f>
        <v>0</v>
      </c>
      <c r="AD1095" s="108">
        <f t="shared" si="208"/>
        <v>1</v>
      </c>
      <c r="AE1095" s="108" t="str">
        <f t="shared" si="209"/>
        <v/>
      </c>
      <c r="AF1095" s="108">
        <f t="shared" si="210"/>
        <v>0</v>
      </c>
      <c r="AG1095" s="108">
        <f t="shared" si="211"/>
        <v>0</v>
      </c>
      <c r="AH1095" s="110" t="str">
        <f t="shared" si="212"/>
        <v/>
      </c>
      <c r="AI1095" s="108">
        <f t="shared" si="213"/>
        <v>0</v>
      </c>
      <c r="AJ1095" s="108">
        <f t="shared" si="214"/>
        <v>0</v>
      </c>
      <c r="AK1095" s="108">
        <f>IF($A1095="",0,IF(AND($S1095=1,$W1095=1,$X1095=1,$U1095&gt;Config!$C$9),1,0))</f>
        <v>0</v>
      </c>
      <c r="AL1095" s="108">
        <f t="shared" si="215"/>
        <v>0</v>
      </c>
    </row>
    <row r="1096" spans="19:38" x14ac:dyDescent="0.25">
      <c r="S1096" s="108" t="str">
        <f>IF($A1096="","",COUNTIF(BPOworkers!$B$6:$B$105,$A1096))</f>
        <v/>
      </c>
      <c r="T1096" s="109" t="str">
        <f>IF($A1096="","",$K1096*Config!$C$9)</f>
        <v/>
      </c>
      <c r="U1096" s="109" t="str">
        <f>IF($A1096="","",IF(COUNTIF(Config!$C$21:$C$23,$H1096)&gt;0,IFERROR(VALUE(LEFT(TRIM($Q1096),FIND(" ",TRIM($Q1096)&amp;" ")-1)),0),0))</f>
        <v/>
      </c>
      <c r="V1096" s="109" t="str">
        <f t="shared" si="204"/>
        <v/>
      </c>
      <c r="W1096" s="108">
        <f>IF($A1096="",0,IF(AND($C1096&gt;=Config!$C$7,$C1096&lt;=Config!$C$8),1,0))</f>
        <v>0</v>
      </c>
      <c r="X1096" s="108">
        <f>IF($A1096="",0,IF(COUNTIF(Config!$C$21:$C$23,$H1096)&gt;0,1,0))</f>
        <v>0</v>
      </c>
      <c r="Y1096" s="108">
        <f t="shared" si="205"/>
        <v>24</v>
      </c>
      <c r="Z1096" s="108" t="str">
        <f t="shared" si="206"/>
        <v/>
      </c>
      <c r="AB1096" s="108">
        <f t="shared" si="207"/>
        <v>0</v>
      </c>
      <c r="AC1096" s="108">
        <f>IF($A1096="",0,IF(AND($AB1096=1,COUNTIF($A$2:$A1096,$A1096)=1),1,0))</f>
        <v>0</v>
      </c>
      <c r="AD1096" s="108">
        <f t="shared" si="208"/>
        <v>1</v>
      </c>
      <c r="AE1096" s="108" t="str">
        <f t="shared" si="209"/>
        <v/>
      </c>
      <c r="AF1096" s="108">
        <f t="shared" si="210"/>
        <v>0</v>
      </c>
      <c r="AG1096" s="108">
        <f t="shared" si="211"/>
        <v>0</v>
      </c>
      <c r="AH1096" s="110" t="str">
        <f t="shared" si="212"/>
        <v/>
      </c>
      <c r="AI1096" s="108">
        <f t="shared" si="213"/>
        <v>0</v>
      </c>
      <c r="AJ1096" s="108">
        <f t="shared" si="214"/>
        <v>0</v>
      </c>
      <c r="AK1096" s="108">
        <f>IF($A1096="",0,IF(AND($S1096=1,$W1096=1,$X1096=1,$U1096&gt;Config!$C$9),1,0))</f>
        <v>0</v>
      </c>
      <c r="AL1096" s="108">
        <f t="shared" si="215"/>
        <v>0</v>
      </c>
    </row>
    <row r="1097" spans="19:38" x14ac:dyDescent="0.25">
      <c r="S1097" s="108" t="str">
        <f>IF($A1097="","",COUNTIF(BPOworkers!$B$6:$B$105,$A1097))</f>
        <v/>
      </c>
      <c r="T1097" s="109" t="str">
        <f>IF($A1097="","",$K1097*Config!$C$9)</f>
        <v/>
      </c>
      <c r="U1097" s="109" t="str">
        <f>IF($A1097="","",IF(COUNTIF(Config!$C$21:$C$23,$H1097)&gt;0,IFERROR(VALUE(LEFT(TRIM($Q1097),FIND(" ",TRIM($Q1097)&amp;" ")-1)),0),0))</f>
        <v/>
      </c>
      <c r="V1097" s="109" t="str">
        <f t="shared" si="204"/>
        <v/>
      </c>
      <c r="W1097" s="108">
        <f>IF($A1097="",0,IF(AND($C1097&gt;=Config!$C$7,$C1097&lt;=Config!$C$8),1,0))</f>
        <v>0</v>
      </c>
      <c r="X1097" s="108">
        <f>IF($A1097="",0,IF(COUNTIF(Config!$C$21:$C$23,$H1097)&gt;0,1,0))</f>
        <v>0</v>
      </c>
      <c r="Y1097" s="108">
        <f t="shared" si="205"/>
        <v>24</v>
      </c>
      <c r="Z1097" s="108" t="str">
        <f t="shared" si="206"/>
        <v/>
      </c>
      <c r="AB1097" s="108">
        <f t="shared" si="207"/>
        <v>0</v>
      </c>
      <c r="AC1097" s="108">
        <f>IF($A1097="",0,IF(AND($AB1097=1,COUNTIF($A$2:$A1097,$A1097)=1),1,0))</f>
        <v>0</v>
      </c>
      <c r="AD1097" s="108">
        <f t="shared" si="208"/>
        <v>1</v>
      </c>
      <c r="AE1097" s="108" t="str">
        <f t="shared" si="209"/>
        <v/>
      </c>
      <c r="AF1097" s="108">
        <f t="shared" si="210"/>
        <v>0</v>
      </c>
      <c r="AG1097" s="108">
        <f t="shared" si="211"/>
        <v>0</v>
      </c>
      <c r="AH1097" s="110" t="str">
        <f t="shared" si="212"/>
        <v/>
      </c>
      <c r="AI1097" s="108">
        <f t="shared" si="213"/>
        <v>0</v>
      </c>
      <c r="AJ1097" s="108">
        <f t="shared" si="214"/>
        <v>0</v>
      </c>
      <c r="AK1097" s="108">
        <f>IF($A1097="",0,IF(AND($S1097=1,$W1097=1,$X1097=1,$U1097&gt;Config!$C$9),1,0))</f>
        <v>0</v>
      </c>
      <c r="AL1097" s="108">
        <f t="shared" si="215"/>
        <v>0</v>
      </c>
    </row>
    <row r="1098" spans="19:38" x14ac:dyDescent="0.25">
      <c r="S1098" s="108" t="str">
        <f>IF($A1098="","",COUNTIF(BPOworkers!$B$6:$B$105,$A1098))</f>
        <v/>
      </c>
      <c r="T1098" s="109" t="str">
        <f>IF($A1098="","",$K1098*Config!$C$9)</f>
        <v/>
      </c>
      <c r="U1098" s="109" t="str">
        <f>IF($A1098="","",IF(COUNTIF(Config!$C$21:$C$23,$H1098)&gt;0,IFERROR(VALUE(LEFT(TRIM($Q1098),FIND(" ",TRIM($Q1098)&amp;" ")-1)),0),0))</f>
        <v/>
      </c>
      <c r="V1098" s="109" t="str">
        <f t="shared" si="204"/>
        <v/>
      </c>
      <c r="W1098" s="108">
        <f>IF($A1098="",0,IF(AND($C1098&gt;=Config!$C$7,$C1098&lt;=Config!$C$8),1,0))</f>
        <v>0</v>
      </c>
      <c r="X1098" s="108">
        <f>IF($A1098="",0,IF(COUNTIF(Config!$C$21:$C$23,$H1098)&gt;0,1,0))</f>
        <v>0</v>
      </c>
      <c r="Y1098" s="108">
        <f t="shared" si="205"/>
        <v>24</v>
      </c>
      <c r="Z1098" s="108" t="str">
        <f t="shared" si="206"/>
        <v/>
      </c>
      <c r="AB1098" s="108">
        <f t="shared" si="207"/>
        <v>0</v>
      </c>
      <c r="AC1098" s="108">
        <f>IF($A1098="",0,IF(AND($AB1098=1,COUNTIF($A$2:$A1098,$A1098)=1),1,0))</f>
        <v>0</v>
      </c>
      <c r="AD1098" s="108">
        <f t="shared" si="208"/>
        <v>1</v>
      </c>
      <c r="AE1098" s="108" t="str">
        <f t="shared" si="209"/>
        <v/>
      </c>
      <c r="AF1098" s="108">
        <f t="shared" si="210"/>
        <v>0</v>
      </c>
      <c r="AG1098" s="108">
        <f t="shared" si="211"/>
        <v>0</v>
      </c>
      <c r="AH1098" s="110" t="str">
        <f t="shared" si="212"/>
        <v/>
      </c>
      <c r="AI1098" s="108">
        <f t="shared" si="213"/>
        <v>0</v>
      </c>
      <c r="AJ1098" s="108">
        <f t="shared" si="214"/>
        <v>0</v>
      </c>
      <c r="AK1098" s="108">
        <f>IF($A1098="",0,IF(AND($S1098=1,$W1098=1,$X1098=1,$U1098&gt;Config!$C$9),1,0))</f>
        <v>0</v>
      </c>
      <c r="AL1098" s="108">
        <f t="shared" si="215"/>
        <v>0</v>
      </c>
    </row>
    <row r="1099" spans="19:38" x14ac:dyDescent="0.25">
      <c r="S1099" s="108" t="str">
        <f>IF($A1099="","",COUNTIF(BPOworkers!$B$6:$B$105,$A1099))</f>
        <v/>
      </c>
      <c r="T1099" s="109" t="str">
        <f>IF($A1099="","",$K1099*Config!$C$9)</f>
        <v/>
      </c>
      <c r="U1099" s="109" t="str">
        <f>IF($A1099="","",IF(COUNTIF(Config!$C$21:$C$23,$H1099)&gt;0,IFERROR(VALUE(LEFT(TRIM($Q1099),FIND(" ",TRIM($Q1099)&amp;" ")-1)),0),0))</f>
        <v/>
      </c>
      <c r="V1099" s="109" t="str">
        <f t="shared" si="204"/>
        <v/>
      </c>
      <c r="W1099" s="108">
        <f>IF($A1099="",0,IF(AND($C1099&gt;=Config!$C$7,$C1099&lt;=Config!$C$8),1,0))</f>
        <v>0</v>
      </c>
      <c r="X1099" s="108">
        <f>IF($A1099="",0,IF(COUNTIF(Config!$C$21:$C$23,$H1099)&gt;0,1,0))</f>
        <v>0</v>
      </c>
      <c r="Y1099" s="108">
        <f t="shared" si="205"/>
        <v>24</v>
      </c>
      <c r="Z1099" s="108" t="str">
        <f t="shared" si="206"/>
        <v/>
      </c>
      <c r="AB1099" s="108">
        <f t="shared" si="207"/>
        <v>0</v>
      </c>
      <c r="AC1099" s="108">
        <f>IF($A1099="",0,IF(AND($AB1099=1,COUNTIF($A$2:$A1099,$A1099)=1),1,0))</f>
        <v>0</v>
      </c>
      <c r="AD1099" s="108">
        <f t="shared" si="208"/>
        <v>1</v>
      </c>
      <c r="AE1099" s="108" t="str">
        <f t="shared" si="209"/>
        <v/>
      </c>
      <c r="AF1099" s="108">
        <f t="shared" si="210"/>
        <v>0</v>
      </c>
      <c r="AG1099" s="108">
        <f t="shared" si="211"/>
        <v>0</v>
      </c>
      <c r="AH1099" s="110" t="str">
        <f t="shared" si="212"/>
        <v/>
      </c>
      <c r="AI1099" s="108">
        <f t="shared" si="213"/>
        <v>0</v>
      </c>
      <c r="AJ1099" s="108">
        <f t="shared" si="214"/>
        <v>0</v>
      </c>
      <c r="AK1099" s="108">
        <f>IF($A1099="",0,IF(AND($S1099=1,$W1099=1,$X1099=1,$U1099&gt;Config!$C$9),1,0))</f>
        <v>0</v>
      </c>
      <c r="AL1099" s="108">
        <f t="shared" si="215"/>
        <v>0</v>
      </c>
    </row>
    <row r="1100" spans="19:38" x14ac:dyDescent="0.25">
      <c r="S1100" s="108" t="str">
        <f>IF($A1100="","",COUNTIF(BPOworkers!$B$6:$B$105,$A1100))</f>
        <v/>
      </c>
      <c r="T1100" s="109" t="str">
        <f>IF($A1100="","",$K1100*Config!$C$9)</f>
        <v/>
      </c>
      <c r="U1100" s="109" t="str">
        <f>IF($A1100="","",IF(COUNTIF(Config!$C$21:$C$23,$H1100)&gt;0,IFERROR(VALUE(LEFT(TRIM($Q1100),FIND(" ",TRIM($Q1100)&amp;" ")-1)),0),0))</f>
        <v/>
      </c>
      <c r="V1100" s="109" t="str">
        <f t="shared" si="204"/>
        <v/>
      </c>
      <c r="W1100" s="108">
        <f>IF($A1100="",0,IF(AND($C1100&gt;=Config!$C$7,$C1100&lt;=Config!$C$8),1,0))</f>
        <v>0</v>
      </c>
      <c r="X1100" s="108">
        <f>IF($A1100="",0,IF(COUNTIF(Config!$C$21:$C$23,$H1100)&gt;0,1,0))</f>
        <v>0</v>
      </c>
      <c r="Y1100" s="108">
        <f t="shared" si="205"/>
        <v>24</v>
      </c>
      <c r="Z1100" s="108" t="str">
        <f t="shared" si="206"/>
        <v/>
      </c>
      <c r="AB1100" s="108">
        <f t="shared" si="207"/>
        <v>0</v>
      </c>
      <c r="AC1100" s="108">
        <f>IF($A1100="",0,IF(AND($AB1100=1,COUNTIF($A$2:$A1100,$A1100)=1),1,0))</f>
        <v>0</v>
      </c>
      <c r="AD1100" s="108">
        <f t="shared" si="208"/>
        <v>1</v>
      </c>
      <c r="AE1100" s="108" t="str">
        <f t="shared" si="209"/>
        <v/>
      </c>
      <c r="AF1100" s="108">
        <f t="shared" si="210"/>
        <v>0</v>
      </c>
      <c r="AG1100" s="108">
        <f t="shared" si="211"/>
        <v>0</v>
      </c>
      <c r="AH1100" s="110" t="str">
        <f t="shared" si="212"/>
        <v/>
      </c>
      <c r="AI1100" s="108">
        <f t="shared" si="213"/>
        <v>0</v>
      </c>
      <c r="AJ1100" s="108">
        <f t="shared" si="214"/>
        <v>0</v>
      </c>
      <c r="AK1100" s="108">
        <f>IF($A1100="",0,IF(AND($S1100=1,$W1100=1,$X1100=1,$U1100&gt;Config!$C$9),1,0))</f>
        <v>0</v>
      </c>
      <c r="AL1100" s="108">
        <f t="shared" si="215"/>
        <v>0</v>
      </c>
    </row>
    <row r="1101" spans="19:38" x14ac:dyDescent="0.25">
      <c r="S1101" s="108" t="str">
        <f>IF($A1101="","",COUNTIF(BPOworkers!$B$6:$B$105,$A1101))</f>
        <v/>
      </c>
      <c r="T1101" s="109" t="str">
        <f>IF($A1101="","",$K1101*Config!$C$9)</f>
        <v/>
      </c>
      <c r="U1101" s="109" t="str">
        <f>IF($A1101="","",IF(COUNTIF(Config!$C$21:$C$23,$H1101)&gt;0,IFERROR(VALUE(LEFT(TRIM($Q1101),FIND(" ",TRIM($Q1101)&amp;" ")-1)),0),0))</f>
        <v/>
      </c>
      <c r="V1101" s="109" t="str">
        <f t="shared" si="204"/>
        <v/>
      </c>
      <c r="W1101" s="108">
        <f>IF($A1101="",0,IF(AND($C1101&gt;=Config!$C$7,$C1101&lt;=Config!$C$8),1,0))</f>
        <v>0</v>
      </c>
      <c r="X1101" s="108">
        <f>IF($A1101="",0,IF(COUNTIF(Config!$C$21:$C$23,$H1101)&gt;0,1,0))</f>
        <v>0</v>
      </c>
      <c r="Y1101" s="108">
        <f t="shared" si="205"/>
        <v>24</v>
      </c>
      <c r="Z1101" s="108" t="str">
        <f t="shared" si="206"/>
        <v/>
      </c>
      <c r="AB1101" s="108">
        <f t="shared" si="207"/>
        <v>0</v>
      </c>
      <c r="AC1101" s="108">
        <f>IF($A1101="",0,IF(AND($AB1101=1,COUNTIF($A$2:$A1101,$A1101)=1),1,0))</f>
        <v>0</v>
      </c>
      <c r="AD1101" s="108">
        <f t="shared" si="208"/>
        <v>1</v>
      </c>
      <c r="AE1101" s="108" t="str">
        <f t="shared" si="209"/>
        <v/>
      </c>
      <c r="AF1101" s="108">
        <f t="shared" si="210"/>
        <v>0</v>
      </c>
      <c r="AG1101" s="108">
        <f t="shared" si="211"/>
        <v>0</v>
      </c>
      <c r="AH1101" s="110" t="str">
        <f t="shared" si="212"/>
        <v/>
      </c>
      <c r="AI1101" s="108">
        <f t="shared" si="213"/>
        <v>0</v>
      </c>
      <c r="AJ1101" s="108">
        <f t="shared" si="214"/>
        <v>0</v>
      </c>
      <c r="AK1101" s="108">
        <f>IF($A1101="",0,IF(AND($S1101=1,$W1101=1,$X1101=1,$U1101&gt;Config!$C$9),1,0))</f>
        <v>0</v>
      </c>
      <c r="AL1101" s="108">
        <f t="shared" si="215"/>
        <v>0</v>
      </c>
    </row>
    <row r="1102" spans="19:38" x14ac:dyDescent="0.25">
      <c r="S1102" s="108" t="str">
        <f>IF($A1102="","",COUNTIF(BPOworkers!$B$6:$B$105,$A1102))</f>
        <v/>
      </c>
      <c r="T1102" s="109" t="str">
        <f>IF($A1102="","",$K1102*Config!$C$9)</f>
        <v/>
      </c>
      <c r="U1102" s="109" t="str">
        <f>IF($A1102="","",IF(COUNTIF(Config!$C$21:$C$23,$H1102)&gt;0,IFERROR(VALUE(LEFT(TRIM($Q1102),FIND(" ",TRIM($Q1102)&amp;" ")-1)),0),0))</f>
        <v/>
      </c>
      <c r="V1102" s="109" t="str">
        <f t="shared" si="204"/>
        <v/>
      </c>
      <c r="W1102" s="108">
        <f>IF($A1102="",0,IF(AND($C1102&gt;=Config!$C$7,$C1102&lt;=Config!$C$8),1,0))</f>
        <v>0</v>
      </c>
      <c r="X1102" s="108">
        <f>IF($A1102="",0,IF(COUNTIF(Config!$C$21:$C$23,$H1102)&gt;0,1,0))</f>
        <v>0</v>
      </c>
      <c r="Y1102" s="108">
        <f t="shared" si="205"/>
        <v>24</v>
      </c>
      <c r="Z1102" s="108" t="str">
        <f t="shared" si="206"/>
        <v/>
      </c>
      <c r="AB1102" s="108">
        <f t="shared" si="207"/>
        <v>0</v>
      </c>
      <c r="AC1102" s="108">
        <f>IF($A1102="",0,IF(AND($AB1102=1,COUNTIF($A$2:$A1102,$A1102)=1),1,0))</f>
        <v>0</v>
      </c>
      <c r="AD1102" s="108">
        <f t="shared" si="208"/>
        <v>1</v>
      </c>
      <c r="AE1102" s="108" t="str">
        <f t="shared" si="209"/>
        <v/>
      </c>
      <c r="AF1102" s="108">
        <f t="shared" si="210"/>
        <v>0</v>
      </c>
      <c r="AG1102" s="108">
        <f t="shared" si="211"/>
        <v>0</v>
      </c>
      <c r="AH1102" s="110" t="str">
        <f t="shared" si="212"/>
        <v/>
      </c>
      <c r="AI1102" s="108">
        <f t="shared" si="213"/>
        <v>0</v>
      </c>
      <c r="AJ1102" s="108">
        <f t="shared" si="214"/>
        <v>0</v>
      </c>
      <c r="AK1102" s="108">
        <f>IF($A1102="",0,IF(AND($S1102=1,$W1102=1,$X1102=1,$U1102&gt;Config!$C$9),1,0))</f>
        <v>0</v>
      </c>
      <c r="AL1102" s="108">
        <f t="shared" si="215"/>
        <v>0</v>
      </c>
    </row>
    <row r="1103" spans="19:38" x14ac:dyDescent="0.25">
      <c r="S1103" s="108" t="str">
        <f>IF($A1103="","",COUNTIF(BPOworkers!$B$6:$B$105,$A1103))</f>
        <v/>
      </c>
      <c r="T1103" s="109" t="str">
        <f>IF($A1103="","",$K1103*Config!$C$9)</f>
        <v/>
      </c>
      <c r="U1103" s="109" t="str">
        <f>IF($A1103="","",IF(COUNTIF(Config!$C$21:$C$23,$H1103)&gt;0,IFERROR(VALUE(LEFT(TRIM($Q1103),FIND(" ",TRIM($Q1103)&amp;" ")-1)),0),0))</f>
        <v/>
      </c>
      <c r="V1103" s="109" t="str">
        <f t="shared" si="204"/>
        <v/>
      </c>
      <c r="W1103" s="108">
        <f>IF($A1103="",0,IF(AND($C1103&gt;=Config!$C$7,$C1103&lt;=Config!$C$8),1,0))</f>
        <v>0</v>
      </c>
      <c r="X1103" s="108">
        <f>IF($A1103="",0,IF(COUNTIF(Config!$C$21:$C$23,$H1103)&gt;0,1,0))</f>
        <v>0</v>
      </c>
      <c r="Y1103" s="108">
        <f t="shared" si="205"/>
        <v>24</v>
      </c>
      <c r="Z1103" s="108" t="str">
        <f t="shared" si="206"/>
        <v/>
      </c>
      <c r="AB1103" s="108">
        <f t="shared" si="207"/>
        <v>0</v>
      </c>
      <c r="AC1103" s="108">
        <f>IF($A1103="",0,IF(AND($AB1103=1,COUNTIF($A$2:$A1103,$A1103)=1),1,0))</f>
        <v>0</v>
      </c>
      <c r="AD1103" s="108">
        <f t="shared" si="208"/>
        <v>1</v>
      </c>
      <c r="AE1103" s="108" t="str">
        <f t="shared" si="209"/>
        <v/>
      </c>
      <c r="AF1103" s="108">
        <f t="shared" si="210"/>
        <v>0</v>
      </c>
      <c r="AG1103" s="108">
        <f t="shared" si="211"/>
        <v>0</v>
      </c>
      <c r="AH1103" s="110" t="str">
        <f t="shared" si="212"/>
        <v/>
      </c>
      <c r="AI1103" s="108">
        <f t="shared" si="213"/>
        <v>0</v>
      </c>
      <c r="AJ1103" s="108">
        <f t="shared" si="214"/>
        <v>0</v>
      </c>
      <c r="AK1103" s="108">
        <f>IF($A1103="",0,IF(AND($S1103=1,$W1103=1,$X1103=1,$U1103&gt;Config!$C$9),1,0))</f>
        <v>0</v>
      </c>
      <c r="AL1103" s="108">
        <f t="shared" si="215"/>
        <v>0</v>
      </c>
    </row>
    <row r="1104" spans="19:38" x14ac:dyDescent="0.25">
      <c r="S1104" s="108" t="str">
        <f>IF($A1104="","",COUNTIF(BPOworkers!$B$6:$B$105,$A1104))</f>
        <v/>
      </c>
      <c r="T1104" s="109" t="str">
        <f>IF($A1104="","",$K1104*Config!$C$9)</f>
        <v/>
      </c>
      <c r="U1104" s="109" t="str">
        <f>IF($A1104="","",IF(COUNTIF(Config!$C$21:$C$23,$H1104)&gt;0,IFERROR(VALUE(LEFT(TRIM($Q1104),FIND(" ",TRIM($Q1104)&amp;" ")-1)),0),0))</f>
        <v/>
      </c>
      <c r="V1104" s="109" t="str">
        <f t="shared" si="204"/>
        <v/>
      </c>
      <c r="W1104" s="108">
        <f>IF($A1104="",0,IF(AND($C1104&gt;=Config!$C$7,$C1104&lt;=Config!$C$8),1,0))</f>
        <v>0</v>
      </c>
      <c r="X1104" s="108">
        <f>IF($A1104="",0,IF(COUNTIF(Config!$C$21:$C$23,$H1104)&gt;0,1,0))</f>
        <v>0</v>
      </c>
      <c r="Y1104" s="108">
        <f t="shared" si="205"/>
        <v>24</v>
      </c>
      <c r="Z1104" s="108" t="str">
        <f t="shared" si="206"/>
        <v/>
      </c>
      <c r="AB1104" s="108">
        <f t="shared" si="207"/>
        <v>0</v>
      </c>
      <c r="AC1104" s="108">
        <f>IF($A1104="",0,IF(AND($AB1104=1,COUNTIF($A$2:$A1104,$A1104)=1),1,0))</f>
        <v>0</v>
      </c>
      <c r="AD1104" s="108">
        <f t="shared" si="208"/>
        <v>1</v>
      </c>
      <c r="AE1104" s="108" t="str">
        <f t="shared" si="209"/>
        <v/>
      </c>
      <c r="AF1104" s="108">
        <f t="shared" si="210"/>
        <v>0</v>
      </c>
      <c r="AG1104" s="108">
        <f t="shared" si="211"/>
        <v>0</v>
      </c>
      <c r="AH1104" s="110" t="str">
        <f t="shared" si="212"/>
        <v/>
      </c>
      <c r="AI1104" s="108">
        <f t="shared" si="213"/>
        <v>0</v>
      </c>
      <c r="AJ1104" s="108">
        <f t="shared" si="214"/>
        <v>0</v>
      </c>
      <c r="AK1104" s="108">
        <f>IF($A1104="",0,IF(AND($S1104=1,$W1104=1,$X1104=1,$U1104&gt;Config!$C$9),1,0))</f>
        <v>0</v>
      </c>
      <c r="AL1104" s="108">
        <f t="shared" si="215"/>
        <v>0</v>
      </c>
    </row>
    <row r="1105" spans="19:38" x14ac:dyDescent="0.25">
      <c r="S1105" s="108" t="str">
        <f>IF($A1105="","",COUNTIF(BPOworkers!$B$6:$B$105,$A1105))</f>
        <v/>
      </c>
      <c r="T1105" s="109" t="str">
        <f>IF($A1105="","",$K1105*Config!$C$9)</f>
        <v/>
      </c>
      <c r="U1105" s="109" t="str">
        <f>IF($A1105="","",IF(COUNTIF(Config!$C$21:$C$23,$H1105)&gt;0,IFERROR(VALUE(LEFT(TRIM($Q1105),FIND(" ",TRIM($Q1105)&amp;" ")-1)),0),0))</f>
        <v/>
      </c>
      <c r="V1105" s="109" t="str">
        <f t="shared" si="204"/>
        <v/>
      </c>
      <c r="W1105" s="108">
        <f>IF($A1105="",0,IF(AND($C1105&gt;=Config!$C$7,$C1105&lt;=Config!$C$8),1,0))</f>
        <v>0</v>
      </c>
      <c r="X1105" s="108">
        <f>IF($A1105="",0,IF(COUNTIF(Config!$C$21:$C$23,$H1105)&gt;0,1,0))</f>
        <v>0</v>
      </c>
      <c r="Y1105" s="108">
        <f t="shared" si="205"/>
        <v>24</v>
      </c>
      <c r="Z1105" s="108" t="str">
        <f t="shared" si="206"/>
        <v/>
      </c>
      <c r="AB1105" s="108">
        <f t="shared" si="207"/>
        <v>0</v>
      </c>
      <c r="AC1105" s="108">
        <f>IF($A1105="",0,IF(AND($AB1105=1,COUNTIF($A$2:$A1105,$A1105)=1),1,0))</f>
        <v>0</v>
      </c>
      <c r="AD1105" s="108">
        <f t="shared" si="208"/>
        <v>1</v>
      </c>
      <c r="AE1105" s="108" t="str">
        <f t="shared" si="209"/>
        <v/>
      </c>
      <c r="AF1105" s="108">
        <f t="shared" si="210"/>
        <v>0</v>
      </c>
      <c r="AG1105" s="108">
        <f t="shared" si="211"/>
        <v>0</v>
      </c>
      <c r="AH1105" s="110" t="str">
        <f t="shared" si="212"/>
        <v/>
      </c>
      <c r="AI1105" s="108">
        <f t="shared" si="213"/>
        <v>0</v>
      </c>
      <c r="AJ1105" s="108">
        <f t="shared" si="214"/>
        <v>0</v>
      </c>
      <c r="AK1105" s="108">
        <f>IF($A1105="",0,IF(AND($S1105=1,$W1105=1,$X1105=1,$U1105&gt;Config!$C$9),1,0))</f>
        <v>0</v>
      </c>
      <c r="AL1105" s="108">
        <f t="shared" si="215"/>
        <v>0</v>
      </c>
    </row>
    <row r="1106" spans="19:38" x14ac:dyDescent="0.25">
      <c r="S1106" s="108" t="str">
        <f>IF($A1106="","",COUNTIF(BPOworkers!$B$6:$B$105,$A1106))</f>
        <v/>
      </c>
      <c r="T1106" s="109" t="str">
        <f>IF($A1106="","",$K1106*Config!$C$9)</f>
        <v/>
      </c>
      <c r="U1106" s="109" t="str">
        <f>IF($A1106="","",IF(COUNTIF(Config!$C$21:$C$23,$H1106)&gt;0,IFERROR(VALUE(LEFT(TRIM($Q1106),FIND(" ",TRIM($Q1106)&amp;" ")-1)),0),0))</f>
        <v/>
      </c>
      <c r="V1106" s="109" t="str">
        <f t="shared" si="204"/>
        <v/>
      </c>
      <c r="W1106" s="108">
        <f>IF($A1106="",0,IF(AND($C1106&gt;=Config!$C$7,$C1106&lt;=Config!$C$8),1,0))</f>
        <v>0</v>
      </c>
      <c r="X1106" s="108">
        <f>IF($A1106="",0,IF(COUNTIF(Config!$C$21:$C$23,$H1106)&gt;0,1,0))</f>
        <v>0</v>
      </c>
      <c r="Y1106" s="108">
        <f t="shared" si="205"/>
        <v>24</v>
      </c>
      <c r="Z1106" s="108" t="str">
        <f t="shared" si="206"/>
        <v/>
      </c>
      <c r="AB1106" s="108">
        <f t="shared" si="207"/>
        <v>0</v>
      </c>
      <c r="AC1106" s="108">
        <f>IF($A1106="",0,IF(AND($AB1106=1,COUNTIF($A$2:$A1106,$A1106)=1),1,0))</f>
        <v>0</v>
      </c>
      <c r="AD1106" s="108">
        <f t="shared" si="208"/>
        <v>1</v>
      </c>
      <c r="AE1106" s="108" t="str">
        <f t="shared" si="209"/>
        <v/>
      </c>
      <c r="AF1106" s="108">
        <f t="shared" si="210"/>
        <v>0</v>
      </c>
      <c r="AG1106" s="108">
        <f t="shared" si="211"/>
        <v>0</v>
      </c>
      <c r="AH1106" s="110" t="str">
        <f t="shared" si="212"/>
        <v/>
      </c>
      <c r="AI1106" s="108">
        <f t="shared" si="213"/>
        <v>0</v>
      </c>
      <c r="AJ1106" s="108">
        <f t="shared" si="214"/>
        <v>0</v>
      </c>
      <c r="AK1106" s="108">
        <f>IF($A1106="",0,IF(AND($S1106=1,$W1106=1,$X1106=1,$U1106&gt;Config!$C$9),1,0))</f>
        <v>0</v>
      </c>
      <c r="AL1106" s="108">
        <f t="shared" si="215"/>
        <v>0</v>
      </c>
    </row>
    <row r="1107" spans="19:38" x14ac:dyDescent="0.25">
      <c r="S1107" s="108" t="str">
        <f>IF($A1107="","",COUNTIF(BPOworkers!$B$6:$B$105,$A1107))</f>
        <v/>
      </c>
      <c r="T1107" s="109" t="str">
        <f>IF($A1107="","",$K1107*Config!$C$9)</f>
        <v/>
      </c>
      <c r="U1107" s="109" t="str">
        <f>IF($A1107="","",IF(COUNTIF(Config!$C$21:$C$23,$H1107)&gt;0,IFERROR(VALUE(LEFT(TRIM($Q1107),FIND(" ",TRIM($Q1107)&amp;" ")-1)),0),0))</f>
        <v/>
      </c>
      <c r="V1107" s="109" t="str">
        <f t="shared" si="204"/>
        <v/>
      </c>
      <c r="W1107" s="108">
        <f>IF($A1107="",0,IF(AND($C1107&gt;=Config!$C$7,$C1107&lt;=Config!$C$8),1,0))</f>
        <v>0</v>
      </c>
      <c r="X1107" s="108">
        <f>IF($A1107="",0,IF(COUNTIF(Config!$C$21:$C$23,$H1107)&gt;0,1,0))</f>
        <v>0</v>
      </c>
      <c r="Y1107" s="108">
        <f t="shared" si="205"/>
        <v>24</v>
      </c>
      <c r="Z1107" s="108" t="str">
        <f t="shared" si="206"/>
        <v/>
      </c>
      <c r="AB1107" s="108">
        <f t="shared" si="207"/>
        <v>0</v>
      </c>
      <c r="AC1107" s="108">
        <f>IF($A1107="",0,IF(AND($AB1107=1,COUNTIF($A$2:$A1107,$A1107)=1),1,0))</f>
        <v>0</v>
      </c>
      <c r="AD1107" s="108">
        <f t="shared" si="208"/>
        <v>1</v>
      </c>
      <c r="AE1107" s="108" t="str">
        <f t="shared" si="209"/>
        <v/>
      </c>
      <c r="AF1107" s="108">
        <f t="shared" si="210"/>
        <v>0</v>
      </c>
      <c r="AG1107" s="108">
        <f t="shared" si="211"/>
        <v>0</v>
      </c>
      <c r="AH1107" s="110" t="str">
        <f t="shared" si="212"/>
        <v/>
      </c>
      <c r="AI1107" s="108">
        <f t="shared" si="213"/>
        <v>0</v>
      </c>
      <c r="AJ1107" s="108">
        <f t="shared" si="214"/>
        <v>0</v>
      </c>
      <c r="AK1107" s="108">
        <f>IF($A1107="",0,IF(AND($S1107=1,$W1107=1,$X1107=1,$U1107&gt;Config!$C$9),1,0))</f>
        <v>0</v>
      </c>
      <c r="AL1107" s="108">
        <f t="shared" si="215"/>
        <v>0</v>
      </c>
    </row>
    <row r="1108" spans="19:38" x14ac:dyDescent="0.25">
      <c r="S1108" s="108" t="str">
        <f>IF($A1108="","",COUNTIF(BPOworkers!$B$6:$B$105,$A1108))</f>
        <v/>
      </c>
      <c r="T1108" s="109" t="str">
        <f>IF($A1108="","",$K1108*Config!$C$9)</f>
        <v/>
      </c>
      <c r="U1108" s="109" t="str">
        <f>IF($A1108="","",IF(COUNTIF(Config!$C$21:$C$23,$H1108)&gt;0,IFERROR(VALUE(LEFT(TRIM($Q1108),FIND(" ",TRIM($Q1108)&amp;" ")-1)),0),0))</f>
        <v/>
      </c>
      <c r="V1108" s="109" t="str">
        <f t="shared" si="204"/>
        <v/>
      </c>
      <c r="W1108" s="108">
        <f>IF($A1108="",0,IF(AND($C1108&gt;=Config!$C$7,$C1108&lt;=Config!$C$8),1,0))</f>
        <v>0</v>
      </c>
      <c r="X1108" s="108">
        <f>IF($A1108="",0,IF(COUNTIF(Config!$C$21:$C$23,$H1108)&gt;0,1,0))</f>
        <v>0</v>
      </c>
      <c r="Y1108" s="108">
        <f t="shared" si="205"/>
        <v>24</v>
      </c>
      <c r="Z1108" s="108" t="str">
        <f t="shared" si="206"/>
        <v/>
      </c>
      <c r="AB1108" s="108">
        <f t="shared" si="207"/>
        <v>0</v>
      </c>
      <c r="AC1108" s="108">
        <f>IF($A1108="",0,IF(AND($AB1108=1,COUNTIF($A$2:$A1108,$A1108)=1),1,0))</f>
        <v>0</v>
      </c>
      <c r="AD1108" s="108">
        <f t="shared" si="208"/>
        <v>1</v>
      </c>
      <c r="AE1108" s="108" t="str">
        <f t="shared" si="209"/>
        <v/>
      </c>
      <c r="AF1108" s="108">
        <f t="shared" si="210"/>
        <v>0</v>
      </c>
      <c r="AG1108" s="108">
        <f t="shared" si="211"/>
        <v>0</v>
      </c>
      <c r="AH1108" s="110" t="str">
        <f t="shared" si="212"/>
        <v/>
      </c>
      <c r="AI1108" s="108">
        <f t="shared" si="213"/>
        <v>0</v>
      </c>
      <c r="AJ1108" s="108">
        <f t="shared" si="214"/>
        <v>0</v>
      </c>
      <c r="AK1108" s="108">
        <f>IF($A1108="",0,IF(AND($S1108=1,$W1108=1,$X1108=1,$U1108&gt;Config!$C$9),1,0))</f>
        <v>0</v>
      </c>
      <c r="AL1108" s="108">
        <f t="shared" si="215"/>
        <v>0</v>
      </c>
    </row>
    <row r="1109" spans="19:38" x14ac:dyDescent="0.25">
      <c r="S1109" s="108" t="str">
        <f>IF($A1109="","",COUNTIF(BPOworkers!$B$6:$B$105,$A1109))</f>
        <v/>
      </c>
      <c r="T1109" s="109" t="str">
        <f>IF($A1109="","",$K1109*Config!$C$9)</f>
        <v/>
      </c>
      <c r="U1109" s="109" t="str">
        <f>IF($A1109="","",IF(COUNTIF(Config!$C$21:$C$23,$H1109)&gt;0,IFERROR(VALUE(LEFT(TRIM($Q1109),FIND(" ",TRIM($Q1109)&amp;" ")-1)),0),0))</f>
        <v/>
      </c>
      <c r="V1109" s="109" t="str">
        <f t="shared" si="204"/>
        <v/>
      </c>
      <c r="W1109" s="108">
        <f>IF($A1109="",0,IF(AND($C1109&gt;=Config!$C$7,$C1109&lt;=Config!$C$8),1,0))</f>
        <v>0</v>
      </c>
      <c r="X1109" s="108">
        <f>IF($A1109="",0,IF(COUNTIF(Config!$C$21:$C$23,$H1109)&gt;0,1,0))</f>
        <v>0</v>
      </c>
      <c r="Y1109" s="108">
        <f t="shared" si="205"/>
        <v>24</v>
      </c>
      <c r="Z1109" s="108" t="str">
        <f t="shared" si="206"/>
        <v/>
      </c>
      <c r="AB1109" s="108">
        <f t="shared" si="207"/>
        <v>0</v>
      </c>
      <c r="AC1109" s="108">
        <f>IF($A1109="",0,IF(AND($AB1109=1,COUNTIF($A$2:$A1109,$A1109)=1),1,0))</f>
        <v>0</v>
      </c>
      <c r="AD1109" s="108">
        <f t="shared" si="208"/>
        <v>1</v>
      </c>
      <c r="AE1109" s="108" t="str">
        <f t="shared" si="209"/>
        <v/>
      </c>
      <c r="AF1109" s="108">
        <f t="shared" si="210"/>
        <v>0</v>
      </c>
      <c r="AG1109" s="108">
        <f t="shared" si="211"/>
        <v>0</v>
      </c>
      <c r="AH1109" s="110" t="str">
        <f t="shared" si="212"/>
        <v/>
      </c>
      <c r="AI1109" s="108">
        <f t="shared" si="213"/>
        <v>0</v>
      </c>
      <c r="AJ1109" s="108">
        <f t="shared" si="214"/>
        <v>0</v>
      </c>
      <c r="AK1109" s="108">
        <f>IF($A1109="",0,IF(AND($S1109=1,$W1109=1,$X1109=1,$U1109&gt;Config!$C$9),1,0))</f>
        <v>0</v>
      </c>
      <c r="AL1109" s="108">
        <f t="shared" si="215"/>
        <v>0</v>
      </c>
    </row>
    <row r="1110" spans="19:38" x14ac:dyDescent="0.25">
      <c r="S1110" s="108" t="str">
        <f>IF($A1110="","",COUNTIF(BPOworkers!$B$6:$B$105,$A1110))</f>
        <v/>
      </c>
      <c r="T1110" s="109" t="str">
        <f>IF($A1110="","",$K1110*Config!$C$9)</f>
        <v/>
      </c>
      <c r="U1110" s="109" t="str">
        <f>IF($A1110="","",IF(COUNTIF(Config!$C$21:$C$23,$H1110)&gt;0,IFERROR(VALUE(LEFT(TRIM($Q1110),FIND(" ",TRIM($Q1110)&amp;" ")-1)),0),0))</f>
        <v/>
      </c>
      <c r="V1110" s="109" t="str">
        <f t="shared" si="204"/>
        <v/>
      </c>
      <c r="W1110" s="108">
        <f>IF($A1110="",0,IF(AND($C1110&gt;=Config!$C$7,$C1110&lt;=Config!$C$8),1,0))</f>
        <v>0</v>
      </c>
      <c r="X1110" s="108">
        <f>IF($A1110="",0,IF(COUNTIF(Config!$C$21:$C$23,$H1110)&gt;0,1,0))</f>
        <v>0</v>
      </c>
      <c r="Y1110" s="108">
        <f t="shared" si="205"/>
        <v>24</v>
      </c>
      <c r="Z1110" s="108" t="str">
        <f t="shared" si="206"/>
        <v/>
      </c>
      <c r="AB1110" s="108">
        <f t="shared" si="207"/>
        <v>0</v>
      </c>
      <c r="AC1110" s="108">
        <f>IF($A1110="",0,IF(AND($AB1110=1,COUNTIF($A$2:$A1110,$A1110)=1),1,0))</f>
        <v>0</v>
      </c>
      <c r="AD1110" s="108">
        <f t="shared" si="208"/>
        <v>1</v>
      </c>
      <c r="AE1110" s="108" t="str">
        <f t="shared" si="209"/>
        <v/>
      </c>
      <c r="AF1110" s="108">
        <f t="shared" si="210"/>
        <v>0</v>
      </c>
      <c r="AG1110" s="108">
        <f t="shared" si="211"/>
        <v>0</v>
      </c>
      <c r="AH1110" s="110" t="str">
        <f t="shared" si="212"/>
        <v/>
      </c>
      <c r="AI1110" s="108">
        <f t="shared" si="213"/>
        <v>0</v>
      </c>
      <c r="AJ1110" s="108">
        <f t="shared" si="214"/>
        <v>0</v>
      </c>
      <c r="AK1110" s="108">
        <f>IF($A1110="",0,IF(AND($S1110=1,$W1110=1,$X1110=1,$U1110&gt;Config!$C$9),1,0))</f>
        <v>0</v>
      </c>
      <c r="AL1110" s="108">
        <f t="shared" si="215"/>
        <v>0</v>
      </c>
    </row>
    <row r="1111" spans="19:38" x14ac:dyDescent="0.25">
      <c r="S1111" s="108" t="str">
        <f>IF($A1111="","",COUNTIF(BPOworkers!$B$6:$B$105,$A1111))</f>
        <v/>
      </c>
      <c r="T1111" s="109" t="str">
        <f>IF($A1111="","",$K1111*Config!$C$9)</f>
        <v/>
      </c>
      <c r="U1111" s="109" t="str">
        <f>IF($A1111="","",IF(COUNTIF(Config!$C$21:$C$23,$H1111)&gt;0,IFERROR(VALUE(LEFT(TRIM($Q1111),FIND(" ",TRIM($Q1111)&amp;" ")-1)),0),0))</f>
        <v/>
      </c>
      <c r="V1111" s="109" t="str">
        <f t="shared" si="204"/>
        <v/>
      </c>
      <c r="W1111" s="108">
        <f>IF($A1111="",0,IF(AND($C1111&gt;=Config!$C$7,$C1111&lt;=Config!$C$8),1,0))</f>
        <v>0</v>
      </c>
      <c r="X1111" s="108">
        <f>IF($A1111="",0,IF(COUNTIF(Config!$C$21:$C$23,$H1111)&gt;0,1,0))</f>
        <v>0</v>
      </c>
      <c r="Y1111" s="108">
        <f t="shared" si="205"/>
        <v>24</v>
      </c>
      <c r="Z1111" s="108" t="str">
        <f t="shared" si="206"/>
        <v/>
      </c>
      <c r="AB1111" s="108">
        <f t="shared" si="207"/>
        <v>0</v>
      </c>
      <c r="AC1111" s="108">
        <f>IF($A1111="",0,IF(AND($AB1111=1,COUNTIF($A$2:$A1111,$A1111)=1),1,0))</f>
        <v>0</v>
      </c>
      <c r="AD1111" s="108">
        <f t="shared" si="208"/>
        <v>1</v>
      </c>
      <c r="AE1111" s="108" t="str">
        <f t="shared" si="209"/>
        <v/>
      </c>
      <c r="AF1111" s="108">
        <f t="shared" si="210"/>
        <v>0</v>
      </c>
      <c r="AG1111" s="108">
        <f t="shared" si="211"/>
        <v>0</v>
      </c>
      <c r="AH1111" s="110" t="str">
        <f t="shared" si="212"/>
        <v/>
      </c>
      <c r="AI1111" s="108">
        <f t="shared" si="213"/>
        <v>0</v>
      </c>
      <c r="AJ1111" s="108">
        <f t="shared" si="214"/>
        <v>0</v>
      </c>
      <c r="AK1111" s="108">
        <f>IF($A1111="",0,IF(AND($S1111=1,$W1111=1,$X1111=1,$U1111&gt;Config!$C$9),1,0))</f>
        <v>0</v>
      </c>
      <c r="AL1111" s="108">
        <f t="shared" si="215"/>
        <v>0</v>
      </c>
    </row>
    <row r="1112" spans="19:38" x14ac:dyDescent="0.25">
      <c r="S1112" s="108" t="str">
        <f>IF($A1112="","",COUNTIF(BPOworkers!$B$6:$B$105,$A1112))</f>
        <v/>
      </c>
      <c r="T1112" s="109" t="str">
        <f>IF($A1112="","",$K1112*Config!$C$9)</f>
        <v/>
      </c>
      <c r="U1112" s="109" t="str">
        <f>IF($A1112="","",IF(COUNTIF(Config!$C$21:$C$23,$H1112)&gt;0,IFERROR(VALUE(LEFT(TRIM($Q1112),FIND(" ",TRIM($Q1112)&amp;" ")-1)),0),0))</f>
        <v/>
      </c>
      <c r="V1112" s="109" t="str">
        <f t="shared" si="204"/>
        <v/>
      </c>
      <c r="W1112" s="108">
        <f>IF($A1112="",0,IF(AND($C1112&gt;=Config!$C$7,$C1112&lt;=Config!$C$8),1,0))</f>
        <v>0</v>
      </c>
      <c r="X1112" s="108">
        <f>IF($A1112="",0,IF(COUNTIF(Config!$C$21:$C$23,$H1112)&gt;0,1,0))</f>
        <v>0</v>
      </c>
      <c r="Y1112" s="108">
        <f t="shared" si="205"/>
        <v>24</v>
      </c>
      <c r="Z1112" s="108" t="str">
        <f t="shared" si="206"/>
        <v/>
      </c>
      <c r="AB1112" s="108">
        <f t="shared" si="207"/>
        <v>0</v>
      </c>
      <c r="AC1112" s="108">
        <f>IF($A1112="",0,IF(AND($AB1112=1,COUNTIF($A$2:$A1112,$A1112)=1),1,0))</f>
        <v>0</v>
      </c>
      <c r="AD1112" s="108">
        <f t="shared" si="208"/>
        <v>1</v>
      </c>
      <c r="AE1112" s="108" t="str">
        <f t="shared" si="209"/>
        <v/>
      </c>
      <c r="AF1112" s="108">
        <f t="shared" si="210"/>
        <v>0</v>
      </c>
      <c r="AG1112" s="108">
        <f t="shared" si="211"/>
        <v>0</v>
      </c>
      <c r="AH1112" s="110" t="str">
        <f t="shared" si="212"/>
        <v/>
      </c>
      <c r="AI1112" s="108">
        <f t="shared" si="213"/>
        <v>0</v>
      </c>
      <c r="AJ1112" s="108">
        <f t="shared" si="214"/>
        <v>0</v>
      </c>
      <c r="AK1112" s="108">
        <f>IF($A1112="",0,IF(AND($S1112=1,$W1112=1,$X1112=1,$U1112&gt;Config!$C$9),1,0))</f>
        <v>0</v>
      </c>
      <c r="AL1112" s="108">
        <f t="shared" si="215"/>
        <v>0</v>
      </c>
    </row>
    <row r="1113" spans="19:38" x14ac:dyDescent="0.25">
      <c r="S1113" s="108" t="str">
        <f>IF($A1113="","",COUNTIF(BPOworkers!$B$6:$B$105,$A1113))</f>
        <v/>
      </c>
      <c r="T1113" s="109" t="str">
        <f>IF($A1113="","",$K1113*Config!$C$9)</f>
        <v/>
      </c>
      <c r="U1113" s="109" t="str">
        <f>IF($A1113="","",IF(COUNTIF(Config!$C$21:$C$23,$H1113)&gt;0,IFERROR(VALUE(LEFT(TRIM($Q1113),FIND(" ",TRIM($Q1113)&amp;" ")-1)),0),0))</f>
        <v/>
      </c>
      <c r="V1113" s="109" t="str">
        <f t="shared" si="204"/>
        <v/>
      </c>
      <c r="W1113" s="108">
        <f>IF($A1113="",0,IF(AND($C1113&gt;=Config!$C$7,$C1113&lt;=Config!$C$8),1,0))</f>
        <v>0</v>
      </c>
      <c r="X1113" s="108">
        <f>IF($A1113="",0,IF(COUNTIF(Config!$C$21:$C$23,$H1113)&gt;0,1,0))</f>
        <v>0</v>
      </c>
      <c r="Y1113" s="108">
        <f t="shared" si="205"/>
        <v>24</v>
      </c>
      <c r="Z1113" s="108" t="str">
        <f t="shared" si="206"/>
        <v/>
      </c>
      <c r="AB1113" s="108">
        <f t="shared" si="207"/>
        <v>0</v>
      </c>
      <c r="AC1113" s="108">
        <f>IF($A1113="",0,IF(AND($AB1113=1,COUNTIF($A$2:$A1113,$A1113)=1),1,0))</f>
        <v>0</v>
      </c>
      <c r="AD1113" s="108">
        <f t="shared" si="208"/>
        <v>1</v>
      </c>
      <c r="AE1113" s="108" t="str">
        <f t="shared" si="209"/>
        <v/>
      </c>
      <c r="AF1113" s="108">
        <f t="shared" si="210"/>
        <v>0</v>
      </c>
      <c r="AG1113" s="108">
        <f t="shared" si="211"/>
        <v>0</v>
      </c>
      <c r="AH1113" s="110" t="str">
        <f t="shared" si="212"/>
        <v/>
      </c>
      <c r="AI1113" s="108">
        <f t="shared" si="213"/>
        <v>0</v>
      </c>
      <c r="AJ1113" s="108">
        <f t="shared" si="214"/>
        <v>0</v>
      </c>
      <c r="AK1113" s="108">
        <f>IF($A1113="",0,IF(AND($S1113=1,$W1113=1,$X1113=1,$U1113&gt;Config!$C$9),1,0))</f>
        <v>0</v>
      </c>
      <c r="AL1113" s="108">
        <f t="shared" si="215"/>
        <v>0</v>
      </c>
    </row>
    <row r="1114" spans="19:38" x14ac:dyDescent="0.25">
      <c r="S1114" s="108" t="str">
        <f>IF($A1114="","",COUNTIF(BPOworkers!$B$6:$B$105,$A1114))</f>
        <v/>
      </c>
      <c r="T1114" s="109" t="str">
        <f>IF($A1114="","",$K1114*Config!$C$9)</f>
        <v/>
      </c>
      <c r="U1114" s="109" t="str">
        <f>IF($A1114="","",IF(COUNTIF(Config!$C$21:$C$23,$H1114)&gt;0,IFERROR(VALUE(LEFT(TRIM($Q1114),FIND(" ",TRIM($Q1114)&amp;" ")-1)),0),0))</f>
        <v/>
      </c>
      <c r="V1114" s="109" t="str">
        <f t="shared" si="204"/>
        <v/>
      </c>
      <c r="W1114" s="108">
        <f>IF($A1114="",0,IF(AND($C1114&gt;=Config!$C$7,$C1114&lt;=Config!$C$8),1,0))</f>
        <v>0</v>
      </c>
      <c r="X1114" s="108">
        <f>IF($A1114="",0,IF(COUNTIF(Config!$C$21:$C$23,$H1114)&gt;0,1,0))</f>
        <v>0</v>
      </c>
      <c r="Y1114" s="108">
        <f t="shared" si="205"/>
        <v>24</v>
      </c>
      <c r="Z1114" s="108" t="str">
        <f t="shared" si="206"/>
        <v/>
      </c>
      <c r="AB1114" s="108">
        <f t="shared" si="207"/>
        <v>0</v>
      </c>
      <c r="AC1114" s="108">
        <f>IF($A1114="",0,IF(AND($AB1114=1,COUNTIF($A$2:$A1114,$A1114)=1),1,0))</f>
        <v>0</v>
      </c>
      <c r="AD1114" s="108">
        <f t="shared" si="208"/>
        <v>1</v>
      </c>
      <c r="AE1114" s="108" t="str">
        <f t="shared" si="209"/>
        <v/>
      </c>
      <c r="AF1114" s="108">
        <f t="shared" si="210"/>
        <v>0</v>
      </c>
      <c r="AG1114" s="108">
        <f t="shared" si="211"/>
        <v>0</v>
      </c>
      <c r="AH1114" s="110" t="str">
        <f t="shared" si="212"/>
        <v/>
      </c>
      <c r="AI1114" s="108">
        <f t="shared" si="213"/>
        <v>0</v>
      </c>
      <c r="AJ1114" s="108">
        <f t="shared" si="214"/>
        <v>0</v>
      </c>
      <c r="AK1114" s="108">
        <f>IF($A1114="",0,IF(AND($S1114=1,$W1114=1,$X1114=1,$U1114&gt;Config!$C$9),1,0))</f>
        <v>0</v>
      </c>
      <c r="AL1114" s="108">
        <f t="shared" si="215"/>
        <v>0</v>
      </c>
    </row>
    <row r="1115" spans="19:38" x14ac:dyDescent="0.25">
      <c r="S1115" s="108" t="str">
        <f>IF($A1115="","",COUNTIF(BPOworkers!$B$6:$B$105,$A1115))</f>
        <v/>
      </c>
      <c r="T1115" s="109" t="str">
        <f>IF($A1115="","",$K1115*Config!$C$9)</f>
        <v/>
      </c>
      <c r="U1115" s="109" t="str">
        <f>IF($A1115="","",IF(COUNTIF(Config!$C$21:$C$23,$H1115)&gt;0,IFERROR(VALUE(LEFT(TRIM($Q1115),FIND(" ",TRIM($Q1115)&amp;" ")-1)),0),0))</f>
        <v/>
      </c>
      <c r="V1115" s="109" t="str">
        <f t="shared" si="204"/>
        <v/>
      </c>
      <c r="W1115" s="108">
        <f>IF($A1115="",0,IF(AND($C1115&gt;=Config!$C$7,$C1115&lt;=Config!$C$8),1,0))</f>
        <v>0</v>
      </c>
      <c r="X1115" s="108">
        <f>IF($A1115="",0,IF(COUNTIF(Config!$C$21:$C$23,$H1115)&gt;0,1,0))</f>
        <v>0</v>
      </c>
      <c r="Y1115" s="108">
        <f t="shared" si="205"/>
        <v>24</v>
      </c>
      <c r="Z1115" s="108" t="str">
        <f t="shared" si="206"/>
        <v/>
      </c>
      <c r="AB1115" s="108">
        <f t="shared" si="207"/>
        <v>0</v>
      </c>
      <c r="AC1115" s="108">
        <f>IF($A1115="",0,IF(AND($AB1115=1,COUNTIF($A$2:$A1115,$A1115)=1),1,0))</f>
        <v>0</v>
      </c>
      <c r="AD1115" s="108">
        <f t="shared" si="208"/>
        <v>1</v>
      </c>
      <c r="AE1115" s="108" t="str">
        <f t="shared" si="209"/>
        <v/>
      </c>
      <c r="AF1115" s="108">
        <f t="shared" si="210"/>
        <v>0</v>
      </c>
      <c r="AG1115" s="108">
        <f t="shared" si="211"/>
        <v>0</v>
      </c>
      <c r="AH1115" s="110" t="str">
        <f t="shared" si="212"/>
        <v/>
      </c>
      <c r="AI1115" s="108">
        <f t="shared" si="213"/>
        <v>0</v>
      </c>
      <c r="AJ1115" s="108">
        <f t="shared" si="214"/>
        <v>0</v>
      </c>
      <c r="AK1115" s="108">
        <f>IF($A1115="",0,IF(AND($S1115=1,$W1115=1,$X1115=1,$U1115&gt;Config!$C$9),1,0))</f>
        <v>0</v>
      </c>
      <c r="AL1115" s="108">
        <f t="shared" si="215"/>
        <v>0</v>
      </c>
    </row>
    <row r="1116" spans="19:38" x14ac:dyDescent="0.25">
      <c r="S1116" s="108" t="str">
        <f>IF($A1116="","",COUNTIF(BPOworkers!$B$6:$B$105,$A1116))</f>
        <v/>
      </c>
      <c r="T1116" s="109" t="str">
        <f>IF($A1116="","",$K1116*Config!$C$9)</f>
        <v/>
      </c>
      <c r="U1116" s="109" t="str">
        <f>IF($A1116="","",IF(COUNTIF(Config!$C$21:$C$23,$H1116)&gt;0,IFERROR(VALUE(LEFT(TRIM($Q1116),FIND(" ",TRIM($Q1116)&amp;" ")-1)),0),0))</f>
        <v/>
      </c>
      <c r="V1116" s="109" t="str">
        <f t="shared" si="204"/>
        <v/>
      </c>
      <c r="W1116" s="108">
        <f>IF($A1116="",0,IF(AND($C1116&gt;=Config!$C$7,$C1116&lt;=Config!$C$8),1,0))</f>
        <v>0</v>
      </c>
      <c r="X1116" s="108">
        <f>IF($A1116="",0,IF(COUNTIF(Config!$C$21:$C$23,$H1116)&gt;0,1,0))</f>
        <v>0</v>
      </c>
      <c r="Y1116" s="108">
        <f t="shared" si="205"/>
        <v>24</v>
      </c>
      <c r="Z1116" s="108" t="str">
        <f t="shared" si="206"/>
        <v/>
      </c>
      <c r="AB1116" s="108">
        <f t="shared" si="207"/>
        <v>0</v>
      </c>
      <c r="AC1116" s="108">
        <f>IF($A1116="",0,IF(AND($AB1116=1,COUNTIF($A$2:$A1116,$A1116)=1),1,0))</f>
        <v>0</v>
      </c>
      <c r="AD1116" s="108">
        <f t="shared" si="208"/>
        <v>1</v>
      </c>
      <c r="AE1116" s="108" t="str">
        <f t="shared" si="209"/>
        <v/>
      </c>
      <c r="AF1116" s="108">
        <f t="shared" si="210"/>
        <v>0</v>
      </c>
      <c r="AG1116" s="108">
        <f t="shared" si="211"/>
        <v>0</v>
      </c>
      <c r="AH1116" s="110" t="str">
        <f t="shared" si="212"/>
        <v/>
      </c>
      <c r="AI1116" s="108">
        <f t="shared" si="213"/>
        <v>0</v>
      </c>
      <c r="AJ1116" s="108">
        <f t="shared" si="214"/>
        <v>0</v>
      </c>
      <c r="AK1116" s="108">
        <f>IF($A1116="",0,IF(AND($S1116=1,$W1116=1,$X1116=1,$U1116&gt;Config!$C$9),1,0))</f>
        <v>0</v>
      </c>
      <c r="AL1116" s="108">
        <f t="shared" si="215"/>
        <v>0</v>
      </c>
    </row>
    <row r="1117" spans="19:38" x14ac:dyDescent="0.25">
      <c r="S1117" s="108" t="str">
        <f>IF($A1117="","",COUNTIF(BPOworkers!$B$6:$B$105,$A1117))</f>
        <v/>
      </c>
      <c r="T1117" s="109" t="str">
        <f>IF($A1117="","",$K1117*Config!$C$9)</f>
        <v/>
      </c>
      <c r="U1117" s="109" t="str">
        <f>IF($A1117="","",IF(COUNTIF(Config!$C$21:$C$23,$H1117)&gt;0,IFERROR(VALUE(LEFT(TRIM($Q1117),FIND(" ",TRIM($Q1117)&amp;" ")-1)),0),0))</f>
        <v/>
      </c>
      <c r="V1117" s="109" t="str">
        <f t="shared" si="204"/>
        <v/>
      </c>
      <c r="W1117" s="108">
        <f>IF($A1117="",0,IF(AND($C1117&gt;=Config!$C$7,$C1117&lt;=Config!$C$8),1,0))</f>
        <v>0</v>
      </c>
      <c r="X1117" s="108">
        <f>IF($A1117="",0,IF(COUNTIF(Config!$C$21:$C$23,$H1117)&gt;0,1,0))</f>
        <v>0</v>
      </c>
      <c r="Y1117" s="108">
        <f t="shared" si="205"/>
        <v>24</v>
      </c>
      <c r="Z1117" s="108" t="str">
        <f t="shared" si="206"/>
        <v/>
      </c>
      <c r="AB1117" s="108">
        <f t="shared" si="207"/>
        <v>0</v>
      </c>
      <c r="AC1117" s="108">
        <f>IF($A1117="",0,IF(AND($AB1117=1,COUNTIF($A$2:$A1117,$A1117)=1),1,0))</f>
        <v>0</v>
      </c>
      <c r="AD1117" s="108">
        <f t="shared" si="208"/>
        <v>1</v>
      </c>
      <c r="AE1117" s="108" t="str">
        <f t="shared" si="209"/>
        <v/>
      </c>
      <c r="AF1117" s="108">
        <f t="shared" si="210"/>
        <v>0</v>
      </c>
      <c r="AG1117" s="108">
        <f t="shared" si="211"/>
        <v>0</v>
      </c>
      <c r="AH1117" s="110" t="str">
        <f t="shared" si="212"/>
        <v/>
      </c>
      <c r="AI1117" s="108">
        <f t="shared" si="213"/>
        <v>0</v>
      </c>
      <c r="AJ1117" s="108">
        <f t="shared" si="214"/>
        <v>0</v>
      </c>
      <c r="AK1117" s="108">
        <f>IF($A1117="",0,IF(AND($S1117=1,$W1117=1,$X1117=1,$U1117&gt;Config!$C$9),1,0))</f>
        <v>0</v>
      </c>
      <c r="AL1117" s="108">
        <f t="shared" si="215"/>
        <v>0</v>
      </c>
    </row>
    <row r="1118" spans="19:38" x14ac:dyDescent="0.25">
      <c r="S1118" s="108" t="str">
        <f>IF($A1118="","",COUNTIF(BPOworkers!$B$6:$B$105,$A1118))</f>
        <v/>
      </c>
      <c r="T1118" s="109" t="str">
        <f>IF($A1118="","",$K1118*Config!$C$9)</f>
        <v/>
      </c>
      <c r="U1118" s="109" t="str">
        <f>IF($A1118="","",IF(COUNTIF(Config!$C$21:$C$23,$H1118)&gt;0,IFERROR(VALUE(LEFT(TRIM($Q1118),FIND(" ",TRIM($Q1118)&amp;" ")-1)),0),0))</f>
        <v/>
      </c>
      <c r="V1118" s="109" t="str">
        <f t="shared" si="204"/>
        <v/>
      </c>
      <c r="W1118" s="108">
        <f>IF($A1118="",0,IF(AND($C1118&gt;=Config!$C$7,$C1118&lt;=Config!$C$8),1,0))</f>
        <v>0</v>
      </c>
      <c r="X1118" s="108">
        <f>IF($A1118="",0,IF(COUNTIF(Config!$C$21:$C$23,$H1118)&gt;0,1,0))</f>
        <v>0</v>
      </c>
      <c r="Y1118" s="108">
        <f t="shared" si="205"/>
        <v>24</v>
      </c>
      <c r="Z1118" s="108" t="str">
        <f t="shared" si="206"/>
        <v/>
      </c>
      <c r="AB1118" s="108">
        <f t="shared" si="207"/>
        <v>0</v>
      </c>
      <c r="AC1118" s="108">
        <f>IF($A1118="",0,IF(AND($AB1118=1,COUNTIF($A$2:$A1118,$A1118)=1),1,0))</f>
        <v>0</v>
      </c>
      <c r="AD1118" s="108">
        <f t="shared" si="208"/>
        <v>1</v>
      </c>
      <c r="AE1118" s="108" t="str">
        <f t="shared" si="209"/>
        <v/>
      </c>
      <c r="AF1118" s="108">
        <f t="shared" si="210"/>
        <v>0</v>
      </c>
      <c r="AG1118" s="108">
        <f t="shared" si="211"/>
        <v>0</v>
      </c>
      <c r="AH1118" s="110" t="str">
        <f t="shared" si="212"/>
        <v/>
      </c>
      <c r="AI1118" s="108">
        <f t="shared" si="213"/>
        <v>0</v>
      </c>
      <c r="AJ1118" s="108">
        <f t="shared" si="214"/>
        <v>0</v>
      </c>
      <c r="AK1118" s="108">
        <f>IF($A1118="",0,IF(AND($S1118=1,$W1118=1,$X1118=1,$U1118&gt;Config!$C$9),1,0))</f>
        <v>0</v>
      </c>
      <c r="AL1118" s="108">
        <f t="shared" si="215"/>
        <v>0</v>
      </c>
    </row>
    <row r="1119" spans="19:38" x14ac:dyDescent="0.25">
      <c r="S1119" s="108" t="str">
        <f>IF($A1119="","",COUNTIF(BPOworkers!$B$6:$B$105,$A1119))</f>
        <v/>
      </c>
      <c r="T1119" s="109" t="str">
        <f>IF($A1119="","",$K1119*Config!$C$9)</f>
        <v/>
      </c>
      <c r="U1119" s="109" t="str">
        <f>IF($A1119="","",IF(COUNTIF(Config!$C$21:$C$23,$H1119)&gt;0,IFERROR(VALUE(LEFT(TRIM($Q1119),FIND(" ",TRIM($Q1119)&amp;" ")-1)),0),0))</f>
        <v/>
      </c>
      <c r="V1119" s="109" t="str">
        <f t="shared" si="204"/>
        <v/>
      </c>
      <c r="W1119" s="108">
        <f>IF($A1119="",0,IF(AND($C1119&gt;=Config!$C$7,$C1119&lt;=Config!$C$8),1,0))</f>
        <v>0</v>
      </c>
      <c r="X1119" s="108">
        <f>IF($A1119="",0,IF(COUNTIF(Config!$C$21:$C$23,$H1119)&gt;0,1,0))</f>
        <v>0</v>
      </c>
      <c r="Y1119" s="108">
        <f t="shared" si="205"/>
        <v>24</v>
      </c>
      <c r="Z1119" s="108" t="str">
        <f t="shared" si="206"/>
        <v/>
      </c>
      <c r="AB1119" s="108">
        <f t="shared" si="207"/>
        <v>0</v>
      </c>
      <c r="AC1119" s="108">
        <f>IF($A1119="",0,IF(AND($AB1119=1,COUNTIF($A$2:$A1119,$A1119)=1),1,0))</f>
        <v>0</v>
      </c>
      <c r="AD1119" s="108">
        <f t="shared" si="208"/>
        <v>1</v>
      </c>
      <c r="AE1119" s="108" t="str">
        <f t="shared" si="209"/>
        <v/>
      </c>
      <c r="AF1119" s="108">
        <f t="shared" si="210"/>
        <v>0</v>
      </c>
      <c r="AG1119" s="108">
        <f t="shared" si="211"/>
        <v>0</v>
      </c>
      <c r="AH1119" s="110" t="str">
        <f t="shared" si="212"/>
        <v/>
      </c>
      <c r="AI1119" s="108">
        <f t="shared" si="213"/>
        <v>0</v>
      </c>
      <c r="AJ1119" s="108">
        <f t="shared" si="214"/>
        <v>0</v>
      </c>
      <c r="AK1119" s="108">
        <f>IF($A1119="",0,IF(AND($S1119=1,$W1119=1,$X1119=1,$U1119&gt;Config!$C$9),1,0))</f>
        <v>0</v>
      </c>
      <c r="AL1119" s="108">
        <f t="shared" si="215"/>
        <v>0</v>
      </c>
    </row>
    <row r="1120" spans="19:38" x14ac:dyDescent="0.25">
      <c r="S1120" s="108" t="str">
        <f>IF($A1120="","",COUNTIF(BPOworkers!$B$6:$B$105,$A1120))</f>
        <v/>
      </c>
      <c r="T1120" s="109" t="str">
        <f>IF($A1120="","",$K1120*Config!$C$9)</f>
        <v/>
      </c>
      <c r="U1120" s="109" t="str">
        <f>IF($A1120="","",IF(COUNTIF(Config!$C$21:$C$23,$H1120)&gt;0,IFERROR(VALUE(LEFT(TRIM($Q1120),FIND(" ",TRIM($Q1120)&amp;" ")-1)),0),0))</f>
        <v/>
      </c>
      <c r="V1120" s="109" t="str">
        <f t="shared" si="204"/>
        <v/>
      </c>
      <c r="W1120" s="108">
        <f>IF($A1120="",0,IF(AND($C1120&gt;=Config!$C$7,$C1120&lt;=Config!$C$8),1,0))</f>
        <v>0</v>
      </c>
      <c r="X1120" s="108">
        <f>IF($A1120="",0,IF(COUNTIF(Config!$C$21:$C$23,$H1120)&gt;0,1,0))</f>
        <v>0</v>
      </c>
      <c r="Y1120" s="108">
        <f t="shared" si="205"/>
        <v>24</v>
      </c>
      <c r="Z1120" s="108" t="str">
        <f t="shared" si="206"/>
        <v/>
      </c>
      <c r="AB1120" s="108">
        <f t="shared" si="207"/>
        <v>0</v>
      </c>
      <c r="AC1120" s="108">
        <f>IF($A1120="",0,IF(AND($AB1120=1,COUNTIF($A$2:$A1120,$A1120)=1),1,0))</f>
        <v>0</v>
      </c>
      <c r="AD1120" s="108">
        <f t="shared" si="208"/>
        <v>1</v>
      </c>
      <c r="AE1120" s="108" t="str">
        <f t="shared" si="209"/>
        <v/>
      </c>
      <c r="AF1120" s="108">
        <f t="shared" si="210"/>
        <v>0</v>
      </c>
      <c r="AG1120" s="108">
        <f t="shared" si="211"/>
        <v>0</v>
      </c>
      <c r="AH1120" s="110" t="str">
        <f t="shared" si="212"/>
        <v/>
      </c>
      <c r="AI1120" s="108">
        <f t="shared" si="213"/>
        <v>0</v>
      </c>
      <c r="AJ1120" s="108">
        <f t="shared" si="214"/>
        <v>0</v>
      </c>
      <c r="AK1120" s="108">
        <f>IF($A1120="",0,IF(AND($S1120=1,$W1120=1,$X1120=1,$U1120&gt;Config!$C$9),1,0))</f>
        <v>0</v>
      </c>
      <c r="AL1120" s="108">
        <f t="shared" si="215"/>
        <v>0</v>
      </c>
    </row>
    <row r="1121" spans="19:38" x14ac:dyDescent="0.25">
      <c r="S1121" s="108" t="str">
        <f>IF($A1121="","",COUNTIF(BPOworkers!$B$6:$B$105,$A1121))</f>
        <v/>
      </c>
      <c r="T1121" s="109" t="str">
        <f>IF($A1121="","",$K1121*Config!$C$9)</f>
        <v/>
      </c>
      <c r="U1121" s="109" t="str">
        <f>IF($A1121="","",IF(COUNTIF(Config!$C$21:$C$23,$H1121)&gt;0,IFERROR(VALUE(LEFT(TRIM($Q1121),FIND(" ",TRIM($Q1121)&amp;" ")-1)),0),0))</f>
        <v/>
      </c>
      <c r="V1121" s="109" t="str">
        <f t="shared" si="204"/>
        <v/>
      </c>
      <c r="W1121" s="108">
        <f>IF($A1121="",0,IF(AND($C1121&gt;=Config!$C$7,$C1121&lt;=Config!$C$8),1,0))</f>
        <v>0</v>
      </c>
      <c r="X1121" s="108">
        <f>IF($A1121="",0,IF(COUNTIF(Config!$C$21:$C$23,$H1121)&gt;0,1,0))</f>
        <v>0</v>
      </c>
      <c r="Y1121" s="108">
        <f t="shared" si="205"/>
        <v>24</v>
      </c>
      <c r="Z1121" s="108" t="str">
        <f t="shared" si="206"/>
        <v/>
      </c>
      <c r="AB1121" s="108">
        <f t="shared" si="207"/>
        <v>0</v>
      </c>
      <c r="AC1121" s="108">
        <f>IF($A1121="",0,IF(AND($AB1121=1,COUNTIF($A$2:$A1121,$A1121)=1),1,0))</f>
        <v>0</v>
      </c>
      <c r="AD1121" s="108">
        <f t="shared" si="208"/>
        <v>1</v>
      </c>
      <c r="AE1121" s="108" t="str">
        <f t="shared" si="209"/>
        <v/>
      </c>
      <c r="AF1121" s="108">
        <f t="shared" si="210"/>
        <v>0</v>
      </c>
      <c r="AG1121" s="108">
        <f t="shared" si="211"/>
        <v>0</v>
      </c>
      <c r="AH1121" s="110" t="str">
        <f t="shared" si="212"/>
        <v/>
      </c>
      <c r="AI1121" s="108">
        <f t="shared" si="213"/>
        <v>0</v>
      </c>
      <c r="AJ1121" s="108">
        <f t="shared" si="214"/>
        <v>0</v>
      </c>
      <c r="AK1121" s="108">
        <f>IF($A1121="",0,IF(AND($S1121=1,$W1121=1,$X1121=1,$U1121&gt;Config!$C$9),1,0))</f>
        <v>0</v>
      </c>
      <c r="AL1121" s="108">
        <f t="shared" si="215"/>
        <v>0</v>
      </c>
    </row>
    <row r="1122" spans="19:38" x14ac:dyDescent="0.25">
      <c r="S1122" s="108" t="str">
        <f>IF($A1122="","",COUNTIF(BPOworkers!$B$6:$B$105,$A1122))</f>
        <v/>
      </c>
      <c r="T1122" s="109" t="str">
        <f>IF($A1122="","",$K1122*Config!$C$9)</f>
        <v/>
      </c>
      <c r="U1122" s="109" t="str">
        <f>IF($A1122="","",IF(COUNTIF(Config!$C$21:$C$23,$H1122)&gt;0,IFERROR(VALUE(LEFT(TRIM($Q1122),FIND(" ",TRIM($Q1122)&amp;" ")-1)),0),0))</f>
        <v/>
      </c>
      <c r="V1122" s="109" t="str">
        <f t="shared" si="204"/>
        <v/>
      </c>
      <c r="W1122" s="108">
        <f>IF($A1122="",0,IF(AND($C1122&gt;=Config!$C$7,$C1122&lt;=Config!$C$8),1,0))</f>
        <v>0</v>
      </c>
      <c r="X1122" s="108">
        <f>IF($A1122="",0,IF(COUNTIF(Config!$C$21:$C$23,$H1122)&gt;0,1,0))</f>
        <v>0</v>
      </c>
      <c r="Y1122" s="108">
        <f t="shared" si="205"/>
        <v>24</v>
      </c>
      <c r="Z1122" s="108" t="str">
        <f t="shared" si="206"/>
        <v/>
      </c>
      <c r="AB1122" s="108">
        <f t="shared" si="207"/>
        <v>0</v>
      </c>
      <c r="AC1122" s="108">
        <f>IF($A1122="",0,IF(AND($AB1122=1,COUNTIF($A$2:$A1122,$A1122)=1),1,0))</f>
        <v>0</v>
      </c>
      <c r="AD1122" s="108">
        <f t="shared" si="208"/>
        <v>1</v>
      </c>
      <c r="AE1122" s="108" t="str">
        <f t="shared" si="209"/>
        <v/>
      </c>
      <c r="AF1122" s="108">
        <f t="shared" si="210"/>
        <v>0</v>
      </c>
      <c r="AG1122" s="108">
        <f t="shared" si="211"/>
        <v>0</v>
      </c>
      <c r="AH1122" s="110" t="str">
        <f t="shared" si="212"/>
        <v/>
      </c>
      <c r="AI1122" s="108">
        <f t="shared" si="213"/>
        <v>0</v>
      </c>
      <c r="AJ1122" s="108">
        <f t="shared" si="214"/>
        <v>0</v>
      </c>
      <c r="AK1122" s="108">
        <f>IF($A1122="",0,IF(AND($S1122=1,$W1122=1,$X1122=1,$U1122&gt;Config!$C$9),1,0))</f>
        <v>0</v>
      </c>
      <c r="AL1122" s="108">
        <f t="shared" si="215"/>
        <v>0</v>
      </c>
    </row>
    <row r="1123" spans="19:38" x14ac:dyDescent="0.25">
      <c r="S1123" s="108" t="str">
        <f>IF($A1123="","",COUNTIF(BPOworkers!$B$6:$B$105,$A1123))</f>
        <v/>
      </c>
      <c r="T1123" s="109" t="str">
        <f>IF($A1123="","",$K1123*Config!$C$9)</f>
        <v/>
      </c>
      <c r="U1123" s="109" t="str">
        <f>IF($A1123="","",IF(COUNTIF(Config!$C$21:$C$23,$H1123)&gt;0,IFERROR(VALUE(LEFT(TRIM($Q1123),FIND(" ",TRIM($Q1123)&amp;" ")-1)),0),0))</f>
        <v/>
      </c>
      <c r="V1123" s="109" t="str">
        <f t="shared" si="204"/>
        <v/>
      </c>
      <c r="W1123" s="108">
        <f>IF($A1123="",0,IF(AND($C1123&gt;=Config!$C$7,$C1123&lt;=Config!$C$8),1,0))</f>
        <v>0</v>
      </c>
      <c r="X1123" s="108">
        <f>IF($A1123="",0,IF(COUNTIF(Config!$C$21:$C$23,$H1123)&gt;0,1,0))</f>
        <v>0</v>
      </c>
      <c r="Y1123" s="108">
        <f t="shared" si="205"/>
        <v>24</v>
      </c>
      <c r="Z1123" s="108" t="str">
        <f t="shared" si="206"/>
        <v/>
      </c>
      <c r="AB1123" s="108">
        <f t="shared" si="207"/>
        <v>0</v>
      </c>
      <c r="AC1123" s="108">
        <f>IF($A1123="",0,IF(AND($AB1123=1,COUNTIF($A$2:$A1123,$A1123)=1),1,0))</f>
        <v>0</v>
      </c>
      <c r="AD1123" s="108">
        <f t="shared" si="208"/>
        <v>1</v>
      </c>
      <c r="AE1123" s="108" t="str">
        <f t="shared" si="209"/>
        <v/>
      </c>
      <c r="AF1123" s="108">
        <f t="shared" si="210"/>
        <v>0</v>
      </c>
      <c r="AG1123" s="108">
        <f t="shared" si="211"/>
        <v>0</v>
      </c>
      <c r="AH1123" s="110" t="str">
        <f t="shared" si="212"/>
        <v/>
      </c>
      <c r="AI1123" s="108">
        <f t="shared" si="213"/>
        <v>0</v>
      </c>
      <c r="AJ1123" s="108">
        <f t="shared" si="214"/>
        <v>0</v>
      </c>
      <c r="AK1123" s="108">
        <f>IF($A1123="",0,IF(AND($S1123=1,$W1123=1,$X1123=1,$U1123&gt;Config!$C$9),1,0))</f>
        <v>0</v>
      </c>
      <c r="AL1123" s="108">
        <f t="shared" si="215"/>
        <v>0</v>
      </c>
    </row>
    <row r="1124" spans="19:38" x14ac:dyDescent="0.25">
      <c r="S1124" s="108" t="str">
        <f>IF($A1124="","",COUNTIF(BPOworkers!$B$6:$B$105,$A1124))</f>
        <v/>
      </c>
      <c r="T1124" s="109" t="str">
        <f>IF($A1124="","",$K1124*Config!$C$9)</f>
        <v/>
      </c>
      <c r="U1124" s="109" t="str">
        <f>IF($A1124="","",IF(COUNTIF(Config!$C$21:$C$23,$H1124)&gt;0,IFERROR(VALUE(LEFT(TRIM($Q1124),FIND(" ",TRIM($Q1124)&amp;" ")-1)),0),0))</f>
        <v/>
      </c>
      <c r="V1124" s="109" t="str">
        <f t="shared" si="204"/>
        <v/>
      </c>
      <c r="W1124" s="108">
        <f>IF($A1124="",0,IF(AND($C1124&gt;=Config!$C$7,$C1124&lt;=Config!$C$8),1,0))</f>
        <v>0</v>
      </c>
      <c r="X1124" s="108">
        <f>IF($A1124="",0,IF(COUNTIF(Config!$C$21:$C$23,$H1124)&gt;0,1,0))</f>
        <v>0</v>
      </c>
      <c r="Y1124" s="108">
        <f t="shared" si="205"/>
        <v>24</v>
      </c>
      <c r="Z1124" s="108" t="str">
        <f t="shared" si="206"/>
        <v/>
      </c>
      <c r="AB1124" s="108">
        <f t="shared" si="207"/>
        <v>0</v>
      </c>
      <c r="AC1124" s="108">
        <f>IF($A1124="",0,IF(AND($AB1124=1,COUNTIF($A$2:$A1124,$A1124)=1),1,0))</f>
        <v>0</v>
      </c>
      <c r="AD1124" s="108">
        <f t="shared" si="208"/>
        <v>1</v>
      </c>
      <c r="AE1124" s="108" t="str">
        <f t="shared" si="209"/>
        <v/>
      </c>
      <c r="AF1124" s="108">
        <f t="shared" si="210"/>
        <v>0</v>
      </c>
      <c r="AG1124" s="108">
        <f t="shared" si="211"/>
        <v>0</v>
      </c>
      <c r="AH1124" s="110" t="str">
        <f t="shared" si="212"/>
        <v/>
      </c>
      <c r="AI1124" s="108">
        <f t="shared" si="213"/>
        <v>0</v>
      </c>
      <c r="AJ1124" s="108">
        <f t="shared" si="214"/>
        <v>0</v>
      </c>
      <c r="AK1124" s="108">
        <f>IF($A1124="",0,IF(AND($S1124=1,$W1124=1,$X1124=1,$U1124&gt;Config!$C$9),1,0))</f>
        <v>0</v>
      </c>
      <c r="AL1124" s="108">
        <f t="shared" si="215"/>
        <v>0</v>
      </c>
    </row>
    <row r="1125" spans="19:38" x14ac:dyDescent="0.25">
      <c r="S1125" s="108" t="str">
        <f>IF($A1125="","",COUNTIF(BPOworkers!$B$6:$B$105,$A1125))</f>
        <v/>
      </c>
      <c r="T1125" s="109" t="str">
        <f>IF($A1125="","",$K1125*Config!$C$9)</f>
        <v/>
      </c>
      <c r="U1125" s="109" t="str">
        <f>IF($A1125="","",IF(COUNTIF(Config!$C$21:$C$23,$H1125)&gt;0,IFERROR(VALUE(LEFT(TRIM($Q1125),FIND(" ",TRIM($Q1125)&amp;" ")-1)),0),0))</f>
        <v/>
      </c>
      <c r="V1125" s="109" t="str">
        <f t="shared" si="204"/>
        <v/>
      </c>
      <c r="W1125" s="108">
        <f>IF($A1125="",0,IF(AND($C1125&gt;=Config!$C$7,$C1125&lt;=Config!$C$8),1,0))</f>
        <v>0</v>
      </c>
      <c r="X1125" s="108">
        <f>IF($A1125="",0,IF(COUNTIF(Config!$C$21:$C$23,$H1125)&gt;0,1,0))</f>
        <v>0</v>
      </c>
      <c r="Y1125" s="108">
        <f t="shared" si="205"/>
        <v>24</v>
      </c>
      <c r="Z1125" s="108" t="str">
        <f t="shared" si="206"/>
        <v/>
      </c>
      <c r="AB1125" s="108">
        <f t="shared" si="207"/>
        <v>0</v>
      </c>
      <c r="AC1125" s="108">
        <f>IF($A1125="",0,IF(AND($AB1125=1,COUNTIF($A$2:$A1125,$A1125)=1),1,0))</f>
        <v>0</v>
      </c>
      <c r="AD1125" s="108">
        <f t="shared" si="208"/>
        <v>1</v>
      </c>
      <c r="AE1125" s="108" t="str">
        <f t="shared" si="209"/>
        <v/>
      </c>
      <c r="AF1125" s="108">
        <f t="shared" si="210"/>
        <v>0</v>
      </c>
      <c r="AG1125" s="108">
        <f t="shared" si="211"/>
        <v>0</v>
      </c>
      <c r="AH1125" s="110" t="str">
        <f t="shared" si="212"/>
        <v/>
      </c>
      <c r="AI1125" s="108">
        <f t="shared" si="213"/>
        <v>0</v>
      </c>
      <c r="AJ1125" s="108">
        <f t="shared" si="214"/>
        <v>0</v>
      </c>
      <c r="AK1125" s="108">
        <f>IF($A1125="",0,IF(AND($S1125=1,$W1125=1,$X1125=1,$U1125&gt;Config!$C$9),1,0))</f>
        <v>0</v>
      </c>
      <c r="AL1125" s="108">
        <f t="shared" si="215"/>
        <v>0</v>
      </c>
    </row>
    <row r="1126" spans="19:38" x14ac:dyDescent="0.25">
      <c r="S1126" s="108" t="str">
        <f>IF($A1126="","",COUNTIF(BPOworkers!$B$6:$B$105,$A1126))</f>
        <v/>
      </c>
      <c r="T1126" s="109" t="str">
        <f>IF($A1126="","",$K1126*Config!$C$9)</f>
        <v/>
      </c>
      <c r="U1126" s="109" t="str">
        <f>IF($A1126="","",IF(COUNTIF(Config!$C$21:$C$23,$H1126)&gt;0,IFERROR(VALUE(LEFT(TRIM($Q1126),FIND(" ",TRIM($Q1126)&amp;" ")-1)),0),0))</f>
        <v/>
      </c>
      <c r="V1126" s="109" t="str">
        <f t="shared" si="204"/>
        <v/>
      </c>
      <c r="W1126" s="108">
        <f>IF($A1126="",0,IF(AND($C1126&gt;=Config!$C$7,$C1126&lt;=Config!$C$8),1,0))</f>
        <v>0</v>
      </c>
      <c r="X1126" s="108">
        <f>IF($A1126="",0,IF(COUNTIF(Config!$C$21:$C$23,$H1126)&gt;0,1,0))</f>
        <v>0</v>
      </c>
      <c r="Y1126" s="108">
        <f t="shared" si="205"/>
        <v>24</v>
      </c>
      <c r="Z1126" s="108" t="str">
        <f t="shared" si="206"/>
        <v/>
      </c>
      <c r="AB1126" s="108">
        <f t="shared" si="207"/>
        <v>0</v>
      </c>
      <c r="AC1126" s="108">
        <f>IF($A1126="",0,IF(AND($AB1126=1,COUNTIF($A$2:$A1126,$A1126)=1),1,0))</f>
        <v>0</v>
      </c>
      <c r="AD1126" s="108">
        <f t="shared" si="208"/>
        <v>1</v>
      </c>
      <c r="AE1126" s="108" t="str">
        <f t="shared" si="209"/>
        <v/>
      </c>
      <c r="AF1126" s="108">
        <f t="shared" si="210"/>
        <v>0</v>
      </c>
      <c r="AG1126" s="108">
        <f t="shared" si="211"/>
        <v>0</v>
      </c>
      <c r="AH1126" s="110" t="str">
        <f t="shared" si="212"/>
        <v/>
      </c>
      <c r="AI1126" s="108">
        <f t="shared" si="213"/>
        <v>0</v>
      </c>
      <c r="AJ1126" s="108">
        <f t="shared" si="214"/>
        <v>0</v>
      </c>
      <c r="AK1126" s="108">
        <f>IF($A1126="",0,IF(AND($S1126=1,$W1126=1,$X1126=1,$U1126&gt;Config!$C$9),1,0))</f>
        <v>0</v>
      </c>
      <c r="AL1126" s="108">
        <f t="shared" si="215"/>
        <v>0</v>
      </c>
    </row>
    <row r="1127" spans="19:38" x14ac:dyDescent="0.25">
      <c r="S1127" s="108" t="str">
        <f>IF($A1127="","",COUNTIF(BPOworkers!$B$6:$B$105,$A1127))</f>
        <v/>
      </c>
      <c r="T1127" s="109" t="str">
        <f>IF($A1127="","",$K1127*Config!$C$9)</f>
        <v/>
      </c>
      <c r="U1127" s="109" t="str">
        <f>IF($A1127="","",IF(COUNTIF(Config!$C$21:$C$23,$H1127)&gt;0,IFERROR(VALUE(LEFT(TRIM($Q1127),FIND(" ",TRIM($Q1127)&amp;" ")-1)),0),0))</f>
        <v/>
      </c>
      <c r="V1127" s="109" t="str">
        <f t="shared" si="204"/>
        <v/>
      </c>
      <c r="W1127" s="108">
        <f>IF($A1127="",0,IF(AND($C1127&gt;=Config!$C$7,$C1127&lt;=Config!$C$8),1,0))</f>
        <v>0</v>
      </c>
      <c r="X1127" s="108">
        <f>IF($A1127="",0,IF(COUNTIF(Config!$C$21:$C$23,$H1127)&gt;0,1,0))</f>
        <v>0</v>
      </c>
      <c r="Y1127" s="108">
        <f t="shared" si="205"/>
        <v>24</v>
      </c>
      <c r="Z1127" s="108" t="str">
        <f t="shared" si="206"/>
        <v/>
      </c>
      <c r="AB1127" s="108">
        <f t="shared" si="207"/>
        <v>0</v>
      </c>
      <c r="AC1127" s="108">
        <f>IF($A1127="",0,IF(AND($AB1127=1,COUNTIF($A$2:$A1127,$A1127)=1),1,0))</f>
        <v>0</v>
      </c>
      <c r="AD1127" s="108">
        <f t="shared" si="208"/>
        <v>1</v>
      </c>
      <c r="AE1127" s="108" t="str">
        <f t="shared" si="209"/>
        <v/>
      </c>
      <c r="AF1127" s="108">
        <f t="shared" si="210"/>
        <v>0</v>
      </c>
      <c r="AG1127" s="108">
        <f t="shared" si="211"/>
        <v>0</v>
      </c>
      <c r="AH1127" s="110" t="str">
        <f t="shared" si="212"/>
        <v/>
      </c>
      <c r="AI1127" s="108">
        <f t="shared" si="213"/>
        <v>0</v>
      </c>
      <c r="AJ1127" s="108">
        <f t="shared" si="214"/>
        <v>0</v>
      </c>
      <c r="AK1127" s="108">
        <f>IF($A1127="",0,IF(AND($S1127=1,$W1127=1,$X1127=1,$U1127&gt;Config!$C$9),1,0))</f>
        <v>0</v>
      </c>
      <c r="AL1127" s="108">
        <f t="shared" si="215"/>
        <v>0</v>
      </c>
    </row>
    <row r="1128" spans="19:38" x14ac:dyDescent="0.25">
      <c r="S1128" s="108" t="str">
        <f>IF($A1128="","",COUNTIF(BPOworkers!$B$6:$B$105,$A1128))</f>
        <v/>
      </c>
      <c r="T1128" s="109" t="str">
        <f>IF($A1128="","",$K1128*Config!$C$9)</f>
        <v/>
      </c>
      <c r="U1128" s="109" t="str">
        <f>IF($A1128="","",IF(COUNTIF(Config!$C$21:$C$23,$H1128)&gt;0,IFERROR(VALUE(LEFT(TRIM($Q1128),FIND(" ",TRIM($Q1128)&amp;" ")-1)),0),0))</f>
        <v/>
      </c>
      <c r="V1128" s="109" t="str">
        <f t="shared" si="204"/>
        <v/>
      </c>
      <c r="W1128" s="108">
        <f>IF($A1128="",0,IF(AND($C1128&gt;=Config!$C$7,$C1128&lt;=Config!$C$8),1,0))</f>
        <v>0</v>
      </c>
      <c r="X1128" s="108">
        <f>IF($A1128="",0,IF(COUNTIF(Config!$C$21:$C$23,$H1128)&gt;0,1,0))</f>
        <v>0</v>
      </c>
      <c r="Y1128" s="108">
        <f t="shared" si="205"/>
        <v>24</v>
      </c>
      <c r="Z1128" s="108" t="str">
        <f t="shared" si="206"/>
        <v/>
      </c>
      <c r="AB1128" s="108">
        <f t="shared" si="207"/>
        <v>0</v>
      </c>
      <c r="AC1128" s="108">
        <f>IF($A1128="",0,IF(AND($AB1128=1,COUNTIF($A$2:$A1128,$A1128)=1),1,0))</f>
        <v>0</v>
      </c>
      <c r="AD1128" s="108">
        <f t="shared" si="208"/>
        <v>1</v>
      </c>
      <c r="AE1128" s="108" t="str">
        <f t="shared" si="209"/>
        <v/>
      </c>
      <c r="AF1128" s="108">
        <f t="shared" si="210"/>
        <v>0</v>
      </c>
      <c r="AG1128" s="108">
        <f t="shared" si="211"/>
        <v>0</v>
      </c>
      <c r="AH1128" s="110" t="str">
        <f t="shared" si="212"/>
        <v/>
      </c>
      <c r="AI1128" s="108">
        <f t="shared" si="213"/>
        <v>0</v>
      </c>
      <c r="AJ1128" s="108">
        <f t="shared" si="214"/>
        <v>0</v>
      </c>
      <c r="AK1128" s="108">
        <f>IF($A1128="",0,IF(AND($S1128=1,$W1128=1,$X1128=1,$U1128&gt;Config!$C$9),1,0))</f>
        <v>0</v>
      </c>
      <c r="AL1128" s="108">
        <f t="shared" si="215"/>
        <v>0</v>
      </c>
    </row>
    <row r="1129" spans="19:38" x14ac:dyDescent="0.25">
      <c r="S1129" s="108" t="str">
        <f>IF($A1129="","",COUNTIF(BPOworkers!$B$6:$B$105,$A1129))</f>
        <v/>
      </c>
      <c r="T1129" s="109" t="str">
        <f>IF($A1129="","",$K1129*Config!$C$9)</f>
        <v/>
      </c>
      <c r="U1129" s="109" t="str">
        <f>IF($A1129="","",IF(COUNTIF(Config!$C$21:$C$23,$H1129)&gt;0,IFERROR(VALUE(LEFT(TRIM($Q1129),FIND(" ",TRIM($Q1129)&amp;" ")-1)),0),0))</f>
        <v/>
      </c>
      <c r="V1129" s="109" t="str">
        <f t="shared" si="204"/>
        <v/>
      </c>
      <c r="W1129" s="108">
        <f>IF($A1129="",0,IF(AND($C1129&gt;=Config!$C$7,$C1129&lt;=Config!$C$8),1,0))</f>
        <v>0</v>
      </c>
      <c r="X1129" s="108">
        <f>IF($A1129="",0,IF(COUNTIF(Config!$C$21:$C$23,$H1129)&gt;0,1,0))</f>
        <v>0</v>
      </c>
      <c r="Y1129" s="108">
        <f t="shared" si="205"/>
        <v>24</v>
      </c>
      <c r="Z1129" s="108" t="str">
        <f t="shared" si="206"/>
        <v/>
      </c>
      <c r="AB1129" s="108">
        <f t="shared" si="207"/>
        <v>0</v>
      </c>
      <c r="AC1129" s="108">
        <f>IF($A1129="",0,IF(AND($AB1129=1,COUNTIF($A$2:$A1129,$A1129)=1),1,0))</f>
        <v>0</v>
      </c>
      <c r="AD1129" s="108">
        <f t="shared" si="208"/>
        <v>1</v>
      </c>
      <c r="AE1129" s="108" t="str">
        <f t="shared" si="209"/>
        <v/>
      </c>
      <c r="AF1129" s="108">
        <f t="shared" si="210"/>
        <v>0</v>
      </c>
      <c r="AG1129" s="108">
        <f t="shared" si="211"/>
        <v>0</v>
      </c>
      <c r="AH1129" s="110" t="str">
        <f t="shared" si="212"/>
        <v/>
      </c>
      <c r="AI1129" s="108">
        <f t="shared" si="213"/>
        <v>0</v>
      </c>
      <c r="AJ1129" s="108">
        <f t="shared" si="214"/>
        <v>0</v>
      </c>
      <c r="AK1129" s="108">
        <f>IF($A1129="",0,IF(AND($S1129=1,$W1129=1,$X1129=1,$U1129&gt;Config!$C$9),1,0))</f>
        <v>0</v>
      </c>
      <c r="AL1129" s="108">
        <f t="shared" si="215"/>
        <v>0</v>
      </c>
    </row>
    <row r="1130" spans="19:38" x14ac:dyDescent="0.25">
      <c r="S1130" s="108" t="str">
        <f>IF($A1130="","",COUNTIF(BPOworkers!$B$6:$B$105,$A1130))</f>
        <v/>
      </c>
      <c r="T1130" s="109" t="str">
        <f>IF($A1130="","",$K1130*Config!$C$9)</f>
        <v/>
      </c>
      <c r="U1130" s="109" t="str">
        <f>IF($A1130="","",IF(COUNTIF(Config!$C$21:$C$23,$H1130)&gt;0,IFERROR(VALUE(LEFT(TRIM($Q1130),FIND(" ",TRIM($Q1130)&amp;" ")-1)),0),0))</f>
        <v/>
      </c>
      <c r="V1130" s="109" t="str">
        <f t="shared" si="204"/>
        <v/>
      </c>
      <c r="W1130" s="108">
        <f>IF($A1130="",0,IF(AND($C1130&gt;=Config!$C$7,$C1130&lt;=Config!$C$8),1,0))</f>
        <v>0</v>
      </c>
      <c r="X1130" s="108">
        <f>IF($A1130="",0,IF(COUNTIF(Config!$C$21:$C$23,$H1130)&gt;0,1,0))</f>
        <v>0</v>
      </c>
      <c r="Y1130" s="108">
        <f t="shared" si="205"/>
        <v>24</v>
      </c>
      <c r="Z1130" s="108" t="str">
        <f t="shared" si="206"/>
        <v/>
      </c>
      <c r="AB1130" s="108">
        <f t="shared" si="207"/>
        <v>0</v>
      </c>
      <c r="AC1130" s="108">
        <f>IF($A1130="",0,IF(AND($AB1130=1,COUNTIF($A$2:$A1130,$A1130)=1),1,0))</f>
        <v>0</v>
      </c>
      <c r="AD1130" s="108">
        <f t="shared" si="208"/>
        <v>1</v>
      </c>
      <c r="AE1130" s="108" t="str">
        <f t="shared" si="209"/>
        <v/>
      </c>
      <c r="AF1130" s="108">
        <f t="shared" si="210"/>
        <v>0</v>
      </c>
      <c r="AG1130" s="108">
        <f t="shared" si="211"/>
        <v>0</v>
      </c>
      <c r="AH1130" s="110" t="str">
        <f t="shared" si="212"/>
        <v/>
      </c>
      <c r="AI1130" s="108">
        <f t="shared" si="213"/>
        <v>0</v>
      </c>
      <c r="AJ1130" s="108">
        <f t="shared" si="214"/>
        <v>0</v>
      </c>
      <c r="AK1130" s="108">
        <f>IF($A1130="",0,IF(AND($S1130=1,$W1130=1,$X1130=1,$U1130&gt;Config!$C$9),1,0))</f>
        <v>0</v>
      </c>
      <c r="AL1130" s="108">
        <f t="shared" si="215"/>
        <v>0</v>
      </c>
    </row>
    <row r="1131" spans="19:38" x14ac:dyDescent="0.25">
      <c r="S1131" s="108" t="str">
        <f>IF($A1131="","",COUNTIF(BPOworkers!$B$6:$B$105,$A1131))</f>
        <v/>
      </c>
      <c r="T1131" s="109" t="str">
        <f>IF($A1131="","",$K1131*Config!$C$9)</f>
        <v/>
      </c>
      <c r="U1131" s="109" t="str">
        <f>IF($A1131="","",IF(COUNTIF(Config!$C$21:$C$23,$H1131)&gt;0,IFERROR(VALUE(LEFT(TRIM($Q1131),FIND(" ",TRIM($Q1131)&amp;" ")-1)),0),0))</f>
        <v/>
      </c>
      <c r="V1131" s="109" t="str">
        <f t="shared" si="204"/>
        <v/>
      </c>
      <c r="W1131" s="108">
        <f>IF($A1131="",0,IF(AND($C1131&gt;=Config!$C$7,$C1131&lt;=Config!$C$8),1,0))</f>
        <v>0</v>
      </c>
      <c r="X1131" s="108">
        <f>IF($A1131="",0,IF(COUNTIF(Config!$C$21:$C$23,$H1131)&gt;0,1,0))</f>
        <v>0</v>
      </c>
      <c r="Y1131" s="108">
        <f t="shared" si="205"/>
        <v>24</v>
      </c>
      <c r="Z1131" s="108" t="str">
        <f t="shared" si="206"/>
        <v/>
      </c>
      <c r="AB1131" s="108">
        <f t="shared" si="207"/>
        <v>0</v>
      </c>
      <c r="AC1131" s="108">
        <f>IF($A1131="",0,IF(AND($AB1131=1,COUNTIF($A$2:$A1131,$A1131)=1),1,0))</f>
        <v>0</v>
      </c>
      <c r="AD1131" s="108">
        <f t="shared" si="208"/>
        <v>1</v>
      </c>
      <c r="AE1131" s="108" t="str">
        <f t="shared" si="209"/>
        <v/>
      </c>
      <c r="AF1131" s="108">
        <f t="shared" si="210"/>
        <v>0</v>
      </c>
      <c r="AG1131" s="108">
        <f t="shared" si="211"/>
        <v>0</v>
      </c>
      <c r="AH1131" s="110" t="str">
        <f t="shared" si="212"/>
        <v/>
      </c>
      <c r="AI1131" s="108">
        <f t="shared" si="213"/>
        <v>0</v>
      </c>
      <c r="AJ1131" s="108">
        <f t="shared" si="214"/>
        <v>0</v>
      </c>
      <c r="AK1131" s="108">
        <f>IF($A1131="",0,IF(AND($S1131=1,$W1131=1,$X1131=1,$U1131&gt;Config!$C$9),1,0))</f>
        <v>0</v>
      </c>
      <c r="AL1131" s="108">
        <f t="shared" si="215"/>
        <v>0</v>
      </c>
    </row>
    <row r="1132" spans="19:38" x14ac:dyDescent="0.25">
      <c r="S1132" s="108" t="str">
        <f>IF($A1132="","",COUNTIF(BPOworkers!$B$6:$B$105,$A1132))</f>
        <v/>
      </c>
      <c r="T1132" s="109" t="str">
        <f>IF($A1132="","",$K1132*Config!$C$9)</f>
        <v/>
      </c>
      <c r="U1132" s="109" t="str">
        <f>IF($A1132="","",IF(COUNTIF(Config!$C$21:$C$23,$H1132)&gt;0,IFERROR(VALUE(LEFT(TRIM($Q1132),FIND(" ",TRIM($Q1132)&amp;" ")-1)),0),0))</f>
        <v/>
      </c>
      <c r="V1132" s="109" t="str">
        <f t="shared" si="204"/>
        <v/>
      </c>
      <c r="W1132" s="108">
        <f>IF($A1132="",0,IF(AND($C1132&gt;=Config!$C$7,$C1132&lt;=Config!$C$8),1,0))</f>
        <v>0</v>
      </c>
      <c r="X1132" s="108">
        <f>IF($A1132="",0,IF(COUNTIF(Config!$C$21:$C$23,$H1132)&gt;0,1,0))</f>
        <v>0</v>
      </c>
      <c r="Y1132" s="108">
        <f t="shared" si="205"/>
        <v>24</v>
      </c>
      <c r="Z1132" s="108" t="str">
        <f t="shared" si="206"/>
        <v/>
      </c>
      <c r="AB1132" s="108">
        <f t="shared" si="207"/>
        <v>0</v>
      </c>
      <c r="AC1132" s="108">
        <f>IF($A1132="",0,IF(AND($AB1132=1,COUNTIF($A$2:$A1132,$A1132)=1),1,0))</f>
        <v>0</v>
      </c>
      <c r="AD1132" s="108">
        <f t="shared" si="208"/>
        <v>1</v>
      </c>
      <c r="AE1132" s="108" t="str">
        <f t="shared" si="209"/>
        <v/>
      </c>
      <c r="AF1132" s="108">
        <f t="shared" si="210"/>
        <v>0</v>
      </c>
      <c r="AG1132" s="108">
        <f t="shared" si="211"/>
        <v>0</v>
      </c>
      <c r="AH1132" s="110" t="str">
        <f t="shared" si="212"/>
        <v/>
      </c>
      <c r="AI1132" s="108">
        <f t="shared" si="213"/>
        <v>0</v>
      </c>
      <c r="AJ1132" s="108">
        <f t="shared" si="214"/>
        <v>0</v>
      </c>
      <c r="AK1132" s="108">
        <f>IF($A1132="",0,IF(AND($S1132=1,$W1132=1,$X1132=1,$U1132&gt;Config!$C$9),1,0))</f>
        <v>0</v>
      </c>
      <c r="AL1132" s="108">
        <f t="shared" si="215"/>
        <v>0</v>
      </c>
    </row>
    <row r="1133" spans="19:38" x14ac:dyDescent="0.25">
      <c r="S1133" s="108" t="str">
        <f>IF($A1133="","",COUNTIF(BPOworkers!$B$6:$B$105,$A1133))</f>
        <v/>
      </c>
      <c r="T1133" s="109" t="str">
        <f>IF($A1133="","",$K1133*Config!$C$9)</f>
        <v/>
      </c>
      <c r="U1133" s="109" t="str">
        <f>IF($A1133="","",IF(COUNTIF(Config!$C$21:$C$23,$H1133)&gt;0,IFERROR(VALUE(LEFT(TRIM($Q1133),FIND(" ",TRIM($Q1133)&amp;" ")-1)),0),0))</f>
        <v/>
      </c>
      <c r="V1133" s="109" t="str">
        <f t="shared" si="204"/>
        <v/>
      </c>
      <c r="W1133" s="108">
        <f>IF($A1133="",0,IF(AND($C1133&gt;=Config!$C$7,$C1133&lt;=Config!$C$8),1,0))</f>
        <v>0</v>
      </c>
      <c r="X1133" s="108">
        <f>IF($A1133="",0,IF(COUNTIF(Config!$C$21:$C$23,$H1133)&gt;0,1,0))</f>
        <v>0</v>
      </c>
      <c r="Y1133" s="108">
        <f t="shared" si="205"/>
        <v>24</v>
      </c>
      <c r="Z1133" s="108" t="str">
        <f t="shared" si="206"/>
        <v/>
      </c>
      <c r="AB1133" s="108">
        <f t="shared" si="207"/>
        <v>0</v>
      </c>
      <c r="AC1133" s="108">
        <f>IF($A1133="",0,IF(AND($AB1133=1,COUNTIF($A$2:$A1133,$A1133)=1),1,0))</f>
        <v>0</v>
      </c>
      <c r="AD1133" s="108">
        <f t="shared" si="208"/>
        <v>1</v>
      </c>
      <c r="AE1133" s="108" t="str">
        <f t="shared" si="209"/>
        <v/>
      </c>
      <c r="AF1133" s="108">
        <f t="shared" si="210"/>
        <v>0</v>
      </c>
      <c r="AG1133" s="108">
        <f t="shared" si="211"/>
        <v>0</v>
      </c>
      <c r="AH1133" s="110" t="str">
        <f t="shared" si="212"/>
        <v/>
      </c>
      <c r="AI1133" s="108">
        <f t="shared" si="213"/>
        <v>0</v>
      </c>
      <c r="AJ1133" s="108">
        <f t="shared" si="214"/>
        <v>0</v>
      </c>
      <c r="AK1133" s="108">
        <f>IF($A1133="",0,IF(AND($S1133=1,$W1133=1,$X1133=1,$U1133&gt;Config!$C$9),1,0))</f>
        <v>0</v>
      </c>
      <c r="AL1133" s="108">
        <f t="shared" si="215"/>
        <v>0</v>
      </c>
    </row>
    <row r="1134" spans="19:38" x14ac:dyDescent="0.25">
      <c r="S1134" s="108" t="str">
        <f>IF($A1134="","",COUNTIF(BPOworkers!$B$6:$B$105,$A1134))</f>
        <v/>
      </c>
      <c r="T1134" s="109" t="str">
        <f>IF($A1134="","",$K1134*Config!$C$9)</f>
        <v/>
      </c>
      <c r="U1134" s="109" t="str">
        <f>IF($A1134="","",IF(COUNTIF(Config!$C$21:$C$23,$H1134)&gt;0,IFERROR(VALUE(LEFT(TRIM($Q1134),FIND(" ",TRIM($Q1134)&amp;" ")-1)),0),0))</f>
        <v/>
      </c>
      <c r="V1134" s="109" t="str">
        <f t="shared" si="204"/>
        <v/>
      </c>
      <c r="W1134" s="108">
        <f>IF($A1134="",0,IF(AND($C1134&gt;=Config!$C$7,$C1134&lt;=Config!$C$8),1,0))</f>
        <v>0</v>
      </c>
      <c r="X1134" s="108">
        <f>IF($A1134="",0,IF(COUNTIF(Config!$C$21:$C$23,$H1134)&gt;0,1,0))</f>
        <v>0</v>
      </c>
      <c r="Y1134" s="108">
        <f t="shared" si="205"/>
        <v>24</v>
      </c>
      <c r="Z1134" s="108" t="str">
        <f t="shared" si="206"/>
        <v/>
      </c>
      <c r="AB1134" s="108">
        <f t="shared" si="207"/>
        <v>0</v>
      </c>
      <c r="AC1134" s="108">
        <f>IF($A1134="",0,IF(AND($AB1134=1,COUNTIF($A$2:$A1134,$A1134)=1),1,0))</f>
        <v>0</v>
      </c>
      <c r="AD1134" s="108">
        <f t="shared" si="208"/>
        <v>1</v>
      </c>
      <c r="AE1134" s="108" t="str">
        <f t="shared" si="209"/>
        <v/>
      </c>
      <c r="AF1134" s="108">
        <f t="shared" si="210"/>
        <v>0</v>
      </c>
      <c r="AG1134" s="108">
        <f t="shared" si="211"/>
        <v>0</v>
      </c>
      <c r="AH1134" s="110" t="str">
        <f t="shared" si="212"/>
        <v/>
      </c>
      <c r="AI1134" s="108">
        <f t="shared" si="213"/>
        <v>0</v>
      </c>
      <c r="AJ1134" s="108">
        <f t="shared" si="214"/>
        <v>0</v>
      </c>
      <c r="AK1134" s="108">
        <f>IF($A1134="",0,IF(AND($S1134=1,$W1134=1,$X1134=1,$U1134&gt;Config!$C$9),1,0))</f>
        <v>0</v>
      </c>
      <c r="AL1134" s="108">
        <f t="shared" si="215"/>
        <v>0</v>
      </c>
    </row>
    <row r="1135" spans="19:38" x14ac:dyDescent="0.25">
      <c r="S1135" s="108" t="str">
        <f>IF($A1135="","",COUNTIF(BPOworkers!$B$6:$B$105,$A1135))</f>
        <v/>
      </c>
      <c r="T1135" s="109" t="str">
        <f>IF($A1135="","",$K1135*Config!$C$9)</f>
        <v/>
      </c>
      <c r="U1135" s="109" t="str">
        <f>IF($A1135="","",IF(COUNTIF(Config!$C$21:$C$23,$H1135)&gt;0,IFERROR(VALUE(LEFT(TRIM($Q1135),FIND(" ",TRIM($Q1135)&amp;" ")-1)),0),0))</f>
        <v/>
      </c>
      <c r="V1135" s="109" t="str">
        <f t="shared" si="204"/>
        <v/>
      </c>
      <c r="W1135" s="108">
        <f>IF($A1135="",0,IF(AND($C1135&gt;=Config!$C$7,$C1135&lt;=Config!$C$8),1,0))</f>
        <v>0</v>
      </c>
      <c r="X1135" s="108">
        <f>IF($A1135="",0,IF(COUNTIF(Config!$C$21:$C$23,$H1135)&gt;0,1,0))</f>
        <v>0</v>
      </c>
      <c r="Y1135" s="108">
        <f t="shared" si="205"/>
        <v>24</v>
      </c>
      <c r="Z1135" s="108" t="str">
        <f t="shared" si="206"/>
        <v/>
      </c>
      <c r="AB1135" s="108">
        <f t="shared" si="207"/>
        <v>0</v>
      </c>
      <c r="AC1135" s="108">
        <f>IF($A1135="",0,IF(AND($AB1135=1,COUNTIF($A$2:$A1135,$A1135)=1),1,0))</f>
        <v>0</v>
      </c>
      <c r="AD1135" s="108">
        <f t="shared" si="208"/>
        <v>1</v>
      </c>
      <c r="AE1135" s="108" t="str">
        <f t="shared" si="209"/>
        <v/>
      </c>
      <c r="AF1135" s="108">
        <f t="shared" si="210"/>
        <v>0</v>
      </c>
      <c r="AG1135" s="108">
        <f t="shared" si="211"/>
        <v>0</v>
      </c>
      <c r="AH1135" s="110" t="str">
        <f t="shared" si="212"/>
        <v/>
      </c>
      <c r="AI1135" s="108">
        <f t="shared" si="213"/>
        <v>0</v>
      </c>
      <c r="AJ1135" s="108">
        <f t="shared" si="214"/>
        <v>0</v>
      </c>
      <c r="AK1135" s="108">
        <f>IF($A1135="",0,IF(AND($S1135=1,$W1135=1,$X1135=1,$U1135&gt;Config!$C$9),1,0))</f>
        <v>0</v>
      </c>
      <c r="AL1135" s="108">
        <f t="shared" si="215"/>
        <v>0</v>
      </c>
    </row>
    <row r="1136" spans="19:38" x14ac:dyDescent="0.25">
      <c r="S1136" s="108" t="str">
        <f>IF($A1136="","",COUNTIF(BPOworkers!$B$6:$B$105,$A1136))</f>
        <v/>
      </c>
      <c r="T1136" s="109" t="str">
        <f>IF($A1136="","",$K1136*Config!$C$9)</f>
        <v/>
      </c>
      <c r="U1136" s="109" t="str">
        <f>IF($A1136="","",IF(COUNTIF(Config!$C$21:$C$23,$H1136)&gt;0,IFERROR(VALUE(LEFT(TRIM($Q1136),FIND(" ",TRIM($Q1136)&amp;" ")-1)),0),0))</f>
        <v/>
      </c>
      <c r="V1136" s="109" t="str">
        <f t="shared" si="204"/>
        <v/>
      </c>
      <c r="W1136" s="108">
        <f>IF($A1136="",0,IF(AND($C1136&gt;=Config!$C$7,$C1136&lt;=Config!$C$8),1,0))</f>
        <v>0</v>
      </c>
      <c r="X1136" s="108">
        <f>IF($A1136="",0,IF(COUNTIF(Config!$C$21:$C$23,$H1136)&gt;0,1,0))</f>
        <v>0</v>
      </c>
      <c r="Y1136" s="108">
        <f t="shared" si="205"/>
        <v>24</v>
      </c>
      <c r="Z1136" s="108" t="str">
        <f t="shared" si="206"/>
        <v/>
      </c>
      <c r="AB1136" s="108">
        <f t="shared" si="207"/>
        <v>0</v>
      </c>
      <c r="AC1136" s="108">
        <f>IF($A1136="",0,IF(AND($AB1136=1,COUNTIF($A$2:$A1136,$A1136)=1),1,0))</f>
        <v>0</v>
      </c>
      <c r="AD1136" s="108">
        <f t="shared" si="208"/>
        <v>1</v>
      </c>
      <c r="AE1136" s="108" t="str">
        <f t="shared" si="209"/>
        <v/>
      </c>
      <c r="AF1136" s="108">
        <f t="shared" si="210"/>
        <v>0</v>
      </c>
      <c r="AG1136" s="108">
        <f t="shared" si="211"/>
        <v>0</v>
      </c>
      <c r="AH1136" s="110" t="str">
        <f t="shared" si="212"/>
        <v/>
      </c>
      <c r="AI1136" s="108">
        <f t="shared" si="213"/>
        <v>0</v>
      </c>
      <c r="AJ1136" s="108">
        <f t="shared" si="214"/>
        <v>0</v>
      </c>
      <c r="AK1136" s="108">
        <f>IF($A1136="",0,IF(AND($S1136=1,$W1136=1,$X1136=1,$U1136&gt;Config!$C$9),1,0))</f>
        <v>0</v>
      </c>
      <c r="AL1136" s="108">
        <f t="shared" si="215"/>
        <v>0</v>
      </c>
    </row>
    <row r="1137" spans="19:38" x14ac:dyDescent="0.25">
      <c r="S1137" s="108" t="str">
        <f>IF($A1137="","",COUNTIF(BPOworkers!$B$6:$B$105,$A1137))</f>
        <v/>
      </c>
      <c r="T1137" s="109" t="str">
        <f>IF($A1137="","",$K1137*Config!$C$9)</f>
        <v/>
      </c>
      <c r="U1137" s="109" t="str">
        <f>IF($A1137="","",IF(COUNTIF(Config!$C$21:$C$23,$H1137)&gt;0,IFERROR(VALUE(LEFT(TRIM($Q1137),FIND(" ",TRIM($Q1137)&amp;" ")-1)),0),0))</f>
        <v/>
      </c>
      <c r="V1137" s="109" t="str">
        <f t="shared" si="204"/>
        <v/>
      </c>
      <c r="W1137" s="108">
        <f>IF($A1137="",0,IF(AND($C1137&gt;=Config!$C$7,$C1137&lt;=Config!$C$8),1,0))</f>
        <v>0</v>
      </c>
      <c r="X1137" s="108">
        <f>IF($A1137="",0,IF(COUNTIF(Config!$C$21:$C$23,$H1137)&gt;0,1,0))</f>
        <v>0</v>
      </c>
      <c r="Y1137" s="108">
        <f t="shared" si="205"/>
        <v>24</v>
      </c>
      <c r="Z1137" s="108" t="str">
        <f t="shared" si="206"/>
        <v/>
      </c>
      <c r="AB1137" s="108">
        <f t="shared" si="207"/>
        <v>0</v>
      </c>
      <c r="AC1137" s="108">
        <f>IF($A1137="",0,IF(AND($AB1137=1,COUNTIF($A$2:$A1137,$A1137)=1),1,0))</f>
        <v>0</v>
      </c>
      <c r="AD1137" s="108">
        <f t="shared" si="208"/>
        <v>1</v>
      </c>
      <c r="AE1137" s="108" t="str">
        <f t="shared" si="209"/>
        <v/>
      </c>
      <c r="AF1137" s="108">
        <f t="shared" si="210"/>
        <v>0</v>
      </c>
      <c r="AG1137" s="108">
        <f t="shared" si="211"/>
        <v>0</v>
      </c>
      <c r="AH1137" s="110" t="str">
        <f t="shared" si="212"/>
        <v/>
      </c>
      <c r="AI1137" s="108">
        <f t="shared" si="213"/>
        <v>0</v>
      </c>
      <c r="AJ1137" s="108">
        <f t="shared" si="214"/>
        <v>0</v>
      </c>
      <c r="AK1137" s="108">
        <f>IF($A1137="",0,IF(AND($S1137=1,$W1137=1,$X1137=1,$U1137&gt;Config!$C$9),1,0))</f>
        <v>0</v>
      </c>
      <c r="AL1137" s="108">
        <f t="shared" si="215"/>
        <v>0</v>
      </c>
    </row>
    <row r="1138" spans="19:38" x14ac:dyDescent="0.25">
      <c r="S1138" s="108" t="str">
        <f>IF($A1138="","",COUNTIF(BPOworkers!$B$6:$B$105,$A1138))</f>
        <v/>
      </c>
      <c r="T1138" s="109" t="str">
        <f>IF($A1138="","",$K1138*Config!$C$9)</f>
        <v/>
      </c>
      <c r="U1138" s="109" t="str">
        <f>IF($A1138="","",IF(COUNTIF(Config!$C$21:$C$23,$H1138)&gt;0,IFERROR(VALUE(LEFT(TRIM($Q1138),FIND(" ",TRIM($Q1138)&amp;" ")-1)),0),0))</f>
        <v/>
      </c>
      <c r="V1138" s="109" t="str">
        <f t="shared" si="204"/>
        <v/>
      </c>
      <c r="W1138" s="108">
        <f>IF($A1138="",0,IF(AND($C1138&gt;=Config!$C$7,$C1138&lt;=Config!$C$8),1,0))</f>
        <v>0</v>
      </c>
      <c r="X1138" s="108">
        <f>IF($A1138="",0,IF(COUNTIF(Config!$C$21:$C$23,$H1138)&gt;0,1,0))</f>
        <v>0</v>
      </c>
      <c r="Y1138" s="108">
        <f t="shared" si="205"/>
        <v>24</v>
      </c>
      <c r="Z1138" s="108" t="str">
        <f t="shared" si="206"/>
        <v/>
      </c>
      <c r="AB1138" s="108">
        <f t="shared" si="207"/>
        <v>0</v>
      </c>
      <c r="AC1138" s="108">
        <f>IF($A1138="",0,IF(AND($AB1138=1,COUNTIF($A$2:$A1138,$A1138)=1),1,0))</f>
        <v>0</v>
      </c>
      <c r="AD1138" s="108">
        <f t="shared" si="208"/>
        <v>1</v>
      </c>
      <c r="AE1138" s="108" t="str">
        <f t="shared" si="209"/>
        <v/>
      </c>
      <c r="AF1138" s="108">
        <f t="shared" si="210"/>
        <v>0</v>
      </c>
      <c r="AG1138" s="108">
        <f t="shared" si="211"/>
        <v>0</v>
      </c>
      <c r="AH1138" s="110" t="str">
        <f t="shared" si="212"/>
        <v/>
      </c>
      <c r="AI1138" s="108">
        <f t="shared" si="213"/>
        <v>0</v>
      </c>
      <c r="AJ1138" s="108">
        <f t="shared" si="214"/>
        <v>0</v>
      </c>
      <c r="AK1138" s="108">
        <f>IF($A1138="",0,IF(AND($S1138=1,$W1138=1,$X1138=1,$U1138&gt;Config!$C$9),1,0))</f>
        <v>0</v>
      </c>
      <c r="AL1138" s="108">
        <f t="shared" si="215"/>
        <v>0</v>
      </c>
    </row>
    <row r="1139" spans="19:38" x14ac:dyDescent="0.25">
      <c r="S1139" s="108" t="str">
        <f>IF($A1139="","",COUNTIF(BPOworkers!$B$6:$B$105,$A1139))</f>
        <v/>
      </c>
      <c r="T1139" s="109" t="str">
        <f>IF($A1139="","",$K1139*Config!$C$9)</f>
        <v/>
      </c>
      <c r="U1139" s="109" t="str">
        <f>IF($A1139="","",IF(COUNTIF(Config!$C$21:$C$23,$H1139)&gt;0,IFERROR(VALUE(LEFT(TRIM($Q1139),FIND(" ",TRIM($Q1139)&amp;" ")-1)),0),0))</f>
        <v/>
      </c>
      <c r="V1139" s="109" t="str">
        <f t="shared" si="204"/>
        <v/>
      </c>
      <c r="W1139" s="108">
        <f>IF($A1139="",0,IF(AND($C1139&gt;=Config!$C$7,$C1139&lt;=Config!$C$8),1,0))</f>
        <v>0</v>
      </c>
      <c r="X1139" s="108">
        <f>IF($A1139="",0,IF(COUNTIF(Config!$C$21:$C$23,$H1139)&gt;0,1,0))</f>
        <v>0</v>
      </c>
      <c r="Y1139" s="108">
        <f t="shared" si="205"/>
        <v>24</v>
      </c>
      <c r="Z1139" s="108" t="str">
        <f t="shared" si="206"/>
        <v/>
      </c>
      <c r="AB1139" s="108">
        <f t="shared" si="207"/>
        <v>0</v>
      </c>
      <c r="AC1139" s="108">
        <f>IF($A1139="",0,IF(AND($AB1139=1,COUNTIF($A$2:$A1139,$A1139)=1),1,0))</f>
        <v>0</v>
      </c>
      <c r="AD1139" s="108">
        <f t="shared" si="208"/>
        <v>1</v>
      </c>
      <c r="AE1139" s="108" t="str">
        <f t="shared" si="209"/>
        <v/>
      </c>
      <c r="AF1139" s="108">
        <f t="shared" si="210"/>
        <v>0</v>
      </c>
      <c r="AG1139" s="108">
        <f t="shared" si="211"/>
        <v>0</v>
      </c>
      <c r="AH1139" s="110" t="str">
        <f t="shared" si="212"/>
        <v/>
      </c>
      <c r="AI1139" s="108">
        <f t="shared" si="213"/>
        <v>0</v>
      </c>
      <c r="AJ1139" s="108">
        <f t="shared" si="214"/>
        <v>0</v>
      </c>
      <c r="AK1139" s="108">
        <f>IF($A1139="",0,IF(AND($S1139=1,$W1139=1,$X1139=1,$U1139&gt;Config!$C$9),1,0))</f>
        <v>0</v>
      </c>
      <c r="AL1139" s="108">
        <f t="shared" si="215"/>
        <v>0</v>
      </c>
    </row>
    <row r="1140" spans="19:38" x14ac:dyDescent="0.25">
      <c r="S1140" s="108" t="str">
        <f>IF($A1140="","",COUNTIF(BPOworkers!$B$6:$B$105,$A1140))</f>
        <v/>
      </c>
      <c r="T1140" s="109" t="str">
        <f>IF($A1140="","",$K1140*Config!$C$9)</f>
        <v/>
      </c>
      <c r="U1140" s="109" t="str">
        <f>IF($A1140="","",IF(COUNTIF(Config!$C$21:$C$23,$H1140)&gt;0,IFERROR(VALUE(LEFT(TRIM($Q1140),FIND(" ",TRIM($Q1140)&amp;" ")-1)),0),0))</f>
        <v/>
      </c>
      <c r="V1140" s="109" t="str">
        <f t="shared" si="204"/>
        <v/>
      </c>
      <c r="W1140" s="108">
        <f>IF($A1140="",0,IF(AND($C1140&gt;=Config!$C$7,$C1140&lt;=Config!$C$8),1,0))</f>
        <v>0</v>
      </c>
      <c r="X1140" s="108">
        <f>IF($A1140="",0,IF(COUNTIF(Config!$C$21:$C$23,$H1140)&gt;0,1,0))</f>
        <v>0</v>
      </c>
      <c r="Y1140" s="108">
        <f t="shared" si="205"/>
        <v>24</v>
      </c>
      <c r="Z1140" s="108" t="str">
        <f t="shared" si="206"/>
        <v/>
      </c>
      <c r="AB1140" s="108">
        <f t="shared" si="207"/>
        <v>0</v>
      </c>
      <c r="AC1140" s="108">
        <f>IF($A1140="",0,IF(AND($AB1140=1,COUNTIF($A$2:$A1140,$A1140)=1),1,0))</f>
        <v>0</v>
      </c>
      <c r="AD1140" s="108">
        <f t="shared" si="208"/>
        <v>1</v>
      </c>
      <c r="AE1140" s="108" t="str">
        <f t="shared" si="209"/>
        <v/>
      </c>
      <c r="AF1140" s="108">
        <f t="shared" si="210"/>
        <v>0</v>
      </c>
      <c r="AG1140" s="108">
        <f t="shared" si="211"/>
        <v>0</v>
      </c>
      <c r="AH1140" s="110" t="str">
        <f t="shared" si="212"/>
        <v/>
      </c>
      <c r="AI1140" s="108">
        <f t="shared" si="213"/>
        <v>0</v>
      </c>
      <c r="AJ1140" s="108">
        <f t="shared" si="214"/>
        <v>0</v>
      </c>
      <c r="AK1140" s="108">
        <f>IF($A1140="",0,IF(AND($S1140=1,$W1140=1,$X1140=1,$U1140&gt;Config!$C$9),1,0))</f>
        <v>0</v>
      </c>
      <c r="AL1140" s="108">
        <f t="shared" si="215"/>
        <v>0</v>
      </c>
    </row>
    <row r="1141" spans="19:38" x14ac:dyDescent="0.25">
      <c r="S1141" s="108" t="str">
        <f>IF($A1141="","",COUNTIF(BPOworkers!$B$6:$B$105,$A1141))</f>
        <v/>
      </c>
      <c r="T1141" s="109" t="str">
        <f>IF($A1141="","",$K1141*Config!$C$9)</f>
        <v/>
      </c>
      <c r="U1141" s="109" t="str">
        <f>IF($A1141="","",IF(COUNTIF(Config!$C$21:$C$23,$H1141)&gt;0,IFERROR(VALUE(LEFT(TRIM($Q1141),FIND(" ",TRIM($Q1141)&amp;" ")-1)),0),0))</f>
        <v/>
      </c>
      <c r="V1141" s="109" t="str">
        <f t="shared" si="204"/>
        <v/>
      </c>
      <c r="W1141" s="108">
        <f>IF($A1141="",0,IF(AND($C1141&gt;=Config!$C$7,$C1141&lt;=Config!$C$8),1,0))</f>
        <v>0</v>
      </c>
      <c r="X1141" s="108">
        <f>IF($A1141="",0,IF(COUNTIF(Config!$C$21:$C$23,$H1141)&gt;0,1,0))</f>
        <v>0</v>
      </c>
      <c r="Y1141" s="108">
        <f t="shared" si="205"/>
        <v>24</v>
      </c>
      <c r="Z1141" s="108" t="str">
        <f t="shared" si="206"/>
        <v/>
      </c>
      <c r="AB1141" s="108">
        <f t="shared" si="207"/>
        <v>0</v>
      </c>
      <c r="AC1141" s="108">
        <f>IF($A1141="",0,IF(AND($AB1141=1,COUNTIF($A$2:$A1141,$A1141)=1),1,0))</f>
        <v>0</v>
      </c>
      <c r="AD1141" s="108">
        <f t="shared" si="208"/>
        <v>1</v>
      </c>
      <c r="AE1141" s="108" t="str">
        <f t="shared" si="209"/>
        <v/>
      </c>
      <c r="AF1141" s="108">
        <f t="shared" si="210"/>
        <v>0</v>
      </c>
      <c r="AG1141" s="108">
        <f t="shared" si="211"/>
        <v>0</v>
      </c>
      <c r="AH1141" s="110" t="str">
        <f t="shared" si="212"/>
        <v/>
      </c>
      <c r="AI1141" s="108">
        <f t="shared" si="213"/>
        <v>0</v>
      </c>
      <c r="AJ1141" s="108">
        <f t="shared" si="214"/>
        <v>0</v>
      </c>
      <c r="AK1141" s="108">
        <f>IF($A1141="",0,IF(AND($S1141=1,$W1141=1,$X1141=1,$U1141&gt;Config!$C$9),1,0))</f>
        <v>0</v>
      </c>
      <c r="AL1141" s="108">
        <f t="shared" si="215"/>
        <v>0</v>
      </c>
    </row>
    <row r="1142" spans="19:38" x14ac:dyDescent="0.25">
      <c r="S1142" s="108" t="str">
        <f>IF($A1142="","",COUNTIF(BPOworkers!$B$6:$B$105,$A1142))</f>
        <v/>
      </c>
      <c r="T1142" s="109" t="str">
        <f>IF($A1142="","",$K1142*Config!$C$9)</f>
        <v/>
      </c>
      <c r="U1142" s="109" t="str">
        <f>IF($A1142="","",IF(COUNTIF(Config!$C$21:$C$23,$H1142)&gt;0,IFERROR(VALUE(LEFT(TRIM($Q1142),FIND(" ",TRIM($Q1142)&amp;" ")-1)),0),0))</f>
        <v/>
      </c>
      <c r="V1142" s="109" t="str">
        <f t="shared" si="204"/>
        <v/>
      </c>
      <c r="W1142" s="108">
        <f>IF($A1142="",0,IF(AND($C1142&gt;=Config!$C$7,$C1142&lt;=Config!$C$8),1,0))</f>
        <v>0</v>
      </c>
      <c r="X1142" s="108">
        <f>IF($A1142="",0,IF(COUNTIF(Config!$C$21:$C$23,$H1142)&gt;0,1,0))</f>
        <v>0</v>
      </c>
      <c r="Y1142" s="108">
        <f t="shared" si="205"/>
        <v>24</v>
      </c>
      <c r="Z1142" s="108" t="str">
        <f t="shared" si="206"/>
        <v/>
      </c>
      <c r="AB1142" s="108">
        <f t="shared" si="207"/>
        <v>0</v>
      </c>
      <c r="AC1142" s="108">
        <f>IF($A1142="",0,IF(AND($AB1142=1,COUNTIF($A$2:$A1142,$A1142)=1),1,0))</f>
        <v>0</v>
      </c>
      <c r="AD1142" s="108">
        <f t="shared" si="208"/>
        <v>1</v>
      </c>
      <c r="AE1142" s="108" t="str">
        <f t="shared" si="209"/>
        <v/>
      </c>
      <c r="AF1142" s="108">
        <f t="shared" si="210"/>
        <v>0</v>
      </c>
      <c r="AG1142" s="108">
        <f t="shared" si="211"/>
        <v>0</v>
      </c>
      <c r="AH1142" s="110" t="str">
        <f t="shared" si="212"/>
        <v/>
      </c>
      <c r="AI1142" s="108">
        <f t="shared" si="213"/>
        <v>0</v>
      </c>
      <c r="AJ1142" s="108">
        <f t="shared" si="214"/>
        <v>0</v>
      </c>
      <c r="AK1142" s="108">
        <f>IF($A1142="",0,IF(AND($S1142=1,$W1142=1,$X1142=1,$U1142&gt;Config!$C$9),1,0))</f>
        <v>0</v>
      </c>
      <c r="AL1142" s="108">
        <f t="shared" si="215"/>
        <v>0</v>
      </c>
    </row>
    <row r="1143" spans="19:38" x14ac:dyDescent="0.25">
      <c r="S1143" s="108" t="str">
        <f>IF($A1143="","",COUNTIF(BPOworkers!$B$6:$B$105,$A1143))</f>
        <v/>
      </c>
      <c r="T1143" s="109" t="str">
        <f>IF($A1143="","",$K1143*Config!$C$9)</f>
        <v/>
      </c>
      <c r="U1143" s="109" t="str">
        <f>IF($A1143="","",IF(COUNTIF(Config!$C$21:$C$23,$H1143)&gt;0,IFERROR(VALUE(LEFT(TRIM($Q1143),FIND(" ",TRIM($Q1143)&amp;" ")-1)),0),0))</f>
        <v/>
      </c>
      <c r="V1143" s="109" t="str">
        <f t="shared" si="204"/>
        <v/>
      </c>
      <c r="W1143" s="108">
        <f>IF($A1143="",0,IF(AND($C1143&gt;=Config!$C$7,$C1143&lt;=Config!$C$8),1,0))</f>
        <v>0</v>
      </c>
      <c r="X1143" s="108">
        <f>IF($A1143="",0,IF(COUNTIF(Config!$C$21:$C$23,$H1143)&gt;0,1,0))</f>
        <v>0</v>
      </c>
      <c r="Y1143" s="108">
        <f t="shared" si="205"/>
        <v>24</v>
      </c>
      <c r="Z1143" s="108" t="str">
        <f t="shared" si="206"/>
        <v/>
      </c>
      <c r="AB1143" s="108">
        <f t="shared" si="207"/>
        <v>0</v>
      </c>
      <c r="AC1143" s="108">
        <f>IF($A1143="",0,IF(AND($AB1143=1,COUNTIF($A$2:$A1143,$A1143)=1),1,0))</f>
        <v>0</v>
      </c>
      <c r="AD1143" s="108">
        <f t="shared" si="208"/>
        <v>1</v>
      </c>
      <c r="AE1143" s="108" t="str">
        <f t="shared" si="209"/>
        <v/>
      </c>
      <c r="AF1143" s="108">
        <f t="shared" si="210"/>
        <v>0</v>
      </c>
      <c r="AG1143" s="108">
        <f t="shared" si="211"/>
        <v>0</v>
      </c>
      <c r="AH1143" s="110" t="str">
        <f t="shared" si="212"/>
        <v/>
      </c>
      <c r="AI1143" s="108">
        <f t="shared" si="213"/>
        <v>0</v>
      </c>
      <c r="AJ1143" s="108">
        <f t="shared" si="214"/>
        <v>0</v>
      </c>
      <c r="AK1143" s="108">
        <f>IF($A1143="",0,IF(AND($S1143=1,$W1143=1,$X1143=1,$U1143&gt;Config!$C$9),1,0))</f>
        <v>0</v>
      </c>
      <c r="AL1143" s="108">
        <f t="shared" si="215"/>
        <v>0</v>
      </c>
    </row>
    <row r="1144" spans="19:38" x14ac:dyDescent="0.25">
      <c r="S1144" s="108" t="str">
        <f>IF($A1144="","",COUNTIF(BPOworkers!$B$6:$B$105,$A1144))</f>
        <v/>
      </c>
      <c r="T1144" s="109" t="str">
        <f>IF($A1144="","",$K1144*Config!$C$9)</f>
        <v/>
      </c>
      <c r="U1144" s="109" t="str">
        <f>IF($A1144="","",IF(COUNTIF(Config!$C$21:$C$23,$H1144)&gt;0,IFERROR(VALUE(LEFT(TRIM($Q1144),FIND(" ",TRIM($Q1144)&amp;" ")-1)),0),0))</f>
        <v/>
      </c>
      <c r="V1144" s="109" t="str">
        <f t="shared" si="204"/>
        <v/>
      </c>
      <c r="W1144" s="108">
        <f>IF($A1144="",0,IF(AND($C1144&gt;=Config!$C$7,$C1144&lt;=Config!$C$8),1,0))</f>
        <v>0</v>
      </c>
      <c r="X1144" s="108">
        <f>IF($A1144="",0,IF(COUNTIF(Config!$C$21:$C$23,$H1144)&gt;0,1,0))</f>
        <v>0</v>
      </c>
      <c r="Y1144" s="108">
        <f t="shared" si="205"/>
        <v>24</v>
      </c>
      <c r="Z1144" s="108" t="str">
        <f t="shared" si="206"/>
        <v/>
      </c>
      <c r="AB1144" s="108">
        <f t="shared" si="207"/>
        <v>0</v>
      </c>
      <c r="AC1144" s="108">
        <f>IF($A1144="",0,IF(AND($AB1144=1,COUNTIF($A$2:$A1144,$A1144)=1),1,0))</f>
        <v>0</v>
      </c>
      <c r="AD1144" s="108">
        <f t="shared" si="208"/>
        <v>1</v>
      </c>
      <c r="AE1144" s="108" t="str">
        <f t="shared" si="209"/>
        <v/>
      </c>
      <c r="AF1144" s="108">
        <f t="shared" si="210"/>
        <v>0</v>
      </c>
      <c r="AG1144" s="108">
        <f t="shared" si="211"/>
        <v>0</v>
      </c>
      <c r="AH1144" s="110" t="str">
        <f t="shared" si="212"/>
        <v/>
      </c>
      <c r="AI1144" s="108">
        <f t="shared" si="213"/>
        <v>0</v>
      </c>
      <c r="AJ1144" s="108">
        <f t="shared" si="214"/>
        <v>0</v>
      </c>
      <c r="AK1144" s="108">
        <f>IF($A1144="",0,IF(AND($S1144=1,$W1144=1,$X1144=1,$U1144&gt;Config!$C$9),1,0))</f>
        <v>0</v>
      </c>
      <c r="AL1144" s="108">
        <f t="shared" si="215"/>
        <v>0</v>
      </c>
    </row>
    <row r="1145" spans="19:38" x14ac:dyDescent="0.25">
      <c r="S1145" s="108" t="str">
        <f>IF($A1145="","",COUNTIF(BPOworkers!$B$6:$B$105,$A1145))</f>
        <v/>
      </c>
      <c r="T1145" s="109" t="str">
        <f>IF($A1145="","",$K1145*Config!$C$9)</f>
        <v/>
      </c>
      <c r="U1145" s="109" t="str">
        <f>IF($A1145="","",IF(COUNTIF(Config!$C$21:$C$23,$H1145)&gt;0,IFERROR(VALUE(LEFT(TRIM($Q1145),FIND(" ",TRIM($Q1145)&amp;" ")-1)),0),0))</f>
        <v/>
      </c>
      <c r="V1145" s="109" t="str">
        <f t="shared" si="204"/>
        <v/>
      </c>
      <c r="W1145" s="108">
        <f>IF($A1145="",0,IF(AND($C1145&gt;=Config!$C$7,$C1145&lt;=Config!$C$8),1,0))</f>
        <v>0</v>
      </c>
      <c r="X1145" s="108">
        <f>IF($A1145="",0,IF(COUNTIF(Config!$C$21:$C$23,$H1145)&gt;0,1,0))</f>
        <v>0</v>
      </c>
      <c r="Y1145" s="108">
        <f t="shared" si="205"/>
        <v>24</v>
      </c>
      <c r="Z1145" s="108" t="str">
        <f t="shared" si="206"/>
        <v/>
      </c>
      <c r="AB1145" s="108">
        <f t="shared" si="207"/>
        <v>0</v>
      </c>
      <c r="AC1145" s="108">
        <f>IF($A1145="",0,IF(AND($AB1145=1,COUNTIF($A$2:$A1145,$A1145)=1),1,0))</f>
        <v>0</v>
      </c>
      <c r="AD1145" s="108">
        <f t="shared" si="208"/>
        <v>1</v>
      </c>
      <c r="AE1145" s="108" t="str">
        <f t="shared" si="209"/>
        <v/>
      </c>
      <c r="AF1145" s="108">
        <f t="shared" si="210"/>
        <v>0</v>
      </c>
      <c r="AG1145" s="108">
        <f t="shared" si="211"/>
        <v>0</v>
      </c>
      <c r="AH1145" s="110" t="str">
        <f t="shared" si="212"/>
        <v/>
      </c>
      <c r="AI1145" s="108">
        <f t="shared" si="213"/>
        <v>0</v>
      </c>
      <c r="AJ1145" s="108">
        <f t="shared" si="214"/>
        <v>0</v>
      </c>
      <c r="AK1145" s="108">
        <f>IF($A1145="",0,IF(AND($S1145=1,$W1145=1,$X1145=1,$U1145&gt;Config!$C$9),1,0))</f>
        <v>0</v>
      </c>
      <c r="AL1145" s="108">
        <f t="shared" si="215"/>
        <v>0</v>
      </c>
    </row>
    <row r="1146" spans="19:38" x14ac:dyDescent="0.25">
      <c r="S1146" s="108" t="str">
        <f>IF($A1146="","",COUNTIF(BPOworkers!$B$6:$B$105,$A1146))</f>
        <v/>
      </c>
      <c r="T1146" s="109" t="str">
        <f>IF($A1146="","",$K1146*Config!$C$9)</f>
        <v/>
      </c>
      <c r="U1146" s="109" t="str">
        <f>IF($A1146="","",IF(COUNTIF(Config!$C$21:$C$23,$H1146)&gt;0,IFERROR(VALUE(LEFT(TRIM($Q1146),FIND(" ",TRIM($Q1146)&amp;" ")-1)),0),0))</f>
        <v/>
      </c>
      <c r="V1146" s="109" t="str">
        <f t="shared" si="204"/>
        <v/>
      </c>
      <c r="W1146" s="108">
        <f>IF($A1146="",0,IF(AND($C1146&gt;=Config!$C$7,$C1146&lt;=Config!$C$8),1,0))</f>
        <v>0</v>
      </c>
      <c r="X1146" s="108">
        <f>IF($A1146="",0,IF(COUNTIF(Config!$C$21:$C$23,$H1146)&gt;0,1,0))</f>
        <v>0</v>
      </c>
      <c r="Y1146" s="108">
        <f t="shared" si="205"/>
        <v>24</v>
      </c>
      <c r="Z1146" s="108" t="str">
        <f t="shared" si="206"/>
        <v/>
      </c>
      <c r="AB1146" s="108">
        <f t="shared" si="207"/>
        <v>0</v>
      </c>
      <c r="AC1146" s="108">
        <f>IF($A1146="",0,IF(AND($AB1146=1,COUNTIF($A$2:$A1146,$A1146)=1),1,0))</f>
        <v>0</v>
      </c>
      <c r="AD1146" s="108">
        <f t="shared" si="208"/>
        <v>1</v>
      </c>
      <c r="AE1146" s="108" t="str">
        <f t="shared" si="209"/>
        <v/>
      </c>
      <c r="AF1146" s="108">
        <f t="shared" si="210"/>
        <v>0</v>
      </c>
      <c r="AG1146" s="108">
        <f t="shared" si="211"/>
        <v>0</v>
      </c>
      <c r="AH1146" s="110" t="str">
        <f t="shared" si="212"/>
        <v/>
      </c>
      <c r="AI1146" s="108">
        <f t="shared" si="213"/>
        <v>0</v>
      </c>
      <c r="AJ1146" s="108">
        <f t="shared" si="214"/>
        <v>0</v>
      </c>
      <c r="AK1146" s="108">
        <f>IF($A1146="",0,IF(AND($S1146=1,$W1146=1,$X1146=1,$U1146&gt;Config!$C$9),1,0))</f>
        <v>0</v>
      </c>
      <c r="AL1146" s="108">
        <f t="shared" si="215"/>
        <v>0</v>
      </c>
    </row>
    <row r="1147" spans="19:38" x14ac:dyDescent="0.25">
      <c r="S1147" s="108" t="str">
        <f>IF($A1147="","",COUNTIF(BPOworkers!$B$6:$B$105,$A1147))</f>
        <v/>
      </c>
      <c r="T1147" s="109" t="str">
        <f>IF($A1147="","",$K1147*Config!$C$9)</f>
        <v/>
      </c>
      <c r="U1147" s="109" t="str">
        <f>IF($A1147="","",IF(COUNTIF(Config!$C$21:$C$23,$H1147)&gt;0,IFERROR(VALUE(LEFT(TRIM($Q1147),FIND(" ",TRIM($Q1147)&amp;" ")-1)),0),0))</f>
        <v/>
      </c>
      <c r="V1147" s="109" t="str">
        <f t="shared" si="204"/>
        <v/>
      </c>
      <c r="W1147" s="108">
        <f>IF($A1147="",0,IF(AND($C1147&gt;=Config!$C$7,$C1147&lt;=Config!$C$8),1,0))</f>
        <v>0</v>
      </c>
      <c r="X1147" s="108">
        <f>IF($A1147="",0,IF(COUNTIF(Config!$C$21:$C$23,$H1147)&gt;0,1,0))</f>
        <v>0</v>
      </c>
      <c r="Y1147" s="108">
        <f t="shared" si="205"/>
        <v>24</v>
      </c>
      <c r="Z1147" s="108" t="str">
        <f t="shared" si="206"/>
        <v/>
      </c>
      <c r="AB1147" s="108">
        <f t="shared" si="207"/>
        <v>0</v>
      </c>
      <c r="AC1147" s="108">
        <f>IF($A1147="",0,IF(AND($AB1147=1,COUNTIF($A$2:$A1147,$A1147)=1),1,0))</f>
        <v>0</v>
      </c>
      <c r="AD1147" s="108">
        <f t="shared" si="208"/>
        <v>1</v>
      </c>
      <c r="AE1147" s="108" t="str">
        <f t="shared" si="209"/>
        <v/>
      </c>
      <c r="AF1147" s="108">
        <f t="shared" si="210"/>
        <v>0</v>
      </c>
      <c r="AG1147" s="108">
        <f t="shared" si="211"/>
        <v>0</v>
      </c>
      <c r="AH1147" s="110" t="str">
        <f t="shared" si="212"/>
        <v/>
      </c>
      <c r="AI1147" s="108">
        <f t="shared" si="213"/>
        <v>0</v>
      </c>
      <c r="AJ1147" s="108">
        <f t="shared" si="214"/>
        <v>0</v>
      </c>
      <c r="AK1147" s="108">
        <f>IF($A1147="",0,IF(AND($S1147=1,$W1147=1,$X1147=1,$U1147&gt;Config!$C$9),1,0))</f>
        <v>0</v>
      </c>
      <c r="AL1147" s="108">
        <f t="shared" si="215"/>
        <v>0</v>
      </c>
    </row>
    <row r="1148" spans="19:38" x14ac:dyDescent="0.25">
      <c r="S1148" s="108" t="str">
        <f>IF($A1148="","",COUNTIF(BPOworkers!$B$6:$B$105,$A1148))</f>
        <v/>
      </c>
      <c r="T1148" s="109" t="str">
        <f>IF($A1148="","",$K1148*Config!$C$9)</f>
        <v/>
      </c>
      <c r="U1148" s="109" t="str">
        <f>IF($A1148="","",IF(COUNTIF(Config!$C$21:$C$23,$H1148)&gt;0,IFERROR(VALUE(LEFT(TRIM($Q1148),FIND(" ",TRIM($Q1148)&amp;" ")-1)),0),0))</f>
        <v/>
      </c>
      <c r="V1148" s="109" t="str">
        <f t="shared" si="204"/>
        <v/>
      </c>
      <c r="W1148" s="108">
        <f>IF($A1148="",0,IF(AND($C1148&gt;=Config!$C$7,$C1148&lt;=Config!$C$8),1,0))</f>
        <v>0</v>
      </c>
      <c r="X1148" s="108">
        <f>IF($A1148="",0,IF(COUNTIF(Config!$C$21:$C$23,$H1148)&gt;0,1,0))</f>
        <v>0</v>
      </c>
      <c r="Y1148" s="108">
        <f t="shared" si="205"/>
        <v>24</v>
      </c>
      <c r="Z1148" s="108" t="str">
        <f t="shared" si="206"/>
        <v/>
      </c>
      <c r="AB1148" s="108">
        <f t="shared" si="207"/>
        <v>0</v>
      </c>
      <c r="AC1148" s="108">
        <f>IF($A1148="",0,IF(AND($AB1148=1,COUNTIF($A$2:$A1148,$A1148)=1),1,0))</f>
        <v>0</v>
      </c>
      <c r="AD1148" s="108">
        <f t="shared" si="208"/>
        <v>1</v>
      </c>
      <c r="AE1148" s="108" t="str">
        <f t="shared" si="209"/>
        <v/>
      </c>
      <c r="AF1148" s="108">
        <f t="shared" si="210"/>
        <v>0</v>
      </c>
      <c r="AG1148" s="108">
        <f t="shared" si="211"/>
        <v>0</v>
      </c>
      <c r="AH1148" s="110" t="str">
        <f t="shared" si="212"/>
        <v/>
      </c>
      <c r="AI1148" s="108">
        <f t="shared" si="213"/>
        <v>0</v>
      </c>
      <c r="AJ1148" s="108">
        <f t="shared" si="214"/>
        <v>0</v>
      </c>
      <c r="AK1148" s="108">
        <f>IF($A1148="",0,IF(AND($S1148=1,$W1148=1,$X1148=1,$U1148&gt;Config!$C$9),1,0))</f>
        <v>0</v>
      </c>
      <c r="AL1148" s="108">
        <f t="shared" si="215"/>
        <v>0</v>
      </c>
    </row>
    <row r="1149" spans="19:38" x14ac:dyDescent="0.25">
      <c r="S1149" s="108" t="str">
        <f>IF($A1149="","",COUNTIF(BPOworkers!$B$6:$B$105,$A1149))</f>
        <v/>
      </c>
      <c r="T1149" s="109" t="str">
        <f>IF($A1149="","",$K1149*Config!$C$9)</f>
        <v/>
      </c>
      <c r="U1149" s="109" t="str">
        <f>IF($A1149="","",IF(COUNTIF(Config!$C$21:$C$23,$H1149)&gt;0,IFERROR(VALUE(LEFT(TRIM($Q1149),FIND(" ",TRIM($Q1149)&amp;" ")-1)),0),0))</f>
        <v/>
      </c>
      <c r="V1149" s="109" t="str">
        <f t="shared" si="204"/>
        <v/>
      </c>
      <c r="W1149" s="108">
        <f>IF($A1149="",0,IF(AND($C1149&gt;=Config!$C$7,$C1149&lt;=Config!$C$8),1,0))</f>
        <v>0</v>
      </c>
      <c r="X1149" s="108">
        <f>IF($A1149="",0,IF(COUNTIF(Config!$C$21:$C$23,$H1149)&gt;0,1,0))</f>
        <v>0</v>
      </c>
      <c r="Y1149" s="108">
        <f t="shared" si="205"/>
        <v>24</v>
      </c>
      <c r="Z1149" s="108" t="str">
        <f t="shared" si="206"/>
        <v/>
      </c>
      <c r="AB1149" s="108">
        <f t="shared" si="207"/>
        <v>0</v>
      </c>
      <c r="AC1149" s="108">
        <f>IF($A1149="",0,IF(AND($AB1149=1,COUNTIF($A$2:$A1149,$A1149)=1),1,0))</f>
        <v>0</v>
      </c>
      <c r="AD1149" s="108">
        <f t="shared" si="208"/>
        <v>1</v>
      </c>
      <c r="AE1149" s="108" t="str">
        <f t="shared" si="209"/>
        <v/>
      </c>
      <c r="AF1149" s="108">
        <f t="shared" si="210"/>
        <v>0</v>
      </c>
      <c r="AG1149" s="108">
        <f t="shared" si="211"/>
        <v>0</v>
      </c>
      <c r="AH1149" s="110" t="str">
        <f t="shared" si="212"/>
        <v/>
      </c>
      <c r="AI1149" s="108">
        <f t="shared" si="213"/>
        <v>0</v>
      </c>
      <c r="AJ1149" s="108">
        <f t="shared" si="214"/>
        <v>0</v>
      </c>
      <c r="AK1149" s="108">
        <f>IF($A1149="",0,IF(AND($S1149=1,$W1149=1,$X1149=1,$U1149&gt;Config!$C$9),1,0))</f>
        <v>0</v>
      </c>
      <c r="AL1149" s="108">
        <f t="shared" si="215"/>
        <v>0</v>
      </c>
    </row>
    <row r="1150" spans="19:38" x14ac:dyDescent="0.25">
      <c r="S1150" s="108" t="str">
        <f>IF($A1150="","",COUNTIF(BPOworkers!$B$6:$B$105,$A1150))</f>
        <v/>
      </c>
      <c r="T1150" s="109" t="str">
        <f>IF($A1150="","",$K1150*Config!$C$9)</f>
        <v/>
      </c>
      <c r="U1150" s="109" t="str">
        <f>IF($A1150="","",IF(COUNTIF(Config!$C$21:$C$23,$H1150)&gt;0,IFERROR(VALUE(LEFT(TRIM($Q1150),FIND(" ",TRIM($Q1150)&amp;" ")-1)),0),0))</f>
        <v/>
      </c>
      <c r="V1150" s="109" t="str">
        <f t="shared" si="204"/>
        <v/>
      </c>
      <c r="W1150" s="108">
        <f>IF($A1150="",0,IF(AND($C1150&gt;=Config!$C$7,$C1150&lt;=Config!$C$8),1,0))</f>
        <v>0</v>
      </c>
      <c r="X1150" s="108">
        <f>IF($A1150="",0,IF(COUNTIF(Config!$C$21:$C$23,$H1150)&gt;0,1,0))</f>
        <v>0</v>
      </c>
      <c r="Y1150" s="108">
        <f t="shared" si="205"/>
        <v>24</v>
      </c>
      <c r="Z1150" s="108" t="str">
        <f t="shared" si="206"/>
        <v/>
      </c>
      <c r="AB1150" s="108">
        <f t="shared" si="207"/>
        <v>0</v>
      </c>
      <c r="AC1150" s="108">
        <f>IF($A1150="",0,IF(AND($AB1150=1,COUNTIF($A$2:$A1150,$A1150)=1),1,0))</f>
        <v>0</v>
      </c>
      <c r="AD1150" s="108">
        <f t="shared" si="208"/>
        <v>1</v>
      </c>
      <c r="AE1150" s="108" t="str">
        <f t="shared" si="209"/>
        <v/>
      </c>
      <c r="AF1150" s="108">
        <f t="shared" si="210"/>
        <v>0</v>
      </c>
      <c r="AG1150" s="108">
        <f t="shared" si="211"/>
        <v>0</v>
      </c>
      <c r="AH1150" s="110" t="str">
        <f t="shared" si="212"/>
        <v/>
      </c>
      <c r="AI1150" s="108">
        <f t="shared" si="213"/>
        <v>0</v>
      </c>
      <c r="AJ1150" s="108">
        <f t="shared" si="214"/>
        <v>0</v>
      </c>
      <c r="AK1150" s="108">
        <f>IF($A1150="",0,IF(AND($S1150=1,$W1150=1,$X1150=1,$U1150&gt;Config!$C$9),1,0))</f>
        <v>0</v>
      </c>
      <c r="AL1150" s="108">
        <f t="shared" si="215"/>
        <v>0</v>
      </c>
    </row>
    <row r="1151" spans="19:38" x14ac:dyDescent="0.25">
      <c r="S1151" s="108" t="str">
        <f>IF($A1151="","",COUNTIF(BPOworkers!$B$6:$B$105,$A1151))</f>
        <v/>
      </c>
      <c r="T1151" s="109" t="str">
        <f>IF($A1151="","",$K1151*Config!$C$9)</f>
        <v/>
      </c>
      <c r="U1151" s="109" t="str">
        <f>IF($A1151="","",IF(COUNTIF(Config!$C$21:$C$23,$H1151)&gt;0,IFERROR(VALUE(LEFT(TRIM($Q1151),FIND(" ",TRIM($Q1151)&amp;" ")-1)),0),0))</f>
        <v/>
      </c>
      <c r="V1151" s="109" t="str">
        <f t="shared" si="204"/>
        <v/>
      </c>
      <c r="W1151" s="108">
        <f>IF($A1151="",0,IF(AND($C1151&gt;=Config!$C$7,$C1151&lt;=Config!$C$8),1,0))</f>
        <v>0</v>
      </c>
      <c r="X1151" s="108">
        <f>IF($A1151="",0,IF(COUNTIF(Config!$C$21:$C$23,$H1151)&gt;0,1,0))</f>
        <v>0</v>
      </c>
      <c r="Y1151" s="108">
        <f t="shared" si="205"/>
        <v>24</v>
      </c>
      <c r="Z1151" s="108" t="str">
        <f t="shared" si="206"/>
        <v/>
      </c>
      <c r="AB1151" s="108">
        <f t="shared" si="207"/>
        <v>0</v>
      </c>
      <c r="AC1151" s="108">
        <f>IF($A1151="",0,IF(AND($AB1151=1,COUNTIF($A$2:$A1151,$A1151)=1),1,0))</f>
        <v>0</v>
      </c>
      <c r="AD1151" s="108">
        <f t="shared" si="208"/>
        <v>1</v>
      </c>
      <c r="AE1151" s="108" t="str">
        <f t="shared" si="209"/>
        <v/>
      </c>
      <c r="AF1151" s="108">
        <f t="shared" si="210"/>
        <v>0</v>
      </c>
      <c r="AG1151" s="108">
        <f t="shared" si="211"/>
        <v>0</v>
      </c>
      <c r="AH1151" s="110" t="str">
        <f t="shared" si="212"/>
        <v/>
      </c>
      <c r="AI1151" s="108">
        <f t="shared" si="213"/>
        <v>0</v>
      </c>
      <c r="AJ1151" s="108">
        <f t="shared" si="214"/>
        <v>0</v>
      </c>
      <c r="AK1151" s="108">
        <f>IF($A1151="",0,IF(AND($S1151=1,$W1151=1,$X1151=1,$U1151&gt;Config!$C$9),1,0))</f>
        <v>0</v>
      </c>
      <c r="AL1151" s="108">
        <f t="shared" si="215"/>
        <v>0</v>
      </c>
    </row>
    <row r="1152" spans="19:38" x14ac:dyDescent="0.25">
      <c r="S1152" s="108" t="str">
        <f>IF($A1152="","",COUNTIF(BPOworkers!$B$6:$B$105,$A1152))</f>
        <v/>
      </c>
      <c r="T1152" s="109" t="str">
        <f>IF($A1152="","",$K1152*Config!$C$9)</f>
        <v/>
      </c>
      <c r="U1152" s="109" t="str">
        <f>IF($A1152="","",IF(COUNTIF(Config!$C$21:$C$23,$H1152)&gt;0,IFERROR(VALUE(LEFT(TRIM($Q1152),FIND(" ",TRIM($Q1152)&amp;" ")-1)),0),0))</f>
        <v/>
      </c>
      <c r="V1152" s="109" t="str">
        <f t="shared" si="204"/>
        <v/>
      </c>
      <c r="W1152" s="108">
        <f>IF($A1152="",0,IF(AND($C1152&gt;=Config!$C$7,$C1152&lt;=Config!$C$8),1,0))</f>
        <v>0</v>
      </c>
      <c r="X1152" s="108">
        <f>IF($A1152="",0,IF(COUNTIF(Config!$C$21:$C$23,$H1152)&gt;0,1,0))</f>
        <v>0</v>
      </c>
      <c r="Y1152" s="108">
        <f t="shared" si="205"/>
        <v>24</v>
      </c>
      <c r="Z1152" s="108" t="str">
        <f t="shared" si="206"/>
        <v/>
      </c>
      <c r="AB1152" s="108">
        <f t="shared" si="207"/>
        <v>0</v>
      </c>
      <c r="AC1152" s="108">
        <f>IF($A1152="",0,IF(AND($AB1152=1,COUNTIF($A$2:$A1152,$A1152)=1),1,0))</f>
        <v>0</v>
      </c>
      <c r="AD1152" s="108">
        <f t="shared" si="208"/>
        <v>1</v>
      </c>
      <c r="AE1152" s="108" t="str">
        <f t="shared" si="209"/>
        <v/>
      </c>
      <c r="AF1152" s="108">
        <f t="shared" si="210"/>
        <v>0</v>
      </c>
      <c r="AG1152" s="108">
        <f t="shared" si="211"/>
        <v>0</v>
      </c>
      <c r="AH1152" s="110" t="str">
        <f t="shared" si="212"/>
        <v/>
      </c>
      <c r="AI1152" s="108">
        <f t="shared" si="213"/>
        <v>0</v>
      </c>
      <c r="AJ1152" s="108">
        <f t="shared" si="214"/>
        <v>0</v>
      </c>
      <c r="AK1152" s="108">
        <f>IF($A1152="",0,IF(AND($S1152=1,$W1152=1,$X1152=1,$U1152&gt;Config!$C$9),1,0))</f>
        <v>0</v>
      </c>
      <c r="AL1152" s="108">
        <f t="shared" si="215"/>
        <v>0</v>
      </c>
    </row>
    <row r="1153" spans="19:38" x14ac:dyDescent="0.25">
      <c r="S1153" s="108" t="str">
        <f>IF($A1153="","",COUNTIF(BPOworkers!$B$6:$B$105,$A1153))</f>
        <v/>
      </c>
      <c r="T1153" s="109" t="str">
        <f>IF($A1153="","",$K1153*Config!$C$9)</f>
        <v/>
      </c>
      <c r="U1153" s="109" t="str">
        <f>IF($A1153="","",IF(COUNTIF(Config!$C$21:$C$23,$H1153)&gt;0,IFERROR(VALUE(LEFT(TRIM($Q1153),FIND(" ",TRIM($Q1153)&amp;" ")-1)),0),0))</f>
        <v/>
      </c>
      <c r="V1153" s="109" t="str">
        <f t="shared" si="204"/>
        <v/>
      </c>
      <c r="W1153" s="108">
        <f>IF($A1153="",0,IF(AND($C1153&gt;=Config!$C$7,$C1153&lt;=Config!$C$8),1,0))</f>
        <v>0</v>
      </c>
      <c r="X1153" s="108">
        <f>IF($A1153="",0,IF(COUNTIF(Config!$C$21:$C$23,$H1153)&gt;0,1,0))</f>
        <v>0</v>
      </c>
      <c r="Y1153" s="108">
        <f t="shared" si="205"/>
        <v>24</v>
      </c>
      <c r="Z1153" s="108" t="str">
        <f t="shared" si="206"/>
        <v/>
      </c>
      <c r="AB1153" s="108">
        <f t="shared" si="207"/>
        <v>0</v>
      </c>
      <c r="AC1153" s="108">
        <f>IF($A1153="",0,IF(AND($AB1153=1,COUNTIF($A$2:$A1153,$A1153)=1),1,0))</f>
        <v>0</v>
      </c>
      <c r="AD1153" s="108">
        <f t="shared" si="208"/>
        <v>1</v>
      </c>
      <c r="AE1153" s="108" t="str">
        <f t="shared" si="209"/>
        <v/>
      </c>
      <c r="AF1153" s="108">
        <f t="shared" si="210"/>
        <v>0</v>
      </c>
      <c r="AG1153" s="108">
        <f t="shared" si="211"/>
        <v>0</v>
      </c>
      <c r="AH1153" s="110" t="str">
        <f t="shared" si="212"/>
        <v/>
      </c>
      <c r="AI1153" s="108">
        <f t="shared" si="213"/>
        <v>0</v>
      </c>
      <c r="AJ1153" s="108">
        <f t="shared" si="214"/>
        <v>0</v>
      </c>
      <c r="AK1153" s="108">
        <f>IF($A1153="",0,IF(AND($S1153=1,$W1153=1,$X1153=1,$U1153&gt;Config!$C$9),1,0))</f>
        <v>0</v>
      </c>
      <c r="AL1153" s="108">
        <f t="shared" si="215"/>
        <v>0</v>
      </c>
    </row>
    <row r="1154" spans="19:38" x14ac:dyDescent="0.25">
      <c r="S1154" s="108" t="str">
        <f>IF($A1154="","",COUNTIF(BPOworkers!$B$6:$B$105,$A1154))</f>
        <v/>
      </c>
      <c r="T1154" s="109" t="str">
        <f>IF($A1154="","",$K1154*Config!$C$9)</f>
        <v/>
      </c>
      <c r="U1154" s="109" t="str">
        <f>IF($A1154="","",IF(COUNTIF(Config!$C$21:$C$23,$H1154)&gt;0,IFERROR(VALUE(LEFT(TRIM($Q1154),FIND(" ",TRIM($Q1154)&amp;" ")-1)),0),0))</f>
        <v/>
      </c>
      <c r="V1154" s="109" t="str">
        <f t="shared" ref="V1154:V1217" si="216">IF($A1154="","",$T1154+$U1154)</f>
        <v/>
      </c>
      <c r="W1154" s="108">
        <f>IF($A1154="",0,IF(AND($C1154&gt;=Config!$C$7,$C1154&lt;=Config!$C$8),1,0))</f>
        <v>0</v>
      </c>
      <c r="X1154" s="108">
        <f>IF($A1154="",0,IF(COUNTIF(Config!$C$21:$C$23,$H1154)&gt;0,1,0))</f>
        <v>0</v>
      </c>
      <c r="Y1154" s="108">
        <f t="shared" ref="Y1154:Y1217" si="217">IF($A1154="",MAX(0,Y1153),MAX(0,Y1153)+IF(AND($W1154=1,$X1154=1,$S1154=1),1,0))</f>
        <v>24</v>
      </c>
      <c r="Z1154" s="108" t="str">
        <f t="shared" ref="Z1154:Z1217" si="218">IF($A1154="","",IF(AND($W1154=1,$X1154=1,$S1154=1),$Y1154,""))</f>
        <v/>
      </c>
      <c r="AB1154" s="108">
        <f t="shared" ref="AB1154:AB1217" si="219">IF($A1154="",0,IF(AND($S1154=0,ISERROR(FIND(".",$A1154))),1,0))</f>
        <v>0</v>
      </c>
      <c r="AC1154" s="108">
        <f>IF($A1154="",0,IF(AND($AB1154=1,COUNTIF($A$2:$A1154,$A1154)=1),1,0))</f>
        <v>0</v>
      </c>
      <c r="AD1154" s="108">
        <f t="shared" ref="AD1154:AD1217" si="220">IF($A1154="",MAX(0,AD1153),MAX(0,AD1153)+$AC1154)</f>
        <v>1</v>
      </c>
      <c r="AE1154" s="108" t="str">
        <f t="shared" ref="AE1154:AE1217" si="221">IF($AC1154=1,$AD1154,"")</f>
        <v/>
      </c>
      <c r="AF1154" s="108">
        <f t="shared" ref="AF1154:AF1217" si="222">IF($A1154="",0,IFERROR(IF(AND($S1154=1,WEEKDAY($C1154,2)&gt;5),1,0),0))</f>
        <v>0</v>
      </c>
      <c r="AG1154" s="108">
        <f t="shared" ref="AG1154:AG1217" si="223">IF($A1154="",0,IF(AND($S1154=1,$W1154=0),1,0))</f>
        <v>0</v>
      </c>
      <c r="AH1154" s="110" t="str">
        <f t="shared" ref="AH1154:AH1217" si="224">IF($A1154="","",$A1154&amp;"|"&amp;TEXT($C1154,"yyyymmdd")&amp;"|"&amp;$H1154&amp;"|"&amp;TEXT($K1154,"0.000")&amp;"|"&amp;SUBSTITUTE(SUBSTITUTE(SUBSTITUTE(LEFT($Q1154,120),"~",""),"*",""),"?",""))</f>
        <v/>
      </c>
      <c r="AI1154" s="108">
        <f t="shared" ref="AI1154:AI1217" si="225">IF($A1154="",0,IF(AND($S1154=1,$W1154=1,COUNTIF($AH$2:$AH$1500,$AH1154)&gt;1),1,0))</f>
        <v>0</v>
      </c>
      <c r="AJ1154" s="108">
        <f t="shared" ref="AJ1154:AJ1217" si="226">IF($A1154="",0,IF(AND($S1154=1,$W1154=1,ABS($K1154*8-ROUND($K1154*8,0))&gt;0.0001),1,0))</f>
        <v>0</v>
      </c>
      <c r="AK1154" s="108">
        <f>IF($A1154="",0,IF(AND($S1154=1,$W1154=1,$X1154=1,$U1154&gt;Config!$C$9),1,0))</f>
        <v>0</v>
      </c>
      <c r="AL1154" s="108">
        <f t="shared" ref="AL1154:AL1217" si="227">IF($A1154="",0,IF(AND($S1154=1,$W1154=1,$X1154=1,$U1154=0),1,0))</f>
        <v>0</v>
      </c>
    </row>
    <row r="1155" spans="19:38" x14ac:dyDescent="0.25">
      <c r="S1155" s="108" t="str">
        <f>IF($A1155="","",COUNTIF(BPOworkers!$B$6:$B$105,$A1155))</f>
        <v/>
      </c>
      <c r="T1155" s="109" t="str">
        <f>IF($A1155="","",$K1155*Config!$C$9)</f>
        <v/>
      </c>
      <c r="U1155" s="109" t="str">
        <f>IF($A1155="","",IF(COUNTIF(Config!$C$21:$C$23,$H1155)&gt;0,IFERROR(VALUE(LEFT(TRIM($Q1155),FIND(" ",TRIM($Q1155)&amp;" ")-1)),0),0))</f>
        <v/>
      </c>
      <c r="V1155" s="109" t="str">
        <f t="shared" si="216"/>
        <v/>
      </c>
      <c r="W1155" s="108">
        <f>IF($A1155="",0,IF(AND($C1155&gt;=Config!$C$7,$C1155&lt;=Config!$C$8),1,0))</f>
        <v>0</v>
      </c>
      <c r="X1155" s="108">
        <f>IF($A1155="",0,IF(COUNTIF(Config!$C$21:$C$23,$H1155)&gt;0,1,0))</f>
        <v>0</v>
      </c>
      <c r="Y1155" s="108">
        <f t="shared" si="217"/>
        <v>24</v>
      </c>
      <c r="Z1155" s="108" t="str">
        <f t="shared" si="218"/>
        <v/>
      </c>
      <c r="AB1155" s="108">
        <f t="shared" si="219"/>
        <v>0</v>
      </c>
      <c r="AC1155" s="108">
        <f>IF($A1155="",0,IF(AND($AB1155=1,COUNTIF($A$2:$A1155,$A1155)=1),1,0))</f>
        <v>0</v>
      </c>
      <c r="AD1155" s="108">
        <f t="shared" si="220"/>
        <v>1</v>
      </c>
      <c r="AE1155" s="108" t="str">
        <f t="shared" si="221"/>
        <v/>
      </c>
      <c r="AF1155" s="108">
        <f t="shared" si="222"/>
        <v>0</v>
      </c>
      <c r="AG1155" s="108">
        <f t="shared" si="223"/>
        <v>0</v>
      </c>
      <c r="AH1155" s="110" t="str">
        <f t="shared" si="224"/>
        <v/>
      </c>
      <c r="AI1155" s="108">
        <f t="shared" si="225"/>
        <v>0</v>
      </c>
      <c r="AJ1155" s="108">
        <f t="shared" si="226"/>
        <v>0</v>
      </c>
      <c r="AK1155" s="108">
        <f>IF($A1155="",0,IF(AND($S1155=1,$W1155=1,$X1155=1,$U1155&gt;Config!$C$9),1,0))</f>
        <v>0</v>
      </c>
      <c r="AL1155" s="108">
        <f t="shared" si="227"/>
        <v>0</v>
      </c>
    </row>
    <row r="1156" spans="19:38" x14ac:dyDescent="0.25">
      <c r="S1156" s="108" t="str">
        <f>IF($A1156="","",COUNTIF(BPOworkers!$B$6:$B$105,$A1156))</f>
        <v/>
      </c>
      <c r="T1156" s="109" t="str">
        <f>IF($A1156="","",$K1156*Config!$C$9)</f>
        <v/>
      </c>
      <c r="U1156" s="109" t="str">
        <f>IF($A1156="","",IF(COUNTIF(Config!$C$21:$C$23,$H1156)&gt;0,IFERROR(VALUE(LEFT(TRIM($Q1156),FIND(" ",TRIM($Q1156)&amp;" ")-1)),0),0))</f>
        <v/>
      </c>
      <c r="V1156" s="109" t="str">
        <f t="shared" si="216"/>
        <v/>
      </c>
      <c r="W1156" s="108">
        <f>IF($A1156="",0,IF(AND($C1156&gt;=Config!$C$7,$C1156&lt;=Config!$C$8),1,0))</f>
        <v>0</v>
      </c>
      <c r="X1156" s="108">
        <f>IF($A1156="",0,IF(COUNTIF(Config!$C$21:$C$23,$H1156)&gt;0,1,0))</f>
        <v>0</v>
      </c>
      <c r="Y1156" s="108">
        <f t="shared" si="217"/>
        <v>24</v>
      </c>
      <c r="Z1156" s="108" t="str">
        <f t="shared" si="218"/>
        <v/>
      </c>
      <c r="AB1156" s="108">
        <f t="shared" si="219"/>
        <v>0</v>
      </c>
      <c r="AC1156" s="108">
        <f>IF($A1156="",0,IF(AND($AB1156=1,COUNTIF($A$2:$A1156,$A1156)=1),1,0))</f>
        <v>0</v>
      </c>
      <c r="AD1156" s="108">
        <f t="shared" si="220"/>
        <v>1</v>
      </c>
      <c r="AE1156" s="108" t="str">
        <f t="shared" si="221"/>
        <v/>
      </c>
      <c r="AF1156" s="108">
        <f t="shared" si="222"/>
        <v>0</v>
      </c>
      <c r="AG1156" s="108">
        <f t="shared" si="223"/>
        <v>0</v>
      </c>
      <c r="AH1156" s="110" t="str">
        <f t="shared" si="224"/>
        <v/>
      </c>
      <c r="AI1156" s="108">
        <f t="shared" si="225"/>
        <v>0</v>
      </c>
      <c r="AJ1156" s="108">
        <f t="shared" si="226"/>
        <v>0</v>
      </c>
      <c r="AK1156" s="108">
        <f>IF($A1156="",0,IF(AND($S1156=1,$W1156=1,$X1156=1,$U1156&gt;Config!$C$9),1,0))</f>
        <v>0</v>
      </c>
      <c r="AL1156" s="108">
        <f t="shared" si="227"/>
        <v>0</v>
      </c>
    </row>
    <row r="1157" spans="19:38" x14ac:dyDescent="0.25">
      <c r="S1157" s="108" t="str">
        <f>IF($A1157="","",COUNTIF(BPOworkers!$B$6:$B$105,$A1157))</f>
        <v/>
      </c>
      <c r="T1157" s="109" t="str">
        <f>IF($A1157="","",$K1157*Config!$C$9)</f>
        <v/>
      </c>
      <c r="U1157" s="109" t="str">
        <f>IF($A1157="","",IF(COUNTIF(Config!$C$21:$C$23,$H1157)&gt;0,IFERROR(VALUE(LEFT(TRIM($Q1157),FIND(" ",TRIM($Q1157)&amp;" ")-1)),0),0))</f>
        <v/>
      </c>
      <c r="V1157" s="109" t="str">
        <f t="shared" si="216"/>
        <v/>
      </c>
      <c r="W1157" s="108">
        <f>IF($A1157="",0,IF(AND($C1157&gt;=Config!$C$7,$C1157&lt;=Config!$C$8),1,0))</f>
        <v>0</v>
      </c>
      <c r="X1157" s="108">
        <f>IF($A1157="",0,IF(COUNTIF(Config!$C$21:$C$23,$H1157)&gt;0,1,0))</f>
        <v>0</v>
      </c>
      <c r="Y1157" s="108">
        <f t="shared" si="217"/>
        <v>24</v>
      </c>
      <c r="Z1157" s="108" t="str">
        <f t="shared" si="218"/>
        <v/>
      </c>
      <c r="AB1157" s="108">
        <f t="shared" si="219"/>
        <v>0</v>
      </c>
      <c r="AC1157" s="108">
        <f>IF($A1157="",0,IF(AND($AB1157=1,COUNTIF($A$2:$A1157,$A1157)=1),1,0))</f>
        <v>0</v>
      </c>
      <c r="AD1157" s="108">
        <f t="shared" si="220"/>
        <v>1</v>
      </c>
      <c r="AE1157" s="108" t="str">
        <f t="shared" si="221"/>
        <v/>
      </c>
      <c r="AF1157" s="108">
        <f t="shared" si="222"/>
        <v>0</v>
      </c>
      <c r="AG1157" s="108">
        <f t="shared" si="223"/>
        <v>0</v>
      </c>
      <c r="AH1157" s="110" t="str">
        <f t="shared" si="224"/>
        <v/>
      </c>
      <c r="AI1157" s="108">
        <f t="shared" si="225"/>
        <v>0</v>
      </c>
      <c r="AJ1157" s="108">
        <f t="shared" si="226"/>
        <v>0</v>
      </c>
      <c r="AK1157" s="108">
        <f>IF($A1157="",0,IF(AND($S1157=1,$W1157=1,$X1157=1,$U1157&gt;Config!$C$9),1,0))</f>
        <v>0</v>
      </c>
      <c r="AL1157" s="108">
        <f t="shared" si="227"/>
        <v>0</v>
      </c>
    </row>
    <row r="1158" spans="19:38" x14ac:dyDescent="0.25">
      <c r="S1158" s="108" t="str">
        <f>IF($A1158="","",COUNTIF(BPOworkers!$B$6:$B$105,$A1158))</f>
        <v/>
      </c>
      <c r="T1158" s="109" t="str">
        <f>IF($A1158="","",$K1158*Config!$C$9)</f>
        <v/>
      </c>
      <c r="U1158" s="109" t="str">
        <f>IF($A1158="","",IF(COUNTIF(Config!$C$21:$C$23,$H1158)&gt;0,IFERROR(VALUE(LEFT(TRIM($Q1158),FIND(" ",TRIM($Q1158)&amp;" ")-1)),0),0))</f>
        <v/>
      </c>
      <c r="V1158" s="109" t="str">
        <f t="shared" si="216"/>
        <v/>
      </c>
      <c r="W1158" s="108">
        <f>IF($A1158="",0,IF(AND($C1158&gt;=Config!$C$7,$C1158&lt;=Config!$C$8),1,0))</f>
        <v>0</v>
      </c>
      <c r="X1158" s="108">
        <f>IF($A1158="",0,IF(COUNTIF(Config!$C$21:$C$23,$H1158)&gt;0,1,0))</f>
        <v>0</v>
      </c>
      <c r="Y1158" s="108">
        <f t="shared" si="217"/>
        <v>24</v>
      </c>
      <c r="Z1158" s="108" t="str">
        <f t="shared" si="218"/>
        <v/>
      </c>
      <c r="AB1158" s="108">
        <f t="shared" si="219"/>
        <v>0</v>
      </c>
      <c r="AC1158" s="108">
        <f>IF($A1158="",0,IF(AND($AB1158=1,COUNTIF($A$2:$A1158,$A1158)=1),1,0))</f>
        <v>0</v>
      </c>
      <c r="AD1158" s="108">
        <f t="shared" si="220"/>
        <v>1</v>
      </c>
      <c r="AE1158" s="108" t="str">
        <f t="shared" si="221"/>
        <v/>
      </c>
      <c r="AF1158" s="108">
        <f t="shared" si="222"/>
        <v>0</v>
      </c>
      <c r="AG1158" s="108">
        <f t="shared" si="223"/>
        <v>0</v>
      </c>
      <c r="AH1158" s="110" t="str">
        <f t="shared" si="224"/>
        <v/>
      </c>
      <c r="AI1158" s="108">
        <f t="shared" si="225"/>
        <v>0</v>
      </c>
      <c r="AJ1158" s="108">
        <f t="shared" si="226"/>
        <v>0</v>
      </c>
      <c r="AK1158" s="108">
        <f>IF($A1158="",0,IF(AND($S1158=1,$W1158=1,$X1158=1,$U1158&gt;Config!$C$9),1,0))</f>
        <v>0</v>
      </c>
      <c r="AL1158" s="108">
        <f t="shared" si="227"/>
        <v>0</v>
      </c>
    </row>
    <row r="1159" spans="19:38" x14ac:dyDescent="0.25">
      <c r="S1159" s="108" t="str">
        <f>IF($A1159="","",COUNTIF(BPOworkers!$B$6:$B$105,$A1159))</f>
        <v/>
      </c>
      <c r="T1159" s="109" t="str">
        <f>IF($A1159="","",$K1159*Config!$C$9)</f>
        <v/>
      </c>
      <c r="U1159" s="109" t="str">
        <f>IF($A1159="","",IF(COUNTIF(Config!$C$21:$C$23,$H1159)&gt;0,IFERROR(VALUE(LEFT(TRIM($Q1159),FIND(" ",TRIM($Q1159)&amp;" ")-1)),0),0))</f>
        <v/>
      </c>
      <c r="V1159" s="109" t="str">
        <f t="shared" si="216"/>
        <v/>
      </c>
      <c r="W1159" s="108">
        <f>IF($A1159="",0,IF(AND($C1159&gt;=Config!$C$7,$C1159&lt;=Config!$C$8),1,0))</f>
        <v>0</v>
      </c>
      <c r="X1159" s="108">
        <f>IF($A1159="",0,IF(COUNTIF(Config!$C$21:$C$23,$H1159)&gt;0,1,0))</f>
        <v>0</v>
      </c>
      <c r="Y1159" s="108">
        <f t="shared" si="217"/>
        <v>24</v>
      </c>
      <c r="Z1159" s="108" t="str">
        <f t="shared" si="218"/>
        <v/>
      </c>
      <c r="AB1159" s="108">
        <f t="shared" si="219"/>
        <v>0</v>
      </c>
      <c r="AC1159" s="108">
        <f>IF($A1159="",0,IF(AND($AB1159=1,COUNTIF($A$2:$A1159,$A1159)=1),1,0))</f>
        <v>0</v>
      </c>
      <c r="AD1159" s="108">
        <f t="shared" si="220"/>
        <v>1</v>
      </c>
      <c r="AE1159" s="108" t="str">
        <f t="shared" si="221"/>
        <v/>
      </c>
      <c r="AF1159" s="108">
        <f t="shared" si="222"/>
        <v>0</v>
      </c>
      <c r="AG1159" s="108">
        <f t="shared" si="223"/>
        <v>0</v>
      </c>
      <c r="AH1159" s="110" t="str">
        <f t="shared" si="224"/>
        <v/>
      </c>
      <c r="AI1159" s="108">
        <f t="shared" si="225"/>
        <v>0</v>
      </c>
      <c r="AJ1159" s="108">
        <f t="shared" si="226"/>
        <v>0</v>
      </c>
      <c r="AK1159" s="108">
        <f>IF($A1159="",0,IF(AND($S1159=1,$W1159=1,$X1159=1,$U1159&gt;Config!$C$9),1,0))</f>
        <v>0</v>
      </c>
      <c r="AL1159" s="108">
        <f t="shared" si="227"/>
        <v>0</v>
      </c>
    </row>
    <row r="1160" spans="19:38" x14ac:dyDescent="0.25">
      <c r="S1160" s="108" t="str">
        <f>IF($A1160="","",COUNTIF(BPOworkers!$B$6:$B$105,$A1160))</f>
        <v/>
      </c>
      <c r="T1160" s="109" t="str">
        <f>IF($A1160="","",$K1160*Config!$C$9)</f>
        <v/>
      </c>
      <c r="U1160" s="109" t="str">
        <f>IF($A1160="","",IF(COUNTIF(Config!$C$21:$C$23,$H1160)&gt;0,IFERROR(VALUE(LEFT(TRIM($Q1160),FIND(" ",TRIM($Q1160)&amp;" ")-1)),0),0))</f>
        <v/>
      </c>
      <c r="V1160" s="109" t="str">
        <f t="shared" si="216"/>
        <v/>
      </c>
      <c r="W1160" s="108">
        <f>IF($A1160="",0,IF(AND($C1160&gt;=Config!$C$7,$C1160&lt;=Config!$C$8),1,0))</f>
        <v>0</v>
      </c>
      <c r="X1160" s="108">
        <f>IF($A1160="",0,IF(COUNTIF(Config!$C$21:$C$23,$H1160)&gt;0,1,0))</f>
        <v>0</v>
      </c>
      <c r="Y1160" s="108">
        <f t="shared" si="217"/>
        <v>24</v>
      </c>
      <c r="Z1160" s="108" t="str">
        <f t="shared" si="218"/>
        <v/>
      </c>
      <c r="AB1160" s="108">
        <f t="shared" si="219"/>
        <v>0</v>
      </c>
      <c r="AC1160" s="108">
        <f>IF($A1160="",0,IF(AND($AB1160=1,COUNTIF($A$2:$A1160,$A1160)=1),1,0))</f>
        <v>0</v>
      </c>
      <c r="AD1160" s="108">
        <f t="shared" si="220"/>
        <v>1</v>
      </c>
      <c r="AE1160" s="108" t="str">
        <f t="shared" si="221"/>
        <v/>
      </c>
      <c r="AF1160" s="108">
        <f t="shared" si="222"/>
        <v>0</v>
      </c>
      <c r="AG1160" s="108">
        <f t="shared" si="223"/>
        <v>0</v>
      </c>
      <c r="AH1160" s="110" t="str">
        <f t="shared" si="224"/>
        <v/>
      </c>
      <c r="AI1160" s="108">
        <f t="shared" si="225"/>
        <v>0</v>
      </c>
      <c r="AJ1160" s="108">
        <f t="shared" si="226"/>
        <v>0</v>
      </c>
      <c r="AK1160" s="108">
        <f>IF($A1160="",0,IF(AND($S1160=1,$W1160=1,$X1160=1,$U1160&gt;Config!$C$9),1,0))</f>
        <v>0</v>
      </c>
      <c r="AL1160" s="108">
        <f t="shared" si="227"/>
        <v>0</v>
      </c>
    </row>
    <row r="1161" spans="19:38" x14ac:dyDescent="0.25">
      <c r="S1161" s="108" t="str">
        <f>IF($A1161="","",COUNTIF(BPOworkers!$B$6:$B$105,$A1161))</f>
        <v/>
      </c>
      <c r="T1161" s="109" t="str">
        <f>IF($A1161="","",$K1161*Config!$C$9)</f>
        <v/>
      </c>
      <c r="U1161" s="109" t="str">
        <f>IF($A1161="","",IF(COUNTIF(Config!$C$21:$C$23,$H1161)&gt;0,IFERROR(VALUE(LEFT(TRIM($Q1161),FIND(" ",TRIM($Q1161)&amp;" ")-1)),0),0))</f>
        <v/>
      </c>
      <c r="V1161" s="109" t="str">
        <f t="shared" si="216"/>
        <v/>
      </c>
      <c r="W1161" s="108">
        <f>IF($A1161="",0,IF(AND($C1161&gt;=Config!$C$7,$C1161&lt;=Config!$C$8),1,0))</f>
        <v>0</v>
      </c>
      <c r="X1161" s="108">
        <f>IF($A1161="",0,IF(COUNTIF(Config!$C$21:$C$23,$H1161)&gt;0,1,0))</f>
        <v>0</v>
      </c>
      <c r="Y1161" s="108">
        <f t="shared" si="217"/>
        <v>24</v>
      </c>
      <c r="Z1161" s="108" t="str">
        <f t="shared" si="218"/>
        <v/>
      </c>
      <c r="AB1161" s="108">
        <f t="shared" si="219"/>
        <v>0</v>
      </c>
      <c r="AC1161" s="108">
        <f>IF($A1161="",0,IF(AND($AB1161=1,COUNTIF($A$2:$A1161,$A1161)=1),1,0))</f>
        <v>0</v>
      </c>
      <c r="AD1161" s="108">
        <f t="shared" si="220"/>
        <v>1</v>
      </c>
      <c r="AE1161" s="108" t="str">
        <f t="shared" si="221"/>
        <v/>
      </c>
      <c r="AF1161" s="108">
        <f t="shared" si="222"/>
        <v>0</v>
      </c>
      <c r="AG1161" s="108">
        <f t="shared" si="223"/>
        <v>0</v>
      </c>
      <c r="AH1161" s="110" t="str">
        <f t="shared" si="224"/>
        <v/>
      </c>
      <c r="AI1161" s="108">
        <f t="shared" si="225"/>
        <v>0</v>
      </c>
      <c r="AJ1161" s="108">
        <f t="shared" si="226"/>
        <v>0</v>
      </c>
      <c r="AK1161" s="108">
        <f>IF($A1161="",0,IF(AND($S1161=1,$W1161=1,$X1161=1,$U1161&gt;Config!$C$9),1,0))</f>
        <v>0</v>
      </c>
      <c r="AL1161" s="108">
        <f t="shared" si="227"/>
        <v>0</v>
      </c>
    </row>
    <row r="1162" spans="19:38" x14ac:dyDescent="0.25">
      <c r="S1162" s="108" t="str">
        <f>IF($A1162="","",COUNTIF(BPOworkers!$B$6:$B$105,$A1162))</f>
        <v/>
      </c>
      <c r="T1162" s="109" t="str">
        <f>IF($A1162="","",$K1162*Config!$C$9)</f>
        <v/>
      </c>
      <c r="U1162" s="109" t="str">
        <f>IF($A1162="","",IF(COUNTIF(Config!$C$21:$C$23,$H1162)&gt;0,IFERROR(VALUE(LEFT(TRIM($Q1162),FIND(" ",TRIM($Q1162)&amp;" ")-1)),0),0))</f>
        <v/>
      </c>
      <c r="V1162" s="109" t="str">
        <f t="shared" si="216"/>
        <v/>
      </c>
      <c r="W1162" s="108">
        <f>IF($A1162="",0,IF(AND($C1162&gt;=Config!$C$7,$C1162&lt;=Config!$C$8),1,0))</f>
        <v>0</v>
      </c>
      <c r="X1162" s="108">
        <f>IF($A1162="",0,IF(COUNTIF(Config!$C$21:$C$23,$H1162)&gt;0,1,0))</f>
        <v>0</v>
      </c>
      <c r="Y1162" s="108">
        <f t="shared" si="217"/>
        <v>24</v>
      </c>
      <c r="Z1162" s="108" t="str">
        <f t="shared" si="218"/>
        <v/>
      </c>
      <c r="AB1162" s="108">
        <f t="shared" si="219"/>
        <v>0</v>
      </c>
      <c r="AC1162" s="108">
        <f>IF($A1162="",0,IF(AND($AB1162=1,COUNTIF($A$2:$A1162,$A1162)=1),1,0))</f>
        <v>0</v>
      </c>
      <c r="AD1162" s="108">
        <f t="shared" si="220"/>
        <v>1</v>
      </c>
      <c r="AE1162" s="108" t="str">
        <f t="shared" si="221"/>
        <v/>
      </c>
      <c r="AF1162" s="108">
        <f t="shared" si="222"/>
        <v>0</v>
      </c>
      <c r="AG1162" s="108">
        <f t="shared" si="223"/>
        <v>0</v>
      </c>
      <c r="AH1162" s="110" t="str">
        <f t="shared" si="224"/>
        <v/>
      </c>
      <c r="AI1162" s="108">
        <f t="shared" si="225"/>
        <v>0</v>
      </c>
      <c r="AJ1162" s="108">
        <f t="shared" si="226"/>
        <v>0</v>
      </c>
      <c r="AK1162" s="108">
        <f>IF($A1162="",0,IF(AND($S1162=1,$W1162=1,$X1162=1,$U1162&gt;Config!$C$9),1,0))</f>
        <v>0</v>
      </c>
      <c r="AL1162" s="108">
        <f t="shared" si="227"/>
        <v>0</v>
      </c>
    </row>
    <row r="1163" spans="19:38" x14ac:dyDescent="0.25">
      <c r="S1163" s="108" t="str">
        <f>IF($A1163="","",COUNTIF(BPOworkers!$B$6:$B$105,$A1163))</f>
        <v/>
      </c>
      <c r="T1163" s="109" t="str">
        <f>IF($A1163="","",$K1163*Config!$C$9)</f>
        <v/>
      </c>
      <c r="U1163" s="109" t="str">
        <f>IF($A1163="","",IF(COUNTIF(Config!$C$21:$C$23,$H1163)&gt;0,IFERROR(VALUE(LEFT(TRIM($Q1163),FIND(" ",TRIM($Q1163)&amp;" ")-1)),0),0))</f>
        <v/>
      </c>
      <c r="V1163" s="109" t="str">
        <f t="shared" si="216"/>
        <v/>
      </c>
      <c r="W1163" s="108">
        <f>IF($A1163="",0,IF(AND($C1163&gt;=Config!$C$7,$C1163&lt;=Config!$C$8),1,0))</f>
        <v>0</v>
      </c>
      <c r="X1163" s="108">
        <f>IF($A1163="",0,IF(COUNTIF(Config!$C$21:$C$23,$H1163)&gt;0,1,0))</f>
        <v>0</v>
      </c>
      <c r="Y1163" s="108">
        <f t="shared" si="217"/>
        <v>24</v>
      </c>
      <c r="Z1163" s="108" t="str">
        <f t="shared" si="218"/>
        <v/>
      </c>
      <c r="AB1163" s="108">
        <f t="shared" si="219"/>
        <v>0</v>
      </c>
      <c r="AC1163" s="108">
        <f>IF($A1163="",0,IF(AND($AB1163=1,COUNTIF($A$2:$A1163,$A1163)=1),1,0))</f>
        <v>0</v>
      </c>
      <c r="AD1163" s="108">
        <f t="shared" si="220"/>
        <v>1</v>
      </c>
      <c r="AE1163" s="108" t="str">
        <f t="shared" si="221"/>
        <v/>
      </c>
      <c r="AF1163" s="108">
        <f t="shared" si="222"/>
        <v>0</v>
      </c>
      <c r="AG1163" s="108">
        <f t="shared" si="223"/>
        <v>0</v>
      </c>
      <c r="AH1163" s="110" t="str">
        <f t="shared" si="224"/>
        <v/>
      </c>
      <c r="AI1163" s="108">
        <f t="shared" si="225"/>
        <v>0</v>
      </c>
      <c r="AJ1163" s="108">
        <f t="shared" si="226"/>
        <v>0</v>
      </c>
      <c r="AK1163" s="108">
        <f>IF($A1163="",0,IF(AND($S1163=1,$W1163=1,$X1163=1,$U1163&gt;Config!$C$9),1,0))</f>
        <v>0</v>
      </c>
      <c r="AL1163" s="108">
        <f t="shared" si="227"/>
        <v>0</v>
      </c>
    </row>
    <row r="1164" spans="19:38" x14ac:dyDescent="0.25">
      <c r="S1164" s="108" t="str">
        <f>IF($A1164="","",COUNTIF(BPOworkers!$B$6:$B$105,$A1164))</f>
        <v/>
      </c>
      <c r="T1164" s="109" t="str">
        <f>IF($A1164="","",$K1164*Config!$C$9)</f>
        <v/>
      </c>
      <c r="U1164" s="109" t="str">
        <f>IF($A1164="","",IF(COUNTIF(Config!$C$21:$C$23,$H1164)&gt;0,IFERROR(VALUE(LEFT(TRIM($Q1164),FIND(" ",TRIM($Q1164)&amp;" ")-1)),0),0))</f>
        <v/>
      </c>
      <c r="V1164" s="109" t="str">
        <f t="shared" si="216"/>
        <v/>
      </c>
      <c r="W1164" s="108">
        <f>IF($A1164="",0,IF(AND($C1164&gt;=Config!$C$7,$C1164&lt;=Config!$C$8),1,0))</f>
        <v>0</v>
      </c>
      <c r="X1164" s="108">
        <f>IF($A1164="",0,IF(COUNTIF(Config!$C$21:$C$23,$H1164)&gt;0,1,0))</f>
        <v>0</v>
      </c>
      <c r="Y1164" s="108">
        <f t="shared" si="217"/>
        <v>24</v>
      </c>
      <c r="Z1164" s="108" t="str">
        <f t="shared" si="218"/>
        <v/>
      </c>
      <c r="AB1164" s="108">
        <f t="shared" si="219"/>
        <v>0</v>
      </c>
      <c r="AC1164" s="108">
        <f>IF($A1164="",0,IF(AND($AB1164=1,COUNTIF($A$2:$A1164,$A1164)=1),1,0))</f>
        <v>0</v>
      </c>
      <c r="AD1164" s="108">
        <f t="shared" si="220"/>
        <v>1</v>
      </c>
      <c r="AE1164" s="108" t="str">
        <f t="shared" si="221"/>
        <v/>
      </c>
      <c r="AF1164" s="108">
        <f t="shared" si="222"/>
        <v>0</v>
      </c>
      <c r="AG1164" s="108">
        <f t="shared" si="223"/>
        <v>0</v>
      </c>
      <c r="AH1164" s="110" t="str">
        <f t="shared" si="224"/>
        <v/>
      </c>
      <c r="AI1164" s="108">
        <f t="shared" si="225"/>
        <v>0</v>
      </c>
      <c r="AJ1164" s="108">
        <f t="shared" si="226"/>
        <v>0</v>
      </c>
      <c r="AK1164" s="108">
        <f>IF($A1164="",0,IF(AND($S1164=1,$W1164=1,$X1164=1,$U1164&gt;Config!$C$9),1,0))</f>
        <v>0</v>
      </c>
      <c r="AL1164" s="108">
        <f t="shared" si="227"/>
        <v>0</v>
      </c>
    </row>
    <row r="1165" spans="19:38" x14ac:dyDescent="0.25">
      <c r="S1165" s="108" t="str">
        <f>IF($A1165="","",COUNTIF(BPOworkers!$B$6:$B$105,$A1165))</f>
        <v/>
      </c>
      <c r="T1165" s="109" t="str">
        <f>IF($A1165="","",$K1165*Config!$C$9)</f>
        <v/>
      </c>
      <c r="U1165" s="109" t="str">
        <f>IF($A1165="","",IF(COUNTIF(Config!$C$21:$C$23,$H1165)&gt;0,IFERROR(VALUE(LEFT(TRIM($Q1165),FIND(" ",TRIM($Q1165)&amp;" ")-1)),0),0))</f>
        <v/>
      </c>
      <c r="V1165" s="109" t="str">
        <f t="shared" si="216"/>
        <v/>
      </c>
      <c r="W1165" s="108">
        <f>IF($A1165="",0,IF(AND($C1165&gt;=Config!$C$7,$C1165&lt;=Config!$C$8),1,0))</f>
        <v>0</v>
      </c>
      <c r="X1165" s="108">
        <f>IF($A1165="",0,IF(COUNTIF(Config!$C$21:$C$23,$H1165)&gt;0,1,0))</f>
        <v>0</v>
      </c>
      <c r="Y1165" s="108">
        <f t="shared" si="217"/>
        <v>24</v>
      </c>
      <c r="Z1165" s="108" t="str">
        <f t="shared" si="218"/>
        <v/>
      </c>
      <c r="AB1165" s="108">
        <f t="shared" si="219"/>
        <v>0</v>
      </c>
      <c r="AC1165" s="108">
        <f>IF($A1165="",0,IF(AND($AB1165=1,COUNTIF($A$2:$A1165,$A1165)=1),1,0))</f>
        <v>0</v>
      </c>
      <c r="AD1165" s="108">
        <f t="shared" si="220"/>
        <v>1</v>
      </c>
      <c r="AE1165" s="108" t="str">
        <f t="shared" si="221"/>
        <v/>
      </c>
      <c r="AF1165" s="108">
        <f t="shared" si="222"/>
        <v>0</v>
      </c>
      <c r="AG1165" s="108">
        <f t="shared" si="223"/>
        <v>0</v>
      </c>
      <c r="AH1165" s="110" t="str">
        <f t="shared" si="224"/>
        <v/>
      </c>
      <c r="AI1165" s="108">
        <f t="shared" si="225"/>
        <v>0</v>
      </c>
      <c r="AJ1165" s="108">
        <f t="shared" si="226"/>
        <v>0</v>
      </c>
      <c r="AK1165" s="108">
        <f>IF($A1165="",0,IF(AND($S1165=1,$W1165=1,$X1165=1,$U1165&gt;Config!$C$9),1,0))</f>
        <v>0</v>
      </c>
      <c r="AL1165" s="108">
        <f t="shared" si="227"/>
        <v>0</v>
      </c>
    </row>
    <row r="1166" spans="19:38" x14ac:dyDescent="0.25">
      <c r="S1166" s="108" t="str">
        <f>IF($A1166="","",COUNTIF(BPOworkers!$B$6:$B$105,$A1166))</f>
        <v/>
      </c>
      <c r="T1166" s="109" t="str">
        <f>IF($A1166="","",$K1166*Config!$C$9)</f>
        <v/>
      </c>
      <c r="U1166" s="109" t="str">
        <f>IF($A1166="","",IF(COUNTIF(Config!$C$21:$C$23,$H1166)&gt;0,IFERROR(VALUE(LEFT(TRIM($Q1166),FIND(" ",TRIM($Q1166)&amp;" ")-1)),0),0))</f>
        <v/>
      </c>
      <c r="V1166" s="109" t="str">
        <f t="shared" si="216"/>
        <v/>
      </c>
      <c r="W1166" s="108">
        <f>IF($A1166="",0,IF(AND($C1166&gt;=Config!$C$7,$C1166&lt;=Config!$C$8),1,0))</f>
        <v>0</v>
      </c>
      <c r="X1166" s="108">
        <f>IF($A1166="",0,IF(COUNTIF(Config!$C$21:$C$23,$H1166)&gt;0,1,0))</f>
        <v>0</v>
      </c>
      <c r="Y1166" s="108">
        <f t="shared" si="217"/>
        <v>24</v>
      </c>
      <c r="Z1166" s="108" t="str">
        <f t="shared" si="218"/>
        <v/>
      </c>
      <c r="AB1166" s="108">
        <f t="shared" si="219"/>
        <v>0</v>
      </c>
      <c r="AC1166" s="108">
        <f>IF($A1166="",0,IF(AND($AB1166=1,COUNTIF($A$2:$A1166,$A1166)=1),1,0))</f>
        <v>0</v>
      </c>
      <c r="AD1166" s="108">
        <f t="shared" si="220"/>
        <v>1</v>
      </c>
      <c r="AE1166" s="108" t="str">
        <f t="shared" si="221"/>
        <v/>
      </c>
      <c r="AF1166" s="108">
        <f t="shared" si="222"/>
        <v>0</v>
      </c>
      <c r="AG1166" s="108">
        <f t="shared" si="223"/>
        <v>0</v>
      </c>
      <c r="AH1166" s="110" t="str">
        <f t="shared" si="224"/>
        <v/>
      </c>
      <c r="AI1166" s="108">
        <f t="shared" si="225"/>
        <v>0</v>
      </c>
      <c r="AJ1166" s="108">
        <f t="shared" si="226"/>
        <v>0</v>
      </c>
      <c r="AK1166" s="108">
        <f>IF($A1166="",0,IF(AND($S1166=1,$W1166=1,$X1166=1,$U1166&gt;Config!$C$9),1,0))</f>
        <v>0</v>
      </c>
      <c r="AL1166" s="108">
        <f t="shared" si="227"/>
        <v>0</v>
      </c>
    </row>
    <row r="1167" spans="19:38" x14ac:dyDescent="0.25">
      <c r="S1167" s="108" t="str">
        <f>IF($A1167="","",COUNTIF(BPOworkers!$B$6:$B$105,$A1167))</f>
        <v/>
      </c>
      <c r="T1167" s="109" t="str">
        <f>IF($A1167="","",$K1167*Config!$C$9)</f>
        <v/>
      </c>
      <c r="U1167" s="109" t="str">
        <f>IF($A1167="","",IF(COUNTIF(Config!$C$21:$C$23,$H1167)&gt;0,IFERROR(VALUE(LEFT(TRIM($Q1167),FIND(" ",TRIM($Q1167)&amp;" ")-1)),0),0))</f>
        <v/>
      </c>
      <c r="V1167" s="109" t="str">
        <f t="shared" si="216"/>
        <v/>
      </c>
      <c r="W1167" s="108">
        <f>IF($A1167="",0,IF(AND($C1167&gt;=Config!$C$7,$C1167&lt;=Config!$C$8),1,0))</f>
        <v>0</v>
      </c>
      <c r="X1167" s="108">
        <f>IF($A1167="",0,IF(COUNTIF(Config!$C$21:$C$23,$H1167)&gt;0,1,0))</f>
        <v>0</v>
      </c>
      <c r="Y1167" s="108">
        <f t="shared" si="217"/>
        <v>24</v>
      </c>
      <c r="Z1167" s="108" t="str">
        <f t="shared" si="218"/>
        <v/>
      </c>
      <c r="AB1167" s="108">
        <f t="shared" si="219"/>
        <v>0</v>
      </c>
      <c r="AC1167" s="108">
        <f>IF($A1167="",0,IF(AND($AB1167=1,COUNTIF($A$2:$A1167,$A1167)=1),1,0))</f>
        <v>0</v>
      </c>
      <c r="AD1167" s="108">
        <f t="shared" si="220"/>
        <v>1</v>
      </c>
      <c r="AE1167" s="108" t="str">
        <f t="shared" si="221"/>
        <v/>
      </c>
      <c r="AF1167" s="108">
        <f t="shared" si="222"/>
        <v>0</v>
      </c>
      <c r="AG1167" s="108">
        <f t="shared" si="223"/>
        <v>0</v>
      </c>
      <c r="AH1167" s="110" t="str">
        <f t="shared" si="224"/>
        <v/>
      </c>
      <c r="AI1167" s="108">
        <f t="shared" si="225"/>
        <v>0</v>
      </c>
      <c r="AJ1167" s="108">
        <f t="shared" si="226"/>
        <v>0</v>
      </c>
      <c r="AK1167" s="108">
        <f>IF($A1167="",0,IF(AND($S1167=1,$W1167=1,$X1167=1,$U1167&gt;Config!$C$9),1,0))</f>
        <v>0</v>
      </c>
      <c r="AL1167" s="108">
        <f t="shared" si="227"/>
        <v>0</v>
      </c>
    </row>
    <row r="1168" spans="19:38" x14ac:dyDescent="0.25">
      <c r="S1168" s="108" t="str">
        <f>IF($A1168="","",COUNTIF(BPOworkers!$B$6:$B$105,$A1168))</f>
        <v/>
      </c>
      <c r="T1168" s="109" t="str">
        <f>IF($A1168="","",$K1168*Config!$C$9)</f>
        <v/>
      </c>
      <c r="U1168" s="109" t="str">
        <f>IF($A1168="","",IF(COUNTIF(Config!$C$21:$C$23,$H1168)&gt;0,IFERROR(VALUE(LEFT(TRIM($Q1168),FIND(" ",TRIM($Q1168)&amp;" ")-1)),0),0))</f>
        <v/>
      </c>
      <c r="V1168" s="109" t="str">
        <f t="shared" si="216"/>
        <v/>
      </c>
      <c r="W1168" s="108">
        <f>IF($A1168="",0,IF(AND($C1168&gt;=Config!$C$7,$C1168&lt;=Config!$C$8),1,0))</f>
        <v>0</v>
      </c>
      <c r="X1168" s="108">
        <f>IF($A1168="",0,IF(COUNTIF(Config!$C$21:$C$23,$H1168)&gt;0,1,0))</f>
        <v>0</v>
      </c>
      <c r="Y1168" s="108">
        <f t="shared" si="217"/>
        <v>24</v>
      </c>
      <c r="Z1168" s="108" t="str">
        <f t="shared" si="218"/>
        <v/>
      </c>
      <c r="AB1168" s="108">
        <f t="shared" si="219"/>
        <v>0</v>
      </c>
      <c r="AC1168" s="108">
        <f>IF($A1168="",0,IF(AND($AB1168=1,COUNTIF($A$2:$A1168,$A1168)=1),1,0))</f>
        <v>0</v>
      </c>
      <c r="AD1168" s="108">
        <f t="shared" si="220"/>
        <v>1</v>
      </c>
      <c r="AE1168" s="108" t="str">
        <f t="shared" si="221"/>
        <v/>
      </c>
      <c r="AF1168" s="108">
        <f t="shared" si="222"/>
        <v>0</v>
      </c>
      <c r="AG1168" s="108">
        <f t="shared" si="223"/>
        <v>0</v>
      </c>
      <c r="AH1168" s="110" t="str">
        <f t="shared" si="224"/>
        <v/>
      </c>
      <c r="AI1168" s="108">
        <f t="shared" si="225"/>
        <v>0</v>
      </c>
      <c r="AJ1168" s="108">
        <f t="shared" si="226"/>
        <v>0</v>
      </c>
      <c r="AK1168" s="108">
        <f>IF($A1168="",0,IF(AND($S1168=1,$W1168=1,$X1168=1,$U1168&gt;Config!$C$9),1,0))</f>
        <v>0</v>
      </c>
      <c r="AL1168" s="108">
        <f t="shared" si="227"/>
        <v>0</v>
      </c>
    </row>
    <row r="1169" spans="19:38" x14ac:dyDescent="0.25">
      <c r="S1169" s="108" t="str">
        <f>IF($A1169="","",COUNTIF(BPOworkers!$B$6:$B$105,$A1169))</f>
        <v/>
      </c>
      <c r="T1169" s="109" t="str">
        <f>IF($A1169="","",$K1169*Config!$C$9)</f>
        <v/>
      </c>
      <c r="U1169" s="109" t="str">
        <f>IF($A1169="","",IF(COUNTIF(Config!$C$21:$C$23,$H1169)&gt;0,IFERROR(VALUE(LEFT(TRIM($Q1169),FIND(" ",TRIM($Q1169)&amp;" ")-1)),0),0))</f>
        <v/>
      </c>
      <c r="V1169" s="109" t="str">
        <f t="shared" si="216"/>
        <v/>
      </c>
      <c r="W1169" s="108">
        <f>IF($A1169="",0,IF(AND($C1169&gt;=Config!$C$7,$C1169&lt;=Config!$C$8),1,0))</f>
        <v>0</v>
      </c>
      <c r="X1169" s="108">
        <f>IF($A1169="",0,IF(COUNTIF(Config!$C$21:$C$23,$H1169)&gt;0,1,0))</f>
        <v>0</v>
      </c>
      <c r="Y1169" s="108">
        <f t="shared" si="217"/>
        <v>24</v>
      </c>
      <c r="Z1169" s="108" t="str">
        <f t="shared" si="218"/>
        <v/>
      </c>
      <c r="AB1169" s="108">
        <f t="shared" si="219"/>
        <v>0</v>
      </c>
      <c r="AC1169" s="108">
        <f>IF($A1169="",0,IF(AND($AB1169=1,COUNTIF($A$2:$A1169,$A1169)=1),1,0))</f>
        <v>0</v>
      </c>
      <c r="AD1169" s="108">
        <f t="shared" si="220"/>
        <v>1</v>
      </c>
      <c r="AE1169" s="108" t="str">
        <f t="shared" si="221"/>
        <v/>
      </c>
      <c r="AF1169" s="108">
        <f t="shared" si="222"/>
        <v>0</v>
      </c>
      <c r="AG1169" s="108">
        <f t="shared" si="223"/>
        <v>0</v>
      </c>
      <c r="AH1169" s="110" t="str">
        <f t="shared" si="224"/>
        <v/>
      </c>
      <c r="AI1169" s="108">
        <f t="shared" si="225"/>
        <v>0</v>
      </c>
      <c r="AJ1169" s="108">
        <f t="shared" si="226"/>
        <v>0</v>
      </c>
      <c r="AK1169" s="108">
        <f>IF($A1169="",0,IF(AND($S1169=1,$W1169=1,$X1169=1,$U1169&gt;Config!$C$9),1,0))</f>
        <v>0</v>
      </c>
      <c r="AL1169" s="108">
        <f t="shared" si="227"/>
        <v>0</v>
      </c>
    </row>
    <row r="1170" spans="19:38" x14ac:dyDescent="0.25">
      <c r="S1170" s="108" t="str">
        <f>IF($A1170="","",COUNTIF(BPOworkers!$B$6:$B$105,$A1170))</f>
        <v/>
      </c>
      <c r="T1170" s="109" t="str">
        <f>IF($A1170="","",$K1170*Config!$C$9)</f>
        <v/>
      </c>
      <c r="U1170" s="109" t="str">
        <f>IF($A1170="","",IF(COUNTIF(Config!$C$21:$C$23,$H1170)&gt;0,IFERROR(VALUE(LEFT(TRIM($Q1170),FIND(" ",TRIM($Q1170)&amp;" ")-1)),0),0))</f>
        <v/>
      </c>
      <c r="V1170" s="109" t="str">
        <f t="shared" si="216"/>
        <v/>
      </c>
      <c r="W1170" s="108">
        <f>IF($A1170="",0,IF(AND($C1170&gt;=Config!$C$7,$C1170&lt;=Config!$C$8),1,0))</f>
        <v>0</v>
      </c>
      <c r="X1170" s="108">
        <f>IF($A1170="",0,IF(COUNTIF(Config!$C$21:$C$23,$H1170)&gt;0,1,0))</f>
        <v>0</v>
      </c>
      <c r="Y1170" s="108">
        <f t="shared" si="217"/>
        <v>24</v>
      </c>
      <c r="Z1170" s="108" t="str">
        <f t="shared" si="218"/>
        <v/>
      </c>
      <c r="AB1170" s="108">
        <f t="shared" si="219"/>
        <v>0</v>
      </c>
      <c r="AC1170" s="108">
        <f>IF($A1170="",0,IF(AND($AB1170=1,COUNTIF($A$2:$A1170,$A1170)=1),1,0))</f>
        <v>0</v>
      </c>
      <c r="AD1170" s="108">
        <f t="shared" si="220"/>
        <v>1</v>
      </c>
      <c r="AE1170" s="108" t="str">
        <f t="shared" si="221"/>
        <v/>
      </c>
      <c r="AF1170" s="108">
        <f t="shared" si="222"/>
        <v>0</v>
      </c>
      <c r="AG1170" s="108">
        <f t="shared" si="223"/>
        <v>0</v>
      </c>
      <c r="AH1170" s="110" t="str">
        <f t="shared" si="224"/>
        <v/>
      </c>
      <c r="AI1170" s="108">
        <f t="shared" si="225"/>
        <v>0</v>
      </c>
      <c r="AJ1170" s="108">
        <f t="shared" si="226"/>
        <v>0</v>
      </c>
      <c r="AK1170" s="108">
        <f>IF($A1170="",0,IF(AND($S1170=1,$W1170=1,$X1170=1,$U1170&gt;Config!$C$9),1,0))</f>
        <v>0</v>
      </c>
      <c r="AL1170" s="108">
        <f t="shared" si="227"/>
        <v>0</v>
      </c>
    </row>
    <row r="1171" spans="19:38" x14ac:dyDescent="0.25">
      <c r="S1171" s="108" t="str">
        <f>IF($A1171="","",COUNTIF(BPOworkers!$B$6:$B$105,$A1171))</f>
        <v/>
      </c>
      <c r="T1171" s="109" t="str">
        <f>IF($A1171="","",$K1171*Config!$C$9)</f>
        <v/>
      </c>
      <c r="U1171" s="109" t="str">
        <f>IF($A1171="","",IF(COUNTIF(Config!$C$21:$C$23,$H1171)&gt;0,IFERROR(VALUE(LEFT(TRIM($Q1171),FIND(" ",TRIM($Q1171)&amp;" ")-1)),0),0))</f>
        <v/>
      </c>
      <c r="V1171" s="109" t="str">
        <f t="shared" si="216"/>
        <v/>
      </c>
      <c r="W1171" s="108">
        <f>IF($A1171="",0,IF(AND($C1171&gt;=Config!$C$7,$C1171&lt;=Config!$C$8),1,0))</f>
        <v>0</v>
      </c>
      <c r="X1171" s="108">
        <f>IF($A1171="",0,IF(COUNTIF(Config!$C$21:$C$23,$H1171)&gt;0,1,0))</f>
        <v>0</v>
      </c>
      <c r="Y1171" s="108">
        <f t="shared" si="217"/>
        <v>24</v>
      </c>
      <c r="Z1171" s="108" t="str">
        <f t="shared" si="218"/>
        <v/>
      </c>
      <c r="AB1171" s="108">
        <f t="shared" si="219"/>
        <v>0</v>
      </c>
      <c r="AC1171" s="108">
        <f>IF($A1171="",0,IF(AND($AB1171=1,COUNTIF($A$2:$A1171,$A1171)=1),1,0))</f>
        <v>0</v>
      </c>
      <c r="AD1171" s="108">
        <f t="shared" si="220"/>
        <v>1</v>
      </c>
      <c r="AE1171" s="108" t="str">
        <f t="shared" si="221"/>
        <v/>
      </c>
      <c r="AF1171" s="108">
        <f t="shared" si="222"/>
        <v>0</v>
      </c>
      <c r="AG1171" s="108">
        <f t="shared" si="223"/>
        <v>0</v>
      </c>
      <c r="AH1171" s="110" t="str">
        <f t="shared" si="224"/>
        <v/>
      </c>
      <c r="AI1171" s="108">
        <f t="shared" si="225"/>
        <v>0</v>
      </c>
      <c r="AJ1171" s="108">
        <f t="shared" si="226"/>
        <v>0</v>
      </c>
      <c r="AK1171" s="108">
        <f>IF($A1171="",0,IF(AND($S1171=1,$W1171=1,$X1171=1,$U1171&gt;Config!$C$9),1,0))</f>
        <v>0</v>
      </c>
      <c r="AL1171" s="108">
        <f t="shared" si="227"/>
        <v>0</v>
      </c>
    </row>
    <row r="1172" spans="19:38" x14ac:dyDescent="0.25">
      <c r="S1172" s="108" t="str">
        <f>IF($A1172="","",COUNTIF(BPOworkers!$B$6:$B$105,$A1172))</f>
        <v/>
      </c>
      <c r="T1172" s="109" t="str">
        <f>IF($A1172="","",$K1172*Config!$C$9)</f>
        <v/>
      </c>
      <c r="U1172" s="109" t="str">
        <f>IF($A1172="","",IF(COUNTIF(Config!$C$21:$C$23,$H1172)&gt;0,IFERROR(VALUE(LEFT(TRIM($Q1172),FIND(" ",TRIM($Q1172)&amp;" ")-1)),0),0))</f>
        <v/>
      </c>
      <c r="V1172" s="109" t="str">
        <f t="shared" si="216"/>
        <v/>
      </c>
      <c r="W1172" s="108">
        <f>IF($A1172="",0,IF(AND($C1172&gt;=Config!$C$7,$C1172&lt;=Config!$C$8),1,0))</f>
        <v>0</v>
      </c>
      <c r="X1172" s="108">
        <f>IF($A1172="",0,IF(COUNTIF(Config!$C$21:$C$23,$H1172)&gt;0,1,0))</f>
        <v>0</v>
      </c>
      <c r="Y1172" s="108">
        <f t="shared" si="217"/>
        <v>24</v>
      </c>
      <c r="Z1172" s="108" t="str">
        <f t="shared" si="218"/>
        <v/>
      </c>
      <c r="AB1172" s="108">
        <f t="shared" si="219"/>
        <v>0</v>
      </c>
      <c r="AC1172" s="108">
        <f>IF($A1172="",0,IF(AND($AB1172=1,COUNTIF($A$2:$A1172,$A1172)=1),1,0))</f>
        <v>0</v>
      </c>
      <c r="AD1172" s="108">
        <f t="shared" si="220"/>
        <v>1</v>
      </c>
      <c r="AE1172" s="108" t="str">
        <f t="shared" si="221"/>
        <v/>
      </c>
      <c r="AF1172" s="108">
        <f t="shared" si="222"/>
        <v>0</v>
      </c>
      <c r="AG1172" s="108">
        <f t="shared" si="223"/>
        <v>0</v>
      </c>
      <c r="AH1172" s="110" t="str">
        <f t="shared" si="224"/>
        <v/>
      </c>
      <c r="AI1172" s="108">
        <f t="shared" si="225"/>
        <v>0</v>
      </c>
      <c r="AJ1172" s="108">
        <f t="shared" si="226"/>
        <v>0</v>
      </c>
      <c r="AK1172" s="108">
        <f>IF($A1172="",0,IF(AND($S1172=1,$W1172=1,$X1172=1,$U1172&gt;Config!$C$9),1,0))</f>
        <v>0</v>
      </c>
      <c r="AL1172" s="108">
        <f t="shared" si="227"/>
        <v>0</v>
      </c>
    </row>
    <row r="1173" spans="19:38" x14ac:dyDescent="0.25">
      <c r="S1173" s="108" t="str">
        <f>IF($A1173="","",COUNTIF(BPOworkers!$B$6:$B$105,$A1173))</f>
        <v/>
      </c>
      <c r="T1173" s="109" t="str">
        <f>IF($A1173="","",$K1173*Config!$C$9)</f>
        <v/>
      </c>
      <c r="U1173" s="109" t="str">
        <f>IF($A1173="","",IF(COUNTIF(Config!$C$21:$C$23,$H1173)&gt;0,IFERROR(VALUE(LEFT(TRIM($Q1173),FIND(" ",TRIM($Q1173)&amp;" ")-1)),0),0))</f>
        <v/>
      </c>
      <c r="V1173" s="109" t="str">
        <f t="shared" si="216"/>
        <v/>
      </c>
      <c r="W1173" s="108">
        <f>IF($A1173="",0,IF(AND($C1173&gt;=Config!$C$7,$C1173&lt;=Config!$C$8),1,0))</f>
        <v>0</v>
      </c>
      <c r="X1173" s="108">
        <f>IF($A1173="",0,IF(COUNTIF(Config!$C$21:$C$23,$H1173)&gt;0,1,0))</f>
        <v>0</v>
      </c>
      <c r="Y1173" s="108">
        <f t="shared" si="217"/>
        <v>24</v>
      </c>
      <c r="Z1173" s="108" t="str">
        <f t="shared" si="218"/>
        <v/>
      </c>
      <c r="AB1173" s="108">
        <f t="shared" si="219"/>
        <v>0</v>
      </c>
      <c r="AC1173" s="108">
        <f>IF($A1173="",0,IF(AND($AB1173=1,COUNTIF($A$2:$A1173,$A1173)=1),1,0))</f>
        <v>0</v>
      </c>
      <c r="AD1173" s="108">
        <f t="shared" si="220"/>
        <v>1</v>
      </c>
      <c r="AE1173" s="108" t="str">
        <f t="shared" si="221"/>
        <v/>
      </c>
      <c r="AF1173" s="108">
        <f t="shared" si="222"/>
        <v>0</v>
      </c>
      <c r="AG1173" s="108">
        <f t="shared" si="223"/>
        <v>0</v>
      </c>
      <c r="AH1173" s="110" t="str">
        <f t="shared" si="224"/>
        <v/>
      </c>
      <c r="AI1173" s="108">
        <f t="shared" si="225"/>
        <v>0</v>
      </c>
      <c r="AJ1173" s="108">
        <f t="shared" si="226"/>
        <v>0</v>
      </c>
      <c r="AK1173" s="108">
        <f>IF($A1173="",0,IF(AND($S1173=1,$W1173=1,$X1173=1,$U1173&gt;Config!$C$9),1,0))</f>
        <v>0</v>
      </c>
      <c r="AL1173" s="108">
        <f t="shared" si="227"/>
        <v>0</v>
      </c>
    </row>
    <row r="1174" spans="19:38" x14ac:dyDescent="0.25">
      <c r="S1174" s="108" t="str">
        <f>IF($A1174="","",COUNTIF(BPOworkers!$B$6:$B$105,$A1174))</f>
        <v/>
      </c>
      <c r="T1174" s="109" t="str">
        <f>IF($A1174="","",$K1174*Config!$C$9)</f>
        <v/>
      </c>
      <c r="U1174" s="109" t="str">
        <f>IF($A1174="","",IF(COUNTIF(Config!$C$21:$C$23,$H1174)&gt;0,IFERROR(VALUE(LEFT(TRIM($Q1174),FIND(" ",TRIM($Q1174)&amp;" ")-1)),0),0))</f>
        <v/>
      </c>
      <c r="V1174" s="109" t="str">
        <f t="shared" si="216"/>
        <v/>
      </c>
      <c r="W1174" s="108">
        <f>IF($A1174="",0,IF(AND($C1174&gt;=Config!$C$7,$C1174&lt;=Config!$C$8),1,0))</f>
        <v>0</v>
      </c>
      <c r="X1174" s="108">
        <f>IF($A1174="",0,IF(COUNTIF(Config!$C$21:$C$23,$H1174)&gt;0,1,0))</f>
        <v>0</v>
      </c>
      <c r="Y1174" s="108">
        <f t="shared" si="217"/>
        <v>24</v>
      </c>
      <c r="Z1174" s="108" t="str">
        <f t="shared" si="218"/>
        <v/>
      </c>
      <c r="AB1174" s="108">
        <f t="shared" si="219"/>
        <v>0</v>
      </c>
      <c r="AC1174" s="108">
        <f>IF($A1174="",0,IF(AND($AB1174=1,COUNTIF($A$2:$A1174,$A1174)=1),1,0))</f>
        <v>0</v>
      </c>
      <c r="AD1174" s="108">
        <f t="shared" si="220"/>
        <v>1</v>
      </c>
      <c r="AE1174" s="108" t="str">
        <f t="shared" si="221"/>
        <v/>
      </c>
      <c r="AF1174" s="108">
        <f t="shared" si="222"/>
        <v>0</v>
      </c>
      <c r="AG1174" s="108">
        <f t="shared" si="223"/>
        <v>0</v>
      </c>
      <c r="AH1174" s="110" t="str">
        <f t="shared" si="224"/>
        <v/>
      </c>
      <c r="AI1174" s="108">
        <f t="shared" si="225"/>
        <v>0</v>
      </c>
      <c r="AJ1174" s="108">
        <f t="shared" si="226"/>
        <v>0</v>
      </c>
      <c r="AK1174" s="108">
        <f>IF($A1174="",0,IF(AND($S1174=1,$W1174=1,$X1174=1,$U1174&gt;Config!$C$9),1,0))</f>
        <v>0</v>
      </c>
      <c r="AL1174" s="108">
        <f t="shared" si="227"/>
        <v>0</v>
      </c>
    </row>
    <row r="1175" spans="19:38" x14ac:dyDescent="0.25">
      <c r="S1175" s="108" t="str">
        <f>IF($A1175="","",COUNTIF(BPOworkers!$B$6:$B$105,$A1175))</f>
        <v/>
      </c>
      <c r="T1175" s="109" t="str">
        <f>IF($A1175="","",$K1175*Config!$C$9)</f>
        <v/>
      </c>
      <c r="U1175" s="109" t="str">
        <f>IF($A1175="","",IF(COUNTIF(Config!$C$21:$C$23,$H1175)&gt;0,IFERROR(VALUE(LEFT(TRIM($Q1175),FIND(" ",TRIM($Q1175)&amp;" ")-1)),0),0))</f>
        <v/>
      </c>
      <c r="V1175" s="109" t="str">
        <f t="shared" si="216"/>
        <v/>
      </c>
      <c r="W1175" s="108">
        <f>IF($A1175="",0,IF(AND($C1175&gt;=Config!$C$7,$C1175&lt;=Config!$C$8),1,0))</f>
        <v>0</v>
      </c>
      <c r="X1175" s="108">
        <f>IF($A1175="",0,IF(COUNTIF(Config!$C$21:$C$23,$H1175)&gt;0,1,0))</f>
        <v>0</v>
      </c>
      <c r="Y1175" s="108">
        <f t="shared" si="217"/>
        <v>24</v>
      </c>
      <c r="Z1175" s="108" t="str">
        <f t="shared" si="218"/>
        <v/>
      </c>
      <c r="AB1175" s="108">
        <f t="shared" si="219"/>
        <v>0</v>
      </c>
      <c r="AC1175" s="108">
        <f>IF($A1175="",0,IF(AND($AB1175=1,COUNTIF($A$2:$A1175,$A1175)=1),1,0))</f>
        <v>0</v>
      </c>
      <c r="AD1175" s="108">
        <f t="shared" si="220"/>
        <v>1</v>
      </c>
      <c r="AE1175" s="108" t="str">
        <f t="shared" si="221"/>
        <v/>
      </c>
      <c r="AF1175" s="108">
        <f t="shared" si="222"/>
        <v>0</v>
      </c>
      <c r="AG1175" s="108">
        <f t="shared" si="223"/>
        <v>0</v>
      </c>
      <c r="AH1175" s="110" t="str">
        <f t="shared" si="224"/>
        <v/>
      </c>
      <c r="AI1175" s="108">
        <f t="shared" si="225"/>
        <v>0</v>
      </c>
      <c r="AJ1175" s="108">
        <f t="shared" si="226"/>
        <v>0</v>
      </c>
      <c r="AK1175" s="108">
        <f>IF($A1175="",0,IF(AND($S1175=1,$W1175=1,$X1175=1,$U1175&gt;Config!$C$9),1,0))</f>
        <v>0</v>
      </c>
      <c r="AL1175" s="108">
        <f t="shared" si="227"/>
        <v>0</v>
      </c>
    </row>
    <row r="1176" spans="19:38" x14ac:dyDescent="0.25">
      <c r="S1176" s="108" t="str">
        <f>IF($A1176="","",COUNTIF(BPOworkers!$B$6:$B$105,$A1176))</f>
        <v/>
      </c>
      <c r="T1176" s="109" t="str">
        <f>IF($A1176="","",$K1176*Config!$C$9)</f>
        <v/>
      </c>
      <c r="U1176" s="109" t="str">
        <f>IF($A1176="","",IF(COUNTIF(Config!$C$21:$C$23,$H1176)&gt;0,IFERROR(VALUE(LEFT(TRIM($Q1176),FIND(" ",TRIM($Q1176)&amp;" ")-1)),0),0))</f>
        <v/>
      </c>
      <c r="V1176" s="109" t="str">
        <f t="shared" si="216"/>
        <v/>
      </c>
      <c r="W1176" s="108">
        <f>IF($A1176="",0,IF(AND($C1176&gt;=Config!$C$7,$C1176&lt;=Config!$C$8),1,0))</f>
        <v>0</v>
      </c>
      <c r="X1176" s="108">
        <f>IF($A1176="",0,IF(COUNTIF(Config!$C$21:$C$23,$H1176)&gt;0,1,0))</f>
        <v>0</v>
      </c>
      <c r="Y1176" s="108">
        <f t="shared" si="217"/>
        <v>24</v>
      </c>
      <c r="Z1176" s="108" t="str">
        <f t="shared" si="218"/>
        <v/>
      </c>
      <c r="AB1176" s="108">
        <f t="shared" si="219"/>
        <v>0</v>
      </c>
      <c r="AC1176" s="108">
        <f>IF($A1176="",0,IF(AND($AB1176=1,COUNTIF($A$2:$A1176,$A1176)=1),1,0))</f>
        <v>0</v>
      </c>
      <c r="AD1176" s="108">
        <f t="shared" si="220"/>
        <v>1</v>
      </c>
      <c r="AE1176" s="108" t="str">
        <f t="shared" si="221"/>
        <v/>
      </c>
      <c r="AF1176" s="108">
        <f t="shared" si="222"/>
        <v>0</v>
      </c>
      <c r="AG1176" s="108">
        <f t="shared" si="223"/>
        <v>0</v>
      </c>
      <c r="AH1176" s="110" t="str">
        <f t="shared" si="224"/>
        <v/>
      </c>
      <c r="AI1176" s="108">
        <f t="shared" si="225"/>
        <v>0</v>
      </c>
      <c r="AJ1176" s="108">
        <f t="shared" si="226"/>
        <v>0</v>
      </c>
      <c r="AK1176" s="108">
        <f>IF($A1176="",0,IF(AND($S1176=1,$W1176=1,$X1176=1,$U1176&gt;Config!$C$9),1,0))</f>
        <v>0</v>
      </c>
      <c r="AL1176" s="108">
        <f t="shared" si="227"/>
        <v>0</v>
      </c>
    </row>
    <row r="1177" spans="19:38" x14ac:dyDescent="0.25">
      <c r="S1177" s="108" t="str">
        <f>IF($A1177="","",COUNTIF(BPOworkers!$B$6:$B$105,$A1177))</f>
        <v/>
      </c>
      <c r="T1177" s="109" t="str">
        <f>IF($A1177="","",$K1177*Config!$C$9)</f>
        <v/>
      </c>
      <c r="U1177" s="109" t="str">
        <f>IF($A1177="","",IF(COUNTIF(Config!$C$21:$C$23,$H1177)&gt;0,IFERROR(VALUE(LEFT(TRIM($Q1177),FIND(" ",TRIM($Q1177)&amp;" ")-1)),0),0))</f>
        <v/>
      </c>
      <c r="V1177" s="109" t="str">
        <f t="shared" si="216"/>
        <v/>
      </c>
      <c r="W1177" s="108">
        <f>IF($A1177="",0,IF(AND($C1177&gt;=Config!$C$7,$C1177&lt;=Config!$C$8),1,0))</f>
        <v>0</v>
      </c>
      <c r="X1177" s="108">
        <f>IF($A1177="",0,IF(COUNTIF(Config!$C$21:$C$23,$H1177)&gt;0,1,0))</f>
        <v>0</v>
      </c>
      <c r="Y1177" s="108">
        <f t="shared" si="217"/>
        <v>24</v>
      </c>
      <c r="Z1177" s="108" t="str">
        <f t="shared" si="218"/>
        <v/>
      </c>
      <c r="AB1177" s="108">
        <f t="shared" si="219"/>
        <v>0</v>
      </c>
      <c r="AC1177" s="108">
        <f>IF($A1177="",0,IF(AND($AB1177=1,COUNTIF($A$2:$A1177,$A1177)=1),1,0))</f>
        <v>0</v>
      </c>
      <c r="AD1177" s="108">
        <f t="shared" si="220"/>
        <v>1</v>
      </c>
      <c r="AE1177" s="108" t="str">
        <f t="shared" si="221"/>
        <v/>
      </c>
      <c r="AF1177" s="108">
        <f t="shared" si="222"/>
        <v>0</v>
      </c>
      <c r="AG1177" s="108">
        <f t="shared" si="223"/>
        <v>0</v>
      </c>
      <c r="AH1177" s="110" t="str">
        <f t="shared" si="224"/>
        <v/>
      </c>
      <c r="AI1177" s="108">
        <f t="shared" si="225"/>
        <v>0</v>
      </c>
      <c r="AJ1177" s="108">
        <f t="shared" si="226"/>
        <v>0</v>
      </c>
      <c r="AK1177" s="108">
        <f>IF($A1177="",0,IF(AND($S1177=1,$W1177=1,$X1177=1,$U1177&gt;Config!$C$9),1,0))</f>
        <v>0</v>
      </c>
      <c r="AL1177" s="108">
        <f t="shared" si="227"/>
        <v>0</v>
      </c>
    </row>
    <row r="1178" spans="19:38" x14ac:dyDescent="0.25">
      <c r="S1178" s="108" t="str">
        <f>IF($A1178="","",COUNTIF(BPOworkers!$B$6:$B$105,$A1178))</f>
        <v/>
      </c>
      <c r="T1178" s="109" t="str">
        <f>IF($A1178="","",$K1178*Config!$C$9)</f>
        <v/>
      </c>
      <c r="U1178" s="109" t="str">
        <f>IF($A1178="","",IF(COUNTIF(Config!$C$21:$C$23,$H1178)&gt;0,IFERROR(VALUE(LEFT(TRIM($Q1178),FIND(" ",TRIM($Q1178)&amp;" ")-1)),0),0))</f>
        <v/>
      </c>
      <c r="V1178" s="109" t="str">
        <f t="shared" si="216"/>
        <v/>
      </c>
      <c r="W1178" s="108">
        <f>IF($A1178="",0,IF(AND($C1178&gt;=Config!$C$7,$C1178&lt;=Config!$C$8),1,0))</f>
        <v>0</v>
      </c>
      <c r="X1178" s="108">
        <f>IF($A1178="",0,IF(COUNTIF(Config!$C$21:$C$23,$H1178)&gt;0,1,0))</f>
        <v>0</v>
      </c>
      <c r="Y1178" s="108">
        <f t="shared" si="217"/>
        <v>24</v>
      </c>
      <c r="Z1178" s="108" t="str">
        <f t="shared" si="218"/>
        <v/>
      </c>
      <c r="AB1178" s="108">
        <f t="shared" si="219"/>
        <v>0</v>
      </c>
      <c r="AC1178" s="108">
        <f>IF($A1178="",0,IF(AND($AB1178=1,COUNTIF($A$2:$A1178,$A1178)=1),1,0))</f>
        <v>0</v>
      </c>
      <c r="AD1178" s="108">
        <f t="shared" si="220"/>
        <v>1</v>
      </c>
      <c r="AE1178" s="108" t="str">
        <f t="shared" si="221"/>
        <v/>
      </c>
      <c r="AF1178" s="108">
        <f t="shared" si="222"/>
        <v>0</v>
      </c>
      <c r="AG1178" s="108">
        <f t="shared" si="223"/>
        <v>0</v>
      </c>
      <c r="AH1178" s="110" t="str">
        <f t="shared" si="224"/>
        <v/>
      </c>
      <c r="AI1178" s="108">
        <f t="shared" si="225"/>
        <v>0</v>
      </c>
      <c r="AJ1178" s="108">
        <f t="shared" si="226"/>
        <v>0</v>
      </c>
      <c r="AK1178" s="108">
        <f>IF($A1178="",0,IF(AND($S1178=1,$W1178=1,$X1178=1,$U1178&gt;Config!$C$9),1,0))</f>
        <v>0</v>
      </c>
      <c r="AL1178" s="108">
        <f t="shared" si="227"/>
        <v>0</v>
      </c>
    </row>
    <row r="1179" spans="19:38" x14ac:dyDescent="0.25">
      <c r="S1179" s="108" t="str">
        <f>IF($A1179="","",COUNTIF(BPOworkers!$B$6:$B$105,$A1179))</f>
        <v/>
      </c>
      <c r="T1179" s="109" t="str">
        <f>IF($A1179="","",$K1179*Config!$C$9)</f>
        <v/>
      </c>
      <c r="U1179" s="109" t="str">
        <f>IF($A1179="","",IF(COUNTIF(Config!$C$21:$C$23,$H1179)&gt;0,IFERROR(VALUE(LEFT(TRIM($Q1179),FIND(" ",TRIM($Q1179)&amp;" ")-1)),0),0))</f>
        <v/>
      </c>
      <c r="V1179" s="109" t="str">
        <f t="shared" si="216"/>
        <v/>
      </c>
      <c r="W1179" s="108">
        <f>IF($A1179="",0,IF(AND($C1179&gt;=Config!$C$7,$C1179&lt;=Config!$C$8),1,0))</f>
        <v>0</v>
      </c>
      <c r="X1179" s="108">
        <f>IF($A1179="",0,IF(COUNTIF(Config!$C$21:$C$23,$H1179)&gt;0,1,0))</f>
        <v>0</v>
      </c>
      <c r="Y1179" s="108">
        <f t="shared" si="217"/>
        <v>24</v>
      </c>
      <c r="Z1179" s="108" t="str">
        <f t="shared" si="218"/>
        <v/>
      </c>
      <c r="AB1179" s="108">
        <f t="shared" si="219"/>
        <v>0</v>
      </c>
      <c r="AC1179" s="108">
        <f>IF($A1179="",0,IF(AND($AB1179=1,COUNTIF($A$2:$A1179,$A1179)=1),1,0))</f>
        <v>0</v>
      </c>
      <c r="AD1179" s="108">
        <f t="shared" si="220"/>
        <v>1</v>
      </c>
      <c r="AE1179" s="108" t="str">
        <f t="shared" si="221"/>
        <v/>
      </c>
      <c r="AF1179" s="108">
        <f t="shared" si="222"/>
        <v>0</v>
      </c>
      <c r="AG1179" s="108">
        <f t="shared" si="223"/>
        <v>0</v>
      </c>
      <c r="AH1179" s="110" t="str">
        <f t="shared" si="224"/>
        <v/>
      </c>
      <c r="AI1179" s="108">
        <f t="shared" si="225"/>
        <v>0</v>
      </c>
      <c r="AJ1179" s="108">
        <f t="shared" si="226"/>
        <v>0</v>
      </c>
      <c r="AK1179" s="108">
        <f>IF($A1179="",0,IF(AND($S1179=1,$W1179=1,$X1179=1,$U1179&gt;Config!$C$9),1,0))</f>
        <v>0</v>
      </c>
      <c r="AL1179" s="108">
        <f t="shared" si="227"/>
        <v>0</v>
      </c>
    </row>
    <row r="1180" spans="19:38" x14ac:dyDescent="0.25">
      <c r="S1180" s="108" t="str">
        <f>IF($A1180="","",COUNTIF(BPOworkers!$B$6:$B$105,$A1180))</f>
        <v/>
      </c>
      <c r="T1180" s="109" t="str">
        <f>IF($A1180="","",$K1180*Config!$C$9)</f>
        <v/>
      </c>
      <c r="U1180" s="109" t="str">
        <f>IF($A1180="","",IF(COUNTIF(Config!$C$21:$C$23,$H1180)&gt;0,IFERROR(VALUE(LEFT(TRIM($Q1180),FIND(" ",TRIM($Q1180)&amp;" ")-1)),0),0))</f>
        <v/>
      </c>
      <c r="V1180" s="109" t="str">
        <f t="shared" si="216"/>
        <v/>
      </c>
      <c r="W1180" s="108">
        <f>IF($A1180="",0,IF(AND($C1180&gt;=Config!$C$7,$C1180&lt;=Config!$C$8),1,0))</f>
        <v>0</v>
      </c>
      <c r="X1180" s="108">
        <f>IF($A1180="",0,IF(COUNTIF(Config!$C$21:$C$23,$H1180)&gt;0,1,0))</f>
        <v>0</v>
      </c>
      <c r="Y1180" s="108">
        <f t="shared" si="217"/>
        <v>24</v>
      </c>
      <c r="Z1180" s="108" t="str">
        <f t="shared" si="218"/>
        <v/>
      </c>
      <c r="AB1180" s="108">
        <f t="shared" si="219"/>
        <v>0</v>
      </c>
      <c r="AC1180" s="108">
        <f>IF($A1180="",0,IF(AND($AB1180=1,COUNTIF($A$2:$A1180,$A1180)=1),1,0))</f>
        <v>0</v>
      </c>
      <c r="AD1180" s="108">
        <f t="shared" si="220"/>
        <v>1</v>
      </c>
      <c r="AE1180" s="108" t="str">
        <f t="shared" si="221"/>
        <v/>
      </c>
      <c r="AF1180" s="108">
        <f t="shared" si="222"/>
        <v>0</v>
      </c>
      <c r="AG1180" s="108">
        <f t="shared" si="223"/>
        <v>0</v>
      </c>
      <c r="AH1180" s="110" t="str">
        <f t="shared" si="224"/>
        <v/>
      </c>
      <c r="AI1180" s="108">
        <f t="shared" si="225"/>
        <v>0</v>
      </c>
      <c r="AJ1180" s="108">
        <f t="shared" si="226"/>
        <v>0</v>
      </c>
      <c r="AK1180" s="108">
        <f>IF($A1180="",0,IF(AND($S1180=1,$W1180=1,$X1180=1,$U1180&gt;Config!$C$9),1,0))</f>
        <v>0</v>
      </c>
      <c r="AL1180" s="108">
        <f t="shared" si="227"/>
        <v>0</v>
      </c>
    </row>
    <row r="1181" spans="19:38" x14ac:dyDescent="0.25">
      <c r="S1181" s="108" t="str">
        <f>IF($A1181="","",COUNTIF(BPOworkers!$B$6:$B$105,$A1181))</f>
        <v/>
      </c>
      <c r="T1181" s="109" t="str">
        <f>IF($A1181="","",$K1181*Config!$C$9)</f>
        <v/>
      </c>
      <c r="U1181" s="109" t="str">
        <f>IF($A1181="","",IF(COUNTIF(Config!$C$21:$C$23,$H1181)&gt;0,IFERROR(VALUE(LEFT(TRIM($Q1181),FIND(" ",TRIM($Q1181)&amp;" ")-1)),0),0))</f>
        <v/>
      </c>
      <c r="V1181" s="109" t="str">
        <f t="shared" si="216"/>
        <v/>
      </c>
      <c r="W1181" s="108">
        <f>IF($A1181="",0,IF(AND($C1181&gt;=Config!$C$7,$C1181&lt;=Config!$C$8),1,0))</f>
        <v>0</v>
      </c>
      <c r="X1181" s="108">
        <f>IF($A1181="",0,IF(COUNTIF(Config!$C$21:$C$23,$H1181)&gt;0,1,0))</f>
        <v>0</v>
      </c>
      <c r="Y1181" s="108">
        <f t="shared" si="217"/>
        <v>24</v>
      </c>
      <c r="Z1181" s="108" t="str">
        <f t="shared" si="218"/>
        <v/>
      </c>
      <c r="AB1181" s="108">
        <f t="shared" si="219"/>
        <v>0</v>
      </c>
      <c r="AC1181" s="108">
        <f>IF($A1181="",0,IF(AND($AB1181=1,COUNTIF($A$2:$A1181,$A1181)=1),1,0))</f>
        <v>0</v>
      </c>
      <c r="AD1181" s="108">
        <f t="shared" si="220"/>
        <v>1</v>
      </c>
      <c r="AE1181" s="108" t="str">
        <f t="shared" si="221"/>
        <v/>
      </c>
      <c r="AF1181" s="108">
        <f t="shared" si="222"/>
        <v>0</v>
      </c>
      <c r="AG1181" s="108">
        <f t="shared" si="223"/>
        <v>0</v>
      </c>
      <c r="AH1181" s="110" t="str">
        <f t="shared" si="224"/>
        <v/>
      </c>
      <c r="AI1181" s="108">
        <f t="shared" si="225"/>
        <v>0</v>
      </c>
      <c r="AJ1181" s="108">
        <f t="shared" si="226"/>
        <v>0</v>
      </c>
      <c r="AK1181" s="108">
        <f>IF($A1181="",0,IF(AND($S1181=1,$W1181=1,$X1181=1,$U1181&gt;Config!$C$9),1,0))</f>
        <v>0</v>
      </c>
      <c r="AL1181" s="108">
        <f t="shared" si="227"/>
        <v>0</v>
      </c>
    </row>
    <row r="1182" spans="19:38" x14ac:dyDescent="0.25">
      <c r="S1182" s="108" t="str">
        <f>IF($A1182="","",COUNTIF(BPOworkers!$B$6:$B$105,$A1182))</f>
        <v/>
      </c>
      <c r="T1182" s="109" t="str">
        <f>IF($A1182="","",$K1182*Config!$C$9)</f>
        <v/>
      </c>
      <c r="U1182" s="109" t="str">
        <f>IF($A1182="","",IF(COUNTIF(Config!$C$21:$C$23,$H1182)&gt;0,IFERROR(VALUE(LEFT(TRIM($Q1182),FIND(" ",TRIM($Q1182)&amp;" ")-1)),0),0))</f>
        <v/>
      </c>
      <c r="V1182" s="109" t="str">
        <f t="shared" si="216"/>
        <v/>
      </c>
      <c r="W1182" s="108">
        <f>IF($A1182="",0,IF(AND($C1182&gt;=Config!$C$7,$C1182&lt;=Config!$C$8),1,0))</f>
        <v>0</v>
      </c>
      <c r="X1182" s="108">
        <f>IF($A1182="",0,IF(COUNTIF(Config!$C$21:$C$23,$H1182)&gt;0,1,0))</f>
        <v>0</v>
      </c>
      <c r="Y1182" s="108">
        <f t="shared" si="217"/>
        <v>24</v>
      </c>
      <c r="Z1182" s="108" t="str">
        <f t="shared" si="218"/>
        <v/>
      </c>
      <c r="AB1182" s="108">
        <f t="shared" si="219"/>
        <v>0</v>
      </c>
      <c r="AC1182" s="108">
        <f>IF($A1182="",0,IF(AND($AB1182=1,COUNTIF($A$2:$A1182,$A1182)=1),1,0))</f>
        <v>0</v>
      </c>
      <c r="AD1182" s="108">
        <f t="shared" si="220"/>
        <v>1</v>
      </c>
      <c r="AE1182" s="108" t="str">
        <f t="shared" si="221"/>
        <v/>
      </c>
      <c r="AF1182" s="108">
        <f t="shared" si="222"/>
        <v>0</v>
      </c>
      <c r="AG1182" s="108">
        <f t="shared" si="223"/>
        <v>0</v>
      </c>
      <c r="AH1182" s="110" t="str">
        <f t="shared" si="224"/>
        <v/>
      </c>
      <c r="AI1182" s="108">
        <f t="shared" si="225"/>
        <v>0</v>
      </c>
      <c r="AJ1182" s="108">
        <f t="shared" si="226"/>
        <v>0</v>
      </c>
      <c r="AK1182" s="108">
        <f>IF($A1182="",0,IF(AND($S1182=1,$W1182=1,$X1182=1,$U1182&gt;Config!$C$9),1,0))</f>
        <v>0</v>
      </c>
      <c r="AL1182" s="108">
        <f t="shared" si="227"/>
        <v>0</v>
      </c>
    </row>
    <row r="1183" spans="19:38" x14ac:dyDescent="0.25">
      <c r="S1183" s="108" t="str">
        <f>IF($A1183="","",COUNTIF(BPOworkers!$B$6:$B$105,$A1183))</f>
        <v/>
      </c>
      <c r="T1183" s="109" t="str">
        <f>IF($A1183="","",$K1183*Config!$C$9)</f>
        <v/>
      </c>
      <c r="U1183" s="109" t="str">
        <f>IF($A1183="","",IF(COUNTIF(Config!$C$21:$C$23,$H1183)&gt;0,IFERROR(VALUE(LEFT(TRIM($Q1183),FIND(" ",TRIM($Q1183)&amp;" ")-1)),0),0))</f>
        <v/>
      </c>
      <c r="V1183" s="109" t="str">
        <f t="shared" si="216"/>
        <v/>
      </c>
      <c r="W1183" s="108">
        <f>IF($A1183="",0,IF(AND($C1183&gt;=Config!$C$7,$C1183&lt;=Config!$C$8),1,0))</f>
        <v>0</v>
      </c>
      <c r="X1183" s="108">
        <f>IF($A1183="",0,IF(COUNTIF(Config!$C$21:$C$23,$H1183)&gt;0,1,0))</f>
        <v>0</v>
      </c>
      <c r="Y1183" s="108">
        <f t="shared" si="217"/>
        <v>24</v>
      </c>
      <c r="Z1183" s="108" t="str">
        <f t="shared" si="218"/>
        <v/>
      </c>
      <c r="AB1183" s="108">
        <f t="shared" si="219"/>
        <v>0</v>
      </c>
      <c r="AC1183" s="108">
        <f>IF($A1183="",0,IF(AND($AB1183=1,COUNTIF($A$2:$A1183,$A1183)=1),1,0))</f>
        <v>0</v>
      </c>
      <c r="AD1183" s="108">
        <f t="shared" si="220"/>
        <v>1</v>
      </c>
      <c r="AE1183" s="108" t="str">
        <f t="shared" si="221"/>
        <v/>
      </c>
      <c r="AF1183" s="108">
        <f t="shared" si="222"/>
        <v>0</v>
      </c>
      <c r="AG1183" s="108">
        <f t="shared" si="223"/>
        <v>0</v>
      </c>
      <c r="AH1183" s="110" t="str">
        <f t="shared" si="224"/>
        <v/>
      </c>
      <c r="AI1183" s="108">
        <f t="shared" si="225"/>
        <v>0</v>
      </c>
      <c r="AJ1183" s="108">
        <f t="shared" si="226"/>
        <v>0</v>
      </c>
      <c r="AK1183" s="108">
        <f>IF($A1183="",0,IF(AND($S1183=1,$W1183=1,$X1183=1,$U1183&gt;Config!$C$9),1,0))</f>
        <v>0</v>
      </c>
      <c r="AL1183" s="108">
        <f t="shared" si="227"/>
        <v>0</v>
      </c>
    </row>
    <row r="1184" spans="19:38" x14ac:dyDescent="0.25">
      <c r="S1184" s="108" t="str">
        <f>IF($A1184="","",COUNTIF(BPOworkers!$B$6:$B$105,$A1184))</f>
        <v/>
      </c>
      <c r="T1184" s="109" t="str">
        <f>IF($A1184="","",$K1184*Config!$C$9)</f>
        <v/>
      </c>
      <c r="U1184" s="109" t="str">
        <f>IF($A1184="","",IF(COUNTIF(Config!$C$21:$C$23,$H1184)&gt;0,IFERROR(VALUE(LEFT(TRIM($Q1184),FIND(" ",TRIM($Q1184)&amp;" ")-1)),0),0))</f>
        <v/>
      </c>
      <c r="V1184" s="109" t="str">
        <f t="shared" si="216"/>
        <v/>
      </c>
      <c r="W1184" s="108">
        <f>IF($A1184="",0,IF(AND($C1184&gt;=Config!$C$7,$C1184&lt;=Config!$C$8),1,0))</f>
        <v>0</v>
      </c>
      <c r="X1184" s="108">
        <f>IF($A1184="",0,IF(COUNTIF(Config!$C$21:$C$23,$H1184)&gt;0,1,0))</f>
        <v>0</v>
      </c>
      <c r="Y1184" s="108">
        <f t="shared" si="217"/>
        <v>24</v>
      </c>
      <c r="Z1184" s="108" t="str">
        <f t="shared" si="218"/>
        <v/>
      </c>
      <c r="AB1184" s="108">
        <f t="shared" si="219"/>
        <v>0</v>
      </c>
      <c r="AC1184" s="108">
        <f>IF($A1184="",0,IF(AND($AB1184=1,COUNTIF($A$2:$A1184,$A1184)=1),1,0))</f>
        <v>0</v>
      </c>
      <c r="AD1184" s="108">
        <f t="shared" si="220"/>
        <v>1</v>
      </c>
      <c r="AE1184" s="108" t="str">
        <f t="shared" si="221"/>
        <v/>
      </c>
      <c r="AF1184" s="108">
        <f t="shared" si="222"/>
        <v>0</v>
      </c>
      <c r="AG1184" s="108">
        <f t="shared" si="223"/>
        <v>0</v>
      </c>
      <c r="AH1184" s="110" t="str">
        <f t="shared" si="224"/>
        <v/>
      </c>
      <c r="AI1184" s="108">
        <f t="shared" si="225"/>
        <v>0</v>
      </c>
      <c r="AJ1184" s="108">
        <f t="shared" si="226"/>
        <v>0</v>
      </c>
      <c r="AK1184" s="108">
        <f>IF($A1184="",0,IF(AND($S1184=1,$W1184=1,$X1184=1,$U1184&gt;Config!$C$9),1,0))</f>
        <v>0</v>
      </c>
      <c r="AL1184" s="108">
        <f t="shared" si="227"/>
        <v>0</v>
      </c>
    </row>
    <row r="1185" spans="19:38" x14ac:dyDescent="0.25">
      <c r="S1185" s="108" t="str">
        <f>IF($A1185="","",COUNTIF(BPOworkers!$B$6:$B$105,$A1185))</f>
        <v/>
      </c>
      <c r="T1185" s="109" t="str">
        <f>IF($A1185="","",$K1185*Config!$C$9)</f>
        <v/>
      </c>
      <c r="U1185" s="109" t="str">
        <f>IF($A1185="","",IF(COUNTIF(Config!$C$21:$C$23,$H1185)&gt;0,IFERROR(VALUE(LEFT(TRIM($Q1185),FIND(" ",TRIM($Q1185)&amp;" ")-1)),0),0))</f>
        <v/>
      </c>
      <c r="V1185" s="109" t="str">
        <f t="shared" si="216"/>
        <v/>
      </c>
      <c r="W1185" s="108">
        <f>IF($A1185="",0,IF(AND($C1185&gt;=Config!$C$7,$C1185&lt;=Config!$C$8),1,0))</f>
        <v>0</v>
      </c>
      <c r="X1185" s="108">
        <f>IF($A1185="",0,IF(COUNTIF(Config!$C$21:$C$23,$H1185)&gt;0,1,0))</f>
        <v>0</v>
      </c>
      <c r="Y1185" s="108">
        <f t="shared" si="217"/>
        <v>24</v>
      </c>
      <c r="Z1185" s="108" t="str">
        <f t="shared" si="218"/>
        <v/>
      </c>
      <c r="AB1185" s="108">
        <f t="shared" si="219"/>
        <v>0</v>
      </c>
      <c r="AC1185" s="108">
        <f>IF($A1185="",0,IF(AND($AB1185=1,COUNTIF($A$2:$A1185,$A1185)=1),1,0))</f>
        <v>0</v>
      </c>
      <c r="AD1185" s="108">
        <f t="shared" si="220"/>
        <v>1</v>
      </c>
      <c r="AE1185" s="108" t="str">
        <f t="shared" si="221"/>
        <v/>
      </c>
      <c r="AF1185" s="108">
        <f t="shared" si="222"/>
        <v>0</v>
      </c>
      <c r="AG1185" s="108">
        <f t="shared" si="223"/>
        <v>0</v>
      </c>
      <c r="AH1185" s="110" t="str">
        <f t="shared" si="224"/>
        <v/>
      </c>
      <c r="AI1185" s="108">
        <f t="shared" si="225"/>
        <v>0</v>
      </c>
      <c r="AJ1185" s="108">
        <f t="shared" si="226"/>
        <v>0</v>
      </c>
      <c r="AK1185" s="108">
        <f>IF($A1185="",0,IF(AND($S1185=1,$W1185=1,$X1185=1,$U1185&gt;Config!$C$9),1,0))</f>
        <v>0</v>
      </c>
      <c r="AL1185" s="108">
        <f t="shared" si="227"/>
        <v>0</v>
      </c>
    </row>
    <row r="1186" spans="19:38" x14ac:dyDescent="0.25">
      <c r="S1186" s="108" t="str">
        <f>IF($A1186="","",COUNTIF(BPOworkers!$B$6:$B$105,$A1186))</f>
        <v/>
      </c>
      <c r="T1186" s="109" t="str">
        <f>IF($A1186="","",$K1186*Config!$C$9)</f>
        <v/>
      </c>
      <c r="U1186" s="109" t="str">
        <f>IF($A1186="","",IF(COUNTIF(Config!$C$21:$C$23,$H1186)&gt;0,IFERROR(VALUE(LEFT(TRIM($Q1186),FIND(" ",TRIM($Q1186)&amp;" ")-1)),0),0))</f>
        <v/>
      </c>
      <c r="V1186" s="109" t="str">
        <f t="shared" si="216"/>
        <v/>
      </c>
      <c r="W1186" s="108">
        <f>IF($A1186="",0,IF(AND($C1186&gt;=Config!$C$7,$C1186&lt;=Config!$C$8),1,0))</f>
        <v>0</v>
      </c>
      <c r="X1186" s="108">
        <f>IF($A1186="",0,IF(COUNTIF(Config!$C$21:$C$23,$H1186)&gt;0,1,0))</f>
        <v>0</v>
      </c>
      <c r="Y1186" s="108">
        <f t="shared" si="217"/>
        <v>24</v>
      </c>
      <c r="Z1186" s="108" t="str">
        <f t="shared" si="218"/>
        <v/>
      </c>
      <c r="AB1186" s="108">
        <f t="shared" si="219"/>
        <v>0</v>
      </c>
      <c r="AC1186" s="108">
        <f>IF($A1186="",0,IF(AND($AB1186=1,COUNTIF($A$2:$A1186,$A1186)=1),1,0))</f>
        <v>0</v>
      </c>
      <c r="AD1186" s="108">
        <f t="shared" si="220"/>
        <v>1</v>
      </c>
      <c r="AE1186" s="108" t="str">
        <f t="shared" si="221"/>
        <v/>
      </c>
      <c r="AF1186" s="108">
        <f t="shared" si="222"/>
        <v>0</v>
      </c>
      <c r="AG1186" s="108">
        <f t="shared" si="223"/>
        <v>0</v>
      </c>
      <c r="AH1186" s="110" t="str">
        <f t="shared" si="224"/>
        <v/>
      </c>
      <c r="AI1186" s="108">
        <f t="shared" si="225"/>
        <v>0</v>
      </c>
      <c r="AJ1186" s="108">
        <f t="shared" si="226"/>
        <v>0</v>
      </c>
      <c r="AK1186" s="108">
        <f>IF($A1186="",0,IF(AND($S1186=1,$W1186=1,$X1186=1,$U1186&gt;Config!$C$9),1,0))</f>
        <v>0</v>
      </c>
      <c r="AL1186" s="108">
        <f t="shared" si="227"/>
        <v>0</v>
      </c>
    </row>
    <row r="1187" spans="19:38" x14ac:dyDescent="0.25">
      <c r="S1187" s="108" t="str">
        <f>IF($A1187="","",COUNTIF(BPOworkers!$B$6:$B$105,$A1187))</f>
        <v/>
      </c>
      <c r="T1187" s="109" t="str">
        <f>IF($A1187="","",$K1187*Config!$C$9)</f>
        <v/>
      </c>
      <c r="U1187" s="109" t="str">
        <f>IF($A1187="","",IF(COUNTIF(Config!$C$21:$C$23,$H1187)&gt;0,IFERROR(VALUE(LEFT(TRIM($Q1187),FIND(" ",TRIM($Q1187)&amp;" ")-1)),0),0))</f>
        <v/>
      </c>
      <c r="V1187" s="109" t="str">
        <f t="shared" si="216"/>
        <v/>
      </c>
      <c r="W1187" s="108">
        <f>IF($A1187="",0,IF(AND($C1187&gt;=Config!$C$7,$C1187&lt;=Config!$C$8),1,0))</f>
        <v>0</v>
      </c>
      <c r="X1187" s="108">
        <f>IF($A1187="",0,IF(COUNTIF(Config!$C$21:$C$23,$H1187)&gt;0,1,0))</f>
        <v>0</v>
      </c>
      <c r="Y1187" s="108">
        <f t="shared" si="217"/>
        <v>24</v>
      </c>
      <c r="Z1187" s="108" t="str">
        <f t="shared" si="218"/>
        <v/>
      </c>
      <c r="AB1187" s="108">
        <f t="shared" si="219"/>
        <v>0</v>
      </c>
      <c r="AC1187" s="108">
        <f>IF($A1187="",0,IF(AND($AB1187=1,COUNTIF($A$2:$A1187,$A1187)=1),1,0))</f>
        <v>0</v>
      </c>
      <c r="AD1187" s="108">
        <f t="shared" si="220"/>
        <v>1</v>
      </c>
      <c r="AE1187" s="108" t="str">
        <f t="shared" si="221"/>
        <v/>
      </c>
      <c r="AF1187" s="108">
        <f t="shared" si="222"/>
        <v>0</v>
      </c>
      <c r="AG1187" s="108">
        <f t="shared" si="223"/>
        <v>0</v>
      </c>
      <c r="AH1187" s="110" t="str">
        <f t="shared" si="224"/>
        <v/>
      </c>
      <c r="AI1187" s="108">
        <f t="shared" si="225"/>
        <v>0</v>
      </c>
      <c r="AJ1187" s="108">
        <f t="shared" si="226"/>
        <v>0</v>
      </c>
      <c r="AK1187" s="108">
        <f>IF($A1187="",0,IF(AND($S1187=1,$W1187=1,$X1187=1,$U1187&gt;Config!$C$9),1,0))</f>
        <v>0</v>
      </c>
      <c r="AL1187" s="108">
        <f t="shared" si="227"/>
        <v>0</v>
      </c>
    </row>
    <row r="1188" spans="19:38" x14ac:dyDescent="0.25">
      <c r="S1188" s="108" t="str">
        <f>IF($A1188="","",COUNTIF(BPOworkers!$B$6:$B$105,$A1188))</f>
        <v/>
      </c>
      <c r="T1188" s="109" t="str">
        <f>IF($A1188="","",$K1188*Config!$C$9)</f>
        <v/>
      </c>
      <c r="U1188" s="109" t="str">
        <f>IF($A1188="","",IF(COUNTIF(Config!$C$21:$C$23,$H1188)&gt;0,IFERROR(VALUE(LEFT(TRIM($Q1188),FIND(" ",TRIM($Q1188)&amp;" ")-1)),0),0))</f>
        <v/>
      </c>
      <c r="V1188" s="109" t="str">
        <f t="shared" si="216"/>
        <v/>
      </c>
      <c r="W1188" s="108">
        <f>IF($A1188="",0,IF(AND($C1188&gt;=Config!$C$7,$C1188&lt;=Config!$C$8),1,0))</f>
        <v>0</v>
      </c>
      <c r="X1188" s="108">
        <f>IF($A1188="",0,IF(COUNTIF(Config!$C$21:$C$23,$H1188)&gt;0,1,0))</f>
        <v>0</v>
      </c>
      <c r="Y1188" s="108">
        <f t="shared" si="217"/>
        <v>24</v>
      </c>
      <c r="Z1188" s="108" t="str">
        <f t="shared" si="218"/>
        <v/>
      </c>
      <c r="AB1188" s="108">
        <f t="shared" si="219"/>
        <v>0</v>
      </c>
      <c r="AC1188" s="108">
        <f>IF($A1188="",0,IF(AND($AB1188=1,COUNTIF($A$2:$A1188,$A1188)=1),1,0))</f>
        <v>0</v>
      </c>
      <c r="AD1188" s="108">
        <f t="shared" si="220"/>
        <v>1</v>
      </c>
      <c r="AE1188" s="108" t="str">
        <f t="shared" si="221"/>
        <v/>
      </c>
      <c r="AF1188" s="108">
        <f t="shared" si="222"/>
        <v>0</v>
      </c>
      <c r="AG1188" s="108">
        <f t="shared" si="223"/>
        <v>0</v>
      </c>
      <c r="AH1188" s="110" t="str">
        <f t="shared" si="224"/>
        <v/>
      </c>
      <c r="AI1188" s="108">
        <f t="shared" si="225"/>
        <v>0</v>
      </c>
      <c r="AJ1188" s="108">
        <f t="shared" si="226"/>
        <v>0</v>
      </c>
      <c r="AK1188" s="108">
        <f>IF($A1188="",0,IF(AND($S1188=1,$W1188=1,$X1188=1,$U1188&gt;Config!$C$9),1,0))</f>
        <v>0</v>
      </c>
      <c r="AL1188" s="108">
        <f t="shared" si="227"/>
        <v>0</v>
      </c>
    </row>
    <row r="1189" spans="19:38" x14ac:dyDescent="0.25">
      <c r="S1189" s="108" t="str">
        <f>IF($A1189="","",COUNTIF(BPOworkers!$B$6:$B$105,$A1189))</f>
        <v/>
      </c>
      <c r="T1189" s="109" t="str">
        <f>IF($A1189="","",$K1189*Config!$C$9)</f>
        <v/>
      </c>
      <c r="U1189" s="109" t="str">
        <f>IF($A1189="","",IF(COUNTIF(Config!$C$21:$C$23,$H1189)&gt;0,IFERROR(VALUE(LEFT(TRIM($Q1189),FIND(" ",TRIM($Q1189)&amp;" ")-1)),0),0))</f>
        <v/>
      </c>
      <c r="V1189" s="109" t="str">
        <f t="shared" si="216"/>
        <v/>
      </c>
      <c r="W1189" s="108">
        <f>IF($A1189="",0,IF(AND($C1189&gt;=Config!$C$7,$C1189&lt;=Config!$C$8),1,0))</f>
        <v>0</v>
      </c>
      <c r="X1189" s="108">
        <f>IF($A1189="",0,IF(COUNTIF(Config!$C$21:$C$23,$H1189)&gt;0,1,0))</f>
        <v>0</v>
      </c>
      <c r="Y1189" s="108">
        <f t="shared" si="217"/>
        <v>24</v>
      </c>
      <c r="Z1189" s="108" t="str">
        <f t="shared" si="218"/>
        <v/>
      </c>
      <c r="AB1189" s="108">
        <f t="shared" si="219"/>
        <v>0</v>
      </c>
      <c r="AC1189" s="108">
        <f>IF($A1189="",0,IF(AND($AB1189=1,COUNTIF($A$2:$A1189,$A1189)=1),1,0))</f>
        <v>0</v>
      </c>
      <c r="AD1189" s="108">
        <f t="shared" si="220"/>
        <v>1</v>
      </c>
      <c r="AE1189" s="108" t="str">
        <f t="shared" si="221"/>
        <v/>
      </c>
      <c r="AF1189" s="108">
        <f t="shared" si="222"/>
        <v>0</v>
      </c>
      <c r="AG1189" s="108">
        <f t="shared" si="223"/>
        <v>0</v>
      </c>
      <c r="AH1189" s="110" t="str">
        <f t="shared" si="224"/>
        <v/>
      </c>
      <c r="AI1189" s="108">
        <f t="shared" si="225"/>
        <v>0</v>
      </c>
      <c r="AJ1189" s="108">
        <f t="shared" si="226"/>
        <v>0</v>
      </c>
      <c r="AK1189" s="108">
        <f>IF($A1189="",0,IF(AND($S1189=1,$W1189=1,$X1189=1,$U1189&gt;Config!$C$9),1,0))</f>
        <v>0</v>
      </c>
      <c r="AL1189" s="108">
        <f t="shared" si="227"/>
        <v>0</v>
      </c>
    </row>
    <row r="1190" spans="19:38" x14ac:dyDescent="0.25">
      <c r="S1190" s="108" t="str">
        <f>IF($A1190="","",COUNTIF(BPOworkers!$B$6:$B$105,$A1190))</f>
        <v/>
      </c>
      <c r="T1190" s="109" t="str">
        <f>IF($A1190="","",$K1190*Config!$C$9)</f>
        <v/>
      </c>
      <c r="U1190" s="109" t="str">
        <f>IF($A1190="","",IF(COUNTIF(Config!$C$21:$C$23,$H1190)&gt;0,IFERROR(VALUE(LEFT(TRIM($Q1190),FIND(" ",TRIM($Q1190)&amp;" ")-1)),0),0))</f>
        <v/>
      </c>
      <c r="V1190" s="109" t="str">
        <f t="shared" si="216"/>
        <v/>
      </c>
      <c r="W1190" s="108">
        <f>IF($A1190="",0,IF(AND($C1190&gt;=Config!$C$7,$C1190&lt;=Config!$C$8),1,0))</f>
        <v>0</v>
      </c>
      <c r="X1190" s="108">
        <f>IF($A1190="",0,IF(COUNTIF(Config!$C$21:$C$23,$H1190)&gt;0,1,0))</f>
        <v>0</v>
      </c>
      <c r="Y1190" s="108">
        <f t="shared" si="217"/>
        <v>24</v>
      </c>
      <c r="Z1190" s="108" t="str">
        <f t="shared" si="218"/>
        <v/>
      </c>
      <c r="AB1190" s="108">
        <f t="shared" si="219"/>
        <v>0</v>
      </c>
      <c r="AC1190" s="108">
        <f>IF($A1190="",0,IF(AND($AB1190=1,COUNTIF($A$2:$A1190,$A1190)=1),1,0))</f>
        <v>0</v>
      </c>
      <c r="AD1190" s="108">
        <f t="shared" si="220"/>
        <v>1</v>
      </c>
      <c r="AE1190" s="108" t="str">
        <f t="shared" si="221"/>
        <v/>
      </c>
      <c r="AF1190" s="108">
        <f t="shared" si="222"/>
        <v>0</v>
      </c>
      <c r="AG1190" s="108">
        <f t="shared" si="223"/>
        <v>0</v>
      </c>
      <c r="AH1190" s="110" t="str">
        <f t="shared" si="224"/>
        <v/>
      </c>
      <c r="AI1190" s="108">
        <f t="shared" si="225"/>
        <v>0</v>
      </c>
      <c r="AJ1190" s="108">
        <f t="shared" si="226"/>
        <v>0</v>
      </c>
      <c r="AK1190" s="108">
        <f>IF($A1190="",0,IF(AND($S1190=1,$W1190=1,$X1190=1,$U1190&gt;Config!$C$9),1,0))</f>
        <v>0</v>
      </c>
      <c r="AL1190" s="108">
        <f t="shared" si="227"/>
        <v>0</v>
      </c>
    </row>
    <row r="1191" spans="19:38" x14ac:dyDescent="0.25">
      <c r="S1191" s="108" t="str">
        <f>IF($A1191="","",COUNTIF(BPOworkers!$B$6:$B$105,$A1191))</f>
        <v/>
      </c>
      <c r="T1191" s="109" t="str">
        <f>IF($A1191="","",$K1191*Config!$C$9)</f>
        <v/>
      </c>
      <c r="U1191" s="109" t="str">
        <f>IF($A1191="","",IF(COUNTIF(Config!$C$21:$C$23,$H1191)&gt;0,IFERROR(VALUE(LEFT(TRIM($Q1191),FIND(" ",TRIM($Q1191)&amp;" ")-1)),0),0))</f>
        <v/>
      </c>
      <c r="V1191" s="109" t="str">
        <f t="shared" si="216"/>
        <v/>
      </c>
      <c r="W1191" s="108">
        <f>IF($A1191="",0,IF(AND($C1191&gt;=Config!$C$7,$C1191&lt;=Config!$C$8),1,0))</f>
        <v>0</v>
      </c>
      <c r="X1191" s="108">
        <f>IF($A1191="",0,IF(COUNTIF(Config!$C$21:$C$23,$H1191)&gt;0,1,0))</f>
        <v>0</v>
      </c>
      <c r="Y1191" s="108">
        <f t="shared" si="217"/>
        <v>24</v>
      </c>
      <c r="Z1191" s="108" t="str">
        <f t="shared" si="218"/>
        <v/>
      </c>
      <c r="AB1191" s="108">
        <f t="shared" si="219"/>
        <v>0</v>
      </c>
      <c r="AC1191" s="108">
        <f>IF($A1191="",0,IF(AND($AB1191=1,COUNTIF($A$2:$A1191,$A1191)=1),1,0))</f>
        <v>0</v>
      </c>
      <c r="AD1191" s="108">
        <f t="shared" si="220"/>
        <v>1</v>
      </c>
      <c r="AE1191" s="108" t="str">
        <f t="shared" si="221"/>
        <v/>
      </c>
      <c r="AF1191" s="108">
        <f t="shared" si="222"/>
        <v>0</v>
      </c>
      <c r="AG1191" s="108">
        <f t="shared" si="223"/>
        <v>0</v>
      </c>
      <c r="AH1191" s="110" t="str">
        <f t="shared" si="224"/>
        <v/>
      </c>
      <c r="AI1191" s="108">
        <f t="shared" si="225"/>
        <v>0</v>
      </c>
      <c r="AJ1191" s="108">
        <f t="shared" si="226"/>
        <v>0</v>
      </c>
      <c r="AK1191" s="108">
        <f>IF($A1191="",0,IF(AND($S1191=1,$W1191=1,$X1191=1,$U1191&gt;Config!$C$9),1,0))</f>
        <v>0</v>
      </c>
      <c r="AL1191" s="108">
        <f t="shared" si="227"/>
        <v>0</v>
      </c>
    </row>
    <row r="1192" spans="19:38" x14ac:dyDescent="0.25">
      <c r="S1192" s="108" t="str">
        <f>IF($A1192="","",COUNTIF(BPOworkers!$B$6:$B$105,$A1192))</f>
        <v/>
      </c>
      <c r="T1192" s="109" t="str">
        <f>IF($A1192="","",$K1192*Config!$C$9)</f>
        <v/>
      </c>
      <c r="U1192" s="109" t="str">
        <f>IF($A1192="","",IF(COUNTIF(Config!$C$21:$C$23,$H1192)&gt;0,IFERROR(VALUE(LEFT(TRIM($Q1192),FIND(" ",TRIM($Q1192)&amp;" ")-1)),0),0))</f>
        <v/>
      </c>
      <c r="V1192" s="109" t="str">
        <f t="shared" si="216"/>
        <v/>
      </c>
      <c r="W1192" s="108">
        <f>IF($A1192="",0,IF(AND($C1192&gt;=Config!$C$7,$C1192&lt;=Config!$C$8),1,0))</f>
        <v>0</v>
      </c>
      <c r="X1192" s="108">
        <f>IF($A1192="",0,IF(COUNTIF(Config!$C$21:$C$23,$H1192)&gt;0,1,0))</f>
        <v>0</v>
      </c>
      <c r="Y1192" s="108">
        <f t="shared" si="217"/>
        <v>24</v>
      </c>
      <c r="Z1192" s="108" t="str">
        <f t="shared" si="218"/>
        <v/>
      </c>
      <c r="AB1192" s="108">
        <f t="shared" si="219"/>
        <v>0</v>
      </c>
      <c r="AC1192" s="108">
        <f>IF($A1192="",0,IF(AND($AB1192=1,COUNTIF($A$2:$A1192,$A1192)=1),1,0))</f>
        <v>0</v>
      </c>
      <c r="AD1192" s="108">
        <f t="shared" si="220"/>
        <v>1</v>
      </c>
      <c r="AE1192" s="108" t="str">
        <f t="shared" si="221"/>
        <v/>
      </c>
      <c r="AF1192" s="108">
        <f t="shared" si="222"/>
        <v>0</v>
      </c>
      <c r="AG1192" s="108">
        <f t="shared" si="223"/>
        <v>0</v>
      </c>
      <c r="AH1192" s="110" t="str">
        <f t="shared" si="224"/>
        <v/>
      </c>
      <c r="AI1192" s="108">
        <f t="shared" si="225"/>
        <v>0</v>
      </c>
      <c r="AJ1192" s="108">
        <f t="shared" si="226"/>
        <v>0</v>
      </c>
      <c r="AK1192" s="108">
        <f>IF($A1192="",0,IF(AND($S1192=1,$W1192=1,$X1192=1,$U1192&gt;Config!$C$9),1,0))</f>
        <v>0</v>
      </c>
      <c r="AL1192" s="108">
        <f t="shared" si="227"/>
        <v>0</v>
      </c>
    </row>
    <row r="1193" spans="19:38" x14ac:dyDescent="0.25">
      <c r="S1193" s="108" t="str">
        <f>IF($A1193="","",COUNTIF(BPOworkers!$B$6:$B$105,$A1193))</f>
        <v/>
      </c>
      <c r="T1193" s="109" t="str">
        <f>IF($A1193="","",$K1193*Config!$C$9)</f>
        <v/>
      </c>
      <c r="U1193" s="109" t="str">
        <f>IF($A1193="","",IF(COUNTIF(Config!$C$21:$C$23,$H1193)&gt;0,IFERROR(VALUE(LEFT(TRIM($Q1193),FIND(" ",TRIM($Q1193)&amp;" ")-1)),0),0))</f>
        <v/>
      </c>
      <c r="V1193" s="109" t="str">
        <f t="shared" si="216"/>
        <v/>
      </c>
      <c r="W1193" s="108">
        <f>IF($A1193="",0,IF(AND($C1193&gt;=Config!$C$7,$C1193&lt;=Config!$C$8),1,0))</f>
        <v>0</v>
      </c>
      <c r="X1193" s="108">
        <f>IF($A1193="",0,IF(COUNTIF(Config!$C$21:$C$23,$H1193)&gt;0,1,0))</f>
        <v>0</v>
      </c>
      <c r="Y1193" s="108">
        <f t="shared" si="217"/>
        <v>24</v>
      </c>
      <c r="Z1193" s="108" t="str">
        <f t="shared" si="218"/>
        <v/>
      </c>
      <c r="AB1193" s="108">
        <f t="shared" si="219"/>
        <v>0</v>
      </c>
      <c r="AC1193" s="108">
        <f>IF($A1193="",0,IF(AND($AB1193=1,COUNTIF($A$2:$A1193,$A1193)=1),1,0))</f>
        <v>0</v>
      </c>
      <c r="AD1193" s="108">
        <f t="shared" si="220"/>
        <v>1</v>
      </c>
      <c r="AE1193" s="108" t="str">
        <f t="shared" si="221"/>
        <v/>
      </c>
      <c r="AF1193" s="108">
        <f t="shared" si="222"/>
        <v>0</v>
      </c>
      <c r="AG1193" s="108">
        <f t="shared" si="223"/>
        <v>0</v>
      </c>
      <c r="AH1193" s="110" t="str">
        <f t="shared" si="224"/>
        <v/>
      </c>
      <c r="AI1193" s="108">
        <f t="shared" si="225"/>
        <v>0</v>
      </c>
      <c r="AJ1193" s="108">
        <f t="shared" si="226"/>
        <v>0</v>
      </c>
      <c r="AK1193" s="108">
        <f>IF($A1193="",0,IF(AND($S1193=1,$W1193=1,$X1193=1,$U1193&gt;Config!$C$9),1,0))</f>
        <v>0</v>
      </c>
      <c r="AL1193" s="108">
        <f t="shared" si="227"/>
        <v>0</v>
      </c>
    </row>
    <row r="1194" spans="19:38" x14ac:dyDescent="0.25">
      <c r="S1194" s="108" t="str">
        <f>IF($A1194="","",COUNTIF(BPOworkers!$B$6:$B$105,$A1194))</f>
        <v/>
      </c>
      <c r="T1194" s="109" t="str">
        <f>IF($A1194="","",$K1194*Config!$C$9)</f>
        <v/>
      </c>
      <c r="U1194" s="109" t="str">
        <f>IF($A1194="","",IF(COUNTIF(Config!$C$21:$C$23,$H1194)&gt;0,IFERROR(VALUE(LEFT(TRIM($Q1194),FIND(" ",TRIM($Q1194)&amp;" ")-1)),0),0))</f>
        <v/>
      </c>
      <c r="V1194" s="109" t="str">
        <f t="shared" si="216"/>
        <v/>
      </c>
      <c r="W1194" s="108">
        <f>IF($A1194="",0,IF(AND($C1194&gt;=Config!$C$7,$C1194&lt;=Config!$C$8),1,0))</f>
        <v>0</v>
      </c>
      <c r="X1194" s="108">
        <f>IF($A1194="",0,IF(COUNTIF(Config!$C$21:$C$23,$H1194)&gt;0,1,0))</f>
        <v>0</v>
      </c>
      <c r="Y1194" s="108">
        <f t="shared" si="217"/>
        <v>24</v>
      </c>
      <c r="Z1194" s="108" t="str">
        <f t="shared" si="218"/>
        <v/>
      </c>
      <c r="AB1194" s="108">
        <f t="shared" si="219"/>
        <v>0</v>
      </c>
      <c r="AC1194" s="108">
        <f>IF($A1194="",0,IF(AND($AB1194=1,COUNTIF($A$2:$A1194,$A1194)=1),1,0))</f>
        <v>0</v>
      </c>
      <c r="AD1194" s="108">
        <f t="shared" si="220"/>
        <v>1</v>
      </c>
      <c r="AE1194" s="108" t="str">
        <f t="shared" si="221"/>
        <v/>
      </c>
      <c r="AF1194" s="108">
        <f t="shared" si="222"/>
        <v>0</v>
      </c>
      <c r="AG1194" s="108">
        <f t="shared" si="223"/>
        <v>0</v>
      </c>
      <c r="AH1194" s="110" t="str">
        <f t="shared" si="224"/>
        <v/>
      </c>
      <c r="AI1194" s="108">
        <f t="shared" si="225"/>
        <v>0</v>
      </c>
      <c r="AJ1194" s="108">
        <f t="shared" si="226"/>
        <v>0</v>
      </c>
      <c r="AK1194" s="108">
        <f>IF($A1194="",0,IF(AND($S1194=1,$W1194=1,$X1194=1,$U1194&gt;Config!$C$9),1,0))</f>
        <v>0</v>
      </c>
      <c r="AL1194" s="108">
        <f t="shared" si="227"/>
        <v>0</v>
      </c>
    </row>
    <row r="1195" spans="19:38" x14ac:dyDescent="0.25">
      <c r="S1195" s="108" t="str">
        <f>IF($A1195="","",COUNTIF(BPOworkers!$B$6:$B$105,$A1195))</f>
        <v/>
      </c>
      <c r="T1195" s="109" t="str">
        <f>IF($A1195="","",$K1195*Config!$C$9)</f>
        <v/>
      </c>
      <c r="U1195" s="109" t="str">
        <f>IF($A1195="","",IF(COUNTIF(Config!$C$21:$C$23,$H1195)&gt;0,IFERROR(VALUE(LEFT(TRIM($Q1195),FIND(" ",TRIM($Q1195)&amp;" ")-1)),0),0))</f>
        <v/>
      </c>
      <c r="V1195" s="109" t="str">
        <f t="shared" si="216"/>
        <v/>
      </c>
      <c r="W1195" s="108">
        <f>IF($A1195="",0,IF(AND($C1195&gt;=Config!$C$7,$C1195&lt;=Config!$C$8),1,0))</f>
        <v>0</v>
      </c>
      <c r="X1195" s="108">
        <f>IF($A1195="",0,IF(COUNTIF(Config!$C$21:$C$23,$H1195)&gt;0,1,0))</f>
        <v>0</v>
      </c>
      <c r="Y1195" s="108">
        <f t="shared" si="217"/>
        <v>24</v>
      </c>
      <c r="Z1195" s="108" t="str">
        <f t="shared" si="218"/>
        <v/>
      </c>
      <c r="AB1195" s="108">
        <f t="shared" si="219"/>
        <v>0</v>
      </c>
      <c r="AC1195" s="108">
        <f>IF($A1195="",0,IF(AND($AB1195=1,COUNTIF($A$2:$A1195,$A1195)=1),1,0))</f>
        <v>0</v>
      </c>
      <c r="AD1195" s="108">
        <f t="shared" si="220"/>
        <v>1</v>
      </c>
      <c r="AE1195" s="108" t="str">
        <f t="shared" si="221"/>
        <v/>
      </c>
      <c r="AF1195" s="108">
        <f t="shared" si="222"/>
        <v>0</v>
      </c>
      <c r="AG1195" s="108">
        <f t="shared" si="223"/>
        <v>0</v>
      </c>
      <c r="AH1195" s="110" t="str">
        <f t="shared" si="224"/>
        <v/>
      </c>
      <c r="AI1195" s="108">
        <f t="shared" si="225"/>
        <v>0</v>
      </c>
      <c r="AJ1195" s="108">
        <f t="shared" si="226"/>
        <v>0</v>
      </c>
      <c r="AK1195" s="108">
        <f>IF($A1195="",0,IF(AND($S1195=1,$W1195=1,$X1195=1,$U1195&gt;Config!$C$9),1,0))</f>
        <v>0</v>
      </c>
      <c r="AL1195" s="108">
        <f t="shared" si="227"/>
        <v>0</v>
      </c>
    </row>
    <row r="1196" spans="19:38" x14ac:dyDescent="0.25">
      <c r="S1196" s="108" t="str">
        <f>IF($A1196="","",COUNTIF(BPOworkers!$B$6:$B$105,$A1196))</f>
        <v/>
      </c>
      <c r="T1196" s="109" t="str">
        <f>IF($A1196="","",$K1196*Config!$C$9)</f>
        <v/>
      </c>
      <c r="U1196" s="109" t="str">
        <f>IF($A1196="","",IF(COUNTIF(Config!$C$21:$C$23,$H1196)&gt;0,IFERROR(VALUE(LEFT(TRIM($Q1196),FIND(" ",TRIM($Q1196)&amp;" ")-1)),0),0))</f>
        <v/>
      </c>
      <c r="V1196" s="109" t="str">
        <f t="shared" si="216"/>
        <v/>
      </c>
      <c r="W1196" s="108">
        <f>IF($A1196="",0,IF(AND($C1196&gt;=Config!$C$7,$C1196&lt;=Config!$C$8),1,0))</f>
        <v>0</v>
      </c>
      <c r="X1196" s="108">
        <f>IF($A1196="",0,IF(COUNTIF(Config!$C$21:$C$23,$H1196)&gt;0,1,0))</f>
        <v>0</v>
      </c>
      <c r="Y1196" s="108">
        <f t="shared" si="217"/>
        <v>24</v>
      </c>
      <c r="Z1196" s="108" t="str">
        <f t="shared" si="218"/>
        <v/>
      </c>
      <c r="AB1196" s="108">
        <f t="shared" si="219"/>
        <v>0</v>
      </c>
      <c r="AC1196" s="108">
        <f>IF($A1196="",0,IF(AND($AB1196=1,COUNTIF($A$2:$A1196,$A1196)=1),1,0))</f>
        <v>0</v>
      </c>
      <c r="AD1196" s="108">
        <f t="shared" si="220"/>
        <v>1</v>
      </c>
      <c r="AE1196" s="108" t="str">
        <f t="shared" si="221"/>
        <v/>
      </c>
      <c r="AF1196" s="108">
        <f t="shared" si="222"/>
        <v>0</v>
      </c>
      <c r="AG1196" s="108">
        <f t="shared" si="223"/>
        <v>0</v>
      </c>
      <c r="AH1196" s="110" t="str">
        <f t="shared" si="224"/>
        <v/>
      </c>
      <c r="AI1196" s="108">
        <f t="shared" si="225"/>
        <v>0</v>
      </c>
      <c r="AJ1196" s="108">
        <f t="shared" si="226"/>
        <v>0</v>
      </c>
      <c r="AK1196" s="108">
        <f>IF($A1196="",0,IF(AND($S1196=1,$W1196=1,$X1196=1,$U1196&gt;Config!$C$9),1,0))</f>
        <v>0</v>
      </c>
      <c r="AL1196" s="108">
        <f t="shared" si="227"/>
        <v>0</v>
      </c>
    </row>
    <row r="1197" spans="19:38" x14ac:dyDescent="0.25">
      <c r="S1197" s="108" t="str">
        <f>IF($A1197="","",COUNTIF(BPOworkers!$B$6:$B$105,$A1197))</f>
        <v/>
      </c>
      <c r="T1197" s="109" t="str">
        <f>IF($A1197="","",$K1197*Config!$C$9)</f>
        <v/>
      </c>
      <c r="U1197" s="109" t="str">
        <f>IF($A1197="","",IF(COUNTIF(Config!$C$21:$C$23,$H1197)&gt;0,IFERROR(VALUE(LEFT(TRIM($Q1197),FIND(" ",TRIM($Q1197)&amp;" ")-1)),0),0))</f>
        <v/>
      </c>
      <c r="V1197" s="109" t="str">
        <f t="shared" si="216"/>
        <v/>
      </c>
      <c r="W1197" s="108">
        <f>IF($A1197="",0,IF(AND($C1197&gt;=Config!$C$7,$C1197&lt;=Config!$C$8),1,0))</f>
        <v>0</v>
      </c>
      <c r="X1197" s="108">
        <f>IF($A1197="",0,IF(COUNTIF(Config!$C$21:$C$23,$H1197)&gt;0,1,0))</f>
        <v>0</v>
      </c>
      <c r="Y1197" s="108">
        <f t="shared" si="217"/>
        <v>24</v>
      </c>
      <c r="Z1197" s="108" t="str">
        <f t="shared" si="218"/>
        <v/>
      </c>
      <c r="AB1197" s="108">
        <f t="shared" si="219"/>
        <v>0</v>
      </c>
      <c r="AC1197" s="108">
        <f>IF($A1197="",0,IF(AND($AB1197=1,COUNTIF($A$2:$A1197,$A1197)=1),1,0))</f>
        <v>0</v>
      </c>
      <c r="AD1197" s="108">
        <f t="shared" si="220"/>
        <v>1</v>
      </c>
      <c r="AE1197" s="108" t="str">
        <f t="shared" si="221"/>
        <v/>
      </c>
      <c r="AF1197" s="108">
        <f t="shared" si="222"/>
        <v>0</v>
      </c>
      <c r="AG1197" s="108">
        <f t="shared" si="223"/>
        <v>0</v>
      </c>
      <c r="AH1197" s="110" t="str">
        <f t="shared" si="224"/>
        <v/>
      </c>
      <c r="AI1197" s="108">
        <f t="shared" si="225"/>
        <v>0</v>
      </c>
      <c r="AJ1197" s="108">
        <f t="shared" si="226"/>
        <v>0</v>
      </c>
      <c r="AK1197" s="108">
        <f>IF($A1197="",0,IF(AND($S1197=1,$W1197=1,$X1197=1,$U1197&gt;Config!$C$9),1,0))</f>
        <v>0</v>
      </c>
      <c r="AL1197" s="108">
        <f t="shared" si="227"/>
        <v>0</v>
      </c>
    </row>
    <row r="1198" spans="19:38" x14ac:dyDescent="0.25">
      <c r="S1198" s="108" t="str">
        <f>IF($A1198="","",COUNTIF(BPOworkers!$B$6:$B$105,$A1198))</f>
        <v/>
      </c>
      <c r="T1198" s="109" t="str">
        <f>IF($A1198="","",$K1198*Config!$C$9)</f>
        <v/>
      </c>
      <c r="U1198" s="109" t="str">
        <f>IF($A1198="","",IF(COUNTIF(Config!$C$21:$C$23,$H1198)&gt;0,IFERROR(VALUE(LEFT(TRIM($Q1198),FIND(" ",TRIM($Q1198)&amp;" ")-1)),0),0))</f>
        <v/>
      </c>
      <c r="V1198" s="109" t="str">
        <f t="shared" si="216"/>
        <v/>
      </c>
      <c r="W1198" s="108">
        <f>IF($A1198="",0,IF(AND($C1198&gt;=Config!$C$7,$C1198&lt;=Config!$C$8),1,0))</f>
        <v>0</v>
      </c>
      <c r="X1198" s="108">
        <f>IF($A1198="",0,IF(COUNTIF(Config!$C$21:$C$23,$H1198)&gt;0,1,0))</f>
        <v>0</v>
      </c>
      <c r="Y1198" s="108">
        <f t="shared" si="217"/>
        <v>24</v>
      </c>
      <c r="Z1198" s="108" t="str">
        <f t="shared" si="218"/>
        <v/>
      </c>
      <c r="AB1198" s="108">
        <f t="shared" si="219"/>
        <v>0</v>
      </c>
      <c r="AC1198" s="108">
        <f>IF($A1198="",0,IF(AND($AB1198=1,COUNTIF($A$2:$A1198,$A1198)=1),1,0))</f>
        <v>0</v>
      </c>
      <c r="AD1198" s="108">
        <f t="shared" si="220"/>
        <v>1</v>
      </c>
      <c r="AE1198" s="108" t="str">
        <f t="shared" si="221"/>
        <v/>
      </c>
      <c r="AF1198" s="108">
        <f t="shared" si="222"/>
        <v>0</v>
      </c>
      <c r="AG1198" s="108">
        <f t="shared" si="223"/>
        <v>0</v>
      </c>
      <c r="AH1198" s="110" t="str">
        <f t="shared" si="224"/>
        <v/>
      </c>
      <c r="AI1198" s="108">
        <f t="shared" si="225"/>
        <v>0</v>
      </c>
      <c r="AJ1198" s="108">
        <f t="shared" si="226"/>
        <v>0</v>
      </c>
      <c r="AK1198" s="108">
        <f>IF($A1198="",0,IF(AND($S1198=1,$W1198=1,$X1198=1,$U1198&gt;Config!$C$9),1,0))</f>
        <v>0</v>
      </c>
      <c r="AL1198" s="108">
        <f t="shared" si="227"/>
        <v>0</v>
      </c>
    </row>
    <row r="1199" spans="19:38" x14ac:dyDescent="0.25">
      <c r="S1199" s="108" t="str">
        <f>IF($A1199="","",COUNTIF(BPOworkers!$B$6:$B$105,$A1199))</f>
        <v/>
      </c>
      <c r="T1199" s="109" t="str">
        <f>IF($A1199="","",$K1199*Config!$C$9)</f>
        <v/>
      </c>
      <c r="U1199" s="109" t="str">
        <f>IF($A1199="","",IF(COUNTIF(Config!$C$21:$C$23,$H1199)&gt;0,IFERROR(VALUE(LEFT(TRIM($Q1199),FIND(" ",TRIM($Q1199)&amp;" ")-1)),0),0))</f>
        <v/>
      </c>
      <c r="V1199" s="109" t="str">
        <f t="shared" si="216"/>
        <v/>
      </c>
      <c r="W1199" s="108">
        <f>IF($A1199="",0,IF(AND($C1199&gt;=Config!$C$7,$C1199&lt;=Config!$C$8),1,0))</f>
        <v>0</v>
      </c>
      <c r="X1199" s="108">
        <f>IF($A1199="",0,IF(COUNTIF(Config!$C$21:$C$23,$H1199)&gt;0,1,0))</f>
        <v>0</v>
      </c>
      <c r="Y1199" s="108">
        <f t="shared" si="217"/>
        <v>24</v>
      </c>
      <c r="Z1199" s="108" t="str">
        <f t="shared" si="218"/>
        <v/>
      </c>
      <c r="AB1199" s="108">
        <f t="shared" si="219"/>
        <v>0</v>
      </c>
      <c r="AC1199" s="108">
        <f>IF($A1199="",0,IF(AND($AB1199=1,COUNTIF($A$2:$A1199,$A1199)=1),1,0))</f>
        <v>0</v>
      </c>
      <c r="AD1199" s="108">
        <f t="shared" si="220"/>
        <v>1</v>
      </c>
      <c r="AE1199" s="108" t="str">
        <f t="shared" si="221"/>
        <v/>
      </c>
      <c r="AF1199" s="108">
        <f t="shared" si="222"/>
        <v>0</v>
      </c>
      <c r="AG1199" s="108">
        <f t="shared" si="223"/>
        <v>0</v>
      </c>
      <c r="AH1199" s="110" t="str">
        <f t="shared" si="224"/>
        <v/>
      </c>
      <c r="AI1199" s="108">
        <f t="shared" si="225"/>
        <v>0</v>
      </c>
      <c r="AJ1199" s="108">
        <f t="shared" si="226"/>
        <v>0</v>
      </c>
      <c r="AK1199" s="108">
        <f>IF($A1199="",0,IF(AND($S1199=1,$W1199=1,$X1199=1,$U1199&gt;Config!$C$9),1,0))</f>
        <v>0</v>
      </c>
      <c r="AL1199" s="108">
        <f t="shared" si="227"/>
        <v>0</v>
      </c>
    </row>
    <row r="1200" spans="19:38" x14ac:dyDescent="0.25">
      <c r="S1200" s="108" t="str">
        <f>IF($A1200="","",COUNTIF(BPOworkers!$B$6:$B$105,$A1200))</f>
        <v/>
      </c>
      <c r="T1200" s="109" t="str">
        <f>IF($A1200="","",$K1200*Config!$C$9)</f>
        <v/>
      </c>
      <c r="U1200" s="109" t="str">
        <f>IF($A1200="","",IF(COUNTIF(Config!$C$21:$C$23,$H1200)&gt;0,IFERROR(VALUE(LEFT(TRIM($Q1200),FIND(" ",TRIM($Q1200)&amp;" ")-1)),0),0))</f>
        <v/>
      </c>
      <c r="V1200" s="109" t="str">
        <f t="shared" si="216"/>
        <v/>
      </c>
      <c r="W1200" s="108">
        <f>IF($A1200="",0,IF(AND($C1200&gt;=Config!$C$7,$C1200&lt;=Config!$C$8),1,0))</f>
        <v>0</v>
      </c>
      <c r="X1200" s="108">
        <f>IF($A1200="",0,IF(COUNTIF(Config!$C$21:$C$23,$H1200)&gt;0,1,0))</f>
        <v>0</v>
      </c>
      <c r="Y1200" s="108">
        <f t="shared" si="217"/>
        <v>24</v>
      </c>
      <c r="Z1200" s="108" t="str">
        <f t="shared" si="218"/>
        <v/>
      </c>
      <c r="AB1200" s="108">
        <f t="shared" si="219"/>
        <v>0</v>
      </c>
      <c r="AC1200" s="108">
        <f>IF($A1200="",0,IF(AND($AB1200=1,COUNTIF($A$2:$A1200,$A1200)=1),1,0))</f>
        <v>0</v>
      </c>
      <c r="AD1200" s="108">
        <f t="shared" si="220"/>
        <v>1</v>
      </c>
      <c r="AE1200" s="108" t="str">
        <f t="shared" si="221"/>
        <v/>
      </c>
      <c r="AF1200" s="108">
        <f t="shared" si="222"/>
        <v>0</v>
      </c>
      <c r="AG1200" s="108">
        <f t="shared" si="223"/>
        <v>0</v>
      </c>
      <c r="AH1200" s="110" t="str">
        <f t="shared" si="224"/>
        <v/>
      </c>
      <c r="AI1200" s="108">
        <f t="shared" si="225"/>
        <v>0</v>
      </c>
      <c r="AJ1200" s="108">
        <f t="shared" si="226"/>
        <v>0</v>
      </c>
      <c r="AK1200" s="108">
        <f>IF($A1200="",0,IF(AND($S1200=1,$W1200=1,$X1200=1,$U1200&gt;Config!$C$9),1,0))</f>
        <v>0</v>
      </c>
      <c r="AL1200" s="108">
        <f t="shared" si="227"/>
        <v>0</v>
      </c>
    </row>
    <row r="1201" spans="19:38" x14ac:dyDescent="0.25">
      <c r="S1201" s="108" t="str">
        <f>IF($A1201="","",COUNTIF(BPOworkers!$B$6:$B$105,$A1201))</f>
        <v/>
      </c>
      <c r="T1201" s="109" t="str">
        <f>IF($A1201="","",$K1201*Config!$C$9)</f>
        <v/>
      </c>
      <c r="U1201" s="109" t="str">
        <f>IF($A1201="","",IF(COUNTIF(Config!$C$21:$C$23,$H1201)&gt;0,IFERROR(VALUE(LEFT(TRIM($Q1201),FIND(" ",TRIM($Q1201)&amp;" ")-1)),0),0))</f>
        <v/>
      </c>
      <c r="V1201" s="109" t="str">
        <f t="shared" si="216"/>
        <v/>
      </c>
      <c r="W1201" s="108">
        <f>IF($A1201="",0,IF(AND($C1201&gt;=Config!$C$7,$C1201&lt;=Config!$C$8),1,0))</f>
        <v>0</v>
      </c>
      <c r="X1201" s="108">
        <f>IF($A1201="",0,IF(COUNTIF(Config!$C$21:$C$23,$H1201)&gt;0,1,0))</f>
        <v>0</v>
      </c>
      <c r="Y1201" s="108">
        <f t="shared" si="217"/>
        <v>24</v>
      </c>
      <c r="Z1201" s="108" t="str">
        <f t="shared" si="218"/>
        <v/>
      </c>
      <c r="AB1201" s="108">
        <f t="shared" si="219"/>
        <v>0</v>
      </c>
      <c r="AC1201" s="108">
        <f>IF($A1201="",0,IF(AND($AB1201=1,COUNTIF($A$2:$A1201,$A1201)=1),1,0))</f>
        <v>0</v>
      </c>
      <c r="AD1201" s="108">
        <f t="shared" si="220"/>
        <v>1</v>
      </c>
      <c r="AE1201" s="108" t="str">
        <f t="shared" si="221"/>
        <v/>
      </c>
      <c r="AF1201" s="108">
        <f t="shared" si="222"/>
        <v>0</v>
      </c>
      <c r="AG1201" s="108">
        <f t="shared" si="223"/>
        <v>0</v>
      </c>
      <c r="AH1201" s="110" t="str">
        <f t="shared" si="224"/>
        <v/>
      </c>
      <c r="AI1201" s="108">
        <f t="shared" si="225"/>
        <v>0</v>
      </c>
      <c r="AJ1201" s="108">
        <f t="shared" si="226"/>
        <v>0</v>
      </c>
      <c r="AK1201" s="108">
        <f>IF($A1201="",0,IF(AND($S1201=1,$W1201=1,$X1201=1,$U1201&gt;Config!$C$9),1,0))</f>
        <v>0</v>
      </c>
      <c r="AL1201" s="108">
        <f t="shared" si="227"/>
        <v>0</v>
      </c>
    </row>
    <row r="1202" spans="19:38" x14ac:dyDescent="0.25">
      <c r="S1202" s="108" t="str">
        <f>IF($A1202="","",COUNTIF(BPOworkers!$B$6:$B$105,$A1202))</f>
        <v/>
      </c>
      <c r="T1202" s="109" t="str">
        <f>IF($A1202="","",$K1202*Config!$C$9)</f>
        <v/>
      </c>
      <c r="U1202" s="109" t="str">
        <f>IF($A1202="","",IF(COUNTIF(Config!$C$21:$C$23,$H1202)&gt;0,IFERROR(VALUE(LEFT(TRIM($Q1202),FIND(" ",TRIM($Q1202)&amp;" ")-1)),0),0))</f>
        <v/>
      </c>
      <c r="V1202" s="109" t="str">
        <f t="shared" si="216"/>
        <v/>
      </c>
      <c r="W1202" s="108">
        <f>IF($A1202="",0,IF(AND($C1202&gt;=Config!$C$7,$C1202&lt;=Config!$C$8),1,0))</f>
        <v>0</v>
      </c>
      <c r="X1202" s="108">
        <f>IF($A1202="",0,IF(COUNTIF(Config!$C$21:$C$23,$H1202)&gt;0,1,0))</f>
        <v>0</v>
      </c>
      <c r="Y1202" s="108">
        <f t="shared" si="217"/>
        <v>24</v>
      </c>
      <c r="Z1202" s="108" t="str">
        <f t="shared" si="218"/>
        <v/>
      </c>
      <c r="AB1202" s="108">
        <f t="shared" si="219"/>
        <v>0</v>
      </c>
      <c r="AC1202" s="108">
        <f>IF($A1202="",0,IF(AND($AB1202=1,COUNTIF($A$2:$A1202,$A1202)=1),1,0))</f>
        <v>0</v>
      </c>
      <c r="AD1202" s="108">
        <f t="shared" si="220"/>
        <v>1</v>
      </c>
      <c r="AE1202" s="108" t="str">
        <f t="shared" si="221"/>
        <v/>
      </c>
      <c r="AF1202" s="108">
        <f t="shared" si="222"/>
        <v>0</v>
      </c>
      <c r="AG1202" s="108">
        <f t="shared" si="223"/>
        <v>0</v>
      </c>
      <c r="AH1202" s="110" t="str">
        <f t="shared" si="224"/>
        <v/>
      </c>
      <c r="AI1202" s="108">
        <f t="shared" si="225"/>
        <v>0</v>
      </c>
      <c r="AJ1202" s="108">
        <f t="shared" si="226"/>
        <v>0</v>
      </c>
      <c r="AK1202" s="108">
        <f>IF($A1202="",0,IF(AND($S1202=1,$W1202=1,$X1202=1,$U1202&gt;Config!$C$9),1,0))</f>
        <v>0</v>
      </c>
      <c r="AL1202" s="108">
        <f t="shared" si="227"/>
        <v>0</v>
      </c>
    </row>
    <row r="1203" spans="19:38" x14ac:dyDescent="0.25">
      <c r="S1203" s="108" t="str">
        <f>IF($A1203="","",COUNTIF(BPOworkers!$B$6:$B$105,$A1203))</f>
        <v/>
      </c>
      <c r="T1203" s="109" t="str">
        <f>IF($A1203="","",$K1203*Config!$C$9)</f>
        <v/>
      </c>
      <c r="U1203" s="109" t="str">
        <f>IF($A1203="","",IF(COUNTIF(Config!$C$21:$C$23,$H1203)&gt;0,IFERROR(VALUE(LEFT(TRIM($Q1203),FIND(" ",TRIM($Q1203)&amp;" ")-1)),0),0))</f>
        <v/>
      </c>
      <c r="V1203" s="109" t="str">
        <f t="shared" si="216"/>
        <v/>
      </c>
      <c r="W1203" s="108">
        <f>IF($A1203="",0,IF(AND($C1203&gt;=Config!$C$7,$C1203&lt;=Config!$C$8),1,0))</f>
        <v>0</v>
      </c>
      <c r="X1203" s="108">
        <f>IF($A1203="",0,IF(COUNTIF(Config!$C$21:$C$23,$H1203)&gt;0,1,0))</f>
        <v>0</v>
      </c>
      <c r="Y1203" s="108">
        <f t="shared" si="217"/>
        <v>24</v>
      </c>
      <c r="Z1203" s="108" t="str">
        <f t="shared" si="218"/>
        <v/>
      </c>
      <c r="AB1203" s="108">
        <f t="shared" si="219"/>
        <v>0</v>
      </c>
      <c r="AC1203" s="108">
        <f>IF($A1203="",0,IF(AND($AB1203=1,COUNTIF($A$2:$A1203,$A1203)=1),1,0))</f>
        <v>0</v>
      </c>
      <c r="AD1203" s="108">
        <f t="shared" si="220"/>
        <v>1</v>
      </c>
      <c r="AE1203" s="108" t="str">
        <f t="shared" si="221"/>
        <v/>
      </c>
      <c r="AF1203" s="108">
        <f t="shared" si="222"/>
        <v>0</v>
      </c>
      <c r="AG1203" s="108">
        <f t="shared" si="223"/>
        <v>0</v>
      </c>
      <c r="AH1203" s="110" t="str">
        <f t="shared" si="224"/>
        <v/>
      </c>
      <c r="AI1203" s="108">
        <f t="shared" si="225"/>
        <v>0</v>
      </c>
      <c r="AJ1203" s="108">
        <f t="shared" si="226"/>
        <v>0</v>
      </c>
      <c r="AK1203" s="108">
        <f>IF($A1203="",0,IF(AND($S1203=1,$W1203=1,$X1203=1,$U1203&gt;Config!$C$9),1,0))</f>
        <v>0</v>
      </c>
      <c r="AL1203" s="108">
        <f t="shared" si="227"/>
        <v>0</v>
      </c>
    </row>
    <row r="1204" spans="19:38" x14ac:dyDescent="0.25">
      <c r="S1204" s="108" t="str">
        <f>IF($A1204="","",COUNTIF(BPOworkers!$B$6:$B$105,$A1204))</f>
        <v/>
      </c>
      <c r="T1204" s="109" t="str">
        <f>IF($A1204="","",$K1204*Config!$C$9)</f>
        <v/>
      </c>
      <c r="U1204" s="109" t="str">
        <f>IF($A1204="","",IF(COUNTIF(Config!$C$21:$C$23,$H1204)&gt;0,IFERROR(VALUE(LEFT(TRIM($Q1204),FIND(" ",TRIM($Q1204)&amp;" ")-1)),0),0))</f>
        <v/>
      </c>
      <c r="V1204" s="109" t="str">
        <f t="shared" si="216"/>
        <v/>
      </c>
      <c r="W1204" s="108">
        <f>IF($A1204="",0,IF(AND($C1204&gt;=Config!$C$7,$C1204&lt;=Config!$C$8),1,0))</f>
        <v>0</v>
      </c>
      <c r="X1204" s="108">
        <f>IF($A1204="",0,IF(COUNTIF(Config!$C$21:$C$23,$H1204)&gt;0,1,0))</f>
        <v>0</v>
      </c>
      <c r="Y1204" s="108">
        <f t="shared" si="217"/>
        <v>24</v>
      </c>
      <c r="Z1204" s="108" t="str">
        <f t="shared" si="218"/>
        <v/>
      </c>
      <c r="AB1204" s="108">
        <f t="shared" si="219"/>
        <v>0</v>
      </c>
      <c r="AC1204" s="108">
        <f>IF($A1204="",0,IF(AND($AB1204=1,COUNTIF($A$2:$A1204,$A1204)=1),1,0))</f>
        <v>0</v>
      </c>
      <c r="AD1204" s="108">
        <f t="shared" si="220"/>
        <v>1</v>
      </c>
      <c r="AE1204" s="108" t="str">
        <f t="shared" si="221"/>
        <v/>
      </c>
      <c r="AF1204" s="108">
        <f t="shared" si="222"/>
        <v>0</v>
      </c>
      <c r="AG1204" s="108">
        <f t="shared" si="223"/>
        <v>0</v>
      </c>
      <c r="AH1204" s="110" t="str">
        <f t="shared" si="224"/>
        <v/>
      </c>
      <c r="AI1204" s="108">
        <f t="shared" si="225"/>
        <v>0</v>
      </c>
      <c r="AJ1204" s="108">
        <f t="shared" si="226"/>
        <v>0</v>
      </c>
      <c r="AK1204" s="108">
        <f>IF($A1204="",0,IF(AND($S1204=1,$W1204=1,$X1204=1,$U1204&gt;Config!$C$9),1,0))</f>
        <v>0</v>
      </c>
      <c r="AL1204" s="108">
        <f t="shared" si="227"/>
        <v>0</v>
      </c>
    </row>
    <row r="1205" spans="19:38" x14ac:dyDescent="0.25">
      <c r="S1205" s="108" t="str">
        <f>IF($A1205="","",COUNTIF(BPOworkers!$B$6:$B$105,$A1205))</f>
        <v/>
      </c>
      <c r="T1205" s="109" t="str">
        <f>IF($A1205="","",$K1205*Config!$C$9)</f>
        <v/>
      </c>
      <c r="U1205" s="109" t="str">
        <f>IF($A1205="","",IF(COUNTIF(Config!$C$21:$C$23,$H1205)&gt;0,IFERROR(VALUE(LEFT(TRIM($Q1205),FIND(" ",TRIM($Q1205)&amp;" ")-1)),0),0))</f>
        <v/>
      </c>
      <c r="V1205" s="109" t="str">
        <f t="shared" si="216"/>
        <v/>
      </c>
      <c r="W1205" s="108">
        <f>IF($A1205="",0,IF(AND($C1205&gt;=Config!$C$7,$C1205&lt;=Config!$C$8),1,0))</f>
        <v>0</v>
      </c>
      <c r="X1205" s="108">
        <f>IF($A1205="",0,IF(COUNTIF(Config!$C$21:$C$23,$H1205)&gt;0,1,0))</f>
        <v>0</v>
      </c>
      <c r="Y1205" s="108">
        <f t="shared" si="217"/>
        <v>24</v>
      </c>
      <c r="Z1205" s="108" t="str">
        <f t="shared" si="218"/>
        <v/>
      </c>
      <c r="AB1205" s="108">
        <f t="shared" si="219"/>
        <v>0</v>
      </c>
      <c r="AC1205" s="108">
        <f>IF($A1205="",0,IF(AND($AB1205=1,COUNTIF($A$2:$A1205,$A1205)=1),1,0))</f>
        <v>0</v>
      </c>
      <c r="AD1205" s="108">
        <f t="shared" si="220"/>
        <v>1</v>
      </c>
      <c r="AE1205" s="108" t="str">
        <f t="shared" si="221"/>
        <v/>
      </c>
      <c r="AF1205" s="108">
        <f t="shared" si="222"/>
        <v>0</v>
      </c>
      <c r="AG1205" s="108">
        <f t="shared" si="223"/>
        <v>0</v>
      </c>
      <c r="AH1205" s="110" t="str">
        <f t="shared" si="224"/>
        <v/>
      </c>
      <c r="AI1205" s="108">
        <f t="shared" si="225"/>
        <v>0</v>
      </c>
      <c r="AJ1205" s="108">
        <f t="shared" si="226"/>
        <v>0</v>
      </c>
      <c r="AK1205" s="108">
        <f>IF($A1205="",0,IF(AND($S1205=1,$W1205=1,$X1205=1,$U1205&gt;Config!$C$9),1,0))</f>
        <v>0</v>
      </c>
      <c r="AL1205" s="108">
        <f t="shared" si="227"/>
        <v>0</v>
      </c>
    </row>
    <row r="1206" spans="19:38" x14ac:dyDescent="0.25">
      <c r="S1206" s="108" t="str">
        <f>IF($A1206="","",COUNTIF(BPOworkers!$B$6:$B$105,$A1206))</f>
        <v/>
      </c>
      <c r="T1206" s="109" t="str">
        <f>IF($A1206="","",$K1206*Config!$C$9)</f>
        <v/>
      </c>
      <c r="U1206" s="109" t="str">
        <f>IF($A1206="","",IF(COUNTIF(Config!$C$21:$C$23,$H1206)&gt;0,IFERROR(VALUE(LEFT(TRIM($Q1206),FIND(" ",TRIM($Q1206)&amp;" ")-1)),0),0))</f>
        <v/>
      </c>
      <c r="V1206" s="109" t="str">
        <f t="shared" si="216"/>
        <v/>
      </c>
      <c r="W1206" s="108">
        <f>IF($A1206="",0,IF(AND($C1206&gt;=Config!$C$7,$C1206&lt;=Config!$C$8),1,0))</f>
        <v>0</v>
      </c>
      <c r="X1206" s="108">
        <f>IF($A1206="",0,IF(COUNTIF(Config!$C$21:$C$23,$H1206)&gt;0,1,0))</f>
        <v>0</v>
      </c>
      <c r="Y1206" s="108">
        <f t="shared" si="217"/>
        <v>24</v>
      </c>
      <c r="Z1206" s="108" t="str">
        <f t="shared" si="218"/>
        <v/>
      </c>
      <c r="AB1206" s="108">
        <f t="shared" si="219"/>
        <v>0</v>
      </c>
      <c r="AC1206" s="108">
        <f>IF($A1206="",0,IF(AND($AB1206=1,COUNTIF($A$2:$A1206,$A1206)=1),1,0))</f>
        <v>0</v>
      </c>
      <c r="AD1206" s="108">
        <f t="shared" si="220"/>
        <v>1</v>
      </c>
      <c r="AE1206" s="108" t="str">
        <f t="shared" si="221"/>
        <v/>
      </c>
      <c r="AF1206" s="108">
        <f t="shared" si="222"/>
        <v>0</v>
      </c>
      <c r="AG1206" s="108">
        <f t="shared" si="223"/>
        <v>0</v>
      </c>
      <c r="AH1206" s="110" t="str">
        <f t="shared" si="224"/>
        <v/>
      </c>
      <c r="AI1206" s="108">
        <f t="shared" si="225"/>
        <v>0</v>
      </c>
      <c r="AJ1206" s="108">
        <f t="shared" si="226"/>
        <v>0</v>
      </c>
      <c r="AK1206" s="108">
        <f>IF($A1206="",0,IF(AND($S1206=1,$W1206=1,$X1206=1,$U1206&gt;Config!$C$9),1,0))</f>
        <v>0</v>
      </c>
      <c r="AL1206" s="108">
        <f t="shared" si="227"/>
        <v>0</v>
      </c>
    </row>
    <row r="1207" spans="19:38" x14ac:dyDescent="0.25">
      <c r="S1207" s="108" t="str">
        <f>IF($A1207="","",COUNTIF(BPOworkers!$B$6:$B$105,$A1207))</f>
        <v/>
      </c>
      <c r="T1207" s="109" t="str">
        <f>IF($A1207="","",$K1207*Config!$C$9)</f>
        <v/>
      </c>
      <c r="U1207" s="109" t="str">
        <f>IF($A1207="","",IF(COUNTIF(Config!$C$21:$C$23,$H1207)&gt;0,IFERROR(VALUE(LEFT(TRIM($Q1207),FIND(" ",TRIM($Q1207)&amp;" ")-1)),0),0))</f>
        <v/>
      </c>
      <c r="V1207" s="109" t="str">
        <f t="shared" si="216"/>
        <v/>
      </c>
      <c r="W1207" s="108">
        <f>IF($A1207="",0,IF(AND($C1207&gt;=Config!$C$7,$C1207&lt;=Config!$C$8),1,0))</f>
        <v>0</v>
      </c>
      <c r="X1207" s="108">
        <f>IF($A1207="",0,IF(COUNTIF(Config!$C$21:$C$23,$H1207)&gt;0,1,0))</f>
        <v>0</v>
      </c>
      <c r="Y1207" s="108">
        <f t="shared" si="217"/>
        <v>24</v>
      </c>
      <c r="Z1207" s="108" t="str">
        <f t="shared" si="218"/>
        <v/>
      </c>
      <c r="AB1207" s="108">
        <f t="shared" si="219"/>
        <v>0</v>
      </c>
      <c r="AC1207" s="108">
        <f>IF($A1207="",0,IF(AND($AB1207=1,COUNTIF($A$2:$A1207,$A1207)=1),1,0))</f>
        <v>0</v>
      </c>
      <c r="AD1207" s="108">
        <f t="shared" si="220"/>
        <v>1</v>
      </c>
      <c r="AE1207" s="108" t="str">
        <f t="shared" si="221"/>
        <v/>
      </c>
      <c r="AF1207" s="108">
        <f t="shared" si="222"/>
        <v>0</v>
      </c>
      <c r="AG1207" s="108">
        <f t="shared" si="223"/>
        <v>0</v>
      </c>
      <c r="AH1207" s="110" t="str">
        <f t="shared" si="224"/>
        <v/>
      </c>
      <c r="AI1207" s="108">
        <f t="shared" si="225"/>
        <v>0</v>
      </c>
      <c r="AJ1207" s="108">
        <f t="shared" si="226"/>
        <v>0</v>
      </c>
      <c r="AK1207" s="108">
        <f>IF($A1207="",0,IF(AND($S1207=1,$W1207=1,$X1207=1,$U1207&gt;Config!$C$9),1,0))</f>
        <v>0</v>
      </c>
      <c r="AL1207" s="108">
        <f t="shared" si="227"/>
        <v>0</v>
      </c>
    </row>
    <row r="1208" spans="19:38" x14ac:dyDescent="0.25">
      <c r="S1208" s="108" t="str">
        <f>IF($A1208="","",COUNTIF(BPOworkers!$B$6:$B$105,$A1208))</f>
        <v/>
      </c>
      <c r="T1208" s="109" t="str">
        <f>IF($A1208="","",$K1208*Config!$C$9)</f>
        <v/>
      </c>
      <c r="U1208" s="109" t="str">
        <f>IF($A1208="","",IF(COUNTIF(Config!$C$21:$C$23,$H1208)&gt;0,IFERROR(VALUE(LEFT(TRIM($Q1208),FIND(" ",TRIM($Q1208)&amp;" ")-1)),0),0))</f>
        <v/>
      </c>
      <c r="V1208" s="109" t="str">
        <f t="shared" si="216"/>
        <v/>
      </c>
      <c r="W1208" s="108">
        <f>IF($A1208="",0,IF(AND($C1208&gt;=Config!$C$7,$C1208&lt;=Config!$C$8),1,0))</f>
        <v>0</v>
      </c>
      <c r="X1208" s="108">
        <f>IF($A1208="",0,IF(COUNTIF(Config!$C$21:$C$23,$H1208)&gt;0,1,0))</f>
        <v>0</v>
      </c>
      <c r="Y1208" s="108">
        <f t="shared" si="217"/>
        <v>24</v>
      </c>
      <c r="Z1208" s="108" t="str">
        <f t="shared" si="218"/>
        <v/>
      </c>
      <c r="AB1208" s="108">
        <f t="shared" si="219"/>
        <v>0</v>
      </c>
      <c r="AC1208" s="108">
        <f>IF($A1208="",0,IF(AND($AB1208=1,COUNTIF($A$2:$A1208,$A1208)=1),1,0))</f>
        <v>0</v>
      </c>
      <c r="AD1208" s="108">
        <f t="shared" si="220"/>
        <v>1</v>
      </c>
      <c r="AE1208" s="108" t="str">
        <f t="shared" si="221"/>
        <v/>
      </c>
      <c r="AF1208" s="108">
        <f t="shared" si="222"/>
        <v>0</v>
      </c>
      <c r="AG1208" s="108">
        <f t="shared" si="223"/>
        <v>0</v>
      </c>
      <c r="AH1208" s="110" t="str">
        <f t="shared" si="224"/>
        <v/>
      </c>
      <c r="AI1208" s="108">
        <f t="shared" si="225"/>
        <v>0</v>
      </c>
      <c r="AJ1208" s="108">
        <f t="shared" si="226"/>
        <v>0</v>
      </c>
      <c r="AK1208" s="108">
        <f>IF($A1208="",0,IF(AND($S1208=1,$W1208=1,$X1208=1,$U1208&gt;Config!$C$9),1,0))</f>
        <v>0</v>
      </c>
      <c r="AL1208" s="108">
        <f t="shared" si="227"/>
        <v>0</v>
      </c>
    </row>
    <row r="1209" spans="19:38" x14ac:dyDescent="0.25">
      <c r="S1209" s="108" t="str">
        <f>IF($A1209="","",COUNTIF(BPOworkers!$B$6:$B$105,$A1209))</f>
        <v/>
      </c>
      <c r="T1209" s="109" t="str">
        <f>IF($A1209="","",$K1209*Config!$C$9)</f>
        <v/>
      </c>
      <c r="U1209" s="109" t="str">
        <f>IF($A1209="","",IF(COUNTIF(Config!$C$21:$C$23,$H1209)&gt;0,IFERROR(VALUE(LEFT(TRIM($Q1209),FIND(" ",TRIM($Q1209)&amp;" ")-1)),0),0))</f>
        <v/>
      </c>
      <c r="V1209" s="109" t="str">
        <f t="shared" si="216"/>
        <v/>
      </c>
      <c r="W1209" s="108">
        <f>IF($A1209="",0,IF(AND($C1209&gt;=Config!$C$7,$C1209&lt;=Config!$C$8),1,0))</f>
        <v>0</v>
      </c>
      <c r="X1209" s="108">
        <f>IF($A1209="",0,IF(COUNTIF(Config!$C$21:$C$23,$H1209)&gt;0,1,0))</f>
        <v>0</v>
      </c>
      <c r="Y1209" s="108">
        <f t="shared" si="217"/>
        <v>24</v>
      </c>
      <c r="Z1209" s="108" t="str">
        <f t="shared" si="218"/>
        <v/>
      </c>
      <c r="AB1209" s="108">
        <f t="shared" si="219"/>
        <v>0</v>
      </c>
      <c r="AC1209" s="108">
        <f>IF($A1209="",0,IF(AND($AB1209=1,COUNTIF($A$2:$A1209,$A1209)=1),1,0))</f>
        <v>0</v>
      </c>
      <c r="AD1209" s="108">
        <f t="shared" si="220"/>
        <v>1</v>
      </c>
      <c r="AE1209" s="108" t="str">
        <f t="shared" si="221"/>
        <v/>
      </c>
      <c r="AF1209" s="108">
        <f t="shared" si="222"/>
        <v>0</v>
      </c>
      <c r="AG1209" s="108">
        <f t="shared" si="223"/>
        <v>0</v>
      </c>
      <c r="AH1209" s="110" t="str">
        <f t="shared" si="224"/>
        <v/>
      </c>
      <c r="AI1209" s="108">
        <f t="shared" si="225"/>
        <v>0</v>
      </c>
      <c r="AJ1209" s="108">
        <f t="shared" si="226"/>
        <v>0</v>
      </c>
      <c r="AK1209" s="108">
        <f>IF($A1209="",0,IF(AND($S1209=1,$W1209=1,$X1209=1,$U1209&gt;Config!$C$9),1,0))</f>
        <v>0</v>
      </c>
      <c r="AL1209" s="108">
        <f t="shared" si="227"/>
        <v>0</v>
      </c>
    </row>
    <row r="1210" spans="19:38" x14ac:dyDescent="0.25">
      <c r="S1210" s="108" t="str">
        <f>IF($A1210="","",COUNTIF(BPOworkers!$B$6:$B$105,$A1210))</f>
        <v/>
      </c>
      <c r="T1210" s="109" t="str">
        <f>IF($A1210="","",$K1210*Config!$C$9)</f>
        <v/>
      </c>
      <c r="U1210" s="109" t="str">
        <f>IF($A1210="","",IF(COUNTIF(Config!$C$21:$C$23,$H1210)&gt;0,IFERROR(VALUE(LEFT(TRIM($Q1210),FIND(" ",TRIM($Q1210)&amp;" ")-1)),0),0))</f>
        <v/>
      </c>
      <c r="V1210" s="109" t="str">
        <f t="shared" si="216"/>
        <v/>
      </c>
      <c r="W1210" s="108">
        <f>IF($A1210="",0,IF(AND($C1210&gt;=Config!$C$7,$C1210&lt;=Config!$C$8),1,0))</f>
        <v>0</v>
      </c>
      <c r="X1210" s="108">
        <f>IF($A1210="",0,IF(COUNTIF(Config!$C$21:$C$23,$H1210)&gt;0,1,0))</f>
        <v>0</v>
      </c>
      <c r="Y1210" s="108">
        <f t="shared" si="217"/>
        <v>24</v>
      </c>
      <c r="Z1210" s="108" t="str">
        <f t="shared" si="218"/>
        <v/>
      </c>
      <c r="AB1210" s="108">
        <f t="shared" si="219"/>
        <v>0</v>
      </c>
      <c r="AC1210" s="108">
        <f>IF($A1210="",0,IF(AND($AB1210=1,COUNTIF($A$2:$A1210,$A1210)=1),1,0))</f>
        <v>0</v>
      </c>
      <c r="AD1210" s="108">
        <f t="shared" si="220"/>
        <v>1</v>
      </c>
      <c r="AE1210" s="108" t="str">
        <f t="shared" si="221"/>
        <v/>
      </c>
      <c r="AF1210" s="108">
        <f t="shared" si="222"/>
        <v>0</v>
      </c>
      <c r="AG1210" s="108">
        <f t="shared" si="223"/>
        <v>0</v>
      </c>
      <c r="AH1210" s="110" t="str">
        <f t="shared" si="224"/>
        <v/>
      </c>
      <c r="AI1210" s="108">
        <f t="shared" si="225"/>
        <v>0</v>
      </c>
      <c r="AJ1210" s="108">
        <f t="shared" si="226"/>
        <v>0</v>
      </c>
      <c r="AK1210" s="108">
        <f>IF($A1210="",0,IF(AND($S1210=1,$W1210=1,$X1210=1,$U1210&gt;Config!$C$9),1,0))</f>
        <v>0</v>
      </c>
      <c r="AL1210" s="108">
        <f t="shared" si="227"/>
        <v>0</v>
      </c>
    </row>
    <row r="1211" spans="19:38" x14ac:dyDescent="0.25">
      <c r="S1211" s="108" t="str">
        <f>IF($A1211="","",COUNTIF(BPOworkers!$B$6:$B$105,$A1211))</f>
        <v/>
      </c>
      <c r="T1211" s="109" t="str">
        <f>IF($A1211="","",$K1211*Config!$C$9)</f>
        <v/>
      </c>
      <c r="U1211" s="109" t="str">
        <f>IF($A1211="","",IF(COUNTIF(Config!$C$21:$C$23,$H1211)&gt;0,IFERROR(VALUE(LEFT(TRIM($Q1211),FIND(" ",TRIM($Q1211)&amp;" ")-1)),0),0))</f>
        <v/>
      </c>
      <c r="V1211" s="109" t="str">
        <f t="shared" si="216"/>
        <v/>
      </c>
      <c r="W1211" s="108">
        <f>IF($A1211="",0,IF(AND($C1211&gt;=Config!$C$7,$C1211&lt;=Config!$C$8),1,0))</f>
        <v>0</v>
      </c>
      <c r="X1211" s="108">
        <f>IF($A1211="",0,IF(COUNTIF(Config!$C$21:$C$23,$H1211)&gt;0,1,0))</f>
        <v>0</v>
      </c>
      <c r="Y1211" s="108">
        <f t="shared" si="217"/>
        <v>24</v>
      </c>
      <c r="Z1211" s="108" t="str">
        <f t="shared" si="218"/>
        <v/>
      </c>
      <c r="AB1211" s="108">
        <f t="shared" si="219"/>
        <v>0</v>
      </c>
      <c r="AC1211" s="108">
        <f>IF($A1211="",0,IF(AND($AB1211=1,COUNTIF($A$2:$A1211,$A1211)=1),1,0))</f>
        <v>0</v>
      </c>
      <c r="AD1211" s="108">
        <f t="shared" si="220"/>
        <v>1</v>
      </c>
      <c r="AE1211" s="108" t="str">
        <f t="shared" si="221"/>
        <v/>
      </c>
      <c r="AF1211" s="108">
        <f t="shared" si="222"/>
        <v>0</v>
      </c>
      <c r="AG1211" s="108">
        <f t="shared" si="223"/>
        <v>0</v>
      </c>
      <c r="AH1211" s="110" t="str">
        <f t="shared" si="224"/>
        <v/>
      </c>
      <c r="AI1211" s="108">
        <f t="shared" si="225"/>
        <v>0</v>
      </c>
      <c r="AJ1211" s="108">
        <f t="shared" si="226"/>
        <v>0</v>
      </c>
      <c r="AK1211" s="108">
        <f>IF($A1211="",0,IF(AND($S1211=1,$W1211=1,$X1211=1,$U1211&gt;Config!$C$9),1,0))</f>
        <v>0</v>
      </c>
      <c r="AL1211" s="108">
        <f t="shared" si="227"/>
        <v>0</v>
      </c>
    </row>
    <row r="1212" spans="19:38" x14ac:dyDescent="0.25">
      <c r="S1212" s="108" t="str">
        <f>IF($A1212="","",COUNTIF(BPOworkers!$B$6:$B$105,$A1212))</f>
        <v/>
      </c>
      <c r="T1212" s="109" t="str">
        <f>IF($A1212="","",$K1212*Config!$C$9)</f>
        <v/>
      </c>
      <c r="U1212" s="109" t="str">
        <f>IF($A1212="","",IF(COUNTIF(Config!$C$21:$C$23,$H1212)&gt;0,IFERROR(VALUE(LEFT(TRIM($Q1212),FIND(" ",TRIM($Q1212)&amp;" ")-1)),0),0))</f>
        <v/>
      </c>
      <c r="V1212" s="109" t="str">
        <f t="shared" si="216"/>
        <v/>
      </c>
      <c r="W1212" s="108">
        <f>IF($A1212="",0,IF(AND($C1212&gt;=Config!$C$7,$C1212&lt;=Config!$C$8),1,0))</f>
        <v>0</v>
      </c>
      <c r="X1212" s="108">
        <f>IF($A1212="",0,IF(COUNTIF(Config!$C$21:$C$23,$H1212)&gt;0,1,0))</f>
        <v>0</v>
      </c>
      <c r="Y1212" s="108">
        <f t="shared" si="217"/>
        <v>24</v>
      </c>
      <c r="Z1212" s="108" t="str">
        <f t="shared" si="218"/>
        <v/>
      </c>
      <c r="AB1212" s="108">
        <f t="shared" si="219"/>
        <v>0</v>
      </c>
      <c r="AC1212" s="108">
        <f>IF($A1212="",0,IF(AND($AB1212=1,COUNTIF($A$2:$A1212,$A1212)=1),1,0))</f>
        <v>0</v>
      </c>
      <c r="AD1212" s="108">
        <f t="shared" si="220"/>
        <v>1</v>
      </c>
      <c r="AE1212" s="108" t="str">
        <f t="shared" si="221"/>
        <v/>
      </c>
      <c r="AF1212" s="108">
        <f t="shared" si="222"/>
        <v>0</v>
      </c>
      <c r="AG1212" s="108">
        <f t="shared" si="223"/>
        <v>0</v>
      </c>
      <c r="AH1212" s="110" t="str">
        <f t="shared" si="224"/>
        <v/>
      </c>
      <c r="AI1212" s="108">
        <f t="shared" si="225"/>
        <v>0</v>
      </c>
      <c r="AJ1212" s="108">
        <f t="shared" si="226"/>
        <v>0</v>
      </c>
      <c r="AK1212" s="108">
        <f>IF($A1212="",0,IF(AND($S1212=1,$W1212=1,$X1212=1,$U1212&gt;Config!$C$9),1,0))</f>
        <v>0</v>
      </c>
      <c r="AL1212" s="108">
        <f t="shared" si="227"/>
        <v>0</v>
      </c>
    </row>
    <row r="1213" spans="19:38" x14ac:dyDescent="0.25">
      <c r="S1213" s="108" t="str">
        <f>IF($A1213="","",COUNTIF(BPOworkers!$B$6:$B$105,$A1213))</f>
        <v/>
      </c>
      <c r="T1213" s="109" t="str">
        <f>IF($A1213="","",$K1213*Config!$C$9)</f>
        <v/>
      </c>
      <c r="U1213" s="109" t="str">
        <f>IF($A1213="","",IF(COUNTIF(Config!$C$21:$C$23,$H1213)&gt;0,IFERROR(VALUE(LEFT(TRIM($Q1213),FIND(" ",TRIM($Q1213)&amp;" ")-1)),0),0))</f>
        <v/>
      </c>
      <c r="V1213" s="109" t="str">
        <f t="shared" si="216"/>
        <v/>
      </c>
      <c r="W1213" s="108">
        <f>IF($A1213="",0,IF(AND($C1213&gt;=Config!$C$7,$C1213&lt;=Config!$C$8),1,0))</f>
        <v>0</v>
      </c>
      <c r="X1213" s="108">
        <f>IF($A1213="",0,IF(COUNTIF(Config!$C$21:$C$23,$H1213)&gt;0,1,0))</f>
        <v>0</v>
      </c>
      <c r="Y1213" s="108">
        <f t="shared" si="217"/>
        <v>24</v>
      </c>
      <c r="Z1213" s="108" t="str">
        <f t="shared" si="218"/>
        <v/>
      </c>
      <c r="AB1213" s="108">
        <f t="shared" si="219"/>
        <v>0</v>
      </c>
      <c r="AC1213" s="108">
        <f>IF($A1213="",0,IF(AND($AB1213=1,COUNTIF($A$2:$A1213,$A1213)=1),1,0))</f>
        <v>0</v>
      </c>
      <c r="AD1213" s="108">
        <f t="shared" si="220"/>
        <v>1</v>
      </c>
      <c r="AE1213" s="108" t="str">
        <f t="shared" si="221"/>
        <v/>
      </c>
      <c r="AF1213" s="108">
        <f t="shared" si="222"/>
        <v>0</v>
      </c>
      <c r="AG1213" s="108">
        <f t="shared" si="223"/>
        <v>0</v>
      </c>
      <c r="AH1213" s="110" t="str">
        <f t="shared" si="224"/>
        <v/>
      </c>
      <c r="AI1213" s="108">
        <f t="shared" si="225"/>
        <v>0</v>
      </c>
      <c r="AJ1213" s="108">
        <f t="shared" si="226"/>
        <v>0</v>
      </c>
      <c r="AK1213" s="108">
        <f>IF($A1213="",0,IF(AND($S1213=1,$W1213=1,$X1213=1,$U1213&gt;Config!$C$9),1,0))</f>
        <v>0</v>
      </c>
      <c r="AL1213" s="108">
        <f t="shared" si="227"/>
        <v>0</v>
      </c>
    </row>
    <row r="1214" spans="19:38" x14ac:dyDescent="0.25">
      <c r="S1214" s="108" t="str">
        <f>IF($A1214="","",COUNTIF(BPOworkers!$B$6:$B$105,$A1214))</f>
        <v/>
      </c>
      <c r="T1214" s="109" t="str">
        <f>IF($A1214="","",$K1214*Config!$C$9)</f>
        <v/>
      </c>
      <c r="U1214" s="109" t="str">
        <f>IF($A1214="","",IF(COUNTIF(Config!$C$21:$C$23,$H1214)&gt;0,IFERROR(VALUE(LEFT(TRIM($Q1214),FIND(" ",TRIM($Q1214)&amp;" ")-1)),0),0))</f>
        <v/>
      </c>
      <c r="V1214" s="109" t="str">
        <f t="shared" si="216"/>
        <v/>
      </c>
      <c r="W1214" s="108">
        <f>IF($A1214="",0,IF(AND($C1214&gt;=Config!$C$7,$C1214&lt;=Config!$C$8),1,0))</f>
        <v>0</v>
      </c>
      <c r="X1214" s="108">
        <f>IF($A1214="",0,IF(COUNTIF(Config!$C$21:$C$23,$H1214)&gt;0,1,0))</f>
        <v>0</v>
      </c>
      <c r="Y1214" s="108">
        <f t="shared" si="217"/>
        <v>24</v>
      </c>
      <c r="Z1214" s="108" t="str">
        <f t="shared" si="218"/>
        <v/>
      </c>
      <c r="AB1214" s="108">
        <f t="shared" si="219"/>
        <v>0</v>
      </c>
      <c r="AC1214" s="108">
        <f>IF($A1214="",0,IF(AND($AB1214=1,COUNTIF($A$2:$A1214,$A1214)=1),1,0))</f>
        <v>0</v>
      </c>
      <c r="AD1214" s="108">
        <f t="shared" si="220"/>
        <v>1</v>
      </c>
      <c r="AE1214" s="108" t="str">
        <f t="shared" si="221"/>
        <v/>
      </c>
      <c r="AF1214" s="108">
        <f t="shared" si="222"/>
        <v>0</v>
      </c>
      <c r="AG1214" s="108">
        <f t="shared" si="223"/>
        <v>0</v>
      </c>
      <c r="AH1214" s="110" t="str">
        <f t="shared" si="224"/>
        <v/>
      </c>
      <c r="AI1214" s="108">
        <f t="shared" si="225"/>
        <v>0</v>
      </c>
      <c r="AJ1214" s="108">
        <f t="shared" si="226"/>
        <v>0</v>
      </c>
      <c r="AK1214" s="108">
        <f>IF($A1214="",0,IF(AND($S1214=1,$W1214=1,$X1214=1,$U1214&gt;Config!$C$9),1,0))</f>
        <v>0</v>
      </c>
      <c r="AL1214" s="108">
        <f t="shared" si="227"/>
        <v>0</v>
      </c>
    </row>
    <row r="1215" spans="19:38" x14ac:dyDescent="0.25">
      <c r="S1215" s="108" t="str">
        <f>IF($A1215="","",COUNTIF(BPOworkers!$B$6:$B$105,$A1215))</f>
        <v/>
      </c>
      <c r="T1215" s="109" t="str">
        <f>IF($A1215="","",$K1215*Config!$C$9)</f>
        <v/>
      </c>
      <c r="U1215" s="109" t="str">
        <f>IF($A1215="","",IF(COUNTIF(Config!$C$21:$C$23,$H1215)&gt;0,IFERROR(VALUE(LEFT(TRIM($Q1215),FIND(" ",TRIM($Q1215)&amp;" ")-1)),0),0))</f>
        <v/>
      </c>
      <c r="V1215" s="109" t="str">
        <f t="shared" si="216"/>
        <v/>
      </c>
      <c r="W1215" s="108">
        <f>IF($A1215="",0,IF(AND($C1215&gt;=Config!$C$7,$C1215&lt;=Config!$C$8),1,0))</f>
        <v>0</v>
      </c>
      <c r="X1215" s="108">
        <f>IF($A1215="",0,IF(COUNTIF(Config!$C$21:$C$23,$H1215)&gt;0,1,0))</f>
        <v>0</v>
      </c>
      <c r="Y1215" s="108">
        <f t="shared" si="217"/>
        <v>24</v>
      </c>
      <c r="Z1215" s="108" t="str">
        <f t="shared" si="218"/>
        <v/>
      </c>
      <c r="AB1215" s="108">
        <f t="shared" si="219"/>
        <v>0</v>
      </c>
      <c r="AC1215" s="108">
        <f>IF($A1215="",0,IF(AND($AB1215=1,COUNTIF($A$2:$A1215,$A1215)=1),1,0))</f>
        <v>0</v>
      </c>
      <c r="AD1215" s="108">
        <f t="shared" si="220"/>
        <v>1</v>
      </c>
      <c r="AE1215" s="108" t="str">
        <f t="shared" si="221"/>
        <v/>
      </c>
      <c r="AF1215" s="108">
        <f t="shared" si="222"/>
        <v>0</v>
      </c>
      <c r="AG1215" s="108">
        <f t="shared" si="223"/>
        <v>0</v>
      </c>
      <c r="AH1215" s="110" t="str">
        <f t="shared" si="224"/>
        <v/>
      </c>
      <c r="AI1215" s="108">
        <f t="shared" si="225"/>
        <v>0</v>
      </c>
      <c r="AJ1215" s="108">
        <f t="shared" si="226"/>
        <v>0</v>
      </c>
      <c r="AK1215" s="108">
        <f>IF($A1215="",0,IF(AND($S1215=1,$W1215=1,$X1215=1,$U1215&gt;Config!$C$9),1,0))</f>
        <v>0</v>
      </c>
      <c r="AL1215" s="108">
        <f t="shared" si="227"/>
        <v>0</v>
      </c>
    </row>
    <row r="1216" spans="19:38" x14ac:dyDescent="0.25">
      <c r="S1216" s="108" t="str">
        <f>IF($A1216="","",COUNTIF(BPOworkers!$B$6:$B$105,$A1216))</f>
        <v/>
      </c>
      <c r="T1216" s="109" t="str">
        <f>IF($A1216="","",$K1216*Config!$C$9)</f>
        <v/>
      </c>
      <c r="U1216" s="109" t="str">
        <f>IF($A1216="","",IF(COUNTIF(Config!$C$21:$C$23,$H1216)&gt;0,IFERROR(VALUE(LEFT(TRIM($Q1216),FIND(" ",TRIM($Q1216)&amp;" ")-1)),0),0))</f>
        <v/>
      </c>
      <c r="V1216" s="109" t="str">
        <f t="shared" si="216"/>
        <v/>
      </c>
      <c r="W1216" s="108">
        <f>IF($A1216="",0,IF(AND($C1216&gt;=Config!$C$7,$C1216&lt;=Config!$C$8),1,0))</f>
        <v>0</v>
      </c>
      <c r="X1216" s="108">
        <f>IF($A1216="",0,IF(COUNTIF(Config!$C$21:$C$23,$H1216)&gt;0,1,0))</f>
        <v>0</v>
      </c>
      <c r="Y1216" s="108">
        <f t="shared" si="217"/>
        <v>24</v>
      </c>
      <c r="Z1216" s="108" t="str">
        <f t="shared" si="218"/>
        <v/>
      </c>
      <c r="AB1216" s="108">
        <f t="shared" si="219"/>
        <v>0</v>
      </c>
      <c r="AC1216" s="108">
        <f>IF($A1216="",0,IF(AND($AB1216=1,COUNTIF($A$2:$A1216,$A1216)=1),1,0))</f>
        <v>0</v>
      </c>
      <c r="AD1216" s="108">
        <f t="shared" si="220"/>
        <v>1</v>
      </c>
      <c r="AE1216" s="108" t="str">
        <f t="shared" si="221"/>
        <v/>
      </c>
      <c r="AF1216" s="108">
        <f t="shared" si="222"/>
        <v>0</v>
      </c>
      <c r="AG1216" s="108">
        <f t="shared" si="223"/>
        <v>0</v>
      </c>
      <c r="AH1216" s="110" t="str">
        <f t="shared" si="224"/>
        <v/>
      </c>
      <c r="AI1216" s="108">
        <f t="shared" si="225"/>
        <v>0</v>
      </c>
      <c r="AJ1216" s="108">
        <f t="shared" si="226"/>
        <v>0</v>
      </c>
      <c r="AK1216" s="108">
        <f>IF($A1216="",0,IF(AND($S1216=1,$W1216=1,$X1216=1,$U1216&gt;Config!$C$9),1,0))</f>
        <v>0</v>
      </c>
      <c r="AL1216" s="108">
        <f t="shared" si="227"/>
        <v>0</v>
      </c>
    </row>
    <row r="1217" spans="19:38" x14ac:dyDescent="0.25">
      <c r="S1217" s="108" t="str">
        <f>IF($A1217="","",COUNTIF(BPOworkers!$B$6:$B$105,$A1217))</f>
        <v/>
      </c>
      <c r="T1217" s="109" t="str">
        <f>IF($A1217="","",$K1217*Config!$C$9)</f>
        <v/>
      </c>
      <c r="U1217" s="109" t="str">
        <f>IF($A1217="","",IF(COUNTIF(Config!$C$21:$C$23,$H1217)&gt;0,IFERROR(VALUE(LEFT(TRIM($Q1217),FIND(" ",TRIM($Q1217)&amp;" ")-1)),0),0))</f>
        <v/>
      </c>
      <c r="V1217" s="109" t="str">
        <f t="shared" si="216"/>
        <v/>
      </c>
      <c r="W1217" s="108">
        <f>IF($A1217="",0,IF(AND($C1217&gt;=Config!$C$7,$C1217&lt;=Config!$C$8),1,0))</f>
        <v>0</v>
      </c>
      <c r="X1217" s="108">
        <f>IF($A1217="",0,IF(COUNTIF(Config!$C$21:$C$23,$H1217)&gt;0,1,0))</f>
        <v>0</v>
      </c>
      <c r="Y1217" s="108">
        <f t="shared" si="217"/>
        <v>24</v>
      </c>
      <c r="Z1217" s="108" t="str">
        <f t="shared" si="218"/>
        <v/>
      </c>
      <c r="AB1217" s="108">
        <f t="shared" si="219"/>
        <v>0</v>
      </c>
      <c r="AC1217" s="108">
        <f>IF($A1217="",0,IF(AND($AB1217=1,COUNTIF($A$2:$A1217,$A1217)=1),1,0))</f>
        <v>0</v>
      </c>
      <c r="AD1217" s="108">
        <f t="shared" si="220"/>
        <v>1</v>
      </c>
      <c r="AE1217" s="108" t="str">
        <f t="shared" si="221"/>
        <v/>
      </c>
      <c r="AF1217" s="108">
        <f t="shared" si="222"/>
        <v>0</v>
      </c>
      <c r="AG1217" s="108">
        <f t="shared" si="223"/>
        <v>0</v>
      </c>
      <c r="AH1217" s="110" t="str">
        <f t="shared" si="224"/>
        <v/>
      </c>
      <c r="AI1217" s="108">
        <f t="shared" si="225"/>
        <v>0</v>
      </c>
      <c r="AJ1217" s="108">
        <f t="shared" si="226"/>
        <v>0</v>
      </c>
      <c r="AK1217" s="108">
        <f>IF($A1217="",0,IF(AND($S1217=1,$W1217=1,$X1217=1,$U1217&gt;Config!$C$9),1,0))</f>
        <v>0</v>
      </c>
      <c r="AL1217" s="108">
        <f t="shared" si="227"/>
        <v>0</v>
      </c>
    </row>
    <row r="1218" spans="19:38" x14ac:dyDescent="0.25">
      <c r="S1218" s="108" t="str">
        <f>IF($A1218="","",COUNTIF(BPOworkers!$B$6:$B$105,$A1218))</f>
        <v/>
      </c>
      <c r="T1218" s="109" t="str">
        <f>IF($A1218="","",$K1218*Config!$C$9)</f>
        <v/>
      </c>
      <c r="U1218" s="109" t="str">
        <f>IF($A1218="","",IF(COUNTIF(Config!$C$21:$C$23,$H1218)&gt;0,IFERROR(VALUE(LEFT(TRIM($Q1218),FIND(" ",TRIM($Q1218)&amp;" ")-1)),0),0))</f>
        <v/>
      </c>
      <c r="V1218" s="109" t="str">
        <f t="shared" ref="V1218:V1281" si="228">IF($A1218="","",$T1218+$U1218)</f>
        <v/>
      </c>
      <c r="W1218" s="108">
        <f>IF($A1218="",0,IF(AND($C1218&gt;=Config!$C$7,$C1218&lt;=Config!$C$8),1,0))</f>
        <v>0</v>
      </c>
      <c r="X1218" s="108">
        <f>IF($A1218="",0,IF(COUNTIF(Config!$C$21:$C$23,$H1218)&gt;0,1,0))</f>
        <v>0</v>
      </c>
      <c r="Y1218" s="108">
        <f t="shared" ref="Y1218:Y1281" si="229">IF($A1218="",MAX(0,Y1217),MAX(0,Y1217)+IF(AND($W1218=1,$X1218=1,$S1218=1),1,0))</f>
        <v>24</v>
      </c>
      <c r="Z1218" s="108" t="str">
        <f t="shared" ref="Z1218:Z1281" si="230">IF($A1218="","",IF(AND($W1218=1,$X1218=1,$S1218=1),$Y1218,""))</f>
        <v/>
      </c>
      <c r="AB1218" s="108">
        <f t="shared" ref="AB1218:AB1281" si="231">IF($A1218="",0,IF(AND($S1218=0,ISERROR(FIND(".",$A1218))),1,0))</f>
        <v>0</v>
      </c>
      <c r="AC1218" s="108">
        <f>IF($A1218="",0,IF(AND($AB1218=1,COUNTIF($A$2:$A1218,$A1218)=1),1,0))</f>
        <v>0</v>
      </c>
      <c r="AD1218" s="108">
        <f t="shared" ref="AD1218:AD1281" si="232">IF($A1218="",MAX(0,AD1217),MAX(0,AD1217)+$AC1218)</f>
        <v>1</v>
      </c>
      <c r="AE1218" s="108" t="str">
        <f t="shared" ref="AE1218:AE1281" si="233">IF($AC1218=1,$AD1218,"")</f>
        <v/>
      </c>
      <c r="AF1218" s="108">
        <f t="shared" ref="AF1218:AF1281" si="234">IF($A1218="",0,IFERROR(IF(AND($S1218=1,WEEKDAY($C1218,2)&gt;5),1,0),0))</f>
        <v>0</v>
      </c>
      <c r="AG1218" s="108">
        <f t="shared" ref="AG1218:AG1281" si="235">IF($A1218="",0,IF(AND($S1218=1,$W1218=0),1,0))</f>
        <v>0</v>
      </c>
      <c r="AH1218" s="110" t="str">
        <f t="shared" ref="AH1218:AH1281" si="236">IF($A1218="","",$A1218&amp;"|"&amp;TEXT($C1218,"yyyymmdd")&amp;"|"&amp;$H1218&amp;"|"&amp;TEXT($K1218,"0.000")&amp;"|"&amp;SUBSTITUTE(SUBSTITUTE(SUBSTITUTE(LEFT($Q1218,120),"~",""),"*",""),"?",""))</f>
        <v/>
      </c>
      <c r="AI1218" s="108">
        <f t="shared" ref="AI1218:AI1281" si="237">IF($A1218="",0,IF(AND($S1218=1,$W1218=1,COUNTIF($AH$2:$AH$1500,$AH1218)&gt;1),1,0))</f>
        <v>0</v>
      </c>
      <c r="AJ1218" s="108">
        <f t="shared" ref="AJ1218:AJ1281" si="238">IF($A1218="",0,IF(AND($S1218=1,$W1218=1,ABS($K1218*8-ROUND($K1218*8,0))&gt;0.0001),1,0))</f>
        <v>0</v>
      </c>
      <c r="AK1218" s="108">
        <f>IF($A1218="",0,IF(AND($S1218=1,$W1218=1,$X1218=1,$U1218&gt;Config!$C$9),1,0))</f>
        <v>0</v>
      </c>
      <c r="AL1218" s="108">
        <f t="shared" ref="AL1218:AL1281" si="239">IF($A1218="",0,IF(AND($S1218=1,$W1218=1,$X1218=1,$U1218=0),1,0))</f>
        <v>0</v>
      </c>
    </row>
    <row r="1219" spans="19:38" x14ac:dyDescent="0.25">
      <c r="S1219" s="108" t="str">
        <f>IF($A1219="","",COUNTIF(BPOworkers!$B$6:$B$105,$A1219))</f>
        <v/>
      </c>
      <c r="T1219" s="109" t="str">
        <f>IF($A1219="","",$K1219*Config!$C$9)</f>
        <v/>
      </c>
      <c r="U1219" s="109" t="str">
        <f>IF($A1219="","",IF(COUNTIF(Config!$C$21:$C$23,$H1219)&gt;0,IFERROR(VALUE(LEFT(TRIM($Q1219),FIND(" ",TRIM($Q1219)&amp;" ")-1)),0),0))</f>
        <v/>
      </c>
      <c r="V1219" s="109" t="str">
        <f t="shared" si="228"/>
        <v/>
      </c>
      <c r="W1219" s="108">
        <f>IF($A1219="",0,IF(AND($C1219&gt;=Config!$C$7,$C1219&lt;=Config!$C$8),1,0))</f>
        <v>0</v>
      </c>
      <c r="X1219" s="108">
        <f>IF($A1219="",0,IF(COUNTIF(Config!$C$21:$C$23,$H1219)&gt;0,1,0))</f>
        <v>0</v>
      </c>
      <c r="Y1219" s="108">
        <f t="shared" si="229"/>
        <v>24</v>
      </c>
      <c r="Z1219" s="108" t="str">
        <f t="shared" si="230"/>
        <v/>
      </c>
      <c r="AB1219" s="108">
        <f t="shared" si="231"/>
        <v>0</v>
      </c>
      <c r="AC1219" s="108">
        <f>IF($A1219="",0,IF(AND($AB1219=1,COUNTIF($A$2:$A1219,$A1219)=1),1,0))</f>
        <v>0</v>
      </c>
      <c r="AD1219" s="108">
        <f t="shared" si="232"/>
        <v>1</v>
      </c>
      <c r="AE1219" s="108" t="str">
        <f t="shared" si="233"/>
        <v/>
      </c>
      <c r="AF1219" s="108">
        <f t="shared" si="234"/>
        <v>0</v>
      </c>
      <c r="AG1219" s="108">
        <f t="shared" si="235"/>
        <v>0</v>
      </c>
      <c r="AH1219" s="110" t="str">
        <f t="shared" si="236"/>
        <v/>
      </c>
      <c r="AI1219" s="108">
        <f t="shared" si="237"/>
        <v>0</v>
      </c>
      <c r="AJ1219" s="108">
        <f t="shared" si="238"/>
        <v>0</v>
      </c>
      <c r="AK1219" s="108">
        <f>IF($A1219="",0,IF(AND($S1219=1,$W1219=1,$X1219=1,$U1219&gt;Config!$C$9),1,0))</f>
        <v>0</v>
      </c>
      <c r="AL1219" s="108">
        <f t="shared" si="239"/>
        <v>0</v>
      </c>
    </row>
    <row r="1220" spans="19:38" x14ac:dyDescent="0.25">
      <c r="S1220" s="108" t="str">
        <f>IF($A1220="","",COUNTIF(BPOworkers!$B$6:$B$105,$A1220))</f>
        <v/>
      </c>
      <c r="T1220" s="109" t="str">
        <f>IF($A1220="","",$K1220*Config!$C$9)</f>
        <v/>
      </c>
      <c r="U1220" s="109" t="str">
        <f>IF($A1220="","",IF(COUNTIF(Config!$C$21:$C$23,$H1220)&gt;0,IFERROR(VALUE(LEFT(TRIM($Q1220),FIND(" ",TRIM($Q1220)&amp;" ")-1)),0),0))</f>
        <v/>
      </c>
      <c r="V1220" s="109" t="str">
        <f t="shared" si="228"/>
        <v/>
      </c>
      <c r="W1220" s="108">
        <f>IF($A1220="",0,IF(AND($C1220&gt;=Config!$C$7,$C1220&lt;=Config!$C$8),1,0))</f>
        <v>0</v>
      </c>
      <c r="X1220" s="108">
        <f>IF($A1220="",0,IF(COUNTIF(Config!$C$21:$C$23,$H1220)&gt;0,1,0))</f>
        <v>0</v>
      </c>
      <c r="Y1220" s="108">
        <f t="shared" si="229"/>
        <v>24</v>
      </c>
      <c r="Z1220" s="108" t="str">
        <f t="shared" si="230"/>
        <v/>
      </c>
      <c r="AB1220" s="108">
        <f t="shared" si="231"/>
        <v>0</v>
      </c>
      <c r="AC1220" s="108">
        <f>IF($A1220="",0,IF(AND($AB1220=1,COUNTIF($A$2:$A1220,$A1220)=1),1,0))</f>
        <v>0</v>
      </c>
      <c r="AD1220" s="108">
        <f t="shared" si="232"/>
        <v>1</v>
      </c>
      <c r="AE1220" s="108" t="str">
        <f t="shared" si="233"/>
        <v/>
      </c>
      <c r="AF1220" s="108">
        <f t="shared" si="234"/>
        <v>0</v>
      </c>
      <c r="AG1220" s="108">
        <f t="shared" si="235"/>
        <v>0</v>
      </c>
      <c r="AH1220" s="110" t="str">
        <f t="shared" si="236"/>
        <v/>
      </c>
      <c r="AI1220" s="108">
        <f t="shared" si="237"/>
        <v>0</v>
      </c>
      <c r="AJ1220" s="108">
        <f t="shared" si="238"/>
        <v>0</v>
      </c>
      <c r="AK1220" s="108">
        <f>IF($A1220="",0,IF(AND($S1220=1,$W1220=1,$X1220=1,$U1220&gt;Config!$C$9),1,0))</f>
        <v>0</v>
      </c>
      <c r="AL1220" s="108">
        <f t="shared" si="239"/>
        <v>0</v>
      </c>
    </row>
    <row r="1221" spans="19:38" x14ac:dyDescent="0.25">
      <c r="S1221" s="108" t="str">
        <f>IF($A1221="","",COUNTIF(BPOworkers!$B$6:$B$105,$A1221))</f>
        <v/>
      </c>
      <c r="T1221" s="109" t="str">
        <f>IF($A1221="","",$K1221*Config!$C$9)</f>
        <v/>
      </c>
      <c r="U1221" s="109" t="str">
        <f>IF($A1221="","",IF(COUNTIF(Config!$C$21:$C$23,$H1221)&gt;0,IFERROR(VALUE(LEFT(TRIM($Q1221),FIND(" ",TRIM($Q1221)&amp;" ")-1)),0),0))</f>
        <v/>
      </c>
      <c r="V1221" s="109" t="str">
        <f t="shared" si="228"/>
        <v/>
      </c>
      <c r="W1221" s="108">
        <f>IF($A1221="",0,IF(AND($C1221&gt;=Config!$C$7,$C1221&lt;=Config!$C$8),1,0))</f>
        <v>0</v>
      </c>
      <c r="X1221" s="108">
        <f>IF($A1221="",0,IF(COUNTIF(Config!$C$21:$C$23,$H1221)&gt;0,1,0))</f>
        <v>0</v>
      </c>
      <c r="Y1221" s="108">
        <f t="shared" si="229"/>
        <v>24</v>
      </c>
      <c r="Z1221" s="108" t="str">
        <f t="shared" si="230"/>
        <v/>
      </c>
      <c r="AB1221" s="108">
        <f t="shared" si="231"/>
        <v>0</v>
      </c>
      <c r="AC1221" s="108">
        <f>IF($A1221="",0,IF(AND($AB1221=1,COUNTIF($A$2:$A1221,$A1221)=1),1,0))</f>
        <v>0</v>
      </c>
      <c r="AD1221" s="108">
        <f t="shared" si="232"/>
        <v>1</v>
      </c>
      <c r="AE1221" s="108" t="str">
        <f t="shared" si="233"/>
        <v/>
      </c>
      <c r="AF1221" s="108">
        <f t="shared" si="234"/>
        <v>0</v>
      </c>
      <c r="AG1221" s="108">
        <f t="shared" si="235"/>
        <v>0</v>
      </c>
      <c r="AH1221" s="110" t="str">
        <f t="shared" si="236"/>
        <v/>
      </c>
      <c r="AI1221" s="108">
        <f t="shared" si="237"/>
        <v>0</v>
      </c>
      <c r="AJ1221" s="108">
        <f t="shared" si="238"/>
        <v>0</v>
      </c>
      <c r="AK1221" s="108">
        <f>IF($A1221="",0,IF(AND($S1221=1,$W1221=1,$X1221=1,$U1221&gt;Config!$C$9),1,0))</f>
        <v>0</v>
      </c>
      <c r="AL1221" s="108">
        <f t="shared" si="239"/>
        <v>0</v>
      </c>
    </row>
    <row r="1222" spans="19:38" x14ac:dyDescent="0.25">
      <c r="S1222" s="108" t="str">
        <f>IF($A1222="","",COUNTIF(BPOworkers!$B$6:$B$105,$A1222))</f>
        <v/>
      </c>
      <c r="T1222" s="109" t="str">
        <f>IF($A1222="","",$K1222*Config!$C$9)</f>
        <v/>
      </c>
      <c r="U1222" s="109" t="str">
        <f>IF($A1222="","",IF(COUNTIF(Config!$C$21:$C$23,$H1222)&gt;0,IFERROR(VALUE(LEFT(TRIM($Q1222),FIND(" ",TRIM($Q1222)&amp;" ")-1)),0),0))</f>
        <v/>
      </c>
      <c r="V1222" s="109" t="str">
        <f t="shared" si="228"/>
        <v/>
      </c>
      <c r="W1222" s="108">
        <f>IF($A1222="",0,IF(AND($C1222&gt;=Config!$C$7,$C1222&lt;=Config!$C$8),1,0))</f>
        <v>0</v>
      </c>
      <c r="X1222" s="108">
        <f>IF($A1222="",0,IF(COUNTIF(Config!$C$21:$C$23,$H1222)&gt;0,1,0))</f>
        <v>0</v>
      </c>
      <c r="Y1222" s="108">
        <f t="shared" si="229"/>
        <v>24</v>
      </c>
      <c r="Z1222" s="108" t="str">
        <f t="shared" si="230"/>
        <v/>
      </c>
      <c r="AB1222" s="108">
        <f t="shared" si="231"/>
        <v>0</v>
      </c>
      <c r="AC1222" s="108">
        <f>IF($A1222="",0,IF(AND($AB1222=1,COUNTIF($A$2:$A1222,$A1222)=1),1,0))</f>
        <v>0</v>
      </c>
      <c r="AD1222" s="108">
        <f t="shared" si="232"/>
        <v>1</v>
      </c>
      <c r="AE1222" s="108" t="str">
        <f t="shared" si="233"/>
        <v/>
      </c>
      <c r="AF1222" s="108">
        <f t="shared" si="234"/>
        <v>0</v>
      </c>
      <c r="AG1222" s="108">
        <f t="shared" si="235"/>
        <v>0</v>
      </c>
      <c r="AH1222" s="110" t="str">
        <f t="shared" si="236"/>
        <v/>
      </c>
      <c r="AI1222" s="108">
        <f t="shared" si="237"/>
        <v>0</v>
      </c>
      <c r="AJ1222" s="108">
        <f t="shared" si="238"/>
        <v>0</v>
      </c>
      <c r="AK1222" s="108">
        <f>IF($A1222="",0,IF(AND($S1222=1,$W1222=1,$X1222=1,$U1222&gt;Config!$C$9),1,0))</f>
        <v>0</v>
      </c>
      <c r="AL1222" s="108">
        <f t="shared" si="239"/>
        <v>0</v>
      </c>
    </row>
    <row r="1223" spans="19:38" x14ac:dyDescent="0.25">
      <c r="S1223" s="108" t="str">
        <f>IF($A1223="","",COUNTIF(BPOworkers!$B$6:$B$105,$A1223))</f>
        <v/>
      </c>
      <c r="T1223" s="109" t="str">
        <f>IF($A1223="","",$K1223*Config!$C$9)</f>
        <v/>
      </c>
      <c r="U1223" s="109" t="str">
        <f>IF($A1223="","",IF(COUNTIF(Config!$C$21:$C$23,$H1223)&gt;0,IFERROR(VALUE(LEFT(TRIM($Q1223),FIND(" ",TRIM($Q1223)&amp;" ")-1)),0),0))</f>
        <v/>
      </c>
      <c r="V1223" s="109" t="str">
        <f t="shared" si="228"/>
        <v/>
      </c>
      <c r="W1223" s="108">
        <f>IF($A1223="",0,IF(AND($C1223&gt;=Config!$C$7,$C1223&lt;=Config!$C$8),1,0))</f>
        <v>0</v>
      </c>
      <c r="X1223" s="108">
        <f>IF($A1223="",0,IF(COUNTIF(Config!$C$21:$C$23,$H1223)&gt;0,1,0))</f>
        <v>0</v>
      </c>
      <c r="Y1223" s="108">
        <f t="shared" si="229"/>
        <v>24</v>
      </c>
      <c r="Z1223" s="108" t="str">
        <f t="shared" si="230"/>
        <v/>
      </c>
      <c r="AB1223" s="108">
        <f t="shared" si="231"/>
        <v>0</v>
      </c>
      <c r="AC1223" s="108">
        <f>IF($A1223="",0,IF(AND($AB1223=1,COUNTIF($A$2:$A1223,$A1223)=1),1,0))</f>
        <v>0</v>
      </c>
      <c r="AD1223" s="108">
        <f t="shared" si="232"/>
        <v>1</v>
      </c>
      <c r="AE1223" s="108" t="str">
        <f t="shared" si="233"/>
        <v/>
      </c>
      <c r="AF1223" s="108">
        <f t="shared" si="234"/>
        <v>0</v>
      </c>
      <c r="AG1223" s="108">
        <f t="shared" si="235"/>
        <v>0</v>
      </c>
      <c r="AH1223" s="110" t="str">
        <f t="shared" si="236"/>
        <v/>
      </c>
      <c r="AI1223" s="108">
        <f t="shared" si="237"/>
        <v>0</v>
      </c>
      <c r="AJ1223" s="108">
        <f t="shared" si="238"/>
        <v>0</v>
      </c>
      <c r="AK1223" s="108">
        <f>IF($A1223="",0,IF(AND($S1223=1,$W1223=1,$X1223=1,$U1223&gt;Config!$C$9),1,0))</f>
        <v>0</v>
      </c>
      <c r="AL1223" s="108">
        <f t="shared" si="239"/>
        <v>0</v>
      </c>
    </row>
    <row r="1224" spans="19:38" x14ac:dyDescent="0.25">
      <c r="S1224" s="108" t="str">
        <f>IF($A1224="","",COUNTIF(BPOworkers!$B$6:$B$105,$A1224))</f>
        <v/>
      </c>
      <c r="T1224" s="109" t="str">
        <f>IF($A1224="","",$K1224*Config!$C$9)</f>
        <v/>
      </c>
      <c r="U1224" s="109" t="str">
        <f>IF($A1224="","",IF(COUNTIF(Config!$C$21:$C$23,$H1224)&gt;0,IFERROR(VALUE(LEFT(TRIM($Q1224),FIND(" ",TRIM($Q1224)&amp;" ")-1)),0),0))</f>
        <v/>
      </c>
      <c r="V1224" s="109" t="str">
        <f t="shared" si="228"/>
        <v/>
      </c>
      <c r="W1224" s="108">
        <f>IF($A1224="",0,IF(AND($C1224&gt;=Config!$C$7,$C1224&lt;=Config!$C$8),1,0))</f>
        <v>0</v>
      </c>
      <c r="X1224" s="108">
        <f>IF($A1224="",0,IF(COUNTIF(Config!$C$21:$C$23,$H1224)&gt;0,1,0))</f>
        <v>0</v>
      </c>
      <c r="Y1224" s="108">
        <f t="shared" si="229"/>
        <v>24</v>
      </c>
      <c r="Z1224" s="108" t="str">
        <f t="shared" si="230"/>
        <v/>
      </c>
      <c r="AB1224" s="108">
        <f t="shared" si="231"/>
        <v>0</v>
      </c>
      <c r="AC1224" s="108">
        <f>IF($A1224="",0,IF(AND($AB1224=1,COUNTIF($A$2:$A1224,$A1224)=1),1,0))</f>
        <v>0</v>
      </c>
      <c r="AD1224" s="108">
        <f t="shared" si="232"/>
        <v>1</v>
      </c>
      <c r="AE1224" s="108" t="str">
        <f t="shared" si="233"/>
        <v/>
      </c>
      <c r="AF1224" s="108">
        <f t="shared" si="234"/>
        <v>0</v>
      </c>
      <c r="AG1224" s="108">
        <f t="shared" si="235"/>
        <v>0</v>
      </c>
      <c r="AH1224" s="110" t="str">
        <f t="shared" si="236"/>
        <v/>
      </c>
      <c r="AI1224" s="108">
        <f t="shared" si="237"/>
        <v>0</v>
      </c>
      <c r="AJ1224" s="108">
        <f t="shared" si="238"/>
        <v>0</v>
      </c>
      <c r="AK1224" s="108">
        <f>IF($A1224="",0,IF(AND($S1224=1,$W1224=1,$X1224=1,$U1224&gt;Config!$C$9),1,0))</f>
        <v>0</v>
      </c>
      <c r="AL1224" s="108">
        <f t="shared" si="239"/>
        <v>0</v>
      </c>
    </row>
    <row r="1225" spans="19:38" x14ac:dyDescent="0.25">
      <c r="S1225" s="108" t="str">
        <f>IF($A1225="","",COUNTIF(BPOworkers!$B$6:$B$105,$A1225))</f>
        <v/>
      </c>
      <c r="T1225" s="109" t="str">
        <f>IF($A1225="","",$K1225*Config!$C$9)</f>
        <v/>
      </c>
      <c r="U1225" s="109" t="str">
        <f>IF($A1225="","",IF(COUNTIF(Config!$C$21:$C$23,$H1225)&gt;0,IFERROR(VALUE(LEFT(TRIM($Q1225),FIND(" ",TRIM($Q1225)&amp;" ")-1)),0),0))</f>
        <v/>
      </c>
      <c r="V1225" s="109" t="str">
        <f t="shared" si="228"/>
        <v/>
      </c>
      <c r="W1225" s="108">
        <f>IF($A1225="",0,IF(AND($C1225&gt;=Config!$C$7,$C1225&lt;=Config!$C$8),1,0))</f>
        <v>0</v>
      </c>
      <c r="X1225" s="108">
        <f>IF($A1225="",0,IF(COUNTIF(Config!$C$21:$C$23,$H1225)&gt;0,1,0))</f>
        <v>0</v>
      </c>
      <c r="Y1225" s="108">
        <f t="shared" si="229"/>
        <v>24</v>
      </c>
      <c r="Z1225" s="108" t="str">
        <f t="shared" si="230"/>
        <v/>
      </c>
      <c r="AB1225" s="108">
        <f t="shared" si="231"/>
        <v>0</v>
      </c>
      <c r="AC1225" s="108">
        <f>IF($A1225="",0,IF(AND($AB1225=1,COUNTIF($A$2:$A1225,$A1225)=1),1,0))</f>
        <v>0</v>
      </c>
      <c r="AD1225" s="108">
        <f t="shared" si="232"/>
        <v>1</v>
      </c>
      <c r="AE1225" s="108" t="str">
        <f t="shared" si="233"/>
        <v/>
      </c>
      <c r="AF1225" s="108">
        <f t="shared" si="234"/>
        <v>0</v>
      </c>
      <c r="AG1225" s="108">
        <f t="shared" si="235"/>
        <v>0</v>
      </c>
      <c r="AH1225" s="110" t="str">
        <f t="shared" si="236"/>
        <v/>
      </c>
      <c r="AI1225" s="108">
        <f t="shared" si="237"/>
        <v>0</v>
      </c>
      <c r="AJ1225" s="108">
        <f t="shared" si="238"/>
        <v>0</v>
      </c>
      <c r="AK1225" s="108">
        <f>IF($A1225="",0,IF(AND($S1225=1,$W1225=1,$X1225=1,$U1225&gt;Config!$C$9),1,0))</f>
        <v>0</v>
      </c>
      <c r="AL1225" s="108">
        <f t="shared" si="239"/>
        <v>0</v>
      </c>
    </row>
    <row r="1226" spans="19:38" x14ac:dyDescent="0.25">
      <c r="S1226" s="108" t="str">
        <f>IF($A1226="","",COUNTIF(BPOworkers!$B$6:$B$105,$A1226))</f>
        <v/>
      </c>
      <c r="T1226" s="109" t="str">
        <f>IF($A1226="","",$K1226*Config!$C$9)</f>
        <v/>
      </c>
      <c r="U1226" s="109" t="str">
        <f>IF($A1226="","",IF(COUNTIF(Config!$C$21:$C$23,$H1226)&gt;0,IFERROR(VALUE(LEFT(TRIM($Q1226),FIND(" ",TRIM($Q1226)&amp;" ")-1)),0),0))</f>
        <v/>
      </c>
      <c r="V1226" s="109" t="str">
        <f t="shared" si="228"/>
        <v/>
      </c>
      <c r="W1226" s="108">
        <f>IF($A1226="",0,IF(AND($C1226&gt;=Config!$C$7,$C1226&lt;=Config!$C$8),1,0))</f>
        <v>0</v>
      </c>
      <c r="X1226" s="108">
        <f>IF($A1226="",0,IF(COUNTIF(Config!$C$21:$C$23,$H1226)&gt;0,1,0))</f>
        <v>0</v>
      </c>
      <c r="Y1226" s="108">
        <f t="shared" si="229"/>
        <v>24</v>
      </c>
      <c r="Z1226" s="108" t="str">
        <f t="shared" si="230"/>
        <v/>
      </c>
      <c r="AB1226" s="108">
        <f t="shared" si="231"/>
        <v>0</v>
      </c>
      <c r="AC1226" s="108">
        <f>IF($A1226="",0,IF(AND($AB1226=1,COUNTIF($A$2:$A1226,$A1226)=1),1,0))</f>
        <v>0</v>
      </c>
      <c r="AD1226" s="108">
        <f t="shared" si="232"/>
        <v>1</v>
      </c>
      <c r="AE1226" s="108" t="str">
        <f t="shared" si="233"/>
        <v/>
      </c>
      <c r="AF1226" s="108">
        <f t="shared" si="234"/>
        <v>0</v>
      </c>
      <c r="AG1226" s="108">
        <f t="shared" si="235"/>
        <v>0</v>
      </c>
      <c r="AH1226" s="110" t="str">
        <f t="shared" si="236"/>
        <v/>
      </c>
      <c r="AI1226" s="108">
        <f t="shared" si="237"/>
        <v>0</v>
      </c>
      <c r="AJ1226" s="108">
        <f t="shared" si="238"/>
        <v>0</v>
      </c>
      <c r="AK1226" s="108">
        <f>IF($A1226="",0,IF(AND($S1226=1,$W1226=1,$X1226=1,$U1226&gt;Config!$C$9),1,0))</f>
        <v>0</v>
      </c>
      <c r="AL1226" s="108">
        <f t="shared" si="239"/>
        <v>0</v>
      </c>
    </row>
    <row r="1227" spans="19:38" x14ac:dyDescent="0.25">
      <c r="S1227" s="108" t="str">
        <f>IF($A1227="","",COUNTIF(BPOworkers!$B$6:$B$105,$A1227))</f>
        <v/>
      </c>
      <c r="T1227" s="109" t="str">
        <f>IF($A1227="","",$K1227*Config!$C$9)</f>
        <v/>
      </c>
      <c r="U1227" s="109" t="str">
        <f>IF($A1227="","",IF(COUNTIF(Config!$C$21:$C$23,$H1227)&gt;0,IFERROR(VALUE(LEFT(TRIM($Q1227),FIND(" ",TRIM($Q1227)&amp;" ")-1)),0),0))</f>
        <v/>
      </c>
      <c r="V1227" s="109" t="str">
        <f t="shared" si="228"/>
        <v/>
      </c>
      <c r="W1227" s="108">
        <f>IF($A1227="",0,IF(AND($C1227&gt;=Config!$C$7,$C1227&lt;=Config!$C$8),1,0))</f>
        <v>0</v>
      </c>
      <c r="X1227" s="108">
        <f>IF($A1227="",0,IF(COUNTIF(Config!$C$21:$C$23,$H1227)&gt;0,1,0))</f>
        <v>0</v>
      </c>
      <c r="Y1227" s="108">
        <f t="shared" si="229"/>
        <v>24</v>
      </c>
      <c r="Z1227" s="108" t="str">
        <f t="shared" si="230"/>
        <v/>
      </c>
      <c r="AB1227" s="108">
        <f t="shared" si="231"/>
        <v>0</v>
      </c>
      <c r="AC1227" s="108">
        <f>IF($A1227="",0,IF(AND($AB1227=1,COUNTIF($A$2:$A1227,$A1227)=1),1,0))</f>
        <v>0</v>
      </c>
      <c r="AD1227" s="108">
        <f t="shared" si="232"/>
        <v>1</v>
      </c>
      <c r="AE1227" s="108" t="str">
        <f t="shared" si="233"/>
        <v/>
      </c>
      <c r="AF1227" s="108">
        <f t="shared" si="234"/>
        <v>0</v>
      </c>
      <c r="AG1227" s="108">
        <f t="shared" si="235"/>
        <v>0</v>
      </c>
      <c r="AH1227" s="110" t="str">
        <f t="shared" si="236"/>
        <v/>
      </c>
      <c r="AI1227" s="108">
        <f t="shared" si="237"/>
        <v>0</v>
      </c>
      <c r="AJ1227" s="108">
        <f t="shared" si="238"/>
        <v>0</v>
      </c>
      <c r="AK1227" s="108">
        <f>IF($A1227="",0,IF(AND($S1227=1,$W1227=1,$X1227=1,$U1227&gt;Config!$C$9),1,0))</f>
        <v>0</v>
      </c>
      <c r="AL1227" s="108">
        <f t="shared" si="239"/>
        <v>0</v>
      </c>
    </row>
    <row r="1228" spans="19:38" x14ac:dyDescent="0.25">
      <c r="S1228" s="108" t="str">
        <f>IF($A1228="","",COUNTIF(BPOworkers!$B$6:$B$105,$A1228))</f>
        <v/>
      </c>
      <c r="T1228" s="109" t="str">
        <f>IF($A1228="","",$K1228*Config!$C$9)</f>
        <v/>
      </c>
      <c r="U1228" s="109" t="str">
        <f>IF($A1228="","",IF(COUNTIF(Config!$C$21:$C$23,$H1228)&gt;0,IFERROR(VALUE(LEFT(TRIM($Q1228),FIND(" ",TRIM($Q1228)&amp;" ")-1)),0),0))</f>
        <v/>
      </c>
      <c r="V1228" s="109" t="str">
        <f t="shared" si="228"/>
        <v/>
      </c>
      <c r="W1228" s="108">
        <f>IF($A1228="",0,IF(AND($C1228&gt;=Config!$C$7,$C1228&lt;=Config!$C$8),1,0))</f>
        <v>0</v>
      </c>
      <c r="X1228" s="108">
        <f>IF($A1228="",0,IF(COUNTIF(Config!$C$21:$C$23,$H1228)&gt;0,1,0))</f>
        <v>0</v>
      </c>
      <c r="Y1228" s="108">
        <f t="shared" si="229"/>
        <v>24</v>
      </c>
      <c r="Z1228" s="108" t="str">
        <f t="shared" si="230"/>
        <v/>
      </c>
      <c r="AB1228" s="108">
        <f t="shared" si="231"/>
        <v>0</v>
      </c>
      <c r="AC1228" s="108">
        <f>IF($A1228="",0,IF(AND($AB1228=1,COUNTIF($A$2:$A1228,$A1228)=1),1,0))</f>
        <v>0</v>
      </c>
      <c r="AD1228" s="108">
        <f t="shared" si="232"/>
        <v>1</v>
      </c>
      <c r="AE1228" s="108" t="str">
        <f t="shared" si="233"/>
        <v/>
      </c>
      <c r="AF1228" s="108">
        <f t="shared" si="234"/>
        <v>0</v>
      </c>
      <c r="AG1228" s="108">
        <f t="shared" si="235"/>
        <v>0</v>
      </c>
      <c r="AH1228" s="110" t="str">
        <f t="shared" si="236"/>
        <v/>
      </c>
      <c r="AI1228" s="108">
        <f t="shared" si="237"/>
        <v>0</v>
      </c>
      <c r="AJ1228" s="108">
        <f t="shared" si="238"/>
        <v>0</v>
      </c>
      <c r="AK1228" s="108">
        <f>IF($A1228="",0,IF(AND($S1228=1,$W1228=1,$X1228=1,$U1228&gt;Config!$C$9),1,0))</f>
        <v>0</v>
      </c>
      <c r="AL1228" s="108">
        <f t="shared" si="239"/>
        <v>0</v>
      </c>
    </row>
    <row r="1229" spans="19:38" x14ac:dyDescent="0.25">
      <c r="S1229" s="108" t="str">
        <f>IF($A1229="","",COUNTIF(BPOworkers!$B$6:$B$105,$A1229))</f>
        <v/>
      </c>
      <c r="T1229" s="109" t="str">
        <f>IF($A1229="","",$K1229*Config!$C$9)</f>
        <v/>
      </c>
      <c r="U1229" s="109" t="str">
        <f>IF($A1229="","",IF(COUNTIF(Config!$C$21:$C$23,$H1229)&gt;0,IFERROR(VALUE(LEFT(TRIM($Q1229),FIND(" ",TRIM($Q1229)&amp;" ")-1)),0),0))</f>
        <v/>
      </c>
      <c r="V1229" s="109" t="str">
        <f t="shared" si="228"/>
        <v/>
      </c>
      <c r="W1229" s="108">
        <f>IF($A1229="",0,IF(AND($C1229&gt;=Config!$C$7,$C1229&lt;=Config!$C$8),1,0))</f>
        <v>0</v>
      </c>
      <c r="X1229" s="108">
        <f>IF($A1229="",0,IF(COUNTIF(Config!$C$21:$C$23,$H1229)&gt;0,1,0))</f>
        <v>0</v>
      </c>
      <c r="Y1229" s="108">
        <f t="shared" si="229"/>
        <v>24</v>
      </c>
      <c r="Z1229" s="108" t="str">
        <f t="shared" si="230"/>
        <v/>
      </c>
      <c r="AB1229" s="108">
        <f t="shared" si="231"/>
        <v>0</v>
      </c>
      <c r="AC1229" s="108">
        <f>IF($A1229="",0,IF(AND($AB1229=1,COUNTIF($A$2:$A1229,$A1229)=1),1,0))</f>
        <v>0</v>
      </c>
      <c r="AD1229" s="108">
        <f t="shared" si="232"/>
        <v>1</v>
      </c>
      <c r="AE1229" s="108" t="str">
        <f t="shared" si="233"/>
        <v/>
      </c>
      <c r="AF1229" s="108">
        <f t="shared" si="234"/>
        <v>0</v>
      </c>
      <c r="AG1229" s="108">
        <f t="shared" si="235"/>
        <v>0</v>
      </c>
      <c r="AH1229" s="110" t="str">
        <f t="shared" si="236"/>
        <v/>
      </c>
      <c r="AI1229" s="108">
        <f t="shared" si="237"/>
        <v>0</v>
      </c>
      <c r="AJ1229" s="108">
        <f t="shared" si="238"/>
        <v>0</v>
      </c>
      <c r="AK1229" s="108">
        <f>IF($A1229="",0,IF(AND($S1229=1,$W1229=1,$X1229=1,$U1229&gt;Config!$C$9),1,0))</f>
        <v>0</v>
      </c>
      <c r="AL1229" s="108">
        <f t="shared" si="239"/>
        <v>0</v>
      </c>
    </row>
    <row r="1230" spans="19:38" x14ac:dyDescent="0.25">
      <c r="S1230" s="108" t="str">
        <f>IF($A1230="","",COUNTIF(BPOworkers!$B$6:$B$105,$A1230))</f>
        <v/>
      </c>
      <c r="T1230" s="109" t="str">
        <f>IF($A1230="","",$K1230*Config!$C$9)</f>
        <v/>
      </c>
      <c r="U1230" s="109" t="str">
        <f>IF($A1230="","",IF(COUNTIF(Config!$C$21:$C$23,$H1230)&gt;0,IFERROR(VALUE(LEFT(TRIM($Q1230),FIND(" ",TRIM($Q1230)&amp;" ")-1)),0),0))</f>
        <v/>
      </c>
      <c r="V1230" s="109" t="str">
        <f t="shared" si="228"/>
        <v/>
      </c>
      <c r="W1230" s="108">
        <f>IF($A1230="",0,IF(AND($C1230&gt;=Config!$C$7,$C1230&lt;=Config!$C$8),1,0))</f>
        <v>0</v>
      </c>
      <c r="X1230" s="108">
        <f>IF($A1230="",0,IF(COUNTIF(Config!$C$21:$C$23,$H1230)&gt;0,1,0))</f>
        <v>0</v>
      </c>
      <c r="Y1230" s="108">
        <f t="shared" si="229"/>
        <v>24</v>
      </c>
      <c r="Z1230" s="108" t="str">
        <f t="shared" si="230"/>
        <v/>
      </c>
      <c r="AB1230" s="108">
        <f t="shared" si="231"/>
        <v>0</v>
      </c>
      <c r="AC1230" s="108">
        <f>IF($A1230="",0,IF(AND($AB1230=1,COUNTIF($A$2:$A1230,$A1230)=1),1,0))</f>
        <v>0</v>
      </c>
      <c r="AD1230" s="108">
        <f t="shared" si="232"/>
        <v>1</v>
      </c>
      <c r="AE1230" s="108" t="str">
        <f t="shared" si="233"/>
        <v/>
      </c>
      <c r="AF1230" s="108">
        <f t="shared" si="234"/>
        <v>0</v>
      </c>
      <c r="AG1230" s="108">
        <f t="shared" si="235"/>
        <v>0</v>
      </c>
      <c r="AH1230" s="110" t="str">
        <f t="shared" si="236"/>
        <v/>
      </c>
      <c r="AI1230" s="108">
        <f t="shared" si="237"/>
        <v>0</v>
      </c>
      <c r="AJ1230" s="108">
        <f t="shared" si="238"/>
        <v>0</v>
      </c>
      <c r="AK1230" s="108">
        <f>IF($A1230="",0,IF(AND($S1230=1,$W1230=1,$X1230=1,$U1230&gt;Config!$C$9),1,0))</f>
        <v>0</v>
      </c>
      <c r="AL1230" s="108">
        <f t="shared" si="239"/>
        <v>0</v>
      </c>
    </row>
    <row r="1231" spans="19:38" x14ac:dyDescent="0.25">
      <c r="S1231" s="108" t="str">
        <f>IF($A1231="","",COUNTIF(BPOworkers!$B$6:$B$105,$A1231))</f>
        <v/>
      </c>
      <c r="T1231" s="109" t="str">
        <f>IF($A1231="","",$K1231*Config!$C$9)</f>
        <v/>
      </c>
      <c r="U1231" s="109" t="str">
        <f>IF($A1231="","",IF(COUNTIF(Config!$C$21:$C$23,$H1231)&gt;0,IFERROR(VALUE(LEFT(TRIM($Q1231),FIND(" ",TRIM($Q1231)&amp;" ")-1)),0),0))</f>
        <v/>
      </c>
      <c r="V1231" s="109" t="str">
        <f t="shared" si="228"/>
        <v/>
      </c>
      <c r="W1231" s="108">
        <f>IF($A1231="",0,IF(AND($C1231&gt;=Config!$C$7,$C1231&lt;=Config!$C$8),1,0))</f>
        <v>0</v>
      </c>
      <c r="X1231" s="108">
        <f>IF($A1231="",0,IF(COUNTIF(Config!$C$21:$C$23,$H1231)&gt;0,1,0))</f>
        <v>0</v>
      </c>
      <c r="Y1231" s="108">
        <f t="shared" si="229"/>
        <v>24</v>
      </c>
      <c r="Z1231" s="108" t="str">
        <f t="shared" si="230"/>
        <v/>
      </c>
      <c r="AB1231" s="108">
        <f t="shared" si="231"/>
        <v>0</v>
      </c>
      <c r="AC1231" s="108">
        <f>IF($A1231="",0,IF(AND($AB1231=1,COUNTIF($A$2:$A1231,$A1231)=1),1,0))</f>
        <v>0</v>
      </c>
      <c r="AD1231" s="108">
        <f t="shared" si="232"/>
        <v>1</v>
      </c>
      <c r="AE1231" s="108" t="str">
        <f t="shared" si="233"/>
        <v/>
      </c>
      <c r="AF1231" s="108">
        <f t="shared" si="234"/>
        <v>0</v>
      </c>
      <c r="AG1231" s="108">
        <f t="shared" si="235"/>
        <v>0</v>
      </c>
      <c r="AH1231" s="110" t="str">
        <f t="shared" si="236"/>
        <v/>
      </c>
      <c r="AI1231" s="108">
        <f t="shared" si="237"/>
        <v>0</v>
      </c>
      <c r="AJ1231" s="108">
        <f t="shared" si="238"/>
        <v>0</v>
      </c>
      <c r="AK1231" s="108">
        <f>IF($A1231="",0,IF(AND($S1231=1,$W1231=1,$X1231=1,$U1231&gt;Config!$C$9),1,0))</f>
        <v>0</v>
      </c>
      <c r="AL1231" s="108">
        <f t="shared" si="239"/>
        <v>0</v>
      </c>
    </row>
    <row r="1232" spans="19:38" x14ac:dyDescent="0.25">
      <c r="S1232" s="108" t="str">
        <f>IF($A1232="","",COUNTIF(BPOworkers!$B$6:$B$105,$A1232))</f>
        <v/>
      </c>
      <c r="T1232" s="109" t="str">
        <f>IF($A1232="","",$K1232*Config!$C$9)</f>
        <v/>
      </c>
      <c r="U1232" s="109" t="str">
        <f>IF($A1232="","",IF(COUNTIF(Config!$C$21:$C$23,$H1232)&gt;0,IFERROR(VALUE(LEFT(TRIM($Q1232),FIND(" ",TRIM($Q1232)&amp;" ")-1)),0),0))</f>
        <v/>
      </c>
      <c r="V1232" s="109" t="str">
        <f t="shared" si="228"/>
        <v/>
      </c>
      <c r="W1232" s="108">
        <f>IF($A1232="",0,IF(AND($C1232&gt;=Config!$C$7,$C1232&lt;=Config!$C$8),1,0))</f>
        <v>0</v>
      </c>
      <c r="X1232" s="108">
        <f>IF($A1232="",0,IF(COUNTIF(Config!$C$21:$C$23,$H1232)&gt;0,1,0))</f>
        <v>0</v>
      </c>
      <c r="Y1232" s="108">
        <f t="shared" si="229"/>
        <v>24</v>
      </c>
      <c r="Z1232" s="108" t="str">
        <f t="shared" si="230"/>
        <v/>
      </c>
      <c r="AB1232" s="108">
        <f t="shared" si="231"/>
        <v>0</v>
      </c>
      <c r="AC1232" s="108">
        <f>IF($A1232="",0,IF(AND($AB1232=1,COUNTIF($A$2:$A1232,$A1232)=1),1,0))</f>
        <v>0</v>
      </c>
      <c r="AD1232" s="108">
        <f t="shared" si="232"/>
        <v>1</v>
      </c>
      <c r="AE1232" s="108" t="str">
        <f t="shared" si="233"/>
        <v/>
      </c>
      <c r="AF1232" s="108">
        <f t="shared" si="234"/>
        <v>0</v>
      </c>
      <c r="AG1232" s="108">
        <f t="shared" si="235"/>
        <v>0</v>
      </c>
      <c r="AH1232" s="110" t="str">
        <f t="shared" si="236"/>
        <v/>
      </c>
      <c r="AI1232" s="108">
        <f t="shared" si="237"/>
        <v>0</v>
      </c>
      <c r="AJ1232" s="108">
        <f t="shared" si="238"/>
        <v>0</v>
      </c>
      <c r="AK1232" s="108">
        <f>IF($A1232="",0,IF(AND($S1232=1,$W1232=1,$X1232=1,$U1232&gt;Config!$C$9),1,0))</f>
        <v>0</v>
      </c>
      <c r="AL1232" s="108">
        <f t="shared" si="239"/>
        <v>0</v>
      </c>
    </row>
    <row r="1233" spans="19:38" x14ac:dyDescent="0.25">
      <c r="S1233" s="108" t="str">
        <f>IF($A1233="","",COUNTIF(BPOworkers!$B$6:$B$105,$A1233))</f>
        <v/>
      </c>
      <c r="T1233" s="109" t="str">
        <f>IF($A1233="","",$K1233*Config!$C$9)</f>
        <v/>
      </c>
      <c r="U1233" s="109" t="str">
        <f>IF($A1233="","",IF(COUNTIF(Config!$C$21:$C$23,$H1233)&gt;0,IFERROR(VALUE(LEFT(TRIM($Q1233),FIND(" ",TRIM($Q1233)&amp;" ")-1)),0),0))</f>
        <v/>
      </c>
      <c r="V1233" s="109" t="str">
        <f t="shared" si="228"/>
        <v/>
      </c>
      <c r="W1233" s="108">
        <f>IF($A1233="",0,IF(AND($C1233&gt;=Config!$C$7,$C1233&lt;=Config!$C$8),1,0))</f>
        <v>0</v>
      </c>
      <c r="X1233" s="108">
        <f>IF($A1233="",0,IF(COUNTIF(Config!$C$21:$C$23,$H1233)&gt;0,1,0))</f>
        <v>0</v>
      </c>
      <c r="Y1233" s="108">
        <f t="shared" si="229"/>
        <v>24</v>
      </c>
      <c r="Z1233" s="108" t="str">
        <f t="shared" si="230"/>
        <v/>
      </c>
      <c r="AB1233" s="108">
        <f t="shared" si="231"/>
        <v>0</v>
      </c>
      <c r="AC1233" s="108">
        <f>IF($A1233="",0,IF(AND($AB1233=1,COUNTIF($A$2:$A1233,$A1233)=1),1,0))</f>
        <v>0</v>
      </c>
      <c r="AD1233" s="108">
        <f t="shared" si="232"/>
        <v>1</v>
      </c>
      <c r="AE1233" s="108" t="str">
        <f t="shared" si="233"/>
        <v/>
      </c>
      <c r="AF1233" s="108">
        <f t="shared" si="234"/>
        <v>0</v>
      </c>
      <c r="AG1233" s="108">
        <f t="shared" si="235"/>
        <v>0</v>
      </c>
      <c r="AH1233" s="110" t="str">
        <f t="shared" si="236"/>
        <v/>
      </c>
      <c r="AI1233" s="108">
        <f t="shared" si="237"/>
        <v>0</v>
      </c>
      <c r="AJ1233" s="108">
        <f t="shared" si="238"/>
        <v>0</v>
      </c>
      <c r="AK1233" s="108">
        <f>IF($A1233="",0,IF(AND($S1233=1,$W1233=1,$X1233=1,$U1233&gt;Config!$C$9),1,0))</f>
        <v>0</v>
      </c>
      <c r="AL1233" s="108">
        <f t="shared" si="239"/>
        <v>0</v>
      </c>
    </row>
    <row r="1234" spans="19:38" x14ac:dyDescent="0.25">
      <c r="S1234" s="108" t="str">
        <f>IF($A1234="","",COUNTIF(BPOworkers!$B$6:$B$105,$A1234))</f>
        <v/>
      </c>
      <c r="T1234" s="109" t="str">
        <f>IF($A1234="","",$K1234*Config!$C$9)</f>
        <v/>
      </c>
      <c r="U1234" s="109" t="str">
        <f>IF($A1234="","",IF(COUNTIF(Config!$C$21:$C$23,$H1234)&gt;0,IFERROR(VALUE(LEFT(TRIM($Q1234),FIND(" ",TRIM($Q1234)&amp;" ")-1)),0),0))</f>
        <v/>
      </c>
      <c r="V1234" s="109" t="str">
        <f t="shared" si="228"/>
        <v/>
      </c>
      <c r="W1234" s="108">
        <f>IF($A1234="",0,IF(AND($C1234&gt;=Config!$C$7,$C1234&lt;=Config!$C$8),1,0))</f>
        <v>0</v>
      </c>
      <c r="X1234" s="108">
        <f>IF($A1234="",0,IF(COUNTIF(Config!$C$21:$C$23,$H1234)&gt;0,1,0))</f>
        <v>0</v>
      </c>
      <c r="Y1234" s="108">
        <f t="shared" si="229"/>
        <v>24</v>
      </c>
      <c r="Z1234" s="108" t="str">
        <f t="shared" si="230"/>
        <v/>
      </c>
      <c r="AB1234" s="108">
        <f t="shared" si="231"/>
        <v>0</v>
      </c>
      <c r="AC1234" s="108">
        <f>IF($A1234="",0,IF(AND($AB1234=1,COUNTIF($A$2:$A1234,$A1234)=1),1,0))</f>
        <v>0</v>
      </c>
      <c r="AD1234" s="108">
        <f t="shared" si="232"/>
        <v>1</v>
      </c>
      <c r="AE1234" s="108" t="str">
        <f t="shared" si="233"/>
        <v/>
      </c>
      <c r="AF1234" s="108">
        <f t="shared" si="234"/>
        <v>0</v>
      </c>
      <c r="AG1234" s="108">
        <f t="shared" si="235"/>
        <v>0</v>
      </c>
      <c r="AH1234" s="110" t="str">
        <f t="shared" si="236"/>
        <v/>
      </c>
      <c r="AI1234" s="108">
        <f t="shared" si="237"/>
        <v>0</v>
      </c>
      <c r="AJ1234" s="108">
        <f t="shared" si="238"/>
        <v>0</v>
      </c>
      <c r="AK1234" s="108">
        <f>IF($A1234="",0,IF(AND($S1234=1,$W1234=1,$X1234=1,$U1234&gt;Config!$C$9),1,0))</f>
        <v>0</v>
      </c>
      <c r="AL1234" s="108">
        <f t="shared" si="239"/>
        <v>0</v>
      </c>
    </row>
    <row r="1235" spans="19:38" x14ac:dyDescent="0.25">
      <c r="S1235" s="108" t="str">
        <f>IF($A1235="","",COUNTIF(BPOworkers!$B$6:$B$105,$A1235))</f>
        <v/>
      </c>
      <c r="T1235" s="109" t="str">
        <f>IF($A1235="","",$K1235*Config!$C$9)</f>
        <v/>
      </c>
      <c r="U1235" s="109" t="str">
        <f>IF($A1235="","",IF(COUNTIF(Config!$C$21:$C$23,$H1235)&gt;0,IFERROR(VALUE(LEFT(TRIM($Q1235),FIND(" ",TRIM($Q1235)&amp;" ")-1)),0),0))</f>
        <v/>
      </c>
      <c r="V1235" s="109" t="str">
        <f t="shared" si="228"/>
        <v/>
      </c>
      <c r="W1235" s="108">
        <f>IF($A1235="",0,IF(AND($C1235&gt;=Config!$C$7,$C1235&lt;=Config!$C$8),1,0))</f>
        <v>0</v>
      </c>
      <c r="X1235" s="108">
        <f>IF($A1235="",0,IF(COUNTIF(Config!$C$21:$C$23,$H1235)&gt;0,1,0))</f>
        <v>0</v>
      </c>
      <c r="Y1235" s="108">
        <f t="shared" si="229"/>
        <v>24</v>
      </c>
      <c r="Z1235" s="108" t="str">
        <f t="shared" si="230"/>
        <v/>
      </c>
      <c r="AB1235" s="108">
        <f t="shared" si="231"/>
        <v>0</v>
      </c>
      <c r="AC1235" s="108">
        <f>IF($A1235="",0,IF(AND($AB1235=1,COUNTIF($A$2:$A1235,$A1235)=1),1,0))</f>
        <v>0</v>
      </c>
      <c r="AD1235" s="108">
        <f t="shared" si="232"/>
        <v>1</v>
      </c>
      <c r="AE1235" s="108" t="str">
        <f t="shared" si="233"/>
        <v/>
      </c>
      <c r="AF1235" s="108">
        <f t="shared" si="234"/>
        <v>0</v>
      </c>
      <c r="AG1235" s="108">
        <f t="shared" si="235"/>
        <v>0</v>
      </c>
      <c r="AH1235" s="110" t="str">
        <f t="shared" si="236"/>
        <v/>
      </c>
      <c r="AI1235" s="108">
        <f t="shared" si="237"/>
        <v>0</v>
      </c>
      <c r="AJ1235" s="108">
        <f t="shared" si="238"/>
        <v>0</v>
      </c>
      <c r="AK1235" s="108">
        <f>IF($A1235="",0,IF(AND($S1235=1,$W1235=1,$X1235=1,$U1235&gt;Config!$C$9),1,0))</f>
        <v>0</v>
      </c>
      <c r="AL1235" s="108">
        <f t="shared" si="239"/>
        <v>0</v>
      </c>
    </row>
    <row r="1236" spans="19:38" x14ac:dyDescent="0.25">
      <c r="S1236" s="108" t="str">
        <f>IF($A1236="","",COUNTIF(BPOworkers!$B$6:$B$105,$A1236))</f>
        <v/>
      </c>
      <c r="T1236" s="109" t="str">
        <f>IF($A1236="","",$K1236*Config!$C$9)</f>
        <v/>
      </c>
      <c r="U1236" s="109" t="str">
        <f>IF($A1236="","",IF(COUNTIF(Config!$C$21:$C$23,$H1236)&gt;0,IFERROR(VALUE(LEFT(TRIM($Q1236),FIND(" ",TRIM($Q1236)&amp;" ")-1)),0),0))</f>
        <v/>
      </c>
      <c r="V1236" s="109" t="str">
        <f t="shared" si="228"/>
        <v/>
      </c>
      <c r="W1236" s="108">
        <f>IF($A1236="",0,IF(AND($C1236&gt;=Config!$C$7,$C1236&lt;=Config!$C$8),1,0))</f>
        <v>0</v>
      </c>
      <c r="X1236" s="108">
        <f>IF($A1236="",0,IF(COUNTIF(Config!$C$21:$C$23,$H1236)&gt;0,1,0))</f>
        <v>0</v>
      </c>
      <c r="Y1236" s="108">
        <f t="shared" si="229"/>
        <v>24</v>
      </c>
      <c r="Z1236" s="108" t="str">
        <f t="shared" si="230"/>
        <v/>
      </c>
      <c r="AB1236" s="108">
        <f t="shared" si="231"/>
        <v>0</v>
      </c>
      <c r="AC1236" s="108">
        <f>IF($A1236="",0,IF(AND($AB1236=1,COUNTIF($A$2:$A1236,$A1236)=1),1,0))</f>
        <v>0</v>
      </c>
      <c r="AD1236" s="108">
        <f t="shared" si="232"/>
        <v>1</v>
      </c>
      <c r="AE1236" s="108" t="str">
        <f t="shared" si="233"/>
        <v/>
      </c>
      <c r="AF1236" s="108">
        <f t="shared" si="234"/>
        <v>0</v>
      </c>
      <c r="AG1236" s="108">
        <f t="shared" si="235"/>
        <v>0</v>
      </c>
      <c r="AH1236" s="110" t="str">
        <f t="shared" si="236"/>
        <v/>
      </c>
      <c r="AI1236" s="108">
        <f t="shared" si="237"/>
        <v>0</v>
      </c>
      <c r="AJ1236" s="108">
        <f t="shared" si="238"/>
        <v>0</v>
      </c>
      <c r="AK1236" s="108">
        <f>IF($A1236="",0,IF(AND($S1236=1,$W1236=1,$X1236=1,$U1236&gt;Config!$C$9),1,0))</f>
        <v>0</v>
      </c>
      <c r="AL1236" s="108">
        <f t="shared" si="239"/>
        <v>0</v>
      </c>
    </row>
    <row r="1237" spans="19:38" x14ac:dyDescent="0.25">
      <c r="S1237" s="108" t="str">
        <f>IF($A1237="","",COUNTIF(BPOworkers!$B$6:$B$105,$A1237))</f>
        <v/>
      </c>
      <c r="T1237" s="109" t="str">
        <f>IF($A1237="","",$K1237*Config!$C$9)</f>
        <v/>
      </c>
      <c r="U1237" s="109" t="str">
        <f>IF($A1237="","",IF(COUNTIF(Config!$C$21:$C$23,$H1237)&gt;0,IFERROR(VALUE(LEFT(TRIM($Q1237),FIND(" ",TRIM($Q1237)&amp;" ")-1)),0),0))</f>
        <v/>
      </c>
      <c r="V1237" s="109" t="str">
        <f t="shared" si="228"/>
        <v/>
      </c>
      <c r="W1237" s="108">
        <f>IF($A1237="",0,IF(AND($C1237&gt;=Config!$C$7,$C1237&lt;=Config!$C$8),1,0))</f>
        <v>0</v>
      </c>
      <c r="X1237" s="108">
        <f>IF($A1237="",0,IF(COUNTIF(Config!$C$21:$C$23,$H1237)&gt;0,1,0))</f>
        <v>0</v>
      </c>
      <c r="Y1237" s="108">
        <f t="shared" si="229"/>
        <v>24</v>
      </c>
      <c r="Z1237" s="108" t="str">
        <f t="shared" si="230"/>
        <v/>
      </c>
      <c r="AB1237" s="108">
        <f t="shared" si="231"/>
        <v>0</v>
      </c>
      <c r="AC1237" s="108">
        <f>IF($A1237="",0,IF(AND($AB1237=1,COUNTIF($A$2:$A1237,$A1237)=1),1,0))</f>
        <v>0</v>
      </c>
      <c r="AD1237" s="108">
        <f t="shared" si="232"/>
        <v>1</v>
      </c>
      <c r="AE1237" s="108" t="str">
        <f t="shared" si="233"/>
        <v/>
      </c>
      <c r="AF1237" s="108">
        <f t="shared" si="234"/>
        <v>0</v>
      </c>
      <c r="AG1237" s="108">
        <f t="shared" si="235"/>
        <v>0</v>
      </c>
      <c r="AH1237" s="110" t="str">
        <f t="shared" si="236"/>
        <v/>
      </c>
      <c r="AI1237" s="108">
        <f t="shared" si="237"/>
        <v>0</v>
      </c>
      <c r="AJ1237" s="108">
        <f t="shared" si="238"/>
        <v>0</v>
      </c>
      <c r="AK1237" s="108">
        <f>IF($A1237="",0,IF(AND($S1237=1,$W1237=1,$X1237=1,$U1237&gt;Config!$C$9),1,0))</f>
        <v>0</v>
      </c>
      <c r="AL1237" s="108">
        <f t="shared" si="239"/>
        <v>0</v>
      </c>
    </row>
    <row r="1238" spans="19:38" x14ac:dyDescent="0.25">
      <c r="S1238" s="108" t="str">
        <f>IF($A1238="","",COUNTIF(BPOworkers!$B$6:$B$105,$A1238))</f>
        <v/>
      </c>
      <c r="T1238" s="109" t="str">
        <f>IF($A1238="","",$K1238*Config!$C$9)</f>
        <v/>
      </c>
      <c r="U1238" s="109" t="str">
        <f>IF($A1238="","",IF(COUNTIF(Config!$C$21:$C$23,$H1238)&gt;0,IFERROR(VALUE(LEFT(TRIM($Q1238),FIND(" ",TRIM($Q1238)&amp;" ")-1)),0),0))</f>
        <v/>
      </c>
      <c r="V1238" s="109" t="str">
        <f t="shared" si="228"/>
        <v/>
      </c>
      <c r="W1238" s="108">
        <f>IF($A1238="",0,IF(AND($C1238&gt;=Config!$C$7,$C1238&lt;=Config!$C$8),1,0))</f>
        <v>0</v>
      </c>
      <c r="X1238" s="108">
        <f>IF($A1238="",0,IF(COUNTIF(Config!$C$21:$C$23,$H1238)&gt;0,1,0))</f>
        <v>0</v>
      </c>
      <c r="Y1238" s="108">
        <f t="shared" si="229"/>
        <v>24</v>
      </c>
      <c r="Z1238" s="108" t="str">
        <f t="shared" si="230"/>
        <v/>
      </c>
      <c r="AB1238" s="108">
        <f t="shared" si="231"/>
        <v>0</v>
      </c>
      <c r="AC1238" s="108">
        <f>IF($A1238="",0,IF(AND($AB1238=1,COUNTIF($A$2:$A1238,$A1238)=1),1,0))</f>
        <v>0</v>
      </c>
      <c r="AD1238" s="108">
        <f t="shared" si="232"/>
        <v>1</v>
      </c>
      <c r="AE1238" s="108" t="str">
        <f t="shared" si="233"/>
        <v/>
      </c>
      <c r="AF1238" s="108">
        <f t="shared" si="234"/>
        <v>0</v>
      </c>
      <c r="AG1238" s="108">
        <f t="shared" si="235"/>
        <v>0</v>
      </c>
      <c r="AH1238" s="110" t="str">
        <f t="shared" si="236"/>
        <v/>
      </c>
      <c r="AI1238" s="108">
        <f t="shared" si="237"/>
        <v>0</v>
      </c>
      <c r="AJ1238" s="108">
        <f t="shared" si="238"/>
        <v>0</v>
      </c>
      <c r="AK1238" s="108">
        <f>IF($A1238="",0,IF(AND($S1238=1,$W1238=1,$X1238=1,$U1238&gt;Config!$C$9),1,0))</f>
        <v>0</v>
      </c>
      <c r="AL1238" s="108">
        <f t="shared" si="239"/>
        <v>0</v>
      </c>
    </row>
    <row r="1239" spans="19:38" x14ac:dyDescent="0.25">
      <c r="S1239" s="108" t="str">
        <f>IF($A1239="","",COUNTIF(BPOworkers!$B$6:$B$105,$A1239))</f>
        <v/>
      </c>
      <c r="T1239" s="109" t="str">
        <f>IF($A1239="","",$K1239*Config!$C$9)</f>
        <v/>
      </c>
      <c r="U1239" s="109" t="str">
        <f>IF($A1239="","",IF(COUNTIF(Config!$C$21:$C$23,$H1239)&gt;0,IFERROR(VALUE(LEFT(TRIM($Q1239),FIND(" ",TRIM($Q1239)&amp;" ")-1)),0),0))</f>
        <v/>
      </c>
      <c r="V1239" s="109" t="str">
        <f t="shared" si="228"/>
        <v/>
      </c>
      <c r="W1239" s="108">
        <f>IF($A1239="",0,IF(AND($C1239&gt;=Config!$C$7,$C1239&lt;=Config!$C$8),1,0))</f>
        <v>0</v>
      </c>
      <c r="X1239" s="108">
        <f>IF($A1239="",0,IF(COUNTIF(Config!$C$21:$C$23,$H1239)&gt;0,1,0))</f>
        <v>0</v>
      </c>
      <c r="Y1239" s="108">
        <f t="shared" si="229"/>
        <v>24</v>
      </c>
      <c r="Z1239" s="108" t="str">
        <f t="shared" si="230"/>
        <v/>
      </c>
      <c r="AB1239" s="108">
        <f t="shared" si="231"/>
        <v>0</v>
      </c>
      <c r="AC1239" s="108">
        <f>IF($A1239="",0,IF(AND($AB1239=1,COUNTIF($A$2:$A1239,$A1239)=1),1,0))</f>
        <v>0</v>
      </c>
      <c r="AD1239" s="108">
        <f t="shared" si="232"/>
        <v>1</v>
      </c>
      <c r="AE1239" s="108" t="str">
        <f t="shared" si="233"/>
        <v/>
      </c>
      <c r="AF1239" s="108">
        <f t="shared" si="234"/>
        <v>0</v>
      </c>
      <c r="AG1239" s="108">
        <f t="shared" si="235"/>
        <v>0</v>
      </c>
      <c r="AH1239" s="110" t="str">
        <f t="shared" si="236"/>
        <v/>
      </c>
      <c r="AI1239" s="108">
        <f t="shared" si="237"/>
        <v>0</v>
      </c>
      <c r="AJ1239" s="108">
        <f t="shared" si="238"/>
        <v>0</v>
      </c>
      <c r="AK1239" s="108">
        <f>IF($A1239="",0,IF(AND($S1239=1,$W1239=1,$X1239=1,$U1239&gt;Config!$C$9),1,0))</f>
        <v>0</v>
      </c>
      <c r="AL1239" s="108">
        <f t="shared" si="239"/>
        <v>0</v>
      </c>
    </row>
    <row r="1240" spans="19:38" x14ac:dyDescent="0.25">
      <c r="S1240" s="108" t="str">
        <f>IF($A1240="","",COUNTIF(BPOworkers!$B$6:$B$105,$A1240))</f>
        <v/>
      </c>
      <c r="T1240" s="109" t="str">
        <f>IF($A1240="","",$K1240*Config!$C$9)</f>
        <v/>
      </c>
      <c r="U1240" s="109" t="str">
        <f>IF($A1240="","",IF(COUNTIF(Config!$C$21:$C$23,$H1240)&gt;0,IFERROR(VALUE(LEFT(TRIM($Q1240),FIND(" ",TRIM($Q1240)&amp;" ")-1)),0),0))</f>
        <v/>
      </c>
      <c r="V1240" s="109" t="str">
        <f t="shared" si="228"/>
        <v/>
      </c>
      <c r="W1240" s="108">
        <f>IF($A1240="",0,IF(AND($C1240&gt;=Config!$C$7,$C1240&lt;=Config!$C$8),1,0))</f>
        <v>0</v>
      </c>
      <c r="X1240" s="108">
        <f>IF($A1240="",0,IF(COUNTIF(Config!$C$21:$C$23,$H1240)&gt;0,1,0))</f>
        <v>0</v>
      </c>
      <c r="Y1240" s="108">
        <f t="shared" si="229"/>
        <v>24</v>
      </c>
      <c r="Z1240" s="108" t="str">
        <f t="shared" si="230"/>
        <v/>
      </c>
      <c r="AB1240" s="108">
        <f t="shared" si="231"/>
        <v>0</v>
      </c>
      <c r="AC1240" s="108">
        <f>IF($A1240="",0,IF(AND($AB1240=1,COUNTIF($A$2:$A1240,$A1240)=1),1,0))</f>
        <v>0</v>
      </c>
      <c r="AD1240" s="108">
        <f t="shared" si="232"/>
        <v>1</v>
      </c>
      <c r="AE1240" s="108" t="str">
        <f t="shared" si="233"/>
        <v/>
      </c>
      <c r="AF1240" s="108">
        <f t="shared" si="234"/>
        <v>0</v>
      </c>
      <c r="AG1240" s="108">
        <f t="shared" si="235"/>
        <v>0</v>
      </c>
      <c r="AH1240" s="110" t="str">
        <f t="shared" si="236"/>
        <v/>
      </c>
      <c r="AI1240" s="108">
        <f t="shared" si="237"/>
        <v>0</v>
      </c>
      <c r="AJ1240" s="108">
        <f t="shared" si="238"/>
        <v>0</v>
      </c>
      <c r="AK1240" s="108">
        <f>IF($A1240="",0,IF(AND($S1240=1,$W1240=1,$X1240=1,$U1240&gt;Config!$C$9),1,0))</f>
        <v>0</v>
      </c>
      <c r="AL1240" s="108">
        <f t="shared" si="239"/>
        <v>0</v>
      </c>
    </row>
    <row r="1241" spans="19:38" x14ac:dyDescent="0.25">
      <c r="S1241" s="108" t="str">
        <f>IF($A1241="","",COUNTIF(BPOworkers!$B$6:$B$105,$A1241))</f>
        <v/>
      </c>
      <c r="T1241" s="109" t="str">
        <f>IF($A1241="","",$K1241*Config!$C$9)</f>
        <v/>
      </c>
      <c r="U1241" s="109" t="str">
        <f>IF($A1241="","",IF(COUNTIF(Config!$C$21:$C$23,$H1241)&gt;0,IFERROR(VALUE(LEFT(TRIM($Q1241),FIND(" ",TRIM($Q1241)&amp;" ")-1)),0),0))</f>
        <v/>
      </c>
      <c r="V1241" s="109" t="str">
        <f t="shared" si="228"/>
        <v/>
      </c>
      <c r="W1241" s="108">
        <f>IF($A1241="",0,IF(AND($C1241&gt;=Config!$C$7,$C1241&lt;=Config!$C$8),1,0))</f>
        <v>0</v>
      </c>
      <c r="X1241" s="108">
        <f>IF($A1241="",0,IF(COUNTIF(Config!$C$21:$C$23,$H1241)&gt;0,1,0))</f>
        <v>0</v>
      </c>
      <c r="Y1241" s="108">
        <f t="shared" si="229"/>
        <v>24</v>
      </c>
      <c r="Z1241" s="108" t="str">
        <f t="shared" si="230"/>
        <v/>
      </c>
      <c r="AB1241" s="108">
        <f t="shared" si="231"/>
        <v>0</v>
      </c>
      <c r="AC1241" s="108">
        <f>IF($A1241="",0,IF(AND($AB1241=1,COUNTIF($A$2:$A1241,$A1241)=1),1,0))</f>
        <v>0</v>
      </c>
      <c r="AD1241" s="108">
        <f t="shared" si="232"/>
        <v>1</v>
      </c>
      <c r="AE1241" s="108" t="str">
        <f t="shared" si="233"/>
        <v/>
      </c>
      <c r="AF1241" s="108">
        <f t="shared" si="234"/>
        <v>0</v>
      </c>
      <c r="AG1241" s="108">
        <f t="shared" si="235"/>
        <v>0</v>
      </c>
      <c r="AH1241" s="110" t="str">
        <f t="shared" si="236"/>
        <v/>
      </c>
      <c r="AI1241" s="108">
        <f t="shared" si="237"/>
        <v>0</v>
      </c>
      <c r="AJ1241" s="108">
        <f t="shared" si="238"/>
        <v>0</v>
      </c>
      <c r="AK1241" s="108">
        <f>IF($A1241="",0,IF(AND($S1241=1,$W1241=1,$X1241=1,$U1241&gt;Config!$C$9),1,0))</f>
        <v>0</v>
      </c>
      <c r="AL1241" s="108">
        <f t="shared" si="239"/>
        <v>0</v>
      </c>
    </row>
    <row r="1242" spans="19:38" x14ac:dyDescent="0.25">
      <c r="S1242" s="108" t="str">
        <f>IF($A1242="","",COUNTIF(BPOworkers!$B$6:$B$105,$A1242))</f>
        <v/>
      </c>
      <c r="T1242" s="109" t="str">
        <f>IF($A1242="","",$K1242*Config!$C$9)</f>
        <v/>
      </c>
      <c r="U1242" s="109" t="str">
        <f>IF($A1242="","",IF(COUNTIF(Config!$C$21:$C$23,$H1242)&gt;0,IFERROR(VALUE(LEFT(TRIM($Q1242),FIND(" ",TRIM($Q1242)&amp;" ")-1)),0),0))</f>
        <v/>
      </c>
      <c r="V1242" s="109" t="str">
        <f t="shared" si="228"/>
        <v/>
      </c>
      <c r="W1242" s="108">
        <f>IF($A1242="",0,IF(AND($C1242&gt;=Config!$C$7,$C1242&lt;=Config!$C$8),1,0))</f>
        <v>0</v>
      </c>
      <c r="X1242" s="108">
        <f>IF($A1242="",0,IF(COUNTIF(Config!$C$21:$C$23,$H1242)&gt;0,1,0))</f>
        <v>0</v>
      </c>
      <c r="Y1242" s="108">
        <f t="shared" si="229"/>
        <v>24</v>
      </c>
      <c r="Z1242" s="108" t="str">
        <f t="shared" si="230"/>
        <v/>
      </c>
      <c r="AB1242" s="108">
        <f t="shared" si="231"/>
        <v>0</v>
      </c>
      <c r="AC1242" s="108">
        <f>IF($A1242="",0,IF(AND($AB1242=1,COUNTIF($A$2:$A1242,$A1242)=1),1,0))</f>
        <v>0</v>
      </c>
      <c r="AD1242" s="108">
        <f t="shared" si="232"/>
        <v>1</v>
      </c>
      <c r="AE1242" s="108" t="str">
        <f t="shared" si="233"/>
        <v/>
      </c>
      <c r="AF1242" s="108">
        <f t="shared" si="234"/>
        <v>0</v>
      </c>
      <c r="AG1242" s="108">
        <f t="shared" si="235"/>
        <v>0</v>
      </c>
      <c r="AH1242" s="110" t="str">
        <f t="shared" si="236"/>
        <v/>
      </c>
      <c r="AI1242" s="108">
        <f t="shared" si="237"/>
        <v>0</v>
      </c>
      <c r="AJ1242" s="108">
        <f t="shared" si="238"/>
        <v>0</v>
      </c>
      <c r="AK1242" s="108">
        <f>IF($A1242="",0,IF(AND($S1242=1,$W1242=1,$X1242=1,$U1242&gt;Config!$C$9),1,0))</f>
        <v>0</v>
      </c>
      <c r="AL1242" s="108">
        <f t="shared" si="239"/>
        <v>0</v>
      </c>
    </row>
    <row r="1243" spans="19:38" x14ac:dyDescent="0.25">
      <c r="S1243" s="108" t="str">
        <f>IF($A1243="","",COUNTIF(BPOworkers!$B$6:$B$105,$A1243))</f>
        <v/>
      </c>
      <c r="T1243" s="109" t="str">
        <f>IF($A1243="","",$K1243*Config!$C$9)</f>
        <v/>
      </c>
      <c r="U1243" s="109" t="str">
        <f>IF($A1243="","",IF(COUNTIF(Config!$C$21:$C$23,$H1243)&gt;0,IFERROR(VALUE(LEFT(TRIM($Q1243),FIND(" ",TRIM($Q1243)&amp;" ")-1)),0),0))</f>
        <v/>
      </c>
      <c r="V1243" s="109" t="str">
        <f t="shared" si="228"/>
        <v/>
      </c>
      <c r="W1243" s="108">
        <f>IF($A1243="",0,IF(AND($C1243&gt;=Config!$C$7,$C1243&lt;=Config!$C$8),1,0))</f>
        <v>0</v>
      </c>
      <c r="X1243" s="108">
        <f>IF($A1243="",0,IF(COUNTIF(Config!$C$21:$C$23,$H1243)&gt;0,1,0))</f>
        <v>0</v>
      </c>
      <c r="Y1243" s="108">
        <f t="shared" si="229"/>
        <v>24</v>
      </c>
      <c r="Z1243" s="108" t="str">
        <f t="shared" si="230"/>
        <v/>
      </c>
      <c r="AB1243" s="108">
        <f t="shared" si="231"/>
        <v>0</v>
      </c>
      <c r="AC1243" s="108">
        <f>IF($A1243="",0,IF(AND($AB1243=1,COUNTIF($A$2:$A1243,$A1243)=1),1,0))</f>
        <v>0</v>
      </c>
      <c r="AD1243" s="108">
        <f t="shared" si="232"/>
        <v>1</v>
      </c>
      <c r="AE1243" s="108" t="str">
        <f t="shared" si="233"/>
        <v/>
      </c>
      <c r="AF1243" s="108">
        <f t="shared" si="234"/>
        <v>0</v>
      </c>
      <c r="AG1243" s="108">
        <f t="shared" si="235"/>
        <v>0</v>
      </c>
      <c r="AH1243" s="110" t="str">
        <f t="shared" si="236"/>
        <v/>
      </c>
      <c r="AI1243" s="108">
        <f t="shared" si="237"/>
        <v>0</v>
      </c>
      <c r="AJ1243" s="108">
        <f t="shared" si="238"/>
        <v>0</v>
      </c>
      <c r="AK1243" s="108">
        <f>IF($A1243="",0,IF(AND($S1243=1,$W1243=1,$X1243=1,$U1243&gt;Config!$C$9),1,0))</f>
        <v>0</v>
      </c>
      <c r="AL1243" s="108">
        <f t="shared" si="239"/>
        <v>0</v>
      </c>
    </row>
    <row r="1244" spans="19:38" x14ac:dyDescent="0.25">
      <c r="S1244" s="108" t="str">
        <f>IF($A1244="","",COUNTIF(BPOworkers!$B$6:$B$105,$A1244))</f>
        <v/>
      </c>
      <c r="T1244" s="109" t="str">
        <f>IF($A1244="","",$K1244*Config!$C$9)</f>
        <v/>
      </c>
      <c r="U1244" s="109" t="str">
        <f>IF($A1244="","",IF(COUNTIF(Config!$C$21:$C$23,$H1244)&gt;0,IFERROR(VALUE(LEFT(TRIM($Q1244),FIND(" ",TRIM($Q1244)&amp;" ")-1)),0),0))</f>
        <v/>
      </c>
      <c r="V1244" s="109" t="str">
        <f t="shared" si="228"/>
        <v/>
      </c>
      <c r="W1244" s="108">
        <f>IF($A1244="",0,IF(AND($C1244&gt;=Config!$C$7,$C1244&lt;=Config!$C$8),1,0))</f>
        <v>0</v>
      </c>
      <c r="X1244" s="108">
        <f>IF($A1244="",0,IF(COUNTIF(Config!$C$21:$C$23,$H1244)&gt;0,1,0))</f>
        <v>0</v>
      </c>
      <c r="Y1244" s="108">
        <f t="shared" si="229"/>
        <v>24</v>
      </c>
      <c r="Z1244" s="108" t="str">
        <f t="shared" si="230"/>
        <v/>
      </c>
      <c r="AB1244" s="108">
        <f t="shared" si="231"/>
        <v>0</v>
      </c>
      <c r="AC1244" s="108">
        <f>IF($A1244="",0,IF(AND($AB1244=1,COUNTIF($A$2:$A1244,$A1244)=1),1,0))</f>
        <v>0</v>
      </c>
      <c r="AD1244" s="108">
        <f t="shared" si="232"/>
        <v>1</v>
      </c>
      <c r="AE1244" s="108" t="str">
        <f t="shared" si="233"/>
        <v/>
      </c>
      <c r="AF1244" s="108">
        <f t="shared" si="234"/>
        <v>0</v>
      </c>
      <c r="AG1244" s="108">
        <f t="shared" si="235"/>
        <v>0</v>
      </c>
      <c r="AH1244" s="110" t="str">
        <f t="shared" si="236"/>
        <v/>
      </c>
      <c r="AI1244" s="108">
        <f t="shared" si="237"/>
        <v>0</v>
      </c>
      <c r="AJ1244" s="108">
        <f t="shared" si="238"/>
        <v>0</v>
      </c>
      <c r="AK1244" s="108">
        <f>IF($A1244="",0,IF(AND($S1244=1,$W1244=1,$X1244=1,$U1244&gt;Config!$C$9),1,0))</f>
        <v>0</v>
      </c>
      <c r="AL1244" s="108">
        <f t="shared" si="239"/>
        <v>0</v>
      </c>
    </row>
    <row r="1245" spans="19:38" x14ac:dyDescent="0.25">
      <c r="S1245" s="108" t="str">
        <f>IF($A1245="","",COUNTIF(BPOworkers!$B$6:$B$105,$A1245))</f>
        <v/>
      </c>
      <c r="T1245" s="109" t="str">
        <f>IF($A1245="","",$K1245*Config!$C$9)</f>
        <v/>
      </c>
      <c r="U1245" s="109" t="str">
        <f>IF($A1245="","",IF(COUNTIF(Config!$C$21:$C$23,$H1245)&gt;0,IFERROR(VALUE(LEFT(TRIM($Q1245),FIND(" ",TRIM($Q1245)&amp;" ")-1)),0),0))</f>
        <v/>
      </c>
      <c r="V1245" s="109" t="str">
        <f t="shared" si="228"/>
        <v/>
      </c>
      <c r="W1245" s="108">
        <f>IF($A1245="",0,IF(AND($C1245&gt;=Config!$C$7,$C1245&lt;=Config!$C$8),1,0))</f>
        <v>0</v>
      </c>
      <c r="X1245" s="108">
        <f>IF($A1245="",0,IF(COUNTIF(Config!$C$21:$C$23,$H1245)&gt;0,1,0))</f>
        <v>0</v>
      </c>
      <c r="Y1245" s="108">
        <f t="shared" si="229"/>
        <v>24</v>
      </c>
      <c r="Z1245" s="108" t="str">
        <f t="shared" si="230"/>
        <v/>
      </c>
      <c r="AB1245" s="108">
        <f t="shared" si="231"/>
        <v>0</v>
      </c>
      <c r="AC1245" s="108">
        <f>IF($A1245="",0,IF(AND($AB1245=1,COUNTIF($A$2:$A1245,$A1245)=1),1,0))</f>
        <v>0</v>
      </c>
      <c r="AD1245" s="108">
        <f t="shared" si="232"/>
        <v>1</v>
      </c>
      <c r="AE1245" s="108" t="str">
        <f t="shared" si="233"/>
        <v/>
      </c>
      <c r="AF1245" s="108">
        <f t="shared" si="234"/>
        <v>0</v>
      </c>
      <c r="AG1245" s="108">
        <f t="shared" si="235"/>
        <v>0</v>
      </c>
      <c r="AH1245" s="110" t="str">
        <f t="shared" si="236"/>
        <v/>
      </c>
      <c r="AI1245" s="108">
        <f t="shared" si="237"/>
        <v>0</v>
      </c>
      <c r="AJ1245" s="108">
        <f t="shared" si="238"/>
        <v>0</v>
      </c>
      <c r="AK1245" s="108">
        <f>IF($A1245="",0,IF(AND($S1245=1,$W1245=1,$X1245=1,$U1245&gt;Config!$C$9),1,0))</f>
        <v>0</v>
      </c>
      <c r="AL1245" s="108">
        <f t="shared" si="239"/>
        <v>0</v>
      </c>
    </row>
    <row r="1246" spans="19:38" x14ac:dyDescent="0.25">
      <c r="S1246" s="108" t="str">
        <f>IF($A1246="","",COUNTIF(BPOworkers!$B$6:$B$105,$A1246))</f>
        <v/>
      </c>
      <c r="T1246" s="109" t="str">
        <f>IF($A1246="","",$K1246*Config!$C$9)</f>
        <v/>
      </c>
      <c r="U1246" s="109" t="str">
        <f>IF($A1246="","",IF(COUNTIF(Config!$C$21:$C$23,$H1246)&gt;0,IFERROR(VALUE(LEFT(TRIM($Q1246),FIND(" ",TRIM($Q1246)&amp;" ")-1)),0),0))</f>
        <v/>
      </c>
      <c r="V1246" s="109" t="str">
        <f t="shared" si="228"/>
        <v/>
      </c>
      <c r="W1246" s="108">
        <f>IF($A1246="",0,IF(AND($C1246&gt;=Config!$C$7,$C1246&lt;=Config!$C$8),1,0))</f>
        <v>0</v>
      </c>
      <c r="X1246" s="108">
        <f>IF($A1246="",0,IF(COUNTIF(Config!$C$21:$C$23,$H1246)&gt;0,1,0))</f>
        <v>0</v>
      </c>
      <c r="Y1246" s="108">
        <f t="shared" si="229"/>
        <v>24</v>
      </c>
      <c r="Z1246" s="108" t="str">
        <f t="shared" si="230"/>
        <v/>
      </c>
      <c r="AB1246" s="108">
        <f t="shared" si="231"/>
        <v>0</v>
      </c>
      <c r="AC1246" s="108">
        <f>IF($A1246="",0,IF(AND($AB1246=1,COUNTIF($A$2:$A1246,$A1246)=1),1,0))</f>
        <v>0</v>
      </c>
      <c r="AD1246" s="108">
        <f t="shared" si="232"/>
        <v>1</v>
      </c>
      <c r="AE1246" s="108" t="str">
        <f t="shared" si="233"/>
        <v/>
      </c>
      <c r="AF1246" s="108">
        <f t="shared" si="234"/>
        <v>0</v>
      </c>
      <c r="AG1246" s="108">
        <f t="shared" si="235"/>
        <v>0</v>
      </c>
      <c r="AH1246" s="110" t="str">
        <f t="shared" si="236"/>
        <v/>
      </c>
      <c r="AI1246" s="108">
        <f t="shared" si="237"/>
        <v>0</v>
      </c>
      <c r="AJ1246" s="108">
        <f t="shared" si="238"/>
        <v>0</v>
      </c>
      <c r="AK1246" s="108">
        <f>IF($A1246="",0,IF(AND($S1246=1,$W1246=1,$X1246=1,$U1246&gt;Config!$C$9),1,0))</f>
        <v>0</v>
      </c>
      <c r="AL1246" s="108">
        <f t="shared" si="239"/>
        <v>0</v>
      </c>
    </row>
    <row r="1247" spans="19:38" x14ac:dyDescent="0.25">
      <c r="S1247" s="108" t="str">
        <f>IF($A1247="","",COUNTIF(BPOworkers!$B$6:$B$105,$A1247))</f>
        <v/>
      </c>
      <c r="T1247" s="109" t="str">
        <f>IF($A1247="","",$K1247*Config!$C$9)</f>
        <v/>
      </c>
      <c r="U1247" s="109" t="str">
        <f>IF($A1247="","",IF(COUNTIF(Config!$C$21:$C$23,$H1247)&gt;0,IFERROR(VALUE(LEFT(TRIM($Q1247),FIND(" ",TRIM($Q1247)&amp;" ")-1)),0),0))</f>
        <v/>
      </c>
      <c r="V1247" s="109" t="str">
        <f t="shared" si="228"/>
        <v/>
      </c>
      <c r="W1247" s="108">
        <f>IF($A1247="",0,IF(AND($C1247&gt;=Config!$C$7,$C1247&lt;=Config!$C$8),1,0))</f>
        <v>0</v>
      </c>
      <c r="X1247" s="108">
        <f>IF($A1247="",0,IF(COUNTIF(Config!$C$21:$C$23,$H1247)&gt;0,1,0))</f>
        <v>0</v>
      </c>
      <c r="Y1247" s="108">
        <f t="shared" si="229"/>
        <v>24</v>
      </c>
      <c r="Z1247" s="108" t="str">
        <f t="shared" si="230"/>
        <v/>
      </c>
      <c r="AB1247" s="108">
        <f t="shared" si="231"/>
        <v>0</v>
      </c>
      <c r="AC1247" s="108">
        <f>IF($A1247="",0,IF(AND($AB1247=1,COUNTIF($A$2:$A1247,$A1247)=1),1,0))</f>
        <v>0</v>
      </c>
      <c r="AD1247" s="108">
        <f t="shared" si="232"/>
        <v>1</v>
      </c>
      <c r="AE1247" s="108" t="str">
        <f t="shared" si="233"/>
        <v/>
      </c>
      <c r="AF1247" s="108">
        <f t="shared" si="234"/>
        <v>0</v>
      </c>
      <c r="AG1247" s="108">
        <f t="shared" si="235"/>
        <v>0</v>
      </c>
      <c r="AH1247" s="110" t="str">
        <f t="shared" si="236"/>
        <v/>
      </c>
      <c r="AI1247" s="108">
        <f t="shared" si="237"/>
        <v>0</v>
      </c>
      <c r="AJ1247" s="108">
        <f t="shared" si="238"/>
        <v>0</v>
      </c>
      <c r="AK1247" s="108">
        <f>IF($A1247="",0,IF(AND($S1247=1,$W1247=1,$X1247=1,$U1247&gt;Config!$C$9),1,0))</f>
        <v>0</v>
      </c>
      <c r="AL1247" s="108">
        <f t="shared" si="239"/>
        <v>0</v>
      </c>
    </row>
    <row r="1248" spans="19:38" x14ac:dyDescent="0.25">
      <c r="S1248" s="108" t="str">
        <f>IF($A1248="","",COUNTIF(BPOworkers!$B$6:$B$105,$A1248))</f>
        <v/>
      </c>
      <c r="T1248" s="109" t="str">
        <f>IF($A1248="","",$K1248*Config!$C$9)</f>
        <v/>
      </c>
      <c r="U1248" s="109" t="str">
        <f>IF($A1248="","",IF(COUNTIF(Config!$C$21:$C$23,$H1248)&gt;0,IFERROR(VALUE(LEFT(TRIM($Q1248),FIND(" ",TRIM($Q1248)&amp;" ")-1)),0),0))</f>
        <v/>
      </c>
      <c r="V1248" s="109" t="str">
        <f t="shared" si="228"/>
        <v/>
      </c>
      <c r="W1248" s="108">
        <f>IF($A1248="",0,IF(AND($C1248&gt;=Config!$C$7,$C1248&lt;=Config!$C$8),1,0))</f>
        <v>0</v>
      </c>
      <c r="X1248" s="108">
        <f>IF($A1248="",0,IF(COUNTIF(Config!$C$21:$C$23,$H1248)&gt;0,1,0))</f>
        <v>0</v>
      </c>
      <c r="Y1248" s="108">
        <f t="shared" si="229"/>
        <v>24</v>
      </c>
      <c r="Z1248" s="108" t="str">
        <f t="shared" si="230"/>
        <v/>
      </c>
      <c r="AB1248" s="108">
        <f t="shared" si="231"/>
        <v>0</v>
      </c>
      <c r="AC1248" s="108">
        <f>IF($A1248="",0,IF(AND($AB1248=1,COUNTIF($A$2:$A1248,$A1248)=1),1,0))</f>
        <v>0</v>
      </c>
      <c r="AD1248" s="108">
        <f t="shared" si="232"/>
        <v>1</v>
      </c>
      <c r="AE1248" s="108" t="str">
        <f t="shared" si="233"/>
        <v/>
      </c>
      <c r="AF1248" s="108">
        <f t="shared" si="234"/>
        <v>0</v>
      </c>
      <c r="AG1248" s="108">
        <f t="shared" si="235"/>
        <v>0</v>
      </c>
      <c r="AH1248" s="110" t="str">
        <f t="shared" si="236"/>
        <v/>
      </c>
      <c r="AI1248" s="108">
        <f t="shared" si="237"/>
        <v>0</v>
      </c>
      <c r="AJ1248" s="108">
        <f t="shared" si="238"/>
        <v>0</v>
      </c>
      <c r="AK1248" s="108">
        <f>IF($A1248="",0,IF(AND($S1248=1,$W1248=1,$X1248=1,$U1248&gt;Config!$C$9),1,0))</f>
        <v>0</v>
      </c>
      <c r="AL1248" s="108">
        <f t="shared" si="239"/>
        <v>0</v>
      </c>
    </row>
    <row r="1249" spans="19:38" x14ac:dyDescent="0.25">
      <c r="S1249" s="108" t="str">
        <f>IF($A1249="","",COUNTIF(BPOworkers!$B$6:$B$105,$A1249))</f>
        <v/>
      </c>
      <c r="T1249" s="109" t="str">
        <f>IF($A1249="","",$K1249*Config!$C$9)</f>
        <v/>
      </c>
      <c r="U1249" s="109" t="str">
        <f>IF($A1249="","",IF(COUNTIF(Config!$C$21:$C$23,$H1249)&gt;0,IFERROR(VALUE(LEFT(TRIM($Q1249),FIND(" ",TRIM($Q1249)&amp;" ")-1)),0),0))</f>
        <v/>
      </c>
      <c r="V1249" s="109" t="str">
        <f t="shared" si="228"/>
        <v/>
      </c>
      <c r="W1249" s="108">
        <f>IF($A1249="",0,IF(AND($C1249&gt;=Config!$C$7,$C1249&lt;=Config!$C$8),1,0))</f>
        <v>0</v>
      </c>
      <c r="X1249" s="108">
        <f>IF($A1249="",0,IF(COUNTIF(Config!$C$21:$C$23,$H1249)&gt;0,1,0))</f>
        <v>0</v>
      </c>
      <c r="Y1249" s="108">
        <f t="shared" si="229"/>
        <v>24</v>
      </c>
      <c r="Z1249" s="108" t="str">
        <f t="shared" si="230"/>
        <v/>
      </c>
      <c r="AB1249" s="108">
        <f t="shared" si="231"/>
        <v>0</v>
      </c>
      <c r="AC1249" s="108">
        <f>IF($A1249="",0,IF(AND($AB1249=1,COUNTIF($A$2:$A1249,$A1249)=1),1,0))</f>
        <v>0</v>
      </c>
      <c r="AD1249" s="108">
        <f t="shared" si="232"/>
        <v>1</v>
      </c>
      <c r="AE1249" s="108" t="str">
        <f t="shared" si="233"/>
        <v/>
      </c>
      <c r="AF1249" s="108">
        <f t="shared" si="234"/>
        <v>0</v>
      </c>
      <c r="AG1249" s="108">
        <f t="shared" si="235"/>
        <v>0</v>
      </c>
      <c r="AH1249" s="110" t="str">
        <f t="shared" si="236"/>
        <v/>
      </c>
      <c r="AI1249" s="108">
        <f t="shared" si="237"/>
        <v>0</v>
      </c>
      <c r="AJ1249" s="108">
        <f t="shared" si="238"/>
        <v>0</v>
      </c>
      <c r="AK1249" s="108">
        <f>IF($A1249="",0,IF(AND($S1249=1,$W1249=1,$X1249=1,$U1249&gt;Config!$C$9),1,0))</f>
        <v>0</v>
      </c>
      <c r="AL1249" s="108">
        <f t="shared" si="239"/>
        <v>0</v>
      </c>
    </row>
    <row r="1250" spans="19:38" x14ac:dyDescent="0.25">
      <c r="S1250" s="108" t="str">
        <f>IF($A1250="","",COUNTIF(BPOworkers!$B$6:$B$105,$A1250))</f>
        <v/>
      </c>
      <c r="T1250" s="109" t="str">
        <f>IF($A1250="","",$K1250*Config!$C$9)</f>
        <v/>
      </c>
      <c r="U1250" s="109" t="str">
        <f>IF($A1250="","",IF(COUNTIF(Config!$C$21:$C$23,$H1250)&gt;0,IFERROR(VALUE(LEFT(TRIM($Q1250),FIND(" ",TRIM($Q1250)&amp;" ")-1)),0),0))</f>
        <v/>
      </c>
      <c r="V1250" s="109" t="str">
        <f t="shared" si="228"/>
        <v/>
      </c>
      <c r="W1250" s="108">
        <f>IF($A1250="",0,IF(AND($C1250&gt;=Config!$C$7,$C1250&lt;=Config!$C$8),1,0))</f>
        <v>0</v>
      </c>
      <c r="X1250" s="108">
        <f>IF($A1250="",0,IF(COUNTIF(Config!$C$21:$C$23,$H1250)&gt;0,1,0))</f>
        <v>0</v>
      </c>
      <c r="Y1250" s="108">
        <f t="shared" si="229"/>
        <v>24</v>
      </c>
      <c r="Z1250" s="108" t="str">
        <f t="shared" si="230"/>
        <v/>
      </c>
      <c r="AB1250" s="108">
        <f t="shared" si="231"/>
        <v>0</v>
      </c>
      <c r="AC1250" s="108">
        <f>IF($A1250="",0,IF(AND($AB1250=1,COUNTIF($A$2:$A1250,$A1250)=1),1,0))</f>
        <v>0</v>
      </c>
      <c r="AD1250" s="108">
        <f t="shared" si="232"/>
        <v>1</v>
      </c>
      <c r="AE1250" s="108" t="str">
        <f t="shared" si="233"/>
        <v/>
      </c>
      <c r="AF1250" s="108">
        <f t="shared" si="234"/>
        <v>0</v>
      </c>
      <c r="AG1250" s="108">
        <f t="shared" si="235"/>
        <v>0</v>
      </c>
      <c r="AH1250" s="110" t="str">
        <f t="shared" si="236"/>
        <v/>
      </c>
      <c r="AI1250" s="108">
        <f t="shared" si="237"/>
        <v>0</v>
      </c>
      <c r="AJ1250" s="108">
        <f t="shared" si="238"/>
        <v>0</v>
      </c>
      <c r="AK1250" s="108">
        <f>IF($A1250="",0,IF(AND($S1250=1,$W1250=1,$X1250=1,$U1250&gt;Config!$C$9),1,0))</f>
        <v>0</v>
      </c>
      <c r="AL1250" s="108">
        <f t="shared" si="239"/>
        <v>0</v>
      </c>
    </row>
    <row r="1251" spans="19:38" x14ac:dyDescent="0.25">
      <c r="S1251" s="108" t="str">
        <f>IF($A1251="","",COUNTIF(BPOworkers!$B$6:$B$105,$A1251))</f>
        <v/>
      </c>
      <c r="T1251" s="109" t="str">
        <f>IF($A1251="","",$K1251*Config!$C$9)</f>
        <v/>
      </c>
      <c r="U1251" s="109" t="str">
        <f>IF($A1251="","",IF(COUNTIF(Config!$C$21:$C$23,$H1251)&gt;0,IFERROR(VALUE(LEFT(TRIM($Q1251),FIND(" ",TRIM($Q1251)&amp;" ")-1)),0),0))</f>
        <v/>
      </c>
      <c r="V1251" s="109" t="str">
        <f t="shared" si="228"/>
        <v/>
      </c>
      <c r="W1251" s="108">
        <f>IF($A1251="",0,IF(AND($C1251&gt;=Config!$C$7,$C1251&lt;=Config!$C$8),1,0))</f>
        <v>0</v>
      </c>
      <c r="X1251" s="108">
        <f>IF($A1251="",0,IF(COUNTIF(Config!$C$21:$C$23,$H1251)&gt;0,1,0))</f>
        <v>0</v>
      </c>
      <c r="Y1251" s="108">
        <f t="shared" si="229"/>
        <v>24</v>
      </c>
      <c r="Z1251" s="108" t="str">
        <f t="shared" si="230"/>
        <v/>
      </c>
      <c r="AB1251" s="108">
        <f t="shared" si="231"/>
        <v>0</v>
      </c>
      <c r="AC1251" s="108">
        <f>IF($A1251="",0,IF(AND($AB1251=1,COUNTIF($A$2:$A1251,$A1251)=1),1,0))</f>
        <v>0</v>
      </c>
      <c r="AD1251" s="108">
        <f t="shared" si="232"/>
        <v>1</v>
      </c>
      <c r="AE1251" s="108" t="str">
        <f t="shared" si="233"/>
        <v/>
      </c>
      <c r="AF1251" s="108">
        <f t="shared" si="234"/>
        <v>0</v>
      </c>
      <c r="AG1251" s="108">
        <f t="shared" si="235"/>
        <v>0</v>
      </c>
      <c r="AH1251" s="110" t="str">
        <f t="shared" si="236"/>
        <v/>
      </c>
      <c r="AI1251" s="108">
        <f t="shared" si="237"/>
        <v>0</v>
      </c>
      <c r="AJ1251" s="108">
        <f t="shared" si="238"/>
        <v>0</v>
      </c>
      <c r="AK1251" s="108">
        <f>IF($A1251="",0,IF(AND($S1251=1,$W1251=1,$X1251=1,$U1251&gt;Config!$C$9),1,0))</f>
        <v>0</v>
      </c>
      <c r="AL1251" s="108">
        <f t="shared" si="239"/>
        <v>0</v>
      </c>
    </row>
    <row r="1252" spans="19:38" x14ac:dyDescent="0.25">
      <c r="S1252" s="108" t="str">
        <f>IF($A1252="","",COUNTIF(BPOworkers!$B$6:$B$105,$A1252))</f>
        <v/>
      </c>
      <c r="T1252" s="109" t="str">
        <f>IF($A1252="","",$K1252*Config!$C$9)</f>
        <v/>
      </c>
      <c r="U1252" s="109" t="str">
        <f>IF($A1252="","",IF(COUNTIF(Config!$C$21:$C$23,$H1252)&gt;0,IFERROR(VALUE(LEFT(TRIM($Q1252),FIND(" ",TRIM($Q1252)&amp;" ")-1)),0),0))</f>
        <v/>
      </c>
      <c r="V1252" s="109" t="str">
        <f t="shared" si="228"/>
        <v/>
      </c>
      <c r="W1252" s="108">
        <f>IF($A1252="",0,IF(AND($C1252&gt;=Config!$C$7,$C1252&lt;=Config!$C$8),1,0))</f>
        <v>0</v>
      </c>
      <c r="X1252" s="108">
        <f>IF($A1252="",0,IF(COUNTIF(Config!$C$21:$C$23,$H1252)&gt;0,1,0))</f>
        <v>0</v>
      </c>
      <c r="Y1252" s="108">
        <f t="shared" si="229"/>
        <v>24</v>
      </c>
      <c r="Z1252" s="108" t="str">
        <f t="shared" si="230"/>
        <v/>
      </c>
      <c r="AB1252" s="108">
        <f t="shared" si="231"/>
        <v>0</v>
      </c>
      <c r="AC1252" s="108">
        <f>IF($A1252="",0,IF(AND($AB1252=1,COUNTIF($A$2:$A1252,$A1252)=1),1,0))</f>
        <v>0</v>
      </c>
      <c r="AD1252" s="108">
        <f t="shared" si="232"/>
        <v>1</v>
      </c>
      <c r="AE1252" s="108" t="str">
        <f t="shared" si="233"/>
        <v/>
      </c>
      <c r="AF1252" s="108">
        <f t="shared" si="234"/>
        <v>0</v>
      </c>
      <c r="AG1252" s="108">
        <f t="shared" si="235"/>
        <v>0</v>
      </c>
      <c r="AH1252" s="110" t="str">
        <f t="shared" si="236"/>
        <v/>
      </c>
      <c r="AI1252" s="108">
        <f t="shared" si="237"/>
        <v>0</v>
      </c>
      <c r="AJ1252" s="108">
        <f t="shared" si="238"/>
        <v>0</v>
      </c>
      <c r="AK1252" s="108">
        <f>IF($A1252="",0,IF(AND($S1252=1,$W1252=1,$X1252=1,$U1252&gt;Config!$C$9),1,0))</f>
        <v>0</v>
      </c>
      <c r="AL1252" s="108">
        <f t="shared" si="239"/>
        <v>0</v>
      </c>
    </row>
    <row r="1253" spans="19:38" x14ac:dyDescent="0.25">
      <c r="S1253" s="108" t="str">
        <f>IF($A1253="","",COUNTIF(BPOworkers!$B$6:$B$105,$A1253))</f>
        <v/>
      </c>
      <c r="T1253" s="109" t="str">
        <f>IF($A1253="","",$K1253*Config!$C$9)</f>
        <v/>
      </c>
      <c r="U1253" s="109" t="str">
        <f>IF($A1253="","",IF(COUNTIF(Config!$C$21:$C$23,$H1253)&gt;0,IFERROR(VALUE(LEFT(TRIM($Q1253),FIND(" ",TRIM($Q1253)&amp;" ")-1)),0),0))</f>
        <v/>
      </c>
      <c r="V1253" s="109" t="str">
        <f t="shared" si="228"/>
        <v/>
      </c>
      <c r="W1253" s="108">
        <f>IF($A1253="",0,IF(AND($C1253&gt;=Config!$C$7,$C1253&lt;=Config!$C$8),1,0))</f>
        <v>0</v>
      </c>
      <c r="X1253" s="108">
        <f>IF($A1253="",0,IF(COUNTIF(Config!$C$21:$C$23,$H1253)&gt;0,1,0))</f>
        <v>0</v>
      </c>
      <c r="Y1253" s="108">
        <f t="shared" si="229"/>
        <v>24</v>
      </c>
      <c r="Z1253" s="108" t="str">
        <f t="shared" si="230"/>
        <v/>
      </c>
      <c r="AB1253" s="108">
        <f t="shared" si="231"/>
        <v>0</v>
      </c>
      <c r="AC1253" s="108">
        <f>IF($A1253="",0,IF(AND($AB1253=1,COUNTIF($A$2:$A1253,$A1253)=1),1,0))</f>
        <v>0</v>
      </c>
      <c r="AD1253" s="108">
        <f t="shared" si="232"/>
        <v>1</v>
      </c>
      <c r="AE1253" s="108" t="str">
        <f t="shared" si="233"/>
        <v/>
      </c>
      <c r="AF1253" s="108">
        <f t="shared" si="234"/>
        <v>0</v>
      </c>
      <c r="AG1253" s="108">
        <f t="shared" si="235"/>
        <v>0</v>
      </c>
      <c r="AH1253" s="110" t="str">
        <f t="shared" si="236"/>
        <v/>
      </c>
      <c r="AI1253" s="108">
        <f t="shared" si="237"/>
        <v>0</v>
      </c>
      <c r="AJ1253" s="108">
        <f t="shared" si="238"/>
        <v>0</v>
      </c>
      <c r="AK1253" s="108">
        <f>IF($A1253="",0,IF(AND($S1253=1,$W1253=1,$X1253=1,$U1253&gt;Config!$C$9),1,0))</f>
        <v>0</v>
      </c>
      <c r="AL1253" s="108">
        <f t="shared" si="239"/>
        <v>0</v>
      </c>
    </row>
    <row r="1254" spans="19:38" x14ac:dyDescent="0.25">
      <c r="S1254" s="108" t="str">
        <f>IF($A1254="","",COUNTIF(BPOworkers!$B$6:$B$105,$A1254))</f>
        <v/>
      </c>
      <c r="T1254" s="109" t="str">
        <f>IF($A1254="","",$K1254*Config!$C$9)</f>
        <v/>
      </c>
      <c r="U1254" s="109" t="str">
        <f>IF($A1254="","",IF(COUNTIF(Config!$C$21:$C$23,$H1254)&gt;0,IFERROR(VALUE(LEFT(TRIM($Q1254),FIND(" ",TRIM($Q1254)&amp;" ")-1)),0),0))</f>
        <v/>
      </c>
      <c r="V1254" s="109" t="str">
        <f t="shared" si="228"/>
        <v/>
      </c>
      <c r="W1254" s="108">
        <f>IF($A1254="",0,IF(AND($C1254&gt;=Config!$C$7,$C1254&lt;=Config!$C$8),1,0))</f>
        <v>0</v>
      </c>
      <c r="X1254" s="108">
        <f>IF($A1254="",0,IF(COUNTIF(Config!$C$21:$C$23,$H1254)&gt;0,1,0))</f>
        <v>0</v>
      </c>
      <c r="Y1254" s="108">
        <f t="shared" si="229"/>
        <v>24</v>
      </c>
      <c r="Z1254" s="108" t="str">
        <f t="shared" si="230"/>
        <v/>
      </c>
      <c r="AB1254" s="108">
        <f t="shared" si="231"/>
        <v>0</v>
      </c>
      <c r="AC1254" s="108">
        <f>IF($A1254="",0,IF(AND($AB1254=1,COUNTIF($A$2:$A1254,$A1254)=1),1,0))</f>
        <v>0</v>
      </c>
      <c r="AD1254" s="108">
        <f t="shared" si="232"/>
        <v>1</v>
      </c>
      <c r="AE1254" s="108" t="str">
        <f t="shared" si="233"/>
        <v/>
      </c>
      <c r="AF1254" s="108">
        <f t="shared" si="234"/>
        <v>0</v>
      </c>
      <c r="AG1254" s="108">
        <f t="shared" si="235"/>
        <v>0</v>
      </c>
      <c r="AH1254" s="110" t="str">
        <f t="shared" si="236"/>
        <v/>
      </c>
      <c r="AI1254" s="108">
        <f t="shared" si="237"/>
        <v>0</v>
      </c>
      <c r="AJ1254" s="108">
        <f t="shared" si="238"/>
        <v>0</v>
      </c>
      <c r="AK1254" s="108">
        <f>IF($A1254="",0,IF(AND($S1254=1,$W1254=1,$X1254=1,$U1254&gt;Config!$C$9),1,0))</f>
        <v>0</v>
      </c>
      <c r="AL1254" s="108">
        <f t="shared" si="239"/>
        <v>0</v>
      </c>
    </row>
    <row r="1255" spans="19:38" x14ac:dyDescent="0.25">
      <c r="S1255" s="108" t="str">
        <f>IF($A1255="","",COUNTIF(BPOworkers!$B$6:$B$105,$A1255))</f>
        <v/>
      </c>
      <c r="T1255" s="109" t="str">
        <f>IF($A1255="","",$K1255*Config!$C$9)</f>
        <v/>
      </c>
      <c r="U1255" s="109" t="str">
        <f>IF($A1255="","",IF(COUNTIF(Config!$C$21:$C$23,$H1255)&gt;0,IFERROR(VALUE(LEFT(TRIM($Q1255),FIND(" ",TRIM($Q1255)&amp;" ")-1)),0),0))</f>
        <v/>
      </c>
      <c r="V1255" s="109" t="str">
        <f t="shared" si="228"/>
        <v/>
      </c>
      <c r="W1255" s="108">
        <f>IF($A1255="",0,IF(AND($C1255&gt;=Config!$C$7,$C1255&lt;=Config!$C$8),1,0))</f>
        <v>0</v>
      </c>
      <c r="X1255" s="108">
        <f>IF($A1255="",0,IF(COUNTIF(Config!$C$21:$C$23,$H1255)&gt;0,1,0))</f>
        <v>0</v>
      </c>
      <c r="Y1255" s="108">
        <f t="shared" si="229"/>
        <v>24</v>
      </c>
      <c r="Z1255" s="108" t="str">
        <f t="shared" si="230"/>
        <v/>
      </c>
      <c r="AB1255" s="108">
        <f t="shared" si="231"/>
        <v>0</v>
      </c>
      <c r="AC1255" s="108">
        <f>IF($A1255="",0,IF(AND($AB1255=1,COUNTIF($A$2:$A1255,$A1255)=1),1,0))</f>
        <v>0</v>
      </c>
      <c r="AD1255" s="108">
        <f t="shared" si="232"/>
        <v>1</v>
      </c>
      <c r="AE1255" s="108" t="str">
        <f t="shared" si="233"/>
        <v/>
      </c>
      <c r="AF1255" s="108">
        <f t="shared" si="234"/>
        <v>0</v>
      </c>
      <c r="AG1255" s="108">
        <f t="shared" si="235"/>
        <v>0</v>
      </c>
      <c r="AH1255" s="110" t="str">
        <f t="shared" si="236"/>
        <v/>
      </c>
      <c r="AI1255" s="108">
        <f t="shared" si="237"/>
        <v>0</v>
      </c>
      <c r="AJ1255" s="108">
        <f t="shared" si="238"/>
        <v>0</v>
      </c>
      <c r="AK1255" s="108">
        <f>IF($A1255="",0,IF(AND($S1255=1,$W1255=1,$X1255=1,$U1255&gt;Config!$C$9),1,0))</f>
        <v>0</v>
      </c>
      <c r="AL1255" s="108">
        <f t="shared" si="239"/>
        <v>0</v>
      </c>
    </row>
    <row r="1256" spans="19:38" x14ac:dyDescent="0.25">
      <c r="S1256" s="108" t="str">
        <f>IF($A1256="","",COUNTIF(BPOworkers!$B$6:$B$105,$A1256))</f>
        <v/>
      </c>
      <c r="T1256" s="109" t="str">
        <f>IF($A1256="","",$K1256*Config!$C$9)</f>
        <v/>
      </c>
      <c r="U1256" s="109" t="str">
        <f>IF($A1256="","",IF(COUNTIF(Config!$C$21:$C$23,$H1256)&gt;0,IFERROR(VALUE(LEFT(TRIM($Q1256),FIND(" ",TRIM($Q1256)&amp;" ")-1)),0),0))</f>
        <v/>
      </c>
      <c r="V1256" s="109" t="str">
        <f t="shared" si="228"/>
        <v/>
      </c>
      <c r="W1256" s="108">
        <f>IF($A1256="",0,IF(AND($C1256&gt;=Config!$C$7,$C1256&lt;=Config!$C$8),1,0))</f>
        <v>0</v>
      </c>
      <c r="X1256" s="108">
        <f>IF($A1256="",0,IF(COUNTIF(Config!$C$21:$C$23,$H1256)&gt;0,1,0))</f>
        <v>0</v>
      </c>
      <c r="Y1256" s="108">
        <f t="shared" si="229"/>
        <v>24</v>
      </c>
      <c r="Z1256" s="108" t="str">
        <f t="shared" si="230"/>
        <v/>
      </c>
      <c r="AB1256" s="108">
        <f t="shared" si="231"/>
        <v>0</v>
      </c>
      <c r="AC1256" s="108">
        <f>IF($A1256="",0,IF(AND($AB1256=1,COUNTIF($A$2:$A1256,$A1256)=1),1,0))</f>
        <v>0</v>
      </c>
      <c r="AD1256" s="108">
        <f t="shared" si="232"/>
        <v>1</v>
      </c>
      <c r="AE1256" s="108" t="str">
        <f t="shared" si="233"/>
        <v/>
      </c>
      <c r="AF1256" s="108">
        <f t="shared" si="234"/>
        <v>0</v>
      </c>
      <c r="AG1256" s="108">
        <f t="shared" si="235"/>
        <v>0</v>
      </c>
      <c r="AH1256" s="110" t="str">
        <f t="shared" si="236"/>
        <v/>
      </c>
      <c r="AI1256" s="108">
        <f t="shared" si="237"/>
        <v>0</v>
      </c>
      <c r="AJ1256" s="108">
        <f t="shared" si="238"/>
        <v>0</v>
      </c>
      <c r="AK1256" s="108">
        <f>IF($A1256="",0,IF(AND($S1256=1,$W1256=1,$X1256=1,$U1256&gt;Config!$C$9),1,0))</f>
        <v>0</v>
      </c>
      <c r="AL1256" s="108">
        <f t="shared" si="239"/>
        <v>0</v>
      </c>
    </row>
    <row r="1257" spans="19:38" x14ac:dyDescent="0.25">
      <c r="S1257" s="108" t="str">
        <f>IF($A1257="","",COUNTIF(BPOworkers!$B$6:$B$105,$A1257))</f>
        <v/>
      </c>
      <c r="T1257" s="109" t="str">
        <f>IF($A1257="","",$K1257*Config!$C$9)</f>
        <v/>
      </c>
      <c r="U1257" s="109" t="str">
        <f>IF($A1257="","",IF(COUNTIF(Config!$C$21:$C$23,$H1257)&gt;0,IFERROR(VALUE(LEFT(TRIM($Q1257),FIND(" ",TRIM($Q1257)&amp;" ")-1)),0),0))</f>
        <v/>
      </c>
      <c r="V1257" s="109" t="str">
        <f t="shared" si="228"/>
        <v/>
      </c>
      <c r="W1257" s="108">
        <f>IF($A1257="",0,IF(AND($C1257&gt;=Config!$C$7,$C1257&lt;=Config!$C$8),1,0))</f>
        <v>0</v>
      </c>
      <c r="X1257" s="108">
        <f>IF($A1257="",0,IF(COUNTIF(Config!$C$21:$C$23,$H1257)&gt;0,1,0))</f>
        <v>0</v>
      </c>
      <c r="Y1257" s="108">
        <f t="shared" si="229"/>
        <v>24</v>
      </c>
      <c r="Z1257" s="108" t="str">
        <f t="shared" si="230"/>
        <v/>
      </c>
      <c r="AB1257" s="108">
        <f t="shared" si="231"/>
        <v>0</v>
      </c>
      <c r="AC1257" s="108">
        <f>IF($A1257="",0,IF(AND($AB1257=1,COUNTIF($A$2:$A1257,$A1257)=1),1,0))</f>
        <v>0</v>
      </c>
      <c r="AD1257" s="108">
        <f t="shared" si="232"/>
        <v>1</v>
      </c>
      <c r="AE1257" s="108" t="str">
        <f t="shared" si="233"/>
        <v/>
      </c>
      <c r="AF1257" s="108">
        <f t="shared" si="234"/>
        <v>0</v>
      </c>
      <c r="AG1257" s="108">
        <f t="shared" si="235"/>
        <v>0</v>
      </c>
      <c r="AH1257" s="110" t="str">
        <f t="shared" si="236"/>
        <v/>
      </c>
      <c r="AI1257" s="108">
        <f t="shared" si="237"/>
        <v>0</v>
      </c>
      <c r="AJ1257" s="108">
        <f t="shared" si="238"/>
        <v>0</v>
      </c>
      <c r="AK1257" s="108">
        <f>IF($A1257="",0,IF(AND($S1257=1,$W1257=1,$X1257=1,$U1257&gt;Config!$C$9),1,0))</f>
        <v>0</v>
      </c>
      <c r="AL1257" s="108">
        <f t="shared" si="239"/>
        <v>0</v>
      </c>
    </row>
    <row r="1258" spans="19:38" x14ac:dyDescent="0.25">
      <c r="S1258" s="108" t="str">
        <f>IF($A1258="","",COUNTIF(BPOworkers!$B$6:$B$105,$A1258))</f>
        <v/>
      </c>
      <c r="T1258" s="109" t="str">
        <f>IF($A1258="","",$K1258*Config!$C$9)</f>
        <v/>
      </c>
      <c r="U1258" s="109" t="str">
        <f>IF($A1258="","",IF(COUNTIF(Config!$C$21:$C$23,$H1258)&gt;0,IFERROR(VALUE(LEFT(TRIM($Q1258),FIND(" ",TRIM($Q1258)&amp;" ")-1)),0),0))</f>
        <v/>
      </c>
      <c r="V1258" s="109" t="str">
        <f t="shared" si="228"/>
        <v/>
      </c>
      <c r="W1258" s="108">
        <f>IF($A1258="",0,IF(AND($C1258&gt;=Config!$C$7,$C1258&lt;=Config!$C$8),1,0))</f>
        <v>0</v>
      </c>
      <c r="X1258" s="108">
        <f>IF($A1258="",0,IF(COUNTIF(Config!$C$21:$C$23,$H1258)&gt;0,1,0))</f>
        <v>0</v>
      </c>
      <c r="Y1258" s="108">
        <f t="shared" si="229"/>
        <v>24</v>
      </c>
      <c r="Z1258" s="108" t="str">
        <f t="shared" si="230"/>
        <v/>
      </c>
      <c r="AB1258" s="108">
        <f t="shared" si="231"/>
        <v>0</v>
      </c>
      <c r="AC1258" s="108">
        <f>IF($A1258="",0,IF(AND($AB1258=1,COUNTIF($A$2:$A1258,$A1258)=1),1,0))</f>
        <v>0</v>
      </c>
      <c r="AD1258" s="108">
        <f t="shared" si="232"/>
        <v>1</v>
      </c>
      <c r="AE1258" s="108" t="str">
        <f t="shared" si="233"/>
        <v/>
      </c>
      <c r="AF1258" s="108">
        <f t="shared" si="234"/>
        <v>0</v>
      </c>
      <c r="AG1258" s="108">
        <f t="shared" si="235"/>
        <v>0</v>
      </c>
      <c r="AH1258" s="110" t="str">
        <f t="shared" si="236"/>
        <v/>
      </c>
      <c r="AI1258" s="108">
        <f t="shared" si="237"/>
        <v>0</v>
      </c>
      <c r="AJ1258" s="108">
        <f t="shared" si="238"/>
        <v>0</v>
      </c>
      <c r="AK1258" s="108">
        <f>IF($A1258="",0,IF(AND($S1258=1,$W1258=1,$X1258=1,$U1258&gt;Config!$C$9),1,0))</f>
        <v>0</v>
      </c>
      <c r="AL1258" s="108">
        <f t="shared" si="239"/>
        <v>0</v>
      </c>
    </row>
    <row r="1259" spans="19:38" x14ac:dyDescent="0.25">
      <c r="S1259" s="108" t="str">
        <f>IF($A1259="","",COUNTIF(BPOworkers!$B$6:$B$105,$A1259))</f>
        <v/>
      </c>
      <c r="T1259" s="109" t="str">
        <f>IF($A1259="","",$K1259*Config!$C$9)</f>
        <v/>
      </c>
      <c r="U1259" s="109" t="str">
        <f>IF($A1259="","",IF(COUNTIF(Config!$C$21:$C$23,$H1259)&gt;0,IFERROR(VALUE(LEFT(TRIM($Q1259),FIND(" ",TRIM($Q1259)&amp;" ")-1)),0),0))</f>
        <v/>
      </c>
      <c r="V1259" s="109" t="str">
        <f t="shared" si="228"/>
        <v/>
      </c>
      <c r="W1259" s="108">
        <f>IF($A1259="",0,IF(AND($C1259&gt;=Config!$C$7,$C1259&lt;=Config!$C$8),1,0))</f>
        <v>0</v>
      </c>
      <c r="X1259" s="108">
        <f>IF($A1259="",0,IF(COUNTIF(Config!$C$21:$C$23,$H1259)&gt;0,1,0))</f>
        <v>0</v>
      </c>
      <c r="Y1259" s="108">
        <f t="shared" si="229"/>
        <v>24</v>
      </c>
      <c r="Z1259" s="108" t="str">
        <f t="shared" si="230"/>
        <v/>
      </c>
      <c r="AB1259" s="108">
        <f t="shared" si="231"/>
        <v>0</v>
      </c>
      <c r="AC1259" s="108">
        <f>IF($A1259="",0,IF(AND($AB1259=1,COUNTIF($A$2:$A1259,$A1259)=1),1,0))</f>
        <v>0</v>
      </c>
      <c r="AD1259" s="108">
        <f t="shared" si="232"/>
        <v>1</v>
      </c>
      <c r="AE1259" s="108" t="str">
        <f t="shared" si="233"/>
        <v/>
      </c>
      <c r="AF1259" s="108">
        <f t="shared" si="234"/>
        <v>0</v>
      </c>
      <c r="AG1259" s="108">
        <f t="shared" si="235"/>
        <v>0</v>
      </c>
      <c r="AH1259" s="110" t="str">
        <f t="shared" si="236"/>
        <v/>
      </c>
      <c r="AI1259" s="108">
        <f t="shared" si="237"/>
        <v>0</v>
      </c>
      <c r="AJ1259" s="108">
        <f t="shared" si="238"/>
        <v>0</v>
      </c>
      <c r="AK1259" s="108">
        <f>IF($A1259="",0,IF(AND($S1259=1,$W1259=1,$X1259=1,$U1259&gt;Config!$C$9),1,0))</f>
        <v>0</v>
      </c>
      <c r="AL1259" s="108">
        <f t="shared" si="239"/>
        <v>0</v>
      </c>
    </row>
    <row r="1260" spans="19:38" x14ac:dyDescent="0.25">
      <c r="S1260" s="108" t="str">
        <f>IF($A1260="","",COUNTIF(BPOworkers!$B$6:$B$105,$A1260))</f>
        <v/>
      </c>
      <c r="T1260" s="109" t="str">
        <f>IF($A1260="","",$K1260*Config!$C$9)</f>
        <v/>
      </c>
      <c r="U1260" s="109" t="str">
        <f>IF($A1260="","",IF(COUNTIF(Config!$C$21:$C$23,$H1260)&gt;0,IFERROR(VALUE(LEFT(TRIM($Q1260),FIND(" ",TRIM($Q1260)&amp;" ")-1)),0),0))</f>
        <v/>
      </c>
      <c r="V1260" s="109" t="str">
        <f t="shared" si="228"/>
        <v/>
      </c>
      <c r="W1260" s="108">
        <f>IF($A1260="",0,IF(AND($C1260&gt;=Config!$C$7,$C1260&lt;=Config!$C$8),1,0))</f>
        <v>0</v>
      </c>
      <c r="X1260" s="108">
        <f>IF($A1260="",0,IF(COUNTIF(Config!$C$21:$C$23,$H1260)&gt;0,1,0))</f>
        <v>0</v>
      </c>
      <c r="Y1260" s="108">
        <f t="shared" si="229"/>
        <v>24</v>
      </c>
      <c r="Z1260" s="108" t="str">
        <f t="shared" si="230"/>
        <v/>
      </c>
      <c r="AB1260" s="108">
        <f t="shared" si="231"/>
        <v>0</v>
      </c>
      <c r="AC1260" s="108">
        <f>IF($A1260="",0,IF(AND($AB1260=1,COUNTIF($A$2:$A1260,$A1260)=1),1,0))</f>
        <v>0</v>
      </c>
      <c r="AD1260" s="108">
        <f t="shared" si="232"/>
        <v>1</v>
      </c>
      <c r="AE1260" s="108" t="str">
        <f t="shared" si="233"/>
        <v/>
      </c>
      <c r="AF1260" s="108">
        <f t="shared" si="234"/>
        <v>0</v>
      </c>
      <c r="AG1260" s="108">
        <f t="shared" si="235"/>
        <v>0</v>
      </c>
      <c r="AH1260" s="110" t="str">
        <f t="shared" si="236"/>
        <v/>
      </c>
      <c r="AI1260" s="108">
        <f t="shared" si="237"/>
        <v>0</v>
      </c>
      <c r="AJ1260" s="108">
        <f t="shared" si="238"/>
        <v>0</v>
      </c>
      <c r="AK1260" s="108">
        <f>IF($A1260="",0,IF(AND($S1260=1,$W1260=1,$X1260=1,$U1260&gt;Config!$C$9),1,0))</f>
        <v>0</v>
      </c>
      <c r="AL1260" s="108">
        <f t="shared" si="239"/>
        <v>0</v>
      </c>
    </row>
    <row r="1261" spans="19:38" x14ac:dyDescent="0.25">
      <c r="S1261" s="108" t="str">
        <f>IF($A1261="","",COUNTIF(BPOworkers!$B$6:$B$105,$A1261))</f>
        <v/>
      </c>
      <c r="T1261" s="109" t="str">
        <f>IF($A1261="","",$K1261*Config!$C$9)</f>
        <v/>
      </c>
      <c r="U1261" s="109" t="str">
        <f>IF($A1261="","",IF(COUNTIF(Config!$C$21:$C$23,$H1261)&gt;0,IFERROR(VALUE(LEFT(TRIM($Q1261),FIND(" ",TRIM($Q1261)&amp;" ")-1)),0),0))</f>
        <v/>
      </c>
      <c r="V1261" s="109" t="str">
        <f t="shared" si="228"/>
        <v/>
      </c>
      <c r="W1261" s="108">
        <f>IF($A1261="",0,IF(AND($C1261&gt;=Config!$C$7,$C1261&lt;=Config!$C$8),1,0))</f>
        <v>0</v>
      </c>
      <c r="X1261" s="108">
        <f>IF($A1261="",0,IF(COUNTIF(Config!$C$21:$C$23,$H1261)&gt;0,1,0))</f>
        <v>0</v>
      </c>
      <c r="Y1261" s="108">
        <f t="shared" si="229"/>
        <v>24</v>
      </c>
      <c r="Z1261" s="108" t="str">
        <f t="shared" si="230"/>
        <v/>
      </c>
      <c r="AB1261" s="108">
        <f t="shared" si="231"/>
        <v>0</v>
      </c>
      <c r="AC1261" s="108">
        <f>IF($A1261="",0,IF(AND($AB1261=1,COUNTIF($A$2:$A1261,$A1261)=1),1,0))</f>
        <v>0</v>
      </c>
      <c r="AD1261" s="108">
        <f t="shared" si="232"/>
        <v>1</v>
      </c>
      <c r="AE1261" s="108" t="str">
        <f t="shared" si="233"/>
        <v/>
      </c>
      <c r="AF1261" s="108">
        <f t="shared" si="234"/>
        <v>0</v>
      </c>
      <c r="AG1261" s="108">
        <f t="shared" si="235"/>
        <v>0</v>
      </c>
      <c r="AH1261" s="110" t="str">
        <f t="shared" si="236"/>
        <v/>
      </c>
      <c r="AI1261" s="108">
        <f t="shared" si="237"/>
        <v>0</v>
      </c>
      <c r="AJ1261" s="108">
        <f t="shared" si="238"/>
        <v>0</v>
      </c>
      <c r="AK1261" s="108">
        <f>IF($A1261="",0,IF(AND($S1261=1,$W1261=1,$X1261=1,$U1261&gt;Config!$C$9),1,0))</f>
        <v>0</v>
      </c>
      <c r="AL1261" s="108">
        <f t="shared" si="239"/>
        <v>0</v>
      </c>
    </row>
    <row r="1262" spans="19:38" x14ac:dyDescent="0.25">
      <c r="S1262" s="108" t="str">
        <f>IF($A1262="","",COUNTIF(BPOworkers!$B$6:$B$105,$A1262))</f>
        <v/>
      </c>
      <c r="T1262" s="109" t="str">
        <f>IF($A1262="","",$K1262*Config!$C$9)</f>
        <v/>
      </c>
      <c r="U1262" s="109" t="str">
        <f>IF($A1262="","",IF(COUNTIF(Config!$C$21:$C$23,$H1262)&gt;0,IFERROR(VALUE(LEFT(TRIM($Q1262),FIND(" ",TRIM($Q1262)&amp;" ")-1)),0),0))</f>
        <v/>
      </c>
      <c r="V1262" s="109" t="str">
        <f t="shared" si="228"/>
        <v/>
      </c>
      <c r="W1262" s="108">
        <f>IF($A1262="",0,IF(AND($C1262&gt;=Config!$C$7,$C1262&lt;=Config!$C$8),1,0))</f>
        <v>0</v>
      </c>
      <c r="X1262" s="108">
        <f>IF($A1262="",0,IF(COUNTIF(Config!$C$21:$C$23,$H1262)&gt;0,1,0))</f>
        <v>0</v>
      </c>
      <c r="Y1262" s="108">
        <f t="shared" si="229"/>
        <v>24</v>
      </c>
      <c r="Z1262" s="108" t="str">
        <f t="shared" si="230"/>
        <v/>
      </c>
      <c r="AB1262" s="108">
        <f t="shared" si="231"/>
        <v>0</v>
      </c>
      <c r="AC1262" s="108">
        <f>IF($A1262="",0,IF(AND($AB1262=1,COUNTIF($A$2:$A1262,$A1262)=1),1,0))</f>
        <v>0</v>
      </c>
      <c r="AD1262" s="108">
        <f t="shared" si="232"/>
        <v>1</v>
      </c>
      <c r="AE1262" s="108" t="str">
        <f t="shared" si="233"/>
        <v/>
      </c>
      <c r="AF1262" s="108">
        <f t="shared" si="234"/>
        <v>0</v>
      </c>
      <c r="AG1262" s="108">
        <f t="shared" si="235"/>
        <v>0</v>
      </c>
      <c r="AH1262" s="110" t="str">
        <f t="shared" si="236"/>
        <v/>
      </c>
      <c r="AI1262" s="108">
        <f t="shared" si="237"/>
        <v>0</v>
      </c>
      <c r="AJ1262" s="108">
        <f t="shared" si="238"/>
        <v>0</v>
      </c>
      <c r="AK1262" s="108">
        <f>IF($A1262="",0,IF(AND($S1262=1,$W1262=1,$X1262=1,$U1262&gt;Config!$C$9),1,0))</f>
        <v>0</v>
      </c>
      <c r="AL1262" s="108">
        <f t="shared" si="239"/>
        <v>0</v>
      </c>
    </row>
    <row r="1263" spans="19:38" x14ac:dyDescent="0.25">
      <c r="S1263" s="108" t="str">
        <f>IF($A1263="","",COUNTIF(BPOworkers!$B$6:$B$105,$A1263))</f>
        <v/>
      </c>
      <c r="T1263" s="109" t="str">
        <f>IF($A1263="","",$K1263*Config!$C$9)</f>
        <v/>
      </c>
      <c r="U1263" s="109" t="str">
        <f>IF($A1263="","",IF(COUNTIF(Config!$C$21:$C$23,$H1263)&gt;0,IFERROR(VALUE(LEFT(TRIM($Q1263),FIND(" ",TRIM($Q1263)&amp;" ")-1)),0),0))</f>
        <v/>
      </c>
      <c r="V1263" s="109" t="str">
        <f t="shared" si="228"/>
        <v/>
      </c>
      <c r="W1263" s="108">
        <f>IF($A1263="",0,IF(AND($C1263&gt;=Config!$C$7,$C1263&lt;=Config!$C$8),1,0))</f>
        <v>0</v>
      </c>
      <c r="X1263" s="108">
        <f>IF($A1263="",0,IF(COUNTIF(Config!$C$21:$C$23,$H1263)&gt;0,1,0))</f>
        <v>0</v>
      </c>
      <c r="Y1263" s="108">
        <f t="shared" si="229"/>
        <v>24</v>
      </c>
      <c r="Z1263" s="108" t="str">
        <f t="shared" si="230"/>
        <v/>
      </c>
      <c r="AB1263" s="108">
        <f t="shared" si="231"/>
        <v>0</v>
      </c>
      <c r="AC1263" s="108">
        <f>IF($A1263="",0,IF(AND($AB1263=1,COUNTIF($A$2:$A1263,$A1263)=1),1,0))</f>
        <v>0</v>
      </c>
      <c r="AD1263" s="108">
        <f t="shared" si="232"/>
        <v>1</v>
      </c>
      <c r="AE1263" s="108" t="str">
        <f t="shared" si="233"/>
        <v/>
      </c>
      <c r="AF1263" s="108">
        <f t="shared" si="234"/>
        <v>0</v>
      </c>
      <c r="AG1263" s="108">
        <f t="shared" si="235"/>
        <v>0</v>
      </c>
      <c r="AH1263" s="110" t="str">
        <f t="shared" si="236"/>
        <v/>
      </c>
      <c r="AI1263" s="108">
        <f t="shared" si="237"/>
        <v>0</v>
      </c>
      <c r="AJ1263" s="108">
        <f t="shared" si="238"/>
        <v>0</v>
      </c>
      <c r="AK1263" s="108">
        <f>IF($A1263="",0,IF(AND($S1263=1,$W1263=1,$X1263=1,$U1263&gt;Config!$C$9),1,0))</f>
        <v>0</v>
      </c>
      <c r="AL1263" s="108">
        <f t="shared" si="239"/>
        <v>0</v>
      </c>
    </row>
    <row r="1264" spans="19:38" x14ac:dyDescent="0.25">
      <c r="S1264" s="108" t="str">
        <f>IF($A1264="","",COUNTIF(BPOworkers!$B$6:$B$105,$A1264))</f>
        <v/>
      </c>
      <c r="T1264" s="109" t="str">
        <f>IF($A1264="","",$K1264*Config!$C$9)</f>
        <v/>
      </c>
      <c r="U1264" s="109" t="str">
        <f>IF($A1264="","",IF(COUNTIF(Config!$C$21:$C$23,$H1264)&gt;0,IFERROR(VALUE(LEFT(TRIM($Q1264),FIND(" ",TRIM($Q1264)&amp;" ")-1)),0),0))</f>
        <v/>
      </c>
      <c r="V1264" s="109" t="str">
        <f t="shared" si="228"/>
        <v/>
      </c>
      <c r="W1264" s="108">
        <f>IF($A1264="",0,IF(AND($C1264&gt;=Config!$C$7,$C1264&lt;=Config!$C$8),1,0))</f>
        <v>0</v>
      </c>
      <c r="X1264" s="108">
        <f>IF($A1264="",0,IF(COUNTIF(Config!$C$21:$C$23,$H1264)&gt;0,1,0))</f>
        <v>0</v>
      </c>
      <c r="Y1264" s="108">
        <f t="shared" si="229"/>
        <v>24</v>
      </c>
      <c r="Z1264" s="108" t="str">
        <f t="shared" si="230"/>
        <v/>
      </c>
      <c r="AB1264" s="108">
        <f t="shared" si="231"/>
        <v>0</v>
      </c>
      <c r="AC1264" s="108">
        <f>IF($A1264="",0,IF(AND($AB1264=1,COUNTIF($A$2:$A1264,$A1264)=1),1,0))</f>
        <v>0</v>
      </c>
      <c r="AD1264" s="108">
        <f t="shared" si="232"/>
        <v>1</v>
      </c>
      <c r="AE1264" s="108" t="str">
        <f t="shared" si="233"/>
        <v/>
      </c>
      <c r="AF1264" s="108">
        <f t="shared" si="234"/>
        <v>0</v>
      </c>
      <c r="AG1264" s="108">
        <f t="shared" si="235"/>
        <v>0</v>
      </c>
      <c r="AH1264" s="110" t="str">
        <f t="shared" si="236"/>
        <v/>
      </c>
      <c r="AI1264" s="108">
        <f t="shared" si="237"/>
        <v>0</v>
      </c>
      <c r="AJ1264" s="108">
        <f t="shared" si="238"/>
        <v>0</v>
      </c>
      <c r="AK1264" s="108">
        <f>IF($A1264="",0,IF(AND($S1264=1,$W1264=1,$X1264=1,$U1264&gt;Config!$C$9),1,0))</f>
        <v>0</v>
      </c>
      <c r="AL1264" s="108">
        <f t="shared" si="239"/>
        <v>0</v>
      </c>
    </row>
    <row r="1265" spans="19:38" x14ac:dyDescent="0.25">
      <c r="S1265" s="108" t="str">
        <f>IF($A1265="","",COUNTIF(BPOworkers!$B$6:$B$105,$A1265))</f>
        <v/>
      </c>
      <c r="T1265" s="109" t="str">
        <f>IF($A1265="","",$K1265*Config!$C$9)</f>
        <v/>
      </c>
      <c r="U1265" s="109" t="str">
        <f>IF($A1265="","",IF(COUNTIF(Config!$C$21:$C$23,$H1265)&gt;0,IFERROR(VALUE(LEFT(TRIM($Q1265),FIND(" ",TRIM($Q1265)&amp;" ")-1)),0),0))</f>
        <v/>
      </c>
      <c r="V1265" s="109" t="str">
        <f t="shared" si="228"/>
        <v/>
      </c>
      <c r="W1265" s="108">
        <f>IF($A1265="",0,IF(AND($C1265&gt;=Config!$C$7,$C1265&lt;=Config!$C$8),1,0))</f>
        <v>0</v>
      </c>
      <c r="X1265" s="108">
        <f>IF($A1265="",0,IF(COUNTIF(Config!$C$21:$C$23,$H1265)&gt;0,1,0))</f>
        <v>0</v>
      </c>
      <c r="Y1265" s="108">
        <f t="shared" si="229"/>
        <v>24</v>
      </c>
      <c r="Z1265" s="108" t="str">
        <f t="shared" si="230"/>
        <v/>
      </c>
      <c r="AB1265" s="108">
        <f t="shared" si="231"/>
        <v>0</v>
      </c>
      <c r="AC1265" s="108">
        <f>IF($A1265="",0,IF(AND($AB1265=1,COUNTIF($A$2:$A1265,$A1265)=1),1,0))</f>
        <v>0</v>
      </c>
      <c r="AD1265" s="108">
        <f t="shared" si="232"/>
        <v>1</v>
      </c>
      <c r="AE1265" s="108" t="str">
        <f t="shared" si="233"/>
        <v/>
      </c>
      <c r="AF1265" s="108">
        <f t="shared" si="234"/>
        <v>0</v>
      </c>
      <c r="AG1265" s="108">
        <f t="shared" si="235"/>
        <v>0</v>
      </c>
      <c r="AH1265" s="110" t="str">
        <f t="shared" si="236"/>
        <v/>
      </c>
      <c r="AI1265" s="108">
        <f t="shared" si="237"/>
        <v>0</v>
      </c>
      <c r="AJ1265" s="108">
        <f t="shared" si="238"/>
        <v>0</v>
      </c>
      <c r="AK1265" s="108">
        <f>IF($A1265="",0,IF(AND($S1265=1,$W1265=1,$X1265=1,$U1265&gt;Config!$C$9),1,0))</f>
        <v>0</v>
      </c>
      <c r="AL1265" s="108">
        <f t="shared" si="239"/>
        <v>0</v>
      </c>
    </row>
    <row r="1266" spans="19:38" x14ac:dyDescent="0.25">
      <c r="S1266" s="108" t="str">
        <f>IF($A1266="","",COUNTIF(BPOworkers!$B$6:$B$105,$A1266))</f>
        <v/>
      </c>
      <c r="T1266" s="109" t="str">
        <f>IF($A1266="","",$K1266*Config!$C$9)</f>
        <v/>
      </c>
      <c r="U1266" s="109" t="str">
        <f>IF($A1266="","",IF(COUNTIF(Config!$C$21:$C$23,$H1266)&gt;0,IFERROR(VALUE(LEFT(TRIM($Q1266),FIND(" ",TRIM($Q1266)&amp;" ")-1)),0),0))</f>
        <v/>
      </c>
      <c r="V1266" s="109" t="str">
        <f t="shared" si="228"/>
        <v/>
      </c>
      <c r="W1266" s="108">
        <f>IF($A1266="",0,IF(AND($C1266&gt;=Config!$C$7,$C1266&lt;=Config!$C$8),1,0))</f>
        <v>0</v>
      </c>
      <c r="X1266" s="108">
        <f>IF($A1266="",0,IF(COUNTIF(Config!$C$21:$C$23,$H1266)&gt;0,1,0))</f>
        <v>0</v>
      </c>
      <c r="Y1266" s="108">
        <f t="shared" si="229"/>
        <v>24</v>
      </c>
      <c r="Z1266" s="108" t="str">
        <f t="shared" si="230"/>
        <v/>
      </c>
      <c r="AB1266" s="108">
        <f t="shared" si="231"/>
        <v>0</v>
      </c>
      <c r="AC1266" s="108">
        <f>IF($A1266="",0,IF(AND($AB1266=1,COUNTIF($A$2:$A1266,$A1266)=1),1,0))</f>
        <v>0</v>
      </c>
      <c r="AD1266" s="108">
        <f t="shared" si="232"/>
        <v>1</v>
      </c>
      <c r="AE1266" s="108" t="str">
        <f t="shared" si="233"/>
        <v/>
      </c>
      <c r="AF1266" s="108">
        <f t="shared" si="234"/>
        <v>0</v>
      </c>
      <c r="AG1266" s="108">
        <f t="shared" si="235"/>
        <v>0</v>
      </c>
      <c r="AH1266" s="110" t="str">
        <f t="shared" si="236"/>
        <v/>
      </c>
      <c r="AI1266" s="108">
        <f t="shared" si="237"/>
        <v>0</v>
      </c>
      <c r="AJ1266" s="108">
        <f t="shared" si="238"/>
        <v>0</v>
      </c>
      <c r="AK1266" s="108">
        <f>IF($A1266="",0,IF(AND($S1266=1,$W1266=1,$X1266=1,$U1266&gt;Config!$C$9),1,0))</f>
        <v>0</v>
      </c>
      <c r="AL1266" s="108">
        <f t="shared" si="239"/>
        <v>0</v>
      </c>
    </row>
    <row r="1267" spans="19:38" x14ac:dyDescent="0.25">
      <c r="S1267" s="108" t="str">
        <f>IF($A1267="","",COUNTIF(BPOworkers!$B$6:$B$105,$A1267))</f>
        <v/>
      </c>
      <c r="T1267" s="109" t="str">
        <f>IF($A1267="","",$K1267*Config!$C$9)</f>
        <v/>
      </c>
      <c r="U1267" s="109" t="str">
        <f>IF($A1267="","",IF(COUNTIF(Config!$C$21:$C$23,$H1267)&gt;0,IFERROR(VALUE(LEFT(TRIM($Q1267),FIND(" ",TRIM($Q1267)&amp;" ")-1)),0),0))</f>
        <v/>
      </c>
      <c r="V1267" s="109" t="str">
        <f t="shared" si="228"/>
        <v/>
      </c>
      <c r="W1267" s="108">
        <f>IF($A1267="",0,IF(AND($C1267&gt;=Config!$C$7,$C1267&lt;=Config!$C$8),1,0))</f>
        <v>0</v>
      </c>
      <c r="X1267" s="108">
        <f>IF($A1267="",0,IF(COUNTIF(Config!$C$21:$C$23,$H1267)&gt;0,1,0))</f>
        <v>0</v>
      </c>
      <c r="Y1267" s="108">
        <f t="shared" si="229"/>
        <v>24</v>
      </c>
      <c r="Z1267" s="108" t="str">
        <f t="shared" si="230"/>
        <v/>
      </c>
      <c r="AB1267" s="108">
        <f t="shared" si="231"/>
        <v>0</v>
      </c>
      <c r="AC1267" s="108">
        <f>IF($A1267="",0,IF(AND($AB1267=1,COUNTIF($A$2:$A1267,$A1267)=1),1,0))</f>
        <v>0</v>
      </c>
      <c r="AD1267" s="108">
        <f t="shared" si="232"/>
        <v>1</v>
      </c>
      <c r="AE1267" s="108" t="str">
        <f t="shared" si="233"/>
        <v/>
      </c>
      <c r="AF1267" s="108">
        <f t="shared" si="234"/>
        <v>0</v>
      </c>
      <c r="AG1267" s="108">
        <f t="shared" si="235"/>
        <v>0</v>
      </c>
      <c r="AH1267" s="110" t="str">
        <f t="shared" si="236"/>
        <v/>
      </c>
      <c r="AI1267" s="108">
        <f t="shared" si="237"/>
        <v>0</v>
      </c>
      <c r="AJ1267" s="108">
        <f t="shared" si="238"/>
        <v>0</v>
      </c>
      <c r="AK1267" s="108">
        <f>IF($A1267="",0,IF(AND($S1267=1,$W1267=1,$X1267=1,$U1267&gt;Config!$C$9),1,0))</f>
        <v>0</v>
      </c>
      <c r="AL1267" s="108">
        <f t="shared" si="239"/>
        <v>0</v>
      </c>
    </row>
    <row r="1268" spans="19:38" x14ac:dyDescent="0.25">
      <c r="S1268" s="108" t="str">
        <f>IF($A1268="","",COUNTIF(BPOworkers!$B$6:$B$105,$A1268))</f>
        <v/>
      </c>
      <c r="T1268" s="109" t="str">
        <f>IF($A1268="","",$K1268*Config!$C$9)</f>
        <v/>
      </c>
      <c r="U1268" s="109" t="str">
        <f>IF($A1268="","",IF(COUNTIF(Config!$C$21:$C$23,$H1268)&gt;0,IFERROR(VALUE(LEFT(TRIM($Q1268),FIND(" ",TRIM($Q1268)&amp;" ")-1)),0),0))</f>
        <v/>
      </c>
      <c r="V1268" s="109" t="str">
        <f t="shared" si="228"/>
        <v/>
      </c>
      <c r="W1268" s="108">
        <f>IF($A1268="",0,IF(AND($C1268&gt;=Config!$C$7,$C1268&lt;=Config!$C$8),1,0))</f>
        <v>0</v>
      </c>
      <c r="X1268" s="108">
        <f>IF($A1268="",0,IF(COUNTIF(Config!$C$21:$C$23,$H1268)&gt;0,1,0))</f>
        <v>0</v>
      </c>
      <c r="Y1268" s="108">
        <f t="shared" si="229"/>
        <v>24</v>
      </c>
      <c r="Z1268" s="108" t="str">
        <f t="shared" si="230"/>
        <v/>
      </c>
      <c r="AB1268" s="108">
        <f t="shared" si="231"/>
        <v>0</v>
      </c>
      <c r="AC1268" s="108">
        <f>IF($A1268="",0,IF(AND($AB1268=1,COUNTIF($A$2:$A1268,$A1268)=1),1,0))</f>
        <v>0</v>
      </c>
      <c r="AD1268" s="108">
        <f t="shared" si="232"/>
        <v>1</v>
      </c>
      <c r="AE1268" s="108" t="str">
        <f t="shared" si="233"/>
        <v/>
      </c>
      <c r="AF1268" s="108">
        <f t="shared" si="234"/>
        <v>0</v>
      </c>
      <c r="AG1268" s="108">
        <f t="shared" si="235"/>
        <v>0</v>
      </c>
      <c r="AH1268" s="110" t="str">
        <f t="shared" si="236"/>
        <v/>
      </c>
      <c r="AI1268" s="108">
        <f t="shared" si="237"/>
        <v>0</v>
      </c>
      <c r="AJ1268" s="108">
        <f t="shared" si="238"/>
        <v>0</v>
      </c>
      <c r="AK1268" s="108">
        <f>IF($A1268="",0,IF(AND($S1268=1,$W1268=1,$X1268=1,$U1268&gt;Config!$C$9),1,0))</f>
        <v>0</v>
      </c>
      <c r="AL1268" s="108">
        <f t="shared" si="239"/>
        <v>0</v>
      </c>
    </row>
    <row r="1269" spans="19:38" x14ac:dyDescent="0.25">
      <c r="S1269" s="108" t="str">
        <f>IF($A1269="","",COUNTIF(BPOworkers!$B$6:$B$105,$A1269))</f>
        <v/>
      </c>
      <c r="T1269" s="109" t="str">
        <f>IF($A1269="","",$K1269*Config!$C$9)</f>
        <v/>
      </c>
      <c r="U1269" s="109" t="str">
        <f>IF($A1269="","",IF(COUNTIF(Config!$C$21:$C$23,$H1269)&gt;0,IFERROR(VALUE(LEFT(TRIM($Q1269),FIND(" ",TRIM($Q1269)&amp;" ")-1)),0),0))</f>
        <v/>
      </c>
      <c r="V1269" s="109" t="str">
        <f t="shared" si="228"/>
        <v/>
      </c>
      <c r="W1269" s="108">
        <f>IF($A1269="",0,IF(AND($C1269&gt;=Config!$C$7,$C1269&lt;=Config!$C$8),1,0))</f>
        <v>0</v>
      </c>
      <c r="X1269" s="108">
        <f>IF($A1269="",0,IF(COUNTIF(Config!$C$21:$C$23,$H1269)&gt;0,1,0))</f>
        <v>0</v>
      </c>
      <c r="Y1269" s="108">
        <f t="shared" si="229"/>
        <v>24</v>
      </c>
      <c r="Z1269" s="108" t="str">
        <f t="shared" si="230"/>
        <v/>
      </c>
      <c r="AB1269" s="108">
        <f t="shared" si="231"/>
        <v>0</v>
      </c>
      <c r="AC1269" s="108">
        <f>IF($A1269="",0,IF(AND($AB1269=1,COUNTIF($A$2:$A1269,$A1269)=1),1,0))</f>
        <v>0</v>
      </c>
      <c r="AD1269" s="108">
        <f t="shared" si="232"/>
        <v>1</v>
      </c>
      <c r="AE1269" s="108" t="str">
        <f t="shared" si="233"/>
        <v/>
      </c>
      <c r="AF1269" s="108">
        <f t="shared" si="234"/>
        <v>0</v>
      </c>
      <c r="AG1269" s="108">
        <f t="shared" si="235"/>
        <v>0</v>
      </c>
      <c r="AH1269" s="110" t="str">
        <f t="shared" si="236"/>
        <v/>
      </c>
      <c r="AI1269" s="108">
        <f t="shared" si="237"/>
        <v>0</v>
      </c>
      <c r="AJ1269" s="108">
        <f t="shared" si="238"/>
        <v>0</v>
      </c>
      <c r="AK1269" s="108">
        <f>IF($A1269="",0,IF(AND($S1269=1,$W1269=1,$X1269=1,$U1269&gt;Config!$C$9),1,0))</f>
        <v>0</v>
      </c>
      <c r="AL1269" s="108">
        <f t="shared" si="239"/>
        <v>0</v>
      </c>
    </row>
    <row r="1270" spans="19:38" x14ac:dyDescent="0.25">
      <c r="S1270" s="108" t="str">
        <f>IF($A1270="","",COUNTIF(BPOworkers!$B$6:$B$105,$A1270))</f>
        <v/>
      </c>
      <c r="T1270" s="109" t="str">
        <f>IF($A1270="","",$K1270*Config!$C$9)</f>
        <v/>
      </c>
      <c r="U1270" s="109" t="str">
        <f>IF($A1270="","",IF(COUNTIF(Config!$C$21:$C$23,$H1270)&gt;0,IFERROR(VALUE(LEFT(TRIM($Q1270),FIND(" ",TRIM($Q1270)&amp;" ")-1)),0),0))</f>
        <v/>
      </c>
      <c r="V1270" s="109" t="str">
        <f t="shared" si="228"/>
        <v/>
      </c>
      <c r="W1270" s="108">
        <f>IF($A1270="",0,IF(AND($C1270&gt;=Config!$C$7,$C1270&lt;=Config!$C$8),1,0))</f>
        <v>0</v>
      </c>
      <c r="X1270" s="108">
        <f>IF($A1270="",0,IF(COUNTIF(Config!$C$21:$C$23,$H1270)&gt;0,1,0))</f>
        <v>0</v>
      </c>
      <c r="Y1270" s="108">
        <f t="shared" si="229"/>
        <v>24</v>
      </c>
      <c r="Z1270" s="108" t="str">
        <f t="shared" si="230"/>
        <v/>
      </c>
      <c r="AB1270" s="108">
        <f t="shared" si="231"/>
        <v>0</v>
      </c>
      <c r="AC1270" s="108">
        <f>IF($A1270="",0,IF(AND($AB1270=1,COUNTIF($A$2:$A1270,$A1270)=1),1,0))</f>
        <v>0</v>
      </c>
      <c r="AD1270" s="108">
        <f t="shared" si="232"/>
        <v>1</v>
      </c>
      <c r="AE1270" s="108" t="str">
        <f t="shared" si="233"/>
        <v/>
      </c>
      <c r="AF1270" s="108">
        <f t="shared" si="234"/>
        <v>0</v>
      </c>
      <c r="AG1270" s="108">
        <f t="shared" si="235"/>
        <v>0</v>
      </c>
      <c r="AH1270" s="110" t="str">
        <f t="shared" si="236"/>
        <v/>
      </c>
      <c r="AI1270" s="108">
        <f t="shared" si="237"/>
        <v>0</v>
      </c>
      <c r="AJ1270" s="108">
        <f t="shared" si="238"/>
        <v>0</v>
      </c>
      <c r="AK1270" s="108">
        <f>IF($A1270="",0,IF(AND($S1270=1,$W1270=1,$X1270=1,$U1270&gt;Config!$C$9),1,0))</f>
        <v>0</v>
      </c>
      <c r="AL1270" s="108">
        <f t="shared" si="239"/>
        <v>0</v>
      </c>
    </row>
    <row r="1271" spans="19:38" x14ac:dyDescent="0.25">
      <c r="S1271" s="108" t="str">
        <f>IF($A1271="","",COUNTIF(BPOworkers!$B$6:$B$105,$A1271))</f>
        <v/>
      </c>
      <c r="T1271" s="109" t="str">
        <f>IF($A1271="","",$K1271*Config!$C$9)</f>
        <v/>
      </c>
      <c r="U1271" s="109" t="str">
        <f>IF($A1271="","",IF(COUNTIF(Config!$C$21:$C$23,$H1271)&gt;0,IFERROR(VALUE(LEFT(TRIM($Q1271),FIND(" ",TRIM($Q1271)&amp;" ")-1)),0),0))</f>
        <v/>
      </c>
      <c r="V1271" s="109" t="str">
        <f t="shared" si="228"/>
        <v/>
      </c>
      <c r="W1271" s="108">
        <f>IF($A1271="",0,IF(AND($C1271&gt;=Config!$C$7,$C1271&lt;=Config!$C$8),1,0))</f>
        <v>0</v>
      </c>
      <c r="X1271" s="108">
        <f>IF($A1271="",0,IF(COUNTIF(Config!$C$21:$C$23,$H1271)&gt;0,1,0))</f>
        <v>0</v>
      </c>
      <c r="Y1271" s="108">
        <f t="shared" si="229"/>
        <v>24</v>
      </c>
      <c r="Z1271" s="108" t="str">
        <f t="shared" si="230"/>
        <v/>
      </c>
      <c r="AB1271" s="108">
        <f t="shared" si="231"/>
        <v>0</v>
      </c>
      <c r="AC1271" s="108">
        <f>IF($A1271="",0,IF(AND($AB1271=1,COUNTIF($A$2:$A1271,$A1271)=1),1,0))</f>
        <v>0</v>
      </c>
      <c r="AD1271" s="108">
        <f t="shared" si="232"/>
        <v>1</v>
      </c>
      <c r="AE1271" s="108" t="str">
        <f t="shared" si="233"/>
        <v/>
      </c>
      <c r="AF1271" s="108">
        <f t="shared" si="234"/>
        <v>0</v>
      </c>
      <c r="AG1271" s="108">
        <f t="shared" si="235"/>
        <v>0</v>
      </c>
      <c r="AH1271" s="110" t="str">
        <f t="shared" si="236"/>
        <v/>
      </c>
      <c r="AI1271" s="108">
        <f t="shared" si="237"/>
        <v>0</v>
      </c>
      <c r="AJ1271" s="108">
        <f t="shared" si="238"/>
        <v>0</v>
      </c>
      <c r="AK1271" s="108">
        <f>IF($A1271="",0,IF(AND($S1271=1,$W1271=1,$X1271=1,$U1271&gt;Config!$C$9),1,0))</f>
        <v>0</v>
      </c>
      <c r="AL1271" s="108">
        <f t="shared" si="239"/>
        <v>0</v>
      </c>
    </row>
    <row r="1272" spans="19:38" x14ac:dyDescent="0.25">
      <c r="S1272" s="108" t="str">
        <f>IF($A1272="","",COUNTIF(BPOworkers!$B$6:$B$105,$A1272))</f>
        <v/>
      </c>
      <c r="T1272" s="109" t="str">
        <f>IF($A1272="","",$K1272*Config!$C$9)</f>
        <v/>
      </c>
      <c r="U1272" s="109" t="str">
        <f>IF($A1272="","",IF(COUNTIF(Config!$C$21:$C$23,$H1272)&gt;0,IFERROR(VALUE(LEFT(TRIM($Q1272),FIND(" ",TRIM($Q1272)&amp;" ")-1)),0),0))</f>
        <v/>
      </c>
      <c r="V1272" s="109" t="str">
        <f t="shared" si="228"/>
        <v/>
      </c>
      <c r="W1272" s="108">
        <f>IF($A1272="",0,IF(AND($C1272&gt;=Config!$C$7,$C1272&lt;=Config!$C$8),1,0))</f>
        <v>0</v>
      </c>
      <c r="X1272" s="108">
        <f>IF($A1272="",0,IF(COUNTIF(Config!$C$21:$C$23,$H1272)&gt;0,1,0))</f>
        <v>0</v>
      </c>
      <c r="Y1272" s="108">
        <f t="shared" si="229"/>
        <v>24</v>
      </c>
      <c r="Z1272" s="108" t="str">
        <f t="shared" si="230"/>
        <v/>
      </c>
      <c r="AB1272" s="108">
        <f t="shared" si="231"/>
        <v>0</v>
      </c>
      <c r="AC1272" s="108">
        <f>IF($A1272="",0,IF(AND($AB1272=1,COUNTIF($A$2:$A1272,$A1272)=1),1,0))</f>
        <v>0</v>
      </c>
      <c r="AD1272" s="108">
        <f t="shared" si="232"/>
        <v>1</v>
      </c>
      <c r="AE1272" s="108" t="str">
        <f t="shared" si="233"/>
        <v/>
      </c>
      <c r="AF1272" s="108">
        <f t="shared" si="234"/>
        <v>0</v>
      </c>
      <c r="AG1272" s="108">
        <f t="shared" si="235"/>
        <v>0</v>
      </c>
      <c r="AH1272" s="110" t="str">
        <f t="shared" si="236"/>
        <v/>
      </c>
      <c r="AI1272" s="108">
        <f t="shared" si="237"/>
        <v>0</v>
      </c>
      <c r="AJ1272" s="108">
        <f t="shared" si="238"/>
        <v>0</v>
      </c>
      <c r="AK1272" s="108">
        <f>IF($A1272="",0,IF(AND($S1272=1,$W1272=1,$X1272=1,$U1272&gt;Config!$C$9),1,0))</f>
        <v>0</v>
      </c>
      <c r="AL1272" s="108">
        <f t="shared" si="239"/>
        <v>0</v>
      </c>
    </row>
    <row r="1273" spans="19:38" x14ac:dyDescent="0.25">
      <c r="S1273" s="108" t="str">
        <f>IF($A1273="","",COUNTIF(BPOworkers!$B$6:$B$105,$A1273))</f>
        <v/>
      </c>
      <c r="T1273" s="109" t="str">
        <f>IF($A1273="","",$K1273*Config!$C$9)</f>
        <v/>
      </c>
      <c r="U1273" s="109" t="str">
        <f>IF($A1273="","",IF(COUNTIF(Config!$C$21:$C$23,$H1273)&gt;0,IFERROR(VALUE(LEFT(TRIM($Q1273),FIND(" ",TRIM($Q1273)&amp;" ")-1)),0),0))</f>
        <v/>
      </c>
      <c r="V1273" s="109" t="str">
        <f t="shared" si="228"/>
        <v/>
      </c>
      <c r="W1273" s="108">
        <f>IF($A1273="",0,IF(AND($C1273&gt;=Config!$C$7,$C1273&lt;=Config!$C$8),1,0))</f>
        <v>0</v>
      </c>
      <c r="X1273" s="108">
        <f>IF($A1273="",0,IF(COUNTIF(Config!$C$21:$C$23,$H1273)&gt;0,1,0))</f>
        <v>0</v>
      </c>
      <c r="Y1273" s="108">
        <f t="shared" si="229"/>
        <v>24</v>
      </c>
      <c r="Z1273" s="108" t="str">
        <f t="shared" si="230"/>
        <v/>
      </c>
      <c r="AB1273" s="108">
        <f t="shared" si="231"/>
        <v>0</v>
      </c>
      <c r="AC1273" s="108">
        <f>IF($A1273="",0,IF(AND($AB1273=1,COUNTIF($A$2:$A1273,$A1273)=1),1,0))</f>
        <v>0</v>
      </c>
      <c r="AD1273" s="108">
        <f t="shared" si="232"/>
        <v>1</v>
      </c>
      <c r="AE1273" s="108" t="str">
        <f t="shared" si="233"/>
        <v/>
      </c>
      <c r="AF1273" s="108">
        <f t="shared" si="234"/>
        <v>0</v>
      </c>
      <c r="AG1273" s="108">
        <f t="shared" si="235"/>
        <v>0</v>
      </c>
      <c r="AH1273" s="110" t="str">
        <f t="shared" si="236"/>
        <v/>
      </c>
      <c r="AI1273" s="108">
        <f t="shared" si="237"/>
        <v>0</v>
      </c>
      <c r="AJ1273" s="108">
        <f t="shared" si="238"/>
        <v>0</v>
      </c>
      <c r="AK1273" s="108">
        <f>IF($A1273="",0,IF(AND($S1273=1,$W1273=1,$X1273=1,$U1273&gt;Config!$C$9),1,0))</f>
        <v>0</v>
      </c>
      <c r="AL1273" s="108">
        <f t="shared" si="239"/>
        <v>0</v>
      </c>
    </row>
    <row r="1274" spans="19:38" x14ac:dyDescent="0.25">
      <c r="S1274" s="108" t="str">
        <f>IF($A1274="","",COUNTIF(BPOworkers!$B$6:$B$105,$A1274))</f>
        <v/>
      </c>
      <c r="T1274" s="109" t="str">
        <f>IF($A1274="","",$K1274*Config!$C$9)</f>
        <v/>
      </c>
      <c r="U1274" s="109" t="str">
        <f>IF($A1274="","",IF(COUNTIF(Config!$C$21:$C$23,$H1274)&gt;0,IFERROR(VALUE(LEFT(TRIM($Q1274),FIND(" ",TRIM($Q1274)&amp;" ")-1)),0),0))</f>
        <v/>
      </c>
      <c r="V1274" s="109" t="str">
        <f t="shared" si="228"/>
        <v/>
      </c>
      <c r="W1274" s="108">
        <f>IF($A1274="",0,IF(AND($C1274&gt;=Config!$C$7,$C1274&lt;=Config!$C$8),1,0))</f>
        <v>0</v>
      </c>
      <c r="X1274" s="108">
        <f>IF($A1274="",0,IF(COUNTIF(Config!$C$21:$C$23,$H1274)&gt;0,1,0))</f>
        <v>0</v>
      </c>
      <c r="Y1274" s="108">
        <f t="shared" si="229"/>
        <v>24</v>
      </c>
      <c r="Z1274" s="108" t="str">
        <f t="shared" si="230"/>
        <v/>
      </c>
      <c r="AB1274" s="108">
        <f t="shared" si="231"/>
        <v>0</v>
      </c>
      <c r="AC1274" s="108">
        <f>IF($A1274="",0,IF(AND($AB1274=1,COUNTIF($A$2:$A1274,$A1274)=1),1,0))</f>
        <v>0</v>
      </c>
      <c r="AD1274" s="108">
        <f t="shared" si="232"/>
        <v>1</v>
      </c>
      <c r="AE1274" s="108" t="str">
        <f t="shared" si="233"/>
        <v/>
      </c>
      <c r="AF1274" s="108">
        <f t="shared" si="234"/>
        <v>0</v>
      </c>
      <c r="AG1274" s="108">
        <f t="shared" si="235"/>
        <v>0</v>
      </c>
      <c r="AH1274" s="110" t="str">
        <f t="shared" si="236"/>
        <v/>
      </c>
      <c r="AI1274" s="108">
        <f t="shared" si="237"/>
        <v>0</v>
      </c>
      <c r="AJ1274" s="108">
        <f t="shared" si="238"/>
        <v>0</v>
      </c>
      <c r="AK1274" s="108">
        <f>IF($A1274="",0,IF(AND($S1274=1,$W1274=1,$X1274=1,$U1274&gt;Config!$C$9),1,0))</f>
        <v>0</v>
      </c>
      <c r="AL1274" s="108">
        <f t="shared" si="239"/>
        <v>0</v>
      </c>
    </row>
    <row r="1275" spans="19:38" x14ac:dyDescent="0.25">
      <c r="S1275" s="108" t="str">
        <f>IF($A1275="","",COUNTIF(BPOworkers!$B$6:$B$105,$A1275))</f>
        <v/>
      </c>
      <c r="T1275" s="109" t="str">
        <f>IF($A1275="","",$K1275*Config!$C$9)</f>
        <v/>
      </c>
      <c r="U1275" s="109" t="str">
        <f>IF($A1275="","",IF(COUNTIF(Config!$C$21:$C$23,$H1275)&gt;0,IFERROR(VALUE(LEFT(TRIM($Q1275),FIND(" ",TRIM($Q1275)&amp;" ")-1)),0),0))</f>
        <v/>
      </c>
      <c r="V1275" s="109" t="str">
        <f t="shared" si="228"/>
        <v/>
      </c>
      <c r="W1275" s="108">
        <f>IF($A1275="",0,IF(AND($C1275&gt;=Config!$C$7,$C1275&lt;=Config!$C$8),1,0))</f>
        <v>0</v>
      </c>
      <c r="X1275" s="108">
        <f>IF($A1275="",0,IF(COUNTIF(Config!$C$21:$C$23,$H1275)&gt;0,1,0))</f>
        <v>0</v>
      </c>
      <c r="Y1275" s="108">
        <f t="shared" si="229"/>
        <v>24</v>
      </c>
      <c r="Z1275" s="108" t="str">
        <f t="shared" si="230"/>
        <v/>
      </c>
      <c r="AB1275" s="108">
        <f t="shared" si="231"/>
        <v>0</v>
      </c>
      <c r="AC1275" s="108">
        <f>IF($A1275="",0,IF(AND($AB1275=1,COUNTIF($A$2:$A1275,$A1275)=1),1,0))</f>
        <v>0</v>
      </c>
      <c r="AD1275" s="108">
        <f t="shared" si="232"/>
        <v>1</v>
      </c>
      <c r="AE1275" s="108" t="str">
        <f t="shared" si="233"/>
        <v/>
      </c>
      <c r="AF1275" s="108">
        <f t="shared" si="234"/>
        <v>0</v>
      </c>
      <c r="AG1275" s="108">
        <f t="shared" si="235"/>
        <v>0</v>
      </c>
      <c r="AH1275" s="110" t="str">
        <f t="shared" si="236"/>
        <v/>
      </c>
      <c r="AI1275" s="108">
        <f t="shared" si="237"/>
        <v>0</v>
      </c>
      <c r="AJ1275" s="108">
        <f t="shared" si="238"/>
        <v>0</v>
      </c>
      <c r="AK1275" s="108">
        <f>IF($A1275="",0,IF(AND($S1275=1,$W1275=1,$X1275=1,$U1275&gt;Config!$C$9),1,0))</f>
        <v>0</v>
      </c>
      <c r="AL1275" s="108">
        <f t="shared" si="239"/>
        <v>0</v>
      </c>
    </row>
    <row r="1276" spans="19:38" x14ac:dyDescent="0.25">
      <c r="S1276" s="108" t="str">
        <f>IF($A1276="","",COUNTIF(BPOworkers!$B$6:$B$105,$A1276))</f>
        <v/>
      </c>
      <c r="T1276" s="109" t="str">
        <f>IF($A1276="","",$K1276*Config!$C$9)</f>
        <v/>
      </c>
      <c r="U1276" s="109" t="str">
        <f>IF($A1276="","",IF(COUNTIF(Config!$C$21:$C$23,$H1276)&gt;0,IFERROR(VALUE(LEFT(TRIM($Q1276),FIND(" ",TRIM($Q1276)&amp;" ")-1)),0),0))</f>
        <v/>
      </c>
      <c r="V1276" s="109" t="str">
        <f t="shared" si="228"/>
        <v/>
      </c>
      <c r="W1276" s="108">
        <f>IF($A1276="",0,IF(AND($C1276&gt;=Config!$C$7,$C1276&lt;=Config!$C$8),1,0))</f>
        <v>0</v>
      </c>
      <c r="X1276" s="108">
        <f>IF($A1276="",0,IF(COUNTIF(Config!$C$21:$C$23,$H1276)&gt;0,1,0))</f>
        <v>0</v>
      </c>
      <c r="Y1276" s="108">
        <f t="shared" si="229"/>
        <v>24</v>
      </c>
      <c r="Z1276" s="108" t="str">
        <f t="shared" si="230"/>
        <v/>
      </c>
      <c r="AB1276" s="108">
        <f t="shared" si="231"/>
        <v>0</v>
      </c>
      <c r="AC1276" s="108">
        <f>IF($A1276="",0,IF(AND($AB1276=1,COUNTIF($A$2:$A1276,$A1276)=1),1,0))</f>
        <v>0</v>
      </c>
      <c r="AD1276" s="108">
        <f t="shared" si="232"/>
        <v>1</v>
      </c>
      <c r="AE1276" s="108" t="str">
        <f t="shared" si="233"/>
        <v/>
      </c>
      <c r="AF1276" s="108">
        <f t="shared" si="234"/>
        <v>0</v>
      </c>
      <c r="AG1276" s="108">
        <f t="shared" si="235"/>
        <v>0</v>
      </c>
      <c r="AH1276" s="110" t="str">
        <f t="shared" si="236"/>
        <v/>
      </c>
      <c r="AI1276" s="108">
        <f t="shared" si="237"/>
        <v>0</v>
      </c>
      <c r="AJ1276" s="108">
        <f t="shared" si="238"/>
        <v>0</v>
      </c>
      <c r="AK1276" s="108">
        <f>IF($A1276="",0,IF(AND($S1276=1,$W1276=1,$X1276=1,$U1276&gt;Config!$C$9),1,0))</f>
        <v>0</v>
      </c>
      <c r="AL1276" s="108">
        <f t="shared" si="239"/>
        <v>0</v>
      </c>
    </row>
    <row r="1277" spans="19:38" x14ac:dyDescent="0.25">
      <c r="S1277" s="108" t="str">
        <f>IF($A1277="","",COUNTIF(BPOworkers!$B$6:$B$105,$A1277))</f>
        <v/>
      </c>
      <c r="T1277" s="109" t="str">
        <f>IF($A1277="","",$K1277*Config!$C$9)</f>
        <v/>
      </c>
      <c r="U1277" s="109" t="str">
        <f>IF($A1277="","",IF(COUNTIF(Config!$C$21:$C$23,$H1277)&gt;0,IFERROR(VALUE(LEFT(TRIM($Q1277),FIND(" ",TRIM($Q1277)&amp;" ")-1)),0),0))</f>
        <v/>
      </c>
      <c r="V1277" s="109" t="str">
        <f t="shared" si="228"/>
        <v/>
      </c>
      <c r="W1277" s="108">
        <f>IF($A1277="",0,IF(AND($C1277&gt;=Config!$C$7,$C1277&lt;=Config!$C$8),1,0))</f>
        <v>0</v>
      </c>
      <c r="X1277" s="108">
        <f>IF($A1277="",0,IF(COUNTIF(Config!$C$21:$C$23,$H1277)&gt;0,1,0))</f>
        <v>0</v>
      </c>
      <c r="Y1277" s="108">
        <f t="shared" si="229"/>
        <v>24</v>
      </c>
      <c r="Z1277" s="108" t="str">
        <f t="shared" si="230"/>
        <v/>
      </c>
      <c r="AB1277" s="108">
        <f t="shared" si="231"/>
        <v>0</v>
      </c>
      <c r="AC1277" s="108">
        <f>IF($A1277="",0,IF(AND($AB1277=1,COUNTIF($A$2:$A1277,$A1277)=1),1,0))</f>
        <v>0</v>
      </c>
      <c r="AD1277" s="108">
        <f t="shared" si="232"/>
        <v>1</v>
      </c>
      <c r="AE1277" s="108" t="str">
        <f t="shared" si="233"/>
        <v/>
      </c>
      <c r="AF1277" s="108">
        <f t="shared" si="234"/>
        <v>0</v>
      </c>
      <c r="AG1277" s="108">
        <f t="shared" si="235"/>
        <v>0</v>
      </c>
      <c r="AH1277" s="110" t="str">
        <f t="shared" si="236"/>
        <v/>
      </c>
      <c r="AI1277" s="108">
        <f t="shared" si="237"/>
        <v>0</v>
      </c>
      <c r="AJ1277" s="108">
        <f t="shared" si="238"/>
        <v>0</v>
      </c>
      <c r="AK1277" s="108">
        <f>IF($A1277="",0,IF(AND($S1277=1,$W1277=1,$X1277=1,$U1277&gt;Config!$C$9),1,0))</f>
        <v>0</v>
      </c>
      <c r="AL1277" s="108">
        <f t="shared" si="239"/>
        <v>0</v>
      </c>
    </row>
    <row r="1278" spans="19:38" x14ac:dyDescent="0.25">
      <c r="S1278" s="108" t="str">
        <f>IF($A1278="","",COUNTIF(BPOworkers!$B$6:$B$105,$A1278))</f>
        <v/>
      </c>
      <c r="T1278" s="109" t="str">
        <f>IF($A1278="","",$K1278*Config!$C$9)</f>
        <v/>
      </c>
      <c r="U1278" s="109" t="str">
        <f>IF($A1278="","",IF(COUNTIF(Config!$C$21:$C$23,$H1278)&gt;0,IFERROR(VALUE(LEFT(TRIM($Q1278),FIND(" ",TRIM($Q1278)&amp;" ")-1)),0),0))</f>
        <v/>
      </c>
      <c r="V1278" s="109" t="str">
        <f t="shared" si="228"/>
        <v/>
      </c>
      <c r="W1278" s="108">
        <f>IF($A1278="",0,IF(AND($C1278&gt;=Config!$C$7,$C1278&lt;=Config!$C$8),1,0))</f>
        <v>0</v>
      </c>
      <c r="X1278" s="108">
        <f>IF($A1278="",0,IF(COUNTIF(Config!$C$21:$C$23,$H1278)&gt;0,1,0))</f>
        <v>0</v>
      </c>
      <c r="Y1278" s="108">
        <f t="shared" si="229"/>
        <v>24</v>
      </c>
      <c r="Z1278" s="108" t="str">
        <f t="shared" si="230"/>
        <v/>
      </c>
      <c r="AB1278" s="108">
        <f t="shared" si="231"/>
        <v>0</v>
      </c>
      <c r="AC1278" s="108">
        <f>IF($A1278="",0,IF(AND($AB1278=1,COUNTIF($A$2:$A1278,$A1278)=1),1,0))</f>
        <v>0</v>
      </c>
      <c r="AD1278" s="108">
        <f t="shared" si="232"/>
        <v>1</v>
      </c>
      <c r="AE1278" s="108" t="str">
        <f t="shared" si="233"/>
        <v/>
      </c>
      <c r="AF1278" s="108">
        <f t="shared" si="234"/>
        <v>0</v>
      </c>
      <c r="AG1278" s="108">
        <f t="shared" si="235"/>
        <v>0</v>
      </c>
      <c r="AH1278" s="110" t="str">
        <f t="shared" si="236"/>
        <v/>
      </c>
      <c r="AI1278" s="108">
        <f t="shared" si="237"/>
        <v>0</v>
      </c>
      <c r="AJ1278" s="108">
        <f t="shared" si="238"/>
        <v>0</v>
      </c>
      <c r="AK1278" s="108">
        <f>IF($A1278="",0,IF(AND($S1278=1,$W1278=1,$X1278=1,$U1278&gt;Config!$C$9),1,0))</f>
        <v>0</v>
      </c>
      <c r="AL1278" s="108">
        <f t="shared" si="239"/>
        <v>0</v>
      </c>
    </row>
    <row r="1279" spans="19:38" x14ac:dyDescent="0.25">
      <c r="S1279" s="108" t="str">
        <f>IF($A1279="","",COUNTIF(BPOworkers!$B$6:$B$105,$A1279))</f>
        <v/>
      </c>
      <c r="T1279" s="109" t="str">
        <f>IF($A1279="","",$K1279*Config!$C$9)</f>
        <v/>
      </c>
      <c r="U1279" s="109" t="str">
        <f>IF($A1279="","",IF(COUNTIF(Config!$C$21:$C$23,$H1279)&gt;0,IFERROR(VALUE(LEFT(TRIM($Q1279),FIND(" ",TRIM($Q1279)&amp;" ")-1)),0),0))</f>
        <v/>
      </c>
      <c r="V1279" s="109" t="str">
        <f t="shared" si="228"/>
        <v/>
      </c>
      <c r="W1279" s="108">
        <f>IF($A1279="",0,IF(AND($C1279&gt;=Config!$C$7,$C1279&lt;=Config!$C$8),1,0))</f>
        <v>0</v>
      </c>
      <c r="X1279" s="108">
        <f>IF($A1279="",0,IF(COUNTIF(Config!$C$21:$C$23,$H1279)&gt;0,1,0))</f>
        <v>0</v>
      </c>
      <c r="Y1279" s="108">
        <f t="shared" si="229"/>
        <v>24</v>
      </c>
      <c r="Z1279" s="108" t="str">
        <f t="shared" si="230"/>
        <v/>
      </c>
      <c r="AB1279" s="108">
        <f t="shared" si="231"/>
        <v>0</v>
      </c>
      <c r="AC1279" s="108">
        <f>IF($A1279="",0,IF(AND($AB1279=1,COUNTIF($A$2:$A1279,$A1279)=1),1,0))</f>
        <v>0</v>
      </c>
      <c r="AD1279" s="108">
        <f t="shared" si="232"/>
        <v>1</v>
      </c>
      <c r="AE1279" s="108" t="str">
        <f t="shared" si="233"/>
        <v/>
      </c>
      <c r="AF1279" s="108">
        <f t="shared" si="234"/>
        <v>0</v>
      </c>
      <c r="AG1279" s="108">
        <f t="shared" si="235"/>
        <v>0</v>
      </c>
      <c r="AH1279" s="110" t="str">
        <f t="shared" si="236"/>
        <v/>
      </c>
      <c r="AI1279" s="108">
        <f t="shared" si="237"/>
        <v>0</v>
      </c>
      <c r="AJ1279" s="108">
        <f t="shared" si="238"/>
        <v>0</v>
      </c>
      <c r="AK1279" s="108">
        <f>IF($A1279="",0,IF(AND($S1279=1,$W1279=1,$X1279=1,$U1279&gt;Config!$C$9),1,0))</f>
        <v>0</v>
      </c>
      <c r="AL1279" s="108">
        <f t="shared" si="239"/>
        <v>0</v>
      </c>
    </row>
    <row r="1280" spans="19:38" x14ac:dyDescent="0.25">
      <c r="S1280" s="108" t="str">
        <f>IF($A1280="","",COUNTIF(BPOworkers!$B$6:$B$105,$A1280))</f>
        <v/>
      </c>
      <c r="T1280" s="109" t="str">
        <f>IF($A1280="","",$K1280*Config!$C$9)</f>
        <v/>
      </c>
      <c r="U1280" s="109" t="str">
        <f>IF($A1280="","",IF(COUNTIF(Config!$C$21:$C$23,$H1280)&gt;0,IFERROR(VALUE(LEFT(TRIM($Q1280),FIND(" ",TRIM($Q1280)&amp;" ")-1)),0),0))</f>
        <v/>
      </c>
      <c r="V1280" s="109" t="str">
        <f t="shared" si="228"/>
        <v/>
      </c>
      <c r="W1280" s="108">
        <f>IF($A1280="",0,IF(AND($C1280&gt;=Config!$C$7,$C1280&lt;=Config!$C$8),1,0))</f>
        <v>0</v>
      </c>
      <c r="X1280" s="108">
        <f>IF($A1280="",0,IF(COUNTIF(Config!$C$21:$C$23,$H1280)&gt;0,1,0))</f>
        <v>0</v>
      </c>
      <c r="Y1280" s="108">
        <f t="shared" si="229"/>
        <v>24</v>
      </c>
      <c r="Z1280" s="108" t="str">
        <f t="shared" si="230"/>
        <v/>
      </c>
      <c r="AB1280" s="108">
        <f t="shared" si="231"/>
        <v>0</v>
      </c>
      <c r="AC1280" s="108">
        <f>IF($A1280="",0,IF(AND($AB1280=1,COUNTIF($A$2:$A1280,$A1280)=1),1,0))</f>
        <v>0</v>
      </c>
      <c r="AD1280" s="108">
        <f t="shared" si="232"/>
        <v>1</v>
      </c>
      <c r="AE1280" s="108" t="str">
        <f t="shared" si="233"/>
        <v/>
      </c>
      <c r="AF1280" s="108">
        <f t="shared" si="234"/>
        <v>0</v>
      </c>
      <c r="AG1280" s="108">
        <f t="shared" si="235"/>
        <v>0</v>
      </c>
      <c r="AH1280" s="110" t="str">
        <f t="shared" si="236"/>
        <v/>
      </c>
      <c r="AI1280" s="108">
        <f t="shared" si="237"/>
        <v>0</v>
      </c>
      <c r="AJ1280" s="108">
        <f t="shared" si="238"/>
        <v>0</v>
      </c>
      <c r="AK1280" s="108">
        <f>IF($A1280="",0,IF(AND($S1280=1,$W1280=1,$X1280=1,$U1280&gt;Config!$C$9),1,0))</f>
        <v>0</v>
      </c>
      <c r="AL1280" s="108">
        <f t="shared" si="239"/>
        <v>0</v>
      </c>
    </row>
    <row r="1281" spans="19:38" x14ac:dyDescent="0.25">
      <c r="S1281" s="108" t="str">
        <f>IF($A1281="","",COUNTIF(BPOworkers!$B$6:$B$105,$A1281))</f>
        <v/>
      </c>
      <c r="T1281" s="109" t="str">
        <f>IF($A1281="","",$K1281*Config!$C$9)</f>
        <v/>
      </c>
      <c r="U1281" s="109" t="str">
        <f>IF($A1281="","",IF(COUNTIF(Config!$C$21:$C$23,$H1281)&gt;0,IFERROR(VALUE(LEFT(TRIM($Q1281),FIND(" ",TRIM($Q1281)&amp;" ")-1)),0),0))</f>
        <v/>
      </c>
      <c r="V1281" s="109" t="str">
        <f t="shared" si="228"/>
        <v/>
      </c>
      <c r="W1281" s="108">
        <f>IF($A1281="",0,IF(AND($C1281&gt;=Config!$C$7,$C1281&lt;=Config!$C$8),1,0))</f>
        <v>0</v>
      </c>
      <c r="X1281" s="108">
        <f>IF($A1281="",0,IF(COUNTIF(Config!$C$21:$C$23,$H1281)&gt;0,1,0))</f>
        <v>0</v>
      </c>
      <c r="Y1281" s="108">
        <f t="shared" si="229"/>
        <v>24</v>
      </c>
      <c r="Z1281" s="108" t="str">
        <f t="shared" si="230"/>
        <v/>
      </c>
      <c r="AB1281" s="108">
        <f t="shared" si="231"/>
        <v>0</v>
      </c>
      <c r="AC1281" s="108">
        <f>IF($A1281="",0,IF(AND($AB1281=1,COUNTIF($A$2:$A1281,$A1281)=1),1,0))</f>
        <v>0</v>
      </c>
      <c r="AD1281" s="108">
        <f t="shared" si="232"/>
        <v>1</v>
      </c>
      <c r="AE1281" s="108" t="str">
        <f t="shared" si="233"/>
        <v/>
      </c>
      <c r="AF1281" s="108">
        <f t="shared" si="234"/>
        <v>0</v>
      </c>
      <c r="AG1281" s="108">
        <f t="shared" si="235"/>
        <v>0</v>
      </c>
      <c r="AH1281" s="110" t="str">
        <f t="shared" si="236"/>
        <v/>
      </c>
      <c r="AI1281" s="108">
        <f t="shared" si="237"/>
        <v>0</v>
      </c>
      <c r="AJ1281" s="108">
        <f t="shared" si="238"/>
        <v>0</v>
      </c>
      <c r="AK1281" s="108">
        <f>IF($A1281="",0,IF(AND($S1281=1,$W1281=1,$X1281=1,$U1281&gt;Config!$C$9),1,0))</f>
        <v>0</v>
      </c>
      <c r="AL1281" s="108">
        <f t="shared" si="239"/>
        <v>0</v>
      </c>
    </row>
    <row r="1282" spans="19:38" x14ac:dyDescent="0.25">
      <c r="S1282" s="108" t="str">
        <f>IF($A1282="","",COUNTIF(BPOworkers!$B$6:$B$105,$A1282))</f>
        <v/>
      </c>
      <c r="T1282" s="109" t="str">
        <f>IF($A1282="","",$K1282*Config!$C$9)</f>
        <v/>
      </c>
      <c r="U1282" s="109" t="str">
        <f>IF($A1282="","",IF(COUNTIF(Config!$C$21:$C$23,$H1282)&gt;0,IFERROR(VALUE(LEFT(TRIM($Q1282),FIND(" ",TRIM($Q1282)&amp;" ")-1)),0),0))</f>
        <v/>
      </c>
      <c r="V1282" s="109" t="str">
        <f t="shared" ref="V1282:V1345" si="240">IF($A1282="","",$T1282+$U1282)</f>
        <v/>
      </c>
      <c r="W1282" s="108">
        <f>IF($A1282="",0,IF(AND($C1282&gt;=Config!$C$7,$C1282&lt;=Config!$C$8),1,0))</f>
        <v>0</v>
      </c>
      <c r="X1282" s="108">
        <f>IF($A1282="",0,IF(COUNTIF(Config!$C$21:$C$23,$H1282)&gt;0,1,0))</f>
        <v>0</v>
      </c>
      <c r="Y1282" s="108">
        <f t="shared" ref="Y1282:Y1345" si="241">IF($A1282="",MAX(0,Y1281),MAX(0,Y1281)+IF(AND($W1282=1,$X1282=1,$S1282=1),1,0))</f>
        <v>24</v>
      </c>
      <c r="Z1282" s="108" t="str">
        <f t="shared" ref="Z1282:Z1345" si="242">IF($A1282="","",IF(AND($W1282=1,$X1282=1,$S1282=1),$Y1282,""))</f>
        <v/>
      </c>
      <c r="AB1282" s="108">
        <f t="shared" ref="AB1282:AB1345" si="243">IF($A1282="",0,IF(AND($S1282=0,ISERROR(FIND(".",$A1282))),1,0))</f>
        <v>0</v>
      </c>
      <c r="AC1282" s="108">
        <f>IF($A1282="",0,IF(AND($AB1282=1,COUNTIF($A$2:$A1282,$A1282)=1),1,0))</f>
        <v>0</v>
      </c>
      <c r="AD1282" s="108">
        <f t="shared" ref="AD1282:AD1345" si="244">IF($A1282="",MAX(0,AD1281),MAX(0,AD1281)+$AC1282)</f>
        <v>1</v>
      </c>
      <c r="AE1282" s="108" t="str">
        <f t="shared" ref="AE1282:AE1345" si="245">IF($AC1282=1,$AD1282,"")</f>
        <v/>
      </c>
      <c r="AF1282" s="108">
        <f t="shared" ref="AF1282:AF1345" si="246">IF($A1282="",0,IFERROR(IF(AND($S1282=1,WEEKDAY($C1282,2)&gt;5),1,0),0))</f>
        <v>0</v>
      </c>
      <c r="AG1282" s="108">
        <f t="shared" ref="AG1282:AG1345" si="247">IF($A1282="",0,IF(AND($S1282=1,$W1282=0),1,0))</f>
        <v>0</v>
      </c>
      <c r="AH1282" s="110" t="str">
        <f t="shared" ref="AH1282:AH1345" si="248">IF($A1282="","",$A1282&amp;"|"&amp;TEXT($C1282,"yyyymmdd")&amp;"|"&amp;$H1282&amp;"|"&amp;TEXT($K1282,"0.000")&amp;"|"&amp;SUBSTITUTE(SUBSTITUTE(SUBSTITUTE(LEFT($Q1282,120),"~",""),"*",""),"?",""))</f>
        <v/>
      </c>
      <c r="AI1282" s="108">
        <f t="shared" ref="AI1282:AI1345" si="249">IF($A1282="",0,IF(AND($S1282=1,$W1282=1,COUNTIF($AH$2:$AH$1500,$AH1282)&gt;1),1,0))</f>
        <v>0</v>
      </c>
      <c r="AJ1282" s="108">
        <f t="shared" ref="AJ1282:AJ1345" si="250">IF($A1282="",0,IF(AND($S1282=1,$W1282=1,ABS($K1282*8-ROUND($K1282*8,0))&gt;0.0001),1,0))</f>
        <v>0</v>
      </c>
      <c r="AK1282" s="108">
        <f>IF($A1282="",0,IF(AND($S1282=1,$W1282=1,$X1282=1,$U1282&gt;Config!$C$9),1,0))</f>
        <v>0</v>
      </c>
      <c r="AL1282" s="108">
        <f t="shared" ref="AL1282:AL1345" si="251">IF($A1282="",0,IF(AND($S1282=1,$W1282=1,$X1282=1,$U1282=0),1,0))</f>
        <v>0</v>
      </c>
    </row>
    <row r="1283" spans="19:38" x14ac:dyDescent="0.25">
      <c r="S1283" s="108" t="str">
        <f>IF($A1283="","",COUNTIF(BPOworkers!$B$6:$B$105,$A1283))</f>
        <v/>
      </c>
      <c r="T1283" s="109" t="str">
        <f>IF($A1283="","",$K1283*Config!$C$9)</f>
        <v/>
      </c>
      <c r="U1283" s="109" t="str">
        <f>IF($A1283="","",IF(COUNTIF(Config!$C$21:$C$23,$H1283)&gt;0,IFERROR(VALUE(LEFT(TRIM($Q1283),FIND(" ",TRIM($Q1283)&amp;" ")-1)),0),0))</f>
        <v/>
      </c>
      <c r="V1283" s="109" t="str">
        <f t="shared" si="240"/>
        <v/>
      </c>
      <c r="W1283" s="108">
        <f>IF($A1283="",0,IF(AND($C1283&gt;=Config!$C$7,$C1283&lt;=Config!$C$8),1,0))</f>
        <v>0</v>
      </c>
      <c r="X1283" s="108">
        <f>IF($A1283="",0,IF(COUNTIF(Config!$C$21:$C$23,$H1283)&gt;0,1,0))</f>
        <v>0</v>
      </c>
      <c r="Y1283" s="108">
        <f t="shared" si="241"/>
        <v>24</v>
      </c>
      <c r="Z1283" s="108" t="str">
        <f t="shared" si="242"/>
        <v/>
      </c>
      <c r="AB1283" s="108">
        <f t="shared" si="243"/>
        <v>0</v>
      </c>
      <c r="AC1283" s="108">
        <f>IF($A1283="",0,IF(AND($AB1283=1,COUNTIF($A$2:$A1283,$A1283)=1),1,0))</f>
        <v>0</v>
      </c>
      <c r="AD1283" s="108">
        <f t="shared" si="244"/>
        <v>1</v>
      </c>
      <c r="AE1283" s="108" t="str">
        <f t="shared" si="245"/>
        <v/>
      </c>
      <c r="AF1283" s="108">
        <f t="shared" si="246"/>
        <v>0</v>
      </c>
      <c r="AG1283" s="108">
        <f t="shared" si="247"/>
        <v>0</v>
      </c>
      <c r="AH1283" s="110" t="str">
        <f t="shared" si="248"/>
        <v/>
      </c>
      <c r="AI1283" s="108">
        <f t="shared" si="249"/>
        <v>0</v>
      </c>
      <c r="AJ1283" s="108">
        <f t="shared" si="250"/>
        <v>0</v>
      </c>
      <c r="AK1283" s="108">
        <f>IF($A1283="",0,IF(AND($S1283=1,$W1283=1,$X1283=1,$U1283&gt;Config!$C$9),1,0))</f>
        <v>0</v>
      </c>
      <c r="AL1283" s="108">
        <f t="shared" si="251"/>
        <v>0</v>
      </c>
    </row>
    <row r="1284" spans="19:38" x14ac:dyDescent="0.25">
      <c r="S1284" s="108" t="str">
        <f>IF($A1284="","",COUNTIF(BPOworkers!$B$6:$B$105,$A1284))</f>
        <v/>
      </c>
      <c r="T1284" s="109" t="str">
        <f>IF($A1284="","",$K1284*Config!$C$9)</f>
        <v/>
      </c>
      <c r="U1284" s="109" t="str">
        <f>IF($A1284="","",IF(COUNTIF(Config!$C$21:$C$23,$H1284)&gt;0,IFERROR(VALUE(LEFT(TRIM($Q1284),FIND(" ",TRIM($Q1284)&amp;" ")-1)),0),0))</f>
        <v/>
      </c>
      <c r="V1284" s="109" t="str">
        <f t="shared" si="240"/>
        <v/>
      </c>
      <c r="W1284" s="108">
        <f>IF($A1284="",0,IF(AND($C1284&gt;=Config!$C$7,$C1284&lt;=Config!$C$8),1,0))</f>
        <v>0</v>
      </c>
      <c r="X1284" s="108">
        <f>IF($A1284="",0,IF(COUNTIF(Config!$C$21:$C$23,$H1284)&gt;0,1,0))</f>
        <v>0</v>
      </c>
      <c r="Y1284" s="108">
        <f t="shared" si="241"/>
        <v>24</v>
      </c>
      <c r="Z1284" s="108" t="str">
        <f t="shared" si="242"/>
        <v/>
      </c>
      <c r="AB1284" s="108">
        <f t="shared" si="243"/>
        <v>0</v>
      </c>
      <c r="AC1284" s="108">
        <f>IF($A1284="",0,IF(AND($AB1284=1,COUNTIF($A$2:$A1284,$A1284)=1),1,0))</f>
        <v>0</v>
      </c>
      <c r="AD1284" s="108">
        <f t="shared" si="244"/>
        <v>1</v>
      </c>
      <c r="AE1284" s="108" t="str">
        <f t="shared" si="245"/>
        <v/>
      </c>
      <c r="AF1284" s="108">
        <f t="shared" si="246"/>
        <v>0</v>
      </c>
      <c r="AG1284" s="108">
        <f t="shared" si="247"/>
        <v>0</v>
      </c>
      <c r="AH1284" s="110" t="str">
        <f t="shared" si="248"/>
        <v/>
      </c>
      <c r="AI1284" s="108">
        <f t="shared" si="249"/>
        <v>0</v>
      </c>
      <c r="AJ1284" s="108">
        <f t="shared" si="250"/>
        <v>0</v>
      </c>
      <c r="AK1284" s="108">
        <f>IF($A1284="",0,IF(AND($S1284=1,$W1284=1,$X1284=1,$U1284&gt;Config!$C$9),1,0))</f>
        <v>0</v>
      </c>
      <c r="AL1284" s="108">
        <f t="shared" si="251"/>
        <v>0</v>
      </c>
    </row>
    <row r="1285" spans="19:38" x14ac:dyDescent="0.25">
      <c r="S1285" s="108" t="str">
        <f>IF($A1285="","",COUNTIF(BPOworkers!$B$6:$B$105,$A1285))</f>
        <v/>
      </c>
      <c r="T1285" s="109" t="str">
        <f>IF($A1285="","",$K1285*Config!$C$9)</f>
        <v/>
      </c>
      <c r="U1285" s="109" t="str">
        <f>IF($A1285="","",IF(COUNTIF(Config!$C$21:$C$23,$H1285)&gt;0,IFERROR(VALUE(LEFT(TRIM($Q1285),FIND(" ",TRIM($Q1285)&amp;" ")-1)),0),0))</f>
        <v/>
      </c>
      <c r="V1285" s="109" t="str">
        <f t="shared" si="240"/>
        <v/>
      </c>
      <c r="W1285" s="108">
        <f>IF($A1285="",0,IF(AND($C1285&gt;=Config!$C$7,$C1285&lt;=Config!$C$8),1,0))</f>
        <v>0</v>
      </c>
      <c r="X1285" s="108">
        <f>IF($A1285="",0,IF(COUNTIF(Config!$C$21:$C$23,$H1285)&gt;0,1,0))</f>
        <v>0</v>
      </c>
      <c r="Y1285" s="108">
        <f t="shared" si="241"/>
        <v>24</v>
      </c>
      <c r="Z1285" s="108" t="str">
        <f t="shared" si="242"/>
        <v/>
      </c>
      <c r="AB1285" s="108">
        <f t="shared" si="243"/>
        <v>0</v>
      </c>
      <c r="AC1285" s="108">
        <f>IF($A1285="",0,IF(AND($AB1285=1,COUNTIF($A$2:$A1285,$A1285)=1),1,0))</f>
        <v>0</v>
      </c>
      <c r="AD1285" s="108">
        <f t="shared" si="244"/>
        <v>1</v>
      </c>
      <c r="AE1285" s="108" t="str">
        <f t="shared" si="245"/>
        <v/>
      </c>
      <c r="AF1285" s="108">
        <f t="shared" si="246"/>
        <v>0</v>
      </c>
      <c r="AG1285" s="108">
        <f t="shared" si="247"/>
        <v>0</v>
      </c>
      <c r="AH1285" s="110" t="str">
        <f t="shared" si="248"/>
        <v/>
      </c>
      <c r="AI1285" s="108">
        <f t="shared" si="249"/>
        <v>0</v>
      </c>
      <c r="AJ1285" s="108">
        <f t="shared" si="250"/>
        <v>0</v>
      </c>
      <c r="AK1285" s="108">
        <f>IF($A1285="",0,IF(AND($S1285=1,$W1285=1,$X1285=1,$U1285&gt;Config!$C$9),1,0))</f>
        <v>0</v>
      </c>
      <c r="AL1285" s="108">
        <f t="shared" si="251"/>
        <v>0</v>
      </c>
    </row>
    <row r="1286" spans="19:38" x14ac:dyDescent="0.25">
      <c r="S1286" s="108" t="str">
        <f>IF($A1286="","",COUNTIF(BPOworkers!$B$6:$B$105,$A1286))</f>
        <v/>
      </c>
      <c r="T1286" s="109" t="str">
        <f>IF($A1286="","",$K1286*Config!$C$9)</f>
        <v/>
      </c>
      <c r="U1286" s="109" t="str">
        <f>IF($A1286="","",IF(COUNTIF(Config!$C$21:$C$23,$H1286)&gt;0,IFERROR(VALUE(LEFT(TRIM($Q1286),FIND(" ",TRIM($Q1286)&amp;" ")-1)),0),0))</f>
        <v/>
      </c>
      <c r="V1286" s="109" t="str">
        <f t="shared" si="240"/>
        <v/>
      </c>
      <c r="W1286" s="108">
        <f>IF($A1286="",0,IF(AND($C1286&gt;=Config!$C$7,$C1286&lt;=Config!$C$8),1,0))</f>
        <v>0</v>
      </c>
      <c r="X1286" s="108">
        <f>IF($A1286="",0,IF(COUNTIF(Config!$C$21:$C$23,$H1286)&gt;0,1,0))</f>
        <v>0</v>
      </c>
      <c r="Y1286" s="108">
        <f t="shared" si="241"/>
        <v>24</v>
      </c>
      <c r="Z1286" s="108" t="str">
        <f t="shared" si="242"/>
        <v/>
      </c>
      <c r="AB1286" s="108">
        <f t="shared" si="243"/>
        <v>0</v>
      </c>
      <c r="AC1286" s="108">
        <f>IF($A1286="",0,IF(AND($AB1286=1,COUNTIF($A$2:$A1286,$A1286)=1),1,0))</f>
        <v>0</v>
      </c>
      <c r="AD1286" s="108">
        <f t="shared" si="244"/>
        <v>1</v>
      </c>
      <c r="AE1286" s="108" t="str">
        <f t="shared" si="245"/>
        <v/>
      </c>
      <c r="AF1286" s="108">
        <f t="shared" si="246"/>
        <v>0</v>
      </c>
      <c r="AG1286" s="108">
        <f t="shared" si="247"/>
        <v>0</v>
      </c>
      <c r="AH1286" s="110" t="str">
        <f t="shared" si="248"/>
        <v/>
      </c>
      <c r="AI1286" s="108">
        <f t="shared" si="249"/>
        <v>0</v>
      </c>
      <c r="AJ1286" s="108">
        <f t="shared" si="250"/>
        <v>0</v>
      </c>
      <c r="AK1286" s="108">
        <f>IF($A1286="",0,IF(AND($S1286=1,$W1286=1,$X1286=1,$U1286&gt;Config!$C$9),1,0))</f>
        <v>0</v>
      </c>
      <c r="AL1286" s="108">
        <f t="shared" si="251"/>
        <v>0</v>
      </c>
    </row>
    <row r="1287" spans="19:38" x14ac:dyDescent="0.25">
      <c r="S1287" s="108" t="str">
        <f>IF($A1287="","",COUNTIF(BPOworkers!$B$6:$B$105,$A1287))</f>
        <v/>
      </c>
      <c r="T1287" s="109" t="str">
        <f>IF($A1287="","",$K1287*Config!$C$9)</f>
        <v/>
      </c>
      <c r="U1287" s="109" t="str">
        <f>IF($A1287="","",IF(COUNTIF(Config!$C$21:$C$23,$H1287)&gt;0,IFERROR(VALUE(LEFT(TRIM($Q1287),FIND(" ",TRIM($Q1287)&amp;" ")-1)),0),0))</f>
        <v/>
      </c>
      <c r="V1287" s="109" t="str">
        <f t="shared" si="240"/>
        <v/>
      </c>
      <c r="W1287" s="108">
        <f>IF($A1287="",0,IF(AND($C1287&gt;=Config!$C$7,$C1287&lt;=Config!$C$8),1,0))</f>
        <v>0</v>
      </c>
      <c r="X1287" s="108">
        <f>IF($A1287="",0,IF(COUNTIF(Config!$C$21:$C$23,$H1287)&gt;0,1,0))</f>
        <v>0</v>
      </c>
      <c r="Y1287" s="108">
        <f t="shared" si="241"/>
        <v>24</v>
      </c>
      <c r="Z1287" s="108" t="str">
        <f t="shared" si="242"/>
        <v/>
      </c>
      <c r="AB1287" s="108">
        <f t="shared" si="243"/>
        <v>0</v>
      </c>
      <c r="AC1287" s="108">
        <f>IF($A1287="",0,IF(AND($AB1287=1,COUNTIF($A$2:$A1287,$A1287)=1),1,0))</f>
        <v>0</v>
      </c>
      <c r="AD1287" s="108">
        <f t="shared" si="244"/>
        <v>1</v>
      </c>
      <c r="AE1287" s="108" t="str">
        <f t="shared" si="245"/>
        <v/>
      </c>
      <c r="AF1287" s="108">
        <f t="shared" si="246"/>
        <v>0</v>
      </c>
      <c r="AG1287" s="108">
        <f t="shared" si="247"/>
        <v>0</v>
      </c>
      <c r="AH1287" s="110" t="str">
        <f t="shared" si="248"/>
        <v/>
      </c>
      <c r="AI1287" s="108">
        <f t="shared" si="249"/>
        <v>0</v>
      </c>
      <c r="AJ1287" s="108">
        <f t="shared" si="250"/>
        <v>0</v>
      </c>
      <c r="AK1287" s="108">
        <f>IF($A1287="",0,IF(AND($S1287=1,$W1287=1,$X1287=1,$U1287&gt;Config!$C$9),1,0))</f>
        <v>0</v>
      </c>
      <c r="AL1287" s="108">
        <f t="shared" si="251"/>
        <v>0</v>
      </c>
    </row>
    <row r="1288" spans="19:38" x14ac:dyDescent="0.25">
      <c r="S1288" s="108" t="str">
        <f>IF($A1288="","",COUNTIF(BPOworkers!$B$6:$B$105,$A1288))</f>
        <v/>
      </c>
      <c r="T1288" s="109" t="str">
        <f>IF($A1288="","",$K1288*Config!$C$9)</f>
        <v/>
      </c>
      <c r="U1288" s="109" t="str">
        <f>IF($A1288="","",IF(COUNTIF(Config!$C$21:$C$23,$H1288)&gt;0,IFERROR(VALUE(LEFT(TRIM($Q1288),FIND(" ",TRIM($Q1288)&amp;" ")-1)),0),0))</f>
        <v/>
      </c>
      <c r="V1288" s="109" t="str">
        <f t="shared" si="240"/>
        <v/>
      </c>
      <c r="W1288" s="108">
        <f>IF($A1288="",0,IF(AND($C1288&gt;=Config!$C$7,$C1288&lt;=Config!$C$8),1,0))</f>
        <v>0</v>
      </c>
      <c r="X1288" s="108">
        <f>IF($A1288="",0,IF(COUNTIF(Config!$C$21:$C$23,$H1288)&gt;0,1,0))</f>
        <v>0</v>
      </c>
      <c r="Y1288" s="108">
        <f t="shared" si="241"/>
        <v>24</v>
      </c>
      <c r="Z1288" s="108" t="str">
        <f t="shared" si="242"/>
        <v/>
      </c>
      <c r="AB1288" s="108">
        <f t="shared" si="243"/>
        <v>0</v>
      </c>
      <c r="AC1288" s="108">
        <f>IF($A1288="",0,IF(AND($AB1288=1,COUNTIF($A$2:$A1288,$A1288)=1),1,0))</f>
        <v>0</v>
      </c>
      <c r="AD1288" s="108">
        <f t="shared" si="244"/>
        <v>1</v>
      </c>
      <c r="AE1288" s="108" t="str">
        <f t="shared" si="245"/>
        <v/>
      </c>
      <c r="AF1288" s="108">
        <f t="shared" si="246"/>
        <v>0</v>
      </c>
      <c r="AG1288" s="108">
        <f t="shared" si="247"/>
        <v>0</v>
      </c>
      <c r="AH1288" s="110" t="str">
        <f t="shared" si="248"/>
        <v/>
      </c>
      <c r="AI1288" s="108">
        <f t="shared" si="249"/>
        <v>0</v>
      </c>
      <c r="AJ1288" s="108">
        <f t="shared" si="250"/>
        <v>0</v>
      </c>
      <c r="AK1288" s="108">
        <f>IF($A1288="",0,IF(AND($S1288=1,$W1288=1,$X1288=1,$U1288&gt;Config!$C$9),1,0))</f>
        <v>0</v>
      </c>
      <c r="AL1288" s="108">
        <f t="shared" si="251"/>
        <v>0</v>
      </c>
    </row>
    <row r="1289" spans="19:38" x14ac:dyDescent="0.25">
      <c r="S1289" s="108" t="str">
        <f>IF($A1289="","",COUNTIF(BPOworkers!$B$6:$B$105,$A1289))</f>
        <v/>
      </c>
      <c r="T1289" s="109" t="str">
        <f>IF($A1289="","",$K1289*Config!$C$9)</f>
        <v/>
      </c>
      <c r="U1289" s="109" t="str">
        <f>IF($A1289="","",IF(COUNTIF(Config!$C$21:$C$23,$H1289)&gt;0,IFERROR(VALUE(LEFT(TRIM($Q1289),FIND(" ",TRIM($Q1289)&amp;" ")-1)),0),0))</f>
        <v/>
      </c>
      <c r="V1289" s="109" t="str">
        <f t="shared" si="240"/>
        <v/>
      </c>
      <c r="W1289" s="108">
        <f>IF($A1289="",0,IF(AND($C1289&gt;=Config!$C$7,$C1289&lt;=Config!$C$8),1,0))</f>
        <v>0</v>
      </c>
      <c r="X1289" s="108">
        <f>IF($A1289="",0,IF(COUNTIF(Config!$C$21:$C$23,$H1289)&gt;0,1,0))</f>
        <v>0</v>
      </c>
      <c r="Y1289" s="108">
        <f t="shared" si="241"/>
        <v>24</v>
      </c>
      <c r="Z1289" s="108" t="str">
        <f t="shared" si="242"/>
        <v/>
      </c>
      <c r="AB1289" s="108">
        <f t="shared" si="243"/>
        <v>0</v>
      </c>
      <c r="AC1289" s="108">
        <f>IF($A1289="",0,IF(AND($AB1289=1,COUNTIF($A$2:$A1289,$A1289)=1),1,0))</f>
        <v>0</v>
      </c>
      <c r="AD1289" s="108">
        <f t="shared" si="244"/>
        <v>1</v>
      </c>
      <c r="AE1289" s="108" t="str">
        <f t="shared" si="245"/>
        <v/>
      </c>
      <c r="AF1289" s="108">
        <f t="shared" si="246"/>
        <v>0</v>
      </c>
      <c r="AG1289" s="108">
        <f t="shared" si="247"/>
        <v>0</v>
      </c>
      <c r="AH1289" s="110" t="str">
        <f t="shared" si="248"/>
        <v/>
      </c>
      <c r="AI1289" s="108">
        <f t="shared" si="249"/>
        <v>0</v>
      </c>
      <c r="AJ1289" s="108">
        <f t="shared" si="250"/>
        <v>0</v>
      </c>
      <c r="AK1289" s="108">
        <f>IF($A1289="",0,IF(AND($S1289=1,$W1289=1,$X1289=1,$U1289&gt;Config!$C$9),1,0))</f>
        <v>0</v>
      </c>
      <c r="AL1289" s="108">
        <f t="shared" si="251"/>
        <v>0</v>
      </c>
    </row>
    <row r="1290" spans="19:38" x14ac:dyDescent="0.25">
      <c r="S1290" s="108" t="str">
        <f>IF($A1290="","",COUNTIF(BPOworkers!$B$6:$B$105,$A1290))</f>
        <v/>
      </c>
      <c r="T1290" s="109" t="str">
        <f>IF($A1290="","",$K1290*Config!$C$9)</f>
        <v/>
      </c>
      <c r="U1290" s="109" t="str">
        <f>IF($A1290="","",IF(COUNTIF(Config!$C$21:$C$23,$H1290)&gt;0,IFERROR(VALUE(LEFT(TRIM($Q1290),FIND(" ",TRIM($Q1290)&amp;" ")-1)),0),0))</f>
        <v/>
      </c>
      <c r="V1290" s="109" t="str">
        <f t="shared" si="240"/>
        <v/>
      </c>
      <c r="W1290" s="108">
        <f>IF($A1290="",0,IF(AND($C1290&gt;=Config!$C$7,$C1290&lt;=Config!$C$8),1,0))</f>
        <v>0</v>
      </c>
      <c r="X1290" s="108">
        <f>IF($A1290="",0,IF(COUNTIF(Config!$C$21:$C$23,$H1290)&gt;0,1,0))</f>
        <v>0</v>
      </c>
      <c r="Y1290" s="108">
        <f t="shared" si="241"/>
        <v>24</v>
      </c>
      <c r="Z1290" s="108" t="str">
        <f t="shared" si="242"/>
        <v/>
      </c>
      <c r="AB1290" s="108">
        <f t="shared" si="243"/>
        <v>0</v>
      </c>
      <c r="AC1290" s="108">
        <f>IF($A1290="",0,IF(AND($AB1290=1,COUNTIF($A$2:$A1290,$A1290)=1),1,0))</f>
        <v>0</v>
      </c>
      <c r="AD1290" s="108">
        <f t="shared" si="244"/>
        <v>1</v>
      </c>
      <c r="AE1290" s="108" t="str">
        <f t="shared" si="245"/>
        <v/>
      </c>
      <c r="AF1290" s="108">
        <f t="shared" si="246"/>
        <v>0</v>
      </c>
      <c r="AG1290" s="108">
        <f t="shared" si="247"/>
        <v>0</v>
      </c>
      <c r="AH1290" s="110" t="str">
        <f t="shared" si="248"/>
        <v/>
      </c>
      <c r="AI1290" s="108">
        <f t="shared" si="249"/>
        <v>0</v>
      </c>
      <c r="AJ1290" s="108">
        <f t="shared" si="250"/>
        <v>0</v>
      </c>
      <c r="AK1290" s="108">
        <f>IF($A1290="",0,IF(AND($S1290=1,$W1290=1,$X1290=1,$U1290&gt;Config!$C$9),1,0))</f>
        <v>0</v>
      </c>
      <c r="AL1290" s="108">
        <f t="shared" si="251"/>
        <v>0</v>
      </c>
    </row>
    <row r="1291" spans="19:38" x14ac:dyDescent="0.25">
      <c r="S1291" s="108" t="str">
        <f>IF($A1291="","",COUNTIF(BPOworkers!$B$6:$B$105,$A1291))</f>
        <v/>
      </c>
      <c r="T1291" s="109" t="str">
        <f>IF($A1291="","",$K1291*Config!$C$9)</f>
        <v/>
      </c>
      <c r="U1291" s="109" t="str">
        <f>IF($A1291="","",IF(COUNTIF(Config!$C$21:$C$23,$H1291)&gt;0,IFERROR(VALUE(LEFT(TRIM($Q1291),FIND(" ",TRIM($Q1291)&amp;" ")-1)),0),0))</f>
        <v/>
      </c>
      <c r="V1291" s="109" t="str">
        <f t="shared" si="240"/>
        <v/>
      </c>
      <c r="W1291" s="108">
        <f>IF($A1291="",0,IF(AND($C1291&gt;=Config!$C$7,$C1291&lt;=Config!$C$8),1,0))</f>
        <v>0</v>
      </c>
      <c r="X1291" s="108">
        <f>IF($A1291="",0,IF(COUNTIF(Config!$C$21:$C$23,$H1291)&gt;0,1,0))</f>
        <v>0</v>
      </c>
      <c r="Y1291" s="108">
        <f t="shared" si="241"/>
        <v>24</v>
      </c>
      <c r="Z1291" s="108" t="str">
        <f t="shared" si="242"/>
        <v/>
      </c>
      <c r="AB1291" s="108">
        <f t="shared" si="243"/>
        <v>0</v>
      </c>
      <c r="AC1291" s="108">
        <f>IF($A1291="",0,IF(AND($AB1291=1,COUNTIF($A$2:$A1291,$A1291)=1),1,0))</f>
        <v>0</v>
      </c>
      <c r="AD1291" s="108">
        <f t="shared" si="244"/>
        <v>1</v>
      </c>
      <c r="AE1291" s="108" t="str">
        <f t="shared" si="245"/>
        <v/>
      </c>
      <c r="AF1291" s="108">
        <f t="shared" si="246"/>
        <v>0</v>
      </c>
      <c r="AG1291" s="108">
        <f t="shared" si="247"/>
        <v>0</v>
      </c>
      <c r="AH1291" s="110" t="str">
        <f t="shared" si="248"/>
        <v/>
      </c>
      <c r="AI1291" s="108">
        <f t="shared" si="249"/>
        <v>0</v>
      </c>
      <c r="AJ1291" s="108">
        <f t="shared" si="250"/>
        <v>0</v>
      </c>
      <c r="AK1291" s="108">
        <f>IF($A1291="",0,IF(AND($S1291=1,$W1291=1,$X1291=1,$U1291&gt;Config!$C$9),1,0))</f>
        <v>0</v>
      </c>
      <c r="AL1291" s="108">
        <f t="shared" si="251"/>
        <v>0</v>
      </c>
    </row>
    <row r="1292" spans="19:38" x14ac:dyDescent="0.25">
      <c r="S1292" s="108" t="str">
        <f>IF($A1292="","",COUNTIF(BPOworkers!$B$6:$B$105,$A1292))</f>
        <v/>
      </c>
      <c r="T1292" s="109" t="str">
        <f>IF($A1292="","",$K1292*Config!$C$9)</f>
        <v/>
      </c>
      <c r="U1292" s="109" t="str">
        <f>IF($A1292="","",IF(COUNTIF(Config!$C$21:$C$23,$H1292)&gt;0,IFERROR(VALUE(LEFT(TRIM($Q1292),FIND(" ",TRIM($Q1292)&amp;" ")-1)),0),0))</f>
        <v/>
      </c>
      <c r="V1292" s="109" t="str">
        <f t="shared" si="240"/>
        <v/>
      </c>
      <c r="W1292" s="108">
        <f>IF($A1292="",0,IF(AND($C1292&gt;=Config!$C$7,$C1292&lt;=Config!$C$8),1,0))</f>
        <v>0</v>
      </c>
      <c r="X1292" s="108">
        <f>IF($A1292="",0,IF(COUNTIF(Config!$C$21:$C$23,$H1292)&gt;0,1,0))</f>
        <v>0</v>
      </c>
      <c r="Y1292" s="108">
        <f t="shared" si="241"/>
        <v>24</v>
      </c>
      <c r="Z1292" s="108" t="str">
        <f t="shared" si="242"/>
        <v/>
      </c>
      <c r="AB1292" s="108">
        <f t="shared" si="243"/>
        <v>0</v>
      </c>
      <c r="AC1292" s="108">
        <f>IF($A1292="",0,IF(AND($AB1292=1,COUNTIF($A$2:$A1292,$A1292)=1),1,0))</f>
        <v>0</v>
      </c>
      <c r="AD1292" s="108">
        <f t="shared" si="244"/>
        <v>1</v>
      </c>
      <c r="AE1292" s="108" t="str">
        <f t="shared" si="245"/>
        <v/>
      </c>
      <c r="AF1292" s="108">
        <f t="shared" si="246"/>
        <v>0</v>
      </c>
      <c r="AG1292" s="108">
        <f t="shared" si="247"/>
        <v>0</v>
      </c>
      <c r="AH1292" s="110" t="str">
        <f t="shared" si="248"/>
        <v/>
      </c>
      <c r="AI1292" s="108">
        <f t="shared" si="249"/>
        <v>0</v>
      </c>
      <c r="AJ1292" s="108">
        <f t="shared" si="250"/>
        <v>0</v>
      </c>
      <c r="AK1292" s="108">
        <f>IF($A1292="",0,IF(AND($S1292=1,$W1292=1,$X1292=1,$U1292&gt;Config!$C$9),1,0))</f>
        <v>0</v>
      </c>
      <c r="AL1292" s="108">
        <f t="shared" si="251"/>
        <v>0</v>
      </c>
    </row>
    <row r="1293" spans="19:38" x14ac:dyDescent="0.25">
      <c r="S1293" s="108" t="str">
        <f>IF($A1293="","",COUNTIF(BPOworkers!$B$6:$B$105,$A1293))</f>
        <v/>
      </c>
      <c r="T1293" s="109" t="str">
        <f>IF($A1293="","",$K1293*Config!$C$9)</f>
        <v/>
      </c>
      <c r="U1293" s="109" t="str">
        <f>IF($A1293="","",IF(COUNTIF(Config!$C$21:$C$23,$H1293)&gt;0,IFERROR(VALUE(LEFT(TRIM($Q1293),FIND(" ",TRIM($Q1293)&amp;" ")-1)),0),0))</f>
        <v/>
      </c>
      <c r="V1293" s="109" t="str">
        <f t="shared" si="240"/>
        <v/>
      </c>
      <c r="W1293" s="108">
        <f>IF($A1293="",0,IF(AND($C1293&gt;=Config!$C$7,$C1293&lt;=Config!$C$8),1,0))</f>
        <v>0</v>
      </c>
      <c r="X1293" s="108">
        <f>IF($A1293="",0,IF(COUNTIF(Config!$C$21:$C$23,$H1293)&gt;0,1,0))</f>
        <v>0</v>
      </c>
      <c r="Y1293" s="108">
        <f t="shared" si="241"/>
        <v>24</v>
      </c>
      <c r="Z1293" s="108" t="str">
        <f t="shared" si="242"/>
        <v/>
      </c>
      <c r="AB1293" s="108">
        <f t="shared" si="243"/>
        <v>0</v>
      </c>
      <c r="AC1293" s="108">
        <f>IF($A1293="",0,IF(AND($AB1293=1,COUNTIF($A$2:$A1293,$A1293)=1),1,0))</f>
        <v>0</v>
      </c>
      <c r="AD1293" s="108">
        <f t="shared" si="244"/>
        <v>1</v>
      </c>
      <c r="AE1293" s="108" t="str">
        <f t="shared" si="245"/>
        <v/>
      </c>
      <c r="AF1293" s="108">
        <f t="shared" si="246"/>
        <v>0</v>
      </c>
      <c r="AG1293" s="108">
        <f t="shared" si="247"/>
        <v>0</v>
      </c>
      <c r="AH1293" s="110" t="str">
        <f t="shared" si="248"/>
        <v/>
      </c>
      <c r="AI1293" s="108">
        <f t="shared" si="249"/>
        <v>0</v>
      </c>
      <c r="AJ1293" s="108">
        <f t="shared" si="250"/>
        <v>0</v>
      </c>
      <c r="AK1293" s="108">
        <f>IF($A1293="",0,IF(AND($S1293=1,$W1293=1,$X1293=1,$U1293&gt;Config!$C$9),1,0))</f>
        <v>0</v>
      </c>
      <c r="AL1293" s="108">
        <f t="shared" si="251"/>
        <v>0</v>
      </c>
    </row>
    <row r="1294" spans="19:38" x14ac:dyDescent="0.25">
      <c r="S1294" s="108" t="str">
        <f>IF($A1294="","",COUNTIF(BPOworkers!$B$6:$B$105,$A1294))</f>
        <v/>
      </c>
      <c r="T1294" s="109" t="str">
        <f>IF($A1294="","",$K1294*Config!$C$9)</f>
        <v/>
      </c>
      <c r="U1294" s="109" t="str">
        <f>IF($A1294="","",IF(COUNTIF(Config!$C$21:$C$23,$H1294)&gt;0,IFERROR(VALUE(LEFT(TRIM($Q1294),FIND(" ",TRIM($Q1294)&amp;" ")-1)),0),0))</f>
        <v/>
      </c>
      <c r="V1294" s="109" t="str">
        <f t="shared" si="240"/>
        <v/>
      </c>
      <c r="W1294" s="108">
        <f>IF($A1294="",0,IF(AND($C1294&gt;=Config!$C$7,$C1294&lt;=Config!$C$8),1,0))</f>
        <v>0</v>
      </c>
      <c r="X1294" s="108">
        <f>IF($A1294="",0,IF(COUNTIF(Config!$C$21:$C$23,$H1294)&gt;0,1,0))</f>
        <v>0</v>
      </c>
      <c r="Y1294" s="108">
        <f t="shared" si="241"/>
        <v>24</v>
      </c>
      <c r="Z1294" s="108" t="str">
        <f t="shared" si="242"/>
        <v/>
      </c>
      <c r="AB1294" s="108">
        <f t="shared" si="243"/>
        <v>0</v>
      </c>
      <c r="AC1294" s="108">
        <f>IF($A1294="",0,IF(AND($AB1294=1,COUNTIF($A$2:$A1294,$A1294)=1),1,0))</f>
        <v>0</v>
      </c>
      <c r="AD1294" s="108">
        <f t="shared" si="244"/>
        <v>1</v>
      </c>
      <c r="AE1294" s="108" t="str">
        <f t="shared" si="245"/>
        <v/>
      </c>
      <c r="AF1294" s="108">
        <f t="shared" si="246"/>
        <v>0</v>
      </c>
      <c r="AG1294" s="108">
        <f t="shared" si="247"/>
        <v>0</v>
      </c>
      <c r="AH1294" s="110" t="str">
        <f t="shared" si="248"/>
        <v/>
      </c>
      <c r="AI1294" s="108">
        <f t="shared" si="249"/>
        <v>0</v>
      </c>
      <c r="AJ1294" s="108">
        <f t="shared" si="250"/>
        <v>0</v>
      </c>
      <c r="AK1294" s="108">
        <f>IF($A1294="",0,IF(AND($S1294=1,$W1294=1,$X1294=1,$U1294&gt;Config!$C$9),1,0))</f>
        <v>0</v>
      </c>
      <c r="AL1294" s="108">
        <f t="shared" si="251"/>
        <v>0</v>
      </c>
    </row>
    <row r="1295" spans="19:38" x14ac:dyDescent="0.25">
      <c r="S1295" s="108" t="str">
        <f>IF($A1295="","",COUNTIF(BPOworkers!$B$6:$B$105,$A1295))</f>
        <v/>
      </c>
      <c r="T1295" s="109" t="str">
        <f>IF($A1295="","",$K1295*Config!$C$9)</f>
        <v/>
      </c>
      <c r="U1295" s="109" t="str">
        <f>IF($A1295="","",IF(COUNTIF(Config!$C$21:$C$23,$H1295)&gt;0,IFERROR(VALUE(LEFT(TRIM($Q1295),FIND(" ",TRIM($Q1295)&amp;" ")-1)),0),0))</f>
        <v/>
      </c>
      <c r="V1295" s="109" t="str">
        <f t="shared" si="240"/>
        <v/>
      </c>
      <c r="W1295" s="108">
        <f>IF($A1295="",0,IF(AND($C1295&gt;=Config!$C$7,$C1295&lt;=Config!$C$8),1,0))</f>
        <v>0</v>
      </c>
      <c r="X1295" s="108">
        <f>IF($A1295="",0,IF(COUNTIF(Config!$C$21:$C$23,$H1295)&gt;0,1,0))</f>
        <v>0</v>
      </c>
      <c r="Y1295" s="108">
        <f t="shared" si="241"/>
        <v>24</v>
      </c>
      <c r="Z1295" s="108" t="str">
        <f t="shared" si="242"/>
        <v/>
      </c>
      <c r="AB1295" s="108">
        <f t="shared" si="243"/>
        <v>0</v>
      </c>
      <c r="AC1295" s="108">
        <f>IF($A1295="",0,IF(AND($AB1295=1,COUNTIF($A$2:$A1295,$A1295)=1),1,0))</f>
        <v>0</v>
      </c>
      <c r="AD1295" s="108">
        <f t="shared" si="244"/>
        <v>1</v>
      </c>
      <c r="AE1295" s="108" t="str">
        <f t="shared" si="245"/>
        <v/>
      </c>
      <c r="AF1295" s="108">
        <f t="shared" si="246"/>
        <v>0</v>
      </c>
      <c r="AG1295" s="108">
        <f t="shared" si="247"/>
        <v>0</v>
      </c>
      <c r="AH1295" s="110" t="str">
        <f t="shared" si="248"/>
        <v/>
      </c>
      <c r="AI1295" s="108">
        <f t="shared" si="249"/>
        <v>0</v>
      </c>
      <c r="AJ1295" s="108">
        <f t="shared" si="250"/>
        <v>0</v>
      </c>
      <c r="AK1295" s="108">
        <f>IF($A1295="",0,IF(AND($S1295=1,$W1295=1,$X1295=1,$U1295&gt;Config!$C$9),1,0))</f>
        <v>0</v>
      </c>
      <c r="AL1295" s="108">
        <f t="shared" si="251"/>
        <v>0</v>
      </c>
    </row>
    <row r="1296" spans="19:38" x14ac:dyDescent="0.25">
      <c r="S1296" s="108" t="str">
        <f>IF($A1296="","",COUNTIF(BPOworkers!$B$6:$B$105,$A1296))</f>
        <v/>
      </c>
      <c r="T1296" s="109" t="str">
        <f>IF($A1296="","",$K1296*Config!$C$9)</f>
        <v/>
      </c>
      <c r="U1296" s="109" t="str">
        <f>IF($A1296="","",IF(COUNTIF(Config!$C$21:$C$23,$H1296)&gt;0,IFERROR(VALUE(LEFT(TRIM($Q1296),FIND(" ",TRIM($Q1296)&amp;" ")-1)),0),0))</f>
        <v/>
      </c>
      <c r="V1296" s="109" t="str">
        <f t="shared" si="240"/>
        <v/>
      </c>
      <c r="W1296" s="108">
        <f>IF($A1296="",0,IF(AND($C1296&gt;=Config!$C$7,$C1296&lt;=Config!$C$8),1,0))</f>
        <v>0</v>
      </c>
      <c r="X1296" s="108">
        <f>IF($A1296="",0,IF(COUNTIF(Config!$C$21:$C$23,$H1296)&gt;0,1,0))</f>
        <v>0</v>
      </c>
      <c r="Y1296" s="108">
        <f t="shared" si="241"/>
        <v>24</v>
      </c>
      <c r="Z1296" s="108" t="str">
        <f t="shared" si="242"/>
        <v/>
      </c>
      <c r="AB1296" s="108">
        <f t="shared" si="243"/>
        <v>0</v>
      </c>
      <c r="AC1296" s="108">
        <f>IF($A1296="",0,IF(AND($AB1296=1,COUNTIF($A$2:$A1296,$A1296)=1),1,0))</f>
        <v>0</v>
      </c>
      <c r="AD1296" s="108">
        <f t="shared" si="244"/>
        <v>1</v>
      </c>
      <c r="AE1296" s="108" t="str">
        <f t="shared" si="245"/>
        <v/>
      </c>
      <c r="AF1296" s="108">
        <f t="shared" si="246"/>
        <v>0</v>
      </c>
      <c r="AG1296" s="108">
        <f t="shared" si="247"/>
        <v>0</v>
      </c>
      <c r="AH1296" s="110" t="str">
        <f t="shared" si="248"/>
        <v/>
      </c>
      <c r="AI1296" s="108">
        <f t="shared" si="249"/>
        <v>0</v>
      </c>
      <c r="AJ1296" s="108">
        <f t="shared" si="250"/>
        <v>0</v>
      </c>
      <c r="AK1296" s="108">
        <f>IF($A1296="",0,IF(AND($S1296=1,$W1296=1,$X1296=1,$U1296&gt;Config!$C$9),1,0))</f>
        <v>0</v>
      </c>
      <c r="AL1296" s="108">
        <f t="shared" si="251"/>
        <v>0</v>
      </c>
    </row>
    <row r="1297" spans="19:38" x14ac:dyDescent="0.25">
      <c r="S1297" s="108" t="str">
        <f>IF($A1297="","",COUNTIF(BPOworkers!$B$6:$B$105,$A1297))</f>
        <v/>
      </c>
      <c r="T1297" s="109" t="str">
        <f>IF($A1297="","",$K1297*Config!$C$9)</f>
        <v/>
      </c>
      <c r="U1297" s="109" t="str">
        <f>IF($A1297="","",IF(COUNTIF(Config!$C$21:$C$23,$H1297)&gt;0,IFERROR(VALUE(LEFT(TRIM($Q1297),FIND(" ",TRIM($Q1297)&amp;" ")-1)),0),0))</f>
        <v/>
      </c>
      <c r="V1297" s="109" t="str">
        <f t="shared" si="240"/>
        <v/>
      </c>
      <c r="W1297" s="108">
        <f>IF($A1297="",0,IF(AND($C1297&gt;=Config!$C$7,$C1297&lt;=Config!$C$8),1,0))</f>
        <v>0</v>
      </c>
      <c r="X1297" s="108">
        <f>IF($A1297="",0,IF(COUNTIF(Config!$C$21:$C$23,$H1297)&gt;0,1,0))</f>
        <v>0</v>
      </c>
      <c r="Y1297" s="108">
        <f t="shared" si="241"/>
        <v>24</v>
      </c>
      <c r="Z1297" s="108" t="str">
        <f t="shared" si="242"/>
        <v/>
      </c>
      <c r="AB1297" s="108">
        <f t="shared" si="243"/>
        <v>0</v>
      </c>
      <c r="AC1297" s="108">
        <f>IF($A1297="",0,IF(AND($AB1297=1,COUNTIF($A$2:$A1297,$A1297)=1),1,0))</f>
        <v>0</v>
      </c>
      <c r="AD1297" s="108">
        <f t="shared" si="244"/>
        <v>1</v>
      </c>
      <c r="AE1297" s="108" t="str">
        <f t="shared" si="245"/>
        <v/>
      </c>
      <c r="AF1297" s="108">
        <f t="shared" si="246"/>
        <v>0</v>
      </c>
      <c r="AG1297" s="108">
        <f t="shared" si="247"/>
        <v>0</v>
      </c>
      <c r="AH1297" s="110" t="str">
        <f t="shared" si="248"/>
        <v/>
      </c>
      <c r="AI1297" s="108">
        <f t="shared" si="249"/>
        <v>0</v>
      </c>
      <c r="AJ1297" s="108">
        <f t="shared" si="250"/>
        <v>0</v>
      </c>
      <c r="AK1297" s="108">
        <f>IF($A1297="",0,IF(AND($S1297=1,$W1297=1,$X1297=1,$U1297&gt;Config!$C$9),1,0))</f>
        <v>0</v>
      </c>
      <c r="AL1297" s="108">
        <f t="shared" si="251"/>
        <v>0</v>
      </c>
    </row>
    <row r="1298" spans="19:38" x14ac:dyDescent="0.25">
      <c r="S1298" s="108" t="str">
        <f>IF($A1298="","",COUNTIF(BPOworkers!$B$6:$B$105,$A1298))</f>
        <v/>
      </c>
      <c r="T1298" s="109" t="str">
        <f>IF($A1298="","",$K1298*Config!$C$9)</f>
        <v/>
      </c>
      <c r="U1298" s="109" t="str">
        <f>IF($A1298="","",IF(COUNTIF(Config!$C$21:$C$23,$H1298)&gt;0,IFERROR(VALUE(LEFT(TRIM($Q1298),FIND(" ",TRIM($Q1298)&amp;" ")-1)),0),0))</f>
        <v/>
      </c>
      <c r="V1298" s="109" t="str">
        <f t="shared" si="240"/>
        <v/>
      </c>
      <c r="W1298" s="108">
        <f>IF($A1298="",0,IF(AND($C1298&gt;=Config!$C$7,$C1298&lt;=Config!$C$8),1,0))</f>
        <v>0</v>
      </c>
      <c r="X1298" s="108">
        <f>IF($A1298="",0,IF(COUNTIF(Config!$C$21:$C$23,$H1298)&gt;0,1,0))</f>
        <v>0</v>
      </c>
      <c r="Y1298" s="108">
        <f t="shared" si="241"/>
        <v>24</v>
      </c>
      <c r="Z1298" s="108" t="str">
        <f t="shared" si="242"/>
        <v/>
      </c>
      <c r="AB1298" s="108">
        <f t="shared" si="243"/>
        <v>0</v>
      </c>
      <c r="AC1298" s="108">
        <f>IF($A1298="",0,IF(AND($AB1298=1,COUNTIF($A$2:$A1298,$A1298)=1),1,0))</f>
        <v>0</v>
      </c>
      <c r="AD1298" s="108">
        <f t="shared" si="244"/>
        <v>1</v>
      </c>
      <c r="AE1298" s="108" t="str">
        <f t="shared" si="245"/>
        <v/>
      </c>
      <c r="AF1298" s="108">
        <f t="shared" si="246"/>
        <v>0</v>
      </c>
      <c r="AG1298" s="108">
        <f t="shared" si="247"/>
        <v>0</v>
      </c>
      <c r="AH1298" s="110" t="str">
        <f t="shared" si="248"/>
        <v/>
      </c>
      <c r="AI1298" s="108">
        <f t="shared" si="249"/>
        <v>0</v>
      </c>
      <c r="AJ1298" s="108">
        <f t="shared" si="250"/>
        <v>0</v>
      </c>
      <c r="AK1298" s="108">
        <f>IF($A1298="",0,IF(AND($S1298=1,$W1298=1,$X1298=1,$U1298&gt;Config!$C$9),1,0))</f>
        <v>0</v>
      </c>
      <c r="AL1298" s="108">
        <f t="shared" si="251"/>
        <v>0</v>
      </c>
    </row>
    <row r="1299" spans="19:38" x14ac:dyDescent="0.25">
      <c r="S1299" s="108" t="str">
        <f>IF($A1299="","",COUNTIF(BPOworkers!$B$6:$B$105,$A1299))</f>
        <v/>
      </c>
      <c r="T1299" s="109" t="str">
        <f>IF($A1299="","",$K1299*Config!$C$9)</f>
        <v/>
      </c>
      <c r="U1299" s="109" t="str">
        <f>IF($A1299="","",IF(COUNTIF(Config!$C$21:$C$23,$H1299)&gt;0,IFERROR(VALUE(LEFT(TRIM($Q1299),FIND(" ",TRIM($Q1299)&amp;" ")-1)),0),0))</f>
        <v/>
      </c>
      <c r="V1299" s="109" t="str">
        <f t="shared" si="240"/>
        <v/>
      </c>
      <c r="W1299" s="108">
        <f>IF($A1299="",0,IF(AND($C1299&gt;=Config!$C$7,$C1299&lt;=Config!$C$8),1,0))</f>
        <v>0</v>
      </c>
      <c r="X1299" s="108">
        <f>IF($A1299="",0,IF(COUNTIF(Config!$C$21:$C$23,$H1299)&gt;0,1,0))</f>
        <v>0</v>
      </c>
      <c r="Y1299" s="108">
        <f t="shared" si="241"/>
        <v>24</v>
      </c>
      <c r="Z1299" s="108" t="str">
        <f t="shared" si="242"/>
        <v/>
      </c>
      <c r="AB1299" s="108">
        <f t="shared" si="243"/>
        <v>0</v>
      </c>
      <c r="AC1299" s="108">
        <f>IF($A1299="",0,IF(AND($AB1299=1,COUNTIF($A$2:$A1299,$A1299)=1),1,0))</f>
        <v>0</v>
      </c>
      <c r="AD1299" s="108">
        <f t="shared" si="244"/>
        <v>1</v>
      </c>
      <c r="AE1299" s="108" t="str">
        <f t="shared" si="245"/>
        <v/>
      </c>
      <c r="AF1299" s="108">
        <f t="shared" si="246"/>
        <v>0</v>
      </c>
      <c r="AG1299" s="108">
        <f t="shared" si="247"/>
        <v>0</v>
      </c>
      <c r="AH1299" s="110" t="str">
        <f t="shared" si="248"/>
        <v/>
      </c>
      <c r="AI1299" s="108">
        <f t="shared" si="249"/>
        <v>0</v>
      </c>
      <c r="AJ1299" s="108">
        <f t="shared" si="250"/>
        <v>0</v>
      </c>
      <c r="AK1299" s="108">
        <f>IF($A1299="",0,IF(AND($S1299=1,$W1299=1,$X1299=1,$U1299&gt;Config!$C$9),1,0))</f>
        <v>0</v>
      </c>
      <c r="AL1299" s="108">
        <f t="shared" si="251"/>
        <v>0</v>
      </c>
    </row>
    <row r="1300" spans="19:38" x14ac:dyDescent="0.25">
      <c r="S1300" s="108" t="str">
        <f>IF($A1300="","",COUNTIF(BPOworkers!$B$6:$B$105,$A1300))</f>
        <v/>
      </c>
      <c r="T1300" s="109" t="str">
        <f>IF($A1300="","",$K1300*Config!$C$9)</f>
        <v/>
      </c>
      <c r="U1300" s="109" t="str">
        <f>IF($A1300="","",IF(COUNTIF(Config!$C$21:$C$23,$H1300)&gt;0,IFERROR(VALUE(LEFT(TRIM($Q1300),FIND(" ",TRIM($Q1300)&amp;" ")-1)),0),0))</f>
        <v/>
      </c>
      <c r="V1300" s="109" t="str">
        <f t="shared" si="240"/>
        <v/>
      </c>
      <c r="W1300" s="108">
        <f>IF($A1300="",0,IF(AND($C1300&gt;=Config!$C$7,$C1300&lt;=Config!$C$8),1,0))</f>
        <v>0</v>
      </c>
      <c r="X1300" s="108">
        <f>IF($A1300="",0,IF(COUNTIF(Config!$C$21:$C$23,$H1300)&gt;0,1,0))</f>
        <v>0</v>
      </c>
      <c r="Y1300" s="108">
        <f t="shared" si="241"/>
        <v>24</v>
      </c>
      <c r="Z1300" s="108" t="str">
        <f t="shared" si="242"/>
        <v/>
      </c>
      <c r="AB1300" s="108">
        <f t="shared" si="243"/>
        <v>0</v>
      </c>
      <c r="AC1300" s="108">
        <f>IF($A1300="",0,IF(AND($AB1300=1,COUNTIF($A$2:$A1300,$A1300)=1),1,0))</f>
        <v>0</v>
      </c>
      <c r="AD1300" s="108">
        <f t="shared" si="244"/>
        <v>1</v>
      </c>
      <c r="AE1300" s="108" t="str">
        <f t="shared" si="245"/>
        <v/>
      </c>
      <c r="AF1300" s="108">
        <f t="shared" si="246"/>
        <v>0</v>
      </c>
      <c r="AG1300" s="108">
        <f t="shared" si="247"/>
        <v>0</v>
      </c>
      <c r="AH1300" s="110" t="str">
        <f t="shared" si="248"/>
        <v/>
      </c>
      <c r="AI1300" s="108">
        <f t="shared" si="249"/>
        <v>0</v>
      </c>
      <c r="AJ1300" s="108">
        <f t="shared" si="250"/>
        <v>0</v>
      </c>
      <c r="AK1300" s="108">
        <f>IF($A1300="",0,IF(AND($S1300=1,$W1300=1,$X1300=1,$U1300&gt;Config!$C$9),1,0))</f>
        <v>0</v>
      </c>
      <c r="AL1300" s="108">
        <f t="shared" si="251"/>
        <v>0</v>
      </c>
    </row>
    <row r="1301" spans="19:38" x14ac:dyDescent="0.25">
      <c r="S1301" s="108" t="str">
        <f>IF($A1301="","",COUNTIF(BPOworkers!$B$6:$B$105,$A1301))</f>
        <v/>
      </c>
      <c r="T1301" s="109" t="str">
        <f>IF($A1301="","",$K1301*Config!$C$9)</f>
        <v/>
      </c>
      <c r="U1301" s="109" t="str">
        <f>IF($A1301="","",IF(COUNTIF(Config!$C$21:$C$23,$H1301)&gt;0,IFERROR(VALUE(LEFT(TRIM($Q1301),FIND(" ",TRIM($Q1301)&amp;" ")-1)),0),0))</f>
        <v/>
      </c>
      <c r="V1301" s="109" t="str">
        <f t="shared" si="240"/>
        <v/>
      </c>
      <c r="W1301" s="108">
        <f>IF($A1301="",0,IF(AND($C1301&gt;=Config!$C$7,$C1301&lt;=Config!$C$8),1,0))</f>
        <v>0</v>
      </c>
      <c r="X1301" s="108">
        <f>IF($A1301="",0,IF(COUNTIF(Config!$C$21:$C$23,$H1301)&gt;0,1,0))</f>
        <v>0</v>
      </c>
      <c r="Y1301" s="108">
        <f t="shared" si="241"/>
        <v>24</v>
      </c>
      <c r="Z1301" s="108" t="str">
        <f t="shared" si="242"/>
        <v/>
      </c>
      <c r="AB1301" s="108">
        <f t="shared" si="243"/>
        <v>0</v>
      </c>
      <c r="AC1301" s="108">
        <f>IF($A1301="",0,IF(AND($AB1301=1,COUNTIF($A$2:$A1301,$A1301)=1),1,0))</f>
        <v>0</v>
      </c>
      <c r="AD1301" s="108">
        <f t="shared" si="244"/>
        <v>1</v>
      </c>
      <c r="AE1301" s="108" t="str">
        <f t="shared" si="245"/>
        <v/>
      </c>
      <c r="AF1301" s="108">
        <f t="shared" si="246"/>
        <v>0</v>
      </c>
      <c r="AG1301" s="108">
        <f t="shared" si="247"/>
        <v>0</v>
      </c>
      <c r="AH1301" s="110" t="str">
        <f t="shared" si="248"/>
        <v/>
      </c>
      <c r="AI1301" s="108">
        <f t="shared" si="249"/>
        <v>0</v>
      </c>
      <c r="AJ1301" s="108">
        <f t="shared" si="250"/>
        <v>0</v>
      </c>
      <c r="AK1301" s="108">
        <f>IF($A1301="",0,IF(AND($S1301=1,$W1301=1,$X1301=1,$U1301&gt;Config!$C$9),1,0))</f>
        <v>0</v>
      </c>
      <c r="AL1301" s="108">
        <f t="shared" si="251"/>
        <v>0</v>
      </c>
    </row>
    <row r="1302" spans="19:38" x14ac:dyDescent="0.25">
      <c r="S1302" s="108" t="str">
        <f>IF($A1302="","",COUNTIF(BPOworkers!$B$6:$B$105,$A1302))</f>
        <v/>
      </c>
      <c r="T1302" s="109" t="str">
        <f>IF($A1302="","",$K1302*Config!$C$9)</f>
        <v/>
      </c>
      <c r="U1302" s="109" t="str">
        <f>IF($A1302="","",IF(COUNTIF(Config!$C$21:$C$23,$H1302)&gt;0,IFERROR(VALUE(LEFT(TRIM($Q1302),FIND(" ",TRIM($Q1302)&amp;" ")-1)),0),0))</f>
        <v/>
      </c>
      <c r="V1302" s="109" t="str">
        <f t="shared" si="240"/>
        <v/>
      </c>
      <c r="W1302" s="108">
        <f>IF($A1302="",0,IF(AND($C1302&gt;=Config!$C$7,$C1302&lt;=Config!$C$8),1,0))</f>
        <v>0</v>
      </c>
      <c r="X1302" s="108">
        <f>IF($A1302="",0,IF(COUNTIF(Config!$C$21:$C$23,$H1302)&gt;0,1,0))</f>
        <v>0</v>
      </c>
      <c r="Y1302" s="108">
        <f t="shared" si="241"/>
        <v>24</v>
      </c>
      <c r="Z1302" s="108" t="str">
        <f t="shared" si="242"/>
        <v/>
      </c>
      <c r="AB1302" s="108">
        <f t="shared" si="243"/>
        <v>0</v>
      </c>
      <c r="AC1302" s="108">
        <f>IF($A1302="",0,IF(AND($AB1302=1,COUNTIF($A$2:$A1302,$A1302)=1),1,0))</f>
        <v>0</v>
      </c>
      <c r="AD1302" s="108">
        <f t="shared" si="244"/>
        <v>1</v>
      </c>
      <c r="AE1302" s="108" t="str">
        <f t="shared" si="245"/>
        <v/>
      </c>
      <c r="AF1302" s="108">
        <f t="shared" si="246"/>
        <v>0</v>
      </c>
      <c r="AG1302" s="108">
        <f t="shared" si="247"/>
        <v>0</v>
      </c>
      <c r="AH1302" s="110" t="str">
        <f t="shared" si="248"/>
        <v/>
      </c>
      <c r="AI1302" s="108">
        <f t="shared" si="249"/>
        <v>0</v>
      </c>
      <c r="AJ1302" s="108">
        <f t="shared" si="250"/>
        <v>0</v>
      </c>
      <c r="AK1302" s="108">
        <f>IF($A1302="",0,IF(AND($S1302=1,$W1302=1,$X1302=1,$U1302&gt;Config!$C$9),1,0))</f>
        <v>0</v>
      </c>
      <c r="AL1302" s="108">
        <f t="shared" si="251"/>
        <v>0</v>
      </c>
    </row>
    <row r="1303" spans="19:38" x14ac:dyDescent="0.25">
      <c r="S1303" s="108" t="str">
        <f>IF($A1303="","",COUNTIF(BPOworkers!$B$6:$B$105,$A1303))</f>
        <v/>
      </c>
      <c r="T1303" s="109" t="str">
        <f>IF($A1303="","",$K1303*Config!$C$9)</f>
        <v/>
      </c>
      <c r="U1303" s="109" t="str">
        <f>IF($A1303="","",IF(COUNTIF(Config!$C$21:$C$23,$H1303)&gt;0,IFERROR(VALUE(LEFT(TRIM($Q1303),FIND(" ",TRIM($Q1303)&amp;" ")-1)),0),0))</f>
        <v/>
      </c>
      <c r="V1303" s="109" t="str">
        <f t="shared" si="240"/>
        <v/>
      </c>
      <c r="W1303" s="108">
        <f>IF($A1303="",0,IF(AND($C1303&gt;=Config!$C$7,$C1303&lt;=Config!$C$8),1,0))</f>
        <v>0</v>
      </c>
      <c r="X1303" s="108">
        <f>IF($A1303="",0,IF(COUNTIF(Config!$C$21:$C$23,$H1303)&gt;0,1,0))</f>
        <v>0</v>
      </c>
      <c r="Y1303" s="108">
        <f t="shared" si="241"/>
        <v>24</v>
      </c>
      <c r="Z1303" s="108" t="str">
        <f t="shared" si="242"/>
        <v/>
      </c>
      <c r="AB1303" s="108">
        <f t="shared" si="243"/>
        <v>0</v>
      </c>
      <c r="AC1303" s="108">
        <f>IF($A1303="",0,IF(AND($AB1303=1,COUNTIF($A$2:$A1303,$A1303)=1),1,0))</f>
        <v>0</v>
      </c>
      <c r="AD1303" s="108">
        <f t="shared" si="244"/>
        <v>1</v>
      </c>
      <c r="AE1303" s="108" t="str">
        <f t="shared" si="245"/>
        <v/>
      </c>
      <c r="AF1303" s="108">
        <f t="shared" si="246"/>
        <v>0</v>
      </c>
      <c r="AG1303" s="108">
        <f t="shared" si="247"/>
        <v>0</v>
      </c>
      <c r="AH1303" s="110" t="str">
        <f t="shared" si="248"/>
        <v/>
      </c>
      <c r="AI1303" s="108">
        <f t="shared" si="249"/>
        <v>0</v>
      </c>
      <c r="AJ1303" s="108">
        <f t="shared" si="250"/>
        <v>0</v>
      </c>
      <c r="AK1303" s="108">
        <f>IF($A1303="",0,IF(AND($S1303=1,$W1303=1,$X1303=1,$U1303&gt;Config!$C$9),1,0))</f>
        <v>0</v>
      </c>
      <c r="AL1303" s="108">
        <f t="shared" si="251"/>
        <v>0</v>
      </c>
    </row>
    <row r="1304" spans="19:38" x14ac:dyDescent="0.25">
      <c r="S1304" s="108" t="str">
        <f>IF($A1304="","",COUNTIF(BPOworkers!$B$6:$B$105,$A1304))</f>
        <v/>
      </c>
      <c r="T1304" s="109" t="str">
        <f>IF($A1304="","",$K1304*Config!$C$9)</f>
        <v/>
      </c>
      <c r="U1304" s="109" t="str">
        <f>IF($A1304="","",IF(COUNTIF(Config!$C$21:$C$23,$H1304)&gt;0,IFERROR(VALUE(LEFT(TRIM($Q1304),FIND(" ",TRIM($Q1304)&amp;" ")-1)),0),0))</f>
        <v/>
      </c>
      <c r="V1304" s="109" t="str">
        <f t="shared" si="240"/>
        <v/>
      </c>
      <c r="W1304" s="108">
        <f>IF($A1304="",0,IF(AND($C1304&gt;=Config!$C$7,$C1304&lt;=Config!$C$8),1,0))</f>
        <v>0</v>
      </c>
      <c r="X1304" s="108">
        <f>IF($A1304="",0,IF(COUNTIF(Config!$C$21:$C$23,$H1304)&gt;0,1,0))</f>
        <v>0</v>
      </c>
      <c r="Y1304" s="108">
        <f t="shared" si="241"/>
        <v>24</v>
      </c>
      <c r="Z1304" s="108" t="str">
        <f t="shared" si="242"/>
        <v/>
      </c>
      <c r="AB1304" s="108">
        <f t="shared" si="243"/>
        <v>0</v>
      </c>
      <c r="AC1304" s="108">
        <f>IF($A1304="",0,IF(AND($AB1304=1,COUNTIF($A$2:$A1304,$A1304)=1),1,0))</f>
        <v>0</v>
      </c>
      <c r="AD1304" s="108">
        <f t="shared" si="244"/>
        <v>1</v>
      </c>
      <c r="AE1304" s="108" t="str">
        <f t="shared" si="245"/>
        <v/>
      </c>
      <c r="AF1304" s="108">
        <f t="shared" si="246"/>
        <v>0</v>
      </c>
      <c r="AG1304" s="108">
        <f t="shared" si="247"/>
        <v>0</v>
      </c>
      <c r="AH1304" s="110" t="str">
        <f t="shared" si="248"/>
        <v/>
      </c>
      <c r="AI1304" s="108">
        <f t="shared" si="249"/>
        <v>0</v>
      </c>
      <c r="AJ1304" s="108">
        <f t="shared" si="250"/>
        <v>0</v>
      </c>
      <c r="AK1304" s="108">
        <f>IF($A1304="",0,IF(AND($S1304=1,$W1304=1,$X1304=1,$U1304&gt;Config!$C$9),1,0))</f>
        <v>0</v>
      </c>
      <c r="AL1304" s="108">
        <f t="shared" si="251"/>
        <v>0</v>
      </c>
    </row>
    <row r="1305" spans="19:38" x14ac:dyDescent="0.25">
      <c r="S1305" s="108" t="str">
        <f>IF($A1305="","",COUNTIF(BPOworkers!$B$6:$B$105,$A1305))</f>
        <v/>
      </c>
      <c r="T1305" s="109" t="str">
        <f>IF($A1305="","",$K1305*Config!$C$9)</f>
        <v/>
      </c>
      <c r="U1305" s="109" t="str">
        <f>IF($A1305="","",IF(COUNTIF(Config!$C$21:$C$23,$H1305)&gt;0,IFERROR(VALUE(LEFT(TRIM($Q1305),FIND(" ",TRIM($Q1305)&amp;" ")-1)),0),0))</f>
        <v/>
      </c>
      <c r="V1305" s="109" t="str">
        <f t="shared" si="240"/>
        <v/>
      </c>
      <c r="W1305" s="108">
        <f>IF($A1305="",0,IF(AND($C1305&gt;=Config!$C$7,$C1305&lt;=Config!$C$8),1,0))</f>
        <v>0</v>
      </c>
      <c r="X1305" s="108">
        <f>IF($A1305="",0,IF(COUNTIF(Config!$C$21:$C$23,$H1305)&gt;0,1,0))</f>
        <v>0</v>
      </c>
      <c r="Y1305" s="108">
        <f t="shared" si="241"/>
        <v>24</v>
      </c>
      <c r="Z1305" s="108" t="str">
        <f t="shared" si="242"/>
        <v/>
      </c>
      <c r="AB1305" s="108">
        <f t="shared" si="243"/>
        <v>0</v>
      </c>
      <c r="AC1305" s="108">
        <f>IF($A1305="",0,IF(AND($AB1305=1,COUNTIF($A$2:$A1305,$A1305)=1),1,0))</f>
        <v>0</v>
      </c>
      <c r="AD1305" s="108">
        <f t="shared" si="244"/>
        <v>1</v>
      </c>
      <c r="AE1305" s="108" t="str">
        <f t="shared" si="245"/>
        <v/>
      </c>
      <c r="AF1305" s="108">
        <f t="shared" si="246"/>
        <v>0</v>
      </c>
      <c r="AG1305" s="108">
        <f t="shared" si="247"/>
        <v>0</v>
      </c>
      <c r="AH1305" s="110" t="str">
        <f t="shared" si="248"/>
        <v/>
      </c>
      <c r="AI1305" s="108">
        <f t="shared" si="249"/>
        <v>0</v>
      </c>
      <c r="AJ1305" s="108">
        <f t="shared" si="250"/>
        <v>0</v>
      </c>
      <c r="AK1305" s="108">
        <f>IF($A1305="",0,IF(AND($S1305=1,$W1305=1,$X1305=1,$U1305&gt;Config!$C$9),1,0))</f>
        <v>0</v>
      </c>
      <c r="AL1305" s="108">
        <f t="shared" si="251"/>
        <v>0</v>
      </c>
    </row>
    <row r="1306" spans="19:38" x14ac:dyDescent="0.25">
      <c r="S1306" s="108" t="str">
        <f>IF($A1306="","",COUNTIF(BPOworkers!$B$6:$B$105,$A1306))</f>
        <v/>
      </c>
      <c r="T1306" s="109" t="str">
        <f>IF($A1306="","",$K1306*Config!$C$9)</f>
        <v/>
      </c>
      <c r="U1306" s="109" t="str">
        <f>IF($A1306="","",IF(COUNTIF(Config!$C$21:$C$23,$H1306)&gt;0,IFERROR(VALUE(LEFT(TRIM($Q1306),FIND(" ",TRIM($Q1306)&amp;" ")-1)),0),0))</f>
        <v/>
      </c>
      <c r="V1306" s="109" t="str">
        <f t="shared" si="240"/>
        <v/>
      </c>
      <c r="W1306" s="108">
        <f>IF($A1306="",0,IF(AND($C1306&gt;=Config!$C$7,$C1306&lt;=Config!$C$8),1,0))</f>
        <v>0</v>
      </c>
      <c r="X1306" s="108">
        <f>IF($A1306="",0,IF(COUNTIF(Config!$C$21:$C$23,$H1306)&gt;0,1,0))</f>
        <v>0</v>
      </c>
      <c r="Y1306" s="108">
        <f t="shared" si="241"/>
        <v>24</v>
      </c>
      <c r="Z1306" s="108" t="str">
        <f t="shared" si="242"/>
        <v/>
      </c>
      <c r="AB1306" s="108">
        <f t="shared" si="243"/>
        <v>0</v>
      </c>
      <c r="AC1306" s="108">
        <f>IF($A1306="",0,IF(AND($AB1306=1,COUNTIF($A$2:$A1306,$A1306)=1),1,0))</f>
        <v>0</v>
      </c>
      <c r="AD1306" s="108">
        <f t="shared" si="244"/>
        <v>1</v>
      </c>
      <c r="AE1306" s="108" t="str">
        <f t="shared" si="245"/>
        <v/>
      </c>
      <c r="AF1306" s="108">
        <f t="shared" si="246"/>
        <v>0</v>
      </c>
      <c r="AG1306" s="108">
        <f t="shared" si="247"/>
        <v>0</v>
      </c>
      <c r="AH1306" s="110" t="str">
        <f t="shared" si="248"/>
        <v/>
      </c>
      <c r="AI1306" s="108">
        <f t="shared" si="249"/>
        <v>0</v>
      </c>
      <c r="AJ1306" s="108">
        <f t="shared" si="250"/>
        <v>0</v>
      </c>
      <c r="AK1306" s="108">
        <f>IF($A1306="",0,IF(AND($S1306=1,$W1306=1,$X1306=1,$U1306&gt;Config!$C$9),1,0))</f>
        <v>0</v>
      </c>
      <c r="AL1306" s="108">
        <f t="shared" si="251"/>
        <v>0</v>
      </c>
    </row>
    <row r="1307" spans="19:38" x14ac:dyDescent="0.25">
      <c r="S1307" s="108" t="str">
        <f>IF($A1307="","",COUNTIF(BPOworkers!$B$6:$B$105,$A1307))</f>
        <v/>
      </c>
      <c r="T1307" s="109" t="str">
        <f>IF($A1307="","",$K1307*Config!$C$9)</f>
        <v/>
      </c>
      <c r="U1307" s="109" t="str">
        <f>IF($A1307="","",IF(COUNTIF(Config!$C$21:$C$23,$H1307)&gt;0,IFERROR(VALUE(LEFT(TRIM($Q1307),FIND(" ",TRIM($Q1307)&amp;" ")-1)),0),0))</f>
        <v/>
      </c>
      <c r="V1307" s="109" t="str">
        <f t="shared" si="240"/>
        <v/>
      </c>
      <c r="W1307" s="108">
        <f>IF($A1307="",0,IF(AND($C1307&gt;=Config!$C$7,$C1307&lt;=Config!$C$8),1,0))</f>
        <v>0</v>
      </c>
      <c r="X1307" s="108">
        <f>IF($A1307="",0,IF(COUNTIF(Config!$C$21:$C$23,$H1307)&gt;0,1,0))</f>
        <v>0</v>
      </c>
      <c r="Y1307" s="108">
        <f t="shared" si="241"/>
        <v>24</v>
      </c>
      <c r="Z1307" s="108" t="str">
        <f t="shared" si="242"/>
        <v/>
      </c>
      <c r="AB1307" s="108">
        <f t="shared" si="243"/>
        <v>0</v>
      </c>
      <c r="AC1307" s="108">
        <f>IF($A1307="",0,IF(AND($AB1307=1,COUNTIF($A$2:$A1307,$A1307)=1),1,0))</f>
        <v>0</v>
      </c>
      <c r="AD1307" s="108">
        <f t="shared" si="244"/>
        <v>1</v>
      </c>
      <c r="AE1307" s="108" t="str">
        <f t="shared" si="245"/>
        <v/>
      </c>
      <c r="AF1307" s="108">
        <f t="shared" si="246"/>
        <v>0</v>
      </c>
      <c r="AG1307" s="108">
        <f t="shared" si="247"/>
        <v>0</v>
      </c>
      <c r="AH1307" s="110" t="str">
        <f t="shared" si="248"/>
        <v/>
      </c>
      <c r="AI1307" s="108">
        <f t="shared" si="249"/>
        <v>0</v>
      </c>
      <c r="AJ1307" s="108">
        <f t="shared" si="250"/>
        <v>0</v>
      </c>
      <c r="AK1307" s="108">
        <f>IF($A1307="",0,IF(AND($S1307=1,$W1307=1,$X1307=1,$U1307&gt;Config!$C$9),1,0))</f>
        <v>0</v>
      </c>
      <c r="AL1307" s="108">
        <f t="shared" si="251"/>
        <v>0</v>
      </c>
    </row>
    <row r="1308" spans="19:38" x14ac:dyDescent="0.25">
      <c r="S1308" s="108" t="str">
        <f>IF($A1308="","",COUNTIF(BPOworkers!$B$6:$B$105,$A1308))</f>
        <v/>
      </c>
      <c r="T1308" s="109" t="str">
        <f>IF($A1308="","",$K1308*Config!$C$9)</f>
        <v/>
      </c>
      <c r="U1308" s="109" t="str">
        <f>IF($A1308="","",IF(COUNTIF(Config!$C$21:$C$23,$H1308)&gt;0,IFERROR(VALUE(LEFT(TRIM($Q1308),FIND(" ",TRIM($Q1308)&amp;" ")-1)),0),0))</f>
        <v/>
      </c>
      <c r="V1308" s="109" t="str">
        <f t="shared" si="240"/>
        <v/>
      </c>
      <c r="W1308" s="108">
        <f>IF($A1308="",0,IF(AND($C1308&gt;=Config!$C$7,$C1308&lt;=Config!$C$8),1,0))</f>
        <v>0</v>
      </c>
      <c r="X1308" s="108">
        <f>IF($A1308="",0,IF(COUNTIF(Config!$C$21:$C$23,$H1308)&gt;0,1,0))</f>
        <v>0</v>
      </c>
      <c r="Y1308" s="108">
        <f t="shared" si="241"/>
        <v>24</v>
      </c>
      <c r="Z1308" s="108" t="str">
        <f t="shared" si="242"/>
        <v/>
      </c>
      <c r="AB1308" s="108">
        <f t="shared" si="243"/>
        <v>0</v>
      </c>
      <c r="AC1308" s="108">
        <f>IF($A1308="",0,IF(AND($AB1308=1,COUNTIF($A$2:$A1308,$A1308)=1),1,0))</f>
        <v>0</v>
      </c>
      <c r="AD1308" s="108">
        <f t="shared" si="244"/>
        <v>1</v>
      </c>
      <c r="AE1308" s="108" t="str">
        <f t="shared" si="245"/>
        <v/>
      </c>
      <c r="AF1308" s="108">
        <f t="shared" si="246"/>
        <v>0</v>
      </c>
      <c r="AG1308" s="108">
        <f t="shared" si="247"/>
        <v>0</v>
      </c>
      <c r="AH1308" s="110" t="str">
        <f t="shared" si="248"/>
        <v/>
      </c>
      <c r="AI1308" s="108">
        <f t="shared" si="249"/>
        <v>0</v>
      </c>
      <c r="AJ1308" s="108">
        <f t="shared" si="250"/>
        <v>0</v>
      </c>
      <c r="AK1308" s="108">
        <f>IF($A1308="",0,IF(AND($S1308=1,$W1308=1,$X1308=1,$U1308&gt;Config!$C$9),1,0))</f>
        <v>0</v>
      </c>
      <c r="AL1308" s="108">
        <f t="shared" si="251"/>
        <v>0</v>
      </c>
    </row>
    <row r="1309" spans="19:38" x14ac:dyDescent="0.25">
      <c r="S1309" s="108" t="str">
        <f>IF($A1309="","",COUNTIF(BPOworkers!$B$6:$B$105,$A1309))</f>
        <v/>
      </c>
      <c r="T1309" s="109" t="str">
        <f>IF($A1309="","",$K1309*Config!$C$9)</f>
        <v/>
      </c>
      <c r="U1309" s="109" t="str">
        <f>IF($A1309="","",IF(COUNTIF(Config!$C$21:$C$23,$H1309)&gt;0,IFERROR(VALUE(LEFT(TRIM($Q1309),FIND(" ",TRIM($Q1309)&amp;" ")-1)),0),0))</f>
        <v/>
      </c>
      <c r="V1309" s="109" t="str">
        <f t="shared" si="240"/>
        <v/>
      </c>
      <c r="W1309" s="108">
        <f>IF($A1309="",0,IF(AND($C1309&gt;=Config!$C$7,$C1309&lt;=Config!$C$8),1,0))</f>
        <v>0</v>
      </c>
      <c r="X1309" s="108">
        <f>IF($A1309="",0,IF(COUNTIF(Config!$C$21:$C$23,$H1309)&gt;0,1,0))</f>
        <v>0</v>
      </c>
      <c r="Y1309" s="108">
        <f t="shared" si="241"/>
        <v>24</v>
      </c>
      <c r="Z1309" s="108" t="str">
        <f t="shared" si="242"/>
        <v/>
      </c>
      <c r="AB1309" s="108">
        <f t="shared" si="243"/>
        <v>0</v>
      </c>
      <c r="AC1309" s="108">
        <f>IF($A1309="",0,IF(AND($AB1309=1,COUNTIF($A$2:$A1309,$A1309)=1),1,0))</f>
        <v>0</v>
      </c>
      <c r="AD1309" s="108">
        <f t="shared" si="244"/>
        <v>1</v>
      </c>
      <c r="AE1309" s="108" t="str">
        <f t="shared" si="245"/>
        <v/>
      </c>
      <c r="AF1309" s="108">
        <f t="shared" si="246"/>
        <v>0</v>
      </c>
      <c r="AG1309" s="108">
        <f t="shared" si="247"/>
        <v>0</v>
      </c>
      <c r="AH1309" s="110" t="str">
        <f t="shared" si="248"/>
        <v/>
      </c>
      <c r="AI1309" s="108">
        <f t="shared" si="249"/>
        <v>0</v>
      </c>
      <c r="AJ1309" s="108">
        <f t="shared" si="250"/>
        <v>0</v>
      </c>
      <c r="AK1309" s="108">
        <f>IF($A1309="",0,IF(AND($S1309=1,$W1309=1,$X1309=1,$U1309&gt;Config!$C$9),1,0))</f>
        <v>0</v>
      </c>
      <c r="AL1309" s="108">
        <f t="shared" si="251"/>
        <v>0</v>
      </c>
    </row>
    <row r="1310" spans="19:38" x14ac:dyDescent="0.25">
      <c r="S1310" s="108" t="str">
        <f>IF($A1310="","",COUNTIF(BPOworkers!$B$6:$B$105,$A1310))</f>
        <v/>
      </c>
      <c r="T1310" s="109" t="str">
        <f>IF($A1310="","",$K1310*Config!$C$9)</f>
        <v/>
      </c>
      <c r="U1310" s="109" t="str">
        <f>IF($A1310="","",IF(COUNTIF(Config!$C$21:$C$23,$H1310)&gt;0,IFERROR(VALUE(LEFT(TRIM($Q1310),FIND(" ",TRIM($Q1310)&amp;" ")-1)),0),0))</f>
        <v/>
      </c>
      <c r="V1310" s="109" t="str">
        <f t="shared" si="240"/>
        <v/>
      </c>
      <c r="W1310" s="108">
        <f>IF($A1310="",0,IF(AND($C1310&gt;=Config!$C$7,$C1310&lt;=Config!$C$8),1,0))</f>
        <v>0</v>
      </c>
      <c r="X1310" s="108">
        <f>IF($A1310="",0,IF(COUNTIF(Config!$C$21:$C$23,$H1310)&gt;0,1,0))</f>
        <v>0</v>
      </c>
      <c r="Y1310" s="108">
        <f t="shared" si="241"/>
        <v>24</v>
      </c>
      <c r="Z1310" s="108" t="str">
        <f t="shared" si="242"/>
        <v/>
      </c>
      <c r="AB1310" s="108">
        <f t="shared" si="243"/>
        <v>0</v>
      </c>
      <c r="AC1310" s="108">
        <f>IF($A1310="",0,IF(AND($AB1310=1,COUNTIF($A$2:$A1310,$A1310)=1),1,0))</f>
        <v>0</v>
      </c>
      <c r="AD1310" s="108">
        <f t="shared" si="244"/>
        <v>1</v>
      </c>
      <c r="AE1310" s="108" t="str">
        <f t="shared" si="245"/>
        <v/>
      </c>
      <c r="AF1310" s="108">
        <f t="shared" si="246"/>
        <v>0</v>
      </c>
      <c r="AG1310" s="108">
        <f t="shared" si="247"/>
        <v>0</v>
      </c>
      <c r="AH1310" s="110" t="str">
        <f t="shared" si="248"/>
        <v/>
      </c>
      <c r="AI1310" s="108">
        <f t="shared" si="249"/>
        <v>0</v>
      </c>
      <c r="AJ1310" s="108">
        <f t="shared" si="250"/>
        <v>0</v>
      </c>
      <c r="AK1310" s="108">
        <f>IF($A1310="",0,IF(AND($S1310=1,$W1310=1,$X1310=1,$U1310&gt;Config!$C$9),1,0))</f>
        <v>0</v>
      </c>
      <c r="AL1310" s="108">
        <f t="shared" si="251"/>
        <v>0</v>
      </c>
    </row>
    <row r="1311" spans="19:38" x14ac:dyDescent="0.25">
      <c r="S1311" s="108" t="str">
        <f>IF($A1311="","",COUNTIF(BPOworkers!$B$6:$B$105,$A1311))</f>
        <v/>
      </c>
      <c r="T1311" s="109" t="str">
        <f>IF($A1311="","",$K1311*Config!$C$9)</f>
        <v/>
      </c>
      <c r="U1311" s="109" t="str">
        <f>IF($A1311="","",IF(COUNTIF(Config!$C$21:$C$23,$H1311)&gt;0,IFERROR(VALUE(LEFT(TRIM($Q1311),FIND(" ",TRIM($Q1311)&amp;" ")-1)),0),0))</f>
        <v/>
      </c>
      <c r="V1311" s="109" t="str">
        <f t="shared" si="240"/>
        <v/>
      </c>
      <c r="W1311" s="108">
        <f>IF($A1311="",0,IF(AND($C1311&gt;=Config!$C$7,$C1311&lt;=Config!$C$8),1,0))</f>
        <v>0</v>
      </c>
      <c r="X1311" s="108">
        <f>IF($A1311="",0,IF(COUNTIF(Config!$C$21:$C$23,$H1311)&gt;0,1,0))</f>
        <v>0</v>
      </c>
      <c r="Y1311" s="108">
        <f t="shared" si="241"/>
        <v>24</v>
      </c>
      <c r="Z1311" s="108" t="str">
        <f t="shared" si="242"/>
        <v/>
      </c>
      <c r="AB1311" s="108">
        <f t="shared" si="243"/>
        <v>0</v>
      </c>
      <c r="AC1311" s="108">
        <f>IF($A1311="",0,IF(AND($AB1311=1,COUNTIF($A$2:$A1311,$A1311)=1),1,0))</f>
        <v>0</v>
      </c>
      <c r="AD1311" s="108">
        <f t="shared" si="244"/>
        <v>1</v>
      </c>
      <c r="AE1311" s="108" t="str">
        <f t="shared" si="245"/>
        <v/>
      </c>
      <c r="AF1311" s="108">
        <f t="shared" si="246"/>
        <v>0</v>
      </c>
      <c r="AG1311" s="108">
        <f t="shared" si="247"/>
        <v>0</v>
      </c>
      <c r="AH1311" s="110" t="str">
        <f t="shared" si="248"/>
        <v/>
      </c>
      <c r="AI1311" s="108">
        <f t="shared" si="249"/>
        <v>0</v>
      </c>
      <c r="AJ1311" s="108">
        <f t="shared" si="250"/>
        <v>0</v>
      </c>
      <c r="AK1311" s="108">
        <f>IF($A1311="",0,IF(AND($S1311=1,$W1311=1,$X1311=1,$U1311&gt;Config!$C$9),1,0))</f>
        <v>0</v>
      </c>
      <c r="AL1311" s="108">
        <f t="shared" si="251"/>
        <v>0</v>
      </c>
    </row>
    <row r="1312" spans="19:38" x14ac:dyDescent="0.25">
      <c r="S1312" s="108" t="str">
        <f>IF($A1312="","",COUNTIF(BPOworkers!$B$6:$B$105,$A1312))</f>
        <v/>
      </c>
      <c r="T1312" s="109" t="str">
        <f>IF($A1312="","",$K1312*Config!$C$9)</f>
        <v/>
      </c>
      <c r="U1312" s="109" t="str">
        <f>IF($A1312="","",IF(COUNTIF(Config!$C$21:$C$23,$H1312)&gt;0,IFERROR(VALUE(LEFT(TRIM($Q1312),FIND(" ",TRIM($Q1312)&amp;" ")-1)),0),0))</f>
        <v/>
      </c>
      <c r="V1312" s="109" t="str">
        <f t="shared" si="240"/>
        <v/>
      </c>
      <c r="W1312" s="108">
        <f>IF($A1312="",0,IF(AND($C1312&gt;=Config!$C$7,$C1312&lt;=Config!$C$8),1,0))</f>
        <v>0</v>
      </c>
      <c r="X1312" s="108">
        <f>IF($A1312="",0,IF(COUNTIF(Config!$C$21:$C$23,$H1312)&gt;0,1,0))</f>
        <v>0</v>
      </c>
      <c r="Y1312" s="108">
        <f t="shared" si="241"/>
        <v>24</v>
      </c>
      <c r="Z1312" s="108" t="str">
        <f t="shared" si="242"/>
        <v/>
      </c>
      <c r="AB1312" s="108">
        <f t="shared" si="243"/>
        <v>0</v>
      </c>
      <c r="AC1312" s="108">
        <f>IF($A1312="",0,IF(AND($AB1312=1,COUNTIF($A$2:$A1312,$A1312)=1),1,0))</f>
        <v>0</v>
      </c>
      <c r="AD1312" s="108">
        <f t="shared" si="244"/>
        <v>1</v>
      </c>
      <c r="AE1312" s="108" t="str">
        <f t="shared" si="245"/>
        <v/>
      </c>
      <c r="AF1312" s="108">
        <f t="shared" si="246"/>
        <v>0</v>
      </c>
      <c r="AG1312" s="108">
        <f t="shared" si="247"/>
        <v>0</v>
      </c>
      <c r="AH1312" s="110" t="str">
        <f t="shared" si="248"/>
        <v/>
      </c>
      <c r="AI1312" s="108">
        <f t="shared" si="249"/>
        <v>0</v>
      </c>
      <c r="AJ1312" s="108">
        <f t="shared" si="250"/>
        <v>0</v>
      </c>
      <c r="AK1312" s="108">
        <f>IF($A1312="",0,IF(AND($S1312=1,$W1312=1,$X1312=1,$U1312&gt;Config!$C$9),1,0))</f>
        <v>0</v>
      </c>
      <c r="AL1312" s="108">
        <f t="shared" si="251"/>
        <v>0</v>
      </c>
    </row>
    <row r="1313" spans="19:38" x14ac:dyDescent="0.25">
      <c r="S1313" s="108" t="str">
        <f>IF($A1313="","",COUNTIF(BPOworkers!$B$6:$B$105,$A1313))</f>
        <v/>
      </c>
      <c r="T1313" s="109" t="str">
        <f>IF($A1313="","",$K1313*Config!$C$9)</f>
        <v/>
      </c>
      <c r="U1313" s="109" t="str">
        <f>IF($A1313="","",IF(COUNTIF(Config!$C$21:$C$23,$H1313)&gt;0,IFERROR(VALUE(LEFT(TRIM($Q1313),FIND(" ",TRIM($Q1313)&amp;" ")-1)),0),0))</f>
        <v/>
      </c>
      <c r="V1313" s="109" t="str">
        <f t="shared" si="240"/>
        <v/>
      </c>
      <c r="W1313" s="108">
        <f>IF($A1313="",0,IF(AND($C1313&gt;=Config!$C$7,$C1313&lt;=Config!$C$8),1,0))</f>
        <v>0</v>
      </c>
      <c r="X1313" s="108">
        <f>IF($A1313="",0,IF(COUNTIF(Config!$C$21:$C$23,$H1313)&gt;0,1,0))</f>
        <v>0</v>
      </c>
      <c r="Y1313" s="108">
        <f t="shared" si="241"/>
        <v>24</v>
      </c>
      <c r="Z1313" s="108" t="str">
        <f t="shared" si="242"/>
        <v/>
      </c>
      <c r="AB1313" s="108">
        <f t="shared" si="243"/>
        <v>0</v>
      </c>
      <c r="AC1313" s="108">
        <f>IF($A1313="",0,IF(AND($AB1313=1,COUNTIF($A$2:$A1313,$A1313)=1),1,0))</f>
        <v>0</v>
      </c>
      <c r="AD1313" s="108">
        <f t="shared" si="244"/>
        <v>1</v>
      </c>
      <c r="AE1313" s="108" t="str">
        <f t="shared" si="245"/>
        <v/>
      </c>
      <c r="AF1313" s="108">
        <f t="shared" si="246"/>
        <v>0</v>
      </c>
      <c r="AG1313" s="108">
        <f t="shared" si="247"/>
        <v>0</v>
      </c>
      <c r="AH1313" s="110" t="str">
        <f t="shared" si="248"/>
        <v/>
      </c>
      <c r="AI1313" s="108">
        <f t="shared" si="249"/>
        <v>0</v>
      </c>
      <c r="AJ1313" s="108">
        <f t="shared" si="250"/>
        <v>0</v>
      </c>
      <c r="AK1313" s="108">
        <f>IF($A1313="",0,IF(AND($S1313=1,$W1313=1,$X1313=1,$U1313&gt;Config!$C$9),1,0))</f>
        <v>0</v>
      </c>
      <c r="AL1313" s="108">
        <f t="shared" si="251"/>
        <v>0</v>
      </c>
    </row>
    <row r="1314" spans="19:38" x14ac:dyDescent="0.25">
      <c r="S1314" s="108" t="str">
        <f>IF($A1314="","",COUNTIF(BPOworkers!$B$6:$B$105,$A1314))</f>
        <v/>
      </c>
      <c r="T1314" s="109" t="str">
        <f>IF($A1314="","",$K1314*Config!$C$9)</f>
        <v/>
      </c>
      <c r="U1314" s="109" t="str">
        <f>IF($A1314="","",IF(COUNTIF(Config!$C$21:$C$23,$H1314)&gt;0,IFERROR(VALUE(LEFT(TRIM($Q1314),FIND(" ",TRIM($Q1314)&amp;" ")-1)),0),0))</f>
        <v/>
      </c>
      <c r="V1314" s="109" t="str">
        <f t="shared" si="240"/>
        <v/>
      </c>
      <c r="W1314" s="108">
        <f>IF($A1314="",0,IF(AND($C1314&gt;=Config!$C$7,$C1314&lt;=Config!$C$8),1,0))</f>
        <v>0</v>
      </c>
      <c r="X1314" s="108">
        <f>IF($A1314="",0,IF(COUNTIF(Config!$C$21:$C$23,$H1314)&gt;0,1,0))</f>
        <v>0</v>
      </c>
      <c r="Y1314" s="108">
        <f t="shared" si="241"/>
        <v>24</v>
      </c>
      <c r="Z1314" s="108" t="str">
        <f t="shared" si="242"/>
        <v/>
      </c>
      <c r="AB1314" s="108">
        <f t="shared" si="243"/>
        <v>0</v>
      </c>
      <c r="AC1314" s="108">
        <f>IF($A1314="",0,IF(AND($AB1314=1,COUNTIF($A$2:$A1314,$A1314)=1),1,0))</f>
        <v>0</v>
      </c>
      <c r="AD1314" s="108">
        <f t="shared" si="244"/>
        <v>1</v>
      </c>
      <c r="AE1314" s="108" t="str">
        <f t="shared" si="245"/>
        <v/>
      </c>
      <c r="AF1314" s="108">
        <f t="shared" si="246"/>
        <v>0</v>
      </c>
      <c r="AG1314" s="108">
        <f t="shared" si="247"/>
        <v>0</v>
      </c>
      <c r="AH1314" s="110" t="str">
        <f t="shared" si="248"/>
        <v/>
      </c>
      <c r="AI1314" s="108">
        <f t="shared" si="249"/>
        <v>0</v>
      </c>
      <c r="AJ1314" s="108">
        <f t="shared" si="250"/>
        <v>0</v>
      </c>
      <c r="AK1314" s="108">
        <f>IF($A1314="",0,IF(AND($S1314=1,$W1314=1,$X1314=1,$U1314&gt;Config!$C$9),1,0))</f>
        <v>0</v>
      </c>
      <c r="AL1314" s="108">
        <f t="shared" si="251"/>
        <v>0</v>
      </c>
    </row>
    <row r="1315" spans="19:38" x14ac:dyDescent="0.25">
      <c r="S1315" s="108" t="str">
        <f>IF($A1315="","",COUNTIF(BPOworkers!$B$6:$B$105,$A1315))</f>
        <v/>
      </c>
      <c r="T1315" s="109" t="str">
        <f>IF($A1315="","",$K1315*Config!$C$9)</f>
        <v/>
      </c>
      <c r="U1315" s="109" t="str">
        <f>IF($A1315="","",IF(COUNTIF(Config!$C$21:$C$23,$H1315)&gt;0,IFERROR(VALUE(LEFT(TRIM($Q1315),FIND(" ",TRIM($Q1315)&amp;" ")-1)),0),0))</f>
        <v/>
      </c>
      <c r="V1315" s="109" t="str">
        <f t="shared" si="240"/>
        <v/>
      </c>
      <c r="W1315" s="108">
        <f>IF($A1315="",0,IF(AND($C1315&gt;=Config!$C$7,$C1315&lt;=Config!$C$8),1,0))</f>
        <v>0</v>
      </c>
      <c r="X1315" s="108">
        <f>IF($A1315="",0,IF(COUNTIF(Config!$C$21:$C$23,$H1315)&gt;0,1,0))</f>
        <v>0</v>
      </c>
      <c r="Y1315" s="108">
        <f t="shared" si="241"/>
        <v>24</v>
      </c>
      <c r="Z1315" s="108" t="str">
        <f t="shared" si="242"/>
        <v/>
      </c>
      <c r="AB1315" s="108">
        <f t="shared" si="243"/>
        <v>0</v>
      </c>
      <c r="AC1315" s="108">
        <f>IF($A1315="",0,IF(AND($AB1315=1,COUNTIF($A$2:$A1315,$A1315)=1),1,0))</f>
        <v>0</v>
      </c>
      <c r="AD1315" s="108">
        <f t="shared" si="244"/>
        <v>1</v>
      </c>
      <c r="AE1315" s="108" t="str">
        <f t="shared" si="245"/>
        <v/>
      </c>
      <c r="AF1315" s="108">
        <f t="shared" si="246"/>
        <v>0</v>
      </c>
      <c r="AG1315" s="108">
        <f t="shared" si="247"/>
        <v>0</v>
      </c>
      <c r="AH1315" s="110" t="str">
        <f t="shared" si="248"/>
        <v/>
      </c>
      <c r="AI1315" s="108">
        <f t="shared" si="249"/>
        <v>0</v>
      </c>
      <c r="AJ1315" s="108">
        <f t="shared" si="250"/>
        <v>0</v>
      </c>
      <c r="AK1315" s="108">
        <f>IF($A1315="",0,IF(AND($S1315=1,$W1315=1,$X1315=1,$U1315&gt;Config!$C$9),1,0))</f>
        <v>0</v>
      </c>
      <c r="AL1315" s="108">
        <f t="shared" si="251"/>
        <v>0</v>
      </c>
    </row>
    <row r="1316" spans="19:38" x14ac:dyDescent="0.25">
      <c r="S1316" s="108" t="str">
        <f>IF($A1316="","",COUNTIF(BPOworkers!$B$6:$B$105,$A1316))</f>
        <v/>
      </c>
      <c r="T1316" s="109" t="str">
        <f>IF($A1316="","",$K1316*Config!$C$9)</f>
        <v/>
      </c>
      <c r="U1316" s="109" t="str">
        <f>IF($A1316="","",IF(COUNTIF(Config!$C$21:$C$23,$H1316)&gt;0,IFERROR(VALUE(LEFT(TRIM($Q1316),FIND(" ",TRIM($Q1316)&amp;" ")-1)),0),0))</f>
        <v/>
      </c>
      <c r="V1316" s="109" t="str">
        <f t="shared" si="240"/>
        <v/>
      </c>
      <c r="W1316" s="108">
        <f>IF($A1316="",0,IF(AND($C1316&gt;=Config!$C$7,$C1316&lt;=Config!$C$8),1,0))</f>
        <v>0</v>
      </c>
      <c r="X1316" s="108">
        <f>IF($A1316="",0,IF(COUNTIF(Config!$C$21:$C$23,$H1316)&gt;0,1,0))</f>
        <v>0</v>
      </c>
      <c r="Y1316" s="108">
        <f t="shared" si="241"/>
        <v>24</v>
      </c>
      <c r="Z1316" s="108" t="str">
        <f t="shared" si="242"/>
        <v/>
      </c>
      <c r="AB1316" s="108">
        <f t="shared" si="243"/>
        <v>0</v>
      </c>
      <c r="AC1316" s="108">
        <f>IF($A1316="",0,IF(AND($AB1316=1,COUNTIF($A$2:$A1316,$A1316)=1),1,0))</f>
        <v>0</v>
      </c>
      <c r="AD1316" s="108">
        <f t="shared" si="244"/>
        <v>1</v>
      </c>
      <c r="AE1316" s="108" t="str">
        <f t="shared" si="245"/>
        <v/>
      </c>
      <c r="AF1316" s="108">
        <f t="shared" si="246"/>
        <v>0</v>
      </c>
      <c r="AG1316" s="108">
        <f t="shared" si="247"/>
        <v>0</v>
      </c>
      <c r="AH1316" s="110" t="str">
        <f t="shared" si="248"/>
        <v/>
      </c>
      <c r="AI1316" s="108">
        <f t="shared" si="249"/>
        <v>0</v>
      </c>
      <c r="AJ1316" s="108">
        <f t="shared" si="250"/>
        <v>0</v>
      </c>
      <c r="AK1316" s="108">
        <f>IF($A1316="",0,IF(AND($S1316=1,$W1316=1,$X1316=1,$U1316&gt;Config!$C$9),1,0))</f>
        <v>0</v>
      </c>
      <c r="AL1316" s="108">
        <f t="shared" si="251"/>
        <v>0</v>
      </c>
    </row>
    <row r="1317" spans="19:38" x14ac:dyDescent="0.25">
      <c r="S1317" s="108" t="str">
        <f>IF($A1317="","",COUNTIF(BPOworkers!$B$6:$B$105,$A1317))</f>
        <v/>
      </c>
      <c r="T1317" s="109" t="str">
        <f>IF($A1317="","",$K1317*Config!$C$9)</f>
        <v/>
      </c>
      <c r="U1317" s="109" t="str">
        <f>IF($A1317="","",IF(COUNTIF(Config!$C$21:$C$23,$H1317)&gt;0,IFERROR(VALUE(LEFT(TRIM($Q1317),FIND(" ",TRIM($Q1317)&amp;" ")-1)),0),0))</f>
        <v/>
      </c>
      <c r="V1317" s="109" t="str">
        <f t="shared" si="240"/>
        <v/>
      </c>
      <c r="W1317" s="108">
        <f>IF($A1317="",0,IF(AND($C1317&gt;=Config!$C$7,$C1317&lt;=Config!$C$8),1,0))</f>
        <v>0</v>
      </c>
      <c r="X1317" s="108">
        <f>IF($A1317="",0,IF(COUNTIF(Config!$C$21:$C$23,$H1317)&gt;0,1,0))</f>
        <v>0</v>
      </c>
      <c r="Y1317" s="108">
        <f t="shared" si="241"/>
        <v>24</v>
      </c>
      <c r="Z1317" s="108" t="str">
        <f t="shared" si="242"/>
        <v/>
      </c>
      <c r="AB1317" s="108">
        <f t="shared" si="243"/>
        <v>0</v>
      </c>
      <c r="AC1317" s="108">
        <f>IF($A1317="",0,IF(AND($AB1317=1,COUNTIF($A$2:$A1317,$A1317)=1),1,0))</f>
        <v>0</v>
      </c>
      <c r="AD1317" s="108">
        <f t="shared" si="244"/>
        <v>1</v>
      </c>
      <c r="AE1317" s="108" t="str">
        <f t="shared" si="245"/>
        <v/>
      </c>
      <c r="AF1317" s="108">
        <f t="shared" si="246"/>
        <v>0</v>
      </c>
      <c r="AG1317" s="108">
        <f t="shared" si="247"/>
        <v>0</v>
      </c>
      <c r="AH1317" s="110" t="str">
        <f t="shared" si="248"/>
        <v/>
      </c>
      <c r="AI1317" s="108">
        <f t="shared" si="249"/>
        <v>0</v>
      </c>
      <c r="AJ1317" s="108">
        <f t="shared" si="250"/>
        <v>0</v>
      </c>
      <c r="AK1317" s="108">
        <f>IF($A1317="",0,IF(AND($S1317=1,$W1317=1,$X1317=1,$U1317&gt;Config!$C$9),1,0))</f>
        <v>0</v>
      </c>
      <c r="AL1317" s="108">
        <f t="shared" si="251"/>
        <v>0</v>
      </c>
    </row>
    <row r="1318" spans="19:38" x14ac:dyDescent="0.25">
      <c r="S1318" s="108" t="str">
        <f>IF($A1318="","",COUNTIF(BPOworkers!$B$6:$B$105,$A1318))</f>
        <v/>
      </c>
      <c r="T1318" s="109" t="str">
        <f>IF($A1318="","",$K1318*Config!$C$9)</f>
        <v/>
      </c>
      <c r="U1318" s="109" t="str">
        <f>IF($A1318="","",IF(COUNTIF(Config!$C$21:$C$23,$H1318)&gt;0,IFERROR(VALUE(LEFT(TRIM($Q1318),FIND(" ",TRIM($Q1318)&amp;" ")-1)),0),0))</f>
        <v/>
      </c>
      <c r="V1318" s="109" t="str">
        <f t="shared" si="240"/>
        <v/>
      </c>
      <c r="W1318" s="108">
        <f>IF($A1318="",0,IF(AND($C1318&gt;=Config!$C$7,$C1318&lt;=Config!$C$8),1,0))</f>
        <v>0</v>
      </c>
      <c r="X1318" s="108">
        <f>IF($A1318="",0,IF(COUNTIF(Config!$C$21:$C$23,$H1318)&gt;0,1,0))</f>
        <v>0</v>
      </c>
      <c r="Y1318" s="108">
        <f t="shared" si="241"/>
        <v>24</v>
      </c>
      <c r="Z1318" s="108" t="str">
        <f t="shared" si="242"/>
        <v/>
      </c>
      <c r="AB1318" s="108">
        <f t="shared" si="243"/>
        <v>0</v>
      </c>
      <c r="AC1318" s="108">
        <f>IF($A1318="",0,IF(AND($AB1318=1,COUNTIF($A$2:$A1318,$A1318)=1),1,0))</f>
        <v>0</v>
      </c>
      <c r="AD1318" s="108">
        <f t="shared" si="244"/>
        <v>1</v>
      </c>
      <c r="AE1318" s="108" t="str">
        <f t="shared" si="245"/>
        <v/>
      </c>
      <c r="AF1318" s="108">
        <f t="shared" si="246"/>
        <v>0</v>
      </c>
      <c r="AG1318" s="108">
        <f t="shared" si="247"/>
        <v>0</v>
      </c>
      <c r="AH1318" s="110" t="str">
        <f t="shared" si="248"/>
        <v/>
      </c>
      <c r="AI1318" s="108">
        <f t="shared" si="249"/>
        <v>0</v>
      </c>
      <c r="AJ1318" s="108">
        <f t="shared" si="250"/>
        <v>0</v>
      </c>
      <c r="AK1318" s="108">
        <f>IF($A1318="",0,IF(AND($S1318=1,$W1318=1,$X1318=1,$U1318&gt;Config!$C$9),1,0))</f>
        <v>0</v>
      </c>
      <c r="AL1318" s="108">
        <f t="shared" si="251"/>
        <v>0</v>
      </c>
    </row>
    <row r="1319" spans="19:38" x14ac:dyDescent="0.25">
      <c r="S1319" s="108" t="str">
        <f>IF($A1319="","",COUNTIF(BPOworkers!$B$6:$B$105,$A1319))</f>
        <v/>
      </c>
      <c r="T1319" s="109" t="str">
        <f>IF($A1319="","",$K1319*Config!$C$9)</f>
        <v/>
      </c>
      <c r="U1319" s="109" t="str">
        <f>IF($A1319="","",IF(COUNTIF(Config!$C$21:$C$23,$H1319)&gt;0,IFERROR(VALUE(LEFT(TRIM($Q1319),FIND(" ",TRIM($Q1319)&amp;" ")-1)),0),0))</f>
        <v/>
      </c>
      <c r="V1319" s="109" t="str">
        <f t="shared" si="240"/>
        <v/>
      </c>
      <c r="W1319" s="108">
        <f>IF($A1319="",0,IF(AND($C1319&gt;=Config!$C$7,$C1319&lt;=Config!$C$8),1,0))</f>
        <v>0</v>
      </c>
      <c r="X1319" s="108">
        <f>IF($A1319="",0,IF(COUNTIF(Config!$C$21:$C$23,$H1319)&gt;0,1,0))</f>
        <v>0</v>
      </c>
      <c r="Y1319" s="108">
        <f t="shared" si="241"/>
        <v>24</v>
      </c>
      <c r="Z1319" s="108" t="str">
        <f t="shared" si="242"/>
        <v/>
      </c>
      <c r="AB1319" s="108">
        <f t="shared" si="243"/>
        <v>0</v>
      </c>
      <c r="AC1319" s="108">
        <f>IF($A1319="",0,IF(AND($AB1319=1,COUNTIF($A$2:$A1319,$A1319)=1),1,0))</f>
        <v>0</v>
      </c>
      <c r="AD1319" s="108">
        <f t="shared" si="244"/>
        <v>1</v>
      </c>
      <c r="AE1319" s="108" t="str">
        <f t="shared" si="245"/>
        <v/>
      </c>
      <c r="AF1319" s="108">
        <f t="shared" si="246"/>
        <v>0</v>
      </c>
      <c r="AG1319" s="108">
        <f t="shared" si="247"/>
        <v>0</v>
      </c>
      <c r="AH1319" s="110" t="str">
        <f t="shared" si="248"/>
        <v/>
      </c>
      <c r="AI1319" s="108">
        <f t="shared" si="249"/>
        <v>0</v>
      </c>
      <c r="AJ1319" s="108">
        <f t="shared" si="250"/>
        <v>0</v>
      </c>
      <c r="AK1319" s="108">
        <f>IF($A1319="",0,IF(AND($S1319=1,$W1319=1,$X1319=1,$U1319&gt;Config!$C$9),1,0))</f>
        <v>0</v>
      </c>
      <c r="AL1319" s="108">
        <f t="shared" si="251"/>
        <v>0</v>
      </c>
    </row>
    <row r="1320" spans="19:38" x14ac:dyDescent="0.25">
      <c r="S1320" s="108" t="str">
        <f>IF($A1320="","",COUNTIF(BPOworkers!$B$6:$B$105,$A1320))</f>
        <v/>
      </c>
      <c r="T1320" s="109" t="str">
        <f>IF($A1320="","",$K1320*Config!$C$9)</f>
        <v/>
      </c>
      <c r="U1320" s="109" t="str">
        <f>IF($A1320="","",IF(COUNTIF(Config!$C$21:$C$23,$H1320)&gt;0,IFERROR(VALUE(LEFT(TRIM($Q1320),FIND(" ",TRIM($Q1320)&amp;" ")-1)),0),0))</f>
        <v/>
      </c>
      <c r="V1320" s="109" t="str">
        <f t="shared" si="240"/>
        <v/>
      </c>
      <c r="W1320" s="108">
        <f>IF($A1320="",0,IF(AND($C1320&gt;=Config!$C$7,$C1320&lt;=Config!$C$8),1,0))</f>
        <v>0</v>
      </c>
      <c r="X1320" s="108">
        <f>IF($A1320="",0,IF(COUNTIF(Config!$C$21:$C$23,$H1320)&gt;0,1,0))</f>
        <v>0</v>
      </c>
      <c r="Y1320" s="108">
        <f t="shared" si="241"/>
        <v>24</v>
      </c>
      <c r="Z1320" s="108" t="str">
        <f t="shared" si="242"/>
        <v/>
      </c>
      <c r="AB1320" s="108">
        <f t="shared" si="243"/>
        <v>0</v>
      </c>
      <c r="AC1320" s="108">
        <f>IF($A1320="",0,IF(AND($AB1320=1,COUNTIF($A$2:$A1320,$A1320)=1),1,0))</f>
        <v>0</v>
      </c>
      <c r="AD1320" s="108">
        <f t="shared" si="244"/>
        <v>1</v>
      </c>
      <c r="AE1320" s="108" t="str">
        <f t="shared" si="245"/>
        <v/>
      </c>
      <c r="AF1320" s="108">
        <f t="shared" si="246"/>
        <v>0</v>
      </c>
      <c r="AG1320" s="108">
        <f t="shared" si="247"/>
        <v>0</v>
      </c>
      <c r="AH1320" s="110" t="str">
        <f t="shared" si="248"/>
        <v/>
      </c>
      <c r="AI1320" s="108">
        <f t="shared" si="249"/>
        <v>0</v>
      </c>
      <c r="AJ1320" s="108">
        <f t="shared" si="250"/>
        <v>0</v>
      </c>
      <c r="AK1320" s="108">
        <f>IF($A1320="",0,IF(AND($S1320=1,$W1320=1,$X1320=1,$U1320&gt;Config!$C$9),1,0))</f>
        <v>0</v>
      </c>
      <c r="AL1320" s="108">
        <f t="shared" si="251"/>
        <v>0</v>
      </c>
    </row>
    <row r="1321" spans="19:38" x14ac:dyDescent="0.25">
      <c r="S1321" s="108" t="str">
        <f>IF($A1321="","",COUNTIF(BPOworkers!$B$6:$B$105,$A1321))</f>
        <v/>
      </c>
      <c r="T1321" s="109" t="str">
        <f>IF($A1321="","",$K1321*Config!$C$9)</f>
        <v/>
      </c>
      <c r="U1321" s="109" t="str">
        <f>IF($A1321="","",IF(COUNTIF(Config!$C$21:$C$23,$H1321)&gt;0,IFERROR(VALUE(LEFT(TRIM($Q1321),FIND(" ",TRIM($Q1321)&amp;" ")-1)),0),0))</f>
        <v/>
      </c>
      <c r="V1321" s="109" t="str">
        <f t="shared" si="240"/>
        <v/>
      </c>
      <c r="W1321" s="108">
        <f>IF($A1321="",0,IF(AND($C1321&gt;=Config!$C$7,$C1321&lt;=Config!$C$8),1,0))</f>
        <v>0</v>
      </c>
      <c r="X1321" s="108">
        <f>IF($A1321="",0,IF(COUNTIF(Config!$C$21:$C$23,$H1321)&gt;0,1,0))</f>
        <v>0</v>
      </c>
      <c r="Y1321" s="108">
        <f t="shared" si="241"/>
        <v>24</v>
      </c>
      <c r="Z1321" s="108" t="str">
        <f t="shared" si="242"/>
        <v/>
      </c>
      <c r="AB1321" s="108">
        <f t="shared" si="243"/>
        <v>0</v>
      </c>
      <c r="AC1321" s="108">
        <f>IF($A1321="",0,IF(AND($AB1321=1,COUNTIF($A$2:$A1321,$A1321)=1),1,0))</f>
        <v>0</v>
      </c>
      <c r="AD1321" s="108">
        <f t="shared" si="244"/>
        <v>1</v>
      </c>
      <c r="AE1321" s="108" t="str">
        <f t="shared" si="245"/>
        <v/>
      </c>
      <c r="AF1321" s="108">
        <f t="shared" si="246"/>
        <v>0</v>
      </c>
      <c r="AG1321" s="108">
        <f t="shared" si="247"/>
        <v>0</v>
      </c>
      <c r="AH1321" s="110" t="str">
        <f t="shared" si="248"/>
        <v/>
      </c>
      <c r="AI1321" s="108">
        <f t="shared" si="249"/>
        <v>0</v>
      </c>
      <c r="AJ1321" s="108">
        <f t="shared" si="250"/>
        <v>0</v>
      </c>
      <c r="AK1321" s="108">
        <f>IF($A1321="",0,IF(AND($S1321=1,$W1321=1,$X1321=1,$U1321&gt;Config!$C$9),1,0))</f>
        <v>0</v>
      </c>
      <c r="AL1321" s="108">
        <f t="shared" si="251"/>
        <v>0</v>
      </c>
    </row>
    <row r="1322" spans="19:38" x14ac:dyDescent="0.25">
      <c r="S1322" s="108" t="str">
        <f>IF($A1322="","",COUNTIF(BPOworkers!$B$6:$B$105,$A1322))</f>
        <v/>
      </c>
      <c r="T1322" s="109" t="str">
        <f>IF($A1322="","",$K1322*Config!$C$9)</f>
        <v/>
      </c>
      <c r="U1322" s="109" t="str">
        <f>IF($A1322="","",IF(COUNTIF(Config!$C$21:$C$23,$H1322)&gt;0,IFERROR(VALUE(LEFT(TRIM($Q1322),FIND(" ",TRIM($Q1322)&amp;" ")-1)),0),0))</f>
        <v/>
      </c>
      <c r="V1322" s="109" t="str">
        <f t="shared" si="240"/>
        <v/>
      </c>
      <c r="W1322" s="108">
        <f>IF($A1322="",0,IF(AND($C1322&gt;=Config!$C$7,$C1322&lt;=Config!$C$8),1,0))</f>
        <v>0</v>
      </c>
      <c r="X1322" s="108">
        <f>IF($A1322="",0,IF(COUNTIF(Config!$C$21:$C$23,$H1322)&gt;0,1,0))</f>
        <v>0</v>
      </c>
      <c r="Y1322" s="108">
        <f t="shared" si="241"/>
        <v>24</v>
      </c>
      <c r="Z1322" s="108" t="str">
        <f t="shared" si="242"/>
        <v/>
      </c>
      <c r="AB1322" s="108">
        <f t="shared" si="243"/>
        <v>0</v>
      </c>
      <c r="AC1322" s="108">
        <f>IF($A1322="",0,IF(AND($AB1322=1,COUNTIF($A$2:$A1322,$A1322)=1),1,0))</f>
        <v>0</v>
      </c>
      <c r="AD1322" s="108">
        <f t="shared" si="244"/>
        <v>1</v>
      </c>
      <c r="AE1322" s="108" t="str">
        <f t="shared" si="245"/>
        <v/>
      </c>
      <c r="AF1322" s="108">
        <f t="shared" si="246"/>
        <v>0</v>
      </c>
      <c r="AG1322" s="108">
        <f t="shared" si="247"/>
        <v>0</v>
      </c>
      <c r="AH1322" s="110" t="str">
        <f t="shared" si="248"/>
        <v/>
      </c>
      <c r="AI1322" s="108">
        <f t="shared" si="249"/>
        <v>0</v>
      </c>
      <c r="AJ1322" s="108">
        <f t="shared" si="250"/>
        <v>0</v>
      </c>
      <c r="AK1322" s="108">
        <f>IF($A1322="",0,IF(AND($S1322=1,$W1322=1,$X1322=1,$U1322&gt;Config!$C$9),1,0))</f>
        <v>0</v>
      </c>
      <c r="AL1322" s="108">
        <f t="shared" si="251"/>
        <v>0</v>
      </c>
    </row>
    <row r="1323" spans="19:38" x14ac:dyDescent="0.25">
      <c r="S1323" s="108" t="str">
        <f>IF($A1323="","",COUNTIF(BPOworkers!$B$6:$B$105,$A1323))</f>
        <v/>
      </c>
      <c r="T1323" s="109" t="str">
        <f>IF($A1323="","",$K1323*Config!$C$9)</f>
        <v/>
      </c>
      <c r="U1323" s="109" t="str">
        <f>IF($A1323="","",IF(COUNTIF(Config!$C$21:$C$23,$H1323)&gt;0,IFERROR(VALUE(LEFT(TRIM($Q1323),FIND(" ",TRIM($Q1323)&amp;" ")-1)),0),0))</f>
        <v/>
      </c>
      <c r="V1323" s="109" t="str">
        <f t="shared" si="240"/>
        <v/>
      </c>
      <c r="W1323" s="108">
        <f>IF($A1323="",0,IF(AND($C1323&gt;=Config!$C$7,$C1323&lt;=Config!$C$8),1,0))</f>
        <v>0</v>
      </c>
      <c r="X1323" s="108">
        <f>IF($A1323="",0,IF(COUNTIF(Config!$C$21:$C$23,$H1323)&gt;0,1,0))</f>
        <v>0</v>
      </c>
      <c r="Y1323" s="108">
        <f t="shared" si="241"/>
        <v>24</v>
      </c>
      <c r="Z1323" s="108" t="str">
        <f t="shared" si="242"/>
        <v/>
      </c>
      <c r="AB1323" s="108">
        <f t="shared" si="243"/>
        <v>0</v>
      </c>
      <c r="AC1323" s="108">
        <f>IF($A1323="",0,IF(AND($AB1323=1,COUNTIF($A$2:$A1323,$A1323)=1),1,0))</f>
        <v>0</v>
      </c>
      <c r="AD1323" s="108">
        <f t="shared" si="244"/>
        <v>1</v>
      </c>
      <c r="AE1323" s="108" t="str">
        <f t="shared" si="245"/>
        <v/>
      </c>
      <c r="AF1323" s="108">
        <f t="shared" si="246"/>
        <v>0</v>
      </c>
      <c r="AG1323" s="108">
        <f t="shared" si="247"/>
        <v>0</v>
      </c>
      <c r="AH1323" s="110" t="str">
        <f t="shared" si="248"/>
        <v/>
      </c>
      <c r="AI1323" s="108">
        <f t="shared" si="249"/>
        <v>0</v>
      </c>
      <c r="AJ1323" s="108">
        <f t="shared" si="250"/>
        <v>0</v>
      </c>
      <c r="AK1323" s="108">
        <f>IF($A1323="",0,IF(AND($S1323=1,$W1323=1,$X1323=1,$U1323&gt;Config!$C$9),1,0))</f>
        <v>0</v>
      </c>
      <c r="AL1323" s="108">
        <f t="shared" si="251"/>
        <v>0</v>
      </c>
    </row>
    <row r="1324" spans="19:38" x14ac:dyDescent="0.25">
      <c r="S1324" s="108" t="str">
        <f>IF($A1324="","",COUNTIF(BPOworkers!$B$6:$B$105,$A1324))</f>
        <v/>
      </c>
      <c r="T1324" s="109" t="str">
        <f>IF($A1324="","",$K1324*Config!$C$9)</f>
        <v/>
      </c>
      <c r="U1324" s="109" t="str">
        <f>IF($A1324="","",IF(COUNTIF(Config!$C$21:$C$23,$H1324)&gt;0,IFERROR(VALUE(LEFT(TRIM($Q1324),FIND(" ",TRIM($Q1324)&amp;" ")-1)),0),0))</f>
        <v/>
      </c>
      <c r="V1324" s="109" t="str">
        <f t="shared" si="240"/>
        <v/>
      </c>
      <c r="W1324" s="108">
        <f>IF($A1324="",0,IF(AND($C1324&gt;=Config!$C$7,$C1324&lt;=Config!$C$8),1,0))</f>
        <v>0</v>
      </c>
      <c r="X1324" s="108">
        <f>IF($A1324="",0,IF(COUNTIF(Config!$C$21:$C$23,$H1324)&gt;0,1,0))</f>
        <v>0</v>
      </c>
      <c r="Y1324" s="108">
        <f t="shared" si="241"/>
        <v>24</v>
      </c>
      <c r="Z1324" s="108" t="str">
        <f t="shared" si="242"/>
        <v/>
      </c>
      <c r="AB1324" s="108">
        <f t="shared" si="243"/>
        <v>0</v>
      </c>
      <c r="AC1324" s="108">
        <f>IF($A1324="",0,IF(AND($AB1324=1,COUNTIF($A$2:$A1324,$A1324)=1),1,0))</f>
        <v>0</v>
      </c>
      <c r="AD1324" s="108">
        <f t="shared" si="244"/>
        <v>1</v>
      </c>
      <c r="AE1324" s="108" t="str">
        <f t="shared" si="245"/>
        <v/>
      </c>
      <c r="AF1324" s="108">
        <f t="shared" si="246"/>
        <v>0</v>
      </c>
      <c r="AG1324" s="108">
        <f t="shared" si="247"/>
        <v>0</v>
      </c>
      <c r="AH1324" s="110" t="str">
        <f t="shared" si="248"/>
        <v/>
      </c>
      <c r="AI1324" s="108">
        <f t="shared" si="249"/>
        <v>0</v>
      </c>
      <c r="AJ1324" s="108">
        <f t="shared" si="250"/>
        <v>0</v>
      </c>
      <c r="AK1324" s="108">
        <f>IF($A1324="",0,IF(AND($S1324=1,$W1324=1,$X1324=1,$U1324&gt;Config!$C$9),1,0))</f>
        <v>0</v>
      </c>
      <c r="AL1324" s="108">
        <f t="shared" si="251"/>
        <v>0</v>
      </c>
    </row>
    <row r="1325" spans="19:38" x14ac:dyDescent="0.25">
      <c r="S1325" s="108" t="str">
        <f>IF($A1325="","",COUNTIF(BPOworkers!$B$6:$B$105,$A1325))</f>
        <v/>
      </c>
      <c r="T1325" s="109" t="str">
        <f>IF($A1325="","",$K1325*Config!$C$9)</f>
        <v/>
      </c>
      <c r="U1325" s="109" t="str">
        <f>IF($A1325="","",IF(COUNTIF(Config!$C$21:$C$23,$H1325)&gt;0,IFERROR(VALUE(LEFT(TRIM($Q1325),FIND(" ",TRIM($Q1325)&amp;" ")-1)),0),0))</f>
        <v/>
      </c>
      <c r="V1325" s="109" t="str">
        <f t="shared" si="240"/>
        <v/>
      </c>
      <c r="W1325" s="108">
        <f>IF($A1325="",0,IF(AND($C1325&gt;=Config!$C$7,$C1325&lt;=Config!$C$8),1,0))</f>
        <v>0</v>
      </c>
      <c r="X1325" s="108">
        <f>IF($A1325="",0,IF(COUNTIF(Config!$C$21:$C$23,$H1325)&gt;0,1,0))</f>
        <v>0</v>
      </c>
      <c r="Y1325" s="108">
        <f t="shared" si="241"/>
        <v>24</v>
      </c>
      <c r="Z1325" s="108" t="str">
        <f t="shared" si="242"/>
        <v/>
      </c>
      <c r="AB1325" s="108">
        <f t="shared" si="243"/>
        <v>0</v>
      </c>
      <c r="AC1325" s="108">
        <f>IF($A1325="",0,IF(AND($AB1325=1,COUNTIF($A$2:$A1325,$A1325)=1),1,0))</f>
        <v>0</v>
      </c>
      <c r="AD1325" s="108">
        <f t="shared" si="244"/>
        <v>1</v>
      </c>
      <c r="AE1325" s="108" t="str">
        <f t="shared" si="245"/>
        <v/>
      </c>
      <c r="AF1325" s="108">
        <f t="shared" si="246"/>
        <v>0</v>
      </c>
      <c r="AG1325" s="108">
        <f t="shared" si="247"/>
        <v>0</v>
      </c>
      <c r="AH1325" s="110" t="str">
        <f t="shared" si="248"/>
        <v/>
      </c>
      <c r="AI1325" s="108">
        <f t="shared" si="249"/>
        <v>0</v>
      </c>
      <c r="AJ1325" s="108">
        <f t="shared" si="250"/>
        <v>0</v>
      </c>
      <c r="AK1325" s="108">
        <f>IF($A1325="",0,IF(AND($S1325=1,$W1325=1,$X1325=1,$U1325&gt;Config!$C$9),1,0))</f>
        <v>0</v>
      </c>
      <c r="AL1325" s="108">
        <f t="shared" si="251"/>
        <v>0</v>
      </c>
    </row>
    <row r="1326" spans="19:38" x14ac:dyDescent="0.25">
      <c r="S1326" s="108" t="str">
        <f>IF($A1326="","",COUNTIF(BPOworkers!$B$6:$B$105,$A1326))</f>
        <v/>
      </c>
      <c r="T1326" s="109" t="str">
        <f>IF($A1326="","",$K1326*Config!$C$9)</f>
        <v/>
      </c>
      <c r="U1326" s="109" t="str">
        <f>IF($A1326="","",IF(COUNTIF(Config!$C$21:$C$23,$H1326)&gt;0,IFERROR(VALUE(LEFT(TRIM($Q1326),FIND(" ",TRIM($Q1326)&amp;" ")-1)),0),0))</f>
        <v/>
      </c>
      <c r="V1326" s="109" t="str">
        <f t="shared" si="240"/>
        <v/>
      </c>
      <c r="W1326" s="108">
        <f>IF($A1326="",0,IF(AND($C1326&gt;=Config!$C$7,$C1326&lt;=Config!$C$8),1,0))</f>
        <v>0</v>
      </c>
      <c r="X1326" s="108">
        <f>IF($A1326="",0,IF(COUNTIF(Config!$C$21:$C$23,$H1326)&gt;0,1,0))</f>
        <v>0</v>
      </c>
      <c r="Y1326" s="108">
        <f t="shared" si="241"/>
        <v>24</v>
      </c>
      <c r="Z1326" s="108" t="str">
        <f t="shared" si="242"/>
        <v/>
      </c>
      <c r="AB1326" s="108">
        <f t="shared" si="243"/>
        <v>0</v>
      </c>
      <c r="AC1326" s="108">
        <f>IF($A1326="",0,IF(AND($AB1326=1,COUNTIF($A$2:$A1326,$A1326)=1),1,0))</f>
        <v>0</v>
      </c>
      <c r="AD1326" s="108">
        <f t="shared" si="244"/>
        <v>1</v>
      </c>
      <c r="AE1326" s="108" t="str">
        <f t="shared" si="245"/>
        <v/>
      </c>
      <c r="AF1326" s="108">
        <f t="shared" si="246"/>
        <v>0</v>
      </c>
      <c r="AG1326" s="108">
        <f t="shared" si="247"/>
        <v>0</v>
      </c>
      <c r="AH1326" s="110" t="str">
        <f t="shared" si="248"/>
        <v/>
      </c>
      <c r="AI1326" s="108">
        <f t="shared" si="249"/>
        <v>0</v>
      </c>
      <c r="AJ1326" s="108">
        <f t="shared" si="250"/>
        <v>0</v>
      </c>
      <c r="AK1326" s="108">
        <f>IF($A1326="",0,IF(AND($S1326=1,$W1326=1,$X1326=1,$U1326&gt;Config!$C$9),1,0))</f>
        <v>0</v>
      </c>
      <c r="AL1326" s="108">
        <f t="shared" si="251"/>
        <v>0</v>
      </c>
    </row>
    <row r="1327" spans="19:38" x14ac:dyDescent="0.25">
      <c r="S1327" s="108" t="str">
        <f>IF($A1327="","",COUNTIF(BPOworkers!$B$6:$B$105,$A1327))</f>
        <v/>
      </c>
      <c r="T1327" s="109" t="str">
        <f>IF($A1327="","",$K1327*Config!$C$9)</f>
        <v/>
      </c>
      <c r="U1327" s="109" t="str">
        <f>IF($A1327="","",IF(COUNTIF(Config!$C$21:$C$23,$H1327)&gt;0,IFERROR(VALUE(LEFT(TRIM($Q1327),FIND(" ",TRIM($Q1327)&amp;" ")-1)),0),0))</f>
        <v/>
      </c>
      <c r="V1327" s="109" t="str">
        <f t="shared" si="240"/>
        <v/>
      </c>
      <c r="W1327" s="108">
        <f>IF($A1327="",0,IF(AND($C1327&gt;=Config!$C$7,$C1327&lt;=Config!$C$8),1,0))</f>
        <v>0</v>
      </c>
      <c r="X1327" s="108">
        <f>IF($A1327="",0,IF(COUNTIF(Config!$C$21:$C$23,$H1327)&gt;0,1,0))</f>
        <v>0</v>
      </c>
      <c r="Y1327" s="108">
        <f t="shared" si="241"/>
        <v>24</v>
      </c>
      <c r="Z1327" s="108" t="str">
        <f t="shared" si="242"/>
        <v/>
      </c>
      <c r="AB1327" s="108">
        <f t="shared" si="243"/>
        <v>0</v>
      </c>
      <c r="AC1327" s="108">
        <f>IF($A1327="",0,IF(AND($AB1327=1,COUNTIF($A$2:$A1327,$A1327)=1),1,0))</f>
        <v>0</v>
      </c>
      <c r="AD1327" s="108">
        <f t="shared" si="244"/>
        <v>1</v>
      </c>
      <c r="AE1327" s="108" t="str">
        <f t="shared" si="245"/>
        <v/>
      </c>
      <c r="AF1327" s="108">
        <f t="shared" si="246"/>
        <v>0</v>
      </c>
      <c r="AG1327" s="108">
        <f t="shared" si="247"/>
        <v>0</v>
      </c>
      <c r="AH1327" s="110" t="str">
        <f t="shared" si="248"/>
        <v/>
      </c>
      <c r="AI1327" s="108">
        <f t="shared" si="249"/>
        <v>0</v>
      </c>
      <c r="AJ1327" s="108">
        <f t="shared" si="250"/>
        <v>0</v>
      </c>
      <c r="AK1327" s="108">
        <f>IF($A1327="",0,IF(AND($S1327=1,$W1327=1,$X1327=1,$U1327&gt;Config!$C$9),1,0))</f>
        <v>0</v>
      </c>
      <c r="AL1327" s="108">
        <f t="shared" si="251"/>
        <v>0</v>
      </c>
    </row>
    <row r="1328" spans="19:38" x14ac:dyDescent="0.25">
      <c r="S1328" s="108" t="str">
        <f>IF($A1328="","",COUNTIF(BPOworkers!$B$6:$B$105,$A1328))</f>
        <v/>
      </c>
      <c r="T1328" s="109" t="str">
        <f>IF($A1328="","",$K1328*Config!$C$9)</f>
        <v/>
      </c>
      <c r="U1328" s="109" t="str">
        <f>IF($A1328="","",IF(COUNTIF(Config!$C$21:$C$23,$H1328)&gt;0,IFERROR(VALUE(LEFT(TRIM($Q1328),FIND(" ",TRIM($Q1328)&amp;" ")-1)),0),0))</f>
        <v/>
      </c>
      <c r="V1328" s="109" t="str">
        <f t="shared" si="240"/>
        <v/>
      </c>
      <c r="W1328" s="108">
        <f>IF($A1328="",0,IF(AND($C1328&gt;=Config!$C$7,$C1328&lt;=Config!$C$8),1,0))</f>
        <v>0</v>
      </c>
      <c r="X1328" s="108">
        <f>IF($A1328="",0,IF(COUNTIF(Config!$C$21:$C$23,$H1328)&gt;0,1,0))</f>
        <v>0</v>
      </c>
      <c r="Y1328" s="108">
        <f t="shared" si="241"/>
        <v>24</v>
      </c>
      <c r="Z1328" s="108" t="str">
        <f t="shared" si="242"/>
        <v/>
      </c>
      <c r="AB1328" s="108">
        <f t="shared" si="243"/>
        <v>0</v>
      </c>
      <c r="AC1328" s="108">
        <f>IF($A1328="",0,IF(AND($AB1328=1,COUNTIF($A$2:$A1328,$A1328)=1),1,0))</f>
        <v>0</v>
      </c>
      <c r="AD1328" s="108">
        <f t="shared" si="244"/>
        <v>1</v>
      </c>
      <c r="AE1328" s="108" t="str">
        <f t="shared" si="245"/>
        <v/>
      </c>
      <c r="AF1328" s="108">
        <f t="shared" si="246"/>
        <v>0</v>
      </c>
      <c r="AG1328" s="108">
        <f t="shared" si="247"/>
        <v>0</v>
      </c>
      <c r="AH1328" s="110" t="str">
        <f t="shared" si="248"/>
        <v/>
      </c>
      <c r="AI1328" s="108">
        <f t="shared" si="249"/>
        <v>0</v>
      </c>
      <c r="AJ1328" s="108">
        <f t="shared" si="250"/>
        <v>0</v>
      </c>
      <c r="AK1328" s="108">
        <f>IF($A1328="",0,IF(AND($S1328=1,$W1328=1,$X1328=1,$U1328&gt;Config!$C$9),1,0))</f>
        <v>0</v>
      </c>
      <c r="AL1328" s="108">
        <f t="shared" si="251"/>
        <v>0</v>
      </c>
    </row>
    <row r="1329" spans="19:38" x14ac:dyDescent="0.25">
      <c r="S1329" s="108" t="str">
        <f>IF($A1329="","",COUNTIF(BPOworkers!$B$6:$B$105,$A1329))</f>
        <v/>
      </c>
      <c r="T1329" s="109" t="str">
        <f>IF($A1329="","",$K1329*Config!$C$9)</f>
        <v/>
      </c>
      <c r="U1329" s="109" t="str">
        <f>IF($A1329="","",IF(COUNTIF(Config!$C$21:$C$23,$H1329)&gt;0,IFERROR(VALUE(LEFT(TRIM($Q1329),FIND(" ",TRIM($Q1329)&amp;" ")-1)),0),0))</f>
        <v/>
      </c>
      <c r="V1329" s="109" t="str">
        <f t="shared" si="240"/>
        <v/>
      </c>
      <c r="W1329" s="108">
        <f>IF($A1329="",0,IF(AND($C1329&gt;=Config!$C$7,$C1329&lt;=Config!$C$8),1,0))</f>
        <v>0</v>
      </c>
      <c r="X1329" s="108">
        <f>IF($A1329="",0,IF(COUNTIF(Config!$C$21:$C$23,$H1329)&gt;0,1,0))</f>
        <v>0</v>
      </c>
      <c r="Y1329" s="108">
        <f t="shared" si="241"/>
        <v>24</v>
      </c>
      <c r="Z1329" s="108" t="str">
        <f t="shared" si="242"/>
        <v/>
      </c>
      <c r="AB1329" s="108">
        <f t="shared" si="243"/>
        <v>0</v>
      </c>
      <c r="AC1329" s="108">
        <f>IF($A1329="",0,IF(AND($AB1329=1,COUNTIF($A$2:$A1329,$A1329)=1),1,0))</f>
        <v>0</v>
      </c>
      <c r="AD1329" s="108">
        <f t="shared" si="244"/>
        <v>1</v>
      </c>
      <c r="AE1329" s="108" t="str">
        <f t="shared" si="245"/>
        <v/>
      </c>
      <c r="AF1329" s="108">
        <f t="shared" si="246"/>
        <v>0</v>
      </c>
      <c r="AG1329" s="108">
        <f t="shared" si="247"/>
        <v>0</v>
      </c>
      <c r="AH1329" s="110" t="str">
        <f t="shared" si="248"/>
        <v/>
      </c>
      <c r="AI1329" s="108">
        <f t="shared" si="249"/>
        <v>0</v>
      </c>
      <c r="AJ1329" s="108">
        <f t="shared" si="250"/>
        <v>0</v>
      </c>
      <c r="AK1329" s="108">
        <f>IF($A1329="",0,IF(AND($S1329=1,$W1329=1,$X1329=1,$U1329&gt;Config!$C$9),1,0))</f>
        <v>0</v>
      </c>
      <c r="AL1329" s="108">
        <f t="shared" si="251"/>
        <v>0</v>
      </c>
    </row>
    <row r="1330" spans="19:38" x14ac:dyDescent="0.25">
      <c r="S1330" s="108" t="str">
        <f>IF($A1330="","",COUNTIF(BPOworkers!$B$6:$B$105,$A1330))</f>
        <v/>
      </c>
      <c r="T1330" s="109" t="str">
        <f>IF($A1330="","",$K1330*Config!$C$9)</f>
        <v/>
      </c>
      <c r="U1330" s="109" t="str">
        <f>IF($A1330="","",IF(COUNTIF(Config!$C$21:$C$23,$H1330)&gt;0,IFERROR(VALUE(LEFT(TRIM($Q1330),FIND(" ",TRIM($Q1330)&amp;" ")-1)),0),0))</f>
        <v/>
      </c>
      <c r="V1330" s="109" t="str">
        <f t="shared" si="240"/>
        <v/>
      </c>
      <c r="W1330" s="108">
        <f>IF($A1330="",0,IF(AND($C1330&gt;=Config!$C$7,$C1330&lt;=Config!$C$8),1,0))</f>
        <v>0</v>
      </c>
      <c r="X1330" s="108">
        <f>IF($A1330="",0,IF(COUNTIF(Config!$C$21:$C$23,$H1330)&gt;0,1,0))</f>
        <v>0</v>
      </c>
      <c r="Y1330" s="108">
        <f t="shared" si="241"/>
        <v>24</v>
      </c>
      <c r="Z1330" s="108" t="str">
        <f t="shared" si="242"/>
        <v/>
      </c>
      <c r="AB1330" s="108">
        <f t="shared" si="243"/>
        <v>0</v>
      </c>
      <c r="AC1330" s="108">
        <f>IF($A1330="",0,IF(AND($AB1330=1,COUNTIF($A$2:$A1330,$A1330)=1),1,0))</f>
        <v>0</v>
      </c>
      <c r="AD1330" s="108">
        <f t="shared" si="244"/>
        <v>1</v>
      </c>
      <c r="AE1330" s="108" t="str">
        <f t="shared" si="245"/>
        <v/>
      </c>
      <c r="AF1330" s="108">
        <f t="shared" si="246"/>
        <v>0</v>
      </c>
      <c r="AG1330" s="108">
        <f t="shared" si="247"/>
        <v>0</v>
      </c>
      <c r="AH1330" s="110" t="str">
        <f t="shared" si="248"/>
        <v/>
      </c>
      <c r="AI1330" s="108">
        <f t="shared" si="249"/>
        <v>0</v>
      </c>
      <c r="AJ1330" s="108">
        <f t="shared" si="250"/>
        <v>0</v>
      </c>
      <c r="AK1330" s="108">
        <f>IF($A1330="",0,IF(AND($S1330=1,$W1330=1,$X1330=1,$U1330&gt;Config!$C$9),1,0))</f>
        <v>0</v>
      </c>
      <c r="AL1330" s="108">
        <f t="shared" si="251"/>
        <v>0</v>
      </c>
    </row>
    <row r="1331" spans="19:38" x14ac:dyDescent="0.25">
      <c r="S1331" s="108" t="str">
        <f>IF($A1331="","",COUNTIF(BPOworkers!$B$6:$B$105,$A1331))</f>
        <v/>
      </c>
      <c r="T1331" s="109" t="str">
        <f>IF($A1331="","",$K1331*Config!$C$9)</f>
        <v/>
      </c>
      <c r="U1331" s="109" t="str">
        <f>IF($A1331="","",IF(COUNTIF(Config!$C$21:$C$23,$H1331)&gt;0,IFERROR(VALUE(LEFT(TRIM($Q1331),FIND(" ",TRIM($Q1331)&amp;" ")-1)),0),0))</f>
        <v/>
      </c>
      <c r="V1331" s="109" t="str">
        <f t="shared" si="240"/>
        <v/>
      </c>
      <c r="W1331" s="108">
        <f>IF($A1331="",0,IF(AND($C1331&gt;=Config!$C$7,$C1331&lt;=Config!$C$8),1,0))</f>
        <v>0</v>
      </c>
      <c r="X1331" s="108">
        <f>IF($A1331="",0,IF(COUNTIF(Config!$C$21:$C$23,$H1331)&gt;0,1,0))</f>
        <v>0</v>
      </c>
      <c r="Y1331" s="108">
        <f t="shared" si="241"/>
        <v>24</v>
      </c>
      <c r="Z1331" s="108" t="str">
        <f t="shared" si="242"/>
        <v/>
      </c>
      <c r="AB1331" s="108">
        <f t="shared" si="243"/>
        <v>0</v>
      </c>
      <c r="AC1331" s="108">
        <f>IF($A1331="",0,IF(AND($AB1331=1,COUNTIF($A$2:$A1331,$A1331)=1),1,0))</f>
        <v>0</v>
      </c>
      <c r="AD1331" s="108">
        <f t="shared" si="244"/>
        <v>1</v>
      </c>
      <c r="AE1331" s="108" t="str">
        <f t="shared" si="245"/>
        <v/>
      </c>
      <c r="AF1331" s="108">
        <f t="shared" si="246"/>
        <v>0</v>
      </c>
      <c r="AG1331" s="108">
        <f t="shared" si="247"/>
        <v>0</v>
      </c>
      <c r="AH1331" s="110" t="str">
        <f t="shared" si="248"/>
        <v/>
      </c>
      <c r="AI1331" s="108">
        <f t="shared" si="249"/>
        <v>0</v>
      </c>
      <c r="AJ1331" s="108">
        <f t="shared" si="250"/>
        <v>0</v>
      </c>
      <c r="AK1331" s="108">
        <f>IF($A1331="",0,IF(AND($S1331=1,$W1331=1,$X1331=1,$U1331&gt;Config!$C$9),1,0))</f>
        <v>0</v>
      </c>
      <c r="AL1331" s="108">
        <f t="shared" si="251"/>
        <v>0</v>
      </c>
    </row>
    <row r="1332" spans="19:38" x14ac:dyDescent="0.25">
      <c r="S1332" s="108" t="str">
        <f>IF($A1332="","",COUNTIF(BPOworkers!$B$6:$B$105,$A1332))</f>
        <v/>
      </c>
      <c r="T1332" s="109" t="str">
        <f>IF($A1332="","",$K1332*Config!$C$9)</f>
        <v/>
      </c>
      <c r="U1332" s="109" t="str">
        <f>IF($A1332="","",IF(COUNTIF(Config!$C$21:$C$23,$H1332)&gt;0,IFERROR(VALUE(LEFT(TRIM($Q1332),FIND(" ",TRIM($Q1332)&amp;" ")-1)),0),0))</f>
        <v/>
      </c>
      <c r="V1332" s="109" t="str">
        <f t="shared" si="240"/>
        <v/>
      </c>
      <c r="W1332" s="108">
        <f>IF($A1332="",0,IF(AND($C1332&gt;=Config!$C$7,$C1332&lt;=Config!$C$8),1,0))</f>
        <v>0</v>
      </c>
      <c r="X1332" s="108">
        <f>IF($A1332="",0,IF(COUNTIF(Config!$C$21:$C$23,$H1332)&gt;0,1,0))</f>
        <v>0</v>
      </c>
      <c r="Y1332" s="108">
        <f t="shared" si="241"/>
        <v>24</v>
      </c>
      <c r="Z1332" s="108" t="str">
        <f t="shared" si="242"/>
        <v/>
      </c>
      <c r="AB1332" s="108">
        <f t="shared" si="243"/>
        <v>0</v>
      </c>
      <c r="AC1332" s="108">
        <f>IF($A1332="",0,IF(AND($AB1332=1,COUNTIF($A$2:$A1332,$A1332)=1),1,0))</f>
        <v>0</v>
      </c>
      <c r="AD1332" s="108">
        <f t="shared" si="244"/>
        <v>1</v>
      </c>
      <c r="AE1332" s="108" t="str">
        <f t="shared" si="245"/>
        <v/>
      </c>
      <c r="AF1332" s="108">
        <f t="shared" si="246"/>
        <v>0</v>
      </c>
      <c r="AG1332" s="108">
        <f t="shared" si="247"/>
        <v>0</v>
      </c>
      <c r="AH1332" s="110" t="str">
        <f t="shared" si="248"/>
        <v/>
      </c>
      <c r="AI1332" s="108">
        <f t="shared" si="249"/>
        <v>0</v>
      </c>
      <c r="AJ1332" s="108">
        <f t="shared" si="250"/>
        <v>0</v>
      </c>
      <c r="AK1332" s="108">
        <f>IF($A1332="",0,IF(AND($S1332=1,$W1332=1,$X1332=1,$U1332&gt;Config!$C$9),1,0))</f>
        <v>0</v>
      </c>
      <c r="AL1332" s="108">
        <f t="shared" si="251"/>
        <v>0</v>
      </c>
    </row>
    <row r="1333" spans="19:38" x14ac:dyDescent="0.25">
      <c r="S1333" s="108" t="str">
        <f>IF($A1333="","",COUNTIF(BPOworkers!$B$6:$B$105,$A1333))</f>
        <v/>
      </c>
      <c r="T1333" s="109" t="str">
        <f>IF($A1333="","",$K1333*Config!$C$9)</f>
        <v/>
      </c>
      <c r="U1333" s="109" t="str">
        <f>IF($A1333="","",IF(COUNTIF(Config!$C$21:$C$23,$H1333)&gt;0,IFERROR(VALUE(LEFT(TRIM($Q1333),FIND(" ",TRIM($Q1333)&amp;" ")-1)),0),0))</f>
        <v/>
      </c>
      <c r="V1333" s="109" t="str">
        <f t="shared" si="240"/>
        <v/>
      </c>
      <c r="W1333" s="108">
        <f>IF($A1333="",0,IF(AND($C1333&gt;=Config!$C$7,$C1333&lt;=Config!$C$8),1,0))</f>
        <v>0</v>
      </c>
      <c r="X1333" s="108">
        <f>IF($A1333="",0,IF(COUNTIF(Config!$C$21:$C$23,$H1333)&gt;0,1,0))</f>
        <v>0</v>
      </c>
      <c r="Y1333" s="108">
        <f t="shared" si="241"/>
        <v>24</v>
      </c>
      <c r="Z1333" s="108" t="str">
        <f t="shared" si="242"/>
        <v/>
      </c>
      <c r="AB1333" s="108">
        <f t="shared" si="243"/>
        <v>0</v>
      </c>
      <c r="AC1333" s="108">
        <f>IF($A1333="",0,IF(AND($AB1333=1,COUNTIF($A$2:$A1333,$A1333)=1),1,0))</f>
        <v>0</v>
      </c>
      <c r="AD1333" s="108">
        <f t="shared" si="244"/>
        <v>1</v>
      </c>
      <c r="AE1333" s="108" t="str">
        <f t="shared" si="245"/>
        <v/>
      </c>
      <c r="AF1333" s="108">
        <f t="shared" si="246"/>
        <v>0</v>
      </c>
      <c r="AG1333" s="108">
        <f t="shared" si="247"/>
        <v>0</v>
      </c>
      <c r="AH1333" s="110" t="str">
        <f t="shared" si="248"/>
        <v/>
      </c>
      <c r="AI1333" s="108">
        <f t="shared" si="249"/>
        <v>0</v>
      </c>
      <c r="AJ1333" s="108">
        <f t="shared" si="250"/>
        <v>0</v>
      </c>
      <c r="AK1333" s="108">
        <f>IF($A1333="",0,IF(AND($S1333=1,$W1333=1,$X1333=1,$U1333&gt;Config!$C$9),1,0))</f>
        <v>0</v>
      </c>
      <c r="AL1333" s="108">
        <f t="shared" si="251"/>
        <v>0</v>
      </c>
    </row>
    <row r="1334" spans="19:38" x14ac:dyDescent="0.25">
      <c r="S1334" s="108" t="str">
        <f>IF($A1334="","",COUNTIF(BPOworkers!$B$6:$B$105,$A1334))</f>
        <v/>
      </c>
      <c r="T1334" s="109" t="str">
        <f>IF($A1334="","",$K1334*Config!$C$9)</f>
        <v/>
      </c>
      <c r="U1334" s="109" t="str">
        <f>IF($A1334="","",IF(COUNTIF(Config!$C$21:$C$23,$H1334)&gt;0,IFERROR(VALUE(LEFT(TRIM($Q1334),FIND(" ",TRIM($Q1334)&amp;" ")-1)),0),0))</f>
        <v/>
      </c>
      <c r="V1334" s="109" t="str">
        <f t="shared" si="240"/>
        <v/>
      </c>
      <c r="W1334" s="108">
        <f>IF($A1334="",0,IF(AND($C1334&gt;=Config!$C$7,$C1334&lt;=Config!$C$8),1,0))</f>
        <v>0</v>
      </c>
      <c r="X1334" s="108">
        <f>IF($A1334="",0,IF(COUNTIF(Config!$C$21:$C$23,$H1334)&gt;0,1,0))</f>
        <v>0</v>
      </c>
      <c r="Y1334" s="108">
        <f t="shared" si="241"/>
        <v>24</v>
      </c>
      <c r="Z1334" s="108" t="str">
        <f t="shared" si="242"/>
        <v/>
      </c>
      <c r="AB1334" s="108">
        <f t="shared" si="243"/>
        <v>0</v>
      </c>
      <c r="AC1334" s="108">
        <f>IF($A1334="",0,IF(AND($AB1334=1,COUNTIF($A$2:$A1334,$A1334)=1),1,0))</f>
        <v>0</v>
      </c>
      <c r="AD1334" s="108">
        <f t="shared" si="244"/>
        <v>1</v>
      </c>
      <c r="AE1334" s="108" t="str">
        <f t="shared" si="245"/>
        <v/>
      </c>
      <c r="AF1334" s="108">
        <f t="shared" si="246"/>
        <v>0</v>
      </c>
      <c r="AG1334" s="108">
        <f t="shared" si="247"/>
        <v>0</v>
      </c>
      <c r="AH1334" s="110" t="str">
        <f t="shared" si="248"/>
        <v/>
      </c>
      <c r="AI1334" s="108">
        <f t="shared" si="249"/>
        <v>0</v>
      </c>
      <c r="AJ1334" s="108">
        <f t="shared" si="250"/>
        <v>0</v>
      </c>
      <c r="AK1334" s="108">
        <f>IF($A1334="",0,IF(AND($S1334=1,$W1334=1,$X1334=1,$U1334&gt;Config!$C$9),1,0))</f>
        <v>0</v>
      </c>
      <c r="AL1334" s="108">
        <f t="shared" si="251"/>
        <v>0</v>
      </c>
    </row>
    <row r="1335" spans="19:38" x14ac:dyDescent="0.25">
      <c r="S1335" s="108" t="str">
        <f>IF($A1335="","",COUNTIF(BPOworkers!$B$6:$B$105,$A1335))</f>
        <v/>
      </c>
      <c r="T1335" s="109" t="str">
        <f>IF($A1335="","",$K1335*Config!$C$9)</f>
        <v/>
      </c>
      <c r="U1335" s="109" t="str">
        <f>IF($A1335="","",IF(COUNTIF(Config!$C$21:$C$23,$H1335)&gt;0,IFERROR(VALUE(LEFT(TRIM($Q1335),FIND(" ",TRIM($Q1335)&amp;" ")-1)),0),0))</f>
        <v/>
      </c>
      <c r="V1335" s="109" t="str">
        <f t="shared" si="240"/>
        <v/>
      </c>
      <c r="W1335" s="108">
        <f>IF($A1335="",0,IF(AND($C1335&gt;=Config!$C$7,$C1335&lt;=Config!$C$8),1,0))</f>
        <v>0</v>
      </c>
      <c r="X1335" s="108">
        <f>IF($A1335="",0,IF(COUNTIF(Config!$C$21:$C$23,$H1335)&gt;0,1,0))</f>
        <v>0</v>
      </c>
      <c r="Y1335" s="108">
        <f t="shared" si="241"/>
        <v>24</v>
      </c>
      <c r="Z1335" s="108" t="str">
        <f t="shared" si="242"/>
        <v/>
      </c>
      <c r="AB1335" s="108">
        <f t="shared" si="243"/>
        <v>0</v>
      </c>
      <c r="AC1335" s="108">
        <f>IF($A1335="",0,IF(AND($AB1335=1,COUNTIF($A$2:$A1335,$A1335)=1),1,0))</f>
        <v>0</v>
      </c>
      <c r="AD1335" s="108">
        <f t="shared" si="244"/>
        <v>1</v>
      </c>
      <c r="AE1335" s="108" t="str">
        <f t="shared" si="245"/>
        <v/>
      </c>
      <c r="AF1335" s="108">
        <f t="shared" si="246"/>
        <v>0</v>
      </c>
      <c r="AG1335" s="108">
        <f t="shared" si="247"/>
        <v>0</v>
      </c>
      <c r="AH1335" s="110" t="str">
        <f t="shared" si="248"/>
        <v/>
      </c>
      <c r="AI1335" s="108">
        <f t="shared" si="249"/>
        <v>0</v>
      </c>
      <c r="AJ1335" s="108">
        <f t="shared" si="250"/>
        <v>0</v>
      </c>
      <c r="AK1335" s="108">
        <f>IF($A1335="",0,IF(AND($S1335=1,$W1335=1,$X1335=1,$U1335&gt;Config!$C$9),1,0))</f>
        <v>0</v>
      </c>
      <c r="AL1335" s="108">
        <f t="shared" si="251"/>
        <v>0</v>
      </c>
    </row>
    <row r="1336" spans="19:38" x14ac:dyDescent="0.25">
      <c r="S1336" s="108" t="str">
        <f>IF($A1336="","",COUNTIF(BPOworkers!$B$6:$B$105,$A1336))</f>
        <v/>
      </c>
      <c r="T1336" s="109" t="str">
        <f>IF($A1336="","",$K1336*Config!$C$9)</f>
        <v/>
      </c>
      <c r="U1336" s="109" t="str">
        <f>IF($A1336="","",IF(COUNTIF(Config!$C$21:$C$23,$H1336)&gt;0,IFERROR(VALUE(LEFT(TRIM($Q1336),FIND(" ",TRIM($Q1336)&amp;" ")-1)),0),0))</f>
        <v/>
      </c>
      <c r="V1336" s="109" t="str">
        <f t="shared" si="240"/>
        <v/>
      </c>
      <c r="W1336" s="108">
        <f>IF($A1336="",0,IF(AND($C1336&gt;=Config!$C$7,$C1336&lt;=Config!$C$8),1,0))</f>
        <v>0</v>
      </c>
      <c r="X1336" s="108">
        <f>IF($A1336="",0,IF(COUNTIF(Config!$C$21:$C$23,$H1336)&gt;0,1,0))</f>
        <v>0</v>
      </c>
      <c r="Y1336" s="108">
        <f t="shared" si="241"/>
        <v>24</v>
      </c>
      <c r="Z1336" s="108" t="str">
        <f t="shared" si="242"/>
        <v/>
      </c>
      <c r="AB1336" s="108">
        <f t="shared" si="243"/>
        <v>0</v>
      </c>
      <c r="AC1336" s="108">
        <f>IF($A1336="",0,IF(AND($AB1336=1,COUNTIF($A$2:$A1336,$A1336)=1),1,0))</f>
        <v>0</v>
      </c>
      <c r="AD1336" s="108">
        <f t="shared" si="244"/>
        <v>1</v>
      </c>
      <c r="AE1336" s="108" t="str">
        <f t="shared" si="245"/>
        <v/>
      </c>
      <c r="AF1336" s="108">
        <f t="shared" si="246"/>
        <v>0</v>
      </c>
      <c r="AG1336" s="108">
        <f t="shared" si="247"/>
        <v>0</v>
      </c>
      <c r="AH1336" s="110" t="str">
        <f t="shared" si="248"/>
        <v/>
      </c>
      <c r="AI1336" s="108">
        <f t="shared" si="249"/>
        <v>0</v>
      </c>
      <c r="AJ1336" s="108">
        <f t="shared" si="250"/>
        <v>0</v>
      </c>
      <c r="AK1336" s="108">
        <f>IF($A1336="",0,IF(AND($S1336=1,$W1336=1,$X1336=1,$U1336&gt;Config!$C$9),1,0))</f>
        <v>0</v>
      </c>
      <c r="AL1336" s="108">
        <f t="shared" si="251"/>
        <v>0</v>
      </c>
    </row>
    <row r="1337" spans="19:38" x14ac:dyDescent="0.25">
      <c r="S1337" s="108" t="str">
        <f>IF($A1337="","",COUNTIF(BPOworkers!$B$6:$B$105,$A1337))</f>
        <v/>
      </c>
      <c r="T1337" s="109" t="str">
        <f>IF($A1337="","",$K1337*Config!$C$9)</f>
        <v/>
      </c>
      <c r="U1337" s="109" t="str">
        <f>IF($A1337="","",IF(COUNTIF(Config!$C$21:$C$23,$H1337)&gt;0,IFERROR(VALUE(LEFT(TRIM($Q1337),FIND(" ",TRIM($Q1337)&amp;" ")-1)),0),0))</f>
        <v/>
      </c>
      <c r="V1337" s="109" t="str">
        <f t="shared" si="240"/>
        <v/>
      </c>
      <c r="W1337" s="108">
        <f>IF($A1337="",0,IF(AND($C1337&gt;=Config!$C$7,$C1337&lt;=Config!$C$8),1,0))</f>
        <v>0</v>
      </c>
      <c r="X1337" s="108">
        <f>IF($A1337="",0,IF(COUNTIF(Config!$C$21:$C$23,$H1337)&gt;0,1,0))</f>
        <v>0</v>
      </c>
      <c r="Y1337" s="108">
        <f t="shared" si="241"/>
        <v>24</v>
      </c>
      <c r="Z1337" s="108" t="str">
        <f t="shared" si="242"/>
        <v/>
      </c>
      <c r="AB1337" s="108">
        <f t="shared" si="243"/>
        <v>0</v>
      </c>
      <c r="AC1337" s="108">
        <f>IF($A1337="",0,IF(AND($AB1337=1,COUNTIF($A$2:$A1337,$A1337)=1),1,0))</f>
        <v>0</v>
      </c>
      <c r="AD1337" s="108">
        <f t="shared" si="244"/>
        <v>1</v>
      </c>
      <c r="AE1337" s="108" t="str">
        <f t="shared" si="245"/>
        <v/>
      </c>
      <c r="AF1337" s="108">
        <f t="shared" si="246"/>
        <v>0</v>
      </c>
      <c r="AG1337" s="108">
        <f t="shared" si="247"/>
        <v>0</v>
      </c>
      <c r="AH1337" s="110" t="str">
        <f t="shared" si="248"/>
        <v/>
      </c>
      <c r="AI1337" s="108">
        <f t="shared" si="249"/>
        <v>0</v>
      </c>
      <c r="AJ1337" s="108">
        <f t="shared" si="250"/>
        <v>0</v>
      </c>
      <c r="AK1337" s="108">
        <f>IF($A1337="",0,IF(AND($S1337=1,$W1337=1,$X1337=1,$U1337&gt;Config!$C$9),1,0))</f>
        <v>0</v>
      </c>
      <c r="AL1337" s="108">
        <f t="shared" si="251"/>
        <v>0</v>
      </c>
    </row>
    <row r="1338" spans="19:38" x14ac:dyDescent="0.25">
      <c r="S1338" s="108" t="str">
        <f>IF($A1338="","",COUNTIF(BPOworkers!$B$6:$B$105,$A1338))</f>
        <v/>
      </c>
      <c r="T1338" s="109" t="str">
        <f>IF($A1338="","",$K1338*Config!$C$9)</f>
        <v/>
      </c>
      <c r="U1338" s="109" t="str">
        <f>IF($A1338="","",IF(COUNTIF(Config!$C$21:$C$23,$H1338)&gt;0,IFERROR(VALUE(LEFT(TRIM($Q1338),FIND(" ",TRIM($Q1338)&amp;" ")-1)),0),0))</f>
        <v/>
      </c>
      <c r="V1338" s="109" t="str">
        <f t="shared" si="240"/>
        <v/>
      </c>
      <c r="W1338" s="108">
        <f>IF($A1338="",0,IF(AND($C1338&gt;=Config!$C$7,$C1338&lt;=Config!$C$8),1,0))</f>
        <v>0</v>
      </c>
      <c r="X1338" s="108">
        <f>IF($A1338="",0,IF(COUNTIF(Config!$C$21:$C$23,$H1338)&gt;0,1,0))</f>
        <v>0</v>
      </c>
      <c r="Y1338" s="108">
        <f t="shared" si="241"/>
        <v>24</v>
      </c>
      <c r="Z1338" s="108" t="str">
        <f t="shared" si="242"/>
        <v/>
      </c>
      <c r="AB1338" s="108">
        <f t="shared" si="243"/>
        <v>0</v>
      </c>
      <c r="AC1338" s="108">
        <f>IF($A1338="",0,IF(AND($AB1338=1,COUNTIF($A$2:$A1338,$A1338)=1),1,0))</f>
        <v>0</v>
      </c>
      <c r="AD1338" s="108">
        <f t="shared" si="244"/>
        <v>1</v>
      </c>
      <c r="AE1338" s="108" t="str">
        <f t="shared" si="245"/>
        <v/>
      </c>
      <c r="AF1338" s="108">
        <f t="shared" si="246"/>
        <v>0</v>
      </c>
      <c r="AG1338" s="108">
        <f t="shared" si="247"/>
        <v>0</v>
      </c>
      <c r="AH1338" s="110" t="str">
        <f t="shared" si="248"/>
        <v/>
      </c>
      <c r="AI1338" s="108">
        <f t="shared" si="249"/>
        <v>0</v>
      </c>
      <c r="AJ1338" s="108">
        <f t="shared" si="250"/>
        <v>0</v>
      </c>
      <c r="AK1338" s="108">
        <f>IF($A1338="",0,IF(AND($S1338=1,$W1338=1,$X1338=1,$U1338&gt;Config!$C$9),1,0))</f>
        <v>0</v>
      </c>
      <c r="AL1338" s="108">
        <f t="shared" si="251"/>
        <v>0</v>
      </c>
    </row>
    <row r="1339" spans="19:38" x14ac:dyDescent="0.25">
      <c r="S1339" s="108" t="str">
        <f>IF($A1339="","",COUNTIF(BPOworkers!$B$6:$B$105,$A1339))</f>
        <v/>
      </c>
      <c r="T1339" s="109" t="str">
        <f>IF($A1339="","",$K1339*Config!$C$9)</f>
        <v/>
      </c>
      <c r="U1339" s="109" t="str">
        <f>IF($A1339="","",IF(COUNTIF(Config!$C$21:$C$23,$H1339)&gt;0,IFERROR(VALUE(LEFT(TRIM($Q1339),FIND(" ",TRIM($Q1339)&amp;" ")-1)),0),0))</f>
        <v/>
      </c>
      <c r="V1339" s="109" t="str">
        <f t="shared" si="240"/>
        <v/>
      </c>
      <c r="W1339" s="108">
        <f>IF($A1339="",0,IF(AND($C1339&gt;=Config!$C$7,$C1339&lt;=Config!$C$8),1,0))</f>
        <v>0</v>
      </c>
      <c r="X1339" s="108">
        <f>IF($A1339="",0,IF(COUNTIF(Config!$C$21:$C$23,$H1339)&gt;0,1,0))</f>
        <v>0</v>
      </c>
      <c r="Y1339" s="108">
        <f t="shared" si="241"/>
        <v>24</v>
      </c>
      <c r="Z1339" s="108" t="str">
        <f t="shared" si="242"/>
        <v/>
      </c>
      <c r="AB1339" s="108">
        <f t="shared" si="243"/>
        <v>0</v>
      </c>
      <c r="AC1339" s="108">
        <f>IF($A1339="",0,IF(AND($AB1339=1,COUNTIF($A$2:$A1339,$A1339)=1),1,0))</f>
        <v>0</v>
      </c>
      <c r="AD1339" s="108">
        <f t="shared" si="244"/>
        <v>1</v>
      </c>
      <c r="AE1339" s="108" t="str">
        <f t="shared" si="245"/>
        <v/>
      </c>
      <c r="AF1339" s="108">
        <f t="shared" si="246"/>
        <v>0</v>
      </c>
      <c r="AG1339" s="108">
        <f t="shared" si="247"/>
        <v>0</v>
      </c>
      <c r="AH1339" s="110" t="str">
        <f t="shared" si="248"/>
        <v/>
      </c>
      <c r="AI1339" s="108">
        <f t="shared" si="249"/>
        <v>0</v>
      </c>
      <c r="AJ1339" s="108">
        <f t="shared" si="250"/>
        <v>0</v>
      </c>
      <c r="AK1339" s="108">
        <f>IF($A1339="",0,IF(AND($S1339=1,$W1339=1,$X1339=1,$U1339&gt;Config!$C$9),1,0))</f>
        <v>0</v>
      </c>
      <c r="AL1339" s="108">
        <f t="shared" si="251"/>
        <v>0</v>
      </c>
    </row>
    <row r="1340" spans="19:38" x14ac:dyDescent="0.25">
      <c r="S1340" s="108" t="str">
        <f>IF($A1340="","",COUNTIF(BPOworkers!$B$6:$B$105,$A1340))</f>
        <v/>
      </c>
      <c r="T1340" s="109" t="str">
        <f>IF($A1340="","",$K1340*Config!$C$9)</f>
        <v/>
      </c>
      <c r="U1340" s="109" t="str">
        <f>IF($A1340="","",IF(COUNTIF(Config!$C$21:$C$23,$H1340)&gt;0,IFERROR(VALUE(LEFT(TRIM($Q1340),FIND(" ",TRIM($Q1340)&amp;" ")-1)),0),0))</f>
        <v/>
      </c>
      <c r="V1340" s="109" t="str">
        <f t="shared" si="240"/>
        <v/>
      </c>
      <c r="W1340" s="108">
        <f>IF($A1340="",0,IF(AND($C1340&gt;=Config!$C$7,$C1340&lt;=Config!$C$8),1,0))</f>
        <v>0</v>
      </c>
      <c r="X1340" s="108">
        <f>IF($A1340="",0,IF(COUNTIF(Config!$C$21:$C$23,$H1340)&gt;0,1,0))</f>
        <v>0</v>
      </c>
      <c r="Y1340" s="108">
        <f t="shared" si="241"/>
        <v>24</v>
      </c>
      <c r="Z1340" s="108" t="str">
        <f t="shared" si="242"/>
        <v/>
      </c>
      <c r="AB1340" s="108">
        <f t="shared" si="243"/>
        <v>0</v>
      </c>
      <c r="AC1340" s="108">
        <f>IF($A1340="",0,IF(AND($AB1340=1,COUNTIF($A$2:$A1340,$A1340)=1),1,0))</f>
        <v>0</v>
      </c>
      <c r="AD1340" s="108">
        <f t="shared" si="244"/>
        <v>1</v>
      </c>
      <c r="AE1340" s="108" t="str">
        <f t="shared" si="245"/>
        <v/>
      </c>
      <c r="AF1340" s="108">
        <f t="shared" si="246"/>
        <v>0</v>
      </c>
      <c r="AG1340" s="108">
        <f t="shared" si="247"/>
        <v>0</v>
      </c>
      <c r="AH1340" s="110" t="str">
        <f t="shared" si="248"/>
        <v/>
      </c>
      <c r="AI1340" s="108">
        <f t="shared" si="249"/>
        <v>0</v>
      </c>
      <c r="AJ1340" s="108">
        <f t="shared" si="250"/>
        <v>0</v>
      </c>
      <c r="AK1340" s="108">
        <f>IF($A1340="",0,IF(AND($S1340=1,$W1340=1,$X1340=1,$U1340&gt;Config!$C$9),1,0))</f>
        <v>0</v>
      </c>
      <c r="AL1340" s="108">
        <f t="shared" si="251"/>
        <v>0</v>
      </c>
    </row>
    <row r="1341" spans="19:38" x14ac:dyDescent="0.25">
      <c r="S1341" s="108" t="str">
        <f>IF($A1341="","",COUNTIF(BPOworkers!$B$6:$B$105,$A1341))</f>
        <v/>
      </c>
      <c r="T1341" s="109" t="str">
        <f>IF($A1341="","",$K1341*Config!$C$9)</f>
        <v/>
      </c>
      <c r="U1341" s="109" t="str">
        <f>IF($A1341="","",IF(COUNTIF(Config!$C$21:$C$23,$H1341)&gt;0,IFERROR(VALUE(LEFT(TRIM($Q1341),FIND(" ",TRIM($Q1341)&amp;" ")-1)),0),0))</f>
        <v/>
      </c>
      <c r="V1341" s="109" t="str">
        <f t="shared" si="240"/>
        <v/>
      </c>
      <c r="W1341" s="108">
        <f>IF($A1341="",0,IF(AND($C1341&gt;=Config!$C$7,$C1341&lt;=Config!$C$8),1,0))</f>
        <v>0</v>
      </c>
      <c r="X1341" s="108">
        <f>IF($A1341="",0,IF(COUNTIF(Config!$C$21:$C$23,$H1341)&gt;0,1,0))</f>
        <v>0</v>
      </c>
      <c r="Y1341" s="108">
        <f t="shared" si="241"/>
        <v>24</v>
      </c>
      <c r="Z1341" s="108" t="str">
        <f t="shared" si="242"/>
        <v/>
      </c>
      <c r="AB1341" s="108">
        <f t="shared" si="243"/>
        <v>0</v>
      </c>
      <c r="AC1341" s="108">
        <f>IF($A1341="",0,IF(AND($AB1341=1,COUNTIF($A$2:$A1341,$A1341)=1),1,0))</f>
        <v>0</v>
      </c>
      <c r="AD1341" s="108">
        <f t="shared" si="244"/>
        <v>1</v>
      </c>
      <c r="AE1341" s="108" t="str">
        <f t="shared" si="245"/>
        <v/>
      </c>
      <c r="AF1341" s="108">
        <f t="shared" si="246"/>
        <v>0</v>
      </c>
      <c r="AG1341" s="108">
        <f t="shared" si="247"/>
        <v>0</v>
      </c>
      <c r="AH1341" s="110" t="str">
        <f t="shared" si="248"/>
        <v/>
      </c>
      <c r="AI1341" s="108">
        <f t="shared" si="249"/>
        <v>0</v>
      </c>
      <c r="AJ1341" s="108">
        <f t="shared" si="250"/>
        <v>0</v>
      </c>
      <c r="AK1341" s="108">
        <f>IF($A1341="",0,IF(AND($S1341=1,$W1341=1,$X1341=1,$U1341&gt;Config!$C$9),1,0))</f>
        <v>0</v>
      </c>
      <c r="AL1341" s="108">
        <f t="shared" si="251"/>
        <v>0</v>
      </c>
    </row>
    <row r="1342" spans="19:38" x14ac:dyDescent="0.25">
      <c r="S1342" s="108" t="str">
        <f>IF($A1342="","",COUNTIF(BPOworkers!$B$6:$B$105,$A1342))</f>
        <v/>
      </c>
      <c r="T1342" s="109" t="str">
        <f>IF($A1342="","",$K1342*Config!$C$9)</f>
        <v/>
      </c>
      <c r="U1342" s="109" t="str">
        <f>IF($A1342="","",IF(COUNTIF(Config!$C$21:$C$23,$H1342)&gt;0,IFERROR(VALUE(LEFT(TRIM($Q1342),FIND(" ",TRIM($Q1342)&amp;" ")-1)),0),0))</f>
        <v/>
      </c>
      <c r="V1342" s="109" t="str">
        <f t="shared" si="240"/>
        <v/>
      </c>
      <c r="W1342" s="108">
        <f>IF($A1342="",0,IF(AND($C1342&gt;=Config!$C$7,$C1342&lt;=Config!$C$8),1,0))</f>
        <v>0</v>
      </c>
      <c r="X1342" s="108">
        <f>IF($A1342="",0,IF(COUNTIF(Config!$C$21:$C$23,$H1342)&gt;0,1,0))</f>
        <v>0</v>
      </c>
      <c r="Y1342" s="108">
        <f t="shared" si="241"/>
        <v>24</v>
      </c>
      <c r="Z1342" s="108" t="str">
        <f t="shared" si="242"/>
        <v/>
      </c>
      <c r="AB1342" s="108">
        <f t="shared" si="243"/>
        <v>0</v>
      </c>
      <c r="AC1342" s="108">
        <f>IF($A1342="",0,IF(AND($AB1342=1,COUNTIF($A$2:$A1342,$A1342)=1),1,0))</f>
        <v>0</v>
      </c>
      <c r="AD1342" s="108">
        <f t="shared" si="244"/>
        <v>1</v>
      </c>
      <c r="AE1342" s="108" t="str">
        <f t="shared" si="245"/>
        <v/>
      </c>
      <c r="AF1342" s="108">
        <f t="shared" si="246"/>
        <v>0</v>
      </c>
      <c r="AG1342" s="108">
        <f t="shared" si="247"/>
        <v>0</v>
      </c>
      <c r="AH1342" s="110" t="str">
        <f t="shared" si="248"/>
        <v/>
      </c>
      <c r="AI1342" s="108">
        <f t="shared" si="249"/>
        <v>0</v>
      </c>
      <c r="AJ1342" s="108">
        <f t="shared" si="250"/>
        <v>0</v>
      </c>
      <c r="AK1342" s="108">
        <f>IF($A1342="",0,IF(AND($S1342=1,$W1342=1,$X1342=1,$U1342&gt;Config!$C$9),1,0))</f>
        <v>0</v>
      </c>
      <c r="AL1342" s="108">
        <f t="shared" si="251"/>
        <v>0</v>
      </c>
    </row>
    <row r="1343" spans="19:38" x14ac:dyDescent="0.25">
      <c r="S1343" s="108" t="str">
        <f>IF($A1343="","",COUNTIF(BPOworkers!$B$6:$B$105,$A1343))</f>
        <v/>
      </c>
      <c r="T1343" s="109" t="str">
        <f>IF($A1343="","",$K1343*Config!$C$9)</f>
        <v/>
      </c>
      <c r="U1343" s="109" t="str">
        <f>IF($A1343="","",IF(COUNTIF(Config!$C$21:$C$23,$H1343)&gt;0,IFERROR(VALUE(LEFT(TRIM($Q1343),FIND(" ",TRIM($Q1343)&amp;" ")-1)),0),0))</f>
        <v/>
      </c>
      <c r="V1343" s="109" t="str">
        <f t="shared" si="240"/>
        <v/>
      </c>
      <c r="W1343" s="108">
        <f>IF($A1343="",0,IF(AND($C1343&gt;=Config!$C$7,$C1343&lt;=Config!$C$8),1,0))</f>
        <v>0</v>
      </c>
      <c r="X1343" s="108">
        <f>IF($A1343="",0,IF(COUNTIF(Config!$C$21:$C$23,$H1343)&gt;0,1,0))</f>
        <v>0</v>
      </c>
      <c r="Y1343" s="108">
        <f t="shared" si="241"/>
        <v>24</v>
      </c>
      <c r="Z1343" s="108" t="str">
        <f t="shared" si="242"/>
        <v/>
      </c>
      <c r="AB1343" s="108">
        <f t="shared" si="243"/>
        <v>0</v>
      </c>
      <c r="AC1343" s="108">
        <f>IF($A1343="",0,IF(AND($AB1343=1,COUNTIF($A$2:$A1343,$A1343)=1),1,0))</f>
        <v>0</v>
      </c>
      <c r="AD1343" s="108">
        <f t="shared" si="244"/>
        <v>1</v>
      </c>
      <c r="AE1343" s="108" t="str">
        <f t="shared" si="245"/>
        <v/>
      </c>
      <c r="AF1343" s="108">
        <f t="shared" si="246"/>
        <v>0</v>
      </c>
      <c r="AG1343" s="108">
        <f t="shared" si="247"/>
        <v>0</v>
      </c>
      <c r="AH1343" s="110" t="str">
        <f t="shared" si="248"/>
        <v/>
      </c>
      <c r="AI1343" s="108">
        <f t="shared" si="249"/>
        <v>0</v>
      </c>
      <c r="AJ1343" s="108">
        <f t="shared" si="250"/>
        <v>0</v>
      </c>
      <c r="AK1343" s="108">
        <f>IF($A1343="",0,IF(AND($S1343=1,$W1343=1,$X1343=1,$U1343&gt;Config!$C$9),1,0))</f>
        <v>0</v>
      </c>
      <c r="AL1343" s="108">
        <f t="shared" si="251"/>
        <v>0</v>
      </c>
    </row>
    <row r="1344" spans="19:38" x14ac:dyDescent="0.25">
      <c r="S1344" s="108" t="str">
        <f>IF($A1344="","",COUNTIF(BPOworkers!$B$6:$B$105,$A1344))</f>
        <v/>
      </c>
      <c r="T1344" s="109" t="str">
        <f>IF($A1344="","",$K1344*Config!$C$9)</f>
        <v/>
      </c>
      <c r="U1344" s="109" t="str">
        <f>IF($A1344="","",IF(COUNTIF(Config!$C$21:$C$23,$H1344)&gt;0,IFERROR(VALUE(LEFT(TRIM($Q1344),FIND(" ",TRIM($Q1344)&amp;" ")-1)),0),0))</f>
        <v/>
      </c>
      <c r="V1344" s="109" t="str">
        <f t="shared" si="240"/>
        <v/>
      </c>
      <c r="W1344" s="108">
        <f>IF($A1344="",0,IF(AND($C1344&gt;=Config!$C$7,$C1344&lt;=Config!$C$8),1,0))</f>
        <v>0</v>
      </c>
      <c r="X1344" s="108">
        <f>IF($A1344="",0,IF(COUNTIF(Config!$C$21:$C$23,$H1344)&gt;0,1,0))</f>
        <v>0</v>
      </c>
      <c r="Y1344" s="108">
        <f t="shared" si="241"/>
        <v>24</v>
      </c>
      <c r="Z1344" s="108" t="str">
        <f t="shared" si="242"/>
        <v/>
      </c>
      <c r="AB1344" s="108">
        <f t="shared" si="243"/>
        <v>0</v>
      </c>
      <c r="AC1344" s="108">
        <f>IF($A1344="",0,IF(AND($AB1344=1,COUNTIF($A$2:$A1344,$A1344)=1),1,0))</f>
        <v>0</v>
      </c>
      <c r="AD1344" s="108">
        <f t="shared" si="244"/>
        <v>1</v>
      </c>
      <c r="AE1344" s="108" t="str">
        <f t="shared" si="245"/>
        <v/>
      </c>
      <c r="AF1344" s="108">
        <f t="shared" si="246"/>
        <v>0</v>
      </c>
      <c r="AG1344" s="108">
        <f t="shared" si="247"/>
        <v>0</v>
      </c>
      <c r="AH1344" s="110" t="str">
        <f t="shared" si="248"/>
        <v/>
      </c>
      <c r="AI1344" s="108">
        <f t="shared" si="249"/>
        <v>0</v>
      </c>
      <c r="AJ1344" s="108">
        <f t="shared" si="250"/>
        <v>0</v>
      </c>
      <c r="AK1344" s="108">
        <f>IF($A1344="",0,IF(AND($S1344=1,$W1344=1,$X1344=1,$U1344&gt;Config!$C$9),1,0))</f>
        <v>0</v>
      </c>
      <c r="AL1344" s="108">
        <f t="shared" si="251"/>
        <v>0</v>
      </c>
    </row>
    <row r="1345" spans="19:38" x14ac:dyDescent="0.25">
      <c r="S1345" s="108" t="str">
        <f>IF($A1345="","",COUNTIF(BPOworkers!$B$6:$B$105,$A1345))</f>
        <v/>
      </c>
      <c r="T1345" s="109" t="str">
        <f>IF($A1345="","",$K1345*Config!$C$9)</f>
        <v/>
      </c>
      <c r="U1345" s="109" t="str">
        <f>IF($A1345="","",IF(COUNTIF(Config!$C$21:$C$23,$H1345)&gt;0,IFERROR(VALUE(LEFT(TRIM($Q1345),FIND(" ",TRIM($Q1345)&amp;" ")-1)),0),0))</f>
        <v/>
      </c>
      <c r="V1345" s="109" t="str">
        <f t="shared" si="240"/>
        <v/>
      </c>
      <c r="W1345" s="108">
        <f>IF($A1345="",0,IF(AND($C1345&gt;=Config!$C$7,$C1345&lt;=Config!$C$8),1,0))</f>
        <v>0</v>
      </c>
      <c r="X1345" s="108">
        <f>IF($A1345="",0,IF(COUNTIF(Config!$C$21:$C$23,$H1345)&gt;0,1,0))</f>
        <v>0</v>
      </c>
      <c r="Y1345" s="108">
        <f t="shared" si="241"/>
        <v>24</v>
      </c>
      <c r="Z1345" s="108" t="str">
        <f t="shared" si="242"/>
        <v/>
      </c>
      <c r="AB1345" s="108">
        <f t="shared" si="243"/>
        <v>0</v>
      </c>
      <c r="AC1345" s="108">
        <f>IF($A1345="",0,IF(AND($AB1345=1,COUNTIF($A$2:$A1345,$A1345)=1),1,0))</f>
        <v>0</v>
      </c>
      <c r="AD1345" s="108">
        <f t="shared" si="244"/>
        <v>1</v>
      </c>
      <c r="AE1345" s="108" t="str">
        <f t="shared" si="245"/>
        <v/>
      </c>
      <c r="AF1345" s="108">
        <f t="shared" si="246"/>
        <v>0</v>
      </c>
      <c r="AG1345" s="108">
        <f t="shared" si="247"/>
        <v>0</v>
      </c>
      <c r="AH1345" s="110" t="str">
        <f t="shared" si="248"/>
        <v/>
      </c>
      <c r="AI1345" s="108">
        <f t="shared" si="249"/>
        <v>0</v>
      </c>
      <c r="AJ1345" s="108">
        <f t="shared" si="250"/>
        <v>0</v>
      </c>
      <c r="AK1345" s="108">
        <f>IF($A1345="",0,IF(AND($S1345=1,$W1345=1,$X1345=1,$U1345&gt;Config!$C$9),1,0))</f>
        <v>0</v>
      </c>
      <c r="AL1345" s="108">
        <f t="shared" si="251"/>
        <v>0</v>
      </c>
    </row>
    <row r="1346" spans="19:38" x14ac:dyDescent="0.25">
      <c r="S1346" s="108" t="str">
        <f>IF($A1346="","",COUNTIF(BPOworkers!$B$6:$B$105,$A1346))</f>
        <v/>
      </c>
      <c r="T1346" s="109" t="str">
        <f>IF($A1346="","",$K1346*Config!$C$9)</f>
        <v/>
      </c>
      <c r="U1346" s="109" t="str">
        <f>IF($A1346="","",IF(COUNTIF(Config!$C$21:$C$23,$H1346)&gt;0,IFERROR(VALUE(LEFT(TRIM($Q1346),FIND(" ",TRIM($Q1346)&amp;" ")-1)),0),0))</f>
        <v/>
      </c>
      <c r="V1346" s="109" t="str">
        <f t="shared" ref="V1346:V1409" si="252">IF($A1346="","",$T1346+$U1346)</f>
        <v/>
      </c>
      <c r="W1346" s="108">
        <f>IF($A1346="",0,IF(AND($C1346&gt;=Config!$C$7,$C1346&lt;=Config!$C$8),1,0))</f>
        <v>0</v>
      </c>
      <c r="X1346" s="108">
        <f>IF($A1346="",0,IF(COUNTIF(Config!$C$21:$C$23,$H1346)&gt;0,1,0))</f>
        <v>0</v>
      </c>
      <c r="Y1346" s="108">
        <f t="shared" ref="Y1346:Y1409" si="253">IF($A1346="",MAX(0,Y1345),MAX(0,Y1345)+IF(AND($W1346=1,$X1346=1,$S1346=1),1,0))</f>
        <v>24</v>
      </c>
      <c r="Z1346" s="108" t="str">
        <f t="shared" ref="Z1346:Z1409" si="254">IF($A1346="","",IF(AND($W1346=1,$X1346=1,$S1346=1),$Y1346,""))</f>
        <v/>
      </c>
      <c r="AB1346" s="108">
        <f t="shared" ref="AB1346:AB1409" si="255">IF($A1346="",0,IF(AND($S1346=0,ISERROR(FIND(".",$A1346))),1,0))</f>
        <v>0</v>
      </c>
      <c r="AC1346" s="108">
        <f>IF($A1346="",0,IF(AND($AB1346=1,COUNTIF($A$2:$A1346,$A1346)=1),1,0))</f>
        <v>0</v>
      </c>
      <c r="AD1346" s="108">
        <f t="shared" ref="AD1346:AD1409" si="256">IF($A1346="",MAX(0,AD1345),MAX(0,AD1345)+$AC1346)</f>
        <v>1</v>
      </c>
      <c r="AE1346" s="108" t="str">
        <f t="shared" ref="AE1346:AE1409" si="257">IF($AC1346=1,$AD1346,"")</f>
        <v/>
      </c>
      <c r="AF1346" s="108">
        <f t="shared" ref="AF1346:AF1409" si="258">IF($A1346="",0,IFERROR(IF(AND($S1346=1,WEEKDAY($C1346,2)&gt;5),1,0),0))</f>
        <v>0</v>
      </c>
      <c r="AG1346" s="108">
        <f t="shared" ref="AG1346:AG1409" si="259">IF($A1346="",0,IF(AND($S1346=1,$W1346=0),1,0))</f>
        <v>0</v>
      </c>
      <c r="AH1346" s="110" t="str">
        <f t="shared" ref="AH1346:AH1409" si="260">IF($A1346="","",$A1346&amp;"|"&amp;TEXT($C1346,"yyyymmdd")&amp;"|"&amp;$H1346&amp;"|"&amp;TEXT($K1346,"0.000")&amp;"|"&amp;SUBSTITUTE(SUBSTITUTE(SUBSTITUTE(LEFT($Q1346,120),"~",""),"*",""),"?",""))</f>
        <v/>
      </c>
      <c r="AI1346" s="108">
        <f t="shared" ref="AI1346:AI1409" si="261">IF($A1346="",0,IF(AND($S1346=1,$W1346=1,COUNTIF($AH$2:$AH$1500,$AH1346)&gt;1),1,0))</f>
        <v>0</v>
      </c>
      <c r="AJ1346" s="108">
        <f t="shared" ref="AJ1346:AJ1409" si="262">IF($A1346="",0,IF(AND($S1346=1,$W1346=1,ABS($K1346*8-ROUND($K1346*8,0))&gt;0.0001),1,0))</f>
        <v>0</v>
      </c>
      <c r="AK1346" s="108">
        <f>IF($A1346="",0,IF(AND($S1346=1,$W1346=1,$X1346=1,$U1346&gt;Config!$C$9),1,0))</f>
        <v>0</v>
      </c>
      <c r="AL1346" s="108">
        <f t="shared" ref="AL1346:AL1409" si="263">IF($A1346="",0,IF(AND($S1346=1,$W1346=1,$X1346=1,$U1346=0),1,0))</f>
        <v>0</v>
      </c>
    </row>
    <row r="1347" spans="19:38" x14ac:dyDescent="0.25">
      <c r="S1347" s="108" t="str">
        <f>IF($A1347="","",COUNTIF(BPOworkers!$B$6:$B$105,$A1347))</f>
        <v/>
      </c>
      <c r="T1347" s="109" t="str">
        <f>IF($A1347="","",$K1347*Config!$C$9)</f>
        <v/>
      </c>
      <c r="U1347" s="109" t="str">
        <f>IF($A1347="","",IF(COUNTIF(Config!$C$21:$C$23,$H1347)&gt;0,IFERROR(VALUE(LEFT(TRIM($Q1347),FIND(" ",TRIM($Q1347)&amp;" ")-1)),0),0))</f>
        <v/>
      </c>
      <c r="V1347" s="109" t="str">
        <f t="shared" si="252"/>
        <v/>
      </c>
      <c r="W1347" s="108">
        <f>IF($A1347="",0,IF(AND($C1347&gt;=Config!$C$7,$C1347&lt;=Config!$C$8),1,0))</f>
        <v>0</v>
      </c>
      <c r="X1347" s="108">
        <f>IF($A1347="",0,IF(COUNTIF(Config!$C$21:$C$23,$H1347)&gt;0,1,0))</f>
        <v>0</v>
      </c>
      <c r="Y1347" s="108">
        <f t="shared" si="253"/>
        <v>24</v>
      </c>
      <c r="Z1347" s="108" t="str">
        <f t="shared" si="254"/>
        <v/>
      </c>
      <c r="AB1347" s="108">
        <f t="shared" si="255"/>
        <v>0</v>
      </c>
      <c r="AC1347" s="108">
        <f>IF($A1347="",0,IF(AND($AB1347=1,COUNTIF($A$2:$A1347,$A1347)=1),1,0))</f>
        <v>0</v>
      </c>
      <c r="AD1347" s="108">
        <f t="shared" si="256"/>
        <v>1</v>
      </c>
      <c r="AE1347" s="108" t="str">
        <f t="shared" si="257"/>
        <v/>
      </c>
      <c r="AF1347" s="108">
        <f t="shared" si="258"/>
        <v>0</v>
      </c>
      <c r="AG1347" s="108">
        <f t="shared" si="259"/>
        <v>0</v>
      </c>
      <c r="AH1347" s="110" t="str">
        <f t="shared" si="260"/>
        <v/>
      </c>
      <c r="AI1347" s="108">
        <f t="shared" si="261"/>
        <v>0</v>
      </c>
      <c r="AJ1347" s="108">
        <f t="shared" si="262"/>
        <v>0</v>
      </c>
      <c r="AK1347" s="108">
        <f>IF($A1347="",0,IF(AND($S1347=1,$W1347=1,$X1347=1,$U1347&gt;Config!$C$9),1,0))</f>
        <v>0</v>
      </c>
      <c r="AL1347" s="108">
        <f t="shared" si="263"/>
        <v>0</v>
      </c>
    </row>
    <row r="1348" spans="19:38" x14ac:dyDescent="0.25">
      <c r="S1348" s="108" t="str">
        <f>IF($A1348="","",COUNTIF(BPOworkers!$B$6:$B$105,$A1348))</f>
        <v/>
      </c>
      <c r="T1348" s="109" t="str">
        <f>IF($A1348="","",$K1348*Config!$C$9)</f>
        <v/>
      </c>
      <c r="U1348" s="109" t="str">
        <f>IF($A1348="","",IF(COUNTIF(Config!$C$21:$C$23,$H1348)&gt;0,IFERROR(VALUE(LEFT(TRIM($Q1348),FIND(" ",TRIM($Q1348)&amp;" ")-1)),0),0))</f>
        <v/>
      </c>
      <c r="V1348" s="109" t="str">
        <f t="shared" si="252"/>
        <v/>
      </c>
      <c r="W1348" s="108">
        <f>IF($A1348="",0,IF(AND($C1348&gt;=Config!$C$7,$C1348&lt;=Config!$C$8),1,0))</f>
        <v>0</v>
      </c>
      <c r="X1348" s="108">
        <f>IF($A1348="",0,IF(COUNTIF(Config!$C$21:$C$23,$H1348)&gt;0,1,0))</f>
        <v>0</v>
      </c>
      <c r="Y1348" s="108">
        <f t="shared" si="253"/>
        <v>24</v>
      </c>
      <c r="Z1348" s="108" t="str">
        <f t="shared" si="254"/>
        <v/>
      </c>
      <c r="AB1348" s="108">
        <f t="shared" si="255"/>
        <v>0</v>
      </c>
      <c r="AC1348" s="108">
        <f>IF($A1348="",0,IF(AND($AB1348=1,COUNTIF($A$2:$A1348,$A1348)=1),1,0))</f>
        <v>0</v>
      </c>
      <c r="AD1348" s="108">
        <f t="shared" si="256"/>
        <v>1</v>
      </c>
      <c r="AE1348" s="108" t="str">
        <f t="shared" si="257"/>
        <v/>
      </c>
      <c r="AF1348" s="108">
        <f t="shared" si="258"/>
        <v>0</v>
      </c>
      <c r="AG1348" s="108">
        <f t="shared" si="259"/>
        <v>0</v>
      </c>
      <c r="AH1348" s="110" t="str">
        <f t="shared" si="260"/>
        <v/>
      </c>
      <c r="AI1348" s="108">
        <f t="shared" si="261"/>
        <v>0</v>
      </c>
      <c r="AJ1348" s="108">
        <f t="shared" si="262"/>
        <v>0</v>
      </c>
      <c r="AK1348" s="108">
        <f>IF($A1348="",0,IF(AND($S1348=1,$W1348=1,$X1348=1,$U1348&gt;Config!$C$9),1,0))</f>
        <v>0</v>
      </c>
      <c r="AL1348" s="108">
        <f t="shared" si="263"/>
        <v>0</v>
      </c>
    </row>
    <row r="1349" spans="19:38" x14ac:dyDescent="0.25">
      <c r="S1349" s="108" t="str">
        <f>IF($A1349="","",COUNTIF(BPOworkers!$B$6:$B$105,$A1349))</f>
        <v/>
      </c>
      <c r="T1349" s="109" t="str">
        <f>IF($A1349="","",$K1349*Config!$C$9)</f>
        <v/>
      </c>
      <c r="U1349" s="109" t="str">
        <f>IF($A1349="","",IF(COUNTIF(Config!$C$21:$C$23,$H1349)&gt;0,IFERROR(VALUE(LEFT(TRIM($Q1349),FIND(" ",TRIM($Q1349)&amp;" ")-1)),0),0))</f>
        <v/>
      </c>
      <c r="V1349" s="109" t="str">
        <f t="shared" si="252"/>
        <v/>
      </c>
      <c r="W1349" s="108">
        <f>IF($A1349="",0,IF(AND($C1349&gt;=Config!$C$7,$C1349&lt;=Config!$C$8),1,0))</f>
        <v>0</v>
      </c>
      <c r="X1349" s="108">
        <f>IF($A1349="",0,IF(COUNTIF(Config!$C$21:$C$23,$H1349)&gt;0,1,0))</f>
        <v>0</v>
      </c>
      <c r="Y1349" s="108">
        <f t="shared" si="253"/>
        <v>24</v>
      </c>
      <c r="Z1349" s="108" t="str">
        <f t="shared" si="254"/>
        <v/>
      </c>
      <c r="AB1349" s="108">
        <f t="shared" si="255"/>
        <v>0</v>
      </c>
      <c r="AC1349" s="108">
        <f>IF($A1349="",0,IF(AND($AB1349=1,COUNTIF($A$2:$A1349,$A1349)=1),1,0))</f>
        <v>0</v>
      </c>
      <c r="AD1349" s="108">
        <f t="shared" si="256"/>
        <v>1</v>
      </c>
      <c r="AE1349" s="108" t="str">
        <f t="shared" si="257"/>
        <v/>
      </c>
      <c r="AF1349" s="108">
        <f t="shared" si="258"/>
        <v>0</v>
      </c>
      <c r="AG1349" s="108">
        <f t="shared" si="259"/>
        <v>0</v>
      </c>
      <c r="AH1349" s="110" t="str">
        <f t="shared" si="260"/>
        <v/>
      </c>
      <c r="AI1349" s="108">
        <f t="shared" si="261"/>
        <v>0</v>
      </c>
      <c r="AJ1349" s="108">
        <f t="shared" si="262"/>
        <v>0</v>
      </c>
      <c r="AK1349" s="108">
        <f>IF($A1349="",0,IF(AND($S1349=1,$W1349=1,$X1349=1,$U1349&gt;Config!$C$9),1,0))</f>
        <v>0</v>
      </c>
      <c r="AL1349" s="108">
        <f t="shared" si="263"/>
        <v>0</v>
      </c>
    </row>
    <row r="1350" spans="19:38" x14ac:dyDescent="0.25">
      <c r="S1350" s="108" t="str">
        <f>IF($A1350="","",COUNTIF(BPOworkers!$B$6:$B$105,$A1350))</f>
        <v/>
      </c>
      <c r="T1350" s="109" t="str">
        <f>IF($A1350="","",$K1350*Config!$C$9)</f>
        <v/>
      </c>
      <c r="U1350" s="109" t="str">
        <f>IF($A1350="","",IF(COUNTIF(Config!$C$21:$C$23,$H1350)&gt;0,IFERROR(VALUE(LEFT(TRIM($Q1350),FIND(" ",TRIM($Q1350)&amp;" ")-1)),0),0))</f>
        <v/>
      </c>
      <c r="V1350" s="109" t="str">
        <f t="shared" si="252"/>
        <v/>
      </c>
      <c r="W1350" s="108">
        <f>IF($A1350="",0,IF(AND($C1350&gt;=Config!$C$7,$C1350&lt;=Config!$C$8),1,0))</f>
        <v>0</v>
      </c>
      <c r="X1350" s="108">
        <f>IF($A1350="",0,IF(COUNTIF(Config!$C$21:$C$23,$H1350)&gt;0,1,0))</f>
        <v>0</v>
      </c>
      <c r="Y1350" s="108">
        <f t="shared" si="253"/>
        <v>24</v>
      </c>
      <c r="Z1350" s="108" t="str">
        <f t="shared" si="254"/>
        <v/>
      </c>
      <c r="AB1350" s="108">
        <f t="shared" si="255"/>
        <v>0</v>
      </c>
      <c r="AC1350" s="108">
        <f>IF($A1350="",0,IF(AND($AB1350=1,COUNTIF($A$2:$A1350,$A1350)=1),1,0))</f>
        <v>0</v>
      </c>
      <c r="AD1350" s="108">
        <f t="shared" si="256"/>
        <v>1</v>
      </c>
      <c r="AE1350" s="108" t="str">
        <f t="shared" si="257"/>
        <v/>
      </c>
      <c r="AF1350" s="108">
        <f t="shared" si="258"/>
        <v>0</v>
      </c>
      <c r="AG1350" s="108">
        <f t="shared" si="259"/>
        <v>0</v>
      </c>
      <c r="AH1350" s="110" t="str">
        <f t="shared" si="260"/>
        <v/>
      </c>
      <c r="AI1350" s="108">
        <f t="shared" si="261"/>
        <v>0</v>
      </c>
      <c r="AJ1350" s="108">
        <f t="shared" si="262"/>
        <v>0</v>
      </c>
      <c r="AK1350" s="108">
        <f>IF($A1350="",0,IF(AND($S1350=1,$W1350=1,$X1350=1,$U1350&gt;Config!$C$9),1,0))</f>
        <v>0</v>
      </c>
      <c r="AL1350" s="108">
        <f t="shared" si="263"/>
        <v>0</v>
      </c>
    </row>
    <row r="1351" spans="19:38" x14ac:dyDescent="0.25">
      <c r="S1351" s="108" t="str">
        <f>IF($A1351="","",COUNTIF(BPOworkers!$B$6:$B$105,$A1351))</f>
        <v/>
      </c>
      <c r="T1351" s="109" t="str">
        <f>IF($A1351="","",$K1351*Config!$C$9)</f>
        <v/>
      </c>
      <c r="U1351" s="109" t="str">
        <f>IF($A1351="","",IF(COUNTIF(Config!$C$21:$C$23,$H1351)&gt;0,IFERROR(VALUE(LEFT(TRIM($Q1351),FIND(" ",TRIM($Q1351)&amp;" ")-1)),0),0))</f>
        <v/>
      </c>
      <c r="V1351" s="109" t="str">
        <f t="shared" si="252"/>
        <v/>
      </c>
      <c r="W1351" s="108">
        <f>IF($A1351="",0,IF(AND($C1351&gt;=Config!$C$7,$C1351&lt;=Config!$C$8),1,0))</f>
        <v>0</v>
      </c>
      <c r="X1351" s="108">
        <f>IF($A1351="",0,IF(COUNTIF(Config!$C$21:$C$23,$H1351)&gt;0,1,0))</f>
        <v>0</v>
      </c>
      <c r="Y1351" s="108">
        <f t="shared" si="253"/>
        <v>24</v>
      </c>
      <c r="Z1351" s="108" t="str">
        <f t="shared" si="254"/>
        <v/>
      </c>
      <c r="AB1351" s="108">
        <f t="shared" si="255"/>
        <v>0</v>
      </c>
      <c r="AC1351" s="108">
        <f>IF($A1351="",0,IF(AND($AB1351=1,COUNTIF($A$2:$A1351,$A1351)=1),1,0))</f>
        <v>0</v>
      </c>
      <c r="AD1351" s="108">
        <f t="shared" si="256"/>
        <v>1</v>
      </c>
      <c r="AE1351" s="108" t="str">
        <f t="shared" si="257"/>
        <v/>
      </c>
      <c r="AF1351" s="108">
        <f t="shared" si="258"/>
        <v>0</v>
      </c>
      <c r="AG1351" s="108">
        <f t="shared" si="259"/>
        <v>0</v>
      </c>
      <c r="AH1351" s="110" t="str">
        <f t="shared" si="260"/>
        <v/>
      </c>
      <c r="AI1351" s="108">
        <f t="shared" si="261"/>
        <v>0</v>
      </c>
      <c r="AJ1351" s="108">
        <f t="shared" si="262"/>
        <v>0</v>
      </c>
      <c r="AK1351" s="108">
        <f>IF($A1351="",0,IF(AND($S1351=1,$W1351=1,$X1351=1,$U1351&gt;Config!$C$9),1,0))</f>
        <v>0</v>
      </c>
      <c r="AL1351" s="108">
        <f t="shared" si="263"/>
        <v>0</v>
      </c>
    </row>
    <row r="1352" spans="19:38" x14ac:dyDescent="0.25">
      <c r="S1352" s="108" t="str">
        <f>IF($A1352="","",COUNTIF(BPOworkers!$B$6:$B$105,$A1352))</f>
        <v/>
      </c>
      <c r="T1352" s="109" t="str">
        <f>IF($A1352="","",$K1352*Config!$C$9)</f>
        <v/>
      </c>
      <c r="U1352" s="109" t="str">
        <f>IF($A1352="","",IF(COUNTIF(Config!$C$21:$C$23,$H1352)&gt;0,IFERROR(VALUE(LEFT(TRIM($Q1352),FIND(" ",TRIM($Q1352)&amp;" ")-1)),0),0))</f>
        <v/>
      </c>
      <c r="V1352" s="109" t="str">
        <f t="shared" si="252"/>
        <v/>
      </c>
      <c r="W1352" s="108">
        <f>IF($A1352="",0,IF(AND($C1352&gt;=Config!$C$7,$C1352&lt;=Config!$C$8),1,0))</f>
        <v>0</v>
      </c>
      <c r="X1352" s="108">
        <f>IF($A1352="",0,IF(COUNTIF(Config!$C$21:$C$23,$H1352)&gt;0,1,0))</f>
        <v>0</v>
      </c>
      <c r="Y1352" s="108">
        <f t="shared" si="253"/>
        <v>24</v>
      </c>
      <c r="Z1352" s="108" t="str">
        <f t="shared" si="254"/>
        <v/>
      </c>
      <c r="AB1352" s="108">
        <f t="shared" si="255"/>
        <v>0</v>
      </c>
      <c r="AC1352" s="108">
        <f>IF($A1352="",0,IF(AND($AB1352=1,COUNTIF($A$2:$A1352,$A1352)=1),1,0))</f>
        <v>0</v>
      </c>
      <c r="AD1352" s="108">
        <f t="shared" si="256"/>
        <v>1</v>
      </c>
      <c r="AE1352" s="108" t="str">
        <f t="shared" si="257"/>
        <v/>
      </c>
      <c r="AF1352" s="108">
        <f t="shared" si="258"/>
        <v>0</v>
      </c>
      <c r="AG1352" s="108">
        <f t="shared" si="259"/>
        <v>0</v>
      </c>
      <c r="AH1352" s="110" t="str">
        <f t="shared" si="260"/>
        <v/>
      </c>
      <c r="AI1352" s="108">
        <f t="shared" si="261"/>
        <v>0</v>
      </c>
      <c r="AJ1352" s="108">
        <f t="shared" si="262"/>
        <v>0</v>
      </c>
      <c r="AK1352" s="108">
        <f>IF($A1352="",0,IF(AND($S1352=1,$W1352=1,$X1352=1,$U1352&gt;Config!$C$9),1,0))</f>
        <v>0</v>
      </c>
      <c r="AL1352" s="108">
        <f t="shared" si="263"/>
        <v>0</v>
      </c>
    </row>
    <row r="1353" spans="19:38" x14ac:dyDescent="0.25">
      <c r="S1353" s="108" t="str">
        <f>IF($A1353="","",COUNTIF(BPOworkers!$B$6:$B$105,$A1353))</f>
        <v/>
      </c>
      <c r="T1353" s="109" t="str">
        <f>IF($A1353="","",$K1353*Config!$C$9)</f>
        <v/>
      </c>
      <c r="U1353" s="109" t="str">
        <f>IF($A1353="","",IF(COUNTIF(Config!$C$21:$C$23,$H1353)&gt;0,IFERROR(VALUE(LEFT(TRIM($Q1353),FIND(" ",TRIM($Q1353)&amp;" ")-1)),0),0))</f>
        <v/>
      </c>
      <c r="V1353" s="109" t="str">
        <f t="shared" si="252"/>
        <v/>
      </c>
      <c r="W1353" s="108">
        <f>IF($A1353="",0,IF(AND($C1353&gt;=Config!$C$7,$C1353&lt;=Config!$C$8),1,0))</f>
        <v>0</v>
      </c>
      <c r="X1353" s="108">
        <f>IF($A1353="",0,IF(COUNTIF(Config!$C$21:$C$23,$H1353)&gt;0,1,0))</f>
        <v>0</v>
      </c>
      <c r="Y1353" s="108">
        <f t="shared" si="253"/>
        <v>24</v>
      </c>
      <c r="Z1353" s="108" t="str">
        <f t="shared" si="254"/>
        <v/>
      </c>
      <c r="AB1353" s="108">
        <f t="shared" si="255"/>
        <v>0</v>
      </c>
      <c r="AC1353" s="108">
        <f>IF($A1353="",0,IF(AND($AB1353=1,COUNTIF($A$2:$A1353,$A1353)=1),1,0))</f>
        <v>0</v>
      </c>
      <c r="AD1353" s="108">
        <f t="shared" si="256"/>
        <v>1</v>
      </c>
      <c r="AE1353" s="108" t="str">
        <f t="shared" si="257"/>
        <v/>
      </c>
      <c r="AF1353" s="108">
        <f t="shared" si="258"/>
        <v>0</v>
      </c>
      <c r="AG1353" s="108">
        <f t="shared" si="259"/>
        <v>0</v>
      </c>
      <c r="AH1353" s="110" t="str">
        <f t="shared" si="260"/>
        <v/>
      </c>
      <c r="AI1353" s="108">
        <f t="shared" si="261"/>
        <v>0</v>
      </c>
      <c r="AJ1353" s="108">
        <f t="shared" si="262"/>
        <v>0</v>
      </c>
      <c r="AK1353" s="108">
        <f>IF($A1353="",0,IF(AND($S1353=1,$W1353=1,$X1353=1,$U1353&gt;Config!$C$9),1,0))</f>
        <v>0</v>
      </c>
      <c r="AL1353" s="108">
        <f t="shared" si="263"/>
        <v>0</v>
      </c>
    </row>
    <row r="1354" spans="19:38" x14ac:dyDescent="0.25">
      <c r="S1354" s="108" t="str">
        <f>IF($A1354="","",COUNTIF(BPOworkers!$B$6:$B$105,$A1354))</f>
        <v/>
      </c>
      <c r="T1354" s="109" t="str">
        <f>IF($A1354="","",$K1354*Config!$C$9)</f>
        <v/>
      </c>
      <c r="U1354" s="109" t="str">
        <f>IF($A1354="","",IF(COUNTIF(Config!$C$21:$C$23,$H1354)&gt;0,IFERROR(VALUE(LEFT(TRIM($Q1354),FIND(" ",TRIM($Q1354)&amp;" ")-1)),0),0))</f>
        <v/>
      </c>
      <c r="V1354" s="109" t="str">
        <f t="shared" si="252"/>
        <v/>
      </c>
      <c r="W1354" s="108">
        <f>IF($A1354="",0,IF(AND($C1354&gt;=Config!$C$7,$C1354&lt;=Config!$C$8),1,0))</f>
        <v>0</v>
      </c>
      <c r="X1354" s="108">
        <f>IF($A1354="",0,IF(COUNTIF(Config!$C$21:$C$23,$H1354)&gt;0,1,0))</f>
        <v>0</v>
      </c>
      <c r="Y1354" s="108">
        <f t="shared" si="253"/>
        <v>24</v>
      </c>
      <c r="Z1354" s="108" t="str">
        <f t="shared" si="254"/>
        <v/>
      </c>
      <c r="AB1354" s="108">
        <f t="shared" si="255"/>
        <v>0</v>
      </c>
      <c r="AC1354" s="108">
        <f>IF($A1354="",0,IF(AND($AB1354=1,COUNTIF($A$2:$A1354,$A1354)=1),1,0))</f>
        <v>0</v>
      </c>
      <c r="AD1354" s="108">
        <f t="shared" si="256"/>
        <v>1</v>
      </c>
      <c r="AE1354" s="108" t="str">
        <f t="shared" si="257"/>
        <v/>
      </c>
      <c r="AF1354" s="108">
        <f t="shared" si="258"/>
        <v>0</v>
      </c>
      <c r="AG1354" s="108">
        <f t="shared" si="259"/>
        <v>0</v>
      </c>
      <c r="AH1354" s="110" t="str">
        <f t="shared" si="260"/>
        <v/>
      </c>
      <c r="AI1354" s="108">
        <f t="shared" si="261"/>
        <v>0</v>
      </c>
      <c r="AJ1354" s="108">
        <f t="shared" si="262"/>
        <v>0</v>
      </c>
      <c r="AK1354" s="108">
        <f>IF($A1354="",0,IF(AND($S1354=1,$W1354=1,$X1354=1,$U1354&gt;Config!$C$9),1,0))</f>
        <v>0</v>
      </c>
      <c r="AL1354" s="108">
        <f t="shared" si="263"/>
        <v>0</v>
      </c>
    </row>
    <row r="1355" spans="19:38" x14ac:dyDescent="0.25">
      <c r="S1355" s="108" t="str">
        <f>IF($A1355="","",COUNTIF(BPOworkers!$B$6:$B$105,$A1355))</f>
        <v/>
      </c>
      <c r="T1355" s="109" t="str">
        <f>IF($A1355="","",$K1355*Config!$C$9)</f>
        <v/>
      </c>
      <c r="U1355" s="109" t="str">
        <f>IF($A1355="","",IF(COUNTIF(Config!$C$21:$C$23,$H1355)&gt;0,IFERROR(VALUE(LEFT(TRIM($Q1355),FIND(" ",TRIM($Q1355)&amp;" ")-1)),0),0))</f>
        <v/>
      </c>
      <c r="V1355" s="109" t="str">
        <f t="shared" si="252"/>
        <v/>
      </c>
      <c r="W1355" s="108">
        <f>IF($A1355="",0,IF(AND($C1355&gt;=Config!$C$7,$C1355&lt;=Config!$C$8),1,0))</f>
        <v>0</v>
      </c>
      <c r="X1355" s="108">
        <f>IF($A1355="",0,IF(COUNTIF(Config!$C$21:$C$23,$H1355)&gt;0,1,0))</f>
        <v>0</v>
      </c>
      <c r="Y1355" s="108">
        <f t="shared" si="253"/>
        <v>24</v>
      </c>
      <c r="Z1355" s="108" t="str">
        <f t="shared" si="254"/>
        <v/>
      </c>
      <c r="AB1355" s="108">
        <f t="shared" si="255"/>
        <v>0</v>
      </c>
      <c r="AC1355" s="108">
        <f>IF($A1355="",0,IF(AND($AB1355=1,COUNTIF($A$2:$A1355,$A1355)=1),1,0))</f>
        <v>0</v>
      </c>
      <c r="AD1355" s="108">
        <f t="shared" si="256"/>
        <v>1</v>
      </c>
      <c r="AE1355" s="108" t="str">
        <f t="shared" si="257"/>
        <v/>
      </c>
      <c r="AF1355" s="108">
        <f t="shared" si="258"/>
        <v>0</v>
      </c>
      <c r="AG1355" s="108">
        <f t="shared" si="259"/>
        <v>0</v>
      </c>
      <c r="AH1355" s="110" t="str">
        <f t="shared" si="260"/>
        <v/>
      </c>
      <c r="AI1355" s="108">
        <f t="shared" si="261"/>
        <v>0</v>
      </c>
      <c r="AJ1355" s="108">
        <f t="shared" si="262"/>
        <v>0</v>
      </c>
      <c r="AK1355" s="108">
        <f>IF($A1355="",0,IF(AND($S1355=1,$W1355=1,$X1355=1,$U1355&gt;Config!$C$9),1,0))</f>
        <v>0</v>
      </c>
      <c r="AL1355" s="108">
        <f t="shared" si="263"/>
        <v>0</v>
      </c>
    </row>
    <row r="1356" spans="19:38" x14ac:dyDescent="0.25">
      <c r="S1356" s="108" t="str">
        <f>IF($A1356="","",COUNTIF(BPOworkers!$B$6:$B$105,$A1356))</f>
        <v/>
      </c>
      <c r="T1356" s="109" t="str">
        <f>IF($A1356="","",$K1356*Config!$C$9)</f>
        <v/>
      </c>
      <c r="U1356" s="109" t="str">
        <f>IF($A1356="","",IF(COUNTIF(Config!$C$21:$C$23,$H1356)&gt;0,IFERROR(VALUE(LEFT(TRIM($Q1356),FIND(" ",TRIM($Q1356)&amp;" ")-1)),0),0))</f>
        <v/>
      </c>
      <c r="V1356" s="109" t="str">
        <f t="shared" si="252"/>
        <v/>
      </c>
      <c r="W1356" s="108">
        <f>IF($A1356="",0,IF(AND($C1356&gt;=Config!$C$7,$C1356&lt;=Config!$C$8),1,0))</f>
        <v>0</v>
      </c>
      <c r="X1356" s="108">
        <f>IF($A1356="",0,IF(COUNTIF(Config!$C$21:$C$23,$H1356)&gt;0,1,0))</f>
        <v>0</v>
      </c>
      <c r="Y1356" s="108">
        <f t="shared" si="253"/>
        <v>24</v>
      </c>
      <c r="Z1356" s="108" t="str">
        <f t="shared" si="254"/>
        <v/>
      </c>
      <c r="AB1356" s="108">
        <f t="shared" si="255"/>
        <v>0</v>
      </c>
      <c r="AC1356" s="108">
        <f>IF($A1356="",0,IF(AND($AB1356=1,COUNTIF($A$2:$A1356,$A1356)=1),1,0))</f>
        <v>0</v>
      </c>
      <c r="AD1356" s="108">
        <f t="shared" si="256"/>
        <v>1</v>
      </c>
      <c r="AE1356" s="108" t="str">
        <f t="shared" si="257"/>
        <v/>
      </c>
      <c r="AF1356" s="108">
        <f t="shared" si="258"/>
        <v>0</v>
      </c>
      <c r="AG1356" s="108">
        <f t="shared" si="259"/>
        <v>0</v>
      </c>
      <c r="AH1356" s="110" t="str">
        <f t="shared" si="260"/>
        <v/>
      </c>
      <c r="AI1356" s="108">
        <f t="shared" si="261"/>
        <v>0</v>
      </c>
      <c r="AJ1356" s="108">
        <f t="shared" si="262"/>
        <v>0</v>
      </c>
      <c r="AK1356" s="108">
        <f>IF($A1356="",0,IF(AND($S1356=1,$W1356=1,$X1356=1,$U1356&gt;Config!$C$9),1,0))</f>
        <v>0</v>
      </c>
      <c r="AL1356" s="108">
        <f t="shared" si="263"/>
        <v>0</v>
      </c>
    </row>
    <row r="1357" spans="19:38" x14ac:dyDescent="0.25">
      <c r="S1357" s="108" t="str">
        <f>IF($A1357="","",COUNTIF(BPOworkers!$B$6:$B$105,$A1357))</f>
        <v/>
      </c>
      <c r="T1357" s="109" t="str">
        <f>IF($A1357="","",$K1357*Config!$C$9)</f>
        <v/>
      </c>
      <c r="U1357" s="109" t="str">
        <f>IF($A1357="","",IF(COUNTIF(Config!$C$21:$C$23,$H1357)&gt;0,IFERROR(VALUE(LEFT(TRIM($Q1357),FIND(" ",TRIM($Q1357)&amp;" ")-1)),0),0))</f>
        <v/>
      </c>
      <c r="V1357" s="109" t="str">
        <f t="shared" si="252"/>
        <v/>
      </c>
      <c r="W1357" s="108">
        <f>IF($A1357="",0,IF(AND($C1357&gt;=Config!$C$7,$C1357&lt;=Config!$C$8),1,0))</f>
        <v>0</v>
      </c>
      <c r="X1357" s="108">
        <f>IF($A1357="",0,IF(COUNTIF(Config!$C$21:$C$23,$H1357)&gt;0,1,0))</f>
        <v>0</v>
      </c>
      <c r="Y1357" s="108">
        <f t="shared" si="253"/>
        <v>24</v>
      </c>
      <c r="Z1357" s="108" t="str">
        <f t="shared" si="254"/>
        <v/>
      </c>
      <c r="AB1357" s="108">
        <f t="shared" si="255"/>
        <v>0</v>
      </c>
      <c r="AC1357" s="108">
        <f>IF($A1357="",0,IF(AND($AB1357=1,COUNTIF($A$2:$A1357,$A1357)=1),1,0))</f>
        <v>0</v>
      </c>
      <c r="AD1357" s="108">
        <f t="shared" si="256"/>
        <v>1</v>
      </c>
      <c r="AE1357" s="108" t="str">
        <f t="shared" si="257"/>
        <v/>
      </c>
      <c r="AF1357" s="108">
        <f t="shared" si="258"/>
        <v>0</v>
      </c>
      <c r="AG1357" s="108">
        <f t="shared" si="259"/>
        <v>0</v>
      </c>
      <c r="AH1357" s="110" t="str">
        <f t="shared" si="260"/>
        <v/>
      </c>
      <c r="AI1357" s="108">
        <f t="shared" si="261"/>
        <v>0</v>
      </c>
      <c r="AJ1357" s="108">
        <f t="shared" si="262"/>
        <v>0</v>
      </c>
      <c r="AK1357" s="108">
        <f>IF($A1357="",0,IF(AND($S1357=1,$W1357=1,$X1357=1,$U1357&gt;Config!$C$9),1,0))</f>
        <v>0</v>
      </c>
      <c r="AL1357" s="108">
        <f t="shared" si="263"/>
        <v>0</v>
      </c>
    </row>
    <row r="1358" spans="19:38" x14ac:dyDescent="0.25">
      <c r="S1358" s="108" t="str">
        <f>IF($A1358="","",COUNTIF(BPOworkers!$B$6:$B$105,$A1358))</f>
        <v/>
      </c>
      <c r="T1358" s="109" t="str">
        <f>IF($A1358="","",$K1358*Config!$C$9)</f>
        <v/>
      </c>
      <c r="U1358" s="109" t="str">
        <f>IF($A1358="","",IF(COUNTIF(Config!$C$21:$C$23,$H1358)&gt;0,IFERROR(VALUE(LEFT(TRIM($Q1358),FIND(" ",TRIM($Q1358)&amp;" ")-1)),0),0))</f>
        <v/>
      </c>
      <c r="V1358" s="109" t="str">
        <f t="shared" si="252"/>
        <v/>
      </c>
      <c r="W1358" s="108">
        <f>IF($A1358="",0,IF(AND($C1358&gt;=Config!$C$7,$C1358&lt;=Config!$C$8),1,0))</f>
        <v>0</v>
      </c>
      <c r="X1358" s="108">
        <f>IF($A1358="",0,IF(COUNTIF(Config!$C$21:$C$23,$H1358)&gt;0,1,0))</f>
        <v>0</v>
      </c>
      <c r="Y1358" s="108">
        <f t="shared" si="253"/>
        <v>24</v>
      </c>
      <c r="Z1358" s="108" t="str">
        <f t="shared" si="254"/>
        <v/>
      </c>
      <c r="AB1358" s="108">
        <f t="shared" si="255"/>
        <v>0</v>
      </c>
      <c r="AC1358" s="108">
        <f>IF($A1358="",0,IF(AND($AB1358=1,COUNTIF($A$2:$A1358,$A1358)=1),1,0))</f>
        <v>0</v>
      </c>
      <c r="AD1358" s="108">
        <f t="shared" si="256"/>
        <v>1</v>
      </c>
      <c r="AE1358" s="108" t="str">
        <f t="shared" si="257"/>
        <v/>
      </c>
      <c r="AF1358" s="108">
        <f t="shared" si="258"/>
        <v>0</v>
      </c>
      <c r="AG1358" s="108">
        <f t="shared" si="259"/>
        <v>0</v>
      </c>
      <c r="AH1358" s="110" t="str">
        <f t="shared" si="260"/>
        <v/>
      </c>
      <c r="AI1358" s="108">
        <f t="shared" si="261"/>
        <v>0</v>
      </c>
      <c r="AJ1358" s="108">
        <f t="shared" si="262"/>
        <v>0</v>
      </c>
      <c r="AK1358" s="108">
        <f>IF($A1358="",0,IF(AND($S1358=1,$W1358=1,$X1358=1,$U1358&gt;Config!$C$9),1,0))</f>
        <v>0</v>
      </c>
      <c r="AL1358" s="108">
        <f t="shared" si="263"/>
        <v>0</v>
      </c>
    </row>
    <row r="1359" spans="19:38" x14ac:dyDescent="0.25">
      <c r="S1359" s="108" t="str">
        <f>IF($A1359="","",COUNTIF(BPOworkers!$B$6:$B$105,$A1359))</f>
        <v/>
      </c>
      <c r="T1359" s="109" t="str">
        <f>IF($A1359="","",$K1359*Config!$C$9)</f>
        <v/>
      </c>
      <c r="U1359" s="109" t="str">
        <f>IF($A1359="","",IF(COUNTIF(Config!$C$21:$C$23,$H1359)&gt;0,IFERROR(VALUE(LEFT(TRIM($Q1359),FIND(" ",TRIM($Q1359)&amp;" ")-1)),0),0))</f>
        <v/>
      </c>
      <c r="V1359" s="109" t="str">
        <f t="shared" si="252"/>
        <v/>
      </c>
      <c r="W1359" s="108">
        <f>IF($A1359="",0,IF(AND($C1359&gt;=Config!$C$7,$C1359&lt;=Config!$C$8),1,0))</f>
        <v>0</v>
      </c>
      <c r="X1359" s="108">
        <f>IF($A1359="",0,IF(COUNTIF(Config!$C$21:$C$23,$H1359)&gt;0,1,0))</f>
        <v>0</v>
      </c>
      <c r="Y1359" s="108">
        <f t="shared" si="253"/>
        <v>24</v>
      </c>
      <c r="Z1359" s="108" t="str">
        <f t="shared" si="254"/>
        <v/>
      </c>
      <c r="AB1359" s="108">
        <f t="shared" si="255"/>
        <v>0</v>
      </c>
      <c r="AC1359" s="108">
        <f>IF($A1359="",0,IF(AND($AB1359=1,COUNTIF($A$2:$A1359,$A1359)=1),1,0))</f>
        <v>0</v>
      </c>
      <c r="AD1359" s="108">
        <f t="shared" si="256"/>
        <v>1</v>
      </c>
      <c r="AE1359" s="108" t="str">
        <f t="shared" si="257"/>
        <v/>
      </c>
      <c r="AF1359" s="108">
        <f t="shared" si="258"/>
        <v>0</v>
      </c>
      <c r="AG1359" s="108">
        <f t="shared" si="259"/>
        <v>0</v>
      </c>
      <c r="AH1359" s="110" t="str">
        <f t="shared" si="260"/>
        <v/>
      </c>
      <c r="AI1359" s="108">
        <f t="shared" si="261"/>
        <v>0</v>
      </c>
      <c r="AJ1359" s="108">
        <f t="shared" si="262"/>
        <v>0</v>
      </c>
      <c r="AK1359" s="108">
        <f>IF($A1359="",0,IF(AND($S1359=1,$W1359=1,$X1359=1,$U1359&gt;Config!$C$9),1,0))</f>
        <v>0</v>
      </c>
      <c r="AL1359" s="108">
        <f t="shared" si="263"/>
        <v>0</v>
      </c>
    </row>
    <row r="1360" spans="19:38" x14ac:dyDescent="0.25">
      <c r="S1360" s="108" t="str">
        <f>IF($A1360="","",COUNTIF(BPOworkers!$B$6:$B$105,$A1360))</f>
        <v/>
      </c>
      <c r="T1360" s="109" t="str">
        <f>IF($A1360="","",$K1360*Config!$C$9)</f>
        <v/>
      </c>
      <c r="U1360" s="109" t="str">
        <f>IF($A1360="","",IF(COUNTIF(Config!$C$21:$C$23,$H1360)&gt;0,IFERROR(VALUE(LEFT(TRIM($Q1360),FIND(" ",TRIM($Q1360)&amp;" ")-1)),0),0))</f>
        <v/>
      </c>
      <c r="V1360" s="109" t="str">
        <f t="shared" si="252"/>
        <v/>
      </c>
      <c r="W1360" s="108">
        <f>IF($A1360="",0,IF(AND($C1360&gt;=Config!$C$7,$C1360&lt;=Config!$C$8),1,0))</f>
        <v>0</v>
      </c>
      <c r="X1360" s="108">
        <f>IF($A1360="",0,IF(COUNTIF(Config!$C$21:$C$23,$H1360)&gt;0,1,0))</f>
        <v>0</v>
      </c>
      <c r="Y1360" s="108">
        <f t="shared" si="253"/>
        <v>24</v>
      </c>
      <c r="Z1360" s="108" t="str">
        <f t="shared" si="254"/>
        <v/>
      </c>
      <c r="AB1360" s="108">
        <f t="shared" si="255"/>
        <v>0</v>
      </c>
      <c r="AC1360" s="108">
        <f>IF($A1360="",0,IF(AND($AB1360=1,COUNTIF($A$2:$A1360,$A1360)=1),1,0))</f>
        <v>0</v>
      </c>
      <c r="AD1360" s="108">
        <f t="shared" si="256"/>
        <v>1</v>
      </c>
      <c r="AE1360" s="108" t="str">
        <f t="shared" si="257"/>
        <v/>
      </c>
      <c r="AF1360" s="108">
        <f t="shared" si="258"/>
        <v>0</v>
      </c>
      <c r="AG1360" s="108">
        <f t="shared" si="259"/>
        <v>0</v>
      </c>
      <c r="AH1360" s="110" t="str">
        <f t="shared" si="260"/>
        <v/>
      </c>
      <c r="AI1360" s="108">
        <f t="shared" si="261"/>
        <v>0</v>
      </c>
      <c r="AJ1360" s="108">
        <f t="shared" si="262"/>
        <v>0</v>
      </c>
      <c r="AK1360" s="108">
        <f>IF($A1360="",0,IF(AND($S1360=1,$W1360=1,$X1360=1,$U1360&gt;Config!$C$9),1,0))</f>
        <v>0</v>
      </c>
      <c r="AL1360" s="108">
        <f t="shared" si="263"/>
        <v>0</v>
      </c>
    </row>
    <row r="1361" spans="19:38" x14ac:dyDescent="0.25">
      <c r="S1361" s="108" t="str">
        <f>IF($A1361="","",COUNTIF(BPOworkers!$B$6:$B$105,$A1361))</f>
        <v/>
      </c>
      <c r="T1361" s="109" t="str">
        <f>IF($A1361="","",$K1361*Config!$C$9)</f>
        <v/>
      </c>
      <c r="U1361" s="109" t="str">
        <f>IF($A1361="","",IF(COUNTIF(Config!$C$21:$C$23,$H1361)&gt;0,IFERROR(VALUE(LEFT(TRIM($Q1361),FIND(" ",TRIM($Q1361)&amp;" ")-1)),0),0))</f>
        <v/>
      </c>
      <c r="V1361" s="109" t="str">
        <f t="shared" si="252"/>
        <v/>
      </c>
      <c r="W1361" s="108">
        <f>IF($A1361="",0,IF(AND($C1361&gt;=Config!$C$7,$C1361&lt;=Config!$C$8),1,0))</f>
        <v>0</v>
      </c>
      <c r="X1361" s="108">
        <f>IF($A1361="",0,IF(COUNTIF(Config!$C$21:$C$23,$H1361)&gt;0,1,0))</f>
        <v>0</v>
      </c>
      <c r="Y1361" s="108">
        <f t="shared" si="253"/>
        <v>24</v>
      </c>
      <c r="Z1361" s="108" t="str">
        <f t="shared" si="254"/>
        <v/>
      </c>
      <c r="AB1361" s="108">
        <f t="shared" si="255"/>
        <v>0</v>
      </c>
      <c r="AC1361" s="108">
        <f>IF($A1361="",0,IF(AND($AB1361=1,COUNTIF($A$2:$A1361,$A1361)=1),1,0))</f>
        <v>0</v>
      </c>
      <c r="AD1361" s="108">
        <f t="shared" si="256"/>
        <v>1</v>
      </c>
      <c r="AE1361" s="108" t="str">
        <f t="shared" si="257"/>
        <v/>
      </c>
      <c r="AF1361" s="108">
        <f t="shared" si="258"/>
        <v>0</v>
      </c>
      <c r="AG1361" s="108">
        <f t="shared" si="259"/>
        <v>0</v>
      </c>
      <c r="AH1361" s="110" t="str">
        <f t="shared" si="260"/>
        <v/>
      </c>
      <c r="AI1361" s="108">
        <f t="shared" si="261"/>
        <v>0</v>
      </c>
      <c r="AJ1361" s="108">
        <f t="shared" si="262"/>
        <v>0</v>
      </c>
      <c r="AK1361" s="108">
        <f>IF($A1361="",0,IF(AND($S1361=1,$W1361=1,$X1361=1,$U1361&gt;Config!$C$9),1,0))</f>
        <v>0</v>
      </c>
      <c r="AL1361" s="108">
        <f t="shared" si="263"/>
        <v>0</v>
      </c>
    </row>
    <row r="1362" spans="19:38" x14ac:dyDescent="0.25">
      <c r="S1362" s="108" t="str">
        <f>IF($A1362="","",COUNTIF(BPOworkers!$B$6:$B$105,$A1362))</f>
        <v/>
      </c>
      <c r="T1362" s="109" t="str">
        <f>IF($A1362="","",$K1362*Config!$C$9)</f>
        <v/>
      </c>
      <c r="U1362" s="109" t="str">
        <f>IF($A1362="","",IF(COUNTIF(Config!$C$21:$C$23,$H1362)&gt;0,IFERROR(VALUE(LEFT(TRIM($Q1362),FIND(" ",TRIM($Q1362)&amp;" ")-1)),0),0))</f>
        <v/>
      </c>
      <c r="V1362" s="109" t="str">
        <f t="shared" si="252"/>
        <v/>
      </c>
      <c r="W1362" s="108">
        <f>IF($A1362="",0,IF(AND($C1362&gt;=Config!$C$7,$C1362&lt;=Config!$C$8),1,0))</f>
        <v>0</v>
      </c>
      <c r="X1362" s="108">
        <f>IF($A1362="",0,IF(COUNTIF(Config!$C$21:$C$23,$H1362)&gt;0,1,0))</f>
        <v>0</v>
      </c>
      <c r="Y1362" s="108">
        <f t="shared" si="253"/>
        <v>24</v>
      </c>
      <c r="Z1362" s="108" t="str">
        <f t="shared" si="254"/>
        <v/>
      </c>
      <c r="AB1362" s="108">
        <f t="shared" si="255"/>
        <v>0</v>
      </c>
      <c r="AC1362" s="108">
        <f>IF($A1362="",0,IF(AND($AB1362=1,COUNTIF($A$2:$A1362,$A1362)=1),1,0))</f>
        <v>0</v>
      </c>
      <c r="AD1362" s="108">
        <f t="shared" si="256"/>
        <v>1</v>
      </c>
      <c r="AE1362" s="108" t="str">
        <f t="shared" si="257"/>
        <v/>
      </c>
      <c r="AF1362" s="108">
        <f t="shared" si="258"/>
        <v>0</v>
      </c>
      <c r="AG1362" s="108">
        <f t="shared" si="259"/>
        <v>0</v>
      </c>
      <c r="AH1362" s="110" t="str">
        <f t="shared" si="260"/>
        <v/>
      </c>
      <c r="AI1362" s="108">
        <f t="shared" si="261"/>
        <v>0</v>
      </c>
      <c r="AJ1362" s="108">
        <f t="shared" si="262"/>
        <v>0</v>
      </c>
      <c r="AK1362" s="108">
        <f>IF($A1362="",0,IF(AND($S1362=1,$W1362=1,$X1362=1,$U1362&gt;Config!$C$9),1,0))</f>
        <v>0</v>
      </c>
      <c r="AL1362" s="108">
        <f t="shared" si="263"/>
        <v>0</v>
      </c>
    </row>
    <row r="1363" spans="19:38" x14ac:dyDescent="0.25">
      <c r="S1363" s="108" t="str">
        <f>IF($A1363="","",COUNTIF(BPOworkers!$B$6:$B$105,$A1363))</f>
        <v/>
      </c>
      <c r="T1363" s="109" t="str">
        <f>IF($A1363="","",$K1363*Config!$C$9)</f>
        <v/>
      </c>
      <c r="U1363" s="109" t="str">
        <f>IF($A1363="","",IF(COUNTIF(Config!$C$21:$C$23,$H1363)&gt;0,IFERROR(VALUE(LEFT(TRIM($Q1363),FIND(" ",TRIM($Q1363)&amp;" ")-1)),0),0))</f>
        <v/>
      </c>
      <c r="V1363" s="109" t="str">
        <f t="shared" si="252"/>
        <v/>
      </c>
      <c r="W1363" s="108">
        <f>IF($A1363="",0,IF(AND($C1363&gt;=Config!$C$7,$C1363&lt;=Config!$C$8),1,0))</f>
        <v>0</v>
      </c>
      <c r="X1363" s="108">
        <f>IF($A1363="",0,IF(COUNTIF(Config!$C$21:$C$23,$H1363)&gt;0,1,0))</f>
        <v>0</v>
      </c>
      <c r="Y1363" s="108">
        <f t="shared" si="253"/>
        <v>24</v>
      </c>
      <c r="Z1363" s="108" t="str">
        <f t="shared" si="254"/>
        <v/>
      </c>
      <c r="AB1363" s="108">
        <f t="shared" si="255"/>
        <v>0</v>
      </c>
      <c r="AC1363" s="108">
        <f>IF($A1363="",0,IF(AND($AB1363=1,COUNTIF($A$2:$A1363,$A1363)=1),1,0))</f>
        <v>0</v>
      </c>
      <c r="AD1363" s="108">
        <f t="shared" si="256"/>
        <v>1</v>
      </c>
      <c r="AE1363" s="108" t="str">
        <f t="shared" si="257"/>
        <v/>
      </c>
      <c r="AF1363" s="108">
        <f t="shared" si="258"/>
        <v>0</v>
      </c>
      <c r="AG1363" s="108">
        <f t="shared" si="259"/>
        <v>0</v>
      </c>
      <c r="AH1363" s="110" t="str">
        <f t="shared" si="260"/>
        <v/>
      </c>
      <c r="AI1363" s="108">
        <f t="shared" si="261"/>
        <v>0</v>
      </c>
      <c r="AJ1363" s="108">
        <f t="shared" si="262"/>
        <v>0</v>
      </c>
      <c r="AK1363" s="108">
        <f>IF($A1363="",0,IF(AND($S1363=1,$W1363=1,$X1363=1,$U1363&gt;Config!$C$9),1,0))</f>
        <v>0</v>
      </c>
      <c r="AL1363" s="108">
        <f t="shared" si="263"/>
        <v>0</v>
      </c>
    </row>
    <row r="1364" spans="19:38" x14ac:dyDescent="0.25">
      <c r="S1364" s="108" t="str">
        <f>IF($A1364="","",COUNTIF(BPOworkers!$B$6:$B$105,$A1364))</f>
        <v/>
      </c>
      <c r="T1364" s="109" t="str">
        <f>IF($A1364="","",$K1364*Config!$C$9)</f>
        <v/>
      </c>
      <c r="U1364" s="109" t="str">
        <f>IF($A1364="","",IF(COUNTIF(Config!$C$21:$C$23,$H1364)&gt;0,IFERROR(VALUE(LEFT(TRIM($Q1364),FIND(" ",TRIM($Q1364)&amp;" ")-1)),0),0))</f>
        <v/>
      </c>
      <c r="V1364" s="109" t="str">
        <f t="shared" si="252"/>
        <v/>
      </c>
      <c r="W1364" s="108">
        <f>IF($A1364="",0,IF(AND($C1364&gt;=Config!$C$7,$C1364&lt;=Config!$C$8),1,0))</f>
        <v>0</v>
      </c>
      <c r="X1364" s="108">
        <f>IF($A1364="",0,IF(COUNTIF(Config!$C$21:$C$23,$H1364)&gt;0,1,0))</f>
        <v>0</v>
      </c>
      <c r="Y1364" s="108">
        <f t="shared" si="253"/>
        <v>24</v>
      </c>
      <c r="Z1364" s="108" t="str">
        <f t="shared" si="254"/>
        <v/>
      </c>
      <c r="AB1364" s="108">
        <f t="shared" si="255"/>
        <v>0</v>
      </c>
      <c r="AC1364" s="108">
        <f>IF($A1364="",0,IF(AND($AB1364=1,COUNTIF($A$2:$A1364,$A1364)=1),1,0))</f>
        <v>0</v>
      </c>
      <c r="AD1364" s="108">
        <f t="shared" si="256"/>
        <v>1</v>
      </c>
      <c r="AE1364" s="108" t="str">
        <f t="shared" si="257"/>
        <v/>
      </c>
      <c r="AF1364" s="108">
        <f t="shared" si="258"/>
        <v>0</v>
      </c>
      <c r="AG1364" s="108">
        <f t="shared" si="259"/>
        <v>0</v>
      </c>
      <c r="AH1364" s="110" t="str">
        <f t="shared" si="260"/>
        <v/>
      </c>
      <c r="AI1364" s="108">
        <f t="shared" si="261"/>
        <v>0</v>
      </c>
      <c r="AJ1364" s="108">
        <f t="shared" si="262"/>
        <v>0</v>
      </c>
      <c r="AK1364" s="108">
        <f>IF($A1364="",0,IF(AND($S1364=1,$W1364=1,$X1364=1,$U1364&gt;Config!$C$9),1,0))</f>
        <v>0</v>
      </c>
      <c r="AL1364" s="108">
        <f t="shared" si="263"/>
        <v>0</v>
      </c>
    </row>
    <row r="1365" spans="19:38" x14ac:dyDescent="0.25">
      <c r="S1365" s="108" t="str">
        <f>IF($A1365="","",COUNTIF(BPOworkers!$B$6:$B$105,$A1365))</f>
        <v/>
      </c>
      <c r="T1365" s="109" t="str">
        <f>IF($A1365="","",$K1365*Config!$C$9)</f>
        <v/>
      </c>
      <c r="U1365" s="109" t="str">
        <f>IF($A1365="","",IF(COUNTIF(Config!$C$21:$C$23,$H1365)&gt;0,IFERROR(VALUE(LEFT(TRIM($Q1365),FIND(" ",TRIM($Q1365)&amp;" ")-1)),0),0))</f>
        <v/>
      </c>
      <c r="V1365" s="109" t="str">
        <f t="shared" si="252"/>
        <v/>
      </c>
      <c r="W1365" s="108">
        <f>IF($A1365="",0,IF(AND($C1365&gt;=Config!$C$7,$C1365&lt;=Config!$C$8),1,0))</f>
        <v>0</v>
      </c>
      <c r="X1365" s="108">
        <f>IF($A1365="",0,IF(COUNTIF(Config!$C$21:$C$23,$H1365)&gt;0,1,0))</f>
        <v>0</v>
      </c>
      <c r="Y1365" s="108">
        <f t="shared" si="253"/>
        <v>24</v>
      </c>
      <c r="Z1365" s="108" t="str">
        <f t="shared" si="254"/>
        <v/>
      </c>
      <c r="AB1365" s="108">
        <f t="shared" si="255"/>
        <v>0</v>
      </c>
      <c r="AC1365" s="108">
        <f>IF($A1365="",0,IF(AND($AB1365=1,COUNTIF($A$2:$A1365,$A1365)=1),1,0))</f>
        <v>0</v>
      </c>
      <c r="AD1365" s="108">
        <f t="shared" si="256"/>
        <v>1</v>
      </c>
      <c r="AE1365" s="108" t="str">
        <f t="shared" si="257"/>
        <v/>
      </c>
      <c r="AF1365" s="108">
        <f t="shared" si="258"/>
        <v>0</v>
      </c>
      <c r="AG1365" s="108">
        <f t="shared" si="259"/>
        <v>0</v>
      </c>
      <c r="AH1365" s="110" t="str">
        <f t="shared" si="260"/>
        <v/>
      </c>
      <c r="AI1365" s="108">
        <f t="shared" si="261"/>
        <v>0</v>
      </c>
      <c r="AJ1365" s="108">
        <f t="shared" si="262"/>
        <v>0</v>
      </c>
      <c r="AK1365" s="108">
        <f>IF($A1365="",0,IF(AND($S1365=1,$W1365=1,$X1365=1,$U1365&gt;Config!$C$9),1,0))</f>
        <v>0</v>
      </c>
      <c r="AL1365" s="108">
        <f t="shared" si="263"/>
        <v>0</v>
      </c>
    </row>
    <row r="1366" spans="19:38" x14ac:dyDescent="0.25">
      <c r="S1366" s="108" t="str">
        <f>IF($A1366="","",COUNTIF(BPOworkers!$B$6:$B$105,$A1366))</f>
        <v/>
      </c>
      <c r="T1366" s="109" t="str">
        <f>IF($A1366="","",$K1366*Config!$C$9)</f>
        <v/>
      </c>
      <c r="U1366" s="109" t="str">
        <f>IF($A1366="","",IF(COUNTIF(Config!$C$21:$C$23,$H1366)&gt;0,IFERROR(VALUE(LEFT(TRIM($Q1366),FIND(" ",TRIM($Q1366)&amp;" ")-1)),0),0))</f>
        <v/>
      </c>
      <c r="V1366" s="109" t="str">
        <f t="shared" si="252"/>
        <v/>
      </c>
      <c r="W1366" s="108">
        <f>IF($A1366="",0,IF(AND($C1366&gt;=Config!$C$7,$C1366&lt;=Config!$C$8),1,0))</f>
        <v>0</v>
      </c>
      <c r="X1366" s="108">
        <f>IF($A1366="",0,IF(COUNTIF(Config!$C$21:$C$23,$H1366)&gt;0,1,0))</f>
        <v>0</v>
      </c>
      <c r="Y1366" s="108">
        <f t="shared" si="253"/>
        <v>24</v>
      </c>
      <c r="Z1366" s="108" t="str">
        <f t="shared" si="254"/>
        <v/>
      </c>
      <c r="AB1366" s="108">
        <f t="shared" si="255"/>
        <v>0</v>
      </c>
      <c r="AC1366" s="108">
        <f>IF($A1366="",0,IF(AND($AB1366=1,COUNTIF($A$2:$A1366,$A1366)=1),1,0))</f>
        <v>0</v>
      </c>
      <c r="AD1366" s="108">
        <f t="shared" si="256"/>
        <v>1</v>
      </c>
      <c r="AE1366" s="108" t="str">
        <f t="shared" si="257"/>
        <v/>
      </c>
      <c r="AF1366" s="108">
        <f t="shared" si="258"/>
        <v>0</v>
      </c>
      <c r="AG1366" s="108">
        <f t="shared" si="259"/>
        <v>0</v>
      </c>
      <c r="AH1366" s="110" t="str">
        <f t="shared" si="260"/>
        <v/>
      </c>
      <c r="AI1366" s="108">
        <f t="shared" si="261"/>
        <v>0</v>
      </c>
      <c r="AJ1366" s="108">
        <f t="shared" si="262"/>
        <v>0</v>
      </c>
      <c r="AK1366" s="108">
        <f>IF($A1366="",0,IF(AND($S1366=1,$W1366=1,$X1366=1,$U1366&gt;Config!$C$9),1,0))</f>
        <v>0</v>
      </c>
      <c r="AL1366" s="108">
        <f t="shared" si="263"/>
        <v>0</v>
      </c>
    </row>
    <row r="1367" spans="19:38" x14ac:dyDescent="0.25">
      <c r="S1367" s="108" t="str">
        <f>IF($A1367="","",COUNTIF(BPOworkers!$B$6:$B$105,$A1367))</f>
        <v/>
      </c>
      <c r="T1367" s="109" t="str">
        <f>IF($A1367="","",$K1367*Config!$C$9)</f>
        <v/>
      </c>
      <c r="U1367" s="109" t="str">
        <f>IF($A1367="","",IF(COUNTIF(Config!$C$21:$C$23,$H1367)&gt;0,IFERROR(VALUE(LEFT(TRIM($Q1367),FIND(" ",TRIM($Q1367)&amp;" ")-1)),0),0))</f>
        <v/>
      </c>
      <c r="V1367" s="109" t="str">
        <f t="shared" si="252"/>
        <v/>
      </c>
      <c r="W1367" s="108">
        <f>IF($A1367="",0,IF(AND($C1367&gt;=Config!$C$7,$C1367&lt;=Config!$C$8),1,0))</f>
        <v>0</v>
      </c>
      <c r="X1367" s="108">
        <f>IF($A1367="",0,IF(COUNTIF(Config!$C$21:$C$23,$H1367)&gt;0,1,0))</f>
        <v>0</v>
      </c>
      <c r="Y1367" s="108">
        <f t="shared" si="253"/>
        <v>24</v>
      </c>
      <c r="Z1367" s="108" t="str">
        <f t="shared" si="254"/>
        <v/>
      </c>
      <c r="AB1367" s="108">
        <f t="shared" si="255"/>
        <v>0</v>
      </c>
      <c r="AC1367" s="108">
        <f>IF($A1367="",0,IF(AND($AB1367=1,COUNTIF($A$2:$A1367,$A1367)=1),1,0))</f>
        <v>0</v>
      </c>
      <c r="AD1367" s="108">
        <f t="shared" si="256"/>
        <v>1</v>
      </c>
      <c r="AE1367" s="108" t="str">
        <f t="shared" si="257"/>
        <v/>
      </c>
      <c r="AF1367" s="108">
        <f t="shared" si="258"/>
        <v>0</v>
      </c>
      <c r="AG1367" s="108">
        <f t="shared" si="259"/>
        <v>0</v>
      </c>
      <c r="AH1367" s="110" t="str">
        <f t="shared" si="260"/>
        <v/>
      </c>
      <c r="AI1367" s="108">
        <f t="shared" si="261"/>
        <v>0</v>
      </c>
      <c r="AJ1367" s="108">
        <f t="shared" si="262"/>
        <v>0</v>
      </c>
      <c r="AK1367" s="108">
        <f>IF($A1367="",0,IF(AND($S1367=1,$W1367=1,$X1367=1,$U1367&gt;Config!$C$9),1,0))</f>
        <v>0</v>
      </c>
      <c r="AL1367" s="108">
        <f t="shared" si="263"/>
        <v>0</v>
      </c>
    </row>
    <row r="1368" spans="19:38" x14ac:dyDescent="0.25">
      <c r="S1368" s="108" t="str">
        <f>IF($A1368="","",COUNTIF(BPOworkers!$B$6:$B$105,$A1368))</f>
        <v/>
      </c>
      <c r="T1368" s="109" t="str">
        <f>IF($A1368="","",$K1368*Config!$C$9)</f>
        <v/>
      </c>
      <c r="U1368" s="109" t="str">
        <f>IF($A1368="","",IF(COUNTIF(Config!$C$21:$C$23,$H1368)&gt;0,IFERROR(VALUE(LEFT(TRIM($Q1368),FIND(" ",TRIM($Q1368)&amp;" ")-1)),0),0))</f>
        <v/>
      </c>
      <c r="V1368" s="109" t="str">
        <f t="shared" si="252"/>
        <v/>
      </c>
      <c r="W1368" s="108">
        <f>IF($A1368="",0,IF(AND($C1368&gt;=Config!$C$7,$C1368&lt;=Config!$C$8),1,0))</f>
        <v>0</v>
      </c>
      <c r="X1368" s="108">
        <f>IF($A1368="",0,IF(COUNTIF(Config!$C$21:$C$23,$H1368)&gt;0,1,0))</f>
        <v>0</v>
      </c>
      <c r="Y1368" s="108">
        <f t="shared" si="253"/>
        <v>24</v>
      </c>
      <c r="Z1368" s="108" t="str">
        <f t="shared" si="254"/>
        <v/>
      </c>
      <c r="AB1368" s="108">
        <f t="shared" si="255"/>
        <v>0</v>
      </c>
      <c r="AC1368" s="108">
        <f>IF($A1368="",0,IF(AND($AB1368=1,COUNTIF($A$2:$A1368,$A1368)=1),1,0))</f>
        <v>0</v>
      </c>
      <c r="AD1368" s="108">
        <f t="shared" si="256"/>
        <v>1</v>
      </c>
      <c r="AE1368" s="108" t="str">
        <f t="shared" si="257"/>
        <v/>
      </c>
      <c r="AF1368" s="108">
        <f t="shared" si="258"/>
        <v>0</v>
      </c>
      <c r="AG1368" s="108">
        <f t="shared" si="259"/>
        <v>0</v>
      </c>
      <c r="AH1368" s="110" t="str">
        <f t="shared" si="260"/>
        <v/>
      </c>
      <c r="AI1368" s="108">
        <f t="shared" si="261"/>
        <v>0</v>
      </c>
      <c r="AJ1368" s="108">
        <f t="shared" si="262"/>
        <v>0</v>
      </c>
      <c r="AK1368" s="108">
        <f>IF($A1368="",0,IF(AND($S1368=1,$W1368=1,$X1368=1,$U1368&gt;Config!$C$9),1,0))</f>
        <v>0</v>
      </c>
      <c r="AL1368" s="108">
        <f t="shared" si="263"/>
        <v>0</v>
      </c>
    </row>
    <row r="1369" spans="19:38" x14ac:dyDescent="0.25">
      <c r="S1369" s="108" t="str">
        <f>IF($A1369="","",COUNTIF(BPOworkers!$B$6:$B$105,$A1369))</f>
        <v/>
      </c>
      <c r="T1369" s="109" t="str">
        <f>IF($A1369="","",$K1369*Config!$C$9)</f>
        <v/>
      </c>
      <c r="U1369" s="109" t="str">
        <f>IF($A1369="","",IF(COUNTIF(Config!$C$21:$C$23,$H1369)&gt;0,IFERROR(VALUE(LEFT(TRIM($Q1369),FIND(" ",TRIM($Q1369)&amp;" ")-1)),0),0))</f>
        <v/>
      </c>
      <c r="V1369" s="109" t="str">
        <f t="shared" si="252"/>
        <v/>
      </c>
      <c r="W1369" s="108">
        <f>IF($A1369="",0,IF(AND($C1369&gt;=Config!$C$7,$C1369&lt;=Config!$C$8),1,0))</f>
        <v>0</v>
      </c>
      <c r="X1369" s="108">
        <f>IF($A1369="",0,IF(COUNTIF(Config!$C$21:$C$23,$H1369)&gt;0,1,0))</f>
        <v>0</v>
      </c>
      <c r="Y1369" s="108">
        <f t="shared" si="253"/>
        <v>24</v>
      </c>
      <c r="Z1369" s="108" t="str">
        <f t="shared" si="254"/>
        <v/>
      </c>
      <c r="AB1369" s="108">
        <f t="shared" si="255"/>
        <v>0</v>
      </c>
      <c r="AC1369" s="108">
        <f>IF($A1369="",0,IF(AND($AB1369=1,COUNTIF($A$2:$A1369,$A1369)=1),1,0))</f>
        <v>0</v>
      </c>
      <c r="AD1369" s="108">
        <f t="shared" si="256"/>
        <v>1</v>
      </c>
      <c r="AE1369" s="108" t="str">
        <f t="shared" si="257"/>
        <v/>
      </c>
      <c r="AF1369" s="108">
        <f t="shared" si="258"/>
        <v>0</v>
      </c>
      <c r="AG1369" s="108">
        <f t="shared" si="259"/>
        <v>0</v>
      </c>
      <c r="AH1369" s="110" t="str">
        <f t="shared" si="260"/>
        <v/>
      </c>
      <c r="AI1369" s="108">
        <f t="shared" si="261"/>
        <v>0</v>
      </c>
      <c r="AJ1369" s="108">
        <f t="shared" si="262"/>
        <v>0</v>
      </c>
      <c r="AK1369" s="108">
        <f>IF($A1369="",0,IF(AND($S1369=1,$W1369=1,$X1369=1,$U1369&gt;Config!$C$9),1,0))</f>
        <v>0</v>
      </c>
      <c r="AL1369" s="108">
        <f t="shared" si="263"/>
        <v>0</v>
      </c>
    </row>
    <row r="1370" spans="19:38" x14ac:dyDescent="0.25">
      <c r="S1370" s="108" t="str">
        <f>IF($A1370="","",COUNTIF(BPOworkers!$B$6:$B$105,$A1370))</f>
        <v/>
      </c>
      <c r="T1370" s="109" t="str">
        <f>IF($A1370="","",$K1370*Config!$C$9)</f>
        <v/>
      </c>
      <c r="U1370" s="109" t="str">
        <f>IF($A1370="","",IF(COUNTIF(Config!$C$21:$C$23,$H1370)&gt;0,IFERROR(VALUE(LEFT(TRIM($Q1370),FIND(" ",TRIM($Q1370)&amp;" ")-1)),0),0))</f>
        <v/>
      </c>
      <c r="V1370" s="109" t="str">
        <f t="shared" si="252"/>
        <v/>
      </c>
      <c r="W1370" s="108">
        <f>IF($A1370="",0,IF(AND($C1370&gt;=Config!$C$7,$C1370&lt;=Config!$C$8),1,0))</f>
        <v>0</v>
      </c>
      <c r="X1370" s="108">
        <f>IF($A1370="",0,IF(COUNTIF(Config!$C$21:$C$23,$H1370)&gt;0,1,0))</f>
        <v>0</v>
      </c>
      <c r="Y1370" s="108">
        <f t="shared" si="253"/>
        <v>24</v>
      </c>
      <c r="Z1370" s="108" t="str">
        <f t="shared" si="254"/>
        <v/>
      </c>
      <c r="AB1370" s="108">
        <f t="shared" si="255"/>
        <v>0</v>
      </c>
      <c r="AC1370" s="108">
        <f>IF($A1370="",0,IF(AND($AB1370=1,COUNTIF($A$2:$A1370,$A1370)=1),1,0))</f>
        <v>0</v>
      </c>
      <c r="AD1370" s="108">
        <f t="shared" si="256"/>
        <v>1</v>
      </c>
      <c r="AE1370" s="108" t="str">
        <f t="shared" si="257"/>
        <v/>
      </c>
      <c r="AF1370" s="108">
        <f t="shared" si="258"/>
        <v>0</v>
      </c>
      <c r="AG1370" s="108">
        <f t="shared" si="259"/>
        <v>0</v>
      </c>
      <c r="AH1370" s="110" t="str">
        <f t="shared" si="260"/>
        <v/>
      </c>
      <c r="AI1370" s="108">
        <f t="shared" si="261"/>
        <v>0</v>
      </c>
      <c r="AJ1370" s="108">
        <f t="shared" si="262"/>
        <v>0</v>
      </c>
      <c r="AK1370" s="108">
        <f>IF($A1370="",0,IF(AND($S1370=1,$W1370=1,$X1370=1,$U1370&gt;Config!$C$9),1,0))</f>
        <v>0</v>
      </c>
      <c r="AL1370" s="108">
        <f t="shared" si="263"/>
        <v>0</v>
      </c>
    </row>
    <row r="1371" spans="19:38" x14ac:dyDescent="0.25">
      <c r="S1371" s="108" t="str">
        <f>IF($A1371="","",COUNTIF(BPOworkers!$B$6:$B$105,$A1371))</f>
        <v/>
      </c>
      <c r="T1371" s="109" t="str">
        <f>IF($A1371="","",$K1371*Config!$C$9)</f>
        <v/>
      </c>
      <c r="U1371" s="109" t="str">
        <f>IF($A1371="","",IF(COUNTIF(Config!$C$21:$C$23,$H1371)&gt;0,IFERROR(VALUE(LEFT(TRIM($Q1371),FIND(" ",TRIM($Q1371)&amp;" ")-1)),0),0))</f>
        <v/>
      </c>
      <c r="V1371" s="109" t="str">
        <f t="shared" si="252"/>
        <v/>
      </c>
      <c r="W1371" s="108">
        <f>IF($A1371="",0,IF(AND($C1371&gt;=Config!$C$7,$C1371&lt;=Config!$C$8),1,0))</f>
        <v>0</v>
      </c>
      <c r="X1371" s="108">
        <f>IF($A1371="",0,IF(COUNTIF(Config!$C$21:$C$23,$H1371)&gt;0,1,0))</f>
        <v>0</v>
      </c>
      <c r="Y1371" s="108">
        <f t="shared" si="253"/>
        <v>24</v>
      </c>
      <c r="Z1371" s="108" t="str">
        <f t="shared" si="254"/>
        <v/>
      </c>
      <c r="AB1371" s="108">
        <f t="shared" si="255"/>
        <v>0</v>
      </c>
      <c r="AC1371" s="108">
        <f>IF($A1371="",0,IF(AND($AB1371=1,COUNTIF($A$2:$A1371,$A1371)=1),1,0))</f>
        <v>0</v>
      </c>
      <c r="AD1371" s="108">
        <f t="shared" si="256"/>
        <v>1</v>
      </c>
      <c r="AE1371" s="108" t="str">
        <f t="shared" si="257"/>
        <v/>
      </c>
      <c r="AF1371" s="108">
        <f t="shared" si="258"/>
        <v>0</v>
      </c>
      <c r="AG1371" s="108">
        <f t="shared" si="259"/>
        <v>0</v>
      </c>
      <c r="AH1371" s="110" t="str">
        <f t="shared" si="260"/>
        <v/>
      </c>
      <c r="AI1371" s="108">
        <f t="shared" si="261"/>
        <v>0</v>
      </c>
      <c r="AJ1371" s="108">
        <f t="shared" si="262"/>
        <v>0</v>
      </c>
      <c r="AK1371" s="108">
        <f>IF($A1371="",0,IF(AND($S1371=1,$W1371=1,$X1371=1,$U1371&gt;Config!$C$9),1,0))</f>
        <v>0</v>
      </c>
      <c r="AL1371" s="108">
        <f t="shared" si="263"/>
        <v>0</v>
      </c>
    </row>
    <row r="1372" spans="19:38" x14ac:dyDescent="0.25">
      <c r="S1372" s="108" t="str">
        <f>IF($A1372="","",COUNTIF(BPOworkers!$B$6:$B$105,$A1372))</f>
        <v/>
      </c>
      <c r="T1372" s="109" t="str">
        <f>IF($A1372="","",$K1372*Config!$C$9)</f>
        <v/>
      </c>
      <c r="U1372" s="109" t="str">
        <f>IF($A1372="","",IF(COUNTIF(Config!$C$21:$C$23,$H1372)&gt;0,IFERROR(VALUE(LEFT(TRIM($Q1372),FIND(" ",TRIM($Q1372)&amp;" ")-1)),0),0))</f>
        <v/>
      </c>
      <c r="V1372" s="109" t="str">
        <f t="shared" si="252"/>
        <v/>
      </c>
      <c r="W1372" s="108">
        <f>IF($A1372="",0,IF(AND($C1372&gt;=Config!$C$7,$C1372&lt;=Config!$C$8),1,0))</f>
        <v>0</v>
      </c>
      <c r="X1372" s="108">
        <f>IF($A1372="",0,IF(COUNTIF(Config!$C$21:$C$23,$H1372)&gt;0,1,0))</f>
        <v>0</v>
      </c>
      <c r="Y1372" s="108">
        <f t="shared" si="253"/>
        <v>24</v>
      </c>
      <c r="Z1372" s="108" t="str">
        <f t="shared" si="254"/>
        <v/>
      </c>
      <c r="AB1372" s="108">
        <f t="shared" si="255"/>
        <v>0</v>
      </c>
      <c r="AC1372" s="108">
        <f>IF($A1372="",0,IF(AND($AB1372=1,COUNTIF($A$2:$A1372,$A1372)=1),1,0))</f>
        <v>0</v>
      </c>
      <c r="AD1372" s="108">
        <f t="shared" si="256"/>
        <v>1</v>
      </c>
      <c r="AE1372" s="108" t="str">
        <f t="shared" si="257"/>
        <v/>
      </c>
      <c r="AF1372" s="108">
        <f t="shared" si="258"/>
        <v>0</v>
      </c>
      <c r="AG1372" s="108">
        <f t="shared" si="259"/>
        <v>0</v>
      </c>
      <c r="AH1372" s="110" t="str">
        <f t="shared" si="260"/>
        <v/>
      </c>
      <c r="AI1372" s="108">
        <f t="shared" si="261"/>
        <v>0</v>
      </c>
      <c r="AJ1372" s="108">
        <f t="shared" si="262"/>
        <v>0</v>
      </c>
      <c r="AK1372" s="108">
        <f>IF($A1372="",0,IF(AND($S1372=1,$W1372=1,$X1372=1,$U1372&gt;Config!$C$9),1,0))</f>
        <v>0</v>
      </c>
      <c r="AL1372" s="108">
        <f t="shared" si="263"/>
        <v>0</v>
      </c>
    </row>
    <row r="1373" spans="19:38" x14ac:dyDescent="0.25">
      <c r="S1373" s="108" t="str">
        <f>IF($A1373="","",COUNTIF(BPOworkers!$B$6:$B$105,$A1373))</f>
        <v/>
      </c>
      <c r="T1373" s="109" t="str">
        <f>IF($A1373="","",$K1373*Config!$C$9)</f>
        <v/>
      </c>
      <c r="U1373" s="109" t="str">
        <f>IF($A1373="","",IF(COUNTIF(Config!$C$21:$C$23,$H1373)&gt;0,IFERROR(VALUE(LEFT(TRIM($Q1373),FIND(" ",TRIM($Q1373)&amp;" ")-1)),0),0))</f>
        <v/>
      </c>
      <c r="V1373" s="109" t="str">
        <f t="shared" si="252"/>
        <v/>
      </c>
      <c r="W1373" s="108">
        <f>IF($A1373="",0,IF(AND($C1373&gt;=Config!$C$7,$C1373&lt;=Config!$C$8),1,0))</f>
        <v>0</v>
      </c>
      <c r="X1373" s="108">
        <f>IF($A1373="",0,IF(COUNTIF(Config!$C$21:$C$23,$H1373)&gt;0,1,0))</f>
        <v>0</v>
      </c>
      <c r="Y1373" s="108">
        <f t="shared" si="253"/>
        <v>24</v>
      </c>
      <c r="Z1373" s="108" t="str">
        <f t="shared" si="254"/>
        <v/>
      </c>
      <c r="AB1373" s="108">
        <f t="shared" si="255"/>
        <v>0</v>
      </c>
      <c r="AC1373" s="108">
        <f>IF($A1373="",0,IF(AND($AB1373=1,COUNTIF($A$2:$A1373,$A1373)=1),1,0))</f>
        <v>0</v>
      </c>
      <c r="AD1373" s="108">
        <f t="shared" si="256"/>
        <v>1</v>
      </c>
      <c r="AE1373" s="108" t="str">
        <f t="shared" si="257"/>
        <v/>
      </c>
      <c r="AF1373" s="108">
        <f t="shared" si="258"/>
        <v>0</v>
      </c>
      <c r="AG1373" s="108">
        <f t="shared" si="259"/>
        <v>0</v>
      </c>
      <c r="AH1373" s="110" t="str">
        <f t="shared" si="260"/>
        <v/>
      </c>
      <c r="AI1373" s="108">
        <f t="shared" si="261"/>
        <v>0</v>
      </c>
      <c r="AJ1373" s="108">
        <f t="shared" si="262"/>
        <v>0</v>
      </c>
      <c r="AK1373" s="108">
        <f>IF($A1373="",0,IF(AND($S1373=1,$W1373=1,$X1373=1,$U1373&gt;Config!$C$9),1,0))</f>
        <v>0</v>
      </c>
      <c r="AL1373" s="108">
        <f t="shared" si="263"/>
        <v>0</v>
      </c>
    </row>
    <row r="1374" spans="19:38" x14ac:dyDescent="0.25">
      <c r="S1374" s="108" t="str">
        <f>IF($A1374="","",COUNTIF(BPOworkers!$B$6:$B$105,$A1374))</f>
        <v/>
      </c>
      <c r="T1374" s="109" t="str">
        <f>IF($A1374="","",$K1374*Config!$C$9)</f>
        <v/>
      </c>
      <c r="U1374" s="109" t="str">
        <f>IF($A1374="","",IF(COUNTIF(Config!$C$21:$C$23,$H1374)&gt;0,IFERROR(VALUE(LEFT(TRIM($Q1374),FIND(" ",TRIM($Q1374)&amp;" ")-1)),0),0))</f>
        <v/>
      </c>
      <c r="V1374" s="109" t="str">
        <f t="shared" si="252"/>
        <v/>
      </c>
      <c r="W1374" s="108">
        <f>IF($A1374="",0,IF(AND($C1374&gt;=Config!$C$7,$C1374&lt;=Config!$C$8),1,0))</f>
        <v>0</v>
      </c>
      <c r="X1374" s="108">
        <f>IF($A1374="",0,IF(COUNTIF(Config!$C$21:$C$23,$H1374)&gt;0,1,0))</f>
        <v>0</v>
      </c>
      <c r="Y1374" s="108">
        <f t="shared" si="253"/>
        <v>24</v>
      </c>
      <c r="Z1374" s="108" t="str">
        <f t="shared" si="254"/>
        <v/>
      </c>
      <c r="AB1374" s="108">
        <f t="shared" si="255"/>
        <v>0</v>
      </c>
      <c r="AC1374" s="108">
        <f>IF($A1374="",0,IF(AND($AB1374=1,COUNTIF($A$2:$A1374,$A1374)=1),1,0))</f>
        <v>0</v>
      </c>
      <c r="AD1374" s="108">
        <f t="shared" si="256"/>
        <v>1</v>
      </c>
      <c r="AE1374" s="108" t="str">
        <f t="shared" si="257"/>
        <v/>
      </c>
      <c r="AF1374" s="108">
        <f t="shared" si="258"/>
        <v>0</v>
      </c>
      <c r="AG1374" s="108">
        <f t="shared" si="259"/>
        <v>0</v>
      </c>
      <c r="AH1374" s="110" t="str">
        <f t="shared" si="260"/>
        <v/>
      </c>
      <c r="AI1374" s="108">
        <f t="shared" si="261"/>
        <v>0</v>
      </c>
      <c r="AJ1374" s="108">
        <f t="shared" si="262"/>
        <v>0</v>
      </c>
      <c r="AK1374" s="108">
        <f>IF($A1374="",0,IF(AND($S1374=1,$W1374=1,$X1374=1,$U1374&gt;Config!$C$9),1,0))</f>
        <v>0</v>
      </c>
      <c r="AL1374" s="108">
        <f t="shared" si="263"/>
        <v>0</v>
      </c>
    </row>
    <row r="1375" spans="19:38" x14ac:dyDescent="0.25">
      <c r="S1375" s="108" t="str">
        <f>IF($A1375="","",COUNTIF(BPOworkers!$B$6:$B$105,$A1375))</f>
        <v/>
      </c>
      <c r="T1375" s="109" t="str">
        <f>IF($A1375="","",$K1375*Config!$C$9)</f>
        <v/>
      </c>
      <c r="U1375" s="109" t="str">
        <f>IF($A1375="","",IF(COUNTIF(Config!$C$21:$C$23,$H1375)&gt;0,IFERROR(VALUE(LEFT(TRIM($Q1375),FIND(" ",TRIM($Q1375)&amp;" ")-1)),0),0))</f>
        <v/>
      </c>
      <c r="V1375" s="109" t="str">
        <f t="shared" si="252"/>
        <v/>
      </c>
      <c r="W1375" s="108">
        <f>IF($A1375="",0,IF(AND($C1375&gt;=Config!$C$7,$C1375&lt;=Config!$C$8),1,0))</f>
        <v>0</v>
      </c>
      <c r="X1375" s="108">
        <f>IF($A1375="",0,IF(COUNTIF(Config!$C$21:$C$23,$H1375)&gt;0,1,0))</f>
        <v>0</v>
      </c>
      <c r="Y1375" s="108">
        <f t="shared" si="253"/>
        <v>24</v>
      </c>
      <c r="Z1375" s="108" t="str">
        <f t="shared" si="254"/>
        <v/>
      </c>
      <c r="AB1375" s="108">
        <f t="shared" si="255"/>
        <v>0</v>
      </c>
      <c r="AC1375" s="108">
        <f>IF($A1375="",0,IF(AND($AB1375=1,COUNTIF($A$2:$A1375,$A1375)=1),1,0))</f>
        <v>0</v>
      </c>
      <c r="AD1375" s="108">
        <f t="shared" si="256"/>
        <v>1</v>
      </c>
      <c r="AE1375" s="108" t="str">
        <f t="shared" si="257"/>
        <v/>
      </c>
      <c r="AF1375" s="108">
        <f t="shared" si="258"/>
        <v>0</v>
      </c>
      <c r="AG1375" s="108">
        <f t="shared" si="259"/>
        <v>0</v>
      </c>
      <c r="AH1375" s="110" t="str">
        <f t="shared" si="260"/>
        <v/>
      </c>
      <c r="AI1375" s="108">
        <f t="shared" si="261"/>
        <v>0</v>
      </c>
      <c r="AJ1375" s="108">
        <f t="shared" si="262"/>
        <v>0</v>
      </c>
      <c r="AK1375" s="108">
        <f>IF($A1375="",0,IF(AND($S1375=1,$W1375=1,$X1375=1,$U1375&gt;Config!$C$9),1,0))</f>
        <v>0</v>
      </c>
      <c r="AL1375" s="108">
        <f t="shared" si="263"/>
        <v>0</v>
      </c>
    </row>
    <row r="1376" spans="19:38" x14ac:dyDescent="0.25">
      <c r="S1376" s="108" t="str">
        <f>IF($A1376="","",COUNTIF(BPOworkers!$B$6:$B$105,$A1376))</f>
        <v/>
      </c>
      <c r="T1376" s="109" t="str">
        <f>IF($A1376="","",$K1376*Config!$C$9)</f>
        <v/>
      </c>
      <c r="U1376" s="109" t="str">
        <f>IF($A1376="","",IF(COUNTIF(Config!$C$21:$C$23,$H1376)&gt;0,IFERROR(VALUE(LEFT(TRIM($Q1376),FIND(" ",TRIM($Q1376)&amp;" ")-1)),0),0))</f>
        <v/>
      </c>
      <c r="V1376" s="109" t="str">
        <f t="shared" si="252"/>
        <v/>
      </c>
      <c r="W1376" s="108">
        <f>IF($A1376="",0,IF(AND($C1376&gt;=Config!$C$7,$C1376&lt;=Config!$C$8),1,0))</f>
        <v>0</v>
      </c>
      <c r="X1376" s="108">
        <f>IF($A1376="",0,IF(COUNTIF(Config!$C$21:$C$23,$H1376)&gt;0,1,0))</f>
        <v>0</v>
      </c>
      <c r="Y1376" s="108">
        <f t="shared" si="253"/>
        <v>24</v>
      </c>
      <c r="Z1376" s="108" t="str">
        <f t="shared" si="254"/>
        <v/>
      </c>
      <c r="AB1376" s="108">
        <f t="shared" si="255"/>
        <v>0</v>
      </c>
      <c r="AC1376" s="108">
        <f>IF($A1376="",0,IF(AND($AB1376=1,COUNTIF($A$2:$A1376,$A1376)=1),1,0))</f>
        <v>0</v>
      </c>
      <c r="AD1376" s="108">
        <f t="shared" si="256"/>
        <v>1</v>
      </c>
      <c r="AE1376" s="108" t="str">
        <f t="shared" si="257"/>
        <v/>
      </c>
      <c r="AF1376" s="108">
        <f t="shared" si="258"/>
        <v>0</v>
      </c>
      <c r="AG1376" s="108">
        <f t="shared" si="259"/>
        <v>0</v>
      </c>
      <c r="AH1376" s="110" t="str">
        <f t="shared" si="260"/>
        <v/>
      </c>
      <c r="AI1376" s="108">
        <f t="shared" si="261"/>
        <v>0</v>
      </c>
      <c r="AJ1376" s="108">
        <f t="shared" si="262"/>
        <v>0</v>
      </c>
      <c r="AK1376" s="108">
        <f>IF($A1376="",0,IF(AND($S1376=1,$W1376=1,$X1376=1,$U1376&gt;Config!$C$9),1,0))</f>
        <v>0</v>
      </c>
      <c r="AL1376" s="108">
        <f t="shared" si="263"/>
        <v>0</v>
      </c>
    </row>
    <row r="1377" spans="19:38" x14ac:dyDescent="0.25">
      <c r="S1377" s="108" t="str">
        <f>IF($A1377="","",COUNTIF(BPOworkers!$B$6:$B$105,$A1377))</f>
        <v/>
      </c>
      <c r="T1377" s="109" t="str">
        <f>IF($A1377="","",$K1377*Config!$C$9)</f>
        <v/>
      </c>
      <c r="U1377" s="109" t="str">
        <f>IF($A1377="","",IF(COUNTIF(Config!$C$21:$C$23,$H1377)&gt;0,IFERROR(VALUE(LEFT(TRIM($Q1377),FIND(" ",TRIM($Q1377)&amp;" ")-1)),0),0))</f>
        <v/>
      </c>
      <c r="V1377" s="109" t="str">
        <f t="shared" si="252"/>
        <v/>
      </c>
      <c r="W1377" s="108">
        <f>IF($A1377="",0,IF(AND($C1377&gt;=Config!$C$7,$C1377&lt;=Config!$C$8),1,0))</f>
        <v>0</v>
      </c>
      <c r="X1377" s="108">
        <f>IF($A1377="",0,IF(COUNTIF(Config!$C$21:$C$23,$H1377)&gt;0,1,0))</f>
        <v>0</v>
      </c>
      <c r="Y1377" s="108">
        <f t="shared" si="253"/>
        <v>24</v>
      </c>
      <c r="Z1377" s="108" t="str">
        <f t="shared" si="254"/>
        <v/>
      </c>
      <c r="AB1377" s="108">
        <f t="shared" si="255"/>
        <v>0</v>
      </c>
      <c r="AC1377" s="108">
        <f>IF($A1377="",0,IF(AND($AB1377=1,COUNTIF($A$2:$A1377,$A1377)=1),1,0))</f>
        <v>0</v>
      </c>
      <c r="AD1377" s="108">
        <f t="shared" si="256"/>
        <v>1</v>
      </c>
      <c r="AE1377" s="108" t="str">
        <f t="shared" si="257"/>
        <v/>
      </c>
      <c r="AF1377" s="108">
        <f t="shared" si="258"/>
        <v>0</v>
      </c>
      <c r="AG1377" s="108">
        <f t="shared" si="259"/>
        <v>0</v>
      </c>
      <c r="AH1377" s="110" t="str">
        <f t="shared" si="260"/>
        <v/>
      </c>
      <c r="AI1377" s="108">
        <f t="shared" si="261"/>
        <v>0</v>
      </c>
      <c r="AJ1377" s="108">
        <f t="shared" si="262"/>
        <v>0</v>
      </c>
      <c r="AK1377" s="108">
        <f>IF($A1377="",0,IF(AND($S1377=1,$W1377=1,$X1377=1,$U1377&gt;Config!$C$9),1,0))</f>
        <v>0</v>
      </c>
      <c r="AL1377" s="108">
        <f t="shared" si="263"/>
        <v>0</v>
      </c>
    </row>
    <row r="1378" spans="19:38" x14ac:dyDescent="0.25">
      <c r="S1378" s="108" t="str">
        <f>IF($A1378="","",COUNTIF(BPOworkers!$B$6:$B$105,$A1378))</f>
        <v/>
      </c>
      <c r="T1378" s="109" t="str">
        <f>IF($A1378="","",$K1378*Config!$C$9)</f>
        <v/>
      </c>
      <c r="U1378" s="109" t="str">
        <f>IF($A1378="","",IF(COUNTIF(Config!$C$21:$C$23,$H1378)&gt;0,IFERROR(VALUE(LEFT(TRIM($Q1378),FIND(" ",TRIM($Q1378)&amp;" ")-1)),0),0))</f>
        <v/>
      </c>
      <c r="V1378" s="109" t="str">
        <f t="shared" si="252"/>
        <v/>
      </c>
      <c r="W1378" s="108">
        <f>IF($A1378="",0,IF(AND($C1378&gt;=Config!$C$7,$C1378&lt;=Config!$C$8),1,0))</f>
        <v>0</v>
      </c>
      <c r="X1378" s="108">
        <f>IF($A1378="",0,IF(COUNTIF(Config!$C$21:$C$23,$H1378)&gt;0,1,0))</f>
        <v>0</v>
      </c>
      <c r="Y1378" s="108">
        <f t="shared" si="253"/>
        <v>24</v>
      </c>
      <c r="Z1378" s="108" t="str">
        <f t="shared" si="254"/>
        <v/>
      </c>
      <c r="AB1378" s="108">
        <f t="shared" si="255"/>
        <v>0</v>
      </c>
      <c r="AC1378" s="108">
        <f>IF($A1378="",0,IF(AND($AB1378=1,COUNTIF($A$2:$A1378,$A1378)=1),1,0))</f>
        <v>0</v>
      </c>
      <c r="AD1378" s="108">
        <f t="shared" si="256"/>
        <v>1</v>
      </c>
      <c r="AE1378" s="108" t="str">
        <f t="shared" si="257"/>
        <v/>
      </c>
      <c r="AF1378" s="108">
        <f t="shared" si="258"/>
        <v>0</v>
      </c>
      <c r="AG1378" s="108">
        <f t="shared" si="259"/>
        <v>0</v>
      </c>
      <c r="AH1378" s="110" t="str">
        <f t="shared" si="260"/>
        <v/>
      </c>
      <c r="AI1378" s="108">
        <f t="shared" si="261"/>
        <v>0</v>
      </c>
      <c r="AJ1378" s="108">
        <f t="shared" si="262"/>
        <v>0</v>
      </c>
      <c r="AK1378" s="108">
        <f>IF($A1378="",0,IF(AND($S1378=1,$W1378=1,$X1378=1,$U1378&gt;Config!$C$9),1,0))</f>
        <v>0</v>
      </c>
      <c r="AL1378" s="108">
        <f t="shared" si="263"/>
        <v>0</v>
      </c>
    </row>
    <row r="1379" spans="19:38" x14ac:dyDescent="0.25">
      <c r="S1379" s="108" t="str">
        <f>IF($A1379="","",COUNTIF(BPOworkers!$B$6:$B$105,$A1379))</f>
        <v/>
      </c>
      <c r="T1379" s="109" t="str">
        <f>IF($A1379="","",$K1379*Config!$C$9)</f>
        <v/>
      </c>
      <c r="U1379" s="109" t="str">
        <f>IF($A1379="","",IF(COUNTIF(Config!$C$21:$C$23,$H1379)&gt;0,IFERROR(VALUE(LEFT(TRIM($Q1379),FIND(" ",TRIM($Q1379)&amp;" ")-1)),0),0))</f>
        <v/>
      </c>
      <c r="V1379" s="109" t="str">
        <f t="shared" si="252"/>
        <v/>
      </c>
      <c r="W1379" s="108">
        <f>IF($A1379="",0,IF(AND($C1379&gt;=Config!$C$7,$C1379&lt;=Config!$C$8),1,0))</f>
        <v>0</v>
      </c>
      <c r="X1379" s="108">
        <f>IF($A1379="",0,IF(COUNTIF(Config!$C$21:$C$23,$H1379)&gt;0,1,0))</f>
        <v>0</v>
      </c>
      <c r="Y1379" s="108">
        <f t="shared" si="253"/>
        <v>24</v>
      </c>
      <c r="Z1379" s="108" t="str">
        <f t="shared" si="254"/>
        <v/>
      </c>
      <c r="AB1379" s="108">
        <f t="shared" si="255"/>
        <v>0</v>
      </c>
      <c r="AC1379" s="108">
        <f>IF($A1379="",0,IF(AND($AB1379=1,COUNTIF($A$2:$A1379,$A1379)=1),1,0))</f>
        <v>0</v>
      </c>
      <c r="AD1379" s="108">
        <f t="shared" si="256"/>
        <v>1</v>
      </c>
      <c r="AE1379" s="108" t="str">
        <f t="shared" si="257"/>
        <v/>
      </c>
      <c r="AF1379" s="108">
        <f t="shared" si="258"/>
        <v>0</v>
      </c>
      <c r="AG1379" s="108">
        <f t="shared" si="259"/>
        <v>0</v>
      </c>
      <c r="AH1379" s="110" t="str">
        <f t="shared" si="260"/>
        <v/>
      </c>
      <c r="AI1379" s="108">
        <f t="shared" si="261"/>
        <v>0</v>
      </c>
      <c r="AJ1379" s="108">
        <f t="shared" si="262"/>
        <v>0</v>
      </c>
      <c r="AK1379" s="108">
        <f>IF($A1379="",0,IF(AND($S1379=1,$W1379=1,$X1379=1,$U1379&gt;Config!$C$9),1,0))</f>
        <v>0</v>
      </c>
      <c r="AL1379" s="108">
        <f t="shared" si="263"/>
        <v>0</v>
      </c>
    </row>
    <row r="1380" spans="19:38" x14ac:dyDescent="0.25">
      <c r="S1380" s="108" t="str">
        <f>IF($A1380="","",COUNTIF(BPOworkers!$B$6:$B$105,$A1380))</f>
        <v/>
      </c>
      <c r="T1380" s="109" t="str">
        <f>IF($A1380="","",$K1380*Config!$C$9)</f>
        <v/>
      </c>
      <c r="U1380" s="109" t="str">
        <f>IF($A1380="","",IF(COUNTIF(Config!$C$21:$C$23,$H1380)&gt;0,IFERROR(VALUE(LEFT(TRIM($Q1380),FIND(" ",TRIM($Q1380)&amp;" ")-1)),0),0))</f>
        <v/>
      </c>
      <c r="V1380" s="109" t="str">
        <f t="shared" si="252"/>
        <v/>
      </c>
      <c r="W1380" s="108">
        <f>IF($A1380="",0,IF(AND($C1380&gt;=Config!$C$7,$C1380&lt;=Config!$C$8),1,0))</f>
        <v>0</v>
      </c>
      <c r="X1380" s="108">
        <f>IF($A1380="",0,IF(COUNTIF(Config!$C$21:$C$23,$H1380)&gt;0,1,0))</f>
        <v>0</v>
      </c>
      <c r="Y1380" s="108">
        <f t="shared" si="253"/>
        <v>24</v>
      </c>
      <c r="Z1380" s="108" t="str">
        <f t="shared" si="254"/>
        <v/>
      </c>
      <c r="AB1380" s="108">
        <f t="shared" si="255"/>
        <v>0</v>
      </c>
      <c r="AC1380" s="108">
        <f>IF($A1380="",0,IF(AND($AB1380=1,COUNTIF($A$2:$A1380,$A1380)=1),1,0))</f>
        <v>0</v>
      </c>
      <c r="AD1380" s="108">
        <f t="shared" si="256"/>
        <v>1</v>
      </c>
      <c r="AE1380" s="108" t="str">
        <f t="shared" si="257"/>
        <v/>
      </c>
      <c r="AF1380" s="108">
        <f t="shared" si="258"/>
        <v>0</v>
      </c>
      <c r="AG1380" s="108">
        <f t="shared" si="259"/>
        <v>0</v>
      </c>
      <c r="AH1380" s="110" t="str">
        <f t="shared" si="260"/>
        <v/>
      </c>
      <c r="AI1380" s="108">
        <f t="shared" si="261"/>
        <v>0</v>
      </c>
      <c r="AJ1380" s="108">
        <f t="shared" si="262"/>
        <v>0</v>
      </c>
      <c r="AK1380" s="108">
        <f>IF($A1380="",0,IF(AND($S1380=1,$W1380=1,$X1380=1,$U1380&gt;Config!$C$9),1,0))</f>
        <v>0</v>
      </c>
      <c r="AL1380" s="108">
        <f t="shared" si="263"/>
        <v>0</v>
      </c>
    </row>
    <row r="1381" spans="19:38" x14ac:dyDescent="0.25">
      <c r="S1381" s="108" t="str">
        <f>IF($A1381="","",COUNTIF(BPOworkers!$B$6:$B$105,$A1381))</f>
        <v/>
      </c>
      <c r="T1381" s="109" t="str">
        <f>IF($A1381="","",$K1381*Config!$C$9)</f>
        <v/>
      </c>
      <c r="U1381" s="109" t="str">
        <f>IF($A1381="","",IF(COUNTIF(Config!$C$21:$C$23,$H1381)&gt;0,IFERROR(VALUE(LEFT(TRIM($Q1381),FIND(" ",TRIM($Q1381)&amp;" ")-1)),0),0))</f>
        <v/>
      </c>
      <c r="V1381" s="109" t="str">
        <f t="shared" si="252"/>
        <v/>
      </c>
      <c r="W1381" s="108">
        <f>IF($A1381="",0,IF(AND($C1381&gt;=Config!$C$7,$C1381&lt;=Config!$C$8),1,0))</f>
        <v>0</v>
      </c>
      <c r="X1381" s="108">
        <f>IF($A1381="",0,IF(COUNTIF(Config!$C$21:$C$23,$H1381)&gt;0,1,0))</f>
        <v>0</v>
      </c>
      <c r="Y1381" s="108">
        <f t="shared" si="253"/>
        <v>24</v>
      </c>
      <c r="Z1381" s="108" t="str">
        <f t="shared" si="254"/>
        <v/>
      </c>
      <c r="AB1381" s="108">
        <f t="shared" si="255"/>
        <v>0</v>
      </c>
      <c r="AC1381" s="108">
        <f>IF($A1381="",0,IF(AND($AB1381=1,COUNTIF($A$2:$A1381,$A1381)=1),1,0))</f>
        <v>0</v>
      </c>
      <c r="AD1381" s="108">
        <f t="shared" si="256"/>
        <v>1</v>
      </c>
      <c r="AE1381" s="108" t="str">
        <f t="shared" si="257"/>
        <v/>
      </c>
      <c r="AF1381" s="108">
        <f t="shared" si="258"/>
        <v>0</v>
      </c>
      <c r="AG1381" s="108">
        <f t="shared" si="259"/>
        <v>0</v>
      </c>
      <c r="AH1381" s="110" t="str">
        <f t="shared" si="260"/>
        <v/>
      </c>
      <c r="AI1381" s="108">
        <f t="shared" si="261"/>
        <v>0</v>
      </c>
      <c r="AJ1381" s="108">
        <f t="shared" si="262"/>
        <v>0</v>
      </c>
      <c r="AK1381" s="108">
        <f>IF($A1381="",0,IF(AND($S1381=1,$W1381=1,$X1381=1,$U1381&gt;Config!$C$9),1,0))</f>
        <v>0</v>
      </c>
      <c r="AL1381" s="108">
        <f t="shared" si="263"/>
        <v>0</v>
      </c>
    </row>
    <row r="1382" spans="19:38" x14ac:dyDescent="0.25">
      <c r="S1382" s="108" t="str">
        <f>IF($A1382="","",COUNTIF(BPOworkers!$B$6:$B$105,$A1382))</f>
        <v/>
      </c>
      <c r="T1382" s="109" t="str">
        <f>IF($A1382="","",$K1382*Config!$C$9)</f>
        <v/>
      </c>
      <c r="U1382" s="109" t="str">
        <f>IF($A1382="","",IF(COUNTIF(Config!$C$21:$C$23,$H1382)&gt;0,IFERROR(VALUE(LEFT(TRIM($Q1382),FIND(" ",TRIM($Q1382)&amp;" ")-1)),0),0))</f>
        <v/>
      </c>
      <c r="V1382" s="109" t="str">
        <f t="shared" si="252"/>
        <v/>
      </c>
      <c r="W1382" s="108">
        <f>IF($A1382="",0,IF(AND($C1382&gt;=Config!$C$7,$C1382&lt;=Config!$C$8),1,0))</f>
        <v>0</v>
      </c>
      <c r="X1382" s="108">
        <f>IF($A1382="",0,IF(COUNTIF(Config!$C$21:$C$23,$H1382)&gt;0,1,0))</f>
        <v>0</v>
      </c>
      <c r="Y1382" s="108">
        <f t="shared" si="253"/>
        <v>24</v>
      </c>
      <c r="Z1382" s="108" t="str">
        <f t="shared" si="254"/>
        <v/>
      </c>
      <c r="AB1382" s="108">
        <f t="shared" si="255"/>
        <v>0</v>
      </c>
      <c r="AC1382" s="108">
        <f>IF($A1382="",0,IF(AND($AB1382=1,COUNTIF($A$2:$A1382,$A1382)=1),1,0))</f>
        <v>0</v>
      </c>
      <c r="AD1382" s="108">
        <f t="shared" si="256"/>
        <v>1</v>
      </c>
      <c r="AE1382" s="108" t="str">
        <f t="shared" si="257"/>
        <v/>
      </c>
      <c r="AF1382" s="108">
        <f t="shared" si="258"/>
        <v>0</v>
      </c>
      <c r="AG1382" s="108">
        <f t="shared" si="259"/>
        <v>0</v>
      </c>
      <c r="AH1382" s="110" t="str">
        <f t="shared" si="260"/>
        <v/>
      </c>
      <c r="AI1382" s="108">
        <f t="shared" si="261"/>
        <v>0</v>
      </c>
      <c r="AJ1382" s="108">
        <f t="shared" si="262"/>
        <v>0</v>
      </c>
      <c r="AK1382" s="108">
        <f>IF($A1382="",0,IF(AND($S1382=1,$W1382=1,$X1382=1,$U1382&gt;Config!$C$9),1,0))</f>
        <v>0</v>
      </c>
      <c r="AL1382" s="108">
        <f t="shared" si="263"/>
        <v>0</v>
      </c>
    </row>
    <row r="1383" spans="19:38" x14ac:dyDescent="0.25">
      <c r="S1383" s="108" t="str">
        <f>IF($A1383="","",COUNTIF(BPOworkers!$B$6:$B$105,$A1383))</f>
        <v/>
      </c>
      <c r="T1383" s="109" t="str">
        <f>IF($A1383="","",$K1383*Config!$C$9)</f>
        <v/>
      </c>
      <c r="U1383" s="109" t="str">
        <f>IF($A1383="","",IF(COUNTIF(Config!$C$21:$C$23,$H1383)&gt;0,IFERROR(VALUE(LEFT(TRIM($Q1383),FIND(" ",TRIM($Q1383)&amp;" ")-1)),0),0))</f>
        <v/>
      </c>
      <c r="V1383" s="109" t="str">
        <f t="shared" si="252"/>
        <v/>
      </c>
      <c r="W1383" s="108">
        <f>IF($A1383="",0,IF(AND($C1383&gt;=Config!$C$7,$C1383&lt;=Config!$C$8),1,0))</f>
        <v>0</v>
      </c>
      <c r="X1383" s="108">
        <f>IF($A1383="",0,IF(COUNTIF(Config!$C$21:$C$23,$H1383)&gt;0,1,0))</f>
        <v>0</v>
      </c>
      <c r="Y1383" s="108">
        <f t="shared" si="253"/>
        <v>24</v>
      </c>
      <c r="Z1383" s="108" t="str">
        <f t="shared" si="254"/>
        <v/>
      </c>
      <c r="AB1383" s="108">
        <f t="shared" si="255"/>
        <v>0</v>
      </c>
      <c r="AC1383" s="108">
        <f>IF($A1383="",0,IF(AND($AB1383=1,COUNTIF($A$2:$A1383,$A1383)=1),1,0))</f>
        <v>0</v>
      </c>
      <c r="AD1383" s="108">
        <f t="shared" si="256"/>
        <v>1</v>
      </c>
      <c r="AE1383" s="108" t="str">
        <f t="shared" si="257"/>
        <v/>
      </c>
      <c r="AF1383" s="108">
        <f t="shared" si="258"/>
        <v>0</v>
      </c>
      <c r="AG1383" s="108">
        <f t="shared" si="259"/>
        <v>0</v>
      </c>
      <c r="AH1383" s="110" t="str">
        <f t="shared" si="260"/>
        <v/>
      </c>
      <c r="AI1383" s="108">
        <f t="shared" si="261"/>
        <v>0</v>
      </c>
      <c r="AJ1383" s="108">
        <f t="shared" si="262"/>
        <v>0</v>
      </c>
      <c r="AK1383" s="108">
        <f>IF($A1383="",0,IF(AND($S1383=1,$W1383=1,$X1383=1,$U1383&gt;Config!$C$9),1,0))</f>
        <v>0</v>
      </c>
      <c r="AL1383" s="108">
        <f t="shared" si="263"/>
        <v>0</v>
      </c>
    </row>
    <row r="1384" spans="19:38" x14ac:dyDescent="0.25">
      <c r="S1384" s="108" t="str">
        <f>IF($A1384="","",COUNTIF(BPOworkers!$B$6:$B$105,$A1384))</f>
        <v/>
      </c>
      <c r="T1384" s="109" t="str">
        <f>IF($A1384="","",$K1384*Config!$C$9)</f>
        <v/>
      </c>
      <c r="U1384" s="109" t="str">
        <f>IF($A1384="","",IF(COUNTIF(Config!$C$21:$C$23,$H1384)&gt;0,IFERROR(VALUE(LEFT(TRIM($Q1384),FIND(" ",TRIM($Q1384)&amp;" ")-1)),0),0))</f>
        <v/>
      </c>
      <c r="V1384" s="109" t="str">
        <f t="shared" si="252"/>
        <v/>
      </c>
      <c r="W1384" s="108">
        <f>IF($A1384="",0,IF(AND($C1384&gt;=Config!$C$7,$C1384&lt;=Config!$C$8),1,0))</f>
        <v>0</v>
      </c>
      <c r="X1384" s="108">
        <f>IF($A1384="",0,IF(COUNTIF(Config!$C$21:$C$23,$H1384)&gt;0,1,0))</f>
        <v>0</v>
      </c>
      <c r="Y1384" s="108">
        <f t="shared" si="253"/>
        <v>24</v>
      </c>
      <c r="Z1384" s="108" t="str">
        <f t="shared" si="254"/>
        <v/>
      </c>
      <c r="AB1384" s="108">
        <f t="shared" si="255"/>
        <v>0</v>
      </c>
      <c r="AC1384" s="108">
        <f>IF($A1384="",0,IF(AND($AB1384=1,COUNTIF($A$2:$A1384,$A1384)=1),1,0))</f>
        <v>0</v>
      </c>
      <c r="AD1384" s="108">
        <f t="shared" si="256"/>
        <v>1</v>
      </c>
      <c r="AE1384" s="108" t="str">
        <f t="shared" si="257"/>
        <v/>
      </c>
      <c r="AF1384" s="108">
        <f t="shared" si="258"/>
        <v>0</v>
      </c>
      <c r="AG1384" s="108">
        <f t="shared" si="259"/>
        <v>0</v>
      </c>
      <c r="AH1384" s="110" t="str">
        <f t="shared" si="260"/>
        <v/>
      </c>
      <c r="AI1384" s="108">
        <f t="shared" si="261"/>
        <v>0</v>
      </c>
      <c r="AJ1384" s="108">
        <f t="shared" si="262"/>
        <v>0</v>
      </c>
      <c r="AK1384" s="108">
        <f>IF($A1384="",0,IF(AND($S1384=1,$W1384=1,$X1384=1,$U1384&gt;Config!$C$9),1,0))</f>
        <v>0</v>
      </c>
      <c r="AL1384" s="108">
        <f t="shared" si="263"/>
        <v>0</v>
      </c>
    </row>
    <row r="1385" spans="19:38" x14ac:dyDescent="0.25">
      <c r="S1385" s="108" t="str">
        <f>IF($A1385="","",COUNTIF(BPOworkers!$B$6:$B$105,$A1385))</f>
        <v/>
      </c>
      <c r="T1385" s="109" t="str">
        <f>IF($A1385="","",$K1385*Config!$C$9)</f>
        <v/>
      </c>
      <c r="U1385" s="109" t="str">
        <f>IF($A1385="","",IF(COUNTIF(Config!$C$21:$C$23,$H1385)&gt;0,IFERROR(VALUE(LEFT(TRIM($Q1385),FIND(" ",TRIM($Q1385)&amp;" ")-1)),0),0))</f>
        <v/>
      </c>
      <c r="V1385" s="109" t="str">
        <f t="shared" si="252"/>
        <v/>
      </c>
      <c r="W1385" s="108">
        <f>IF($A1385="",0,IF(AND($C1385&gt;=Config!$C$7,$C1385&lt;=Config!$C$8),1,0))</f>
        <v>0</v>
      </c>
      <c r="X1385" s="108">
        <f>IF($A1385="",0,IF(COUNTIF(Config!$C$21:$C$23,$H1385)&gt;0,1,0))</f>
        <v>0</v>
      </c>
      <c r="Y1385" s="108">
        <f t="shared" si="253"/>
        <v>24</v>
      </c>
      <c r="Z1385" s="108" t="str">
        <f t="shared" si="254"/>
        <v/>
      </c>
      <c r="AB1385" s="108">
        <f t="shared" si="255"/>
        <v>0</v>
      </c>
      <c r="AC1385" s="108">
        <f>IF($A1385="",0,IF(AND($AB1385=1,COUNTIF($A$2:$A1385,$A1385)=1),1,0))</f>
        <v>0</v>
      </c>
      <c r="AD1385" s="108">
        <f t="shared" si="256"/>
        <v>1</v>
      </c>
      <c r="AE1385" s="108" t="str">
        <f t="shared" si="257"/>
        <v/>
      </c>
      <c r="AF1385" s="108">
        <f t="shared" si="258"/>
        <v>0</v>
      </c>
      <c r="AG1385" s="108">
        <f t="shared" si="259"/>
        <v>0</v>
      </c>
      <c r="AH1385" s="110" t="str">
        <f t="shared" si="260"/>
        <v/>
      </c>
      <c r="AI1385" s="108">
        <f t="shared" si="261"/>
        <v>0</v>
      </c>
      <c r="AJ1385" s="108">
        <f t="shared" si="262"/>
        <v>0</v>
      </c>
      <c r="AK1385" s="108">
        <f>IF($A1385="",0,IF(AND($S1385=1,$W1385=1,$X1385=1,$U1385&gt;Config!$C$9),1,0))</f>
        <v>0</v>
      </c>
      <c r="AL1385" s="108">
        <f t="shared" si="263"/>
        <v>0</v>
      </c>
    </row>
    <row r="1386" spans="19:38" x14ac:dyDescent="0.25">
      <c r="S1386" s="108" t="str">
        <f>IF($A1386="","",COUNTIF(BPOworkers!$B$6:$B$105,$A1386))</f>
        <v/>
      </c>
      <c r="T1386" s="109" t="str">
        <f>IF($A1386="","",$K1386*Config!$C$9)</f>
        <v/>
      </c>
      <c r="U1386" s="109" t="str">
        <f>IF($A1386="","",IF(COUNTIF(Config!$C$21:$C$23,$H1386)&gt;0,IFERROR(VALUE(LEFT(TRIM($Q1386),FIND(" ",TRIM($Q1386)&amp;" ")-1)),0),0))</f>
        <v/>
      </c>
      <c r="V1386" s="109" t="str">
        <f t="shared" si="252"/>
        <v/>
      </c>
      <c r="W1386" s="108">
        <f>IF($A1386="",0,IF(AND($C1386&gt;=Config!$C$7,$C1386&lt;=Config!$C$8),1,0))</f>
        <v>0</v>
      </c>
      <c r="X1386" s="108">
        <f>IF($A1386="",0,IF(COUNTIF(Config!$C$21:$C$23,$H1386)&gt;0,1,0))</f>
        <v>0</v>
      </c>
      <c r="Y1386" s="108">
        <f t="shared" si="253"/>
        <v>24</v>
      </c>
      <c r="Z1386" s="108" t="str">
        <f t="shared" si="254"/>
        <v/>
      </c>
      <c r="AB1386" s="108">
        <f t="shared" si="255"/>
        <v>0</v>
      </c>
      <c r="AC1386" s="108">
        <f>IF($A1386="",0,IF(AND($AB1386=1,COUNTIF($A$2:$A1386,$A1386)=1),1,0))</f>
        <v>0</v>
      </c>
      <c r="AD1386" s="108">
        <f t="shared" si="256"/>
        <v>1</v>
      </c>
      <c r="AE1386" s="108" t="str">
        <f t="shared" si="257"/>
        <v/>
      </c>
      <c r="AF1386" s="108">
        <f t="shared" si="258"/>
        <v>0</v>
      </c>
      <c r="AG1386" s="108">
        <f t="shared" si="259"/>
        <v>0</v>
      </c>
      <c r="AH1386" s="110" t="str">
        <f t="shared" si="260"/>
        <v/>
      </c>
      <c r="AI1386" s="108">
        <f t="shared" si="261"/>
        <v>0</v>
      </c>
      <c r="AJ1386" s="108">
        <f t="shared" si="262"/>
        <v>0</v>
      </c>
      <c r="AK1386" s="108">
        <f>IF($A1386="",0,IF(AND($S1386=1,$W1386=1,$X1386=1,$U1386&gt;Config!$C$9),1,0))</f>
        <v>0</v>
      </c>
      <c r="AL1386" s="108">
        <f t="shared" si="263"/>
        <v>0</v>
      </c>
    </row>
    <row r="1387" spans="19:38" x14ac:dyDescent="0.25">
      <c r="S1387" s="108" t="str">
        <f>IF($A1387="","",COUNTIF(BPOworkers!$B$6:$B$105,$A1387))</f>
        <v/>
      </c>
      <c r="T1387" s="109" t="str">
        <f>IF($A1387="","",$K1387*Config!$C$9)</f>
        <v/>
      </c>
      <c r="U1387" s="109" t="str">
        <f>IF($A1387="","",IF(COUNTIF(Config!$C$21:$C$23,$H1387)&gt;0,IFERROR(VALUE(LEFT(TRIM($Q1387),FIND(" ",TRIM($Q1387)&amp;" ")-1)),0),0))</f>
        <v/>
      </c>
      <c r="V1387" s="109" t="str">
        <f t="shared" si="252"/>
        <v/>
      </c>
      <c r="W1387" s="108">
        <f>IF($A1387="",0,IF(AND($C1387&gt;=Config!$C$7,$C1387&lt;=Config!$C$8),1,0))</f>
        <v>0</v>
      </c>
      <c r="X1387" s="108">
        <f>IF($A1387="",0,IF(COUNTIF(Config!$C$21:$C$23,$H1387)&gt;0,1,0))</f>
        <v>0</v>
      </c>
      <c r="Y1387" s="108">
        <f t="shared" si="253"/>
        <v>24</v>
      </c>
      <c r="Z1387" s="108" t="str">
        <f t="shared" si="254"/>
        <v/>
      </c>
      <c r="AB1387" s="108">
        <f t="shared" si="255"/>
        <v>0</v>
      </c>
      <c r="AC1387" s="108">
        <f>IF($A1387="",0,IF(AND($AB1387=1,COUNTIF($A$2:$A1387,$A1387)=1),1,0))</f>
        <v>0</v>
      </c>
      <c r="AD1387" s="108">
        <f t="shared" si="256"/>
        <v>1</v>
      </c>
      <c r="AE1387" s="108" t="str">
        <f t="shared" si="257"/>
        <v/>
      </c>
      <c r="AF1387" s="108">
        <f t="shared" si="258"/>
        <v>0</v>
      </c>
      <c r="AG1387" s="108">
        <f t="shared" si="259"/>
        <v>0</v>
      </c>
      <c r="AH1387" s="110" t="str">
        <f t="shared" si="260"/>
        <v/>
      </c>
      <c r="AI1387" s="108">
        <f t="shared" si="261"/>
        <v>0</v>
      </c>
      <c r="AJ1387" s="108">
        <f t="shared" si="262"/>
        <v>0</v>
      </c>
      <c r="AK1387" s="108">
        <f>IF($A1387="",0,IF(AND($S1387=1,$W1387=1,$X1387=1,$U1387&gt;Config!$C$9),1,0))</f>
        <v>0</v>
      </c>
      <c r="AL1387" s="108">
        <f t="shared" si="263"/>
        <v>0</v>
      </c>
    </row>
    <row r="1388" spans="19:38" x14ac:dyDescent="0.25">
      <c r="S1388" s="108" t="str">
        <f>IF($A1388="","",COUNTIF(BPOworkers!$B$6:$B$105,$A1388))</f>
        <v/>
      </c>
      <c r="T1388" s="109" t="str">
        <f>IF($A1388="","",$K1388*Config!$C$9)</f>
        <v/>
      </c>
      <c r="U1388" s="109" t="str">
        <f>IF($A1388="","",IF(COUNTIF(Config!$C$21:$C$23,$H1388)&gt;0,IFERROR(VALUE(LEFT(TRIM($Q1388),FIND(" ",TRIM($Q1388)&amp;" ")-1)),0),0))</f>
        <v/>
      </c>
      <c r="V1388" s="109" t="str">
        <f t="shared" si="252"/>
        <v/>
      </c>
      <c r="W1388" s="108">
        <f>IF($A1388="",0,IF(AND($C1388&gt;=Config!$C$7,$C1388&lt;=Config!$C$8),1,0))</f>
        <v>0</v>
      </c>
      <c r="X1388" s="108">
        <f>IF($A1388="",0,IF(COUNTIF(Config!$C$21:$C$23,$H1388)&gt;0,1,0))</f>
        <v>0</v>
      </c>
      <c r="Y1388" s="108">
        <f t="shared" si="253"/>
        <v>24</v>
      </c>
      <c r="Z1388" s="108" t="str">
        <f t="shared" si="254"/>
        <v/>
      </c>
      <c r="AB1388" s="108">
        <f t="shared" si="255"/>
        <v>0</v>
      </c>
      <c r="AC1388" s="108">
        <f>IF($A1388="",0,IF(AND($AB1388=1,COUNTIF($A$2:$A1388,$A1388)=1),1,0))</f>
        <v>0</v>
      </c>
      <c r="AD1388" s="108">
        <f t="shared" si="256"/>
        <v>1</v>
      </c>
      <c r="AE1388" s="108" t="str">
        <f t="shared" si="257"/>
        <v/>
      </c>
      <c r="AF1388" s="108">
        <f t="shared" si="258"/>
        <v>0</v>
      </c>
      <c r="AG1388" s="108">
        <f t="shared" si="259"/>
        <v>0</v>
      </c>
      <c r="AH1388" s="110" t="str">
        <f t="shared" si="260"/>
        <v/>
      </c>
      <c r="AI1388" s="108">
        <f t="shared" si="261"/>
        <v>0</v>
      </c>
      <c r="AJ1388" s="108">
        <f t="shared" si="262"/>
        <v>0</v>
      </c>
      <c r="AK1388" s="108">
        <f>IF($A1388="",0,IF(AND($S1388=1,$W1388=1,$X1388=1,$U1388&gt;Config!$C$9),1,0))</f>
        <v>0</v>
      </c>
      <c r="AL1388" s="108">
        <f t="shared" si="263"/>
        <v>0</v>
      </c>
    </row>
    <row r="1389" spans="19:38" x14ac:dyDescent="0.25">
      <c r="S1389" s="108" t="str">
        <f>IF($A1389="","",COUNTIF(BPOworkers!$B$6:$B$105,$A1389))</f>
        <v/>
      </c>
      <c r="T1389" s="109" t="str">
        <f>IF($A1389="","",$K1389*Config!$C$9)</f>
        <v/>
      </c>
      <c r="U1389" s="109" t="str">
        <f>IF($A1389="","",IF(COUNTIF(Config!$C$21:$C$23,$H1389)&gt;0,IFERROR(VALUE(LEFT(TRIM($Q1389),FIND(" ",TRIM($Q1389)&amp;" ")-1)),0),0))</f>
        <v/>
      </c>
      <c r="V1389" s="109" t="str">
        <f t="shared" si="252"/>
        <v/>
      </c>
      <c r="W1389" s="108">
        <f>IF($A1389="",0,IF(AND($C1389&gt;=Config!$C$7,$C1389&lt;=Config!$C$8),1,0))</f>
        <v>0</v>
      </c>
      <c r="X1389" s="108">
        <f>IF($A1389="",0,IF(COUNTIF(Config!$C$21:$C$23,$H1389)&gt;0,1,0))</f>
        <v>0</v>
      </c>
      <c r="Y1389" s="108">
        <f t="shared" si="253"/>
        <v>24</v>
      </c>
      <c r="Z1389" s="108" t="str">
        <f t="shared" si="254"/>
        <v/>
      </c>
      <c r="AB1389" s="108">
        <f t="shared" si="255"/>
        <v>0</v>
      </c>
      <c r="AC1389" s="108">
        <f>IF($A1389="",0,IF(AND($AB1389=1,COUNTIF($A$2:$A1389,$A1389)=1),1,0))</f>
        <v>0</v>
      </c>
      <c r="AD1389" s="108">
        <f t="shared" si="256"/>
        <v>1</v>
      </c>
      <c r="AE1389" s="108" t="str">
        <f t="shared" si="257"/>
        <v/>
      </c>
      <c r="AF1389" s="108">
        <f t="shared" si="258"/>
        <v>0</v>
      </c>
      <c r="AG1389" s="108">
        <f t="shared" si="259"/>
        <v>0</v>
      </c>
      <c r="AH1389" s="110" t="str">
        <f t="shared" si="260"/>
        <v/>
      </c>
      <c r="AI1389" s="108">
        <f t="shared" si="261"/>
        <v>0</v>
      </c>
      <c r="AJ1389" s="108">
        <f t="shared" si="262"/>
        <v>0</v>
      </c>
      <c r="AK1389" s="108">
        <f>IF($A1389="",0,IF(AND($S1389=1,$W1389=1,$X1389=1,$U1389&gt;Config!$C$9),1,0))</f>
        <v>0</v>
      </c>
      <c r="AL1389" s="108">
        <f t="shared" si="263"/>
        <v>0</v>
      </c>
    </row>
    <row r="1390" spans="19:38" x14ac:dyDescent="0.25">
      <c r="S1390" s="108" t="str">
        <f>IF($A1390="","",COUNTIF(BPOworkers!$B$6:$B$105,$A1390))</f>
        <v/>
      </c>
      <c r="T1390" s="109" t="str">
        <f>IF($A1390="","",$K1390*Config!$C$9)</f>
        <v/>
      </c>
      <c r="U1390" s="109" t="str">
        <f>IF($A1390="","",IF(COUNTIF(Config!$C$21:$C$23,$H1390)&gt;0,IFERROR(VALUE(LEFT(TRIM($Q1390),FIND(" ",TRIM($Q1390)&amp;" ")-1)),0),0))</f>
        <v/>
      </c>
      <c r="V1390" s="109" t="str">
        <f t="shared" si="252"/>
        <v/>
      </c>
      <c r="W1390" s="108">
        <f>IF($A1390="",0,IF(AND($C1390&gt;=Config!$C$7,$C1390&lt;=Config!$C$8),1,0))</f>
        <v>0</v>
      </c>
      <c r="X1390" s="108">
        <f>IF($A1390="",0,IF(COUNTIF(Config!$C$21:$C$23,$H1390)&gt;0,1,0))</f>
        <v>0</v>
      </c>
      <c r="Y1390" s="108">
        <f t="shared" si="253"/>
        <v>24</v>
      </c>
      <c r="Z1390" s="108" t="str">
        <f t="shared" si="254"/>
        <v/>
      </c>
      <c r="AB1390" s="108">
        <f t="shared" si="255"/>
        <v>0</v>
      </c>
      <c r="AC1390" s="108">
        <f>IF($A1390="",0,IF(AND($AB1390=1,COUNTIF($A$2:$A1390,$A1390)=1),1,0))</f>
        <v>0</v>
      </c>
      <c r="AD1390" s="108">
        <f t="shared" si="256"/>
        <v>1</v>
      </c>
      <c r="AE1390" s="108" t="str">
        <f t="shared" si="257"/>
        <v/>
      </c>
      <c r="AF1390" s="108">
        <f t="shared" si="258"/>
        <v>0</v>
      </c>
      <c r="AG1390" s="108">
        <f t="shared" si="259"/>
        <v>0</v>
      </c>
      <c r="AH1390" s="110" t="str">
        <f t="shared" si="260"/>
        <v/>
      </c>
      <c r="AI1390" s="108">
        <f t="shared" si="261"/>
        <v>0</v>
      </c>
      <c r="AJ1390" s="108">
        <f t="shared" si="262"/>
        <v>0</v>
      </c>
      <c r="AK1390" s="108">
        <f>IF($A1390="",0,IF(AND($S1390=1,$W1390=1,$X1390=1,$U1390&gt;Config!$C$9),1,0))</f>
        <v>0</v>
      </c>
      <c r="AL1390" s="108">
        <f t="shared" si="263"/>
        <v>0</v>
      </c>
    </row>
    <row r="1391" spans="19:38" x14ac:dyDescent="0.25">
      <c r="S1391" s="108" t="str">
        <f>IF($A1391="","",COUNTIF(BPOworkers!$B$6:$B$105,$A1391))</f>
        <v/>
      </c>
      <c r="T1391" s="109" t="str">
        <f>IF($A1391="","",$K1391*Config!$C$9)</f>
        <v/>
      </c>
      <c r="U1391" s="109" t="str">
        <f>IF($A1391="","",IF(COUNTIF(Config!$C$21:$C$23,$H1391)&gt;0,IFERROR(VALUE(LEFT(TRIM($Q1391),FIND(" ",TRIM($Q1391)&amp;" ")-1)),0),0))</f>
        <v/>
      </c>
      <c r="V1391" s="109" t="str">
        <f t="shared" si="252"/>
        <v/>
      </c>
      <c r="W1391" s="108">
        <f>IF($A1391="",0,IF(AND($C1391&gt;=Config!$C$7,$C1391&lt;=Config!$C$8),1,0))</f>
        <v>0</v>
      </c>
      <c r="X1391" s="108">
        <f>IF($A1391="",0,IF(COUNTIF(Config!$C$21:$C$23,$H1391)&gt;0,1,0))</f>
        <v>0</v>
      </c>
      <c r="Y1391" s="108">
        <f t="shared" si="253"/>
        <v>24</v>
      </c>
      <c r="Z1391" s="108" t="str">
        <f t="shared" si="254"/>
        <v/>
      </c>
      <c r="AB1391" s="108">
        <f t="shared" si="255"/>
        <v>0</v>
      </c>
      <c r="AC1391" s="108">
        <f>IF($A1391="",0,IF(AND($AB1391=1,COUNTIF($A$2:$A1391,$A1391)=1),1,0))</f>
        <v>0</v>
      </c>
      <c r="AD1391" s="108">
        <f t="shared" si="256"/>
        <v>1</v>
      </c>
      <c r="AE1391" s="108" t="str">
        <f t="shared" si="257"/>
        <v/>
      </c>
      <c r="AF1391" s="108">
        <f t="shared" si="258"/>
        <v>0</v>
      </c>
      <c r="AG1391" s="108">
        <f t="shared" si="259"/>
        <v>0</v>
      </c>
      <c r="AH1391" s="110" t="str">
        <f t="shared" si="260"/>
        <v/>
      </c>
      <c r="AI1391" s="108">
        <f t="shared" si="261"/>
        <v>0</v>
      </c>
      <c r="AJ1391" s="108">
        <f t="shared" si="262"/>
        <v>0</v>
      </c>
      <c r="AK1391" s="108">
        <f>IF($A1391="",0,IF(AND($S1391=1,$W1391=1,$X1391=1,$U1391&gt;Config!$C$9),1,0))</f>
        <v>0</v>
      </c>
      <c r="AL1391" s="108">
        <f t="shared" si="263"/>
        <v>0</v>
      </c>
    </row>
    <row r="1392" spans="19:38" x14ac:dyDescent="0.25">
      <c r="S1392" s="108" t="str">
        <f>IF($A1392="","",COUNTIF(BPOworkers!$B$6:$B$105,$A1392))</f>
        <v/>
      </c>
      <c r="T1392" s="109" t="str">
        <f>IF($A1392="","",$K1392*Config!$C$9)</f>
        <v/>
      </c>
      <c r="U1392" s="109" t="str">
        <f>IF($A1392="","",IF(COUNTIF(Config!$C$21:$C$23,$H1392)&gt;0,IFERROR(VALUE(LEFT(TRIM($Q1392),FIND(" ",TRIM($Q1392)&amp;" ")-1)),0),0))</f>
        <v/>
      </c>
      <c r="V1392" s="109" t="str">
        <f t="shared" si="252"/>
        <v/>
      </c>
      <c r="W1392" s="108">
        <f>IF($A1392="",0,IF(AND($C1392&gt;=Config!$C$7,$C1392&lt;=Config!$C$8),1,0))</f>
        <v>0</v>
      </c>
      <c r="X1392" s="108">
        <f>IF($A1392="",0,IF(COUNTIF(Config!$C$21:$C$23,$H1392)&gt;0,1,0))</f>
        <v>0</v>
      </c>
      <c r="Y1392" s="108">
        <f t="shared" si="253"/>
        <v>24</v>
      </c>
      <c r="Z1392" s="108" t="str">
        <f t="shared" si="254"/>
        <v/>
      </c>
      <c r="AB1392" s="108">
        <f t="shared" si="255"/>
        <v>0</v>
      </c>
      <c r="AC1392" s="108">
        <f>IF($A1392="",0,IF(AND($AB1392=1,COUNTIF($A$2:$A1392,$A1392)=1),1,0))</f>
        <v>0</v>
      </c>
      <c r="AD1392" s="108">
        <f t="shared" si="256"/>
        <v>1</v>
      </c>
      <c r="AE1392" s="108" t="str">
        <f t="shared" si="257"/>
        <v/>
      </c>
      <c r="AF1392" s="108">
        <f t="shared" si="258"/>
        <v>0</v>
      </c>
      <c r="AG1392" s="108">
        <f t="shared" si="259"/>
        <v>0</v>
      </c>
      <c r="AH1392" s="110" t="str">
        <f t="shared" si="260"/>
        <v/>
      </c>
      <c r="AI1392" s="108">
        <f t="shared" si="261"/>
        <v>0</v>
      </c>
      <c r="AJ1392" s="108">
        <f t="shared" si="262"/>
        <v>0</v>
      </c>
      <c r="AK1392" s="108">
        <f>IF($A1392="",0,IF(AND($S1392=1,$W1392=1,$X1392=1,$U1392&gt;Config!$C$9),1,0))</f>
        <v>0</v>
      </c>
      <c r="AL1392" s="108">
        <f t="shared" si="263"/>
        <v>0</v>
      </c>
    </row>
    <row r="1393" spans="19:38" x14ac:dyDescent="0.25">
      <c r="S1393" s="108" t="str">
        <f>IF($A1393="","",COUNTIF(BPOworkers!$B$6:$B$105,$A1393))</f>
        <v/>
      </c>
      <c r="T1393" s="109" t="str">
        <f>IF($A1393="","",$K1393*Config!$C$9)</f>
        <v/>
      </c>
      <c r="U1393" s="109" t="str">
        <f>IF($A1393="","",IF(COUNTIF(Config!$C$21:$C$23,$H1393)&gt;0,IFERROR(VALUE(LEFT(TRIM($Q1393),FIND(" ",TRIM($Q1393)&amp;" ")-1)),0),0))</f>
        <v/>
      </c>
      <c r="V1393" s="109" t="str">
        <f t="shared" si="252"/>
        <v/>
      </c>
      <c r="W1393" s="108">
        <f>IF($A1393="",0,IF(AND($C1393&gt;=Config!$C$7,$C1393&lt;=Config!$C$8),1,0))</f>
        <v>0</v>
      </c>
      <c r="X1393" s="108">
        <f>IF($A1393="",0,IF(COUNTIF(Config!$C$21:$C$23,$H1393)&gt;0,1,0))</f>
        <v>0</v>
      </c>
      <c r="Y1393" s="108">
        <f t="shared" si="253"/>
        <v>24</v>
      </c>
      <c r="Z1393" s="108" t="str">
        <f t="shared" si="254"/>
        <v/>
      </c>
      <c r="AB1393" s="108">
        <f t="shared" si="255"/>
        <v>0</v>
      </c>
      <c r="AC1393" s="108">
        <f>IF($A1393="",0,IF(AND($AB1393=1,COUNTIF($A$2:$A1393,$A1393)=1),1,0))</f>
        <v>0</v>
      </c>
      <c r="AD1393" s="108">
        <f t="shared" si="256"/>
        <v>1</v>
      </c>
      <c r="AE1393" s="108" t="str">
        <f t="shared" si="257"/>
        <v/>
      </c>
      <c r="AF1393" s="108">
        <f t="shared" si="258"/>
        <v>0</v>
      </c>
      <c r="AG1393" s="108">
        <f t="shared" si="259"/>
        <v>0</v>
      </c>
      <c r="AH1393" s="110" t="str">
        <f t="shared" si="260"/>
        <v/>
      </c>
      <c r="AI1393" s="108">
        <f t="shared" si="261"/>
        <v>0</v>
      </c>
      <c r="AJ1393" s="108">
        <f t="shared" si="262"/>
        <v>0</v>
      </c>
      <c r="AK1393" s="108">
        <f>IF($A1393="",0,IF(AND($S1393=1,$W1393=1,$X1393=1,$U1393&gt;Config!$C$9),1,0))</f>
        <v>0</v>
      </c>
      <c r="AL1393" s="108">
        <f t="shared" si="263"/>
        <v>0</v>
      </c>
    </row>
    <row r="1394" spans="19:38" x14ac:dyDescent="0.25">
      <c r="S1394" s="108" t="str">
        <f>IF($A1394="","",COUNTIF(BPOworkers!$B$6:$B$105,$A1394))</f>
        <v/>
      </c>
      <c r="T1394" s="109" t="str">
        <f>IF($A1394="","",$K1394*Config!$C$9)</f>
        <v/>
      </c>
      <c r="U1394" s="109" t="str">
        <f>IF($A1394="","",IF(COUNTIF(Config!$C$21:$C$23,$H1394)&gt;0,IFERROR(VALUE(LEFT(TRIM($Q1394),FIND(" ",TRIM($Q1394)&amp;" ")-1)),0),0))</f>
        <v/>
      </c>
      <c r="V1394" s="109" t="str">
        <f t="shared" si="252"/>
        <v/>
      </c>
      <c r="W1394" s="108">
        <f>IF($A1394="",0,IF(AND($C1394&gt;=Config!$C$7,$C1394&lt;=Config!$C$8),1,0))</f>
        <v>0</v>
      </c>
      <c r="X1394" s="108">
        <f>IF($A1394="",0,IF(COUNTIF(Config!$C$21:$C$23,$H1394)&gt;0,1,0))</f>
        <v>0</v>
      </c>
      <c r="Y1394" s="108">
        <f t="shared" si="253"/>
        <v>24</v>
      </c>
      <c r="Z1394" s="108" t="str">
        <f t="shared" si="254"/>
        <v/>
      </c>
      <c r="AB1394" s="108">
        <f t="shared" si="255"/>
        <v>0</v>
      </c>
      <c r="AC1394" s="108">
        <f>IF($A1394="",0,IF(AND($AB1394=1,COUNTIF($A$2:$A1394,$A1394)=1),1,0))</f>
        <v>0</v>
      </c>
      <c r="AD1394" s="108">
        <f t="shared" si="256"/>
        <v>1</v>
      </c>
      <c r="AE1394" s="108" t="str">
        <f t="shared" si="257"/>
        <v/>
      </c>
      <c r="AF1394" s="108">
        <f t="shared" si="258"/>
        <v>0</v>
      </c>
      <c r="AG1394" s="108">
        <f t="shared" si="259"/>
        <v>0</v>
      </c>
      <c r="AH1394" s="110" t="str">
        <f t="shared" si="260"/>
        <v/>
      </c>
      <c r="AI1394" s="108">
        <f t="shared" si="261"/>
        <v>0</v>
      </c>
      <c r="AJ1394" s="108">
        <f t="shared" si="262"/>
        <v>0</v>
      </c>
      <c r="AK1394" s="108">
        <f>IF($A1394="",0,IF(AND($S1394=1,$W1394=1,$X1394=1,$U1394&gt;Config!$C$9),1,0))</f>
        <v>0</v>
      </c>
      <c r="AL1394" s="108">
        <f t="shared" si="263"/>
        <v>0</v>
      </c>
    </row>
    <row r="1395" spans="19:38" x14ac:dyDescent="0.25">
      <c r="S1395" s="108" t="str">
        <f>IF($A1395="","",COUNTIF(BPOworkers!$B$6:$B$105,$A1395))</f>
        <v/>
      </c>
      <c r="T1395" s="109" t="str">
        <f>IF($A1395="","",$K1395*Config!$C$9)</f>
        <v/>
      </c>
      <c r="U1395" s="109" t="str">
        <f>IF($A1395="","",IF(COUNTIF(Config!$C$21:$C$23,$H1395)&gt;0,IFERROR(VALUE(LEFT(TRIM($Q1395),FIND(" ",TRIM($Q1395)&amp;" ")-1)),0),0))</f>
        <v/>
      </c>
      <c r="V1395" s="109" t="str">
        <f t="shared" si="252"/>
        <v/>
      </c>
      <c r="W1395" s="108">
        <f>IF($A1395="",0,IF(AND($C1395&gt;=Config!$C$7,$C1395&lt;=Config!$C$8),1,0))</f>
        <v>0</v>
      </c>
      <c r="X1395" s="108">
        <f>IF($A1395="",0,IF(COUNTIF(Config!$C$21:$C$23,$H1395)&gt;0,1,0))</f>
        <v>0</v>
      </c>
      <c r="Y1395" s="108">
        <f t="shared" si="253"/>
        <v>24</v>
      </c>
      <c r="Z1395" s="108" t="str">
        <f t="shared" si="254"/>
        <v/>
      </c>
      <c r="AB1395" s="108">
        <f t="shared" si="255"/>
        <v>0</v>
      </c>
      <c r="AC1395" s="108">
        <f>IF($A1395="",0,IF(AND($AB1395=1,COUNTIF($A$2:$A1395,$A1395)=1),1,0))</f>
        <v>0</v>
      </c>
      <c r="AD1395" s="108">
        <f t="shared" si="256"/>
        <v>1</v>
      </c>
      <c r="AE1395" s="108" t="str">
        <f t="shared" si="257"/>
        <v/>
      </c>
      <c r="AF1395" s="108">
        <f t="shared" si="258"/>
        <v>0</v>
      </c>
      <c r="AG1395" s="108">
        <f t="shared" si="259"/>
        <v>0</v>
      </c>
      <c r="AH1395" s="110" t="str">
        <f t="shared" si="260"/>
        <v/>
      </c>
      <c r="AI1395" s="108">
        <f t="shared" si="261"/>
        <v>0</v>
      </c>
      <c r="AJ1395" s="108">
        <f t="shared" si="262"/>
        <v>0</v>
      </c>
      <c r="AK1395" s="108">
        <f>IF($A1395="",0,IF(AND($S1395=1,$W1395=1,$X1395=1,$U1395&gt;Config!$C$9),1,0))</f>
        <v>0</v>
      </c>
      <c r="AL1395" s="108">
        <f t="shared" si="263"/>
        <v>0</v>
      </c>
    </row>
    <row r="1396" spans="19:38" x14ac:dyDescent="0.25">
      <c r="S1396" s="108" t="str">
        <f>IF($A1396="","",COUNTIF(BPOworkers!$B$6:$B$105,$A1396))</f>
        <v/>
      </c>
      <c r="T1396" s="109" t="str">
        <f>IF($A1396="","",$K1396*Config!$C$9)</f>
        <v/>
      </c>
      <c r="U1396" s="109" t="str">
        <f>IF($A1396="","",IF(COUNTIF(Config!$C$21:$C$23,$H1396)&gt;0,IFERROR(VALUE(LEFT(TRIM($Q1396),FIND(" ",TRIM($Q1396)&amp;" ")-1)),0),0))</f>
        <v/>
      </c>
      <c r="V1396" s="109" t="str">
        <f t="shared" si="252"/>
        <v/>
      </c>
      <c r="W1396" s="108">
        <f>IF($A1396="",0,IF(AND($C1396&gt;=Config!$C$7,$C1396&lt;=Config!$C$8),1,0))</f>
        <v>0</v>
      </c>
      <c r="X1396" s="108">
        <f>IF($A1396="",0,IF(COUNTIF(Config!$C$21:$C$23,$H1396)&gt;0,1,0))</f>
        <v>0</v>
      </c>
      <c r="Y1396" s="108">
        <f t="shared" si="253"/>
        <v>24</v>
      </c>
      <c r="Z1396" s="108" t="str">
        <f t="shared" si="254"/>
        <v/>
      </c>
      <c r="AB1396" s="108">
        <f t="shared" si="255"/>
        <v>0</v>
      </c>
      <c r="AC1396" s="108">
        <f>IF($A1396="",0,IF(AND($AB1396=1,COUNTIF($A$2:$A1396,$A1396)=1),1,0))</f>
        <v>0</v>
      </c>
      <c r="AD1396" s="108">
        <f t="shared" si="256"/>
        <v>1</v>
      </c>
      <c r="AE1396" s="108" t="str">
        <f t="shared" si="257"/>
        <v/>
      </c>
      <c r="AF1396" s="108">
        <f t="shared" si="258"/>
        <v>0</v>
      </c>
      <c r="AG1396" s="108">
        <f t="shared" si="259"/>
        <v>0</v>
      </c>
      <c r="AH1396" s="110" t="str">
        <f t="shared" si="260"/>
        <v/>
      </c>
      <c r="AI1396" s="108">
        <f t="shared" si="261"/>
        <v>0</v>
      </c>
      <c r="AJ1396" s="108">
        <f t="shared" si="262"/>
        <v>0</v>
      </c>
      <c r="AK1396" s="108">
        <f>IF($A1396="",0,IF(AND($S1396=1,$W1396=1,$X1396=1,$U1396&gt;Config!$C$9),1,0))</f>
        <v>0</v>
      </c>
      <c r="AL1396" s="108">
        <f t="shared" si="263"/>
        <v>0</v>
      </c>
    </row>
    <row r="1397" spans="19:38" x14ac:dyDescent="0.25">
      <c r="S1397" s="108" t="str">
        <f>IF($A1397="","",COUNTIF(BPOworkers!$B$6:$B$105,$A1397))</f>
        <v/>
      </c>
      <c r="T1397" s="109" t="str">
        <f>IF($A1397="","",$K1397*Config!$C$9)</f>
        <v/>
      </c>
      <c r="U1397" s="109" t="str">
        <f>IF($A1397="","",IF(COUNTIF(Config!$C$21:$C$23,$H1397)&gt;0,IFERROR(VALUE(LEFT(TRIM($Q1397),FIND(" ",TRIM($Q1397)&amp;" ")-1)),0),0))</f>
        <v/>
      </c>
      <c r="V1397" s="109" t="str">
        <f t="shared" si="252"/>
        <v/>
      </c>
      <c r="W1397" s="108">
        <f>IF($A1397="",0,IF(AND($C1397&gt;=Config!$C$7,$C1397&lt;=Config!$C$8),1,0))</f>
        <v>0</v>
      </c>
      <c r="X1397" s="108">
        <f>IF($A1397="",0,IF(COUNTIF(Config!$C$21:$C$23,$H1397)&gt;0,1,0))</f>
        <v>0</v>
      </c>
      <c r="Y1397" s="108">
        <f t="shared" si="253"/>
        <v>24</v>
      </c>
      <c r="Z1397" s="108" t="str">
        <f t="shared" si="254"/>
        <v/>
      </c>
      <c r="AB1397" s="108">
        <f t="shared" si="255"/>
        <v>0</v>
      </c>
      <c r="AC1397" s="108">
        <f>IF($A1397="",0,IF(AND($AB1397=1,COUNTIF($A$2:$A1397,$A1397)=1),1,0))</f>
        <v>0</v>
      </c>
      <c r="AD1397" s="108">
        <f t="shared" si="256"/>
        <v>1</v>
      </c>
      <c r="AE1397" s="108" t="str">
        <f t="shared" si="257"/>
        <v/>
      </c>
      <c r="AF1397" s="108">
        <f t="shared" si="258"/>
        <v>0</v>
      </c>
      <c r="AG1397" s="108">
        <f t="shared" si="259"/>
        <v>0</v>
      </c>
      <c r="AH1397" s="110" t="str">
        <f t="shared" si="260"/>
        <v/>
      </c>
      <c r="AI1397" s="108">
        <f t="shared" si="261"/>
        <v>0</v>
      </c>
      <c r="AJ1397" s="108">
        <f t="shared" si="262"/>
        <v>0</v>
      </c>
      <c r="AK1397" s="108">
        <f>IF($A1397="",0,IF(AND($S1397=1,$W1397=1,$X1397=1,$U1397&gt;Config!$C$9),1,0))</f>
        <v>0</v>
      </c>
      <c r="AL1397" s="108">
        <f t="shared" si="263"/>
        <v>0</v>
      </c>
    </row>
    <row r="1398" spans="19:38" x14ac:dyDescent="0.25">
      <c r="S1398" s="108" t="str">
        <f>IF($A1398="","",COUNTIF(BPOworkers!$B$6:$B$105,$A1398))</f>
        <v/>
      </c>
      <c r="T1398" s="109" t="str">
        <f>IF($A1398="","",$K1398*Config!$C$9)</f>
        <v/>
      </c>
      <c r="U1398" s="109" t="str">
        <f>IF($A1398="","",IF(COUNTIF(Config!$C$21:$C$23,$H1398)&gt;0,IFERROR(VALUE(LEFT(TRIM($Q1398),FIND(" ",TRIM($Q1398)&amp;" ")-1)),0),0))</f>
        <v/>
      </c>
      <c r="V1398" s="109" t="str">
        <f t="shared" si="252"/>
        <v/>
      </c>
      <c r="W1398" s="108">
        <f>IF($A1398="",0,IF(AND($C1398&gt;=Config!$C$7,$C1398&lt;=Config!$C$8),1,0))</f>
        <v>0</v>
      </c>
      <c r="X1398" s="108">
        <f>IF($A1398="",0,IF(COUNTIF(Config!$C$21:$C$23,$H1398)&gt;0,1,0))</f>
        <v>0</v>
      </c>
      <c r="Y1398" s="108">
        <f t="shared" si="253"/>
        <v>24</v>
      </c>
      <c r="Z1398" s="108" t="str">
        <f t="shared" si="254"/>
        <v/>
      </c>
      <c r="AB1398" s="108">
        <f t="shared" si="255"/>
        <v>0</v>
      </c>
      <c r="AC1398" s="108">
        <f>IF($A1398="",0,IF(AND($AB1398=1,COUNTIF($A$2:$A1398,$A1398)=1),1,0))</f>
        <v>0</v>
      </c>
      <c r="AD1398" s="108">
        <f t="shared" si="256"/>
        <v>1</v>
      </c>
      <c r="AE1398" s="108" t="str">
        <f t="shared" si="257"/>
        <v/>
      </c>
      <c r="AF1398" s="108">
        <f t="shared" si="258"/>
        <v>0</v>
      </c>
      <c r="AG1398" s="108">
        <f t="shared" si="259"/>
        <v>0</v>
      </c>
      <c r="AH1398" s="110" t="str">
        <f t="shared" si="260"/>
        <v/>
      </c>
      <c r="AI1398" s="108">
        <f t="shared" si="261"/>
        <v>0</v>
      </c>
      <c r="AJ1398" s="108">
        <f t="shared" si="262"/>
        <v>0</v>
      </c>
      <c r="AK1398" s="108">
        <f>IF($A1398="",0,IF(AND($S1398=1,$W1398=1,$X1398=1,$U1398&gt;Config!$C$9),1,0))</f>
        <v>0</v>
      </c>
      <c r="AL1398" s="108">
        <f t="shared" si="263"/>
        <v>0</v>
      </c>
    </row>
    <row r="1399" spans="19:38" x14ac:dyDescent="0.25">
      <c r="S1399" s="108" t="str">
        <f>IF($A1399="","",COUNTIF(BPOworkers!$B$6:$B$105,$A1399))</f>
        <v/>
      </c>
      <c r="T1399" s="109" t="str">
        <f>IF($A1399="","",$K1399*Config!$C$9)</f>
        <v/>
      </c>
      <c r="U1399" s="109" t="str">
        <f>IF($A1399="","",IF(COUNTIF(Config!$C$21:$C$23,$H1399)&gt;0,IFERROR(VALUE(LEFT(TRIM($Q1399),FIND(" ",TRIM($Q1399)&amp;" ")-1)),0),0))</f>
        <v/>
      </c>
      <c r="V1399" s="109" t="str">
        <f t="shared" si="252"/>
        <v/>
      </c>
      <c r="W1399" s="108">
        <f>IF($A1399="",0,IF(AND($C1399&gt;=Config!$C$7,$C1399&lt;=Config!$C$8),1,0))</f>
        <v>0</v>
      </c>
      <c r="X1399" s="108">
        <f>IF($A1399="",0,IF(COUNTIF(Config!$C$21:$C$23,$H1399)&gt;0,1,0))</f>
        <v>0</v>
      </c>
      <c r="Y1399" s="108">
        <f t="shared" si="253"/>
        <v>24</v>
      </c>
      <c r="Z1399" s="108" t="str">
        <f t="shared" si="254"/>
        <v/>
      </c>
      <c r="AB1399" s="108">
        <f t="shared" si="255"/>
        <v>0</v>
      </c>
      <c r="AC1399" s="108">
        <f>IF($A1399="",0,IF(AND($AB1399=1,COUNTIF($A$2:$A1399,$A1399)=1),1,0))</f>
        <v>0</v>
      </c>
      <c r="AD1399" s="108">
        <f t="shared" si="256"/>
        <v>1</v>
      </c>
      <c r="AE1399" s="108" t="str">
        <f t="shared" si="257"/>
        <v/>
      </c>
      <c r="AF1399" s="108">
        <f t="shared" si="258"/>
        <v>0</v>
      </c>
      <c r="AG1399" s="108">
        <f t="shared" si="259"/>
        <v>0</v>
      </c>
      <c r="AH1399" s="110" t="str">
        <f t="shared" si="260"/>
        <v/>
      </c>
      <c r="AI1399" s="108">
        <f t="shared" si="261"/>
        <v>0</v>
      </c>
      <c r="AJ1399" s="108">
        <f t="shared" si="262"/>
        <v>0</v>
      </c>
      <c r="AK1399" s="108">
        <f>IF($A1399="",0,IF(AND($S1399=1,$W1399=1,$X1399=1,$U1399&gt;Config!$C$9),1,0))</f>
        <v>0</v>
      </c>
      <c r="AL1399" s="108">
        <f t="shared" si="263"/>
        <v>0</v>
      </c>
    </row>
    <row r="1400" spans="19:38" x14ac:dyDescent="0.25">
      <c r="S1400" s="108" t="str">
        <f>IF($A1400="","",COUNTIF(BPOworkers!$B$6:$B$105,$A1400))</f>
        <v/>
      </c>
      <c r="T1400" s="109" t="str">
        <f>IF($A1400="","",$K1400*Config!$C$9)</f>
        <v/>
      </c>
      <c r="U1400" s="109" t="str">
        <f>IF($A1400="","",IF(COUNTIF(Config!$C$21:$C$23,$H1400)&gt;0,IFERROR(VALUE(LEFT(TRIM($Q1400),FIND(" ",TRIM($Q1400)&amp;" ")-1)),0),0))</f>
        <v/>
      </c>
      <c r="V1400" s="109" t="str">
        <f t="shared" si="252"/>
        <v/>
      </c>
      <c r="W1400" s="108">
        <f>IF($A1400="",0,IF(AND($C1400&gt;=Config!$C$7,$C1400&lt;=Config!$C$8),1,0))</f>
        <v>0</v>
      </c>
      <c r="X1400" s="108">
        <f>IF($A1400="",0,IF(COUNTIF(Config!$C$21:$C$23,$H1400)&gt;0,1,0))</f>
        <v>0</v>
      </c>
      <c r="Y1400" s="108">
        <f t="shared" si="253"/>
        <v>24</v>
      </c>
      <c r="Z1400" s="108" t="str">
        <f t="shared" si="254"/>
        <v/>
      </c>
      <c r="AB1400" s="108">
        <f t="shared" si="255"/>
        <v>0</v>
      </c>
      <c r="AC1400" s="108">
        <f>IF($A1400="",0,IF(AND($AB1400=1,COUNTIF($A$2:$A1400,$A1400)=1),1,0))</f>
        <v>0</v>
      </c>
      <c r="AD1400" s="108">
        <f t="shared" si="256"/>
        <v>1</v>
      </c>
      <c r="AE1400" s="108" t="str">
        <f t="shared" si="257"/>
        <v/>
      </c>
      <c r="AF1400" s="108">
        <f t="shared" si="258"/>
        <v>0</v>
      </c>
      <c r="AG1400" s="108">
        <f t="shared" si="259"/>
        <v>0</v>
      </c>
      <c r="AH1400" s="110" t="str">
        <f t="shared" si="260"/>
        <v/>
      </c>
      <c r="AI1400" s="108">
        <f t="shared" si="261"/>
        <v>0</v>
      </c>
      <c r="AJ1400" s="108">
        <f t="shared" si="262"/>
        <v>0</v>
      </c>
      <c r="AK1400" s="108">
        <f>IF($A1400="",0,IF(AND($S1400=1,$W1400=1,$X1400=1,$U1400&gt;Config!$C$9),1,0))</f>
        <v>0</v>
      </c>
      <c r="AL1400" s="108">
        <f t="shared" si="263"/>
        <v>0</v>
      </c>
    </row>
    <row r="1401" spans="19:38" x14ac:dyDescent="0.25">
      <c r="S1401" s="108" t="str">
        <f>IF($A1401="","",COUNTIF(BPOworkers!$B$6:$B$105,$A1401))</f>
        <v/>
      </c>
      <c r="T1401" s="109" t="str">
        <f>IF($A1401="","",$K1401*Config!$C$9)</f>
        <v/>
      </c>
      <c r="U1401" s="109" t="str">
        <f>IF($A1401="","",IF(COUNTIF(Config!$C$21:$C$23,$H1401)&gt;0,IFERROR(VALUE(LEFT(TRIM($Q1401),FIND(" ",TRIM($Q1401)&amp;" ")-1)),0),0))</f>
        <v/>
      </c>
      <c r="V1401" s="109" t="str">
        <f t="shared" si="252"/>
        <v/>
      </c>
      <c r="W1401" s="108">
        <f>IF($A1401="",0,IF(AND($C1401&gt;=Config!$C$7,$C1401&lt;=Config!$C$8),1,0))</f>
        <v>0</v>
      </c>
      <c r="X1401" s="108">
        <f>IF($A1401="",0,IF(COUNTIF(Config!$C$21:$C$23,$H1401)&gt;0,1,0))</f>
        <v>0</v>
      </c>
      <c r="Y1401" s="108">
        <f t="shared" si="253"/>
        <v>24</v>
      </c>
      <c r="Z1401" s="108" t="str">
        <f t="shared" si="254"/>
        <v/>
      </c>
      <c r="AB1401" s="108">
        <f t="shared" si="255"/>
        <v>0</v>
      </c>
      <c r="AC1401" s="108">
        <f>IF($A1401="",0,IF(AND($AB1401=1,COUNTIF($A$2:$A1401,$A1401)=1),1,0))</f>
        <v>0</v>
      </c>
      <c r="AD1401" s="108">
        <f t="shared" si="256"/>
        <v>1</v>
      </c>
      <c r="AE1401" s="108" t="str">
        <f t="shared" si="257"/>
        <v/>
      </c>
      <c r="AF1401" s="108">
        <f t="shared" si="258"/>
        <v>0</v>
      </c>
      <c r="AG1401" s="108">
        <f t="shared" si="259"/>
        <v>0</v>
      </c>
      <c r="AH1401" s="110" t="str">
        <f t="shared" si="260"/>
        <v/>
      </c>
      <c r="AI1401" s="108">
        <f t="shared" si="261"/>
        <v>0</v>
      </c>
      <c r="AJ1401" s="108">
        <f t="shared" si="262"/>
        <v>0</v>
      </c>
      <c r="AK1401" s="108">
        <f>IF($A1401="",0,IF(AND($S1401=1,$W1401=1,$X1401=1,$U1401&gt;Config!$C$9),1,0))</f>
        <v>0</v>
      </c>
      <c r="AL1401" s="108">
        <f t="shared" si="263"/>
        <v>0</v>
      </c>
    </row>
    <row r="1402" spans="19:38" x14ac:dyDescent="0.25">
      <c r="S1402" s="108" t="str">
        <f>IF($A1402="","",COUNTIF(BPOworkers!$B$6:$B$105,$A1402))</f>
        <v/>
      </c>
      <c r="T1402" s="109" t="str">
        <f>IF($A1402="","",$K1402*Config!$C$9)</f>
        <v/>
      </c>
      <c r="U1402" s="109" t="str">
        <f>IF($A1402="","",IF(COUNTIF(Config!$C$21:$C$23,$H1402)&gt;0,IFERROR(VALUE(LEFT(TRIM($Q1402),FIND(" ",TRIM($Q1402)&amp;" ")-1)),0),0))</f>
        <v/>
      </c>
      <c r="V1402" s="109" t="str">
        <f t="shared" si="252"/>
        <v/>
      </c>
      <c r="W1402" s="108">
        <f>IF($A1402="",0,IF(AND($C1402&gt;=Config!$C$7,$C1402&lt;=Config!$C$8),1,0))</f>
        <v>0</v>
      </c>
      <c r="X1402" s="108">
        <f>IF($A1402="",0,IF(COUNTIF(Config!$C$21:$C$23,$H1402)&gt;0,1,0))</f>
        <v>0</v>
      </c>
      <c r="Y1402" s="108">
        <f t="shared" si="253"/>
        <v>24</v>
      </c>
      <c r="Z1402" s="108" t="str">
        <f t="shared" si="254"/>
        <v/>
      </c>
      <c r="AB1402" s="108">
        <f t="shared" si="255"/>
        <v>0</v>
      </c>
      <c r="AC1402" s="108">
        <f>IF($A1402="",0,IF(AND($AB1402=1,COUNTIF($A$2:$A1402,$A1402)=1),1,0))</f>
        <v>0</v>
      </c>
      <c r="AD1402" s="108">
        <f t="shared" si="256"/>
        <v>1</v>
      </c>
      <c r="AE1402" s="108" t="str">
        <f t="shared" si="257"/>
        <v/>
      </c>
      <c r="AF1402" s="108">
        <f t="shared" si="258"/>
        <v>0</v>
      </c>
      <c r="AG1402" s="108">
        <f t="shared" si="259"/>
        <v>0</v>
      </c>
      <c r="AH1402" s="110" t="str">
        <f t="shared" si="260"/>
        <v/>
      </c>
      <c r="AI1402" s="108">
        <f t="shared" si="261"/>
        <v>0</v>
      </c>
      <c r="AJ1402" s="108">
        <f t="shared" si="262"/>
        <v>0</v>
      </c>
      <c r="AK1402" s="108">
        <f>IF($A1402="",0,IF(AND($S1402=1,$W1402=1,$X1402=1,$U1402&gt;Config!$C$9),1,0))</f>
        <v>0</v>
      </c>
      <c r="AL1402" s="108">
        <f t="shared" si="263"/>
        <v>0</v>
      </c>
    </row>
    <row r="1403" spans="19:38" x14ac:dyDescent="0.25">
      <c r="S1403" s="108" t="str">
        <f>IF($A1403="","",COUNTIF(BPOworkers!$B$6:$B$105,$A1403))</f>
        <v/>
      </c>
      <c r="T1403" s="109" t="str">
        <f>IF($A1403="","",$K1403*Config!$C$9)</f>
        <v/>
      </c>
      <c r="U1403" s="109" t="str">
        <f>IF($A1403="","",IF(COUNTIF(Config!$C$21:$C$23,$H1403)&gt;0,IFERROR(VALUE(LEFT(TRIM($Q1403),FIND(" ",TRIM($Q1403)&amp;" ")-1)),0),0))</f>
        <v/>
      </c>
      <c r="V1403" s="109" t="str">
        <f t="shared" si="252"/>
        <v/>
      </c>
      <c r="W1403" s="108">
        <f>IF($A1403="",0,IF(AND($C1403&gt;=Config!$C$7,$C1403&lt;=Config!$C$8),1,0))</f>
        <v>0</v>
      </c>
      <c r="X1403" s="108">
        <f>IF($A1403="",0,IF(COUNTIF(Config!$C$21:$C$23,$H1403)&gt;0,1,0))</f>
        <v>0</v>
      </c>
      <c r="Y1403" s="108">
        <f t="shared" si="253"/>
        <v>24</v>
      </c>
      <c r="Z1403" s="108" t="str">
        <f t="shared" si="254"/>
        <v/>
      </c>
      <c r="AB1403" s="108">
        <f t="shared" si="255"/>
        <v>0</v>
      </c>
      <c r="AC1403" s="108">
        <f>IF($A1403="",0,IF(AND($AB1403=1,COUNTIF($A$2:$A1403,$A1403)=1),1,0))</f>
        <v>0</v>
      </c>
      <c r="AD1403" s="108">
        <f t="shared" si="256"/>
        <v>1</v>
      </c>
      <c r="AE1403" s="108" t="str">
        <f t="shared" si="257"/>
        <v/>
      </c>
      <c r="AF1403" s="108">
        <f t="shared" si="258"/>
        <v>0</v>
      </c>
      <c r="AG1403" s="108">
        <f t="shared" si="259"/>
        <v>0</v>
      </c>
      <c r="AH1403" s="110" t="str">
        <f t="shared" si="260"/>
        <v/>
      </c>
      <c r="AI1403" s="108">
        <f t="shared" si="261"/>
        <v>0</v>
      </c>
      <c r="AJ1403" s="108">
        <f t="shared" si="262"/>
        <v>0</v>
      </c>
      <c r="AK1403" s="108">
        <f>IF($A1403="",0,IF(AND($S1403=1,$W1403=1,$X1403=1,$U1403&gt;Config!$C$9),1,0))</f>
        <v>0</v>
      </c>
      <c r="AL1403" s="108">
        <f t="shared" si="263"/>
        <v>0</v>
      </c>
    </row>
    <row r="1404" spans="19:38" x14ac:dyDescent="0.25">
      <c r="S1404" s="108" t="str">
        <f>IF($A1404="","",COUNTIF(BPOworkers!$B$6:$B$105,$A1404))</f>
        <v/>
      </c>
      <c r="T1404" s="109" t="str">
        <f>IF($A1404="","",$K1404*Config!$C$9)</f>
        <v/>
      </c>
      <c r="U1404" s="109" t="str">
        <f>IF($A1404="","",IF(COUNTIF(Config!$C$21:$C$23,$H1404)&gt;0,IFERROR(VALUE(LEFT(TRIM($Q1404),FIND(" ",TRIM($Q1404)&amp;" ")-1)),0),0))</f>
        <v/>
      </c>
      <c r="V1404" s="109" t="str">
        <f t="shared" si="252"/>
        <v/>
      </c>
      <c r="W1404" s="108">
        <f>IF($A1404="",0,IF(AND($C1404&gt;=Config!$C$7,$C1404&lt;=Config!$C$8),1,0))</f>
        <v>0</v>
      </c>
      <c r="X1404" s="108">
        <f>IF($A1404="",0,IF(COUNTIF(Config!$C$21:$C$23,$H1404)&gt;0,1,0))</f>
        <v>0</v>
      </c>
      <c r="Y1404" s="108">
        <f t="shared" si="253"/>
        <v>24</v>
      </c>
      <c r="Z1404" s="108" t="str">
        <f t="shared" si="254"/>
        <v/>
      </c>
      <c r="AB1404" s="108">
        <f t="shared" si="255"/>
        <v>0</v>
      </c>
      <c r="AC1404" s="108">
        <f>IF($A1404="",0,IF(AND($AB1404=1,COUNTIF($A$2:$A1404,$A1404)=1),1,0))</f>
        <v>0</v>
      </c>
      <c r="AD1404" s="108">
        <f t="shared" si="256"/>
        <v>1</v>
      </c>
      <c r="AE1404" s="108" t="str">
        <f t="shared" si="257"/>
        <v/>
      </c>
      <c r="AF1404" s="108">
        <f t="shared" si="258"/>
        <v>0</v>
      </c>
      <c r="AG1404" s="108">
        <f t="shared" si="259"/>
        <v>0</v>
      </c>
      <c r="AH1404" s="110" t="str">
        <f t="shared" si="260"/>
        <v/>
      </c>
      <c r="AI1404" s="108">
        <f t="shared" si="261"/>
        <v>0</v>
      </c>
      <c r="AJ1404" s="108">
        <f t="shared" si="262"/>
        <v>0</v>
      </c>
      <c r="AK1404" s="108">
        <f>IF($A1404="",0,IF(AND($S1404=1,$W1404=1,$X1404=1,$U1404&gt;Config!$C$9),1,0))</f>
        <v>0</v>
      </c>
      <c r="AL1404" s="108">
        <f t="shared" si="263"/>
        <v>0</v>
      </c>
    </row>
    <row r="1405" spans="19:38" x14ac:dyDescent="0.25">
      <c r="S1405" s="108" t="str">
        <f>IF($A1405="","",COUNTIF(BPOworkers!$B$6:$B$105,$A1405))</f>
        <v/>
      </c>
      <c r="T1405" s="109" t="str">
        <f>IF($A1405="","",$K1405*Config!$C$9)</f>
        <v/>
      </c>
      <c r="U1405" s="109" t="str">
        <f>IF($A1405="","",IF(COUNTIF(Config!$C$21:$C$23,$H1405)&gt;0,IFERROR(VALUE(LEFT(TRIM($Q1405),FIND(" ",TRIM($Q1405)&amp;" ")-1)),0),0))</f>
        <v/>
      </c>
      <c r="V1405" s="109" t="str">
        <f t="shared" si="252"/>
        <v/>
      </c>
      <c r="W1405" s="108">
        <f>IF($A1405="",0,IF(AND($C1405&gt;=Config!$C$7,$C1405&lt;=Config!$C$8),1,0))</f>
        <v>0</v>
      </c>
      <c r="X1405" s="108">
        <f>IF($A1405="",0,IF(COUNTIF(Config!$C$21:$C$23,$H1405)&gt;0,1,0))</f>
        <v>0</v>
      </c>
      <c r="Y1405" s="108">
        <f t="shared" si="253"/>
        <v>24</v>
      </c>
      <c r="Z1405" s="108" t="str">
        <f t="shared" si="254"/>
        <v/>
      </c>
      <c r="AB1405" s="108">
        <f t="shared" si="255"/>
        <v>0</v>
      </c>
      <c r="AC1405" s="108">
        <f>IF($A1405="",0,IF(AND($AB1405=1,COUNTIF($A$2:$A1405,$A1405)=1),1,0))</f>
        <v>0</v>
      </c>
      <c r="AD1405" s="108">
        <f t="shared" si="256"/>
        <v>1</v>
      </c>
      <c r="AE1405" s="108" t="str">
        <f t="shared" si="257"/>
        <v/>
      </c>
      <c r="AF1405" s="108">
        <f t="shared" si="258"/>
        <v>0</v>
      </c>
      <c r="AG1405" s="108">
        <f t="shared" si="259"/>
        <v>0</v>
      </c>
      <c r="AH1405" s="110" t="str">
        <f t="shared" si="260"/>
        <v/>
      </c>
      <c r="AI1405" s="108">
        <f t="shared" si="261"/>
        <v>0</v>
      </c>
      <c r="AJ1405" s="108">
        <f t="shared" si="262"/>
        <v>0</v>
      </c>
      <c r="AK1405" s="108">
        <f>IF($A1405="",0,IF(AND($S1405=1,$W1405=1,$X1405=1,$U1405&gt;Config!$C$9),1,0))</f>
        <v>0</v>
      </c>
      <c r="AL1405" s="108">
        <f t="shared" si="263"/>
        <v>0</v>
      </c>
    </row>
    <row r="1406" spans="19:38" x14ac:dyDescent="0.25">
      <c r="S1406" s="108" t="str">
        <f>IF($A1406="","",COUNTIF(BPOworkers!$B$6:$B$105,$A1406))</f>
        <v/>
      </c>
      <c r="T1406" s="109" t="str">
        <f>IF($A1406="","",$K1406*Config!$C$9)</f>
        <v/>
      </c>
      <c r="U1406" s="109" t="str">
        <f>IF($A1406="","",IF(COUNTIF(Config!$C$21:$C$23,$H1406)&gt;0,IFERROR(VALUE(LEFT(TRIM($Q1406),FIND(" ",TRIM($Q1406)&amp;" ")-1)),0),0))</f>
        <v/>
      </c>
      <c r="V1406" s="109" t="str">
        <f t="shared" si="252"/>
        <v/>
      </c>
      <c r="W1406" s="108">
        <f>IF($A1406="",0,IF(AND($C1406&gt;=Config!$C$7,$C1406&lt;=Config!$C$8),1,0))</f>
        <v>0</v>
      </c>
      <c r="X1406" s="108">
        <f>IF($A1406="",0,IF(COUNTIF(Config!$C$21:$C$23,$H1406)&gt;0,1,0))</f>
        <v>0</v>
      </c>
      <c r="Y1406" s="108">
        <f t="shared" si="253"/>
        <v>24</v>
      </c>
      <c r="Z1406" s="108" t="str">
        <f t="shared" si="254"/>
        <v/>
      </c>
      <c r="AB1406" s="108">
        <f t="shared" si="255"/>
        <v>0</v>
      </c>
      <c r="AC1406" s="108">
        <f>IF($A1406="",0,IF(AND($AB1406=1,COUNTIF($A$2:$A1406,$A1406)=1),1,0))</f>
        <v>0</v>
      </c>
      <c r="AD1406" s="108">
        <f t="shared" si="256"/>
        <v>1</v>
      </c>
      <c r="AE1406" s="108" t="str">
        <f t="shared" si="257"/>
        <v/>
      </c>
      <c r="AF1406" s="108">
        <f t="shared" si="258"/>
        <v>0</v>
      </c>
      <c r="AG1406" s="108">
        <f t="shared" si="259"/>
        <v>0</v>
      </c>
      <c r="AH1406" s="110" t="str">
        <f t="shared" si="260"/>
        <v/>
      </c>
      <c r="AI1406" s="108">
        <f t="shared" si="261"/>
        <v>0</v>
      </c>
      <c r="AJ1406" s="108">
        <f t="shared" si="262"/>
        <v>0</v>
      </c>
      <c r="AK1406" s="108">
        <f>IF($A1406="",0,IF(AND($S1406=1,$W1406=1,$X1406=1,$U1406&gt;Config!$C$9),1,0))</f>
        <v>0</v>
      </c>
      <c r="AL1406" s="108">
        <f t="shared" si="263"/>
        <v>0</v>
      </c>
    </row>
    <row r="1407" spans="19:38" x14ac:dyDescent="0.25">
      <c r="S1407" s="108" t="str">
        <f>IF($A1407="","",COUNTIF(BPOworkers!$B$6:$B$105,$A1407))</f>
        <v/>
      </c>
      <c r="T1407" s="109" t="str">
        <f>IF($A1407="","",$K1407*Config!$C$9)</f>
        <v/>
      </c>
      <c r="U1407" s="109" t="str">
        <f>IF($A1407="","",IF(COUNTIF(Config!$C$21:$C$23,$H1407)&gt;0,IFERROR(VALUE(LEFT(TRIM($Q1407),FIND(" ",TRIM($Q1407)&amp;" ")-1)),0),0))</f>
        <v/>
      </c>
      <c r="V1407" s="109" t="str">
        <f t="shared" si="252"/>
        <v/>
      </c>
      <c r="W1407" s="108">
        <f>IF($A1407="",0,IF(AND($C1407&gt;=Config!$C$7,$C1407&lt;=Config!$C$8),1,0))</f>
        <v>0</v>
      </c>
      <c r="X1407" s="108">
        <f>IF($A1407="",0,IF(COUNTIF(Config!$C$21:$C$23,$H1407)&gt;0,1,0))</f>
        <v>0</v>
      </c>
      <c r="Y1407" s="108">
        <f t="shared" si="253"/>
        <v>24</v>
      </c>
      <c r="Z1407" s="108" t="str">
        <f t="shared" si="254"/>
        <v/>
      </c>
      <c r="AB1407" s="108">
        <f t="shared" si="255"/>
        <v>0</v>
      </c>
      <c r="AC1407" s="108">
        <f>IF($A1407="",0,IF(AND($AB1407=1,COUNTIF($A$2:$A1407,$A1407)=1),1,0))</f>
        <v>0</v>
      </c>
      <c r="AD1407" s="108">
        <f t="shared" si="256"/>
        <v>1</v>
      </c>
      <c r="AE1407" s="108" t="str">
        <f t="shared" si="257"/>
        <v/>
      </c>
      <c r="AF1407" s="108">
        <f t="shared" si="258"/>
        <v>0</v>
      </c>
      <c r="AG1407" s="108">
        <f t="shared" si="259"/>
        <v>0</v>
      </c>
      <c r="AH1407" s="110" t="str">
        <f t="shared" si="260"/>
        <v/>
      </c>
      <c r="AI1407" s="108">
        <f t="shared" si="261"/>
        <v>0</v>
      </c>
      <c r="AJ1407" s="108">
        <f t="shared" si="262"/>
        <v>0</v>
      </c>
      <c r="AK1407" s="108">
        <f>IF($A1407="",0,IF(AND($S1407=1,$W1407=1,$X1407=1,$U1407&gt;Config!$C$9),1,0))</f>
        <v>0</v>
      </c>
      <c r="AL1407" s="108">
        <f t="shared" si="263"/>
        <v>0</v>
      </c>
    </row>
    <row r="1408" spans="19:38" x14ac:dyDescent="0.25">
      <c r="S1408" s="108" t="str">
        <f>IF($A1408="","",COUNTIF(BPOworkers!$B$6:$B$105,$A1408))</f>
        <v/>
      </c>
      <c r="T1408" s="109" t="str">
        <f>IF($A1408="","",$K1408*Config!$C$9)</f>
        <v/>
      </c>
      <c r="U1408" s="109" t="str">
        <f>IF($A1408="","",IF(COUNTIF(Config!$C$21:$C$23,$H1408)&gt;0,IFERROR(VALUE(LEFT(TRIM($Q1408),FIND(" ",TRIM($Q1408)&amp;" ")-1)),0),0))</f>
        <v/>
      </c>
      <c r="V1408" s="109" t="str">
        <f t="shared" si="252"/>
        <v/>
      </c>
      <c r="W1408" s="108">
        <f>IF($A1408="",0,IF(AND($C1408&gt;=Config!$C$7,$C1408&lt;=Config!$C$8),1,0))</f>
        <v>0</v>
      </c>
      <c r="X1408" s="108">
        <f>IF($A1408="",0,IF(COUNTIF(Config!$C$21:$C$23,$H1408)&gt;0,1,0))</f>
        <v>0</v>
      </c>
      <c r="Y1408" s="108">
        <f t="shared" si="253"/>
        <v>24</v>
      </c>
      <c r="Z1408" s="108" t="str">
        <f t="shared" si="254"/>
        <v/>
      </c>
      <c r="AB1408" s="108">
        <f t="shared" si="255"/>
        <v>0</v>
      </c>
      <c r="AC1408" s="108">
        <f>IF($A1408="",0,IF(AND($AB1408=1,COUNTIF($A$2:$A1408,$A1408)=1),1,0))</f>
        <v>0</v>
      </c>
      <c r="AD1408" s="108">
        <f t="shared" si="256"/>
        <v>1</v>
      </c>
      <c r="AE1408" s="108" t="str">
        <f t="shared" si="257"/>
        <v/>
      </c>
      <c r="AF1408" s="108">
        <f t="shared" si="258"/>
        <v>0</v>
      </c>
      <c r="AG1408" s="108">
        <f t="shared" si="259"/>
        <v>0</v>
      </c>
      <c r="AH1408" s="110" t="str">
        <f t="shared" si="260"/>
        <v/>
      </c>
      <c r="AI1408" s="108">
        <f t="shared" si="261"/>
        <v>0</v>
      </c>
      <c r="AJ1408" s="108">
        <f t="shared" si="262"/>
        <v>0</v>
      </c>
      <c r="AK1408" s="108">
        <f>IF($A1408="",0,IF(AND($S1408=1,$W1408=1,$X1408=1,$U1408&gt;Config!$C$9),1,0))</f>
        <v>0</v>
      </c>
      <c r="AL1408" s="108">
        <f t="shared" si="263"/>
        <v>0</v>
      </c>
    </row>
    <row r="1409" spans="19:38" x14ac:dyDescent="0.25">
      <c r="S1409" s="108" t="str">
        <f>IF($A1409="","",COUNTIF(BPOworkers!$B$6:$B$105,$A1409))</f>
        <v/>
      </c>
      <c r="T1409" s="109" t="str">
        <f>IF($A1409="","",$K1409*Config!$C$9)</f>
        <v/>
      </c>
      <c r="U1409" s="109" t="str">
        <f>IF($A1409="","",IF(COUNTIF(Config!$C$21:$C$23,$H1409)&gt;0,IFERROR(VALUE(LEFT(TRIM($Q1409),FIND(" ",TRIM($Q1409)&amp;" ")-1)),0),0))</f>
        <v/>
      </c>
      <c r="V1409" s="109" t="str">
        <f t="shared" si="252"/>
        <v/>
      </c>
      <c r="W1409" s="108">
        <f>IF($A1409="",0,IF(AND($C1409&gt;=Config!$C$7,$C1409&lt;=Config!$C$8),1,0))</f>
        <v>0</v>
      </c>
      <c r="X1409" s="108">
        <f>IF($A1409="",0,IF(COUNTIF(Config!$C$21:$C$23,$H1409)&gt;0,1,0))</f>
        <v>0</v>
      </c>
      <c r="Y1409" s="108">
        <f t="shared" si="253"/>
        <v>24</v>
      </c>
      <c r="Z1409" s="108" t="str">
        <f t="shared" si="254"/>
        <v/>
      </c>
      <c r="AB1409" s="108">
        <f t="shared" si="255"/>
        <v>0</v>
      </c>
      <c r="AC1409" s="108">
        <f>IF($A1409="",0,IF(AND($AB1409=1,COUNTIF($A$2:$A1409,$A1409)=1),1,0))</f>
        <v>0</v>
      </c>
      <c r="AD1409" s="108">
        <f t="shared" si="256"/>
        <v>1</v>
      </c>
      <c r="AE1409" s="108" t="str">
        <f t="shared" si="257"/>
        <v/>
      </c>
      <c r="AF1409" s="108">
        <f t="shared" si="258"/>
        <v>0</v>
      </c>
      <c r="AG1409" s="108">
        <f t="shared" si="259"/>
        <v>0</v>
      </c>
      <c r="AH1409" s="110" t="str">
        <f t="shared" si="260"/>
        <v/>
      </c>
      <c r="AI1409" s="108">
        <f t="shared" si="261"/>
        <v>0</v>
      </c>
      <c r="AJ1409" s="108">
        <f t="shared" si="262"/>
        <v>0</v>
      </c>
      <c r="AK1409" s="108">
        <f>IF($A1409="",0,IF(AND($S1409=1,$W1409=1,$X1409=1,$U1409&gt;Config!$C$9),1,0))</f>
        <v>0</v>
      </c>
      <c r="AL1409" s="108">
        <f t="shared" si="263"/>
        <v>0</v>
      </c>
    </row>
    <row r="1410" spans="19:38" x14ac:dyDescent="0.25">
      <c r="S1410" s="108" t="str">
        <f>IF($A1410="","",COUNTIF(BPOworkers!$B$6:$B$105,$A1410))</f>
        <v/>
      </c>
      <c r="T1410" s="109" t="str">
        <f>IF($A1410="","",$K1410*Config!$C$9)</f>
        <v/>
      </c>
      <c r="U1410" s="109" t="str">
        <f>IF($A1410="","",IF(COUNTIF(Config!$C$21:$C$23,$H1410)&gt;0,IFERROR(VALUE(LEFT(TRIM($Q1410),FIND(" ",TRIM($Q1410)&amp;" ")-1)),0),0))</f>
        <v/>
      </c>
      <c r="V1410" s="109" t="str">
        <f t="shared" ref="V1410:V1473" si="264">IF($A1410="","",$T1410+$U1410)</f>
        <v/>
      </c>
      <c r="W1410" s="108">
        <f>IF($A1410="",0,IF(AND($C1410&gt;=Config!$C$7,$C1410&lt;=Config!$C$8),1,0))</f>
        <v>0</v>
      </c>
      <c r="X1410" s="108">
        <f>IF($A1410="",0,IF(COUNTIF(Config!$C$21:$C$23,$H1410)&gt;0,1,0))</f>
        <v>0</v>
      </c>
      <c r="Y1410" s="108">
        <f t="shared" ref="Y1410:Y1473" si="265">IF($A1410="",MAX(0,Y1409),MAX(0,Y1409)+IF(AND($W1410=1,$X1410=1,$S1410=1),1,0))</f>
        <v>24</v>
      </c>
      <c r="Z1410" s="108" t="str">
        <f t="shared" ref="Z1410:Z1473" si="266">IF($A1410="","",IF(AND($W1410=1,$X1410=1,$S1410=1),$Y1410,""))</f>
        <v/>
      </c>
      <c r="AB1410" s="108">
        <f t="shared" ref="AB1410:AB1473" si="267">IF($A1410="",0,IF(AND($S1410=0,ISERROR(FIND(".",$A1410))),1,0))</f>
        <v>0</v>
      </c>
      <c r="AC1410" s="108">
        <f>IF($A1410="",0,IF(AND($AB1410=1,COUNTIF($A$2:$A1410,$A1410)=1),1,0))</f>
        <v>0</v>
      </c>
      <c r="AD1410" s="108">
        <f t="shared" ref="AD1410:AD1473" si="268">IF($A1410="",MAX(0,AD1409),MAX(0,AD1409)+$AC1410)</f>
        <v>1</v>
      </c>
      <c r="AE1410" s="108" t="str">
        <f t="shared" ref="AE1410:AE1473" si="269">IF($AC1410=1,$AD1410,"")</f>
        <v/>
      </c>
      <c r="AF1410" s="108">
        <f t="shared" ref="AF1410:AF1473" si="270">IF($A1410="",0,IFERROR(IF(AND($S1410=1,WEEKDAY($C1410,2)&gt;5),1,0),0))</f>
        <v>0</v>
      </c>
      <c r="AG1410" s="108">
        <f t="shared" ref="AG1410:AG1473" si="271">IF($A1410="",0,IF(AND($S1410=1,$W1410=0),1,0))</f>
        <v>0</v>
      </c>
      <c r="AH1410" s="110" t="str">
        <f t="shared" ref="AH1410:AH1473" si="272">IF($A1410="","",$A1410&amp;"|"&amp;TEXT($C1410,"yyyymmdd")&amp;"|"&amp;$H1410&amp;"|"&amp;TEXT($K1410,"0.000")&amp;"|"&amp;SUBSTITUTE(SUBSTITUTE(SUBSTITUTE(LEFT($Q1410,120),"~",""),"*",""),"?",""))</f>
        <v/>
      </c>
      <c r="AI1410" s="108">
        <f t="shared" ref="AI1410:AI1473" si="273">IF($A1410="",0,IF(AND($S1410=1,$W1410=1,COUNTIF($AH$2:$AH$1500,$AH1410)&gt;1),1,0))</f>
        <v>0</v>
      </c>
      <c r="AJ1410" s="108">
        <f t="shared" ref="AJ1410:AJ1473" si="274">IF($A1410="",0,IF(AND($S1410=1,$W1410=1,ABS($K1410*8-ROUND($K1410*8,0))&gt;0.0001),1,0))</f>
        <v>0</v>
      </c>
      <c r="AK1410" s="108">
        <f>IF($A1410="",0,IF(AND($S1410=1,$W1410=1,$X1410=1,$U1410&gt;Config!$C$9),1,0))</f>
        <v>0</v>
      </c>
      <c r="AL1410" s="108">
        <f t="shared" ref="AL1410:AL1473" si="275">IF($A1410="",0,IF(AND($S1410=1,$W1410=1,$X1410=1,$U1410=0),1,0))</f>
        <v>0</v>
      </c>
    </row>
    <row r="1411" spans="19:38" x14ac:dyDescent="0.25">
      <c r="S1411" s="108" t="str">
        <f>IF($A1411="","",COUNTIF(BPOworkers!$B$6:$B$105,$A1411))</f>
        <v/>
      </c>
      <c r="T1411" s="109" t="str">
        <f>IF($A1411="","",$K1411*Config!$C$9)</f>
        <v/>
      </c>
      <c r="U1411" s="109" t="str">
        <f>IF($A1411="","",IF(COUNTIF(Config!$C$21:$C$23,$H1411)&gt;0,IFERROR(VALUE(LEFT(TRIM($Q1411),FIND(" ",TRIM($Q1411)&amp;" ")-1)),0),0))</f>
        <v/>
      </c>
      <c r="V1411" s="109" t="str">
        <f t="shared" si="264"/>
        <v/>
      </c>
      <c r="W1411" s="108">
        <f>IF($A1411="",0,IF(AND($C1411&gt;=Config!$C$7,$C1411&lt;=Config!$C$8),1,0))</f>
        <v>0</v>
      </c>
      <c r="X1411" s="108">
        <f>IF($A1411="",0,IF(COUNTIF(Config!$C$21:$C$23,$H1411)&gt;0,1,0))</f>
        <v>0</v>
      </c>
      <c r="Y1411" s="108">
        <f t="shared" si="265"/>
        <v>24</v>
      </c>
      <c r="Z1411" s="108" t="str">
        <f t="shared" si="266"/>
        <v/>
      </c>
      <c r="AB1411" s="108">
        <f t="shared" si="267"/>
        <v>0</v>
      </c>
      <c r="AC1411" s="108">
        <f>IF($A1411="",0,IF(AND($AB1411=1,COUNTIF($A$2:$A1411,$A1411)=1),1,0))</f>
        <v>0</v>
      </c>
      <c r="AD1411" s="108">
        <f t="shared" si="268"/>
        <v>1</v>
      </c>
      <c r="AE1411" s="108" t="str">
        <f t="shared" si="269"/>
        <v/>
      </c>
      <c r="AF1411" s="108">
        <f t="shared" si="270"/>
        <v>0</v>
      </c>
      <c r="AG1411" s="108">
        <f t="shared" si="271"/>
        <v>0</v>
      </c>
      <c r="AH1411" s="110" t="str">
        <f t="shared" si="272"/>
        <v/>
      </c>
      <c r="AI1411" s="108">
        <f t="shared" si="273"/>
        <v>0</v>
      </c>
      <c r="AJ1411" s="108">
        <f t="shared" si="274"/>
        <v>0</v>
      </c>
      <c r="AK1411" s="108">
        <f>IF($A1411="",0,IF(AND($S1411=1,$W1411=1,$X1411=1,$U1411&gt;Config!$C$9),1,0))</f>
        <v>0</v>
      </c>
      <c r="AL1411" s="108">
        <f t="shared" si="275"/>
        <v>0</v>
      </c>
    </row>
    <row r="1412" spans="19:38" x14ac:dyDescent="0.25">
      <c r="S1412" s="108" t="str">
        <f>IF($A1412="","",COUNTIF(BPOworkers!$B$6:$B$105,$A1412))</f>
        <v/>
      </c>
      <c r="T1412" s="109" t="str">
        <f>IF($A1412="","",$K1412*Config!$C$9)</f>
        <v/>
      </c>
      <c r="U1412" s="109" t="str">
        <f>IF($A1412="","",IF(COUNTIF(Config!$C$21:$C$23,$H1412)&gt;0,IFERROR(VALUE(LEFT(TRIM($Q1412),FIND(" ",TRIM($Q1412)&amp;" ")-1)),0),0))</f>
        <v/>
      </c>
      <c r="V1412" s="109" t="str">
        <f t="shared" si="264"/>
        <v/>
      </c>
      <c r="W1412" s="108">
        <f>IF($A1412="",0,IF(AND($C1412&gt;=Config!$C$7,$C1412&lt;=Config!$C$8),1,0))</f>
        <v>0</v>
      </c>
      <c r="X1412" s="108">
        <f>IF($A1412="",0,IF(COUNTIF(Config!$C$21:$C$23,$H1412)&gt;0,1,0))</f>
        <v>0</v>
      </c>
      <c r="Y1412" s="108">
        <f t="shared" si="265"/>
        <v>24</v>
      </c>
      <c r="Z1412" s="108" t="str">
        <f t="shared" si="266"/>
        <v/>
      </c>
      <c r="AB1412" s="108">
        <f t="shared" si="267"/>
        <v>0</v>
      </c>
      <c r="AC1412" s="108">
        <f>IF($A1412="",0,IF(AND($AB1412=1,COUNTIF($A$2:$A1412,$A1412)=1),1,0))</f>
        <v>0</v>
      </c>
      <c r="AD1412" s="108">
        <f t="shared" si="268"/>
        <v>1</v>
      </c>
      <c r="AE1412" s="108" t="str">
        <f t="shared" si="269"/>
        <v/>
      </c>
      <c r="AF1412" s="108">
        <f t="shared" si="270"/>
        <v>0</v>
      </c>
      <c r="AG1412" s="108">
        <f t="shared" si="271"/>
        <v>0</v>
      </c>
      <c r="AH1412" s="110" t="str">
        <f t="shared" si="272"/>
        <v/>
      </c>
      <c r="AI1412" s="108">
        <f t="shared" si="273"/>
        <v>0</v>
      </c>
      <c r="AJ1412" s="108">
        <f t="shared" si="274"/>
        <v>0</v>
      </c>
      <c r="AK1412" s="108">
        <f>IF($A1412="",0,IF(AND($S1412=1,$W1412=1,$X1412=1,$U1412&gt;Config!$C$9),1,0))</f>
        <v>0</v>
      </c>
      <c r="AL1412" s="108">
        <f t="shared" si="275"/>
        <v>0</v>
      </c>
    </row>
    <row r="1413" spans="19:38" x14ac:dyDescent="0.25">
      <c r="S1413" s="108" t="str">
        <f>IF($A1413="","",COUNTIF(BPOworkers!$B$6:$B$105,$A1413))</f>
        <v/>
      </c>
      <c r="T1413" s="109" t="str">
        <f>IF($A1413="","",$K1413*Config!$C$9)</f>
        <v/>
      </c>
      <c r="U1413" s="109" t="str">
        <f>IF($A1413="","",IF(COUNTIF(Config!$C$21:$C$23,$H1413)&gt;0,IFERROR(VALUE(LEFT(TRIM($Q1413),FIND(" ",TRIM($Q1413)&amp;" ")-1)),0),0))</f>
        <v/>
      </c>
      <c r="V1413" s="109" t="str">
        <f t="shared" si="264"/>
        <v/>
      </c>
      <c r="W1413" s="108">
        <f>IF($A1413="",0,IF(AND($C1413&gt;=Config!$C$7,$C1413&lt;=Config!$C$8),1,0))</f>
        <v>0</v>
      </c>
      <c r="X1413" s="108">
        <f>IF($A1413="",0,IF(COUNTIF(Config!$C$21:$C$23,$H1413)&gt;0,1,0))</f>
        <v>0</v>
      </c>
      <c r="Y1413" s="108">
        <f t="shared" si="265"/>
        <v>24</v>
      </c>
      <c r="Z1413" s="108" t="str">
        <f t="shared" si="266"/>
        <v/>
      </c>
      <c r="AB1413" s="108">
        <f t="shared" si="267"/>
        <v>0</v>
      </c>
      <c r="AC1413" s="108">
        <f>IF($A1413="",0,IF(AND($AB1413=1,COUNTIF($A$2:$A1413,$A1413)=1),1,0))</f>
        <v>0</v>
      </c>
      <c r="AD1413" s="108">
        <f t="shared" si="268"/>
        <v>1</v>
      </c>
      <c r="AE1413" s="108" t="str">
        <f t="shared" si="269"/>
        <v/>
      </c>
      <c r="AF1413" s="108">
        <f t="shared" si="270"/>
        <v>0</v>
      </c>
      <c r="AG1413" s="108">
        <f t="shared" si="271"/>
        <v>0</v>
      </c>
      <c r="AH1413" s="110" t="str">
        <f t="shared" si="272"/>
        <v/>
      </c>
      <c r="AI1413" s="108">
        <f t="shared" si="273"/>
        <v>0</v>
      </c>
      <c r="AJ1413" s="108">
        <f t="shared" si="274"/>
        <v>0</v>
      </c>
      <c r="AK1413" s="108">
        <f>IF($A1413="",0,IF(AND($S1413=1,$W1413=1,$X1413=1,$U1413&gt;Config!$C$9),1,0))</f>
        <v>0</v>
      </c>
      <c r="AL1413" s="108">
        <f t="shared" si="275"/>
        <v>0</v>
      </c>
    </row>
    <row r="1414" spans="19:38" x14ac:dyDescent="0.25">
      <c r="S1414" s="108" t="str">
        <f>IF($A1414="","",COUNTIF(BPOworkers!$B$6:$B$105,$A1414))</f>
        <v/>
      </c>
      <c r="T1414" s="109" t="str">
        <f>IF($A1414="","",$K1414*Config!$C$9)</f>
        <v/>
      </c>
      <c r="U1414" s="109" t="str">
        <f>IF($A1414="","",IF(COUNTIF(Config!$C$21:$C$23,$H1414)&gt;0,IFERROR(VALUE(LEFT(TRIM($Q1414),FIND(" ",TRIM($Q1414)&amp;" ")-1)),0),0))</f>
        <v/>
      </c>
      <c r="V1414" s="109" t="str">
        <f t="shared" si="264"/>
        <v/>
      </c>
      <c r="W1414" s="108">
        <f>IF($A1414="",0,IF(AND($C1414&gt;=Config!$C$7,$C1414&lt;=Config!$C$8),1,0))</f>
        <v>0</v>
      </c>
      <c r="X1414" s="108">
        <f>IF($A1414="",0,IF(COUNTIF(Config!$C$21:$C$23,$H1414)&gt;0,1,0))</f>
        <v>0</v>
      </c>
      <c r="Y1414" s="108">
        <f t="shared" si="265"/>
        <v>24</v>
      </c>
      <c r="Z1414" s="108" t="str">
        <f t="shared" si="266"/>
        <v/>
      </c>
      <c r="AB1414" s="108">
        <f t="shared" si="267"/>
        <v>0</v>
      </c>
      <c r="AC1414" s="108">
        <f>IF($A1414="",0,IF(AND($AB1414=1,COUNTIF($A$2:$A1414,$A1414)=1),1,0))</f>
        <v>0</v>
      </c>
      <c r="AD1414" s="108">
        <f t="shared" si="268"/>
        <v>1</v>
      </c>
      <c r="AE1414" s="108" t="str">
        <f t="shared" si="269"/>
        <v/>
      </c>
      <c r="AF1414" s="108">
        <f t="shared" si="270"/>
        <v>0</v>
      </c>
      <c r="AG1414" s="108">
        <f t="shared" si="271"/>
        <v>0</v>
      </c>
      <c r="AH1414" s="110" t="str">
        <f t="shared" si="272"/>
        <v/>
      </c>
      <c r="AI1414" s="108">
        <f t="shared" si="273"/>
        <v>0</v>
      </c>
      <c r="AJ1414" s="108">
        <f t="shared" si="274"/>
        <v>0</v>
      </c>
      <c r="AK1414" s="108">
        <f>IF($A1414="",0,IF(AND($S1414=1,$W1414=1,$X1414=1,$U1414&gt;Config!$C$9),1,0))</f>
        <v>0</v>
      </c>
      <c r="AL1414" s="108">
        <f t="shared" si="275"/>
        <v>0</v>
      </c>
    </row>
    <row r="1415" spans="19:38" x14ac:dyDescent="0.25">
      <c r="S1415" s="108" t="str">
        <f>IF($A1415="","",COUNTIF(BPOworkers!$B$6:$B$105,$A1415))</f>
        <v/>
      </c>
      <c r="T1415" s="109" t="str">
        <f>IF($A1415="","",$K1415*Config!$C$9)</f>
        <v/>
      </c>
      <c r="U1415" s="109" t="str">
        <f>IF($A1415="","",IF(COUNTIF(Config!$C$21:$C$23,$H1415)&gt;0,IFERROR(VALUE(LEFT(TRIM($Q1415),FIND(" ",TRIM($Q1415)&amp;" ")-1)),0),0))</f>
        <v/>
      </c>
      <c r="V1415" s="109" t="str">
        <f t="shared" si="264"/>
        <v/>
      </c>
      <c r="W1415" s="108">
        <f>IF($A1415="",0,IF(AND($C1415&gt;=Config!$C$7,$C1415&lt;=Config!$C$8),1,0))</f>
        <v>0</v>
      </c>
      <c r="X1415" s="108">
        <f>IF($A1415="",0,IF(COUNTIF(Config!$C$21:$C$23,$H1415)&gt;0,1,0))</f>
        <v>0</v>
      </c>
      <c r="Y1415" s="108">
        <f t="shared" si="265"/>
        <v>24</v>
      </c>
      <c r="Z1415" s="108" t="str">
        <f t="shared" si="266"/>
        <v/>
      </c>
      <c r="AB1415" s="108">
        <f t="shared" si="267"/>
        <v>0</v>
      </c>
      <c r="AC1415" s="108">
        <f>IF($A1415="",0,IF(AND($AB1415=1,COUNTIF($A$2:$A1415,$A1415)=1),1,0))</f>
        <v>0</v>
      </c>
      <c r="AD1415" s="108">
        <f t="shared" si="268"/>
        <v>1</v>
      </c>
      <c r="AE1415" s="108" t="str">
        <f t="shared" si="269"/>
        <v/>
      </c>
      <c r="AF1415" s="108">
        <f t="shared" si="270"/>
        <v>0</v>
      </c>
      <c r="AG1415" s="108">
        <f t="shared" si="271"/>
        <v>0</v>
      </c>
      <c r="AH1415" s="110" t="str">
        <f t="shared" si="272"/>
        <v/>
      </c>
      <c r="AI1415" s="108">
        <f t="shared" si="273"/>
        <v>0</v>
      </c>
      <c r="AJ1415" s="108">
        <f t="shared" si="274"/>
        <v>0</v>
      </c>
      <c r="AK1415" s="108">
        <f>IF($A1415="",0,IF(AND($S1415=1,$W1415=1,$X1415=1,$U1415&gt;Config!$C$9),1,0))</f>
        <v>0</v>
      </c>
      <c r="AL1415" s="108">
        <f t="shared" si="275"/>
        <v>0</v>
      </c>
    </row>
    <row r="1416" spans="19:38" x14ac:dyDescent="0.25">
      <c r="S1416" s="108" t="str">
        <f>IF($A1416="","",COUNTIF(BPOworkers!$B$6:$B$105,$A1416))</f>
        <v/>
      </c>
      <c r="T1416" s="109" t="str">
        <f>IF($A1416="","",$K1416*Config!$C$9)</f>
        <v/>
      </c>
      <c r="U1416" s="109" t="str">
        <f>IF($A1416="","",IF(COUNTIF(Config!$C$21:$C$23,$H1416)&gt;0,IFERROR(VALUE(LEFT(TRIM($Q1416),FIND(" ",TRIM($Q1416)&amp;" ")-1)),0),0))</f>
        <v/>
      </c>
      <c r="V1416" s="109" t="str">
        <f t="shared" si="264"/>
        <v/>
      </c>
      <c r="W1416" s="108">
        <f>IF($A1416="",0,IF(AND($C1416&gt;=Config!$C$7,$C1416&lt;=Config!$C$8),1,0))</f>
        <v>0</v>
      </c>
      <c r="X1416" s="108">
        <f>IF($A1416="",0,IF(COUNTIF(Config!$C$21:$C$23,$H1416)&gt;0,1,0))</f>
        <v>0</v>
      </c>
      <c r="Y1416" s="108">
        <f t="shared" si="265"/>
        <v>24</v>
      </c>
      <c r="Z1416" s="108" t="str">
        <f t="shared" si="266"/>
        <v/>
      </c>
      <c r="AB1416" s="108">
        <f t="shared" si="267"/>
        <v>0</v>
      </c>
      <c r="AC1416" s="108">
        <f>IF($A1416="",0,IF(AND($AB1416=1,COUNTIF($A$2:$A1416,$A1416)=1),1,0))</f>
        <v>0</v>
      </c>
      <c r="AD1416" s="108">
        <f t="shared" si="268"/>
        <v>1</v>
      </c>
      <c r="AE1416" s="108" t="str">
        <f t="shared" si="269"/>
        <v/>
      </c>
      <c r="AF1416" s="108">
        <f t="shared" si="270"/>
        <v>0</v>
      </c>
      <c r="AG1416" s="108">
        <f t="shared" si="271"/>
        <v>0</v>
      </c>
      <c r="AH1416" s="110" t="str">
        <f t="shared" si="272"/>
        <v/>
      </c>
      <c r="AI1416" s="108">
        <f t="shared" si="273"/>
        <v>0</v>
      </c>
      <c r="AJ1416" s="108">
        <f t="shared" si="274"/>
        <v>0</v>
      </c>
      <c r="AK1416" s="108">
        <f>IF($A1416="",0,IF(AND($S1416=1,$W1416=1,$X1416=1,$U1416&gt;Config!$C$9),1,0))</f>
        <v>0</v>
      </c>
      <c r="AL1416" s="108">
        <f t="shared" si="275"/>
        <v>0</v>
      </c>
    </row>
    <row r="1417" spans="19:38" x14ac:dyDescent="0.25">
      <c r="S1417" s="108" t="str">
        <f>IF($A1417="","",COUNTIF(BPOworkers!$B$6:$B$105,$A1417))</f>
        <v/>
      </c>
      <c r="T1417" s="109" t="str">
        <f>IF($A1417="","",$K1417*Config!$C$9)</f>
        <v/>
      </c>
      <c r="U1417" s="109" t="str">
        <f>IF($A1417="","",IF(COUNTIF(Config!$C$21:$C$23,$H1417)&gt;0,IFERROR(VALUE(LEFT(TRIM($Q1417),FIND(" ",TRIM($Q1417)&amp;" ")-1)),0),0))</f>
        <v/>
      </c>
      <c r="V1417" s="109" t="str">
        <f t="shared" si="264"/>
        <v/>
      </c>
      <c r="W1417" s="108">
        <f>IF($A1417="",0,IF(AND($C1417&gt;=Config!$C$7,$C1417&lt;=Config!$C$8),1,0))</f>
        <v>0</v>
      </c>
      <c r="X1417" s="108">
        <f>IF($A1417="",0,IF(COUNTIF(Config!$C$21:$C$23,$H1417)&gt;0,1,0))</f>
        <v>0</v>
      </c>
      <c r="Y1417" s="108">
        <f t="shared" si="265"/>
        <v>24</v>
      </c>
      <c r="Z1417" s="108" t="str">
        <f t="shared" si="266"/>
        <v/>
      </c>
      <c r="AB1417" s="108">
        <f t="shared" si="267"/>
        <v>0</v>
      </c>
      <c r="AC1417" s="108">
        <f>IF($A1417="",0,IF(AND($AB1417=1,COUNTIF($A$2:$A1417,$A1417)=1),1,0))</f>
        <v>0</v>
      </c>
      <c r="AD1417" s="108">
        <f t="shared" si="268"/>
        <v>1</v>
      </c>
      <c r="AE1417" s="108" t="str">
        <f t="shared" si="269"/>
        <v/>
      </c>
      <c r="AF1417" s="108">
        <f t="shared" si="270"/>
        <v>0</v>
      </c>
      <c r="AG1417" s="108">
        <f t="shared" si="271"/>
        <v>0</v>
      </c>
      <c r="AH1417" s="110" t="str">
        <f t="shared" si="272"/>
        <v/>
      </c>
      <c r="AI1417" s="108">
        <f t="shared" si="273"/>
        <v>0</v>
      </c>
      <c r="AJ1417" s="108">
        <f t="shared" si="274"/>
        <v>0</v>
      </c>
      <c r="AK1417" s="108">
        <f>IF($A1417="",0,IF(AND($S1417=1,$W1417=1,$X1417=1,$U1417&gt;Config!$C$9),1,0))</f>
        <v>0</v>
      </c>
      <c r="AL1417" s="108">
        <f t="shared" si="275"/>
        <v>0</v>
      </c>
    </row>
    <row r="1418" spans="19:38" x14ac:dyDescent="0.25">
      <c r="S1418" s="108" t="str">
        <f>IF($A1418="","",COUNTIF(BPOworkers!$B$6:$B$105,$A1418))</f>
        <v/>
      </c>
      <c r="T1418" s="109" t="str">
        <f>IF($A1418="","",$K1418*Config!$C$9)</f>
        <v/>
      </c>
      <c r="U1418" s="109" t="str">
        <f>IF($A1418="","",IF(COUNTIF(Config!$C$21:$C$23,$H1418)&gt;0,IFERROR(VALUE(LEFT(TRIM($Q1418),FIND(" ",TRIM($Q1418)&amp;" ")-1)),0),0))</f>
        <v/>
      </c>
      <c r="V1418" s="109" t="str">
        <f t="shared" si="264"/>
        <v/>
      </c>
      <c r="W1418" s="108">
        <f>IF($A1418="",0,IF(AND($C1418&gt;=Config!$C$7,$C1418&lt;=Config!$C$8),1,0))</f>
        <v>0</v>
      </c>
      <c r="X1418" s="108">
        <f>IF($A1418="",0,IF(COUNTIF(Config!$C$21:$C$23,$H1418)&gt;0,1,0))</f>
        <v>0</v>
      </c>
      <c r="Y1418" s="108">
        <f t="shared" si="265"/>
        <v>24</v>
      </c>
      <c r="Z1418" s="108" t="str">
        <f t="shared" si="266"/>
        <v/>
      </c>
      <c r="AB1418" s="108">
        <f t="shared" si="267"/>
        <v>0</v>
      </c>
      <c r="AC1418" s="108">
        <f>IF($A1418="",0,IF(AND($AB1418=1,COUNTIF($A$2:$A1418,$A1418)=1),1,0))</f>
        <v>0</v>
      </c>
      <c r="AD1418" s="108">
        <f t="shared" si="268"/>
        <v>1</v>
      </c>
      <c r="AE1418" s="108" t="str">
        <f t="shared" si="269"/>
        <v/>
      </c>
      <c r="AF1418" s="108">
        <f t="shared" si="270"/>
        <v>0</v>
      </c>
      <c r="AG1418" s="108">
        <f t="shared" si="271"/>
        <v>0</v>
      </c>
      <c r="AH1418" s="110" t="str">
        <f t="shared" si="272"/>
        <v/>
      </c>
      <c r="AI1418" s="108">
        <f t="shared" si="273"/>
        <v>0</v>
      </c>
      <c r="AJ1418" s="108">
        <f t="shared" si="274"/>
        <v>0</v>
      </c>
      <c r="AK1418" s="108">
        <f>IF($A1418="",0,IF(AND($S1418=1,$W1418=1,$X1418=1,$U1418&gt;Config!$C$9),1,0))</f>
        <v>0</v>
      </c>
      <c r="AL1418" s="108">
        <f t="shared" si="275"/>
        <v>0</v>
      </c>
    </row>
    <row r="1419" spans="19:38" x14ac:dyDescent="0.25">
      <c r="S1419" s="108" t="str">
        <f>IF($A1419="","",COUNTIF(BPOworkers!$B$6:$B$105,$A1419))</f>
        <v/>
      </c>
      <c r="T1419" s="109" t="str">
        <f>IF($A1419="","",$K1419*Config!$C$9)</f>
        <v/>
      </c>
      <c r="U1419" s="109" t="str">
        <f>IF($A1419="","",IF(COUNTIF(Config!$C$21:$C$23,$H1419)&gt;0,IFERROR(VALUE(LEFT(TRIM($Q1419),FIND(" ",TRIM($Q1419)&amp;" ")-1)),0),0))</f>
        <v/>
      </c>
      <c r="V1419" s="109" t="str">
        <f t="shared" si="264"/>
        <v/>
      </c>
      <c r="W1419" s="108">
        <f>IF($A1419="",0,IF(AND($C1419&gt;=Config!$C$7,$C1419&lt;=Config!$C$8),1,0))</f>
        <v>0</v>
      </c>
      <c r="X1419" s="108">
        <f>IF($A1419="",0,IF(COUNTIF(Config!$C$21:$C$23,$H1419)&gt;0,1,0))</f>
        <v>0</v>
      </c>
      <c r="Y1419" s="108">
        <f t="shared" si="265"/>
        <v>24</v>
      </c>
      <c r="Z1419" s="108" t="str">
        <f t="shared" si="266"/>
        <v/>
      </c>
      <c r="AB1419" s="108">
        <f t="shared" si="267"/>
        <v>0</v>
      </c>
      <c r="AC1419" s="108">
        <f>IF($A1419="",0,IF(AND($AB1419=1,COUNTIF($A$2:$A1419,$A1419)=1),1,0))</f>
        <v>0</v>
      </c>
      <c r="AD1419" s="108">
        <f t="shared" si="268"/>
        <v>1</v>
      </c>
      <c r="AE1419" s="108" t="str">
        <f t="shared" si="269"/>
        <v/>
      </c>
      <c r="AF1419" s="108">
        <f t="shared" si="270"/>
        <v>0</v>
      </c>
      <c r="AG1419" s="108">
        <f t="shared" si="271"/>
        <v>0</v>
      </c>
      <c r="AH1419" s="110" t="str">
        <f t="shared" si="272"/>
        <v/>
      </c>
      <c r="AI1419" s="108">
        <f t="shared" si="273"/>
        <v>0</v>
      </c>
      <c r="AJ1419" s="108">
        <f t="shared" si="274"/>
        <v>0</v>
      </c>
      <c r="AK1419" s="108">
        <f>IF($A1419="",0,IF(AND($S1419=1,$W1419=1,$X1419=1,$U1419&gt;Config!$C$9),1,0))</f>
        <v>0</v>
      </c>
      <c r="AL1419" s="108">
        <f t="shared" si="275"/>
        <v>0</v>
      </c>
    </row>
    <row r="1420" spans="19:38" x14ac:dyDescent="0.25">
      <c r="S1420" s="108" t="str">
        <f>IF($A1420="","",COUNTIF(BPOworkers!$B$6:$B$105,$A1420))</f>
        <v/>
      </c>
      <c r="T1420" s="109" t="str">
        <f>IF($A1420="","",$K1420*Config!$C$9)</f>
        <v/>
      </c>
      <c r="U1420" s="109" t="str">
        <f>IF($A1420="","",IF(COUNTIF(Config!$C$21:$C$23,$H1420)&gt;0,IFERROR(VALUE(LEFT(TRIM($Q1420),FIND(" ",TRIM($Q1420)&amp;" ")-1)),0),0))</f>
        <v/>
      </c>
      <c r="V1420" s="109" t="str">
        <f t="shared" si="264"/>
        <v/>
      </c>
      <c r="W1420" s="108">
        <f>IF($A1420="",0,IF(AND($C1420&gt;=Config!$C$7,$C1420&lt;=Config!$C$8),1,0))</f>
        <v>0</v>
      </c>
      <c r="X1420" s="108">
        <f>IF($A1420="",0,IF(COUNTIF(Config!$C$21:$C$23,$H1420)&gt;0,1,0))</f>
        <v>0</v>
      </c>
      <c r="Y1420" s="108">
        <f t="shared" si="265"/>
        <v>24</v>
      </c>
      <c r="Z1420" s="108" t="str">
        <f t="shared" si="266"/>
        <v/>
      </c>
      <c r="AB1420" s="108">
        <f t="shared" si="267"/>
        <v>0</v>
      </c>
      <c r="AC1420" s="108">
        <f>IF($A1420="",0,IF(AND($AB1420=1,COUNTIF($A$2:$A1420,$A1420)=1),1,0))</f>
        <v>0</v>
      </c>
      <c r="AD1420" s="108">
        <f t="shared" si="268"/>
        <v>1</v>
      </c>
      <c r="AE1420" s="108" t="str">
        <f t="shared" si="269"/>
        <v/>
      </c>
      <c r="AF1420" s="108">
        <f t="shared" si="270"/>
        <v>0</v>
      </c>
      <c r="AG1420" s="108">
        <f t="shared" si="271"/>
        <v>0</v>
      </c>
      <c r="AH1420" s="110" t="str">
        <f t="shared" si="272"/>
        <v/>
      </c>
      <c r="AI1420" s="108">
        <f t="shared" si="273"/>
        <v>0</v>
      </c>
      <c r="AJ1420" s="108">
        <f t="shared" si="274"/>
        <v>0</v>
      </c>
      <c r="AK1420" s="108">
        <f>IF($A1420="",0,IF(AND($S1420=1,$W1420=1,$X1420=1,$U1420&gt;Config!$C$9),1,0))</f>
        <v>0</v>
      </c>
      <c r="AL1420" s="108">
        <f t="shared" si="275"/>
        <v>0</v>
      </c>
    </row>
    <row r="1421" spans="19:38" x14ac:dyDescent="0.25">
      <c r="S1421" s="108" t="str">
        <f>IF($A1421="","",COUNTIF(BPOworkers!$B$6:$B$105,$A1421))</f>
        <v/>
      </c>
      <c r="T1421" s="109" t="str">
        <f>IF($A1421="","",$K1421*Config!$C$9)</f>
        <v/>
      </c>
      <c r="U1421" s="109" t="str">
        <f>IF($A1421="","",IF(COUNTIF(Config!$C$21:$C$23,$H1421)&gt;0,IFERROR(VALUE(LEFT(TRIM($Q1421),FIND(" ",TRIM($Q1421)&amp;" ")-1)),0),0))</f>
        <v/>
      </c>
      <c r="V1421" s="109" t="str">
        <f t="shared" si="264"/>
        <v/>
      </c>
      <c r="W1421" s="108">
        <f>IF($A1421="",0,IF(AND($C1421&gt;=Config!$C$7,$C1421&lt;=Config!$C$8),1,0))</f>
        <v>0</v>
      </c>
      <c r="X1421" s="108">
        <f>IF($A1421="",0,IF(COUNTIF(Config!$C$21:$C$23,$H1421)&gt;0,1,0))</f>
        <v>0</v>
      </c>
      <c r="Y1421" s="108">
        <f t="shared" si="265"/>
        <v>24</v>
      </c>
      <c r="Z1421" s="108" t="str">
        <f t="shared" si="266"/>
        <v/>
      </c>
      <c r="AB1421" s="108">
        <f t="shared" si="267"/>
        <v>0</v>
      </c>
      <c r="AC1421" s="108">
        <f>IF($A1421="",0,IF(AND($AB1421=1,COUNTIF($A$2:$A1421,$A1421)=1),1,0))</f>
        <v>0</v>
      </c>
      <c r="AD1421" s="108">
        <f t="shared" si="268"/>
        <v>1</v>
      </c>
      <c r="AE1421" s="108" t="str">
        <f t="shared" si="269"/>
        <v/>
      </c>
      <c r="AF1421" s="108">
        <f t="shared" si="270"/>
        <v>0</v>
      </c>
      <c r="AG1421" s="108">
        <f t="shared" si="271"/>
        <v>0</v>
      </c>
      <c r="AH1421" s="110" t="str">
        <f t="shared" si="272"/>
        <v/>
      </c>
      <c r="AI1421" s="108">
        <f t="shared" si="273"/>
        <v>0</v>
      </c>
      <c r="AJ1421" s="108">
        <f t="shared" si="274"/>
        <v>0</v>
      </c>
      <c r="AK1421" s="108">
        <f>IF($A1421="",0,IF(AND($S1421=1,$W1421=1,$X1421=1,$U1421&gt;Config!$C$9),1,0))</f>
        <v>0</v>
      </c>
      <c r="AL1421" s="108">
        <f t="shared" si="275"/>
        <v>0</v>
      </c>
    </row>
    <row r="1422" spans="19:38" x14ac:dyDescent="0.25">
      <c r="S1422" s="108" t="str">
        <f>IF($A1422="","",COUNTIF(BPOworkers!$B$6:$B$105,$A1422))</f>
        <v/>
      </c>
      <c r="T1422" s="109" t="str">
        <f>IF($A1422="","",$K1422*Config!$C$9)</f>
        <v/>
      </c>
      <c r="U1422" s="109" t="str">
        <f>IF($A1422="","",IF(COUNTIF(Config!$C$21:$C$23,$H1422)&gt;0,IFERROR(VALUE(LEFT(TRIM($Q1422),FIND(" ",TRIM($Q1422)&amp;" ")-1)),0),0))</f>
        <v/>
      </c>
      <c r="V1422" s="109" t="str">
        <f t="shared" si="264"/>
        <v/>
      </c>
      <c r="W1422" s="108">
        <f>IF($A1422="",0,IF(AND($C1422&gt;=Config!$C$7,$C1422&lt;=Config!$C$8),1,0))</f>
        <v>0</v>
      </c>
      <c r="X1422" s="108">
        <f>IF($A1422="",0,IF(COUNTIF(Config!$C$21:$C$23,$H1422)&gt;0,1,0))</f>
        <v>0</v>
      </c>
      <c r="Y1422" s="108">
        <f t="shared" si="265"/>
        <v>24</v>
      </c>
      <c r="Z1422" s="108" t="str">
        <f t="shared" si="266"/>
        <v/>
      </c>
      <c r="AB1422" s="108">
        <f t="shared" si="267"/>
        <v>0</v>
      </c>
      <c r="AC1422" s="108">
        <f>IF($A1422="",0,IF(AND($AB1422=1,COUNTIF($A$2:$A1422,$A1422)=1),1,0))</f>
        <v>0</v>
      </c>
      <c r="AD1422" s="108">
        <f t="shared" si="268"/>
        <v>1</v>
      </c>
      <c r="AE1422" s="108" t="str">
        <f t="shared" si="269"/>
        <v/>
      </c>
      <c r="AF1422" s="108">
        <f t="shared" si="270"/>
        <v>0</v>
      </c>
      <c r="AG1422" s="108">
        <f t="shared" si="271"/>
        <v>0</v>
      </c>
      <c r="AH1422" s="110" t="str">
        <f t="shared" si="272"/>
        <v/>
      </c>
      <c r="AI1422" s="108">
        <f t="shared" si="273"/>
        <v>0</v>
      </c>
      <c r="AJ1422" s="108">
        <f t="shared" si="274"/>
        <v>0</v>
      </c>
      <c r="AK1422" s="108">
        <f>IF($A1422="",0,IF(AND($S1422=1,$W1422=1,$X1422=1,$U1422&gt;Config!$C$9),1,0))</f>
        <v>0</v>
      </c>
      <c r="AL1422" s="108">
        <f t="shared" si="275"/>
        <v>0</v>
      </c>
    </row>
    <row r="1423" spans="19:38" x14ac:dyDescent="0.25">
      <c r="S1423" s="108" t="str">
        <f>IF($A1423="","",COUNTIF(BPOworkers!$B$6:$B$105,$A1423))</f>
        <v/>
      </c>
      <c r="T1423" s="109" t="str">
        <f>IF($A1423="","",$K1423*Config!$C$9)</f>
        <v/>
      </c>
      <c r="U1423" s="109" t="str">
        <f>IF($A1423="","",IF(COUNTIF(Config!$C$21:$C$23,$H1423)&gt;0,IFERROR(VALUE(LEFT(TRIM($Q1423),FIND(" ",TRIM($Q1423)&amp;" ")-1)),0),0))</f>
        <v/>
      </c>
      <c r="V1423" s="109" t="str">
        <f t="shared" si="264"/>
        <v/>
      </c>
      <c r="W1423" s="108">
        <f>IF($A1423="",0,IF(AND($C1423&gt;=Config!$C$7,$C1423&lt;=Config!$C$8),1,0))</f>
        <v>0</v>
      </c>
      <c r="X1423" s="108">
        <f>IF($A1423="",0,IF(COUNTIF(Config!$C$21:$C$23,$H1423)&gt;0,1,0))</f>
        <v>0</v>
      </c>
      <c r="Y1423" s="108">
        <f t="shared" si="265"/>
        <v>24</v>
      </c>
      <c r="Z1423" s="108" t="str">
        <f t="shared" si="266"/>
        <v/>
      </c>
      <c r="AB1423" s="108">
        <f t="shared" si="267"/>
        <v>0</v>
      </c>
      <c r="AC1423" s="108">
        <f>IF($A1423="",0,IF(AND($AB1423=1,COUNTIF($A$2:$A1423,$A1423)=1),1,0))</f>
        <v>0</v>
      </c>
      <c r="AD1423" s="108">
        <f t="shared" si="268"/>
        <v>1</v>
      </c>
      <c r="AE1423" s="108" t="str">
        <f t="shared" si="269"/>
        <v/>
      </c>
      <c r="AF1423" s="108">
        <f t="shared" si="270"/>
        <v>0</v>
      </c>
      <c r="AG1423" s="108">
        <f t="shared" si="271"/>
        <v>0</v>
      </c>
      <c r="AH1423" s="110" t="str">
        <f t="shared" si="272"/>
        <v/>
      </c>
      <c r="AI1423" s="108">
        <f t="shared" si="273"/>
        <v>0</v>
      </c>
      <c r="AJ1423" s="108">
        <f t="shared" si="274"/>
        <v>0</v>
      </c>
      <c r="AK1423" s="108">
        <f>IF($A1423="",0,IF(AND($S1423=1,$W1423=1,$X1423=1,$U1423&gt;Config!$C$9),1,0))</f>
        <v>0</v>
      </c>
      <c r="AL1423" s="108">
        <f t="shared" si="275"/>
        <v>0</v>
      </c>
    </row>
    <row r="1424" spans="19:38" x14ac:dyDescent="0.25">
      <c r="S1424" s="108" t="str">
        <f>IF($A1424="","",COUNTIF(BPOworkers!$B$6:$B$105,$A1424))</f>
        <v/>
      </c>
      <c r="T1424" s="109" t="str">
        <f>IF($A1424="","",$K1424*Config!$C$9)</f>
        <v/>
      </c>
      <c r="U1424" s="109" t="str">
        <f>IF($A1424="","",IF(COUNTIF(Config!$C$21:$C$23,$H1424)&gt;0,IFERROR(VALUE(LEFT(TRIM($Q1424),FIND(" ",TRIM($Q1424)&amp;" ")-1)),0),0))</f>
        <v/>
      </c>
      <c r="V1424" s="109" t="str">
        <f t="shared" si="264"/>
        <v/>
      </c>
      <c r="W1424" s="108">
        <f>IF($A1424="",0,IF(AND($C1424&gt;=Config!$C$7,$C1424&lt;=Config!$C$8),1,0))</f>
        <v>0</v>
      </c>
      <c r="X1424" s="108">
        <f>IF($A1424="",0,IF(COUNTIF(Config!$C$21:$C$23,$H1424)&gt;0,1,0))</f>
        <v>0</v>
      </c>
      <c r="Y1424" s="108">
        <f t="shared" si="265"/>
        <v>24</v>
      </c>
      <c r="Z1424" s="108" t="str">
        <f t="shared" si="266"/>
        <v/>
      </c>
      <c r="AB1424" s="108">
        <f t="shared" si="267"/>
        <v>0</v>
      </c>
      <c r="AC1424" s="108">
        <f>IF($A1424="",0,IF(AND($AB1424=1,COUNTIF($A$2:$A1424,$A1424)=1),1,0))</f>
        <v>0</v>
      </c>
      <c r="AD1424" s="108">
        <f t="shared" si="268"/>
        <v>1</v>
      </c>
      <c r="AE1424" s="108" t="str">
        <f t="shared" si="269"/>
        <v/>
      </c>
      <c r="AF1424" s="108">
        <f t="shared" si="270"/>
        <v>0</v>
      </c>
      <c r="AG1424" s="108">
        <f t="shared" si="271"/>
        <v>0</v>
      </c>
      <c r="AH1424" s="110" t="str">
        <f t="shared" si="272"/>
        <v/>
      </c>
      <c r="AI1424" s="108">
        <f t="shared" si="273"/>
        <v>0</v>
      </c>
      <c r="AJ1424" s="108">
        <f t="shared" si="274"/>
        <v>0</v>
      </c>
      <c r="AK1424" s="108">
        <f>IF($A1424="",0,IF(AND($S1424=1,$W1424=1,$X1424=1,$U1424&gt;Config!$C$9),1,0))</f>
        <v>0</v>
      </c>
      <c r="AL1424" s="108">
        <f t="shared" si="275"/>
        <v>0</v>
      </c>
    </row>
    <row r="1425" spans="19:38" x14ac:dyDescent="0.25">
      <c r="S1425" s="108" t="str">
        <f>IF($A1425="","",COUNTIF(BPOworkers!$B$6:$B$105,$A1425))</f>
        <v/>
      </c>
      <c r="T1425" s="109" t="str">
        <f>IF($A1425="","",$K1425*Config!$C$9)</f>
        <v/>
      </c>
      <c r="U1425" s="109" t="str">
        <f>IF($A1425="","",IF(COUNTIF(Config!$C$21:$C$23,$H1425)&gt;0,IFERROR(VALUE(LEFT(TRIM($Q1425),FIND(" ",TRIM($Q1425)&amp;" ")-1)),0),0))</f>
        <v/>
      </c>
      <c r="V1425" s="109" t="str">
        <f t="shared" si="264"/>
        <v/>
      </c>
      <c r="W1425" s="108">
        <f>IF($A1425="",0,IF(AND($C1425&gt;=Config!$C$7,$C1425&lt;=Config!$C$8),1,0))</f>
        <v>0</v>
      </c>
      <c r="X1425" s="108">
        <f>IF($A1425="",0,IF(COUNTIF(Config!$C$21:$C$23,$H1425)&gt;0,1,0))</f>
        <v>0</v>
      </c>
      <c r="Y1425" s="108">
        <f t="shared" si="265"/>
        <v>24</v>
      </c>
      <c r="Z1425" s="108" t="str">
        <f t="shared" si="266"/>
        <v/>
      </c>
      <c r="AB1425" s="108">
        <f t="shared" si="267"/>
        <v>0</v>
      </c>
      <c r="AC1425" s="108">
        <f>IF($A1425="",0,IF(AND($AB1425=1,COUNTIF($A$2:$A1425,$A1425)=1),1,0))</f>
        <v>0</v>
      </c>
      <c r="AD1425" s="108">
        <f t="shared" si="268"/>
        <v>1</v>
      </c>
      <c r="AE1425" s="108" t="str">
        <f t="shared" si="269"/>
        <v/>
      </c>
      <c r="AF1425" s="108">
        <f t="shared" si="270"/>
        <v>0</v>
      </c>
      <c r="AG1425" s="108">
        <f t="shared" si="271"/>
        <v>0</v>
      </c>
      <c r="AH1425" s="110" t="str">
        <f t="shared" si="272"/>
        <v/>
      </c>
      <c r="AI1425" s="108">
        <f t="shared" si="273"/>
        <v>0</v>
      </c>
      <c r="AJ1425" s="108">
        <f t="shared" si="274"/>
        <v>0</v>
      </c>
      <c r="AK1425" s="108">
        <f>IF($A1425="",0,IF(AND($S1425=1,$W1425=1,$X1425=1,$U1425&gt;Config!$C$9),1,0))</f>
        <v>0</v>
      </c>
      <c r="AL1425" s="108">
        <f t="shared" si="275"/>
        <v>0</v>
      </c>
    </row>
    <row r="1426" spans="19:38" x14ac:dyDescent="0.25">
      <c r="S1426" s="108" t="str">
        <f>IF($A1426="","",COUNTIF(BPOworkers!$B$6:$B$105,$A1426))</f>
        <v/>
      </c>
      <c r="T1426" s="109" t="str">
        <f>IF($A1426="","",$K1426*Config!$C$9)</f>
        <v/>
      </c>
      <c r="U1426" s="109" t="str">
        <f>IF($A1426="","",IF(COUNTIF(Config!$C$21:$C$23,$H1426)&gt;0,IFERROR(VALUE(LEFT(TRIM($Q1426),FIND(" ",TRIM($Q1426)&amp;" ")-1)),0),0))</f>
        <v/>
      </c>
      <c r="V1426" s="109" t="str">
        <f t="shared" si="264"/>
        <v/>
      </c>
      <c r="W1426" s="108">
        <f>IF($A1426="",0,IF(AND($C1426&gt;=Config!$C$7,$C1426&lt;=Config!$C$8),1,0))</f>
        <v>0</v>
      </c>
      <c r="X1426" s="108">
        <f>IF($A1426="",0,IF(COUNTIF(Config!$C$21:$C$23,$H1426)&gt;0,1,0))</f>
        <v>0</v>
      </c>
      <c r="Y1426" s="108">
        <f t="shared" si="265"/>
        <v>24</v>
      </c>
      <c r="Z1426" s="108" t="str">
        <f t="shared" si="266"/>
        <v/>
      </c>
      <c r="AB1426" s="108">
        <f t="shared" si="267"/>
        <v>0</v>
      </c>
      <c r="AC1426" s="108">
        <f>IF($A1426="",0,IF(AND($AB1426=1,COUNTIF($A$2:$A1426,$A1426)=1),1,0))</f>
        <v>0</v>
      </c>
      <c r="AD1426" s="108">
        <f t="shared" si="268"/>
        <v>1</v>
      </c>
      <c r="AE1426" s="108" t="str">
        <f t="shared" si="269"/>
        <v/>
      </c>
      <c r="AF1426" s="108">
        <f t="shared" si="270"/>
        <v>0</v>
      </c>
      <c r="AG1426" s="108">
        <f t="shared" si="271"/>
        <v>0</v>
      </c>
      <c r="AH1426" s="110" t="str">
        <f t="shared" si="272"/>
        <v/>
      </c>
      <c r="AI1426" s="108">
        <f t="shared" si="273"/>
        <v>0</v>
      </c>
      <c r="AJ1426" s="108">
        <f t="shared" si="274"/>
        <v>0</v>
      </c>
      <c r="AK1426" s="108">
        <f>IF($A1426="",0,IF(AND($S1426=1,$W1426=1,$X1426=1,$U1426&gt;Config!$C$9),1,0))</f>
        <v>0</v>
      </c>
      <c r="AL1426" s="108">
        <f t="shared" si="275"/>
        <v>0</v>
      </c>
    </row>
    <row r="1427" spans="19:38" x14ac:dyDescent="0.25">
      <c r="S1427" s="108" t="str">
        <f>IF($A1427="","",COUNTIF(BPOworkers!$B$6:$B$105,$A1427))</f>
        <v/>
      </c>
      <c r="T1427" s="109" t="str">
        <f>IF($A1427="","",$K1427*Config!$C$9)</f>
        <v/>
      </c>
      <c r="U1427" s="109" t="str">
        <f>IF($A1427="","",IF(COUNTIF(Config!$C$21:$C$23,$H1427)&gt;0,IFERROR(VALUE(LEFT(TRIM($Q1427),FIND(" ",TRIM($Q1427)&amp;" ")-1)),0),0))</f>
        <v/>
      </c>
      <c r="V1427" s="109" t="str">
        <f t="shared" si="264"/>
        <v/>
      </c>
      <c r="W1427" s="108">
        <f>IF($A1427="",0,IF(AND($C1427&gt;=Config!$C$7,$C1427&lt;=Config!$C$8),1,0))</f>
        <v>0</v>
      </c>
      <c r="X1427" s="108">
        <f>IF($A1427="",0,IF(COUNTIF(Config!$C$21:$C$23,$H1427)&gt;0,1,0))</f>
        <v>0</v>
      </c>
      <c r="Y1427" s="108">
        <f t="shared" si="265"/>
        <v>24</v>
      </c>
      <c r="Z1427" s="108" t="str">
        <f t="shared" si="266"/>
        <v/>
      </c>
      <c r="AB1427" s="108">
        <f t="shared" si="267"/>
        <v>0</v>
      </c>
      <c r="AC1427" s="108">
        <f>IF($A1427="",0,IF(AND($AB1427=1,COUNTIF($A$2:$A1427,$A1427)=1),1,0))</f>
        <v>0</v>
      </c>
      <c r="AD1427" s="108">
        <f t="shared" si="268"/>
        <v>1</v>
      </c>
      <c r="AE1427" s="108" t="str">
        <f t="shared" si="269"/>
        <v/>
      </c>
      <c r="AF1427" s="108">
        <f t="shared" si="270"/>
        <v>0</v>
      </c>
      <c r="AG1427" s="108">
        <f t="shared" si="271"/>
        <v>0</v>
      </c>
      <c r="AH1427" s="110" t="str">
        <f t="shared" si="272"/>
        <v/>
      </c>
      <c r="AI1427" s="108">
        <f t="shared" si="273"/>
        <v>0</v>
      </c>
      <c r="AJ1427" s="108">
        <f t="shared" si="274"/>
        <v>0</v>
      </c>
      <c r="AK1427" s="108">
        <f>IF($A1427="",0,IF(AND($S1427=1,$W1427=1,$X1427=1,$U1427&gt;Config!$C$9),1,0))</f>
        <v>0</v>
      </c>
      <c r="AL1427" s="108">
        <f t="shared" si="275"/>
        <v>0</v>
      </c>
    </row>
    <row r="1428" spans="19:38" x14ac:dyDescent="0.25">
      <c r="S1428" s="108" t="str">
        <f>IF($A1428="","",COUNTIF(BPOworkers!$B$6:$B$105,$A1428))</f>
        <v/>
      </c>
      <c r="T1428" s="109" t="str">
        <f>IF($A1428="","",$K1428*Config!$C$9)</f>
        <v/>
      </c>
      <c r="U1428" s="109" t="str">
        <f>IF($A1428="","",IF(COUNTIF(Config!$C$21:$C$23,$H1428)&gt;0,IFERROR(VALUE(LEFT(TRIM($Q1428),FIND(" ",TRIM($Q1428)&amp;" ")-1)),0),0))</f>
        <v/>
      </c>
      <c r="V1428" s="109" t="str">
        <f t="shared" si="264"/>
        <v/>
      </c>
      <c r="W1428" s="108">
        <f>IF($A1428="",0,IF(AND($C1428&gt;=Config!$C$7,$C1428&lt;=Config!$C$8),1,0))</f>
        <v>0</v>
      </c>
      <c r="X1428" s="108">
        <f>IF($A1428="",0,IF(COUNTIF(Config!$C$21:$C$23,$H1428)&gt;0,1,0))</f>
        <v>0</v>
      </c>
      <c r="Y1428" s="108">
        <f t="shared" si="265"/>
        <v>24</v>
      </c>
      <c r="Z1428" s="108" t="str">
        <f t="shared" si="266"/>
        <v/>
      </c>
      <c r="AB1428" s="108">
        <f t="shared" si="267"/>
        <v>0</v>
      </c>
      <c r="AC1428" s="108">
        <f>IF($A1428="",0,IF(AND($AB1428=1,COUNTIF($A$2:$A1428,$A1428)=1),1,0))</f>
        <v>0</v>
      </c>
      <c r="AD1428" s="108">
        <f t="shared" si="268"/>
        <v>1</v>
      </c>
      <c r="AE1428" s="108" t="str">
        <f t="shared" si="269"/>
        <v/>
      </c>
      <c r="AF1428" s="108">
        <f t="shared" si="270"/>
        <v>0</v>
      </c>
      <c r="AG1428" s="108">
        <f t="shared" si="271"/>
        <v>0</v>
      </c>
      <c r="AH1428" s="110" t="str">
        <f t="shared" si="272"/>
        <v/>
      </c>
      <c r="AI1428" s="108">
        <f t="shared" si="273"/>
        <v>0</v>
      </c>
      <c r="AJ1428" s="108">
        <f t="shared" si="274"/>
        <v>0</v>
      </c>
      <c r="AK1428" s="108">
        <f>IF($A1428="",0,IF(AND($S1428=1,$W1428=1,$X1428=1,$U1428&gt;Config!$C$9),1,0))</f>
        <v>0</v>
      </c>
      <c r="AL1428" s="108">
        <f t="shared" si="275"/>
        <v>0</v>
      </c>
    </row>
    <row r="1429" spans="19:38" x14ac:dyDescent="0.25">
      <c r="S1429" s="108" t="str">
        <f>IF($A1429="","",COUNTIF(BPOworkers!$B$6:$B$105,$A1429))</f>
        <v/>
      </c>
      <c r="T1429" s="109" t="str">
        <f>IF($A1429="","",$K1429*Config!$C$9)</f>
        <v/>
      </c>
      <c r="U1429" s="109" t="str">
        <f>IF($A1429="","",IF(COUNTIF(Config!$C$21:$C$23,$H1429)&gt;0,IFERROR(VALUE(LEFT(TRIM($Q1429),FIND(" ",TRIM($Q1429)&amp;" ")-1)),0),0))</f>
        <v/>
      </c>
      <c r="V1429" s="109" t="str">
        <f t="shared" si="264"/>
        <v/>
      </c>
      <c r="W1429" s="108">
        <f>IF($A1429="",0,IF(AND($C1429&gt;=Config!$C$7,$C1429&lt;=Config!$C$8),1,0))</f>
        <v>0</v>
      </c>
      <c r="X1429" s="108">
        <f>IF($A1429="",0,IF(COUNTIF(Config!$C$21:$C$23,$H1429)&gt;0,1,0))</f>
        <v>0</v>
      </c>
      <c r="Y1429" s="108">
        <f t="shared" si="265"/>
        <v>24</v>
      </c>
      <c r="Z1429" s="108" t="str">
        <f t="shared" si="266"/>
        <v/>
      </c>
      <c r="AB1429" s="108">
        <f t="shared" si="267"/>
        <v>0</v>
      </c>
      <c r="AC1429" s="108">
        <f>IF($A1429="",0,IF(AND($AB1429=1,COUNTIF($A$2:$A1429,$A1429)=1),1,0))</f>
        <v>0</v>
      </c>
      <c r="AD1429" s="108">
        <f t="shared" si="268"/>
        <v>1</v>
      </c>
      <c r="AE1429" s="108" t="str">
        <f t="shared" si="269"/>
        <v/>
      </c>
      <c r="AF1429" s="108">
        <f t="shared" si="270"/>
        <v>0</v>
      </c>
      <c r="AG1429" s="108">
        <f t="shared" si="271"/>
        <v>0</v>
      </c>
      <c r="AH1429" s="110" t="str">
        <f t="shared" si="272"/>
        <v/>
      </c>
      <c r="AI1429" s="108">
        <f t="shared" si="273"/>
        <v>0</v>
      </c>
      <c r="AJ1429" s="108">
        <f t="shared" si="274"/>
        <v>0</v>
      </c>
      <c r="AK1429" s="108">
        <f>IF($A1429="",0,IF(AND($S1429=1,$W1429=1,$X1429=1,$U1429&gt;Config!$C$9),1,0))</f>
        <v>0</v>
      </c>
      <c r="AL1429" s="108">
        <f t="shared" si="275"/>
        <v>0</v>
      </c>
    </row>
    <row r="1430" spans="19:38" x14ac:dyDescent="0.25">
      <c r="S1430" s="108" t="str">
        <f>IF($A1430="","",COUNTIF(BPOworkers!$B$6:$B$105,$A1430))</f>
        <v/>
      </c>
      <c r="T1430" s="109" t="str">
        <f>IF($A1430="","",$K1430*Config!$C$9)</f>
        <v/>
      </c>
      <c r="U1430" s="109" t="str">
        <f>IF($A1430="","",IF(COUNTIF(Config!$C$21:$C$23,$H1430)&gt;0,IFERROR(VALUE(LEFT(TRIM($Q1430),FIND(" ",TRIM($Q1430)&amp;" ")-1)),0),0))</f>
        <v/>
      </c>
      <c r="V1430" s="109" t="str">
        <f t="shared" si="264"/>
        <v/>
      </c>
      <c r="W1430" s="108">
        <f>IF($A1430="",0,IF(AND($C1430&gt;=Config!$C$7,$C1430&lt;=Config!$C$8),1,0))</f>
        <v>0</v>
      </c>
      <c r="X1430" s="108">
        <f>IF($A1430="",0,IF(COUNTIF(Config!$C$21:$C$23,$H1430)&gt;0,1,0))</f>
        <v>0</v>
      </c>
      <c r="Y1430" s="108">
        <f t="shared" si="265"/>
        <v>24</v>
      </c>
      <c r="Z1430" s="108" t="str">
        <f t="shared" si="266"/>
        <v/>
      </c>
      <c r="AB1430" s="108">
        <f t="shared" si="267"/>
        <v>0</v>
      </c>
      <c r="AC1430" s="108">
        <f>IF($A1430="",0,IF(AND($AB1430=1,COUNTIF($A$2:$A1430,$A1430)=1),1,0))</f>
        <v>0</v>
      </c>
      <c r="AD1430" s="108">
        <f t="shared" si="268"/>
        <v>1</v>
      </c>
      <c r="AE1430" s="108" t="str">
        <f t="shared" si="269"/>
        <v/>
      </c>
      <c r="AF1430" s="108">
        <f t="shared" si="270"/>
        <v>0</v>
      </c>
      <c r="AG1430" s="108">
        <f t="shared" si="271"/>
        <v>0</v>
      </c>
      <c r="AH1430" s="110" t="str">
        <f t="shared" si="272"/>
        <v/>
      </c>
      <c r="AI1430" s="108">
        <f t="shared" si="273"/>
        <v>0</v>
      </c>
      <c r="AJ1430" s="108">
        <f t="shared" si="274"/>
        <v>0</v>
      </c>
      <c r="AK1430" s="108">
        <f>IF($A1430="",0,IF(AND($S1430=1,$W1430=1,$X1430=1,$U1430&gt;Config!$C$9),1,0))</f>
        <v>0</v>
      </c>
      <c r="AL1430" s="108">
        <f t="shared" si="275"/>
        <v>0</v>
      </c>
    </row>
    <row r="1431" spans="19:38" x14ac:dyDescent="0.25">
      <c r="S1431" s="108" t="str">
        <f>IF($A1431="","",COUNTIF(BPOworkers!$B$6:$B$105,$A1431))</f>
        <v/>
      </c>
      <c r="T1431" s="109" t="str">
        <f>IF($A1431="","",$K1431*Config!$C$9)</f>
        <v/>
      </c>
      <c r="U1431" s="109" t="str">
        <f>IF($A1431="","",IF(COUNTIF(Config!$C$21:$C$23,$H1431)&gt;0,IFERROR(VALUE(LEFT(TRIM($Q1431),FIND(" ",TRIM($Q1431)&amp;" ")-1)),0),0))</f>
        <v/>
      </c>
      <c r="V1431" s="109" t="str">
        <f t="shared" si="264"/>
        <v/>
      </c>
      <c r="W1431" s="108">
        <f>IF($A1431="",0,IF(AND($C1431&gt;=Config!$C$7,$C1431&lt;=Config!$C$8),1,0))</f>
        <v>0</v>
      </c>
      <c r="X1431" s="108">
        <f>IF($A1431="",0,IF(COUNTIF(Config!$C$21:$C$23,$H1431)&gt;0,1,0))</f>
        <v>0</v>
      </c>
      <c r="Y1431" s="108">
        <f t="shared" si="265"/>
        <v>24</v>
      </c>
      <c r="Z1431" s="108" t="str">
        <f t="shared" si="266"/>
        <v/>
      </c>
      <c r="AB1431" s="108">
        <f t="shared" si="267"/>
        <v>0</v>
      </c>
      <c r="AC1431" s="108">
        <f>IF($A1431="",0,IF(AND($AB1431=1,COUNTIF($A$2:$A1431,$A1431)=1),1,0))</f>
        <v>0</v>
      </c>
      <c r="AD1431" s="108">
        <f t="shared" si="268"/>
        <v>1</v>
      </c>
      <c r="AE1431" s="108" t="str">
        <f t="shared" si="269"/>
        <v/>
      </c>
      <c r="AF1431" s="108">
        <f t="shared" si="270"/>
        <v>0</v>
      </c>
      <c r="AG1431" s="108">
        <f t="shared" si="271"/>
        <v>0</v>
      </c>
      <c r="AH1431" s="110" t="str">
        <f t="shared" si="272"/>
        <v/>
      </c>
      <c r="AI1431" s="108">
        <f t="shared" si="273"/>
        <v>0</v>
      </c>
      <c r="AJ1431" s="108">
        <f t="shared" si="274"/>
        <v>0</v>
      </c>
      <c r="AK1431" s="108">
        <f>IF($A1431="",0,IF(AND($S1431=1,$W1431=1,$X1431=1,$U1431&gt;Config!$C$9),1,0))</f>
        <v>0</v>
      </c>
      <c r="AL1431" s="108">
        <f t="shared" si="275"/>
        <v>0</v>
      </c>
    </row>
    <row r="1432" spans="19:38" x14ac:dyDescent="0.25">
      <c r="S1432" s="108" t="str">
        <f>IF($A1432="","",COUNTIF(BPOworkers!$B$6:$B$105,$A1432))</f>
        <v/>
      </c>
      <c r="T1432" s="109" t="str">
        <f>IF($A1432="","",$K1432*Config!$C$9)</f>
        <v/>
      </c>
      <c r="U1432" s="109" t="str">
        <f>IF($A1432="","",IF(COUNTIF(Config!$C$21:$C$23,$H1432)&gt;0,IFERROR(VALUE(LEFT(TRIM($Q1432),FIND(" ",TRIM($Q1432)&amp;" ")-1)),0),0))</f>
        <v/>
      </c>
      <c r="V1432" s="109" t="str">
        <f t="shared" si="264"/>
        <v/>
      </c>
      <c r="W1432" s="108">
        <f>IF($A1432="",0,IF(AND($C1432&gt;=Config!$C$7,$C1432&lt;=Config!$C$8),1,0))</f>
        <v>0</v>
      </c>
      <c r="X1432" s="108">
        <f>IF($A1432="",0,IF(COUNTIF(Config!$C$21:$C$23,$H1432)&gt;0,1,0))</f>
        <v>0</v>
      </c>
      <c r="Y1432" s="108">
        <f t="shared" si="265"/>
        <v>24</v>
      </c>
      <c r="Z1432" s="108" t="str">
        <f t="shared" si="266"/>
        <v/>
      </c>
      <c r="AB1432" s="108">
        <f t="shared" si="267"/>
        <v>0</v>
      </c>
      <c r="AC1432" s="108">
        <f>IF($A1432="",0,IF(AND($AB1432=1,COUNTIF($A$2:$A1432,$A1432)=1),1,0))</f>
        <v>0</v>
      </c>
      <c r="AD1432" s="108">
        <f t="shared" si="268"/>
        <v>1</v>
      </c>
      <c r="AE1432" s="108" t="str">
        <f t="shared" si="269"/>
        <v/>
      </c>
      <c r="AF1432" s="108">
        <f t="shared" si="270"/>
        <v>0</v>
      </c>
      <c r="AG1432" s="108">
        <f t="shared" si="271"/>
        <v>0</v>
      </c>
      <c r="AH1432" s="110" t="str">
        <f t="shared" si="272"/>
        <v/>
      </c>
      <c r="AI1432" s="108">
        <f t="shared" si="273"/>
        <v>0</v>
      </c>
      <c r="AJ1432" s="108">
        <f t="shared" si="274"/>
        <v>0</v>
      </c>
      <c r="AK1432" s="108">
        <f>IF($A1432="",0,IF(AND($S1432=1,$W1432=1,$X1432=1,$U1432&gt;Config!$C$9),1,0))</f>
        <v>0</v>
      </c>
      <c r="AL1432" s="108">
        <f t="shared" si="275"/>
        <v>0</v>
      </c>
    </row>
    <row r="1433" spans="19:38" x14ac:dyDescent="0.25">
      <c r="S1433" s="108" t="str">
        <f>IF($A1433="","",COUNTIF(BPOworkers!$B$6:$B$105,$A1433))</f>
        <v/>
      </c>
      <c r="T1433" s="109" t="str">
        <f>IF($A1433="","",$K1433*Config!$C$9)</f>
        <v/>
      </c>
      <c r="U1433" s="109" t="str">
        <f>IF($A1433="","",IF(COUNTIF(Config!$C$21:$C$23,$H1433)&gt;0,IFERROR(VALUE(LEFT(TRIM($Q1433),FIND(" ",TRIM($Q1433)&amp;" ")-1)),0),0))</f>
        <v/>
      </c>
      <c r="V1433" s="109" t="str">
        <f t="shared" si="264"/>
        <v/>
      </c>
      <c r="W1433" s="108">
        <f>IF($A1433="",0,IF(AND($C1433&gt;=Config!$C$7,$C1433&lt;=Config!$C$8),1,0))</f>
        <v>0</v>
      </c>
      <c r="X1433" s="108">
        <f>IF($A1433="",0,IF(COUNTIF(Config!$C$21:$C$23,$H1433)&gt;0,1,0))</f>
        <v>0</v>
      </c>
      <c r="Y1433" s="108">
        <f t="shared" si="265"/>
        <v>24</v>
      </c>
      <c r="Z1433" s="108" t="str">
        <f t="shared" si="266"/>
        <v/>
      </c>
      <c r="AB1433" s="108">
        <f t="shared" si="267"/>
        <v>0</v>
      </c>
      <c r="AC1433" s="108">
        <f>IF($A1433="",0,IF(AND($AB1433=1,COUNTIF($A$2:$A1433,$A1433)=1),1,0))</f>
        <v>0</v>
      </c>
      <c r="AD1433" s="108">
        <f t="shared" si="268"/>
        <v>1</v>
      </c>
      <c r="AE1433" s="108" t="str">
        <f t="shared" si="269"/>
        <v/>
      </c>
      <c r="AF1433" s="108">
        <f t="shared" si="270"/>
        <v>0</v>
      </c>
      <c r="AG1433" s="108">
        <f t="shared" si="271"/>
        <v>0</v>
      </c>
      <c r="AH1433" s="110" t="str">
        <f t="shared" si="272"/>
        <v/>
      </c>
      <c r="AI1433" s="108">
        <f t="shared" si="273"/>
        <v>0</v>
      </c>
      <c r="AJ1433" s="108">
        <f t="shared" si="274"/>
        <v>0</v>
      </c>
      <c r="AK1433" s="108">
        <f>IF($A1433="",0,IF(AND($S1433=1,$W1433=1,$X1433=1,$U1433&gt;Config!$C$9),1,0))</f>
        <v>0</v>
      </c>
      <c r="AL1433" s="108">
        <f t="shared" si="275"/>
        <v>0</v>
      </c>
    </row>
    <row r="1434" spans="19:38" x14ac:dyDescent="0.25">
      <c r="S1434" s="108" t="str">
        <f>IF($A1434="","",COUNTIF(BPOworkers!$B$6:$B$105,$A1434))</f>
        <v/>
      </c>
      <c r="T1434" s="109" t="str">
        <f>IF($A1434="","",$K1434*Config!$C$9)</f>
        <v/>
      </c>
      <c r="U1434" s="109" t="str">
        <f>IF($A1434="","",IF(COUNTIF(Config!$C$21:$C$23,$H1434)&gt;0,IFERROR(VALUE(LEFT(TRIM($Q1434),FIND(" ",TRIM($Q1434)&amp;" ")-1)),0),0))</f>
        <v/>
      </c>
      <c r="V1434" s="109" t="str">
        <f t="shared" si="264"/>
        <v/>
      </c>
      <c r="W1434" s="108">
        <f>IF($A1434="",0,IF(AND($C1434&gt;=Config!$C$7,$C1434&lt;=Config!$C$8),1,0))</f>
        <v>0</v>
      </c>
      <c r="X1434" s="108">
        <f>IF($A1434="",0,IF(COUNTIF(Config!$C$21:$C$23,$H1434)&gt;0,1,0))</f>
        <v>0</v>
      </c>
      <c r="Y1434" s="108">
        <f t="shared" si="265"/>
        <v>24</v>
      </c>
      <c r="Z1434" s="108" t="str">
        <f t="shared" si="266"/>
        <v/>
      </c>
      <c r="AB1434" s="108">
        <f t="shared" si="267"/>
        <v>0</v>
      </c>
      <c r="AC1434" s="108">
        <f>IF($A1434="",0,IF(AND($AB1434=1,COUNTIF($A$2:$A1434,$A1434)=1),1,0))</f>
        <v>0</v>
      </c>
      <c r="AD1434" s="108">
        <f t="shared" si="268"/>
        <v>1</v>
      </c>
      <c r="AE1434" s="108" t="str">
        <f t="shared" si="269"/>
        <v/>
      </c>
      <c r="AF1434" s="108">
        <f t="shared" si="270"/>
        <v>0</v>
      </c>
      <c r="AG1434" s="108">
        <f t="shared" si="271"/>
        <v>0</v>
      </c>
      <c r="AH1434" s="110" t="str">
        <f t="shared" si="272"/>
        <v/>
      </c>
      <c r="AI1434" s="108">
        <f t="shared" si="273"/>
        <v>0</v>
      </c>
      <c r="AJ1434" s="108">
        <f t="shared" si="274"/>
        <v>0</v>
      </c>
      <c r="AK1434" s="108">
        <f>IF($A1434="",0,IF(AND($S1434=1,$W1434=1,$X1434=1,$U1434&gt;Config!$C$9),1,0))</f>
        <v>0</v>
      </c>
      <c r="AL1434" s="108">
        <f t="shared" si="275"/>
        <v>0</v>
      </c>
    </row>
    <row r="1435" spans="19:38" x14ac:dyDescent="0.25">
      <c r="S1435" s="108" t="str">
        <f>IF($A1435="","",COUNTIF(BPOworkers!$B$6:$B$105,$A1435))</f>
        <v/>
      </c>
      <c r="T1435" s="109" t="str">
        <f>IF($A1435="","",$K1435*Config!$C$9)</f>
        <v/>
      </c>
      <c r="U1435" s="109" t="str">
        <f>IF($A1435="","",IF(COUNTIF(Config!$C$21:$C$23,$H1435)&gt;0,IFERROR(VALUE(LEFT(TRIM($Q1435),FIND(" ",TRIM($Q1435)&amp;" ")-1)),0),0))</f>
        <v/>
      </c>
      <c r="V1435" s="109" t="str">
        <f t="shared" si="264"/>
        <v/>
      </c>
      <c r="W1435" s="108">
        <f>IF($A1435="",0,IF(AND($C1435&gt;=Config!$C$7,$C1435&lt;=Config!$C$8),1,0))</f>
        <v>0</v>
      </c>
      <c r="X1435" s="108">
        <f>IF($A1435="",0,IF(COUNTIF(Config!$C$21:$C$23,$H1435)&gt;0,1,0))</f>
        <v>0</v>
      </c>
      <c r="Y1435" s="108">
        <f t="shared" si="265"/>
        <v>24</v>
      </c>
      <c r="Z1435" s="108" t="str">
        <f t="shared" si="266"/>
        <v/>
      </c>
      <c r="AB1435" s="108">
        <f t="shared" si="267"/>
        <v>0</v>
      </c>
      <c r="AC1435" s="108">
        <f>IF($A1435="",0,IF(AND($AB1435=1,COUNTIF($A$2:$A1435,$A1435)=1),1,0))</f>
        <v>0</v>
      </c>
      <c r="AD1435" s="108">
        <f t="shared" si="268"/>
        <v>1</v>
      </c>
      <c r="AE1435" s="108" t="str">
        <f t="shared" si="269"/>
        <v/>
      </c>
      <c r="AF1435" s="108">
        <f t="shared" si="270"/>
        <v>0</v>
      </c>
      <c r="AG1435" s="108">
        <f t="shared" si="271"/>
        <v>0</v>
      </c>
      <c r="AH1435" s="110" t="str">
        <f t="shared" si="272"/>
        <v/>
      </c>
      <c r="AI1435" s="108">
        <f t="shared" si="273"/>
        <v>0</v>
      </c>
      <c r="AJ1435" s="108">
        <f t="shared" si="274"/>
        <v>0</v>
      </c>
      <c r="AK1435" s="108">
        <f>IF($A1435="",0,IF(AND($S1435=1,$W1435=1,$X1435=1,$U1435&gt;Config!$C$9),1,0))</f>
        <v>0</v>
      </c>
      <c r="AL1435" s="108">
        <f t="shared" si="275"/>
        <v>0</v>
      </c>
    </row>
    <row r="1436" spans="19:38" x14ac:dyDescent="0.25">
      <c r="S1436" s="108" t="str">
        <f>IF($A1436="","",COUNTIF(BPOworkers!$B$6:$B$105,$A1436))</f>
        <v/>
      </c>
      <c r="T1436" s="109" t="str">
        <f>IF($A1436="","",$K1436*Config!$C$9)</f>
        <v/>
      </c>
      <c r="U1436" s="109" t="str">
        <f>IF($A1436="","",IF(COUNTIF(Config!$C$21:$C$23,$H1436)&gt;0,IFERROR(VALUE(LEFT(TRIM($Q1436),FIND(" ",TRIM($Q1436)&amp;" ")-1)),0),0))</f>
        <v/>
      </c>
      <c r="V1436" s="109" t="str">
        <f t="shared" si="264"/>
        <v/>
      </c>
      <c r="W1436" s="108">
        <f>IF($A1436="",0,IF(AND($C1436&gt;=Config!$C$7,$C1436&lt;=Config!$C$8),1,0))</f>
        <v>0</v>
      </c>
      <c r="X1436" s="108">
        <f>IF($A1436="",0,IF(COUNTIF(Config!$C$21:$C$23,$H1436)&gt;0,1,0))</f>
        <v>0</v>
      </c>
      <c r="Y1436" s="108">
        <f t="shared" si="265"/>
        <v>24</v>
      </c>
      <c r="Z1436" s="108" t="str">
        <f t="shared" si="266"/>
        <v/>
      </c>
      <c r="AB1436" s="108">
        <f t="shared" si="267"/>
        <v>0</v>
      </c>
      <c r="AC1436" s="108">
        <f>IF($A1436="",0,IF(AND($AB1436=1,COUNTIF($A$2:$A1436,$A1436)=1),1,0))</f>
        <v>0</v>
      </c>
      <c r="AD1436" s="108">
        <f t="shared" si="268"/>
        <v>1</v>
      </c>
      <c r="AE1436" s="108" t="str">
        <f t="shared" si="269"/>
        <v/>
      </c>
      <c r="AF1436" s="108">
        <f t="shared" si="270"/>
        <v>0</v>
      </c>
      <c r="AG1436" s="108">
        <f t="shared" si="271"/>
        <v>0</v>
      </c>
      <c r="AH1436" s="110" t="str">
        <f t="shared" si="272"/>
        <v/>
      </c>
      <c r="AI1436" s="108">
        <f t="shared" si="273"/>
        <v>0</v>
      </c>
      <c r="AJ1436" s="108">
        <f t="shared" si="274"/>
        <v>0</v>
      </c>
      <c r="AK1436" s="108">
        <f>IF($A1436="",0,IF(AND($S1436=1,$W1436=1,$X1436=1,$U1436&gt;Config!$C$9),1,0))</f>
        <v>0</v>
      </c>
      <c r="AL1436" s="108">
        <f t="shared" si="275"/>
        <v>0</v>
      </c>
    </row>
    <row r="1437" spans="19:38" x14ac:dyDescent="0.25">
      <c r="S1437" s="108" t="str">
        <f>IF($A1437="","",COUNTIF(BPOworkers!$B$6:$B$105,$A1437))</f>
        <v/>
      </c>
      <c r="T1437" s="109" t="str">
        <f>IF($A1437="","",$K1437*Config!$C$9)</f>
        <v/>
      </c>
      <c r="U1437" s="109" t="str">
        <f>IF($A1437="","",IF(COUNTIF(Config!$C$21:$C$23,$H1437)&gt;0,IFERROR(VALUE(LEFT(TRIM($Q1437),FIND(" ",TRIM($Q1437)&amp;" ")-1)),0),0))</f>
        <v/>
      </c>
      <c r="V1437" s="109" t="str">
        <f t="shared" si="264"/>
        <v/>
      </c>
      <c r="W1437" s="108">
        <f>IF($A1437="",0,IF(AND($C1437&gt;=Config!$C$7,$C1437&lt;=Config!$C$8),1,0))</f>
        <v>0</v>
      </c>
      <c r="X1437" s="108">
        <f>IF($A1437="",0,IF(COUNTIF(Config!$C$21:$C$23,$H1437)&gt;0,1,0))</f>
        <v>0</v>
      </c>
      <c r="Y1437" s="108">
        <f t="shared" si="265"/>
        <v>24</v>
      </c>
      <c r="Z1437" s="108" t="str">
        <f t="shared" si="266"/>
        <v/>
      </c>
      <c r="AB1437" s="108">
        <f t="shared" si="267"/>
        <v>0</v>
      </c>
      <c r="AC1437" s="108">
        <f>IF($A1437="",0,IF(AND($AB1437=1,COUNTIF($A$2:$A1437,$A1437)=1),1,0))</f>
        <v>0</v>
      </c>
      <c r="AD1437" s="108">
        <f t="shared" si="268"/>
        <v>1</v>
      </c>
      <c r="AE1437" s="108" t="str">
        <f t="shared" si="269"/>
        <v/>
      </c>
      <c r="AF1437" s="108">
        <f t="shared" si="270"/>
        <v>0</v>
      </c>
      <c r="AG1437" s="108">
        <f t="shared" si="271"/>
        <v>0</v>
      </c>
      <c r="AH1437" s="110" t="str">
        <f t="shared" si="272"/>
        <v/>
      </c>
      <c r="AI1437" s="108">
        <f t="shared" si="273"/>
        <v>0</v>
      </c>
      <c r="AJ1437" s="108">
        <f t="shared" si="274"/>
        <v>0</v>
      </c>
      <c r="AK1437" s="108">
        <f>IF($A1437="",0,IF(AND($S1437=1,$W1437=1,$X1437=1,$U1437&gt;Config!$C$9),1,0))</f>
        <v>0</v>
      </c>
      <c r="AL1437" s="108">
        <f t="shared" si="275"/>
        <v>0</v>
      </c>
    </row>
    <row r="1438" spans="19:38" x14ac:dyDescent="0.25">
      <c r="S1438" s="108" t="str">
        <f>IF($A1438="","",COUNTIF(BPOworkers!$B$6:$B$105,$A1438))</f>
        <v/>
      </c>
      <c r="T1438" s="109" t="str">
        <f>IF($A1438="","",$K1438*Config!$C$9)</f>
        <v/>
      </c>
      <c r="U1438" s="109" t="str">
        <f>IF($A1438="","",IF(COUNTIF(Config!$C$21:$C$23,$H1438)&gt;0,IFERROR(VALUE(LEFT(TRIM($Q1438),FIND(" ",TRIM($Q1438)&amp;" ")-1)),0),0))</f>
        <v/>
      </c>
      <c r="V1438" s="109" t="str">
        <f t="shared" si="264"/>
        <v/>
      </c>
      <c r="W1438" s="108">
        <f>IF($A1438="",0,IF(AND($C1438&gt;=Config!$C$7,$C1438&lt;=Config!$C$8),1,0))</f>
        <v>0</v>
      </c>
      <c r="X1438" s="108">
        <f>IF($A1438="",0,IF(COUNTIF(Config!$C$21:$C$23,$H1438)&gt;0,1,0))</f>
        <v>0</v>
      </c>
      <c r="Y1438" s="108">
        <f t="shared" si="265"/>
        <v>24</v>
      </c>
      <c r="Z1438" s="108" t="str">
        <f t="shared" si="266"/>
        <v/>
      </c>
      <c r="AB1438" s="108">
        <f t="shared" si="267"/>
        <v>0</v>
      </c>
      <c r="AC1438" s="108">
        <f>IF($A1438="",0,IF(AND($AB1438=1,COUNTIF($A$2:$A1438,$A1438)=1),1,0))</f>
        <v>0</v>
      </c>
      <c r="AD1438" s="108">
        <f t="shared" si="268"/>
        <v>1</v>
      </c>
      <c r="AE1438" s="108" t="str">
        <f t="shared" si="269"/>
        <v/>
      </c>
      <c r="AF1438" s="108">
        <f t="shared" si="270"/>
        <v>0</v>
      </c>
      <c r="AG1438" s="108">
        <f t="shared" si="271"/>
        <v>0</v>
      </c>
      <c r="AH1438" s="110" t="str">
        <f t="shared" si="272"/>
        <v/>
      </c>
      <c r="AI1438" s="108">
        <f t="shared" si="273"/>
        <v>0</v>
      </c>
      <c r="AJ1438" s="108">
        <f t="shared" si="274"/>
        <v>0</v>
      </c>
      <c r="AK1438" s="108">
        <f>IF($A1438="",0,IF(AND($S1438=1,$W1438=1,$X1438=1,$U1438&gt;Config!$C$9),1,0))</f>
        <v>0</v>
      </c>
      <c r="AL1438" s="108">
        <f t="shared" si="275"/>
        <v>0</v>
      </c>
    </row>
    <row r="1439" spans="19:38" x14ac:dyDescent="0.25">
      <c r="S1439" s="108" t="str">
        <f>IF($A1439="","",COUNTIF(BPOworkers!$B$6:$B$105,$A1439))</f>
        <v/>
      </c>
      <c r="T1439" s="109" t="str">
        <f>IF($A1439="","",$K1439*Config!$C$9)</f>
        <v/>
      </c>
      <c r="U1439" s="109" t="str">
        <f>IF($A1439="","",IF(COUNTIF(Config!$C$21:$C$23,$H1439)&gt;0,IFERROR(VALUE(LEFT(TRIM($Q1439),FIND(" ",TRIM($Q1439)&amp;" ")-1)),0),0))</f>
        <v/>
      </c>
      <c r="V1439" s="109" t="str">
        <f t="shared" si="264"/>
        <v/>
      </c>
      <c r="W1439" s="108">
        <f>IF($A1439="",0,IF(AND($C1439&gt;=Config!$C$7,$C1439&lt;=Config!$C$8),1,0))</f>
        <v>0</v>
      </c>
      <c r="X1439" s="108">
        <f>IF($A1439="",0,IF(COUNTIF(Config!$C$21:$C$23,$H1439)&gt;0,1,0))</f>
        <v>0</v>
      </c>
      <c r="Y1439" s="108">
        <f t="shared" si="265"/>
        <v>24</v>
      </c>
      <c r="Z1439" s="108" t="str">
        <f t="shared" si="266"/>
        <v/>
      </c>
      <c r="AB1439" s="108">
        <f t="shared" si="267"/>
        <v>0</v>
      </c>
      <c r="AC1439" s="108">
        <f>IF($A1439="",0,IF(AND($AB1439=1,COUNTIF($A$2:$A1439,$A1439)=1),1,0))</f>
        <v>0</v>
      </c>
      <c r="AD1439" s="108">
        <f t="shared" si="268"/>
        <v>1</v>
      </c>
      <c r="AE1439" s="108" t="str">
        <f t="shared" si="269"/>
        <v/>
      </c>
      <c r="AF1439" s="108">
        <f t="shared" si="270"/>
        <v>0</v>
      </c>
      <c r="AG1439" s="108">
        <f t="shared" si="271"/>
        <v>0</v>
      </c>
      <c r="AH1439" s="110" t="str">
        <f t="shared" si="272"/>
        <v/>
      </c>
      <c r="AI1439" s="108">
        <f t="shared" si="273"/>
        <v>0</v>
      </c>
      <c r="AJ1439" s="108">
        <f t="shared" si="274"/>
        <v>0</v>
      </c>
      <c r="AK1439" s="108">
        <f>IF($A1439="",0,IF(AND($S1439=1,$W1439=1,$X1439=1,$U1439&gt;Config!$C$9),1,0))</f>
        <v>0</v>
      </c>
      <c r="AL1439" s="108">
        <f t="shared" si="275"/>
        <v>0</v>
      </c>
    </row>
    <row r="1440" spans="19:38" x14ac:dyDescent="0.25">
      <c r="S1440" s="108" t="str">
        <f>IF($A1440="","",COUNTIF(BPOworkers!$B$6:$B$105,$A1440))</f>
        <v/>
      </c>
      <c r="T1440" s="109" t="str">
        <f>IF($A1440="","",$K1440*Config!$C$9)</f>
        <v/>
      </c>
      <c r="U1440" s="109" t="str">
        <f>IF($A1440="","",IF(COUNTIF(Config!$C$21:$C$23,$H1440)&gt;0,IFERROR(VALUE(LEFT(TRIM($Q1440),FIND(" ",TRIM($Q1440)&amp;" ")-1)),0),0))</f>
        <v/>
      </c>
      <c r="V1440" s="109" t="str">
        <f t="shared" si="264"/>
        <v/>
      </c>
      <c r="W1440" s="108">
        <f>IF($A1440="",0,IF(AND($C1440&gt;=Config!$C$7,$C1440&lt;=Config!$C$8),1,0))</f>
        <v>0</v>
      </c>
      <c r="X1440" s="108">
        <f>IF($A1440="",0,IF(COUNTIF(Config!$C$21:$C$23,$H1440)&gt;0,1,0))</f>
        <v>0</v>
      </c>
      <c r="Y1440" s="108">
        <f t="shared" si="265"/>
        <v>24</v>
      </c>
      <c r="Z1440" s="108" t="str">
        <f t="shared" si="266"/>
        <v/>
      </c>
      <c r="AB1440" s="108">
        <f t="shared" si="267"/>
        <v>0</v>
      </c>
      <c r="AC1440" s="108">
        <f>IF($A1440="",0,IF(AND($AB1440=1,COUNTIF($A$2:$A1440,$A1440)=1),1,0))</f>
        <v>0</v>
      </c>
      <c r="AD1440" s="108">
        <f t="shared" si="268"/>
        <v>1</v>
      </c>
      <c r="AE1440" s="108" t="str">
        <f t="shared" si="269"/>
        <v/>
      </c>
      <c r="AF1440" s="108">
        <f t="shared" si="270"/>
        <v>0</v>
      </c>
      <c r="AG1440" s="108">
        <f t="shared" si="271"/>
        <v>0</v>
      </c>
      <c r="AH1440" s="110" t="str">
        <f t="shared" si="272"/>
        <v/>
      </c>
      <c r="AI1440" s="108">
        <f t="shared" si="273"/>
        <v>0</v>
      </c>
      <c r="AJ1440" s="108">
        <f t="shared" si="274"/>
        <v>0</v>
      </c>
      <c r="AK1440" s="108">
        <f>IF($A1440="",0,IF(AND($S1440=1,$W1440=1,$X1440=1,$U1440&gt;Config!$C$9),1,0))</f>
        <v>0</v>
      </c>
      <c r="AL1440" s="108">
        <f t="shared" si="275"/>
        <v>0</v>
      </c>
    </row>
    <row r="1441" spans="19:38" x14ac:dyDescent="0.25">
      <c r="S1441" s="108" t="str">
        <f>IF($A1441="","",COUNTIF(BPOworkers!$B$6:$B$105,$A1441))</f>
        <v/>
      </c>
      <c r="T1441" s="109" t="str">
        <f>IF($A1441="","",$K1441*Config!$C$9)</f>
        <v/>
      </c>
      <c r="U1441" s="109" t="str">
        <f>IF($A1441="","",IF(COUNTIF(Config!$C$21:$C$23,$H1441)&gt;0,IFERROR(VALUE(LEFT(TRIM($Q1441),FIND(" ",TRIM($Q1441)&amp;" ")-1)),0),0))</f>
        <v/>
      </c>
      <c r="V1441" s="109" t="str">
        <f t="shared" si="264"/>
        <v/>
      </c>
      <c r="W1441" s="108">
        <f>IF($A1441="",0,IF(AND($C1441&gt;=Config!$C$7,$C1441&lt;=Config!$C$8),1,0))</f>
        <v>0</v>
      </c>
      <c r="X1441" s="108">
        <f>IF($A1441="",0,IF(COUNTIF(Config!$C$21:$C$23,$H1441)&gt;0,1,0))</f>
        <v>0</v>
      </c>
      <c r="Y1441" s="108">
        <f t="shared" si="265"/>
        <v>24</v>
      </c>
      <c r="Z1441" s="108" t="str">
        <f t="shared" si="266"/>
        <v/>
      </c>
      <c r="AB1441" s="108">
        <f t="shared" si="267"/>
        <v>0</v>
      </c>
      <c r="AC1441" s="108">
        <f>IF($A1441="",0,IF(AND($AB1441=1,COUNTIF($A$2:$A1441,$A1441)=1),1,0))</f>
        <v>0</v>
      </c>
      <c r="AD1441" s="108">
        <f t="shared" si="268"/>
        <v>1</v>
      </c>
      <c r="AE1441" s="108" t="str">
        <f t="shared" si="269"/>
        <v/>
      </c>
      <c r="AF1441" s="108">
        <f t="shared" si="270"/>
        <v>0</v>
      </c>
      <c r="AG1441" s="108">
        <f t="shared" si="271"/>
        <v>0</v>
      </c>
      <c r="AH1441" s="110" t="str">
        <f t="shared" si="272"/>
        <v/>
      </c>
      <c r="AI1441" s="108">
        <f t="shared" si="273"/>
        <v>0</v>
      </c>
      <c r="AJ1441" s="108">
        <f t="shared" si="274"/>
        <v>0</v>
      </c>
      <c r="AK1441" s="108">
        <f>IF($A1441="",0,IF(AND($S1441=1,$W1441=1,$X1441=1,$U1441&gt;Config!$C$9),1,0))</f>
        <v>0</v>
      </c>
      <c r="AL1441" s="108">
        <f t="shared" si="275"/>
        <v>0</v>
      </c>
    </row>
    <row r="1442" spans="19:38" x14ac:dyDescent="0.25">
      <c r="S1442" s="108" t="str">
        <f>IF($A1442="","",COUNTIF(BPOworkers!$B$6:$B$105,$A1442))</f>
        <v/>
      </c>
      <c r="T1442" s="109" t="str">
        <f>IF($A1442="","",$K1442*Config!$C$9)</f>
        <v/>
      </c>
      <c r="U1442" s="109" t="str">
        <f>IF($A1442="","",IF(COUNTIF(Config!$C$21:$C$23,$H1442)&gt;0,IFERROR(VALUE(LEFT(TRIM($Q1442),FIND(" ",TRIM($Q1442)&amp;" ")-1)),0),0))</f>
        <v/>
      </c>
      <c r="V1442" s="109" t="str">
        <f t="shared" si="264"/>
        <v/>
      </c>
      <c r="W1442" s="108">
        <f>IF($A1442="",0,IF(AND($C1442&gt;=Config!$C$7,$C1442&lt;=Config!$C$8),1,0))</f>
        <v>0</v>
      </c>
      <c r="X1442" s="108">
        <f>IF($A1442="",0,IF(COUNTIF(Config!$C$21:$C$23,$H1442)&gt;0,1,0))</f>
        <v>0</v>
      </c>
      <c r="Y1442" s="108">
        <f t="shared" si="265"/>
        <v>24</v>
      </c>
      <c r="Z1442" s="108" t="str">
        <f t="shared" si="266"/>
        <v/>
      </c>
      <c r="AB1442" s="108">
        <f t="shared" si="267"/>
        <v>0</v>
      </c>
      <c r="AC1442" s="108">
        <f>IF($A1442="",0,IF(AND($AB1442=1,COUNTIF($A$2:$A1442,$A1442)=1),1,0))</f>
        <v>0</v>
      </c>
      <c r="AD1442" s="108">
        <f t="shared" si="268"/>
        <v>1</v>
      </c>
      <c r="AE1442" s="108" t="str">
        <f t="shared" si="269"/>
        <v/>
      </c>
      <c r="AF1442" s="108">
        <f t="shared" si="270"/>
        <v>0</v>
      </c>
      <c r="AG1442" s="108">
        <f t="shared" si="271"/>
        <v>0</v>
      </c>
      <c r="AH1442" s="110" t="str">
        <f t="shared" si="272"/>
        <v/>
      </c>
      <c r="AI1442" s="108">
        <f t="shared" si="273"/>
        <v>0</v>
      </c>
      <c r="AJ1442" s="108">
        <f t="shared" si="274"/>
        <v>0</v>
      </c>
      <c r="AK1442" s="108">
        <f>IF($A1442="",0,IF(AND($S1442=1,$W1442=1,$X1442=1,$U1442&gt;Config!$C$9),1,0))</f>
        <v>0</v>
      </c>
      <c r="AL1442" s="108">
        <f t="shared" si="275"/>
        <v>0</v>
      </c>
    </row>
    <row r="1443" spans="19:38" x14ac:dyDescent="0.25">
      <c r="S1443" s="108" t="str">
        <f>IF($A1443="","",COUNTIF(BPOworkers!$B$6:$B$105,$A1443))</f>
        <v/>
      </c>
      <c r="T1443" s="109" t="str">
        <f>IF($A1443="","",$K1443*Config!$C$9)</f>
        <v/>
      </c>
      <c r="U1443" s="109" t="str">
        <f>IF($A1443="","",IF(COUNTIF(Config!$C$21:$C$23,$H1443)&gt;0,IFERROR(VALUE(LEFT(TRIM($Q1443),FIND(" ",TRIM($Q1443)&amp;" ")-1)),0),0))</f>
        <v/>
      </c>
      <c r="V1443" s="109" t="str">
        <f t="shared" si="264"/>
        <v/>
      </c>
      <c r="W1443" s="108">
        <f>IF($A1443="",0,IF(AND($C1443&gt;=Config!$C$7,$C1443&lt;=Config!$C$8),1,0))</f>
        <v>0</v>
      </c>
      <c r="X1443" s="108">
        <f>IF($A1443="",0,IF(COUNTIF(Config!$C$21:$C$23,$H1443)&gt;0,1,0))</f>
        <v>0</v>
      </c>
      <c r="Y1443" s="108">
        <f t="shared" si="265"/>
        <v>24</v>
      </c>
      <c r="Z1443" s="108" t="str">
        <f t="shared" si="266"/>
        <v/>
      </c>
      <c r="AB1443" s="108">
        <f t="shared" si="267"/>
        <v>0</v>
      </c>
      <c r="AC1443" s="108">
        <f>IF($A1443="",0,IF(AND($AB1443=1,COUNTIF($A$2:$A1443,$A1443)=1),1,0))</f>
        <v>0</v>
      </c>
      <c r="AD1443" s="108">
        <f t="shared" si="268"/>
        <v>1</v>
      </c>
      <c r="AE1443" s="108" t="str">
        <f t="shared" si="269"/>
        <v/>
      </c>
      <c r="AF1443" s="108">
        <f t="shared" si="270"/>
        <v>0</v>
      </c>
      <c r="AG1443" s="108">
        <f t="shared" si="271"/>
        <v>0</v>
      </c>
      <c r="AH1443" s="110" t="str">
        <f t="shared" si="272"/>
        <v/>
      </c>
      <c r="AI1443" s="108">
        <f t="shared" si="273"/>
        <v>0</v>
      </c>
      <c r="AJ1443" s="108">
        <f t="shared" si="274"/>
        <v>0</v>
      </c>
      <c r="AK1443" s="108">
        <f>IF($A1443="",0,IF(AND($S1443=1,$W1443=1,$X1443=1,$U1443&gt;Config!$C$9),1,0))</f>
        <v>0</v>
      </c>
      <c r="AL1443" s="108">
        <f t="shared" si="275"/>
        <v>0</v>
      </c>
    </row>
    <row r="1444" spans="19:38" x14ac:dyDescent="0.25">
      <c r="S1444" s="108" t="str">
        <f>IF($A1444="","",COUNTIF(BPOworkers!$B$6:$B$105,$A1444))</f>
        <v/>
      </c>
      <c r="T1444" s="109" t="str">
        <f>IF($A1444="","",$K1444*Config!$C$9)</f>
        <v/>
      </c>
      <c r="U1444" s="109" t="str">
        <f>IF($A1444="","",IF(COUNTIF(Config!$C$21:$C$23,$H1444)&gt;0,IFERROR(VALUE(LEFT(TRIM($Q1444),FIND(" ",TRIM($Q1444)&amp;" ")-1)),0),0))</f>
        <v/>
      </c>
      <c r="V1444" s="109" t="str">
        <f t="shared" si="264"/>
        <v/>
      </c>
      <c r="W1444" s="108">
        <f>IF($A1444="",0,IF(AND($C1444&gt;=Config!$C$7,$C1444&lt;=Config!$C$8),1,0))</f>
        <v>0</v>
      </c>
      <c r="X1444" s="108">
        <f>IF($A1444="",0,IF(COUNTIF(Config!$C$21:$C$23,$H1444)&gt;0,1,0))</f>
        <v>0</v>
      </c>
      <c r="Y1444" s="108">
        <f t="shared" si="265"/>
        <v>24</v>
      </c>
      <c r="Z1444" s="108" t="str">
        <f t="shared" si="266"/>
        <v/>
      </c>
      <c r="AB1444" s="108">
        <f t="shared" si="267"/>
        <v>0</v>
      </c>
      <c r="AC1444" s="108">
        <f>IF($A1444="",0,IF(AND($AB1444=1,COUNTIF($A$2:$A1444,$A1444)=1),1,0))</f>
        <v>0</v>
      </c>
      <c r="AD1444" s="108">
        <f t="shared" si="268"/>
        <v>1</v>
      </c>
      <c r="AE1444" s="108" t="str">
        <f t="shared" si="269"/>
        <v/>
      </c>
      <c r="AF1444" s="108">
        <f t="shared" si="270"/>
        <v>0</v>
      </c>
      <c r="AG1444" s="108">
        <f t="shared" si="271"/>
        <v>0</v>
      </c>
      <c r="AH1444" s="110" t="str">
        <f t="shared" si="272"/>
        <v/>
      </c>
      <c r="AI1444" s="108">
        <f t="shared" si="273"/>
        <v>0</v>
      </c>
      <c r="AJ1444" s="108">
        <f t="shared" si="274"/>
        <v>0</v>
      </c>
      <c r="AK1444" s="108">
        <f>IF($A1444="",0,IF(AND($S1444=1,$W1444=1,$X1444=1,$U1444&gt;Config!$C$9),1,0))</f>
        <v>0</v>
      </c>
      <c r="AL1444" s="108">
        <f t="shared" si="275"/>
        <v>0</v>
      </c>
    </row>
    <row r="1445" spans="19:38" x14ac:dyDescent="0.25">
      <c r="S1445" s="108" t="str">
        <f>IF($A1445="","",COUNTIF(BPOworkers!$B$6:$B$105,$A1445))</f>
        <v/>
      </c>
      <c r="T1445" s="109" t="str">
        <f>IF($A1445="","",$K1445*Config!$C$9)</f>
        <v/>
      </c>
      <c r="U1445" s="109" t="str">
        <f>IF($A1445="","",IF(COUNTIF(Config!$C$21:$C$23,$H1445)&gt;0,IFERROR(VALUE(LEFT(TRIM($Q1445),FIND(" ",TRIM($Q1445)&amp;" ")-1)),0),0))</f>
        <v/>
      </c>
      <c r="V1445" s="109" t="str">
        <f t="shared" si="264"/>
        <v/>
      </c>
      <c r="W1445" s="108">
        <f>IF($A1445="",0,IF(AND($C1445&gt;=Config!$C$7,$C1445&lt;=Config!$C$8),1,0))</f>
        <v>0</v>
      </c>
      <c r="X1445" s="108">
        <f>IF($A1445="",0,IF(COUNTIF(Config!$C$21:$C$23,$H1445)&gt;0,1,0))</f>
        <v>0</v>
      </c>
      <c r="Y1445" s="108">
        <f t="shared" si="265"/>
        <v>24</v>
      </c>
      <c r="Z1445" s="108" t="str">
        <f t="shared" si="266"/>
        <v/>
      </c>
      <c r="AB1445" s="108">
        <f t="shared" si="267"/>
        <v>0</v>
      </c>
      <c r="AC1445" s="108">
        <f>IF($A1445="",0,IF(AND($AB1445=1,COUNTIF($A$2:$A1445,$A1445)=1),1,0))</f>
        <v>0</v>
      </c>
      <c r="AD1445" s="108">
        <f t="shared" si="268"/>
        <v>1</v>
      </c>
      <c r="AE1445" s="108" t="str">
        <f t="shared" si="269"/>
        <v/>
      </c>
      <c r="AF1445" s="108">
        <f t="shared" si="270"/>
        <v>0</v>
      </c>
      <c r="AG1445" s="108">
        <f t="shared" si="271"/>
        <v>0</v>
      </c>
      <c r="AH1445" s="110" t="str">
        <f t="shared" si="272"/>
        <v/>
      </c>
      <c r="AI1445" s="108">
        <f t="shared" si="273"/>
        <v>0</v>
      </c>
      <c r="AJ1445" s="108">
        <f t="shared" si="274"/>
        <v>0</v>
      </c>
      <c r="AK1445" s="108">
        <f>IF($A1445="",0,IF(AND($S1445=1,$W1445=1,$X1445=1,$U1445&gt;Config!$C$9),1,0))</f>
        <v>0</v>
      </c>
      <c r="AL1445" s="108">
        <f t="shared" si="275"/>
        <v>0</v>
      </c>
    </row>
    <row r="1446" spans="19:38" x14ac:dyDescent="0.25">
      <c r="S1446" s="108" t="str">
        <f>IF($A1446="","",COUNTIF(BPOworkers!$B$6:$B$105,$A1446))</f>
        <v/>
      </c>
      <c r="T1446" s="109" t="str">
        <f>IF($A1446="","",$K1446*Config!$C$9)</f>
        <v/>
      </c>
      <c r="U1446" s="109" t="str">
        <f>IF($A1446="","",IF(COUNTIF(Config!$C$21:$C$23,$H1446)&gt;0,IFERROR(VALUE(LEFT(TRIM($Q1446),FIND(" ",TRIM($Q1446)&amp;" ")-1)),0),0))</f>
        <v/>
      </c>
      <c r="V1446" s="109" t="str">
        <f t="shared" si="264"/>
        <v/>
      </c>
      <c r="W1446" s="108">
        <f>IF($A1446="",0,IF(AND($C1446&gt;=Config!$C$7,$C1446&lt;=Config!$C$8),1,0))</f>
        <v>0</v>
      </c>
      <c r="X1446" s="108">
        <f>IF($A1446="",0,IF(COUNTIF(Config!$C$21:$C$23,$H1446)&gt;0,1,0))</f>
        <v>0</v>
      </c>
      <c r="Y1446" s="108">
        <f t="shared" si="265"/>
        <v>24</v>
      </c>
      <c r="Z1446" s="108" t="str">
        <f t="shared" si="266"/>
        <v/>
      </c>
      <c r="AB1446" s="108">
        <f t="shared" si="267"/>
        <v>0</v>
      </c>
      <c r="AC1446" s="108">
        <f>IF($A1446="",0,IF(AND($AB1446=1,COUNTIF($A$2:$A1446,$A1446)=1),1,0))</f>
        <v>0</v>
      </c>
      <c r="AD1446" s="108">
        <f t="shared" si="268"/>
        <v>1</v>
      </c>
      <c r="AE1446" s="108" t="str">
        <f t="shared" si="269"/>
        <v/>
      </c>
      <c r="AF1446" s="108">
        <f t="shared" si="270"/>
        <v>0</v>
      </c>
      <c r="AG1446" s="108">
        <f t="shared" si="271"/>
        <v>0</v>
      </c>
      <c r="AH1446" s="110" t="str">
        <f t="shared" si="272"/>
        <v/>
      </c>
      <c r="AI1446" s="108">
        <f t="shared" si="273"/>
        <v>0</v>
      </c>
      <c r="AJ1446" s="108">
        <f t="shared" si="274"/>
        <v>0</v>
      </c>
      <c r="AK1446" s="108">
        <f>IF($A1446="",0,IF(AND($S1446=1,$W1446=1,$X1446=1,$U1446&gt;Config!$C$9),1,0))</f>
        <v>0</v>
      </c>
      <c r="AL1446" s="108">
        <f t="shared" si="275"/>
        <v>0</v>
      </c>
    </row>
    <row r="1447" spans="19:38" x14ac:dyDescent="0.25">
      <c r="S1447" s="108" t="str">
        <f>IF($A1447="","",COUNTIF(BPOworkers!$B$6:$B$105,$A1447))</f>
        <v/>
      </c>
      <c r="T1447" s="109" t="str">
        <f>IF($A1447="","",$K1447*Config!$C$9)</f>
        <v/>
      </c>
      <c r="U1447" s="109" t="str">
        <f>IF($A1447="","",IF(COUNTIF(Config!$C$21:$C$23,$H1447)&gt;0,IFERROR(VALUE(LEFT(TRIM($Q1447),FIND(" ",TRIM($Q1447)&amp;" ")-1)),0),0))</f>
        <v/>
      </c>
      <c r="V1447" s="109" t="str">
        <f t="shared" si="264"/>
        <v/>
      </c>
      <c r="W1447" s="108">
        <f>IF($A1447="",0,IF(AND($C1447&gt;=Config!$C$7,$C1447&lt;=Config!$C$8),1,0))</f>
        <v>0</v>
      </c>
      <c r="X1447" s="108">
        <f>IF($A1447="",0,IF(COUNTIF(Config!$C$21:$C$23,$H1447)&gt;0,1,0))</f>
        <v>0</v>
      </c>
      <c r="Y1447" s="108">
        <f t="shared" si="265"/>
        <v>24</v>
      </c>
      <c r="Z1447" s="108" t="str">
        <f t="shared" si="266"/>
        <v/>
      </c>
      <c r="AB1447" s="108">
        <f t="shared" si="267"/>
        <v>0</v>
      </c>
      <c r="AC1447" s="108">
        <f>IF($A1447="",0,IF(AND($AB1447=1,COUNTIF($A$2:$A1447,$A1447)=1),1,0))</f>
        <v>0</v>
      </c>
      <c r="AD1447" s="108">
        <f t="shared" si="268"/>
        <v>1</v>
      </c>
      <c r="AE1447" s="108" t="str">
        <f t="shared" si="269"/>
        <v/>
      </c>
      <c r="AF1447" s="108">
        <f t="shared" si="270"/>
        <v>0</v>
      </c>
      <c r="AG1447" s="108">
        <f t="shared" si="271"/>
        <v>0</v>
      </c>
      <c r="AH1447" s="110" t="str">
        <f t="shared" si="272"/>
        <v/>
      </c>
      <c r="AI1447" s="108">
        <f t="shared" si="273"/>
        <v>0</v>
      </c>
      <c r="AJ1447" s="108">
        <f t="shared" si="274"/>
        <v>0</v>
      </c>
      <c r="AK1447" s="108">
        <f>IF($A1447="",0,IF(AND($S1447=1,$W1447=1,$X1447=1,$U1447&gt;Config!$C$9),1,0))</f>
        <v>0</v>
      </c>
      <c r="AL1447" s="108">
        <f t="shared" si="275"/>
        <v>0</v>
      </c>
    </row>
    <row r="1448" spans="19:38" x14ac:dyDescent="0.25">
      <c r="S1448" s="108" t="str">
        <f>IF($A1448="","",COUNTIF(BPOworkers!$B$6:$B$105,$A1448))</f>
        <v/>
      </c>
      <c r="T1448" s="109" t="str">
        <f>IF($A1448="","",$K1448*Config!$C$9)</f>
        <v/>
      </c>
      <c r="U1448" s="109" t="str">
        <f>IF($A1448="","",IF(COUNTIF(Config!$C$21:$C$23,$H1448)&gt;0,IFERROR(VALUE(LEFT(TRIM($Q1448),FIND(" ",TRIM($Q1448)&amp;" ")-1)),0),0))</f>
        <v/>
      </c>
      <c r="V1448" s="109" t="str">
        <f t="shared" si="264"/>
        <v/>
      </c>
      <c r="W1448" s="108">
        <f>IF($A1448="",0,IF(AND($C1448&gt;=Config!$C$7,$C1448&lt;=Config!$C$8),1,0))</f>
        <v>0</v>
      </c>
      <c r="X1448" s="108">
        <f>IF($A1448="",0,IF(COUNTIF(Config!$C$21:$C$23,$H1448)&gt;0,1,0))</f>
        <v>0</v>
      </c>
      <c r="Y1448" s="108">
        <f t="shared" si="265"/>
        <v>24</v>
      </c>
      <c r="Z1448" s="108" t="str">
        <f t="shared" si="266"/>
        <v/>
      </c>
      <c r="AB1448" s="108">
        <f t="shared" si="267"/>
        <v>0</v>
      </c>
      <c r="AC1448" s="108">
        <f>IF($A1448="",0,IF(AND($AB1448=1,COUNTIF($A$2:$A1448,$A1448)=1),1,0))</f>
        <v>0</v>
      </c>
      <c r="AD1448" s="108">
        <f t="shared" si="268"/>
        <v>1</v>
      </c>
      <c r="AE1448" s="108" t="str">
        <f t="shared" si="269"/>
        <v/>
      </c>
      <c r="AF1448" s="108">
        <f t="shared" si="270"/>
        <v>0</v>
      </c>
      <c r="AG1448" s="108">
        <f t="shared" si="271"/>
        <v>0</v>
      </c>
      <c r="AH1448" s="110" t="str">
        <f t="shared" si="272"/>
        <v/>
      </c>
      <c r="AI1448" s="108">
        <f t="shared" si="273"/>
        <v>0</v>
      </c>
      <c r="AJ1448" s="108">
        <f t="shared" si="274"/>
        <v>0</v>
      </c>
      <c r="AK1448" s="108">
        <f>IF($A1448="",0,IF(AND($S1448=1,$W1448=1,$X1448=1,$U1448&gt;Config!$C$9),1,0))</f>
        <v>0</v>
      </c>
      <c r="AL1448" s="108">
        <f t="shared" si="275"/>
        <v>0</v>
      </c>
    </row>
    <row r="1449" spans="19:38" x14ac:dyDescent="0.25">
      <c r="S1449" s="108" t="str">
        <f>IF($A1449="","",COUNTIF(BPOworkers!$B$6:$B$105,$A1449))</f>
        <v/>
      </c>
      <c r="T1449" s="109" t="str">
        <f>IF($A1449="","",$K1449*Config!$C$9)</f>
        <v/>
      </c>
      <c r="U1449" s="109" t="str">
        <f>IF($A1449="","",IF(COUNTIF(Config!$C$21:$C$23,$H1449)&gt;0,IFERROR(VALUE(LEFT(TRIM($Q1449),FIND(" ",TRIM($Q1449)&amp;" ")-1)),0),0))</f>
        <v/>
      </c>
      <c r="V1449" s="109" t="str">
        <f t="shared" si="264"/>
        <v/>
      </c>
      <c r="W1449" s="108">
        <f>IF($A1449="",0,IF(AND($C1449&gt;=Config!$C$7,$C1449&lt;=Config!$C$8),1,0))</f>
        <v>0</v>
      </c>
      <c r="X1449" s="108">
        <f>IF($A1449="",0,IF(COUNTIF(Config!$C$21:$C$23,$H1449)&gt;0,1,0))</f>
        <v>0</v>
      </c>
      <c r="Y1449" s="108">
        <f t="shared" si="265"/>
        <v>24</v>
      </c>
      <c r="Z1449" s="108" t="str">
        <f t="shared" si="266"/>
        <v/>
      </c>
      <c r="AB1449" s="108">
        <f t="shared" si="267"/>
        <v>0</v>
      </c>
      <c r="AC1449" s="108">
        <f>IF($A1449="",0,IF(AND($AB1449=1,COUNTIF($A$2:$A1449,$A1449)=1),1,0))</f>
        <v>0</v>
      </c>
      <c r="AD1449" s="108">
        <f t="shared" si="268"/>
        <v>1</v>
      </c>
      <c r="AE1449" s="108" t="str">
        <f t="shared" si="269"/>
        <v/>
      </c>
      <c r="AF1449" s="108">
        <f t="shared" si="270"/>
        <v>0</v>
      </c>
      <c r="AG1449" s="108">
        <f t="shared" si="271"/>
        <v>0</v>
      </c>
      <c r="AH1449" s="110" t="str">
        <f t="shared" si="272"/>
        <v/>
      </c>
      <c r="AI1449" s="108">
        <f t="shared" si="273"/>
        <v>0</v>
      </c>
      <c r="AJ1449" s="108">
        <f t="shared" si="274"/>
        <v>0</v>
      </c>
      <c r="AK1449" s="108">
        <f>IF($A1449="",0,IF(AND($S1449=1,$W1449=1,$X1449=1,$U1449&gt;Config!$C$9),1,0))</f>
        <v>0</v>
      </c>
      <c r="AL1449" s="108">
        <f t="shared" si="275"/>
        <v>0</v>
      </c>
    </row>
    <row r="1450" spans="19:38" x14ac:dyDescent="0.25">
      <c r="S1450" s="108" t="str">
        <f>IF($A1450="","",COUNTIF(BPOworkers!$B$6:$B$105,$A1450))</f>
        <v/>
      </c>
      <c r="T1450" s="109" t="str">
        <f>IF($A1450="","",$K1450*Config!$C$9)</f>
        <v/>
      </c>
      <c r="U1450" s="109" t="str">
        <f>IF($A1450="","",IF(COUNTIF(Config!$C$21:$C$23,$H1450)&gt;0,IFERROR(VALUE(LEFT(TRIM($Q1450),FIND(" ",TRIM($Q1450)&amp;" ")-1)),0),0))</f>
        <v/>
      </c>
      <c r="V1450" s="109" t="str">
        <f t="shared" si="264"/>
        <v/>
      </c>
      <c r="W1450" s="108">
        <f>IF($A1450="",0,IF(AND($C1450&gt;=Config!$C$7,$C1450&lt;=Config!$C$8),1,0))</f>
        <v>0</v>
      </c>
      <c r="X1450" s="108">
        <f>IF($A1450="",0,IF(COUNTIF(Config!$C$21:$C$23,$H1450)&gt;0,1,0))</f>
        <v>0</v>
      </c>
      <c r="Y1450" s="108">
        <f t="shared" si="265"/>
        <v>24</v>
      </c>
      <c r="Z1450" s="108" t="str">
        <f t="shared" si="266"/>
        <v/>
      </c>
      <c r="AB1450" s="108">
        <f t="shared" si="267"/>
        <v>0</v>
      </c>
      <c r="AC1450" s="108">
        <f>IF($A1450="",0,IF(AND($AB1450=1,COUNTIF($A$2:$A1450,$A1450)=1),1,0))</f>
        <v>0</v>
      </c>
      <c r="AD1450" s="108">
        <f t="shared" si="268"/>
        <v>1</v>
      </c>
      <c r="AE1450" s="108" t="str">
        <f t="shared" si="269"/>
        <v/>
      </c>
      <c r="AF1450" s="108">
        <f t="shared" si="270"/>
        <v>0</v>
      </c>
      <c r="AG1450" s="108">
        <f t="shared" si="271"/>
        <v>0</v>
      </c>
      <c r="AH1450" s="110" t="str">
        <f t="shared" si="272"/>
        <v/>
      </c>
      <c r="AI1450" s="108">
        <f t="shared" si="273"/>
        <v>0</v>
      </c>
      <c r="AJ1450" s="108">
        <f t="shared" si="274"/>
        <v>0</v>
      </c>
      <c r="AK1450" s="108">
        <f>IF($A1450="",0,IF(AND($S1450=1,$W1450=1,$X1450=1,$U1450&gt;Config!$C$9),1,0))</f>
        <v>0</v>
      </c>
      <c r="AL1450" s="108">
        <f t="shared" si="275"/>
        <v>0</v>
      </c>
    </row>
    <row r="1451" spans="19:38" x14ac:dyDescent="0.25">
      <c r="S1451" s="108" t="str">
        <f>IF($A1451="","",COUNTIF(BPOworkers!$B$6:$B$105,$A1451))</f>
        <v/>
      </c>
      <c r="T1451" s="109" t="str">
        <f>IF($A1451="","",$K1451*Config!$C$9)</f>
        <v/>
      </c>
      <c r="U1451" s="109" t="str">
        <f>IF($A1451="","",IF(COUNTIF(Config!$C$21:$C$23,$H1451)&gt;0,IFERROR(VALUE(LEFT(TRIM($Q1451),FIND(" ",TRIM($Q1451)&amp;" ")-1)),0),0))</f>
        <v/>
      </c>
      <c r="V1451" s="109" t="str">
        <f t="shared" si="264"/>
        <v/>
      </c>
      <c r="W1451" s="108">
        <f>IF($A1451="",0,IF(AND($C1451&gt;=Config!$C$7,$C1451&lt;=Config!$C$8),1,0))</f>
        <v>0</v>
      </c>
      <c r="X1451" s="108">
        <f>IF($A1451="",0,IF(COUNTIF(Config!$C$21:$C$23,$H1451)&gt;0,1,0))</f>
        <v>0</v>
      </c>
      <c r="Y1451" s="108">
        <f t="shared" si="265"/>
        <v>24</v>
      </c>
      <c r="Z1451" s="108" t="str">
        <f t="shared" si="266"/>
        <v/>
      </c>
      <c r="AB1451" s="108">
        <f t="shared" si="267"/>
        <v>0</v>
      </c>
      <c r="AC1451" s="108">
        <f>IF($A1451="",0,IF(AND($AB1451=1,COUNTIF($A$2:$A1451,$A1451)=1),1,0))</f>
        <v>0</v>
      </c>
      <c r="AD1451" s="108">
        <f t="shared" si="268"/>
        <v>1</v>
      </c>
      <c r="AE1451" s="108" t="str">
        <f t="shared" si="269"/>
        <v/>
      </c>
      <c r="AF1451" s="108">
        <f t="shared" si="270"/>
        <v>0</v>
      </c>
      <c r="AG1451" s="108">
        <f t="shared" si="271"/>
        <v>0</v>
      </c>
      <c r="AH1451" s="110" t="str">
        <f t="shared" si="272"/>
        <v/>
      </c>
      <c r="AI1451" s="108">
        <f t="shared" si="273"/>
        <v>0</v>
      </c>
      <c r="AJ1451" s="108">
        <f t="shared" si="274"/>
        <v>0</v>
      </c>
      <c r="AK1451" s="108">
        <f>IF($A1451="",0,IF(AND($S1451=1,$W1451=1,$X1451=1,$U1451&gt;Config!$C$9),1,0))</f>
        <v>0</v>
      </c>
      <c r="AL1451" s="108">
        <f t="shared" si="275"/>
        <v>0</v>
      </c>
    </row>
    <row r="1452" spans="19:38" x14ac:dyDescent="0.25">
      <c r="S1452" s="108" t="str">
        <f>IF($A1452="","",COUNTIF(BPOworkers!$B$6:$B$105,$A1452))</f>
        <v/>
      </c>
      <c r="T1452" s="109" t="str">
        <f>IF($A1452="","",$K1452*Config!$C$9)</f>
        <v/>
      </c>
      <c r="U1452" s="109" t="str">
        <f>IF($A1452="","",IF(COUNTIF(Config!$C$21:$C$23,$H1452)&gt;0,IFERROR(VALUE(LEFT(TRIM($Q1452),FIND(" ",TRIM($Q1452)&amp;" ")-1)),0),0))</f>
        <v/>
      </c>
      <c r="V1452" s="109" t="str">
        <f t="shared" si="264"/>
        <v/>
      </c>
      <c r="W1452" s="108">
        <f>IF($A1452="",0,IF(AND($C1452&gt;=Config!$C$7,$C1452&lt;=Config!$C$8),1,0))</f>
        <v>0</v>
      </c>
      <c r="X1452" s="108">
        <f>IF($A1452="",0,IF(COUNTIF(Config!$C$21:$C$23,$H1452)&gt;0,1,0))</f>
        <v>0</v>
      </c>
      <c r="Y1452" s="108">
        <f t="shared" si="265"/>
        <v>24</v>
      </c>
      <c r="Z1452" s="108" t="str">
        <f t="shared" si="266"/>
        <v/>
      </c>
      <c r="AB1452" s="108">
        <f t="shared" si="267"/>
        <v>0</v>
      </c>
      <c r="AC1452" s="108">
        <f>IF($A1452="",0,IF(AND($AB1452=1,COUNTIF($A$2:$A1452,$A1452)=1),1,0))</f>
        <v>0</v>
      </c>
      <c r="AD1452" s="108">
        <f t="shared" si="268"/>
        <v>1</v>
      </c>
      <c r="AE1452" s="108" t="str">
        <f t="shared" si="269"/>
        <v/>
      </c>
      <c r="AF1452" s="108">
        <f t="shared" si="270"/>
        <v>0</v>
      </c>
      <c r="AG1452" s="108">
        <f t="shared" si="271"/>
        <v>0</v>
      </c>
      <c r="AH1452" s="110" t="str">
        <f t="shared" si="272"/>
        <v/>
      </c>
      <c r="AI1452" s="108">
        <f t="shared" si="273"/>
        <v>0</v>
      </c>
      <c r="AJ1452" s="108">
        <f t="shared" si="274"/>
        <v>0</v>
      </c>
      <c r="AK1452" s="108">
        <f>IF($A1452="",0,IF(AND($S1452=1,$W1452=1,$X1452=1,$U1452&gt;Config!$C$9),1,0))</f>
        <v>0</v>
      </c>
      <c r="AL1452" s="108">
        <f t="shared" si="275"/>
        <v>0</v>
      </c>
    </row>
    <row r="1453" spans="19:38" x14ac:dyDescent="0.25">
      <c r="S1453" s="108" t="str">
        <f>IF($A1453="","",COUNTIF(BPOworkers!$B$6:$B$105,$A1453))</f>
        <v/>
      </c>
      <c r="T1453" s="109" t="str">
        <f>IF($A1453="","",$K1453*Config!$C$9)</f>
        <v/>
      </c>
      <c r="U1453" s="109" t="str">
        <f>IF($A1453="","",IF(COUNTIF(Config!$C$21:$C$23,$H1453)&gt;0,IFERROR(VALUE(LEFT(TRIM($Q1453),FIND(" ",TRIM($Q1453)&amp;" ")-1)),0),0))</f>
        <v/>
      </c>
      <c r="V1453" s="109" t="str">
        <f t="shared" si="264"/>
        <v/>
      </c>
      <c r="W1453" s="108">
        <f>IF($A1453="",0,IF(AND($C1453&gt;=Config!$C$7,$C1453&lt;=Config!$C$8),1,0))</f>
        <v>0</v>
      </c>
      <c r="X1453" s="108">
        <f>IF($A1453="",0,IF(COUNTIF(Config!$C$21:$C$23,$H1453)&gt;0,1,0))</f>
        <v>0</v>
      </c>
      <c r="Y1453" s="108">
        <f t="shared" si="265"/>
        <v>24</v>
      </c>
      <c r="Z1453" s="108" t="str">
        <f t="shared" si="266"/>
        <v/>
      </c>
      <c r="AB1453" s="108">
        <f t="shared" si="267"/>
        <v>0</v>
      </c>
      <c r="AC1453" s="108">
        <f>IF($A1453="",0,IF(AND($AB1453=1,COUNTIF($A$2:$A1453,$A1453)=1),1,0))</f>
        <v>0</v>
      </c>
      <c r="AD1453" s="108">
        <f t="shared" si="268"/>
        <v>1</v>
      </c>
      <c r="AE1453" s="108" t="str">
        <f t="shared" si="269"/>
        <v/>
      </c>
      <c r="AF1453" s="108">
        <f t="shared" si="270"/>
        <v>0</v>
      </c>
      <c r="AG1453" s="108">
        <f t="shared" si="271"/>
        <v>0</v>
      </c>
      <c r="AH1453" s="110" t="str">
        <f t="shared" si="272"/>
        <v/>
      </c>
      <c r="AI1453" s="108">
        <f t="shared" si="273"/>
        <v>0</v>
      </c>
      <c r="AJ1453" s="108">
        <f t="shared" si="274"/>
        <v>0</v>
      </c>
      <c r="AK1453" s="108">
        <f>IF($A1453="",0,IF(AND($S1453=1,$W1453=1,$X1453=1,$U1453&gt;Config!$C$9),1,0))</f>
        <v>0</v>
      </c>
      <c r="AL1453" s="108">
        <f t="shared" si="275"/>
        <v>0</v>
      </c>
    </row>
    <row r="1454" spans="19:38" x14ac:dyDescent="0.25">
      <c r="S1454" s="108" t="str">
        <f>IF($A1454="","",COUNTIF(BPOworkers!$B$6:$B$105,$A1454))</f>
        <v/>
      </c>
      <c r="T1454" s="109" t="str">
        <f>IF($A1454="","",$K1454*Config!$C$9)</f>
        <v/>
      </c>
      <c r="U1454" s="109" t="str">
        <f>IF($A1454="","",IF(COUNTIF(Config!$C$21:$C$23,$H1454)&gt;0,IFERROR(VALUE(LEFT(TRIM($Q1454),FIND(" ",TRIM($Q1454)&amp;" ")-1)),0),0))</f>
        <v/>
      </c>
      <c r="V1454" s="109" t="str">
        <f t="shared" si="264"/>
        <v/>
      </c>
      <c r="W1454" s="108">
        <f>IF($A1454="",0,IF(AND($C1454&gt;=Config!$C$7,$C1454&lt;=Config!$C$8),1,0))</f>
        <v>0</v>
      </c>
      <c r="X1454" s="108">
        <f>IF($A1454="",0,IF(COUNTIF(Config!$C$21:$C$23,$H1454)&gt;0,1,0))</f>
        <v>0</v>
      </c>
      <c r="Y1454" s="108">
        <f t="shared" si="265"/>
        <v>24</v>
      </c>
      <c r="Z1454" s="108" t="str">
        <f t="shared" si="266"/>
        <v/>
      </c>
      <c r="AB1454" s="108">
        <f t="shared" si="267"/>
        <v>0</v>
      </c>
      <c r="AC1454" s="108">
        <f>IF($A1454="",0,IF(AND($AB1454=1,COUNTIF($A$2:$A1454,$A1454)=1),1,0))</f>
        <v>0</v>
      </c>
      <c r="AD1454" s="108">
        <f t="shared" si="268"/>
        <v>1</v>
      </c>
      <c r="AE1454" s="108" t="str">
        <f t="shared" si="269"/>
        <v/>
      </c>
      <c r="AF1454" s="108">
        <f t="shared" si="270"/>
        <v>0</v>
      </c>
      <c r="AG1454" s="108">
        <f t="shared" si="271"/>
        <v>0</v>
      </c>
      <c r="AH1454" s="110" t="str">
        <f t="shared" si="272"/>
        <v/>
      </c>
      <c r="AI1454" s="108">
        <f t="shared" si="273"/>
        <v>0</v>
      </c>
      <c r="AJ1454" s="108">
        <f t="shared" si="274"/>
        <v>0</v>
      </c>
      <c r="AK1454" s="108">
        <f>IF($A1454="",0,IF(AND($S1454=1,$W1454=1,$X1454=1,$U1454&gt;Config!$C$9),1,0))</f>
        <v>0</v>
      </c>
      <c r="AL1454" s="108">
        <f t="shared" si="275"/>
        <v>0</v>
      </c>
    </row>
    <row r="1455" spans="19:38" x14ac:dyDescent="0.25">
      <c r="S1455" s="108" t="str">
        <f>IF($A1455="","",COUNTIF(BPOworkers!$B$6:$B$105,$A1455))</f>
        <v/>
      </c>
      <c r="T1455" s="109" t="str">
        <f>IF($A1455="","",$K1455*Config!$C$9)</f>
        <v/>
      </c>
      <c r="U1455" s="109" t="str">
        <f>IF($A1455="","",IF(COUNTIF(Config!$C$21:$C$23,$H1455)&gt;0,IFERROR(VALUE(LEFT(TRIM($Q1455),FIND(" ",TRIM($Q1455)&amp;" ")-1)),0),0))</f>
        <v/>
      </c>
      <c r="V1455" s="109" t="str">
        <f t="shared" si="264"/>
        <v/>
      </c>
      <c r="W1455" s="108">
        <f>IF($A1455="",0,IF(AND($C1455&gt;=Config!$C$7,$C1455&lt;=Config!$C$8),1,0))</f>
        <v>0</v>
      </c>
      <c r="X1455" s="108">
        <f>IF($A1455="",0,IF(COUNTIF(Config!$C$21:$C$23,$H1455)&gt;0,1,0))</f>
        <v>0</v>
      </c>
      <c r="Y1455" s="108">
        <f t="shared" si="265"/>
        <v>24</v>
      </c>
      <c r="Z1455" s="108" t="str">
        <f t="shared" si="266"/>
        <v/>
      </c>
      <c r="AB1455" s="108">
        <f t="shared" si="267"/>
        <v>0</v>
      </c>
      <c r="AC1455" s="108">
        <f>IF($A1455="",0,IF(AND($AB1455=1,COUNTIF($A$2:$A1455,$A1455)=1),1,0))</f>
        <v>0</v>
      </c>
      <c r="AD1455" s="108">
        <f t="shared" si="268"/>
        <v>1</v>
      </c>
      <c r="AE1455" s="108" t="str">
        <f t="shared" si="269"/>
        <v/>
      </c>
      <c r="AF1455" s="108">
        <f t="shared" si="270"/>
        <v>0</v>
      </c>
      <c r="AG1455" s="108">
        <f t="shared" si="271"/>
        <v>0</v>
      </c>
      <c r="AH1455" s="110" t="str">
        <f t="shared" si="272"/>
        <v/>
      </c>
      <c r="AI1455" s="108">
        <f t="shared" si="273"/>
        <v>0</v>
      </c>
      <c r="AJ1455" s="108">
        <f t="shared" si="274"/>
        <v>0</v>
      </c>
      <c r="AK1455" s="108">
        <f>IF($A1455="",0,IF(AND($S1455=1,$W1455=1,$X1455=1,$U1455&gt;Config!$C$9),1,0))</f>
        <v>0</v>
      </c>
      <c r="AL1455" s="108">
        <f t="shared" si="275"/>
        <v>0</v>
      </c>
    </row>
    <row r="1456" spans="19:38" x14ac:dyDescent="0.25">
      <c r="S1456" s="108" t="str">
        <f>IF($A1456="","",COUNTIF(BPOworkers!$B$6:$B$105,$A1456))</f>
        <v/>
      </c>
      <c r="T1456" s="109" t="str">
        <f>IF($A1456="","",$K1456*Config!$C$9)</f>
        <v/>
      </c>
      <c r="U1456" s="109" t="str">
        <f>IF($A1456="","",IF(COUNTIF(Config!$C$21:$C$23,$H1456)&gt;0,IFERROR(VALUE(LEFT(TRIM($Q1456),FIND(" ",TRIM($Q1456)&amp;" ")-1)),0),0))</f>
        <v/>
      </c>
      <c r="V1456" s="109" t="str">
        <f t="shared" si="264"/>
        <v/>
      </c>
      <c r="W1456" s="108">
        <f>IF($A1456="",0,IF(AND($C1456&gt;=Config!$C$7,$C1456&lt;=Config!$C$8),1,0))</f>
        <v>0</v>
      </c>
      <c r="X1456" s="108">
        <f>IF($A1456="",0,IF(COUNTIF(Config!$C$21:$C$23,$H1456)&gt;0,1,0))</f>
        <v>0</v>
      </c>
      <c r="Y1456" s="108">
        <f t="shared" si="265"/>
        <v>24</v>
      </c>
      <c r="Z1456" s="108" t="str">
        <f t="shared" si="266"/>
        <v/>
      </c>
      <c r="AB1456" s="108">
        <f t="shared" si="267"/>
        <v>0</v>
      </c>
      <c r="AC1456" s="108">
        <f>IF($A1456="",0,IF(AND($AB1456=1,COUNTIF($A$2:$A1456,$A1456)=1),1,0))</f>
        <v>0</v>
      </c>
      <c r="AD1456" s="108">
        <f t="shared" si="268"/>
        <v>1</v>
      </c>
      <c r="AE1456" s="108" t="str">
        <f t="shared" si="269"/>
        <v/>
      </c>
      <c r="AF1456" s="108">
        <f t="shared" si="270"/>
        <v>0</v>
      </c>
      <c r="AG1456" s="108">
        <f t="shared" si="271"/>
        <v>0</v>
      </c>
      <c r="AH1456" s="110" t="str">
        <f t="shared" si="272"/>
        <v/>
      </c>
      <c r="AI1456" s="108">
        <f t="shared" si="273"/>
        <v>0</v>
      </c>
      <c r="AJ1456" s="108">
        <f t="shared" si="274"/>
        <v>0</v>
      </c>
      <c r="AK1456" s="108">
        <f>IF($A1456="",0,IF(AND($S1456=1,$W1456=1,$X1456=1,$U1456&gt;Config!$C$9),1,0))</f>
        <v>0</v>
      </c>
      <c r="AL1456" s="108">
        <f t="shared" si="275"/>
        <v>0</v>
      </c>
    </row>
    <row r="1457" spans="19:38" x14ac:dyDescent="0.25">
      <c r="S1457" s="108" t="str">
        <f>IF($A1457="","",COUNTIF(BPOworkers!$B$6:$B$105,$A1457))</f>
        <v/>
      </c>
      <c r="T1457" s="109" t="str">
        <f>IF($A1457="","",$K1457*Config!$C$9)</f>
        <v/>
      </c>
      <c r="U1457" s="109" t="str">
        <f>IF($A1457="","",IF(COUNTIF(Config!$C$21:$C$23,$H1457)&gt;0,IFERROR(VALUE(LEFT(TRIM($Q1457),FIND(" ",TRIM($Q1457)&amp;" ")-1)),0),0))</f>
        <v/>
      </c>
      <c r="V1457" s="109" t="str">
        <f t="shared" si="264"/>
        <v/>
      </c>
      <c r="W1457" s="108">
        <f>IF($A1457="",0,IF(AND($C1457&gt;=Config!$C$7,$C1457&lt;=Config!$C$8),1,0))</f>
        <v>0</v>
      </c>
      <c r="X1457" s="108">
        <f>IF($A1457="",0,IF(COUNTIF(Config!$C$21:$C$23,$H1457)&gt;0,1,0))</f>
        <v>0</v>
      </c>
      <c r="Y1457" s="108">
        <f t="shared" si="265"/>
        <v>24</v>
      </c>
      <c r="Z1457" s="108" t="str">
        <f t="shared" si="266"/>
        <v/>
      </c>
      <c r="AB1457" s="108">
        <f t="shared" si="267"/>
        <v>0</v>
      </c>
      <c r="AC1457" s="108">
        <f>IF($A1457="",0,IF(AND($AB1457=1,COUNTIF($A$2:$A1457,$A1457)=1),1,0))</f>
        <v>0</v>
      </c>
      <c r="AD1457" s="108">
        <f t="shared" si="268"/>
        <v>1</v>
      </c>
      <c r="AE1457" s="108" t="str">
        <f t="shared" si="269"/>
        <v/>
      </c>
      <c r="AF1457" s="108">
        <f t="shared" si="270"/>
        <v>0</v>
      </c>
      <c r="AG1457" s="108">
        <f t="shared" si="271"/>
        <v>0</v>
      </c>
      <c r="AH1457" s="110" t="str">
        <f t="shared" si="272"/>
        <v/>
      </c>
      <c r="AI1457" s="108">
        <f t="shared" si="273"/>
        <v>0</v>
      </c>
      <c r="AJ1457" s="108">
        <f t="shared" si="274"/>
        <v>0</v>
      </c>
      <c r="AK1457" s="108">
        <f>IF($A1457="",0,IF(AND($S1457=1,$W1457=1,$X1457=1,$U1457&gt;Config!$C$9),1,0))</f>
        <v>0</v>
      </c>
      <c r="AL1457" s="108">
        <f t="shared" si="275"/>
        <v>0</v>
      </c>
    </row>
    <row r="1458" spans="19:38" x14ac:dyDescent="0.25">
      <c r="S1458" s="108" t="str">
        <f>IF($A1458="","",COUNTIF(BPOworkers!$B$6:$B$105,$A1458))</f>
        <v/>
      </c>
      <c r="T1458" s="109" t="str">
        <f>IF($A1458="","",$K1458*Config!$C$9)</f>
        <v/>
      </c>
      <c r="U1458" s="109" t="str">
        <f>IF($A1458="","",IF(COUNTIF(Config!$C$21:$C$23,$H1458)&gt;0,IFERROR(VALUE(LEFT(TRIM($Q1458),FIND(" ",TRIM($Q1458)&amp;" ")-1)),0),0))</f>
        <v/>
      </c>
      <c r="V1458" s="109" t="str">
        <f t="shared" si="264"/>
        <v/>
      </c>
      <c r="W1458" s="108">
        <f>IF($A1458="",0,IF(AND($C1458&gt;=Config!$C$7,$C1458&lt;=Config!$C$8),1,0))</f>
        <v>0</v>
      </c>
      <c r="X1458" s="108">
        <f>IF($A1458="",0,IF(COUNTIF(Config!$C$21:$C$23,$H1458)&gt;0,1,0))</f>
        <v>0</v>
      </c>
      <c r="Y1458" s="108">
        <f t="shared" si="265"/>
        <v>24</v>
      </c>
      <c r="Z1458" s="108" t="str">
        <f t="shared" si="266"/>
        <v/>
      </c>
      <c r="AB1458" s="108">
        <f t="shared" si="267"/>
        <v>0</v>
      </c>
      <c r="AC1458" s="108">
        <f>IF($A1458="",0,IF(AND($AB1458=1,COUNTIF($A$2:$A1458,$A1458)=1),1,0))</f>
        <v>0</v>
      </c>
      <c r="AD1458" s="108">
        <f t="shared" si="268"/>
        <v>1</v>
      </c>
      <c r="AE1458" s="108" t="str">
        <f t="shared" si="269"/>
        <v/>
      </c>
      <c r="AF1458" s="108">
        <f t="shared" si="270"/>
        <v>0</v>
      </c>
      <c r="AG1458" s="108">
        <f t="shared" si="271"/>
        <v>0</v>
      </c>
      <c r="AH1458" s="110" t="str">
        <f t="shared" si="272"/>
        <v/>
      </c>
      <c r="AI1458" s="108">
        <f t="shared" si="273"/>
        <v>0</v>
      </c>
      <c r="AJ1458" s="108">
        <f t="shared" si="274"/>
        <v>0</v>
      </c>
      <c r="AK1458" s="108">
        <f>IF($A1458="",0,IF(AND($S1458=1,$W1458=1,$X1458=1,$U1458&gt;Config!$C$9),1,0))</f>
        <v>0</v>
      </c>
      <c r="AL1458" s="108">
        <f t="shared" si="275"/>
        <v>0</v>
      </c>
    </row>
    <row r="1459" spans="19:38" x14ac:dyDescent="0.25">
      <c r="S1459" s="108" t="str">
        <f>IF($A1459="","",COUNTIF(BPOworkers!$B$6:$B$105,$A1459))</f>
        <v/>
      </c>
      <c r="T1459" s="109" t="str">
        <f>IF($A1459="","",$K1459*Config!$C$9)</f>
        <v/>
      </c>
      <c r="U1459" s="109" t="str">
        <f>IF($A1459="","",IF(COUNTIF(Config!$C$21:$C$23,$H1459)&gt;0,IFERROR(VALUE(LEFT(TRIM($Q1459),FIND(" ",TRIM($Q1459)&amp;" ")-1)),0),0))</f>
        <v/>
      </c>
      <c r="V1459" s="109" t="str">
        <f t="shared" si="264"/>
        <v/>
      </c>
      <c r="W1459" s="108">
        <f>IF($A1459="",0,IF(AND($C1459&gt;=Config!$C$7,$C1459&lt;=Config!$C$8),1,0))</f>
        <v>0</v>
      </c>
      <c r="X1459" s="108">
        <f>IF($A1459="",0,IF(COUNTIF(Config!$C$21:$C$23,$H1459)&gt;0,1,0))</f>
        <v>0</v>
      </c>
      <c r="Y1459" s="108">
        <f t="shared" si="265"/>
        <v>24</v>
      </c>
      <c r="Z1459" s="108" t="str">
        <f t="shared" si="266"/>
        <v/>
      </c>
      <c r="AB1459" s="108">
        <f t="shared" si="267"/>
        <v>0</v>
      </c>
      <c r="AC1459" s="108">
        <f>IF($A1459="",0,IF(AND($AB1459=1,COUNTIF($A$2:$A1459,$A1459)=1),1,0))</f>
        <v>0</v>
      </c>
      <c r="AD1459" s="108">
        <f t="shared" si="268"/>
        <v>1</v>
      </c>
      <c r="AE1459" s="108" t="str">
        <f t="shared" si="269"/>
        <v/>
      </c>
      <c r="AF1459" s="108">
        <f t="shared" si="270"/>
        <v>0</v>
      </c>
      <c r="AG1459" s="108">
        <f t="shared" si="271"/>
        <v>0</v>
      </c>
      <c r="AH1459" s="110" t="str">
        <f t="shared" si="272"/>
        <v/>
      </c>
      <c r="AI1459" s="108">
        <f t="shared" si="273"/>
        <v>0</v>
      </c>
      <c r="AJ1459" s="108">
        <f t="shared" si="274"/>
        <v>0</v>
      </c>
      <c r="AK1459" s="108">
        <f>IF($A1459="",0,IF(AND($S1459=1,$W1459=1,$X1459=1,$U1459&gt;Config!$C$9),1,0))</f>
        <v>0</v>
      </c>
      <c r="AL1459" s="108">
        <f t="shared" si="275"/>
        <v>0</v>
      </c>
    </row>
    <row r="1460" spans="19:38" x14ac:dyDescent="0.25">
      <c r="S1460" s="108" t="str">
        <f>IF($A1460="","",COUNTIF(BPOworkers!$B$6:$B$105,$A1460))</f>
        <v/>
      </c>
      <c r="T1460" s="109" t="str">
        <f>IF($A1460="","",$K1460*Config!$C$9)</f>
        <v/>
      </c>
      <c r="U1460" s="109" t="str">
        <f>IF($A1460="","",IF(COUNTIF(Config!$C$21:$C$23,$H1460)&gt;0,IFERROR(VALUE(LEFT(TRIM($Q1460),FIND(" ",TRIM($Q1460)&amp;" ")-1)),0),0))</f>
        <v/>
      </c>
      <c r="V1460" s="109" t="str">
        <f t="shared" si="264"/>
        <v/>
      </c>
      <c r="W1460" s="108">
        <f>IF($A1460="",0,IF(AND($C1460&gt;=Config!$C$7,$C1460&lt;=Config!$C$8),1,0))</f>
        <v>0</v>
      </c>
      <c r="X1460" s="108">
        <f>IF($A1460="",0,IF(COUNTIF(Config!$C$21:$C$23,$H1460)&gt;0,1,0))</f>
        <v>0</v>
      </c>
      <c r="Y1460" s="108">
        <f t="shared" si="265"/>
        <v>24</v>
      </c>
      <c r="Z1460" s="108" t="str">
        <f t="shared" si="266"/>
        <v/>
      </c>
      <c r="AB1460" s="108">
        <f t="shared" si="267"/>
        <v>0</v>
      </c>
      <c r="AC1460" s="108">
        <f>IF($A1460="",0,IF(AND($AB1460=1,COUNTIF($A$2:$A1460,$A1460)=1),1,0))</f>
        <v>0</v>
      </c>
      <c r="AD1460" s="108">
        <f t="shared" si="268"/>
        <v>1</v>
      </c>
      <c r="AE1460" s="108" t="str">
        <f t="shared" si="269"/>
        <v/>
      </c>
      <c r="AF1460" s="108">
        <f t="shared" si="270"/>
        <v>0</v>
      </c>
      <c r="AG1460" s="108">
        <f t="shared" si="271"/>
        <v>0</v>
      </c>
      <c r="AH1460" s="110" t="str">
        <f t="shared" si="272"/>
        <v/>
      </c>
      <c r="AI1460" s="108">
        <f t="shared" si="273"/>
        <v>0</v>
      </c>
      <c r="AJ1460" s="108">
        <f t="shared" si="274"/>
        <v>0</v>
      </c>
      <c r="AK1460" s="108">
        <f>IF($A1460="",0,IF(AND($S1460=1,$W1460=1,$X1460=1,$U1460&gt;Config!$C$9),1,0))</f>
        <v>0</v>
      </c>
      <c r="AL1460" s="108">
        <f t="shared" si="275"/>
        <v>0</v>
      </c>
    </row>
    <row r="1461" spans="19:38" x14ac:dyDescent="0.25">
      <c r="S1461" s="108" t="str">
        <f>IF($A1461="","",COUNTIF(BPOworkers!$B$6:$B$105,$A1461))</f>
        <v/>
      </c>
      <c r="T1461" s="109" t="str">
        <f>IF($A1461="","",$K1461*Config!$C$9)</f>
        <v/>
      </c>
      <c r="U1461" s="109" t="str">
        <f>IF($A1461="","",IF(COUNTIF(Config!$C$21:$C$23,$H1461)&gt;0,IFERROR(VALUE(LEFT(TRIM($Q1461),FIND(" ",TRIM($Q1461)&amp;" ")-1)),0),0))</f>
        <v/>
      </c>
      <c r="V1461" s="109" t="str">
        <f t="shared" si="264"/>
        <v/>
      </c>
      <c r="W1461" s="108">
        <f>IF($A1461="",0,IF(AND($C1461&gt;=Config!$C$7,$C1461&lt;=Config!$C$8),1,0))</f>
        <v>0</v>
      </c>
      <c r="X1461" s="108">
        <f>IF($A1461="",0,IF(COUNTIF(Config!$C$21:$C$23,$H1461)&gt;0,1,0))</f>
        <v>0</v>
      </c>
      <c r="Y1461" s="108">
        <f t="shared" si="265"/>
        <v>24</v>
      </c>
      <c r="Z1461" s="108" t="str">
        <f t="shared" si="266"/>
        <v/>
      </c>
      <c r="AB1461" s="108">
        <f t="shared" si="267"/>
        <v>0</v>
      </c>
      <c r="AC1461" s="108">
        <f>IF($A1461="",0,IF(AND($AB1461=1,COUNTIF($A$2:$A1461,$A1461)=1),1,0))</f>
        <v>0</v>
      </c>
      <c r="AD1461" s="108">
        <f t="shared" si="268"/>
        <v>1</v>
      </c>
      <c r="AE1461" s="108" t="str">
        <f t="shared" si="269"/>
        <v/>
      </c>
      <c r="AF1461" s="108">
        <f t="shared" si="270"/>
        <v>0</v>
      </c>
      <c r="AG1461" s="108">
        <f t="shared" si="271"/>
        <v>0</v>
      </c>
      <c r="AH1461" s="110" t="str">
        <f t="shared" si="272"/>
        <v/>
      </c>
      <c r="AI1461" s="108">
        <f t="shared" si="273"/>
        <v>0</v>
      </c>
      <c r="AJ1461" s="108">
        <f t="shared" si="274"/>
        <v>0</v>
      </c>
      <c r="AK1461" s="108">
        <f>IF($A1461="",0,IF(AND($S1461=1,$W1461=1,$X1461=1,$U1461&gt;Config!$C$9),1,0))</f>
        <v>0</v>
      </c>
      <c r="AL1461" s="108">
        <f t="shared" si="275"/>
        <v>0</v>
      </c>
    </row>
    <row r="1462" spans="19:38" x14ac:dyDescent="0.25">
      <c r="S1462" s="108" t="str">
        <f>IF($A1462="","",COUNTIF(BPOworkers!$B$6:$B$105,$A1462))</f>
        <v/>
      </c>
      <c r="T1462" s="109" t="str">
        <f>IF($A1462="","",$K1462*Config!$C$9)</f>
        <v/>
      </c>
      <c r="U1462" s="109" t="str">
        <f>IF($A1462="","",IF(COUNTIF(Config!$C$21:$C$23,$H1462)&gt;0,IFERROR(VALUE(LEFT(TRIM($Q1462),FIND(" ",TRIM($Q1462)&amp;" ")-1)),0),0))</f>
        <v/>
      </c>
      <c r="V1462" s="109" t="str">
        <f t="shared" si="264"/>
        <v/>
      </c>
      <c r="W1462" s="108">
        <f>IF($A1462="",0,IF(AND($C1462&gt;=Config!$C$7,$C1462&lt;=Config!$C$8),1,0))</f>
        <v>0</v>
      </c>
      <c r="X1462" s="108">
        <f>IF($A1462="",0,IF(COUNTIF(Config!$C$21:$C$23,$H1462)&gt;0,1,0))</f>
        <v>0</v>
      </c>
      <c r="Y1462" s="108">
        <f t="shared" si="265"/>
        <v>24</v>
      </c>
      <c r="Z1462" s="108" t="str">
        <f t="shared" si="266"/>
        <v/>
      </c>
      <c r="AB1462" s="108">
        <f t="shared" si="267"/>
        <v>0</v>
      </c>
      <c r="AC1462" s="108">
        <f>IF($A1462="",0,IF(AND($AB1462=1,COUNTIF($A$2:$A1462,$A1462)=1),1,0))</f>
        <v>0</v>
      </c>
      <c r="AD1462" s="108">
        <f t="shared" si="268"/>
        <v>1</v>
      </c>
      <c r="AE1462" s="108" t="str">
        <f t="shared" si="269"/>
        <v/>
      </c>
      <c r="AF1462" s="108">
        <f t="shared" si="270"/>
        <v>0</v>
      </c>
      <c r="AG1462" s="108">
        <f t="shared" si="271"/>
        <v>0</v>
      </c>
      <c r="AH1462" s="110" t="str">
        <f t="shared" si="272"/>
        <v/>
      </c>
      <c r="AI1462" s="108">
        <f t="shared" si="273"/>
        <v>0</v>
      </c>
      <c r="AJ1462" s="108">
        <f t="shared" si="274"/>
        <v>0</v>
      </c>
      <c r="AK1462" s="108">
        <f>IF($A1462="",0,IF(AND($S1462=1,$W1462=1,$X1462=1,$U1462&gt;Config!$C$9),1,0))</f>
        <v>0</v>
      </c>
      <c r="AL1462" s="108">
        <f t="shared" si="275"/>
        <v>0</v>
      </c>
    </row>
    <row r="1463" spans="19:38" x14ac:dyDescent="0.25">
      <c r="S1463" s="108" t="str">
        <f>IF($A1463="","",COUNTIF(BPOworkers!$B$6:$B$105,$A1463))</f>
        <v/>
      </c>
      <c r="T1463" s="109" t="str">
        <f>IF($A1463="","",$K1463*Config!$C$9)</f>
        <v/>
      </c>
      <c r="U1463" s="109" t="str">
        <f>IF($A1463="","",IF(COUNTIF(Config!$C$21:$C$23,$H1463)&gt;0,IFERROR(VALUE(LEFT(TRIM($Q1463),FIND(" ",TRIM($Q1463)&amp;" ")-1)),0),0))</f>
        <v/>
      </c>
      <c r="V1463" s="109" t="str">
        <f t="shared" si="264"/>
        <v/>
      </c>
      <c r="W1463" s="108">
        <f>IF($A1463="",0,IF(AND($C1463&gt;=Config!$C$7,$C1463&lt;=Config!$C$8),1,0))</f>
        <v>0</v>
      </c>
      <c r="X1463" s="108">
        <f>IF($A1463="",0,IF(COUNTIF(Config!$C$21:$C$23,$H1463)&gt;0,1,0))</f>
        <v>0</v>
      </c>
      <c r="Y1463" s="108">
        <f t="shared" si="265"/>
        <v>24</v>
      </c>
      <c r="Z1463" s="108" t="str">
        <f t="shared" si="266"/>
        <v/>
      </c>
      <c r="AB1463" s="108">
        <f t="shared" si="267"/>
        <v>0</v>
      </c>
      <c r="AC1463" s="108">
        <f>IF($A1463="",0,IF(AND($AB1463=1,COUNTIF($A$2:$A1463,$A1463)=1),1,0))</f>
        <v>0</v>
      </c>
      <c r="AD1463" s="108">
        <f t="shared" si="268"/>
        <v>1</v>
      </c>
      <c r="AE1463" s="108" t="str">
        <f t="shared" si="269"/>
        <v/>
      </c>
      <c r="AF1463" s="108">
        <f t="shared" si="270"/>
        <v>0</v>
      </c>
      <c r="AG1463" s="108">
        <f t="shared" si="271"/>
        <v>0</v>
      </c>
      <c r="AH1463" s="110" t="str">
        <f t="shared" si="272"/>
        <v/>
      </c>
      <c r="AI1463" s="108">
        <f t="shared" si="273"/>
        <v>0</v>
      </c>
      <c r="AJ1463" s="108">
        <f t="shared" si="274"/>
        <v>0</v>
      </c>
      <c r="AK1463" s="108">
        <f>IF($A1463="",0,IF(AND($S1463=1,$W1463=1,$X1463=1,$U1463&gt;Config!$C$9),1,0))</f>
        <v>0</v>
      </c>
      <c r="AL1463" s="108">
        <f t="shared" si="275"/>
        <v>0</v>
      </c>
    </row>
    <row r="1464" spans="19:38" x14ac:dyDescent="0.25">
      <c r="S1464" s="108" t="str">
        <f>IF($A1464="","",COUNTIF(BPOworkers!$B$6:$B$105,$A1464))</f>
        <v/>
      </c>
      <c r="T1464" s="109" t="str">
        <f>IF($A1464="","",$K1464*Config!$C$9)</f>
        <v/>
      </c>
      <c r="U1464" s="109" t="str">
        <f>IF($A1464="","",IF(COUNTIF(Config!$C$21:$C$23,$H1464)&gt;0,IFERROR(VALUE(LEFT(TRIM($Q1464),FIND(" ",TRIM($Q1464)&amp;" ")-1)),0),0))</f>
        <v/>
      </c>
      <c r="V1464" s="109" t="str">
        <f t="shared" si="264"/>
        <v/>
      </c>
      <c r="W1464" s="108">
        <f>IF($A1464="",0,IF(AND($C1464&gt;=Config!$C$7,$C1464&lt;=Config!$C$8),1,0))</f>
        <v>0</v>
      </c>
      <c r="X1464" s="108">
        <f>IF($A1464="",0,IF(COUNTIF(Config!$C$21:$C$23,$H1464)&gt;0,1,0))</f>
        <v>0</v>
      </c>
      <c r="Y1464" s="108">
        <f t="shared" si="265"/>
        <v>24</v>
      </c>
      <c r="Z1464" s="108" t="str">
        <f t="shared" si="266"/>
        <v/>
      </c>
      <c r="AB1464" s="108">
        <f t="shared" si="267"/>
        <v>0</v>
      </c>
      <c r="AC1464" s="108">
        <f>IF($A1464="",0,IF(AND($AB1464=1,COUNTIF($A$2:$A1464,$A1464)=1),1,0))</f>
        <v>0</v>
      </c>
      <c r="AD1464" s="108">
        <f t="shared" si="268"/>
        <v>1</v>
      </c>
      <c r="AE1464" s="108" t="str">
        <f t="shared" si="269"/>
        <v/>
      </c>
      <c r="AF1464" s="108">
        <f t="shared" si="270"/>
        <v>0</v>
      </c>
      <c r="AG1464" s="108">
        <f t="shared" si="271"/>
        <v>0</v>
      </c>
      <c r="AH1464" s="110" t="str">
        <f t="shared" si="272"/>
        <v/>
      </c>
      <c r="AI1464" s="108">
        <f t="shared" si="273"/>
        <v>0</v>
      </c>
      <c r="AJ1464" s="108">
        <f t="shared" si="274"/>
        <v>0</v>
      </c>
      <c r="AK1464" s="108">
        <f>IF($A1464="",0,IF(AND($S1464=1,$W1464=1,$X1464=1,$U1464&gt;Config!$C$9),1,0))</f>
        <v>0</v>
      </c>
      <c r="AL1464" s="108">
        <f t="shared" si="275"/>
        <v>0</v>
      </c>
    </row>
    <row r="1465" spans="19:38" x14ac:dyDescent="0.25">
      <c r="S1465" s="108" t="str">
        <f>IF($A1465="","",COUNTIF(BPOworkers!$B$6:$B$105,$A1465))</f>
        <v/>
      </c>
      <c r="T1465" s="109" t="str">
        <f>IF($A1465="","",$K1465*Config!$C$9)</f>
        <v/>
      </c>
      <c r="U1465" s="109" t="str">
        <f>IF($A1465="","",IF(COUNTIF(Config!$C$21:$C$23,$H1465)&gt;0,IFERROR(VALUE(LEFT(TRIM($Q1465),FIND(" ",TRIM($Q1465)&amp;" ")-1)),0),0))</f>
        <v/>
      </c>
      <c r="V1465" s="109" t="str">
        <f t="shared" si="264"/>
        <v/>
      </c>
      <c r="W1465" s="108">
        <f>IF($A1465="",0,IF(AND($C1465&gt;=Config!$C$7,$C1465&lt;=Config!$C$8),1,0))</f>
        <v>0</v>
      </c>
      <c r="X1465" s="108">
        <f>IF($A1465="",0,IF(COUNTIF(Config!$C$21:$C$23,$H1465)&gt;0,1,0))</f>
        <v>0</v>
      </c>
      <c r="Y1465" s="108">
        <f t="shared" si="265"/>
        <v>24</v>
      </c>
      <c r="Z1465" s="108" t="str">
        <f t="shared" si="266"/>
        <v/>
      </c>
      <c r="AB1465" s="108">
        <f t="shared" si="267"/>
        <v>0</v>
      </c>
      <c r="AC1465" s="108">
        <f>IF($A1465="",0,IF(AND($AB1465=1,COUNTIF($A$2:$A1465,$A1465)=1),1,0))</f>
        <v>0</v>
      </c>
      <c r="AD1465" s="108">
        <f t="shared" si="268"/>
        <v>1</v>
      </c>
      <c r="AE1465" s="108" t="str">
        <f t="shared" si="269"/>
        <v/>
      </c>
      <c r="AF1465" s="108">
        <f t="shared" si="270"/>
        <v>0</v>
      </c>
      <c r="AG1465" s="108">
        <f t="shared" si="271"/>
        <v>0</v>
      </c>
      <c r="AH1465" s="110" t="str">
        <f t="shared" si="272"/>
        <v/>
      </c>
      <c r="AI1465" s="108">
        <f t="shared" si="273"/>
        <v>0</v>
      </c>
      <c r="AJ1465" s="108">
        <f t="shared" si="274"/>
        <v>0</v>
      </c>
      <c r="AK1465" s="108">
        <f>IF($A1465="",0,IF(AND($S1465=1,$W1465=1,$X1465=1,$U1465&gt;Config!$C$9),1,0))</f>
        <v>0</v>
      </c>
      <c r="AL1465" s="108">
        <f t="shared" si="275"/>
        <v>0</v>
      </c>
    </row>
    <row r="1466" spans="19:38" x14ac:dyDescent="0.25">
      <c r="S1466" s="108" t="str">
        <f>IF($A1466="","",COUNTIF(BPOworkers!$B$6:$B$105,$A1466))</f>
        <v/>
      </c>
      <c r="T1466" s="109" t="str">
        <f>IF($A1466="","",$K1466*Config!$C$9)</f>
        <v/>
      </c>
      <c r="U1466" s="109" t="str">
        <f>IF($A1466="","",IF(COUNTIF(Config!$C$21:$C$23,$H1466)&gt;0,IFERROR(VALUE(LEFT(TRIM($Q1466),FIND(" ",TRIM($Q1466)&amp;" ")-1)),0),0))</f>
        <v/>
      </c>
      <c r="V1466" s="109" t="str">
        <f t="shared" si="264"/>
        <v/>
      </c>
      <c r="W1466" s="108">
        <f>IF($A1466="",0,IF(AND($C1466&gt;=Config!$C$7,$C1466&lt;=Config!$C$8),1,0))</f>
        <v>0</v>
      </c>
      <c r="X1466" s="108">
        <f>IF($A1466="",0,IF(COUNTIF(Config!$C$21:$C$23,$H1466)&gt;0,1,0))</f>
        <v>0</v>
      </c>
      <c r="Y1466" s="108">
        <f t="shared" si="265"/>
        <v>24</v>
      </c>
      <c r="Z1466" s="108" t="str">
        <f t="shared" si="266"/>
        <v/>
      </c>
      <c r="AB1466" s="108">
        <f t="shared" si="267"/>
        <v>0</v>
      </c>
      <c r="AC1466" s="108">
        <f>IF($A1466="",0,IF(AND($AB1466=1,COUNTIF($A$2:$A1466,$A1466)=1),1,0))</f>
        <v>0</v>
      </c>
      <c r="AD1466" s="108">
        <f t="shared" si="268"/>
        <v>1</v>
      </c>
      <c r="AE1466" s="108" t="str">
        <f t="shared" si="269"/>
        <v/>
      </c>
      <c r="AF1466" s="108">
        <f t="shared" si="270"/>
        <v>0</v>
      </c>
      <c r="AG1466" s="108">
        <f t="shared" si="271"/>
        <v>0</v>
      </c>
      <c r="AH1466" s="110" t="str">
        <f t="shared" si="272"/>
        <v/>
      </c>
      <c r="AI1466" s="108">
        <f t="shared" si="273"/>
        <v>0</v>
      </c>
      <c r="AJ1466" s="108">
        <f t="shared" si="274"/>
        <v>0</v>
      </c>
      <c r="AK1466" s="108">
        <f>IF($A1466="",0,IF(AND($S1466=1,$W1466=1,$X1466=1,$U1466&gt;Config!$C$9),1,0))</f>
        <v>0</v>
      </c>
      <c r="AL1466" s="108">
        <f t="shared" si="275"/>
        <v>0</v>
      </c>
    </row>
    <row r="1467" spans="19:38" x14ac:dyDescent="0.25">
      <c r="S1467" s="108" t="str">
        <f>IF($A1467="","",COUNTIF(BPOworkers!$B$6:$B$105,$A1467))</f>
        <v/>
      </c>
      <c r="T1467" s="109" t="str">
        <f>IF($A1467="","",$K1467*Config!$C$9)</f>
        <v/>
      </c>
      <c r="U1467" s="109" t="str">
        <f>IF($A1467="","",IF(COUNTIF(Config!$C$21:$C$23,$H1467)&gt;0,IFERROR(VALUE(LEFT(TRIM($Q1467),FIND(" ",TRIM($Q1467)&amp;" ")-1)),0),0))</f>
        <v/>
      </c>
      <c r="V1467" s="109" t="str">
        <f t="shared" si="264"/>
        <v/>
      </c>
      <c r="W1467" s="108">
        <f>IF($A1467="",0,IF(AND($C1467&gt;=Config!$C$7,$C1467&lt;=Config!$C$8),1,0))</f>
        <v>0</v>
      </c>
      <c r="X1467" s="108">
        <f>IF($A1467="",0,IF(COUNTIF(Config!$C$21:$C$23,$H1467)&gt;0,1,0))</f>
        <v>0</v>
      </c>
      <c r="Y1467" s="108">
        <f t="shared" si="265"/>
        <v>24</v>
      </c>
      <c r="Z1467" s="108" t="str">
        <f t="shared" si="266"/>
        <v/>
      </c>
      <c r="AB1467" s="108">
        <f t="shared" si="267"/>
        <v>0</v>
      </c>
      <c r="AC1467" s="108">
        <f>IF($A1467="",0,IF(AND($AB1467=1,COUNTIF($A$2:$A1467,$A1467)=1),1,0))</f>
        <v>0</v>
      </c>
      <c r="AD1467" s="108">
        <f t="shared" si="268"/>
        <v>1</v>
      </c>
      <c r="AE1467" s="108" t="str">
        <f t="shared" si="269"/>
        <v/>
      </c>
      <c r="AF1467" s="108">
        <f t="shared" si="270"/>
        <v>0</v>
      </c>
      <c r="AG1467" s="108">
        <f t="shared" si="271"/>
        <v>0</v>
      </c>
      <c r="AH1467" s="110" t="str">
        <f t="shared" si="272"/>
        <v/>
      </c>
      <c r="AI1467" s="108">
        <f t="shared" si="273"/>
        <v>0</v>
      </c>
      <c r="AJ1467" s="108">
        <f t="shared" si="274"/>
        <v>0</v>
      </c>
      <c r="AK1467" s="108">
        <f>IF($A1467="",0,IF(AND($S1467=1,$W1467=1,$X1467=1,$U1467&gt;Config!$C$9),1,0))</f>
        <v>0</v>
      </c>
      <c r="AL1467" s="108">
        <f t="shared" si="275"/>
        <v>0</v>
      </c>
    </row>
    <row r="1468" spans="19:38" x14ac:dyDescent="0.25">
      <c r="S1468" s="108" t="str">
        <f>IF($A1468="","",COUNTIF(BPOworkers!$B$6:$B$105,$A1468))</f>
        <v/>
      </c>
      <c r="T1468" s="109" t="str">
        <f>IF($A1468="","",$K1468*Config!$C$9)</f>
        <v/>
      </c>
      <c r="U1468" s="109" t="str">
        <f>IF($A1468="","",IF(COUNTIF(Config!$C$21:$C$23,$H1468)&gt;0,IFERROR(VALUE(LEFT(TRIM($Q1468),FIND(" ",TRIM($Q1468)&amp;" ")-1)),0),0))</f>
        <v/>
      </c>
      <c r="V1468" s="109" t="str">
        <f t="shared" si="264"/>
        <v/>
      </c>
      <c r="W1468" s="108">
        <f>IF($A1468="",0,IF(AND($C1468&gt;=Config!$C$7,$C1468&lt;=Config!$C$8),1,0))</f>
        <v>0</v>
      </c>
      <c r="X1468" s="108">
        <f>IF($A1468="",0,IF(COUNTIF(Config!$C$21:$C$23,$H1468)&gt;0,1,0))</f>
        <v>0</v>
      </c>
      <c r="Y1468" s="108">
        <f t="shared" si="265"/>
        <v>24</v>
      </c>
      <c r="Z1468" s="108" t="str">
        <f t="shared" si="266"/>
        <v/>
      </c>
      <c r="AB1468" s="108">
        <f t="shared" si="267"/>
        <v>0</v>
      </c>
      <c r="AC1468" s="108">
        <f>IF($A1468="",0,IF(AND($AB1468=1,COUNTIF($A$2:$A1468,$A1468)=1),1,0))</f>
        <v>0</v>
      </c>
      <c r="AD1468" s="108">
        <f t="shared" si="268"/>
        <v>1</v>
      </c>
      <c r="AE1468" s="108" t="str">
        <f t="shared" si="269"/>
        <v/>
      </c>
      <c r="AF1468" s="108">
        <f t="shared" si="270"/>
        <v>0</v>
      </c>
      <c r="AG1468" s="108">
        <f t="shared" si="271"/>
        <v>0</v>
      </c>
      <c r="AH1468" s="110" t="str">
        <f t="shared" si="272"/>
        <v/>
      </c>
      <c r="AI1468" s="108">
        <f t="shared" si="273"/>
        <v>0</v>
      </c>
      <c r="AJ1468" s="108">
        <f t="shared" si="274"/>
        <v>0</v>
      </c>
      <c r="AK1468" s="108">
        <f>IF($A1468="",0,IF(AND($S1468=1,$W1468=1,$X1468=1,$U1468&gt;Config!$C$9),1,0))</f>
        <v>0</v>
      </c>
      <c r="AL1468" s="108">
        <f t="shared" si="275"/>
        <v>0</v>
      </c>
    </row>
    <row r="1469" spans="19:38" x14ac:dyDescent="0.25">
      <c r="S1469" s="108" t="str">
        <f>IF($A1469="","",COUNTIF(BPOworkers!$B$6:$B$105,$A1469))</f>
        <v/>
      </c>
      <c r="T1469" s="109" t="str">
        <f>IF($A1469="","",$K1469*Config!$C$9)</f>
        <v/>
      </c>
      <c r="U1469" s="109" t="str">
        <f>IF($A1469="","",IF(COUNTIF(Config!$C$21:$C$23,$H1469)&gt;0,IFERROR(VALUE(LEFT(TRIM($Q1469),FIND(" ",TRIM($Q1469)&amp;" ")-1)),0),0))</f>
        <v/>
      </c>
      <c r="V1469" s="109" t="str">
        <f t="shared" si="264"/>
        <v/>
      </c>
      <c r="W1469" s="108">
        <f>IF($A1469="",0,IF(AND($C1469&gt;=Config!$C$7,$C1469&lt;=Config!$C$8),1,0))</f>
        <v>0</v>
      </c>
      <c r="X1469" s="108">
        <f>IF($A1469="",0,IF(COUNTIF(Config!$C$21:$C$23,$H1469)&gt;0,1,0))</f>
        <v>0</v>
      </c>
      <c r="Y1469" s="108">
        <f t="shared" si="265"/>
        <v>24</v>
      </c>
      <c r="Z1469" s="108" t="str">
        <f t="shared" si="266"/>
        <v/>
      </c>
      <c r="AB1469" s="108">
        <f t="shared" si="267"/>
        <v>0</v>
      </c>
      <c r="AC1469" s="108">
        <f>IF($A1469="",0,IF(AND($AB1469=1,COUNTIF($A$2:$A1469,$A1469)=1),1,0))</f>
        <v>0</v>
      </c>
      <c r="AD1469" s="108">
        <f t="shared" si="268"/>
        <v>1</v>
      </c>
      <c r="AE1469" s="108" t="str">
        <f t="shared" si="269"/>
        <v/>
      </c>
      <c r="AF1469" s="108">
        <f t="shared" si="270"/>
        <v>0</v>
      </c>
      <c r="AG1469" s="108">
        <f t="shared" si="271"/>
        <v>0</v>
      </c>
      <c r="AH1469" s="110" t="str">
        <f t="shared" si="272"/>
        <v/>
      </c>
      <c r="AI1469" s="108">
        <f t="shared" si="273"/>
        <v>0</v>
      </c>
      <c r="AJ1469" s="108">
        <f t="shared" si="274"/>
        <v>0</v>
      </c>
      <c r="AK1469" s="108">
        <f>IF($A1469="",0,IF(AND($S1469=1,$W1469=1,$X1469=1,$U1469&gt;Config!$C$9),1,0))</f>
        <v>0</v>
      </c>
      <c r="AL1469" s="108">
        <f t="shared" si="275"/>
        <v>0</v>
      </c>
    </row>
    <row r="1470" spans="19:38" x14ac:dyDescent="0.25">
      <c r="S1470" s="108" t="str">
        <f>IF($A1470="","",COUNTIF(BPOworkers!$B$6:$B$105,$A1470))</f>
        <v/>
      </c>
      <c r="T1470" s="109" t="str">
        <f>IF($A1470="","",$K1470*Config!$C$9)</f>
        <v/>
      </c>
      <c r="U1470" s="109" t="str">
        <f>IF($A1470="","",IF(COUNTIF(Config!$C$21:$C$23,$H1470)&gt;0,IFERROR(VALUE(LEFT(TRIM($Q1470),FIND(" ",TRIM($Q1470)&amp;" ")-1)),0),0))</f>
        <v/>
      </c>
      <c r="V1470" s="109" t="str">
        <f t="shared" si="264"/>
        <v/>
      </c>
      <c r="W1470" s="108">
        <f>IF($A1470="",0,IF(AND($C1470&gt;=Config!$C$7,$C1470&lt;=Config!$C$8),1,0))</f>
        <v>0</v>
      </c>
      <c r="X1470" s="108">
        <f>IF($A1470="",0,IF(COUNTIF(Config!$C$21:$C$23,$H1470)&gt;0,1,0))</f>
        <v>0</v>
      </c>
      <c r="Y1470" s="108">
        <f t="shared" si="265"/>
        <v>24</v>
      </c>
      <c r="Z1470" s="108" t="str">
        <f t="shared" si="266"/>
        <v/>
      </c>
      <c r="AB1470" s="108">
        <f t="shared" si="267"/>
        <v>0</v>
      </c>
      <c r="AC1470" s="108">
        <f>IF($A1470="",0,IF(AND($AB1470=1,COUNTIF($A$2:$A1470,$A1470)=1),1,0))</f>
        <v>0</v>
      </c>
      <c r="AD1470" s="108">
        <f t="shared" si="268"/>
        <v>1</v>
      </c>
      <c r="AE1470" s="108" t="str">
        <f t="shared" si="269"/>
        <v/>
      </c>
      <c r="AF1470" s="108">
        <f t="shared" si="270"/>
        <v>0</v>
      </c>
      <c r="AG1470" s="108">
        <f t="shared" si="271"/>
        <v>0</v>
      </c>
      <c r="AH1470" s="110" t="str">
        <f t="shared" si="272"/>
        <v/>
      </c>
      <c r="AI1470" s="108">
        <f t="shared" si="273"/>
        <v>0</v>
      </c>
      <c r="AJ1470" s="108">
        <f t="shared" si="274"/>
        <v>0</v>
      </c>
      <c r="AK1470" s="108">
        <f>IF($A1470="",0,IF(AND($S1470=1,$W1470=1,$X1470=1,$U1470&gt;Config!$C$9),1,0))</f>
        <v>0</v>
      </c>
      <c r="AL1470" s="108">
        <f t="shared" si="275"/>
        <v>0</v>
      </c>
    </row>
    <row r="1471" spans="19:38" x14ac:dyDescent="0.25">
      <c r="S1471" s="108" t="str">
        <f>IF($A1471="","",COUNTIF(BPOworkers!$B$6:$B$105,$A1471))</f>
        <v/>
      </c>
      <c r="T1471" s="109" t="str">
        <f>IF($A1471="","",$K1471*Config!$C$9)</f>
        <v/>
      </c>
      <c r="U1471" s="109" t="str">
        <f>IF($A1471="","",IF(COUNTIF(Config!$C$21:$C$23,$H1471)&gt;0,IFERROR(VALUE(LEFT(TRIM($Q1471),FIND(" ",TRIM($Q1471)&amp;" ")-1)),0),0))</f>
        <v/>
      </c>
      <c r="V1471" s="109" t="str">
        <f t="shared" si="264"/>
        <v/>
      </c>
      <c r="W1471" s="108">
        <f>IF($A1471="",0,IF(AND($C1471&gt;=Config!$C$7,$C1471&lt;=Config!$C$8),1,0))</f>
        <v>0</v>
      </c>
      <c r="X1471" s="108">
        <f>IF($A1471="",0,IF(COUNTIF(Config!$C$21:$C$23,$H1471)&gt;0,1,0))</f>
        <v>0</v>
      </c>
      <c r="Y1471" s="108">
        <f t="shared" si="265"/>
        <v>24</v>
      </c>
      <c r="Z1471" s="108" t="str">
        <f t="shared" si="266"/>
        <v/>
      </c>
      <c r="AB1471" s="108">
        <f t="shared" si="267"/>
        <v>0</v>
      </c>
      <c r="AC1471" s="108">
        <f>IF($A1471="",0,IF(AND($AB1471=1,COUNTIF($A$2:$A1471,$A1471)=1),1,0))</f>
        <v>0</v>
      </c>
      <c r="AD1471" s="108">
        <f t="shared" si="268"/>
        <v>1</v>
      </c>
      <c r="AE1471" s="108" t="str">
        <f t="shared" si="269"/>
        <v/>
      </c>
      <c r="AF1471" s="108">
        <f t="shared" si="270"/>
        <v>0</v>
      </c>
      <c r="AG1471" s="108">
        <f t="shared" si="271"/>
        <v>0</v>
      </c>
      <c r="AH1471" s="110" t="str">
        <f t="shared" si="272"/>
        <v/>
      </c>
      <c r="AI1471" s="108">
        <f t="shared" si="273"/>
        <v>0</v>
      </c>
      <c r="AJ1471" s="108">
        <f t="shared" si="274"/>
        <v>0</v>
      </c>
      <c r="AK1471" s="108">
        <f>IF($A1471="",0,IF(AND($S1471=1,$W1471=1,$X1471=1,$U1471&gt;Config!$C$9),1,0))</f>
        <v>0</v>
      </c>
      <c r="AL1471" s="108">
        <f t="shared" si="275"/>
        <v>0</v>
      </c>
    </row>
    <row r="1472" spans="19:38" x14ac:dyDescent="0.25">
      <c r="S1472" s="108" t="str">
        <f>IF($A1472="","",COUNTIF(BPOworkers!$B$6:$B$105,$A1472))</f>
        <v/>
      </c>
      <c r="T1472" s="109" t="str">
        <f>IF($A1472="","",$K1472*Config!$C$9)</f>
        <v/>
      </c>
      <c r="U1472" s="109" t="str">
        <f>IF($A1472="","",IF(COUNTIF(Config!$C$21:$C$23,$H1472)&gt;0,IFERROR(VALUE(LEFT(TRIM($Q1472),FIND(" ",TRIM($Q1472)&amp;" ")-1)),0),0))</f>
        <v/>
      </c>
      <c r="V1472" s="109" t="str">
        <f t="shared" si="264"/>
        <v/>
      </c>
      <c r="W1472" s="108">
        <f>IF($A1472="",0,IF(AND($C1472&gt;=Config!$C$7,$C1472&lt;=Config!$C$8),1,0))</f>
        <v>0</v>
      </c>
      <c r="X1472" s="108">
        <f>IF($A1472="",0,IF(COUNTIF(Config!$C$21:$C$23,$H1472)&gt;0,1,0))</f>
        <v>0</v>
      </c>
      <c r="Y1472" s="108">
        <f t="shared" si="265"/>
        <v>24</v>
      </c>
      <c r="Z1472" s="108" t="str">
        <f t="shared" si="266"/>
        <v/>
      </c>
      <c r="AB1472" s="108">
        <f t="shared" si="267"/>
        <v>0</v>
      </c>
      <c r="AC1472" s="108">
        <f>IF($A1472="",0,IF(AND($AB1472=1,COUNTIF($A$2:$A1472,$A1472)=1),1,0))</f>
        <v>0</v>
      </c>
      <c r="AD1472" s="108">
        <f t="shared" si="268"/>
        <v>1</v>
      </c>
      <c r="AE1472" s="108" t="str">
        <f t="shared" si="269"/>
        <v/>
      </c>
      <c r="AF1472" s="108">
        <f t="shared" si="270"/>
        <v>0</v>
      </c>
      <c r="AG1472" s="108">
        <f t="shared" si="271"/>
        <v>0</v>
      </c>
      <c r="AH1472" s="110" t="str">
        <f t="shared" si="272"/>
        <v/>
      </c>
      <c r="AI1472" s="108">
        <f t="shared" si="273"/>
        <v>0</v>
      </c>
      <c r="AJ1472" s="108">
        <f t="shared" si="274"/>
        <v>0</v>
      </c>
      <c r="AK1472" s="108">
        <f>IF($A1472="",0,IF(AND($S1472=1,$W1472=1,$X1472=1,$U1472&gt;Config!$C$9),1,0))</f>
        <v>0</v>
      </c>
      <c r="AL1472" s="108">
        <f t="shared" si="275"/>
        <v>0</v>
      </c>
    </row>
    <row r="1473" spans="19:38" x14ac:dyDescent="0.25">
      <c r="S1473" s="108" t="str">
        <f>IF($A1473="","",COUNTIF(BPOworkers!$B$6:$B$105,$A1473))</f>
        <v/>
      </c>
      <c r="T1473" s="109" t="str">
        <f>IF($A1473="","",$K1473*Config!$C$9)</f>
        <v/>
      </c>
      <c r="U1473" s="109" t="str">
        <f>IF($A1473="","",IF(COUNTIF(Config!$C$21:$C$23,$H1473)&gt;0,IFERROR(VALUE(LEFT(TRIM($Q1473),FIND(" ",TRIM($Q1473)&amp;" ")-1)),0),0))</f>
        <v/>
      </c>
      <c r="V1473" s="109" t="str">
        <f t="shared" si="264"/>
        <v/>
      </c>
      <c r="W1473" s="108">
        <f>IF($A1473="",0,IF(AND($C1473&gt;=Config!$C$7,$C1473&lt;=Config!$C$8),1,0))</f>
        <v>0</v>
      </c>
      <c r="X1473" s="108">
        <f>IF($A1473="",0,IF(COUNTIF(Config!$C$21:$C$23,$H1473)&gt;0,1,0))</f>
        <v>0</v>
      </c>
      <c r="Y1473" s="108">
        <f t="shared" si="265"/>
        <v>24</v>
      </c>
      <c r="Z1473" s="108" t="str">
        <f t="shared" si="266"/>
        <v/>
      </c>
      <c r="AB1473" s="108">
        <f t="shared" si="267"/>
        <v>0</v>
      </c>
      <c r="AC1473" s="108">
        <f>IF($A1473="",0,IF(AND($AB1473=1,COUNTIF($A$2:$A1473,$A1473)=1),1,0))</f>
        <v>0</v>
      </c>
      <c r="AD1473" s="108">
        <f t="shared" si="268"/>
        <v>1</v>
      </c>
      <c r="AE1473" s="108" t="str">
        <f t="shared" si="269"/>
        <v/>
      </c>
      <c r="AF1473" s="108">
        <f t="shared" si="270"/>
        <v>0</v>
      </c>
      <c r="AG1473" s="108">
        <f t="shared" si="271"/>
        <v>0</v>
      </c>
      <c r="AH1473" s="110" t="str">
        <f t="shared" si="272"/>
        <v/>
      </c>
      <c r="AI1473" s="108">
        <f t="shared" si="273"/>
        <v>0</v>
      </c>
      <c r="AJ1473" s="108">
        <f t="shared" si="274"/>
        <v>0</v>
      </c>
      <c r="AK1473" s="108">
        <f>IF($A1473="",0,IF(AND($S1473=1,$W1473=1,$X1473=1,$U1473&gt;Config!$C$9),1,0))</f>
        <v>0</v>
      </c>
      <c r="AL1473" s="108">
        <f t="shared" si="275"/>
        <v>0</v>
      </c>
    </row>
    <row r="1474" spans="19:38" x14ac:dyDescent="0.25">
      <c r="S1474" s="108" t="str">
        <f>IF($A1474="","",COUNTIF(BPOworkers!$B$6:$B$105,$A1474))</f>
        <v/>
      </c>
      <c r="T1474" s="109" t="str">
        <f>IF($A1474="","",$K1474*Config!$C$9)</f>
        <v/>
      </c>
      <c r="U1474" s="109" t="str">
        <f>IF($A1474="","",IF(COUNTIF(Config!$C$21:$C$23,$H1474)&gt;0,IFERROR(VALUE(LEFT(TRIM($Q1474),FIND(" ",TRIM($Q1474)&amp;" ")-1)),0),0))</f>
        <v/>
      </c>
      <c r="V1474" s="109" t="str">
        <f t="shared" ref="V1474:V1500" si="276">IF($A1474="","",$T1474+$U1474)</f>
        <v/>
      </c>
      <c r="W1474" s="108">
        <f>IF($A1474="",0,IF(AND($C1474&gt;=Config!$C$7,$C1474&lt;=Config!$C$8),1,0))</f>
        <v>0</v>
      </c>
      <c r="X1474" s="108">
        <f>IF($A1474="",0,IF(COUNTIF(Config!$C$21:$C$23,$H1474)&gt;0,1,0))</f>
        <v>0</v>
      </c>
      <c r="Y1474" s="108">
        <f t="shared" ref="Y1474:Y1500" si="277">IF($A1474="",MAX(0,Y1473),MAX(0,Y1473)+IF(AND($W1474=1,$X1474=1,$S1474=1),1,0))</f>
        <v>24</v>
      </c>
      <c r="Z1474" s="108" t="str">
        <f t="shared" ref="Z1474:Z1500" si="278">IF($A1474="","",IF(AND($W1474=1,$X1474=1,$S1474=1),$Y1474,""))</f>
        <v/>
      </c>
      <c r="AB1474" s="108">
        <f t="shared" ref="AB1474:AB1500" si="279">IF($A1474="",0,IF(AND($S1474=0,ISERROR(FIND(".",$A1474))),1,0))</f>
        <v>0</v>
      </c>
      <c r="AC1474" s="108">
        <f>IF($A1474="",0,IF(AND($AB1474=1,COUNTIF($A$2:$A1474,$A1474)=1),1,0))</f>
        <v>0</v>
      </c>
      <c r="AD1474" s="108">
        <f t="shared" ref="AD1474:AD1500" si="280">IF($A1474="",MAX(0,AD1473),MAX(0,AD1473)+$AC1474)</f>
        <v>1</v>
      </c>
      <c r="AE1474" s="108" t="str">
        <f t="shared" ref="AE1474:AE1500" si="281">IF($AC1474=1,$AD1474,"")</f>
        <v/>
      </c>
      <c r="AF1474" s="108">
        <f t="shared" ref="AF1474:AF1500" si="282">IF($A1474="",0,IFERROR(IF(AND($S1474=1,WEEKDAY($C1474,2)&gt;5),1,0),0))</f>
        <v>0</v>
      </c>
      <c r="AG1474" s="108">
        <f t="shared" ref="AG1474:AG1500" si="283">IF($A1474="",0,IF(AND($S1474=1,$W1474=0),1,0))</f>
        <v>0</v>
      </c>
      <c r="AH1474" s="110" t="str">
        <f t="shared" ref="AH1474:AH1500" si="284">IF($A1474="","",$A1474&amp;"|"&amp;TEXT($C1474,"yyyymmdd")&amp;"|"&amp;$H1474&amp;"|"&amp;TEXT($K1474,"0.000")&amp;"|"&amp;SUBSTITUTE(SUBSTITUTE(SUBSTITUTE(LEFT($Q1474,120),"~",""),"*",""),"?",""))</f>
        <v/>
      </c>
      <c r="AI1474" s="108">
        <f t="shared" ref="AI1474:AI1500" si="285">IF($A1474="",0,IF(AND($S1474=1,$W1474=1,COUNTIF($AH$2:$AH$1500,$AH1474)&gt;1),1,0))</f>
        <v>0</v>
      </c>
      <c r="AJ1474" s="108">
        <f t="shared" ref="AJ1474:AJ1500" si="286">IF($A1474="",0,IF(AND($S1474=1,$W1474=1,ABS($K1474*8-ROUND($K1474*8,0))&gt;0.0001),1,0))</f>
        <v>0</v>
      </c>
      <c r="AK1474" s="108">
        <f>IF($A1474="",0,IF(AND($S1474=1,$W1474=1,$X1474=1,$U1474&gt;Config!$C$9),1,0))</f>
        <v>0</v>
      </c>
      <c r="AL1474" s="108">
        <f t="shared" ref="AL1474:AL1500" si="287">IF($A1474="",0,IF(AND($S1474=1,$W1474=1,$X1474=1,$U1474=0),1,0))</f>
        <v>0</v>
      </c>
    </row>
    <row r="1475" spans="19:38" x14ac:dyDescent="0.25">
      <c r="S1475" s="108" t="str">
        <f>IF($A1475="","",COUNTIF(BPOworkers!$B$6:$B$105,$A1475))</f>
        <v/>
      </c>
      <c r="T1475" s="109" t="str">
        <f>IF($A1475="","",$K1475*Config!$C$9)</f>
        <v/>
      </c>
      <c r="U1475" s="109" t="str">
        <f>IF($A1475="","",IF(COUNTIF(Config!$C$21:$C$23,$H1475)&gt;0,IFERROR(VALUE(LEFT(TRIM($Q1475),FIND(" ",TRIM($Q1475)&amp;" ")-1)),0),0))</f>
        <v/>
      </c>
      <c r="V1475" s="109" t="str">
        <f t="shared" si="276"/>
        <v/>
      </c>
      <c r="W1475" s="108">
        <f>IF($A1475="",0,IF(AND($C1475&gt;=Config!$C$7,$C1475&lt;=Config!$C$8),1,0))</f>
        <v>0</v>
      </c>
      <c r="X1475" s="108">
        <f>IF($A1475="",0,IF(COUNTIF(Config!$C$21:$C$23,$H1475)&gt;0,1,0))</f>
        <v>0</v>
      </c>
      <c r="Y1475" s="108">
        <f t="shared" si="277"/>
        <v>24</v>
      </c>
      <c r="Z1475" s="108" t="str">
        <f t="shared" si="278"/>
        <v/>
      </c>
      <c r="AB1475" s="108">
        <f t="shared" si="279"/>
        <v>0</v>
      </c>
      <c r="AC1475" s="108">
        <f>IF($A1475="",0,IF(AND($AB1475=1,COUNTIF($A$2:$A1475,$A1475)=1),1,0))</f>
        <v>0</v>
      </c>
      <c r="AD1475" s="108">
        <f t="shared" si="280"/>
        <v>1</v>
      </c>
      <c r="AE1475" s="108" t="str">
        <f t="shared" si="281"/>
        <v/>
      </c>
      <c r="AF1475" s="108">
        <f t="shared" si="282"/>
        <v>0</v>
      </c>
      <c r="AG1475" s="108">
        <f t="shared" si="283"/>
        <v>0</v>
      </c>
      <c r="AH1475" s="110" t="str">
        <f t="shared" si="284"/>
        <v/>
      </c>
      <c r="AI1475" s="108">
        <f t="shared" si="285"/>
        <v>0</v>
      </c>
      <c r="AJ1475" s="108">
        <f t="shared" si="286"/>
        <v>0</v>
      </c>
      <c r="AK1475" s="108">
        <f>IF($A1475="",0,IF(AND($S1475=1,$W1475=1,$X1475=1,$U1475&gt;Config!$C$9),1,0))</f>
        <v>0</v>
      </c>
      <c r="AL1475" s="108">
        <f t="shared" si="287"/>
        <v>0</v>
      </c>
    </row>
    <row r="1476" spans="19:38" x14ac:dyDescent="0.25">
      <c r="S1476" s="108" t="str">
        <f>IF($A1476="","",COUNTIF(BPOworkers!$B$6:$B$105,$A1476))</f>
        <v/>
      </c>
      <c r="T1476" s="109" t="str">
        <f>IF($A1476="","",$K1476*Config!$C$9)</f>
        <v/>
      </c>
      <c r="U1476" s="109" t="str">
        <f>IF($A1476="","",IF(COUNTIF(Config!$C$21:$C$23,$H1476)&gt;0,IFERROR(VALUE(LEFT(TRIM($Q1476),FIND(" ",TRIM($Q1476)&amp;" ")-1)),0),0))</f>
        <v/>
      </c>
      <c r="V1476" s="109" t="str">
        <f t="shared" si="276"/>
        <v/>
      </c>
      <c r="W1476" s="108">
        <f>IF($A1476="",0,IF(AND($C1476&gt;=Config!$C$7,$C1476&lt;=Config!$C$8),1,0))</f>
        <v>0</v>
      </c>
      <c r="X1476" s="108">
        <f>IF($A1476="",0,IF(COUNTIF(Config!$C$21:$C$23,$H1476)&gt;0,1,0))</f>
        <v>0</v>
      </c>
      <c r="Y1476" s="108">
        <f t="shared" si="277"/>
        <v>24</v>
      </c>
      <c r="Z1476" s="108" t="str">
        <f t="shared" si="278"/>
        <v/>
      </c>
      <c r="AB1476" s="108">
        <f t="shared" si="279"/>
        <v>0</v>
      </c>
      <c r="AC1476" s="108">
        <f>IF($A1476="",0,IF(AND($AB1476=1,COUNTIF($A$2:$A1476,$A1476)=1),1,0))</f>
        <v>0</v>
      </c>
      <c r="AD1476" s="108">
        <f t="shared" si="280"/>
        <v>1</v>
      </c>
      <c r="AE1476" s="108" t="str">
        <f t="shared" si="281"/>
        <v/>
      </c>
      <c r="AF1476" s="108">
        <f t="shared" si="282"/>
        <v>0</v>
      </c>
      <c r="AG1476" s="108">
        <f t="shared" si="283"/>
        <v>0</v>
      </c>
      <c r="AH1476" s="110" t="str">
        <f t="shared" si="284"/>
        <v/>
      </c>
      <c r="AI1476" s="108">
        <f t="shared" si="285"/>
        <v>0</v>
      </c>
      <c r="AJ1476" s="108">
        <f t="shared" si="286"/>
        <v>0</v>
      </c>
      <c r="AK1476" s="108">
        <f>IF($A1476="",0,IF(AND($S1476=1,$W1476=1,$X1476=1,$U1476&gt;Config!$C$9),1,0))</f>
        <v>0</v>
      </c>
      <c r="AL1476" s="108">
        <f t="shared" si="287"/>
        <v>0</v>
      </c>
    </row>
    <row r="1477" spans="19:38" x14ac:dyDescent="0.25">
      <c r="S1477" s="108" t="str">
        <f>IF($A1477="","",COUNTIF(BPOworkers!$B$6:$B$105,$A1477))</f>
        <v/>
      </c>
      <c r="T1477" s="109" t="str">
        <f>IF($A1477="","",$K1477*Config!$C$9)</f>
        <v/>
      </c>
      <c r="U1477" s="109" t="str">
        <f>IF($A1477="","",IF(COUNTIF(Config!$C$21:$C$23,$H1477)&gt;0,IFERROR(VALUE(LEFT(TRIM($Q1477),FIND(" ",TRIM($Q1477)&amp;" ")-1)),0),0))</f>
        <v/>
      </c>
      <c r="V1477" s="109" t="str">
        <f t="shared" si="276"/>
        <v/>
      </c>
      <c r="W1477" s="108">
        <f>IF($A1477="",0,IF(AND($C1477&gt;=Config!$C$7,$C1477&lt;=Config!$C$8),1,0))</f>
        <v>0</v>
      </c>
      <c r="X1477" s="108">
        <f>IF($A1477="",0,IF(COUNTIF(Config!$C$21:$C$23,$H1477)&gt;0,1,0))</f>
        <v>0</v>
      </c>
      <c r="Y1477" s="108">
        <f t="shared" si="277"/>
        <v>24</v>
      </c>
      <c r="Z1477" s="108" t="str">
        <f t="shared" si="278"/>
        <v/>
      </c>
      <c r="AB1477" s="108">
        <f t="shared" si="279"/>
        <v>0</v>
      </c>
      <c r="AC1477" s="108">
        <f>IF($A1477="",0,IF(AND($AB1477=1,COUNTIF($A$2:$A1477,$A1477)=1),1,0))</f>
        <v>0</v>
      </c>
      <c r="AD1477" s="108">
        <f t="shared" si="280"/>
        <v>1</v>
      </c>
      <c r="AE1477" s="108" t="str">
        <f t="shared" si="281"/>
        <v/>
      </c>
      <c r="AF1477" s="108">
        <f t="shared" si="282"/>
        <v>0</v>
      </c>
      <c r="AG1477" s="108">
        <f t="shared" si="283"/>
        <v>0</v>
      </c>
      <c r="AH1477" s="110" t="str">
        <f t="shared" si="284"/>
        <v/>
      </c>
      <c r="AI1477" s="108">
        <f t="shared" si="285"/>
        <v>0</v>
      </c>
      <c r="AJ1477" s="108">
        <f t="shared" si="286"/>
        <v>0</v>
      </c>
      <c r="AK1477" s="108">
        <f>IF($A1477="",0,IF(AND($S1477=1,$W1477=1,$X1477=1,$U1477&gt;Config!$C$9),1,0))</f>
        <v>0</v>
      </c>
      <c r="AL1477" s="108">
        <f t="shared" si="287"/>
        <v>0</v>
      </c>
    </row>
    <row r="1478" spans="19:38" x14ac:dyDescent="0.25">
      <c r="S1478" s="108" t="str">
        <f>IF($A1478="","",COUNTIF(BPOworkers!$B$6:$B$105,$A1478))</f>
        <v/>
      </c>
      <c r="T1478" s="109" t="str">
        <f>IF($A1478="","",$K1478*Config!$C$9)</f>
        <v/>
      </c>
      <c r="U1478" s="109" t="str">
        <f>IF($A1478="","",IF(COUNTIF(Config!$C$21:$C$23,$H1478)&gt;0,IFERROR(VALUE(LEFT(TRIM($Q1478),FIND(" ",TRIM($Q1478)&amp;" ")-1)),0),0))</f>
        <v/>
      </c>
      <c r="V1478" s="109" t="str">
        <f t="shared" si="276"/>
        <v/>
      </c>
      <c r="W1478" s="108">
        <f>IF($A1478="",0,IF(AND($C1478&gt;=Config!$C$7,$C1478&lt;=Config!$C$8),1,0))</f>
        <v>0</v>
      </c>
      <c r="X1478" s="108">
        <f>IF($A1478="",0,IF(COUNTIF(Config!$C$21:$C$23,$H1478)&gt;0,1,0))</f>
        <v>0</v>
      </c>
      <c r="Y1478" s="108">
        <f t="shared" si="277"/>
        <v>24</v>
      </c>
      <c r="Z1478" s="108" t="str">
        <f t="shared" si="278"/>
        <v/>
      </c>
      <c r="AB1478" s="108">
        <f t="shared" si="279"/>
        <v>0</v>
      </c>
      <c r="AC1478" s="108">
        <f>IF($A1478="",0,IF(AND($AB1478=1,COUNTIF($A$2:$A1478,$A1478)=1),1,0))</f>
        <v>0</v>
      </c>
      <c r="AD1478" s="108">
        <f t="shared" si="280"/>
        <v>1</v>
      </c>
      <c r="AE1478" s="108" t="str">
        <f t="shared" si="281"/>
        <v/>
      </c>
      <c r="AF1478" s="108">
        <f t="shared" si="282"/>
        <v>0</v>
      </c>
      <c r="AG1478" s="108">
        <f t="shared" si="283"/>
        <v>0</v>
      </c>
      <c r="AH1478" s="110" t="str">
        <f t="shared" si="284"/>
        <v/>
      </c>
      <c r="AI1478" s="108">
        <f t="shared" si="285"/>
        <v>0</v>
      </c>
      <c r="AJ1478" s="108">
        <f t="shared" si="286"/>
        <v>0</v>
      </c>
      <c r="AK1478" s="108">
        <f>IF($A1478="",0,IF(AND($S1478=1,$W1478=1,$X1478=1,$U1478&gt;Config!$C$9),1,0))</f>
        <v>0</v>
      </c>
      <c r="AL1478" s="108">
        <f t="shared" si="287"/>
        <v>0</v>
      </c>
    </row>
    <row r="1479" spans="19:38" x14ac:dyDescent="0.25">
      <c r="S1479" s="108" t="str">
        <f>IF($A1479="","",COUNTIF(BPOworkers!$B$6:$B$105,$A1479))</f>
        <v/>
      </c>
      <c r="T1479" s="109" t="str">
        <f>IF($A1479="","",$K1479*Config!$C$9)</f>
        <v/>
      </c>
      <c r="U1479" s="109" t="str">
        <f>IF($A1479="","",IF(COUNTIF(Config!$C$21:$C$23,$H1479)&gt;0,IFERROR(VALUE(LEFT(TRIM($Q1479),FIND(" ",TRIM($Q1479)&amp;" ")-1)),0),0))</f>
        <v/>
      </c>
      <c r="V1479" s="109" t="str">
        <f t="shared" si="276"/>
        <v/>
      </c>
      <c r="W1479" s="108">
        <f>IF($A1479="",0,IF(AND($C1479&gt;=Config!$C$7,$C1479&lt;=Config!$C$8),1,0))</f>
        <v>0</v>
      </c>
      <c r="X1479" s="108">
        <f>IF($A1479="",0,IF(COUNTIF(Config!$C$21:$C$23,$H1479)&gt;0,1,0))</f>
        <v>0</v>
      </c>
      <c r="Y1479" s="108">
        <f t="shared" si="277"/>
        <v>24</v>
      </c>
      <c r="Z1479" s="108" t="str">
        <f t="shared" si="278"/>
        <v/>
      </c>
      <c r="AB1479" s="108">
        <f t="shared" si="279"/>
        <v>0</v>
      </c>
      <c r="AC1479" s="108">
        <f>IF($A1479="",0,IF(AND($AB1479=1,COUNTIF($A$2:$A1479,$A1479)=1),1,0))</f>
        <v>0</v>
      </c>
      <c r="AD1479" s="108">
        <f t="shared" si="280"/>
        <v>1</v>
      </c>
      <c r="AE1479" s="108" t="str">
        <f t="shared" si="281"/>
        <v/>
      </c>
      <c r="AF1479" s="108">
        <f t="shared" si="282"/>
        <v>0</v>
      </c>
      <c r="AG1479" s="108">
        <f t="shared" si="283"/>
        <v>0</v>
      </c>
      <c r="AH1479" s="110" t="str">
        <f t="shared" si="284"/>
        <v/>
      </c>
      <c r="AI1479" s="108">
        <f t="shared" si="285"/>
        <v>0</v>
      </c>
      <c r="AJ1479" s="108">
        <f t="shared" si="286"/>
        <v>0</v>
      </c>
      <c r="AK1479" s="108">
        <f>IF($A1479="",0,IF(AND($S1479=1,$W1479=1,$X1479=1,$U1479&gt;Config!$C$9),1,0))</f>
        <v>0</v>
      </c>
      <c r="AL1479" s="108">
        <f t="shared" si="287"/>
        <v>0</v>
      </c>
    </row>
    <row r="1480" spans="19:38" x14ac:dyDescent="0.25">
      <c r="S1480" s="108" t="str">
        <f>IF($A1480="","",COUNTIF(BPOworkers!$B$6:$B$105,$A1480))</f>
        <v/>
      </c>
      <c r="T1480" s="109" t="str">
        <f>IF($A1480="","",$K1480*Config!$C$9)</f>
        <v/>
      </c>
      <c r="U1480" s="109" t="str">
        <f>IF($A1480="","",IF(COUNTIF(Config!$C$21:$C$23,$H1480)&gt;0,IFERROR(VALUE(LEFT(TRIM($Q1480),FIND(" ",TRIM($Q1480)&amp;" ")-1)),0),0))</f>
        <v/>
      </c>
      <c r="V1480" s="109" t="str">
        <f t="shared" si="276"/>
        <v/>
      </c>
      <c r="W1480" s="108">
        <f>IF($A1480="",0,IF(AND($C1480&gt;=Config!$C$7,$C1480&lt;=Config!$C$8),1,0))</f>
        <v>0</v>
      </c>
      <c r="X1480" s="108">
        <f>IF($A1480="",0,IF(COUNTIF(Config!$C$21:$C$23,$H1480)&gt;0,1,0))</f>
        <v>0</v>
      </c>
      <c r="Y1480" s="108">
        <f t="shared" si="277"/>
        <v>24</v>
      </c>
      <c r="Z1480" s="108" t="str">
        <f t="shared" si="278"/>
        <v/>
      </c>
      <c r="AB1480" s="108">
        <f t="shared" si="279"/>
        <v>0</v>
      </c>
      <c r="AC1480" s="108">
        <f>IF($A1480="",0,IF(AND($AB1480=1,COUNTIF($A$2:$A1480,$A1480)=1),1,0))</f>
        <v>0</v>
      </c>
      <c r="AD1480" s="108">
        <f t="shared" si="280"/>
        <v>1</v>
      </c>
      <c r="AE1480" s="108" t="str">
        <f t="shared" si="281"/>
        <v/>
      </c>
      <c r="AF1480" s="108">
        <f t="shared" si="282"/>
        <v>0</v>
      </c>
      <c r="AG1480" s="108">
        <f t="shared" si="283"/>
        <v>0</v>
      </c>
      <c r="AH1480" s="110" t="str">
        <f t="shared" si="284"/>
        <v/>
      </c>
      <c r="AI1480" s="108">
        <f t="shared" si="285"/>
        <v>0</v>
      </c>
      <c r="AJ1480" s="108">
        <f t="shared" si="286"/>
        <v>0</v>
      </c>
      <c r="AK1480" s="108">
        <f>IF($A1480="",0,IF(AND($S1480=1,$W1480=1,$X1480=1,$U1480&gt;Config!$C$9),1,0))</f>
        <v>0</v>
      </c>
      <c r="AL1480" s="108">
        <f t="shared" si="287"/>
        <v>0</v>
      </c>
    </row>
    <row r="1481" spans="19:38" x14ac:dyDescent="0.25">
      <c r="S1481" s="108" t="str">
        <f>IF($A1481="","",COUNTIF(BPOworkers!$B$6:$B$105,$A1481))</f>
        <v/>
      </c>
      <c r="T1481" s="109" t="str">
        <f>IF($A1481="","",$K1481*Config!$C$9)</f>
        <v/>
      </c>
      <c r="U1481" s="109" t="str">
        <f>IF($A1481="","",IF(COUNTIF(Config!$C$21:$C$23,$H1481)&gt;0,IFERROR(VALUE(LEFT(TRIM($Q1481),FIND(" ",TRIM($Q1481)&amp;" ")-1)),0),0))</f>
        <v/>
      </c>
      <c r="V1481" s="109" t="str">
        <f t="shared" si="276"/>
        <v/>
      </c>
      <c r="W1481" s="108">
        <f>IF($A1481="",0,IF(AND($C1481&gt;=Config!$C$7,$C1481&lt;=Config!$C$8),1,0))</f>
        <v>0</v>
      </c>
      <c r="X1481" s="108">
        <f>IF($A1481="",0,IF(COUNTIF(Config!$C$21:$C$23,$H1481)&gt;0,1,0))</f>
        <v>0</v>
      </c>
      <c r="Y1481" s="108">
        <f t="shared" si="277"/>
        <v>24</v>
      </c>
      <c r="Z1481" s="108" t="str">
        <f t="shared" si="278"/>
        <v/>
      </c>
      <c r="AB1481" s="108">
        <f t="shared" si="279"/>
        <v>0</v>
      </c>
      <c r="AC1481" s="108">
        <f>IF($A1481="",0,IF(AND($AB1481=1,COUNTIF($A$2:$A1481,$A1481)=1),1,0))</f>
        <v>0</v>
      </c>
      <c r="AD1481" s="108">
        <f t="shared" si="280"/>
        <v>1</v>
      </c>
      <c r="AE1481" s="108" t="str">
        <f t="shared" si="281"/>
        <v/>
      </c>
      <c r="AF1481" s="108">
        <f t="shared" si="282"/>
        <v>0</v>
      </c>
      <c r="AG1481" s="108">
        <f t="shared" si="283"/>
        <v>0</v>
      </c>
      <c r="AH1481" s="110" t="str">
        <f t="shared" si="284"/>
        <v/>
      </c>
      <c r="AI1481" s="108">
        <f t="shared" si="285"/>
        <v>0</v>
      </c>
      <c r="AJ1481" s="108">
        <f t="shared" si="286"/>
        <v>0</v>
      </c>
      <c r="AK1481" s="108">
        <f>IF($A1481="",0,IF(AND($S1481=1,$W1481=1,$X1481=1,$U1481&gt;Config!$C$9),1,0))</f>
        <v>0</v>
      </c>
      <c r="AL1481" s="108">
        <f t="shared" si="287"/>
        <v>0</v>
      </c>
    </row>
    <row r="1482" spans="19:38" x14ac:dyDescent="0.25">
      <c r="S1482" s="108" t="str">
        <f>IF($A1482="","",COUNTIF(BPOworkers!$B$6:$B$105,$A1482))</f>
        <v/>
      </c>
      <c r="T1482" s="109" t="str">
        <f>IF($A1482="","",$K1482*Config!$C$9)</f>
        <v/>
      </c>
      <c r="U1482" s="109" t="str">
        <f>IF($A1482="","",IF(COUNTIF(Config!$C$21:$C$23,$H1482)&gt;0,IFERROR(VALUE(LEFT(TRIM($Q1482),FIND(" ",TRIM($Q1482)&amp;" ")-1)),0),0))</f>
        <v/>
      </c>
      <c r="V1482" s="109" t="str">
        <f t="shared" si="276"/>
        <v/>
      </c>
      <c r="W1482" s="108">
        <f>IF($A1482="",0,IF(AND($C1482&gt;=Config!$C$7,$C1482&lt;=Config!$C$8),1,0))</f>
        <v>0</v>
      </c>
      <c r="X1482" s="108">
        <f>IF($A1482="",0,IF(COUNTIF(Config!$C$21:$C$23,$H1482)&gt;0,1,0))</f>
        <v>0</v>
      </c>
      <c r="Y1482" s="108">
        <f t="shared" si="277"/>
        <v>24</v>
      </c>
      <c r="Z1482" s="108" t="str">
        <f t="shared" si="278"/>
        <v/>
      </c>
      <c r="AB1482" s="108">
        <f t="shared" si="279"/>
        <v>0</v>
      </c>
      <c r="AC1482" s="108">
        <f>IF($A1482="",0,IF(AND($AB1482=1,COUNTIF($A$2:$A1482,$A1482)=1),1,0))</f>
        <v>0</v>
      </c>
      <c r="AD1482" s="108">
        <f t="shared" si="280"/>
        <v>1</v>
      </c>
      <c r="AE1482" s="108" t="str">
        <f t="shared" si="281"/>
        <v/>
      </c>
      <c r="AF1482" s="108">
        <f t="shared" si="282"/>
        <v>0</v>
      </c>
      <c r="AG1482" s="108">
        <f t="shared" si="283"/>
        <v>0</v>
      </c>
      <c r="AH1482" s="110" t="str">
        <f t="shared" si="284"/>
        <v/>
      </c>
      <c r="AI1482" s="108">
        <f t="shared" si="285"/>
        <v>0</v>
      </c>
      <c r="AJ1482" s="108">
        <f t="shared" si="286"/>
        <v>0</v>
      </c>
      <c r="AK1482" s="108">
        <f>IF($A1482="",0,IF(AND($S1482=1,$W1482=1,$X1482=1,$U1482&gt;Config!$C$9),1,0))</f>
        <v>0</v>
      </c>
      <c r="AL1482" s="108">
        <f t="shared" si="287"/>
        <v>0</v>
      </c>
    </row>
    <row r="1483" spans="19:38" x14ac:dyDescent="0.25">
      <c r="S1483" s="108" t="str">
        <f>IF($A1483="","",COUNTIF(BPOworkers!$B$6:$B$105,$A1483))</f>
        <v/>
      </c>
      <c r="T1483" s="109" t="str">
        <f>IF($A1483="","",$K1483*Config!$C$9)</f>
        <v/>
      </c>
      <c r="U1483" s="109" t="str">
        <f>IF($A1483="","",IF(COUNTIF(Config!$C$21:$C$23,$H1483)&gt;0,IFERROR(VALUE(LEFT(TRIM($Q1483),FIND(" ",TRIM($Q1483)&amp;" ")-1)),0),0))</f>
        <v/>
      </c>
      <c r="V1483" s="109" t="str">
        <f t="shared" si="276"/>
        <v/>
      </c>
      <c r="W1483" s="108">
        <f>IF($A1483="",0,IF(AND($C1483&gt;=Config!$C$7,$C1483&lt;=Config!$C$8),1,0))</f>
        <v>0</v>
      </c>
      <c r="X1483" s="108">
        <f>IF($A1483="",0,IF(COUNTIF(Config!$C$21:$C$23,$H1483)&gt;0,1,0))</f>
        <v>0</v>
      </c>
      <c r="Y1483" s="108">
        <f t="shared" si="277"/>
        <v>24</v>
      </c>
      <c r="Z1483" s="108" t="str">
        <f t="shared" si="278"/>
        <v/>
      </c>
      <c r="AB1483" s="108">
        <f t="shared" si="279"/>
        <v>0</v>
      </c>
      <c r="AC1483" s="108">
        <f>IF($A1483="",0,IF(AND($AB1483=1,COUNTIF($A$2:$A1483,$A1483)=1),1,0))</f>
        <v>0</v>
      </c>
      <c r="AD1483" s="108">
        <f t="shared" si="280"/>
        <v>1</v>
      </c>
      <c r="AE1483" s="108" t="str">
        <f t="shared" si="281"/>
        <v/>
      </c>
      <c r="AF1483" s="108">
        <f t="shared" si="282"/>
        <v>0</v>
      </c>
      <c r="AG1483" s="108">
        <f t="shared" si="283"/>
        <v>0</v>
      </c>
      <c r="AH1483" s="110" t="str">
        <f t="shared" si="284"/>
        <v/>
      </c>
      <c r="AI1483" s="108">
        <f t="shared" si="285"/>
        <v>0</v>
      </c>
      <c r="AJ1483" s="108">
        <f t="shared" si="286"/>
        <v>0</v>
      </c>
      <c r="AK1483" s="108">
        <f>IF($A1483="",0,IF(AND($S1483=1,$W1483=1,$X1483=1,$U1483&gt;Config!$C$9),1,0))</f>
        <v>0</v>
      </c>
      <c r="AL1483" s="108">
        <f t="shared" si="287"/>
        <v>0</v>
      </c>
    </row>
    <row r="1484" spans="19:38" x14ac:dyDescent="0.25">
      <c r="S1484" s="108" t="str">
        <f>IF($A1484="","",COUNTIF(BPOworkers!$B$6:$B$105,$A1484))</f>
        <v/>
      </c>
      <c r="T1484" s="109" t="str">
        <f>IF($A1484="","",$K1484*Config!$C$9)</f>
        <v/>
      </c>
      <c r="U1484" s="109" t="str">
        <f>IF($A1484="","",IF(COUNTIF(Config!$C$21:$C$23,$H1484)&gt;0,IFERROR(VALUE(LEFT(TRIM($Q1484),FIND(" ",TRIM($Q1484)&amp;" ")-1)),0),0))</f>
        <v/>
      </c>
      <c r="V1484" s="109" t="str">
        <f t="shared" si="276"/>
        <v/>
      </c>
      <c r="W1484" s="108">
        <f>IF($A1484="",0,IF(AND($C1484&gt;=Config!$C$7,$C1484&lt;=Config!$C$8),1,0))</f>
        <v>0</v>
      </c>
      <c r="X1484" s="108">
        <f>IF($A1484="",0,IF(COUNTIF(Config!$C$21:$C$23,$H1484)&gt;0,1,0))</f>
        <v>0</v>
      </c>
      <c r="Y1484" s="108">
        <f t="shared" si="277"/>
        <v>24</v>
      </c>
      <c r="Z1484" s="108" t="str">
        <f t="shared" si="278"/>
        <v/>
      </c>
      <c r="AB1484" s="108">
        <f t="shared" si="279"/>
        <v>0</v>
      </c>
      <c r="AC1484" s="108">
        <f>IF($A1484="",0,IF(AND($AB1484=1,COUNTIF($A$2:$A1484,$A1484)=1),1,0))</f>
        <v>0</v>
      </c>
      <c r="AD1484" s="108">
        <f t="shared" si="280"/>
        <v>1</v>
      </c>
      <c r="AE1484" s="108" t="str">
        <f t="shared" si="281"/>
        <v/>
      </c>
      <c r="AF1484" s="108">
        <f t="shared" si="282"/>
        <v>0</v>
      </c>
      <c r="AG1484" s="108">
        <f t="shared" si="283"/>
        <v>0</v>
      </c>
      <c r="AH1484" s="110" t="str">
        <f t="shared" si="284"/>
        <v/>
      </c>
      <c r="AI1484" s="108">
        <f t="shared" si="285"/>
        <v>0</v>
      </c>
      <c r="AJ1484" s="108">
        <f t="shared" si="286"/>
        <v>0</v>
      </c>
      <c r="AK1484" s="108">
        <f>IF($A1484="",0,IF(AND($S1484=1,$W1484=1,$X1484=1,$U1484&gt;Config!$C$9),1,0))</f>
        <v>0</v>
      </c>
      <c r="AL1484" s="108">
        <f t="shared" si="287"/>
        <v>0</v>
      </c>
    </row>
    <row r="1485" spans="19:38" x14ac:dyDescent="0.25">
      <c r="S1485" s="108" t="str">
        <f>IF($A1485="","",COUNTIF(BPOworkers!$B$6:$B$105,$A1485))</f>
        <v/>
      </c>
      <c r="T1485" s="109" t="str">
        <f>IF($A1485="","",$K1485*Config!$C$9)</f>
        <v/>
      </c>
      <c r="U1485" s="109" t="str">
        <f>IF($A1485="","",IF(COUNTIF(Config!$C$21:$C$23,$H1485)&gt;0,IFERROR(VALUE(LEFT(TRIM($Q1485),FIND(" ",TRIM($Q1485)&amp;" ")-1)),0),0))</f>
        <v/>
      </c>
      <c r="V1485" s="109" t="str">
        <f t="shared" si="276"/>
        <v/>
      </c>
      <c r="W1485" s="108">
        <f>IF($A1485="",0,IF(AND($C1485&gt;=Config!$C$7,$C1485&lt;=Config!$C$8),1,0))</f>
        <v>0</v>
      </c>
      <c r="X1485" s="108">
        <f>IF($A1485="",0,IF(COUNTIF(Config!$C$21:$C$23,$H1485)&gt;0,1,0))</f>
        <v>0</v>
      </c>
      <c r="Y1485" s="108">
        <f t="shared" si="277"/>
        <v>24</v>
      </c>
      <c r="Z1485" s="108" t="str">
        <f t="shared" si="278"/>
        <v/>
      </c>
      <c r="AB1485" s="108">
        <f t="shared" si="279"/>
        <v>0</v>
      </c>
      <c r="AC1485" s="108">
        <f>IF($A1485="",0,IF(AND($AB1485=1,COUNTIF($A$2:$A1485,$A1485)=1),1,0))</f>
        <v>0</v>
      </c>
      <c r="AD1485" s="108">
        <f t="shared" si="280"/>
        <v>1</v>
      </c>
      <c r="AE1485" s="108" t="str">
        <f t="shared" si="281"/>
        <v/>
      </c>
      <c r="AF1485" s="108">
        <f t="shared" si="282"/>
        <v>0</v>
      </c>
      <c r="AG1485" s="108">
        <f t="shared" si="283"/>
        <v>0</v>
      </c>
      <c r="AH1485" s="110" t="str">
        <f t="shared" si="284"/>
        <v/>
      </c>
      <c r="AI1485" s="108">
        <f t="shared" si="285"/>
        <v>0</v>
      </c>
      <c r="AJ1485" s="108">
        <f t="shared" si="286"/>
        <v>0</v>
      </c>
      <c r="AK1485" s="108">
        <f>IF($A1485="",0,IF(AND($S1485=1,$W1485=1,$X1485=1,$U1485&gt;Config!$C$9),1,0))</f>
        <v>0</v>
      </c>
      <c r="AL1485" s="108">
        <f t="shared" si="287"/>
        <v>0</v>
      </c>
    </row>
    <row r="1486" spans="19:38" x14ac:dyDescent="0.25">
      <c r="S1486" s="108" t="str">
        <f>IF($A1486="","",COUNTIF(BPOworkers!$B$6:$B$105,$A1486))</f>
        <v/>
      </c>
      <c r="T1486" s="109" t="str">
        <f>IF($A1486="","",$K1486*Config!$C$9)</f>
        <v/>
      </c>
      <c r="U1486" s="109" t="str">
        <f>IF($A1486="","",IF(COUNTIF(Config!$C$21:$C$23,$H1486)&gt;0,IFERROR(VALUE(LEFT(TRIM($Q1486),FIND(" ",TRIM($Q1486)&amp;" ")-1)),0),0))</f>
        <v/>
      </c>
      <c r="V1486" s="109" t="str">
        <f t="shared" si="276"/>
        <v/>
      </c>
      <c r="W1486" s="108">
        <f>IF($A1486="",0,IF(AND($C1486&gt;=Config!$C$7,$C1486&lt;=Config!$C$8),1,0))</f>
        <v>0</v>
      </c>
      <c r="X1486" s="108">
        <f>IF($A1486="",0,IF(COUNTIF(Config!$C$21:$C$23,$H1486)&gt;0,1,0))</f>
        <v>0</v>
      </c>
      <c r="Y1486" s="108">
        <f t="shared" si="277"/>
        <v>24</v>
      </c>
      <c r="Z1486" s="108" t="str">
        <f t="shared" si="278"/>
        <v/>
      </c>
      <c r="AB1486" s="108">
        <f t="shared" si="279"/>
        <v>0</v>
      </c>
      <c r="AC1486" s="108">
        <f>IF($A1486="",0,IF(AND($AB1486=1,COUNTIF($A$2:$A1486,$A1486)=1),1,0))</f>
        <v>0</v>
      </c>
      <c r="AD1486" s="108">
        <f t="shared" si="280"/>
        <v>1</v>
      </c>
      <c r="AE1486" s="108" t="str">
        <f t="shared" si="281"/>
        <v/>
      </c>
      <c r="AF1486" s="108">
        <f t="shared" si="282"/>
        <v>0</v>
      </c>
      <c r="AG1486" s="108">
        <f t="shared" si="283"/>
        <v>0</v>
      </c>
      <c r="AH1486" s="110" t="str">
        <f t="shared" si="284"/>
        <v/>
      </c>
      <c r="AI1486" s="108">
        <f t="shared" si="285"/>
        <v>0</v>
      </c>
      <c r="AJ1486" s="108">
        <f t="shared" si="286"/>
        <v>0</v>
      </c>
      <c r="AK1486" s="108">
        <f>IF($A1486="",0,IF(AND($S1486=1,$W1486=1,$X1486=1,$U1486&gt;Config!$C$9),1,0))</f>
        <v>0</v>
      </c>
      <c r="AL1486" s="108">
        <f t="shared" si="287"/>
        <v>0</v>
      </c>
    </row>
    <row r="1487" spans="19:38" x14ac:dyDescent="0.25">
      <c r="S1487" s="108" t="str">
        <f>IF($A1487="","",COUNTIF(BPOworkers!$B$6:$B$105,$A1487))</f>
        <v/>
      </c>
      <c r="T1487" s="109" t="str">
        <f>IF($A1487="","",$K1487*Config!$C$9)</f>
        <v/>
      </c>
      <c r="U1487" s="109" t="str">
        <f>IF($A1487="","",IF(COUNTIF(Config!$C$21:$C$23,$H1487)&gt;0,IFERROR(VALUE(LEFT(TRIM($Q1487),FIND(" ",TRIM($Q1487)&amp;" ")-1)),0),0))</f>
        <v/>
      </c>
      <c r="V1487" s="109" t="str">
        <f t="shared" si="276"/>
        <v/>
      </c>
      <c r="W1487" s="108">
        <f>IF($A1487="",0,IF(AND($C1487&gt;=Config!$C$7,$C1487&lt;=Config!$C$8),1,0))</f>
        <v>0</v>
      </c>
      <c r="X1487" s="108">
        <f>IF($A1487="",0,IF(COUNTIF(Config!$C$21:$C$23,$H1487)&gt;0,1,0))</f>
        <v>0</v>
      </c>
      <c r="Y1487" s="108">
        <f t="shared" si="277"/>
        <v>24</v>
      </c>
      <c r="Z1487" s="108" t="str">
        <f t="shared" si="278"/>
        <v/>
      </c>
      <c r="AB1487" s="108">
        <f t="shared" si="279"/>
        <v>0</v>
      </c>
      <c r="AC1487" s="108">
        <f>IF($A1487="",0,IF(AND($AB1487=1,COUNTIF($A$2:$A1487,$A1487)=1),1,0))</f>
        <v>0</v>
      </c>
      <c r="AD1487" s="108">
        <f t="shared" si="280"/>
        <v>1</v>
      </c>
      <c r="AE1487" s="108" t="str">
        <f t="shared" si="281"/>
        <v/>
      </c>
      <c r="AF1487" s="108">
        <f t="shared" si="282"/>
        <v>0</v>
      </c>
      <c r="AG1487" s="108">
        <f t="shared" si="283"/>
        <v>0</v>
      </c>
      <c r="AH1487" s="110" t="str">
        <f t="shared" si="284"/>
        <v/>
      </c>
      <c r="AI1487" s="108">
        <f t="shared" si="285"/>
        <v>0</v>
      </c>
      <c r="AJ1487" s="108">
        <f t="shared" si="286"/>
        <v>0</v>
      </c>
      <c r="AK1487" s="108">
        <f>IF($A1487="",0,IF(AND($S1487=1,$W1487=1,$X1487=1,$U1487&gt;Config!$C$9),1,0))</f>
        <v>0</v>
      </c>
      <c r="AL1487" s="108">
        <f t="shared" si="287"/>
        <v>0</v>
      </c>
    </row>
    <row r="1488" spans="19:38" x14ac:dyDescent="0.25">
      <c r="S1488" s="108" t="str">
        <f>IF($A1488="","",COUNTIF(BPOworkers!$B$6:$B$105,$A1488))</f>
        <v/>
      </c>
      <c r="T1488" s="109" t="str">
        <f>IF($A1488="","",$K1488*Config!$C$9)</f>
        <v/>
      </c>
      <c r="U1488" s="109" t="str">
        <f>IF($A1488="","",IF(COUNTIF(Config!$C$21:$C$23,$H1488)&gt;0,IFERROR(VALUE(LEFT(TRIM($Q1488),FIND(" ",TRIM($Q1488)&amp;" ")-1)),0),0))</f>
        <v/>
      </c>
      <c r="V1488" s="109" t="str">
        <f t="shared" si="276"/>
        <v/>
      </c>
      <c r="W1488" s="108">
        <f>IF($A1488="",0,IF(AND($C1488&gt;=Config!$C$7,$C1488&lt;=Config!$C$8),1,0))</f>
        <v>0</v>
      </c>
      <c r="X1488" s="108">
        <f>IF($A1488="",0,IF(COUNTIF(Config!$C$21:$C$23,$H1488)&gt;0,1,0))</f>
        <v>0</v>
      </c>
      <c r="Y1488" s="108">
        <f t="shared" si="277"/>
        <v>24</v>
      </c>
      <c r="Z1488" s="108" t="str">
        <f t="shared" si="278"/>
        <v/>
      </c>
      <c r="AB1488" s="108">
        <f t="shared" si="279"/>
        <v>0</v>
      </c>
      <c r="AC1488" s="108">
        <f>IF($A1488="",0,IF(AND($AB1488=1,COUNTIF($A$2:$A1488,$A1488)=1),1,0))</f>
        <v>0</v>
      </c>
      <c r="AD1488" s="108">
        <f t="shared" si="280"/>
        <v>1</v>
      </c>
      <c r="AE1488" s="108" t="str">
        <f t="shared" si="281"/>
        <v/>
      </c>
      <c r="AF1488" s="108">
        <f t="shared" si="282"/>
        <v>0</v>
      </c>
      <c r="AG1488" s="108">
        <f t="shared" si="283"/>
        <v>0</v>
      </c>
      <c r="AH1488" s="110" t="str">
        <f t="shared" si="284"/>
        <v/>
      </c>
      <c r="AI1488" s="108">
        <f t="shared" si="285"/>
        <v>0</v>
      </c>
      <c r="AJ1488" s="108">
        <f t="shared" si="286"/>
        <v>0</v>
      </c>
      <c r="AK1488" s="108">
        <f>IF($A1488="",0,IF(AND($S1488=1,$W1488=1,$X1488=1,$U1488&gt;Config!$C$9),1,0))</f>
        <v>0</v>
      </c>
      <c r="AL1488" s="108">
        <f t="shared" si="287"/>
        <v>0</v>
      </c>
    </row>
    <row r="1489" spans="19:38" x14ac:dyDescent="0.25">
      <c r="S1489" s="108" t="str">
        <f>IF($A1489="","",COUNTIF(BPOworkers!$B$6:$B$105,$A1489))</f>
        <v/>
      </c>
      <c r="T1489" s="109" t="str">
        <f>IF($A1489="","",$K1489*Config!$C$9)</f>
        <v/>
      </c>
      <c r="U1489" s="109" t="str">
        <f>IF($A1489="","",IF(COUNTIF(Config!$C$21:$C$23,$H1489)&gt;0,IFERROR(VALUE(LEFT(TRIM($Q1489),FIND(" ",TRIM($Q1489)&amp;" ")-1)),0),0))</f>
        <v/>
      </c>
      <c r="V1489" s="109" t="str">
        <f t="shared" si="276"/>
        <v/>
      </c>
      <c r="W1489" s="108">
        <f>IF($A1489="",0,IF(AND($C1489&gt;=Config!$C$7,$C1489&lt;=Config!$C$8),1,0))</f>
        <v>0</v>
      </c>
      <c r="X1489" s="108">
        <f>IF($A1489="",0,IF(COUNTIF(Config!$C$21:$C$23,$H1489)&gt;0,1,0))</f>
        <v>0</v>
      </c>
      <c r="Y1489" s="108">
        <f t="shared" si="277"/>
        <v>24</v>
      </c>
      <c r="Z1489" s="108" t="str">
        <f t="shared" si="278"/>
        <v/>
      </c>
      <c r="AB1489" s="108">
        <f t="shared" si="279"/>
        <v>0</v>
      </c>
      <c r="AC1489" s="108">
        <f>IF($A1489="",0,IF(AND($AB1489=1,COUNTIF($A$2:$A1489,$A1489)=1),1,0))</f>
        <v>0</v>
      </c>
      <c r="AD1489" s="108">
        <f t="shared" si="280"/>
        <v>1</v>
      </c>
      <c r="AE1489" s="108" t="str">
        <f t="shared" si="281"/>
        <v/>
      </c>
      <c r="AF1489" s="108">
        <f t="shared" si="282"/>
        <v>0</v>
      </c>
      <c r="AG1489" s="108">
        <f t="shared" si="283"/>
        <v>0</v>
      </c>
      <c r="AH1489" s="110" t="str">
        <f t="shared" si="284"/>
        <v/>
      </c>
      <c r="AI1489" s="108">
        <f t="shared" si="285"/>
        <v>0</v>
      </c>
      <c r="AJ1489" s="108">
        <f t="shared" si="286"/>
        <v>0</v>
      </c>
      <c r="AK1489" s="108">
        <f>IF($A1489="",0,IF(AND($S1489=1,$W1489=1,$X1489=1,$U1489&gt;Config!$C$9),1,0))</f>
        <v>0</v>
      </c>
      <c r="AL1489" s="108">
        <f t="shared" si="287"/>
        <v>0</v>
      </c>
    </row>
    <row r="1490" spans="19:38" x14ac:dyDescent="0.25">
      <c r="S1490" s="108" t="str">
        <f>IF($A1490="","",COUNTIF(BPOworkers!$B$6:$B$105,$A1490))</f>
        <v/>
      </c>
      <c r="T1490" s="109" t="str">
        <f>IF($A1490="","",$K1490*Config!$C$9)</f>
        <v/>
      </c>
      <c r="U1490" s="109" t="str">
        <f>IF($A1490="","",IF(COUNTIF(Config!$C$21:$C$23,$H1490)&gt;0,IFERROR(VALUE(LEFT(TRIM($Q1490),FIND(" ",TRIM($Q1490)&amp;" ")-1)),0),0))</f>
        <v/>
      </c>
      <c r="V1490" s="109" t="str">
        <f t="shared" si="276"/>
        <v/>
      </c>
      <c r="W1490" s="108">
        <f>IF($A1490="",0,IF(AND($C1490&gt;=Config!$C$7,$C1490&lt;=Config!$C$8),1,0))</f>
        <v>0</v>
      </c>
      <c r="X1490" s="108">
        <f>IF($A1490="",0,IF(COUNTIF(Config!$C$21:$C$23,$H1490)&gt;0,1,0))</f>
        <v>0</v>
      </c>
      <c r="Y1490" s="108">
        <f t="shared" si="277"/>
        <v>24</v>
      </c>
      <c r="Z1490" s="108" t="str">
        <f t="shared" si="278"/>
        <v/>
      </c>
      <c r="AB1490" s="108">
        <f t="shared" si="279"/>
        <v>0</v>
      </c>
      <c r="AC1490" s="108">
        <f>IF($A1490="",0,IF(AND($AB1490=1,COUNTIF($A$2:$A1490,$A1490)=1),1,0))</f>
        <v>0</v>
      </c>
      <c r="AD1490" s="108">
        <f t="shared" si="280"/>
        <v>1</v>
      </c>
      <c r="AE1490" s="108" t="str">
        <f t="shared" si="281"/>
        <v/>
      </c>
      <c r="AF1490" s="108">
        <f t="shared" si="282"/>
        <v>0</v>
      </c>
      <c r="AG1490" s="108">
        <f t="shared" si="283"/>
        <v>0</v>
      </c>
      <c r="AH1490" s="110" t="str">
        <f t="shared" si="284"/>
        <v/>
      </c>
      <c r="AI1490" s="108">
        <f t="shared" si="285"/>
        <v>0</v>
      </c>
      <c r="AJ1490" s="108">
        <f t="shared" si="286"/>
        <v>0</v>
      </c>
      <c r="AK1490" s="108">
        <f>IF($A1490="",0,IF(AND($S1490=1,$W1490=1,$X1490=1,$U1490&gt;Config!$C$9),1,0))</f>
        <v>0</v>
      </c>
      <c r="AL1490" s="108">
        <f t="shared" si="287"/>
        <v>0</v>
      </c>
    </row>
    <row r="1491" spans="19:38" x14ac:dyDescent="0.25">
      <c r="S1491" s="108" t="str">
        <f>IF($A1491="","",COUNTIF(BPOworkers!$B$6:$B$105,$A1491))</f>
        <v/>
      </c>
      <c r="T1491" s="109" t="str">
        <f>IF($A1491="","",$K1491*Config!$C$9)</f>
        <v/>
      </c>
      <c r="U1491" s="109" t="str">
        <f>IF($A1491="","",IF(COUNTIF(Config!$C$21:$C$23,$H1491)&gt;0,IFERROR(VALUE(LEFT(TRIM($Q1491),FIND(" ",TRIM($Q1491)&amp;" ")-1)),0),0))</f>
        <v/>
      </c>
      <c r="V1491" s="109" t="str">
        <f t="shared" si="276"/>
        <v/>
      </c>
      <c r="W1491" s="108">
        <f>IF($A1491="",0,IF(AND($C1491&gt;=Config!$C$7,$C1491&lt;=Config!$C$8),1,0))</f>
        <v>0</v>
      </c>
      <c r="X1491" s="108">
        <f>IF($A1491="",0,IF(COUNTIF(Config!$C$21:$C$23,$H1491)&gt;0,1,0))</f>
        <v>0</v>
      </c>
      <c r="Y1491" s="108">
        <f t="shared" si="277"/>
        <v>24</v>
      </c>
      <c r="Z1491" s="108" t="str">
        <f t="shared" si="278"/>
        <v/>
      </c>
      <c r="AB1491" s="108">
        <f t="shared" si="279"/>
        <v>0</v>
      </c>
      <c r="AC1491" s="108">
        <f>IF($A1491="",0,IF(AND($AB1491=1,COUNTIF($A$2:$A1491,$A1491)=1),1,0))</f>
        <v>0</v>
      </c>
      <c r="AD1491" s="108">
        <f t="shared" si="280"/>
        <v>1</v>
      </c>
      <c r="AE1491" s="108" t="str">
        <f t="shared" si="281"/>
        <v/>
      </c>
      <c r="AF1491" s="108">
        <f t="shared" si="282"/>
        <v>0</v>
      </c>
      <c r="AG1491" s="108">
        <f t="shared" si="283"/>
        <v>0</v>
      </c>
      <c r="AH1491" s="110" t="str">
        <f t="shared" si="284"/>
        <v/>
      </c>
      <c r="AI1491" s="108">
        <f t="shared" si="285"/>
        <v>0</v>
      </c>
      <c r="AJ1491" s="108">
        <f t="shared" si="286"/>
        <v>0</v>
      </c>
      <c r="AK1491" s="108">
        <f>IF($A1491="",0,IF(AND($S1491=1,$W1491=1,$X1491=1,$U1491&gt;Config!$C$9),1,0))</f>
        <v>0</v>
      </c>
      <c r="AL1491" s="108">
        <f t="shared" si="287"/>
        <v>0</v>
      </c>
    </row>
    <row r="1492" spans="19:38" x14ac:dyDescent="0.25">
      <c r="S1492" s="108" t="str">
        <f>IF($A1492="","",COUNTIF(BPOworkers!$B$6:$B$105,$A1492))</f>
        <v/>
      </c>
      <c r="T1492" s="109" t="str">
        <f>IF($A1492="","",$K1492*Config!$C$9)</f>
        <v/>
      </c>
      <c r="U1492" s="109" t="str">
        <f>IF($A1492="","",IF(COUNTIF(Config!$C$21:$C$23,$H1492)&gt;0,IFERROR(VALUE(LEFT(TRIM($Q1492),FIND(" ",TRIM($Q1492)&amp;" ")-1)),0),0))</f>
        <v/>
      </c>
      <c r="V1492" s="109" t="str">
        <f t="shared" si="276"/>
        <v/>
      </c>
      <c r="W1492" s="108">
        <f>IF($A1492="",0,IF(AND($C1492&gt;=Config!$C$7,$C1492&lt;=Config!$C$8),1,0))</f>
        <v>0</v>
      </c>
      <c r="X1492" s="108">
        <f>IF($A1492="",0,IF(COUNTIF(Config!$C$21:$C$23,$H1492)&gt;0,1,0))</f>
        <v>0</v>
      </c>
      <c r="Y1492" s="108">
        <f t="shared" si="277"/>
        <v>24</v>
      </c>
      <c r="Z1492" s="108" t="str">
        <f t="shared" si="278"/>
        <v/>
      </c>
      <c r="AB1492" s="108">
        <f t="shared" si="279"/>
        <v>0</v>
      </c>
      <c r="AC1492" s="108">
        <f>IF($A1492="",0,IF(AND($AB1492=1,COUNTIF($A$2:$A1492,$A1492)=1),1,0))</f>
        <v>0</v>
      </c>
      <c r="AD1492" s="108">
        <f t="shared" si="280"/>
        <v>1</v>
      </c>
      <c r="AE1492" s="108" t="str">
        <f t="shared" si="281"/>
        <v/>
      </c>
      <c r="AF1492" s="108">
        <f t="shared" si="282"/>
        <v>0</v>
      </c>
      <c r="AG1492" s="108">
        <f t="shared" si="283"/>
        <v>0</v>
      </c>
      <c r="AH1492" s="110" t="str">
        <f t="shared" si="284"/>
        <v/>
      </c>
      <c r="AI1492" s="108">
        <f t="shared" si="285"/>
        <v>0</v>
      </c>
      <c r="AJ1492" s="108">
        <f t="shared" si="286"/>
        <v>0</v>
      </c>
      <c r="AK1492" s="108">
        <f>IF($A1492="",0,IF(AND($S1492=1,$W1492=1,$X1492=1,$U1492&gt;Config!$C$9),1,0))</f>
        <v>0</v>
      </c>
      <c r="AL1492" s="108">
        <f t="shared" si="287"/>
        <v>0</v>
      </c>
    </row>
    <row r="1493" spans="19:38" x14ac:dyDescent="0.25">
      <c r="S1493" s="108" t="str">
        <f>IF($A1493="","",COUNTIF(BPOworkers!$B$6:$B$105,$A1493))</f>
        <v/>
      </c>
      <c r="T1493" s="109" t="str">
        <f>IF($A1493="","",$K1493*Config!$C$9)</f>
        <v/>
      </c>
      <c r="U1493" s="109" t="str">
        <f>IF($A1493="","",IF(COUNTIF(Config!$C$21:$C$23,$H1493)&gt;0,IFERROR(VALUE(LEFT(TRIM($Q1493),FIND(" ",TRIM($Q1493)&amp;" ")-1)),0),0))</f>
        <v/>
      </c>
      <c r="V1493" s="109" t="str">
        <f t="shared" si="276"/>
        <v/>
      </c>
      <c r="W1493" s="108">
        <f>IF($A1493="",0,IF(AND($C1493&gt;=Config!$C$7,$C1493&lt;=Config!$C$8),1,0))</f>
        <v>0</v>
      </c>
      <c r="X1493" s="108">
        <f>IF($A1493="",0,IF(COUNTIF(Config!$C$21:$C$23,$H1493)&gt;0,1,0))</f>
        <v>0</v>
      </c>
      <c r="Y1493" s="108">
        <f t="shared" si="277"/>
        <v>24</v>
      </c>
      <c r="Z1493" s="108" t="str">
        <f t="shared" si="278"/>
        <v/>
      </c>
      <c r="AB1493" s="108">
        <f t="shared" si="279"/>
        <v>0</v>
      </c>
      <c r="AC1493" s="108">
        <f>IF($A1493="",0,IF(AND($AB1493=1,COUNTIF($A$2:$A1493,$A1493)=1),1,0))</f>
        <v>0</v>
      </c>
      <c r="AD1493" s="108">
        <f t="shared" si="280"/>
        <v>1</v>
      </c>
      <c r="AE1493" s="108" t="str">
        <f t="shared" si="281"/>
        <v/>
      </c>
      <c r="AF1493" s="108">
        <f t="shared" si="282"/>
        <v>0</v>
      </c>
      <c r="AG1493" s="108">
        <f t="shared" si="283"/>
        <v>0</v>
      </c>
      <c r="AH1493" s="110" t="str">
        <f t="shared" si="284"/>
        <v/>
      </c>
      <c r="AI1493" s="108">
        <f t="shared" si="285"/>
        <v>0</v>
      </c>
      <c r="AJ1493" s="108">
        <f t="shared" si="286"/>
        <v>0</v>
      </c>
      <c r="AK1493" s="108">
        <f>IF($A1493="",0,IF(AND($S1493=1,$W1493=1,$X1493=1,$U1493&gt;Config!$C$9),1,0))</f>
        <v>0</v>
      </c>
      <c r="AL1493" s="108">
        <f t="shared" si="287"/>
        <v>0</v>
      </c>
    </row>
    <row r="1494" spans="19:38" x14ac:dyDescent="0.25">
      <c r="S1494" s="108" t="str">
        <f>IF($A1494="","",COUNTIF(BPOworkers!$B$6:$B$105,$A1494))</f>
        <v/>
      </c>
      <c r="T1494" s="109" t="str">
        <f>IF($A1494="","",$K1494*Config!$C$9)</f>
        <v/>
      </c>
      <c r="U1494" s="109" t="str">
        <f>IF($A1494="","",IF(COUNTIF(Config!$C$21:$C$23,$H1494)&gt;0,IFERROR(VALUE(LEFT(TRIM($Q1494),FIND(" ",TRIM($Q1494)&amp;" ")-1)),0),0))</f>
        <v/>
      </c>
      <c r="V1494" s="109" t="str">
        <f t="shared" si="276"/>
        <v/>
      </c>
      <c r="W1494" s="108">
        <f>IF($A1494="",0,IF(AND($C1494&gt;=Config!$C$7,$C1494&lt;=Config!$C$8),1,0))</f>
        <v>0</v>
      </c>
      <c r="X1494" s="108">
        <f>IF($A1494="",0,IF(COUNTIF(Config!$C$21:$C$23,$H1494)&gt;0,1,0))</f>
        <v>0</v>
      </c>
      <c r="Y1494" s="108">
        <f t="shared" si="277"/>
        <v>24</v>
      </c>
      <c r="Z1494" s="108" t="str">
        <f t="shared" si="278"/>
        <v/>
      </c>
      <c r="AB1494" s="108">
        <f t="shared" si="279"/>
        <v>0</v>
      </c>
      <c r="AC1494" s="108">
        <f>IF($A1494="",0,IF(AND($AB1494=1,COUNTIF($A$2:$A1494,$A1494)=1),1,0))</f>
        <v>0</v>
      </c>
      <c r="AD1494" s="108">
        <f t="shared" si="280"/>
        <v>1</v>
      </c>
      <c r="AE1494" s="108" t="str">
        <f t="shared" si="281"/>
        <v/>
      </c>
      <c r="AF1494" s="108">
        <f t="shared" si="282"/>
        <v>0</v>
      </c>
      <c r="AG1494" s="108">
        <f t="shared" si="283"/>
        <v>0</v>
      </c>
      <c r="AH1494" s="110" t="str">
        <f t="shared" si="284"/>
        <v/>
      </c>
      <c r="AI1494" s="108">
        <f t="shared" si="285"/>
        <v>0</v>
      </c>
      <c r="AJ1494" s="108">
        <f t="shared" si="286"/>
        <v>0</v>
      </c>
      <c r="AK1494" s="108">
        <f>IF($A1494="",0,IF(AND($S1494=1,$W1494=1,$X1494=1,$U1494&gt;Config!$C$9),1,0))</f>
        <v>0</v>
      </c>
      <c r="AL1494" s="108">
        <f t="shared" si="287"/>
        <v>0</v>
      </c>
    </row>
    <row r="1495" spans="19:38" x14ac:dyDescent="0.25">
      <c r="S1495" s="108" t="str">
        <f>IF($A1495="","",COUNTIF(BPOworkers!$B$6:$B$105,$A1495))</f>
        <v/>
      </c>
      <c r="T1495" s="109" t="str">
        <f>IF($A1495="","",$K1495*Config!$C$9)</f>
        <v/>
      </c>
      <c r="U1495" s="109" t="str">
        <f>IF($A1495="","",IF(COUNTIF(Config!$C$21:$C$23,$H1495)&gt;0,IFERROR(VALUE(LEFT(TRIM($Q1495),FIND(" ",TRIM($Q1495)&amp;" ")-1)),0),0))</f>
        <v/>
      </c>
      <c r="V1495" s="109" t="str">
        <f t="shared" si="276"/>
        <v/>
      </c>
      <c r="W1495" s="108">
        <f>IF($A1495="",0,IF(AND($C1495&gt;=Config!$C$7,$C1495&lt;=Config!$C$8),1,0))</f>
        <v>0</v>
      </c>
      <c r="X1495" s="108">
        <f>IF($A1495="",0,IF(COUNTIF(Config!$C$21:$C$23,$H1495)&gt;0,1,0))</f>
        <v>0</v>
      </c>
      <c r="Y1495" s="108">
        <f t="shared" si="277"/>
        <v>24</v>
      </c>
      <c r="Z1495" s="108" t="str">
        <f t="shared" si="278"/>
        <v/>
      </c>
      <c r="AB1495" s="108">
        <f t="shared" si="279"/>
        <v>0</v>
      </c>
      <c r="AC1495" s="108">
        <f>IF($A1495="",0,IF(AND($AB1495=1,COUNTIF($A$2:$A1495,$A1495)=1),1,0))</f>
        <v>0</v>
      </c>
      <c r="AD1495" s="108">
        <f t="shared" si="280"/>
        <v>1</v>
      </c>
      <c r="AE1495" s="108" t="str">
        <f t="shared" si="281"/>
        <v/>
      </c>
      <c r="AF1495" s="108">
        <f t="shared" si="282"/>
        <v>0</v>
      </c>
      <c r="AG1495" s="108">
        <f t="shared" si="283"/>
        <v>0</v>
      </c>
      <c r="AH1495" s="110" t="str">
        <f t="shared" si="284"/>
        <v/>
      </c>
      <c r="AI1495" s="108">
        <f t="shared" si="285"/>
        <v>0</v>
      </c>
      <c r="AJ1495" s="108">
        <f t="shared" si="286"/>
        <v>0</v>
      </c>
      <c r="AK1495" s="108">
        <f>IF($A1495="",0,IF(AND($S1495=1,$W1495=1,$X1495=1,$U1495&gt;Config!$C$9),1,0))</f>
        <v>0</v>
      </c>
      <c r="AL1495" s="108">
        <f t="shared" si="287"/>
        <v>0</v>
      </c>
    </row>
    <row r="1496" spans="19:38" x14ac:dyDescent="0.25">
      <c r="S1496" s="108" t="str">
        <f>IF($A1496="","",COUNTIF(BPOworkers!$B$6:$B$105,$A1496))</f>
        <v/>
      </c>
      <c r="T1496" s="109" t="str">
        <f>IF($A1496="","",$K1496*Config!$C$9)</f>
        <v/>
      </c>
      <c r="U1496" s="109" t="str">
        <f>IF($A1496="","",IF(COUNTIF(Config!$C$21:$C$23,$H1496)&gt;0,IFERROR(VALUE(LEFT(TRIM($Q1496),FIND(" ",TRIM($Q1496)&amp;" ")-1)),0),0))</f>
        <v/>
      </c>
      <c r="V1496" s="109" t="str">
        <f t="shared" si="276"/>
        <v/>
      </c>
      <c r="W1496" s="108">
        <f>IF($A1496="",0,IF(AND($C1496&gt;=Config!$C$7,$C1496&lt;=Config!$C$8),1,0))</f>
        <v>0</v>
      </c>
      <c r="X1496" s="108">
        <f>IF($A1496="",0,IF(COUNTIF(Config!$C$21:$C$23,$H1496)&gt;0,1,0))</f>
        <v>0</v>
      </c>
      <c r="Y1496" s="108">
        <f t="shared" si="277"/>
        <v>24</v>
      </c>
      <c r="Z1496" s="108" t="str">
        <f t="shared" si="278"/>
        <v/>
      </c>
      <c r="AB1496" s="108">
        <f t="shared" si="279"/>
        <v>0</v>
      </c>
      <c r="AC1496" s="108">
        <f>IF($A1496="",0,IF(AND($AB1496=1,COUNTIF($A$2:$A1496,$A1496)=1),1,0))</f>
        <v>0</v>
      </c>
      <c r="AD1496" s="108">
        <f t="shared" si="280"/>
        <v>1</v>
      </c>
      <c r="AE1496" s="108" t="str">
        <f t="shared" si="281"/>
        <v/>
      </c>
      <c r="AF1496" s="108">
        <f t="shared" si="282"/>
        <v>0</v>
      </c>
      <c r="AG1496" s="108">
        <f t="shared" si="283"/>
        <v>0</v>
      </c>
      <c r="AH1496" s="110" t="str">
        <f t="shared" si="284"/>
        <v/>
      </c>
      <c r="AI1496" s="108">
        <f t="shared" si="285"/>
        <v>0</v>
      </c>
      <c r="AJ1496" s="108">
        <f t="shared" si="286"/>
        <v>0</v>
      </c>
      <c r="AK1496" s="108">
        <f>IF($A1496="",0,IF(AND($S1496=1,$W1496=1,$X1496=1,$U1496&gt;Config!$C$9),1,0))</f>
        <v>0</v>
      </c>
      <c r="AL1496" s="108">
        <f t="shared" si="287"/>
        <v>0</v>
      </c>
    </row>
    <row r="1497" spans="19:38" x14ac:dyDescent="0.25">
      <c r="S1497" s="108" t="str">
        <f>IF($A1497="","",COUNTIF(BPOworkers!$B$6:$B$105,$A1497))</f>
        <v/>
      </c>
      <c r="T1497" s="109" t="str">
        <f>IF($A1497="","",$K1497*Config!$C$9)</f>
        <v/>
      </c>
      <c r="U1497" s="109" t="str">
        <f>IF($A1497="","",IF(COUNTIF(Config!$C$21:$C$23,$H1497)&gt;0,IFERROR(VALUE(LEFT(TRIM($Q1497),FIND(" ",TRIM($Q1497)&amp;" ")-1)),0),0))</f>
        <v/>
      </c>
      <c r="V1497" s="109" t="str">
        <f t="shared" si="276"/>
        <v/>
      </c>
      <c r="W1497" s="108">
        <f>IF($A1497="",0,IF(AND($C1497&gt;=Config!$C$7,$C1497&lt;=Config!$C$8),1,0))</f>
        <v>0</v>
      </c>
      <c r="X1497" s="108">
        <f>IF($A1497="",0,IF(COUNTIF(Config!$C$21:$C$23,$H1497)&gt;0,1,0))</f>
        <v>0</v>
      </c>
      <c r="Y1497" s="108">
        <f t="shared" si="277"/>
        <v>24</v>
      </c>
      <c r="Z1497" s="108" t="str">
        <f t="shared" si="278"/>
        <v/>
      </c>
      <c r="AB1497" s="108">
        <f t="shared" si="279"/>
        <v>0</v>
      </c>
      <c r="AC1497" s="108">
        <f>IF($A1497="",0,IF(AND($AB1497=1,COUNTIF($A$2:$A1497,$A1497)=1),1,0))</f>
        <v>0</v>
      </c>
      <c r="AD1497" s="108">
        <f t="shared" si="280"/>
        <v>1</v>
      </c>
      <c r="AE1497" s="108" t="str">
        <f t="shared" si="281"/>
        <v/>
      </c>
      <c r="AF1497" s="108">
        <f t="shared" si="282"/>
        <v>0</v>
      </c>
      <c r="AG1497" s="108">
        <f t="shared" si="283"/>
        <v>0</v>
      </c>
      <c r="AH1497" s="110" t="str">
        <f t="shared" si="284"/>
        <v/>
      </c>
      <c r="AI1497" s="108">
        <f t="shared" si="285"/>
        <v>0</v>
      </c>
      <c r="AJ1497" s="108">
        <f t="shared" si="286"/>
        <v>0</v>
      </c>
      <c r="AK1497" s="108">
        <f>IF($A1497="",0,IF(AND($S1497=1,$W1497=1,$X1497=1,$U1497&gt;Config!$C$9),1,0))</f>
        <v>0</v>
      </c>
      <c r="AL1497" s="108">
        <f t="shared" si="287"/>
        <v>0</v>
      </c>
    </row>
    <row r="1498" spans="19:38" x14ac:dyDescent="0.25">
      <c r="S1498" s="108" t="str">
        <f>IF($A1498="","",COUNTIF(BPOworkers!$B$6:$B$105,$A1498))</f>
        <v/>
      </c>
      <c r="T1498" s="109" t="str">
        <f>IF($A1498="","",$K1498*Config!$C$9)</f>
        <v/>
      </c>
      <c r="U1498" s="109" t="str">
        <f>IF($A1498="","",IF(COUNTIF(Config!$C$21:$C$23,$H1498)&gt;0,IFERROR(VALUE(LEFT(TRIM($Q1498),FIND(" ",TRIM($Q1498)&amp;" ")-1)),0),0))</f>
        <v/>
      </c>
      <c r="V1498" s="109" t="str">
        <f t="shared" si="276"/>
        <v/>
      </c>
      <c r="W1498" s="108">
        <f>IF($A1498="",0,IF(AND($C1498&gt;=Config!$C$7,$C1498&lt;=Config!$C$8),1,0))</f>
        <v>0</v>
      </c>
      <c r="X1498" s="108">
        <f>IF($A1498="",0,IF(COUNTIF(Config!$C$21:$C$23,$H1498)&gt;0,1,0))</f>
        <v>0</v>
      </c>
      <c r="Y1498" s="108">
        <f t="shared" si="277"/>
        <v>24</v>
      </c>
      <c r="Z1498" s="108" t="str">
        <f t="shared" si="278"/>
        <v/>
      </c>
      <c r="AB1498" s="108">
        <f t="shared" si="279"/>
        <v>0</v>
      </c>
      <c r="AC1498" s="108">
        <f>IF($A1498="",0,IF(AND($AB1498=1,COUNTIF($A$2:$A1498,$A1498)=1),1,0))</f>
        <v>0</v>
      </c>
      <c r="AD1498" s="108">
        <f t="shared" si="280"/>
        <v>1</v>
      </c>
      <c r="AE1498" s="108" t="str">
        <f t="shared" si="281"/>
        <v/>
      </c>
      <c r="AF1498" s="108">
        <f t="shared" si="282"/>
        <v>0</v>
      </c>
      <c r="AG1498" s="108">
        <f t="shared" si="283"/>
        <v>0</v>
      </c>
      <c r="AH1498" s="110" t="str">
        <f t="shared" si="284"/>
        <v/>
      </c>
      <c r="AI1498" s="108">
        <f t="shared" si="285"/>
        <v>0</v>
      </c>
      <c r="AJ1498" s="108">
        <f t="shared" si="286"/>
        <v>0</v>
      </c>
      <c r="AK1498" s="108">
        <f>IF($A1498="",0,IF(AND($S1498=1,$W1498=1,$X1498=1,$U1498&gt;Config!$C$9),1,0))</f>
        <v>0</v>
      </c>
      <c r="AL1498" s="108">
        <f t="shared" si="287"/>
        <v>0</v>
      </c>
    </row>
    <row r="1499" spans="19:38" x14ac:dyDescent="0.25">
      <c r="S1499" s="108" t="str">
        <f>IF($A1499="","",COUNTIF(BPOworkers!$B$6:$B$105,$A1499))</f>
        <v/>
      </c>
      <c r="T1499" s="109" t="str">
        <f>IF($A1499="","",$K1499*Config!$C$9)</f>
        <v/>
      </c>
      <c r="U1499" s="109" t="str">
        <f>IF($A1499="","",IF(COUNTIF(Config!$C$21:$C$23,$H1499)&gt;0,IFERROR(VALUE(LEFT(TRIM($Q1499),FIND(" ",TRIM($Q1499)&amp;" ")-1)),0),0))</f>
        <v/>
      </c>
      <c r="V1499" s="109" t="str">
        <f t="shared" si="276"/>
        <v/>
      </c>
      <c r="W1499" s="108">
        <f>IF($A1499="",0,IF(AND($C1499&gt;=Config!$C$7,$C1499&lt;=Config!$C$8),1,0))</f>
        <v>0</v>
      </c>
      <c r="X1499" s="108">
        <f>IF($A1499="",0,IF(COUNTIF(Config!$C$21:$C$23,$H1499)&gt;0,1,0))</f>
        <v>0</v>
      </c>
      <c r="Y1499" s="108">
        <f t="shared" si="277"/>
        <v>24</v>
      </c>
      <c r="Z1499" s="108" t="str">
        <f t="shared" si="278"/>
        <v/>
      </c>
      <c r="AB1499" s="108">
        <f t="shared" si="279"/>
        <v>0</v>
      </c>
      <c r="AC1499" s="108">
        <f>IF($A1499="",0,IF(AND($AB1499=1,COUNTIF($A$2:$A1499,$A1499)=1),1,0))</f>
        <v>0</v>
      </c>
      <c r="AD1499" s="108">
        <f t="shared" si="280"/>
        <v>1</v>
      </c>
      <c r="AE1499" s="108" t="str">
        <f t="shared" si="281"/>
        <v/>
      </c>
      <c r="AF1499" s="108">
        <f t="shared" si="282"/>
        <v>0</v>
      </c>
      <c r="AG1499" s="108">
        <f t="shared" si="283"/>
        <v>0</v>
      </c>
      <c r="AH1499" s="110" t="str">
        <f t="shared" si="284"/>
        <v/>
      </c>
      <c r="AI1499" s="108">
        <f t="shared" si="285"/>
        <v>0</v>
      </c>
      <c r="AJ1499" s="108">
        <f t="shared" si="286"/>
        <v>0</v>
      </c>
      <c r="AK1499" s="108">
        <f>IF($A1499="",0,IF(AND($S1499=1,$W1499=1,$X1499=1,$U1499&gt;Config!$C$9),1,0))</f>
        <v>0</v>
      </c>
      <c r="AL1499" s="108">
        <f t="shared" si="287"/>
        <v>0</v>
      </c>
    </row>
    <row r="1500" spans="19:38" x14ac:dyDescent="0.25">
      <c r="S1500" s="108" t="str">
        <f>IF($A1500="","",COUNTIF(BPOworkers!$B$6:$B$105,$A1500))</f>
        <v/>
      </c>
      <c r="T1500" s="109" t="str">
        <f>IF($A1500="","",$K1500*Config!$C$9)</f>
        <v/>
      </c>
      <c r="U1500" s="109" t="str">
        <f>IF($A1500="","",IF(COUNTIF(Config!$C$21:$C$23,$H1500)&gt;0,IFERROR(VALUE(LEFT(TRIM($Q1500),FIND(" ",TRIM($Q1500)&amp;" ")-1)),0),0))</f>
        <v/>
      </c>
      <c r="V1500" s="109" t="str">
        <f t="shared" si="276"/>
        <v/>
      </c>
      <c r="W1500" s="108">
        <f>IF($A1500="",0,IF(AND($C1500&gt;=Config!$C$7,$C1500&lt;=Config!$C$8),1,0))</f>
        <v>0</v>
      </c>
      <c r="X1500" s="108">
        <f>IF($A1500="",0,IF(COUNTIF(Config!$C$21:$C$23,$H1500)&gt;0,1,0))</f>
        <v>0</v>
      </c>
      <c r="Y1500" s="108">
        <f t="shared" si="277"/>
        <v>24</v>
      </c>
      <c r="Z1500" s="108" t="str">
        <f t="shared" si="278"/>
        <v/>
      </c>
      <c r="AB1500" s="108">
        <f t="shared" si="279"/>
        <v>0</v>
      </c>
      <c r="AC1500" s="108">
        <f>IF($A1500="",0,IF(AND($AB1500=1,COUNTIF($A$2:$A1500,$A1500)=1),1,0))</f>
        <v>0</v>
      </c>
      <c r="AD1500" s="108">
        <f t="shared" si="280"/>
        <v>1</v>
      </c>
      <c r="AE1500" s="108" t="str">
        <f t="shared" si="281"/>
        <v/>
      </c>
      <c r="AF1500" s="108">
        <f t="shared" si="282"/>
        <v>0</v>
      </c>
      <c r="AG1500" s="108">
        <f t="shared" si="283"/>
        <v>0</v>
      </c>
      <c r="AH1500" s="110" t="str">
        <f t="shared" si="284"/>
        <v/>
      </c>
      <c r="AI1500" s="108">
        <f t="shared" si="285"/>
        <v>0</v>
      </c>
      <c r="AJ1500" s="108">
        <f t="shared" si="286"/>
        <v>0</v>
      </c>
      <c r="AK1500" s="108">
        <f>IF($A1500="",0,IF(AND($S1500=1,$W1500=1,$X1500=1,$U1500&gt;Config!$C$9),1,0))</f>
        <v>0</v>
      </c>
      <c r="AL1500" s="108">
        <f t="shared" si="287"/>
        <v>0</v>
      </c>
    </row>
  </sheetData>
  <autoFilter ref="A1:AL1500" xr:uid="{00000000-0009-0000-0000-00000B000000}"/>
  <pageMargins left="0.3" right="0.3" top="0.4" bottom="0.4" header="0.511811023622047" footer="0.511811023622047"/>
  <pageSetup paperSize="9" fitToHeight="0" orientation="landscape"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7</vt:i4>
      </vt:variant>
    </vt:vector>
  </HeadingPairs>
  <TitlesOfParts>
    <vt:vector size="19" baseType="lpstr">
      <vt:lpstr>START HERE</vt:lpstr>
      <vt:lpstr>Dashboard</vt:lpstr>
      <vt:lpstr>Alerts</vt:lpstr>
      <vt:lpstr>TimeOff</vt:lpstr>
      <vt:lpstr>SeniorReview</vt:lpstr>
      <vt:lpstr>DataHealth</vt:lpstr>
      <vt:lpstr>Legend</vt:lpstr>
      <vt:lpstr>Historical</vt:lpstr>
      <vt:lpstr>Detail</vt:lpstr>
      <vt:lpstr>Config</vt:lpstr>
      <vt:lpstr>BPOworkers</vt:lpstr>
      <vt:lpstr>RawBtabs</vt:lpstr>
      <vt:lpstr>Alerts!Print_Titles</vt:lpstr>
      <vt:lpstr>Dashboard!Print_Titles</vt:lpstr>
      <vt:lpstr>DataHealth!Print_Titles</vt:lpstr>
      <vt:lpstr>Detail!Print_Titles</vt:lpstr>
      <vt:lpstr>Historical!Print_Titles</vt:lpstr>
      <vt:lpstr>RawBtabs!Print_Titles</vt:lpstr>
      <vt:lpstr>TimeOff!Print_Titles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Guillermo Murillo</cp:lastModifiedBy>
  <cp:revision>1</cp:revision>
  <dcterms:created xsi:type="dcterms:W3CDTF">2026-09-08T20:29:54Z</dcterms:created>
  <dcterms:modified xsi:type="dcterms:W3CDTF">2026-09-08T20:55:06Z</dcterms:modified>
  <dc:language>en-US</dc:language>
</cp:coreProperties>
</file>