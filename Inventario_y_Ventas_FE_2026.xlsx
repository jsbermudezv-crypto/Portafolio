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Inventario" sheetId="2" state="visible" r:id="rId4"/>
    <sheet name="Ventas" sheetId="3" state="visible" r:id="rId5"/>
    <sheet name="Entradas" sheetId="4" state="visible" r:id="rId6"/>
    <sheet name="Resumen" sheetId="5" state="visible" r:id="rId7"/>
    <sheet name="Config" sheetId="6" state="visible" r:id="rId8"/>
  </sheets>
  <definedNames>
    <definedName function="false" hidden="true" localSheetId="3" name="_xlnm._FilterDatabase" vbProcedure="false">Entradas!$B$4:$F$204</definedName>
    <definedName function="false" hidden="true" localSheetId="1" name="_xlnm._FilterDatabase" vbProcedure="false">Inventario!$B$4:$P$100</definedName>
    <definedName function="false" hidden="true" localSheetId="2" name="_xlnm._FilterDatabase" vbProcedure="false">Ventas!$B$4:$L$504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<sst xmlns="http://schemas.openxmlformats.org/spreadsheetml/2006/main" count="473" uniqueCount="241">
  <si>
    <t xml:space="preserve">Feria Eva 2026 · Inventario y ventas</t>
  </si>
  <si>
    <t xml:space="preserve">Panel de control. Todos los números se actualizan solos.</t>
  </si>
  <si>
    <t xml:space="preserve">Inventario</t>
  </si>
  <si>
    <t xml:space="preserve">Cómo se usa</t>
  </si>
  <si>
    <t xml:space="preserve">Referencias en catálogo</t>
  </si>
  <si>
    <t xml:space="preserve">1. Inventario — el catálogo completo, agrupado por colección y, dentro de cada producto, del tamaño más pequeño al más grande.</t>
  </si>
  <si>
    <t xml:space="preserve">Unidades en stock</t>
  </si>
  <si>
    <t xml:space="preserve">2. Ventas — una fila por venta: fecha, producto (lista desplegable), cantidad y método de pago. El stock se descuenta solo.</t>
  </si>
  <si>
    <t xml:space="preserve">Valor del inventario</t>
  </si>
  <si>
    <t xml:space="preserve">3. Entradas — una fila cada vez que produces o repones unidades. Solo cantidad, sin costos. El stock sube solo.</t>
  </si>
  <si>
    <t xml:space="preserve">Referencias agotadas</t>
  </si>
  <si>
    <t xml:space="preserve">4. Resumen — totales por colección, por tamaño, por método de pago y por mes, más el top de más vendidos y la reposición sugerida.</t>
  </si>
  <si>
    <t xml:space="preserve">Referencias con stock bajo</t>
  </si>
  <si>
    <t xml:space="preserve">5. Config — las listas desplegables (colecciones, tamaños, métodos de pago, motivos) y el umbral de stock bajo.</t>
  </si>
  <si>
    <t xml:space="preserve">Filas por revisar (stock negativo)</t>
  </si>
  <si>
    <t xml:space="preserve">AZUL = lo escribes tú.   NEGRO = fórmula, no lo borres.   AMARILLO = dato pendiente por confirmar.</t>
  </si>
  <si>
    <t xml:space="preserve">Ventas</t>
  </si>
  <si>
    <t xml:space="preserve">Ventas registradas</t>
  </si>
  <si>
    <t xml:space="preserve">No hay códigos ni SKU: en Ventas y en Entradas el producto se elige de una lista que dice, por ejemplo, "Jirafa · Pequeño · Selva".</t>
  </si>
  <si>
    <t xml:space="preserve">Unidades vendidas</t>
  </si>
  <si>
    <t xml:space="preserve">Nunca borres filas del Inventario: si algo se agota queda en 0 y marcado como AGOTADO.</t>
  </si>
  <si>
    <t xml:space="preserve">Ingresos totales</t>
  </si>
  <si>
    <t xml:space="preserve">Para una devolución, registra la cantidad en negativo en la hoja Ventas.</t>
  </si>
  <si>
    <t xml:space="preserve">Ticket promedio</t>
  </si>
  <si>
    <t xml:space="preserve">Recibido en efectivo</t>
  </si>
  <si>
    <t xml:space="preserve">Pendientes por confirmar</t>
  </si>
  <si>
    <t xml:space="preserve">Recibido en medios digitales</t>
  </si>
  <si>
    <t xml:space="preserve">• Falta el precio de las 4 referencias de "Corazón" y de las 4 "Cadena de corazones" (están en amarillo en el Inventario).</t>
  </si>
  <si>
    <t xml:space="preserve">• "Elefante · Grande · Selva": la cantidad decía 7 pero el detalle sumaba 9 (3 niño - 6 niña).</t>
  </si>
  <si>
    <t xml:space="preserve">• "Tilda · Grande · Muñecas" aparecía dos veces; quedaron separadas con la variante "vestido azul" y "navidad y country".</t>
  </si>
  <si>
    <t xml:space="preserve">• Las "Cadenas de corazón" se pasaron de la nota suelta del original: revisa cantidades y composición.</t>
  </si>
  <si>
    <t xml:space="preserve">Escribe solo en las columnas azules. Todo lo negro se calcula solo: las ventas se restan y las entradas se suman al stock.</t>
  </si>
  <si>
    <t xml:space="preserve">Referencia (así aparece en Ventas)</t>
  </si>
  <si>
    <t xml:space="preserve">Producto</t>
  </si>
  <si>
    <t xml:space="preserve">Colección</t>
  </si>
  <si>
    <t xml:space="preserve">Tamaño</t>
  </si>
  <si>
    <t xml:space="preserve">Variante</t>
  </si>
  <si>
    <t xml:space="preserve">Detalle (niño / niña)</t>
  </si>
  <si>
    <t xml:space="preserve">Precio unitario</t>
  </si>
  <si>
    <t xml:space="preserve">Stock inicial</t>
  </si>
  <si>
    <t xml:space="preserve">Entradas</t>
  </si>
  <si>
    <t xml:space="preserve">Vendidas</t>
  </si>
  <si>
    <t xml:space="preserve">Stock actual</t>
  </si>
  <si>
    <t xml:space="preserve">Valor en stock</t>
  </si>
  <si>
    <t xml:space="preserve">Ingresos generados</t>
  </si>
  <si>
    <t xml:space="preserve">Estado</t>
  </si>
  <si>
    <t xml:space="preserve">Orden tamaño</t>
  </si>
  <si>
    <t xml:space="preserve">aux ventas</t>
  </si>
  <si>
    <t xml:space="preserve">aux stock</t>
  </si>
  <si>
    <t xml:space="preserve">Cebra</t>
  </si>
  <si>
    <t xml:space="preserve">Bebé</t>
  </si>
  <si>
    <t xml:space="preserve">Único</t>
  </si>
  <si>
    <t xml:space="preserve">3 niño - 4 niña</t>
  </si>
  <si>
    <t xml:space="preserve">Conejo</t>
  </si>
  <si>
    <t xml:space="preserve">6 niño - 6 niña</t>
  </si>
  <si>
    <t xml:space="preserve">Elefante</t>
  </si>
  <si>
    <t xml:space="preserve">Ganso</t>
  </si>
  <si>
    <t xml:space="preserve">Gaviota</t>
  </si>
  <si>
    <t xml:space="preserve">Pequeño</t>
  </si>
  <si>
    <t xml:space="preserve">6 niño/a</t>
  </si>
  <si>
    <t xml:space="preserve">Hipopotamo</t>
  </si>
  <si>
    <t xml:space="preserve">5 niño - 6 niña</t>
  </si>
  <si>
    <t xml:space="preserve">Oso</t>
  </si>
  <si>
    <t xml:space="preserve">3 niño - 3 niña</t>
  </si>
  <si>
    <t xml:space="preserve">Pato</t>
  </si>
  <si>
    <t xml:space="preserve">Mediano</t>
  </si>
  <si>
    <t xml:space="preserve">1</t>
  </si>
  <si>
    <t xml:space="preserve">Grande</t>
  </si>
  <si>
    <t xml:space="preserve">Pato dormilón</t>
  </si>
  <si>
    <t xml:space="preserve">3</t>
  </si>
  <si>
    <t xml:space="preserve">Perro</t>
  </si>
  <si>
    <t xml:space="preserve">Ratón</t>
  </si>
  <si>
    <t xml:space="preserve">Unicornio</t>
  </si>
  <si>
    <t xml:space="preserve">12</t>
  </si>
  <si>
    <t xml:space="preserve">Conejo Hares</t>
  </si>
  <si>
    <t xml:space="preserve">Granja</t>
  </si>
  <si>
    <t xml:space="preserve">4 niño - 5 niña</t>
  </si>
  <si>
    <t xml:space="preserve">Conejo piernas largas</t>
  </si>
  <si>
    <t xml:space="preserve">3 niño - 1 niña</t>
  </si>
  <si>
    <t xml:space="preserve">Conejo Tilda</t>
  </si>
  <si>
    <t xml:space="preserve">9 niño - 5 niña</t>
  </si>
  <si>
    <t xml:space="preserve">4 niño - 6 niña</t>
  </si>
  <si>
    <t xml:space="preserve">4 niño - 4 niña - 4 neutro</t>
  </si>
  <si>
    <t xml:space="preserve">Gato</t>
  </si>
  <si>
    <t xml:space="preserve">4 niña</t>
  </si>
  <si>
    <t xml:space="preserve">Oso tilda</t>
  </si>
  <si>
    <t xml:space="preserve">6 niño - 5 niña</t>
  </si>
  <si>
    <t xml:space="preserve">3 niño - 2 niña</t>
  </si>
  <si>
    <t xml:space="preserve">Perro Salchicha</t>
  </si>
  <si>
    <t xml:space="preserve">4 niño - 3 niña</t>
  </si>
  <si>
    <t xml:space="preserve">4 niño - 8 niña</t>
  </si>
  <si>
    <t xml:space="preserve">Vaca</t>
  </si>
  <si>
    <t xml:space="preserve">3 niño</t>
  </si>
  <si>
    <t xml:space="preserve">Muñeco Calabaza</t>
  </si>
  <si>
    <t xml:space="preserve">Halloween</t>
  </si>
  <si>
    <t xml:space="preserve">7 rojos - 6 naranjas</t>
  </si>
  <si>
    <t xml:space="preserve">Muñeco Fantasma</t>
  </si>
  <si>
    <t xml:space="preserve">4 niño - 4 niña</t>
  </si>
  <si>
    <t xml:space="preserve">Muñeco Gato Negro</t>
  </si>
  <si>
    <t xml:space="preserve">6</t>
  </si>
  <si>
    <t xml:space="preserve">Muñeco Murciélago</t>
  </si>
  <si>
    <t xml:space="preserve">Zorro</t>
  </si>
  <si>
    <t xml:space="preserve">2 niño - 2 niña</t>
  </si>
  <si>
    <t xml:space="preserve">Llavero</t>
  </si>
  <si>
    <t xml:space="preserve">4</t>
  </si>
  <si>
    <t xml:space="preserve">Pulpo</t>
  </si>
  <si>
    <t xml:space="preserve">Mar</t>
  </si>
  <si>
    <t xml:space="preserve">1 niño - 1 niña</t>
  </si>
  <si>
    <t xml:space="preserve">Bailarinas</t>
  </si>
  <si>
    <t xml:space="preserve">Muñecas</t>
  </si>
  <si>
    <t xml:space="preserve">Country</t>
  </si>
  <si>
    <t xml:space="preserve">15</t>
  </si>
  <si>
    <t xml:space="preserve">Pinocho</t>
  </si>
  <si>
    <t xml:space="preserve">8</t>
  </si>
  <si>
    <t xml:space="preserve">Puka</t>
  </si>
  <si>
    <t xml:space="preserve">5</t>
  </si>
  <si>
    <t xml:space="preserve">Tilda</t>
  </si>
  <si>
    <t xml:space="preserve">navidad y country</t>
  </si>
  <si>
    <t xml:space="preserve">4 navidad - 4 country</t>
  </si>
  <si>
    <t xml:space="preserve">vestido azul</t>
  </si>
  <si>
    <t xml:space="preserve">7 vestido azul</t>
  </si>
  <si>
    <t xml:space="preserve">Papá Noel Bernabela</t>
  </si>
  <si>
    <t xml:space="preserve">Navidad</t>
  </si>
  <si>
    <t xml:space="preserve">2</t>
  </si>
  <si>
    <t xml:space="preserve">Papá Noel pijama</t>
  </si>
  <si>
    <t xml:space="preserve">9 niño/a</t>
  </si>
  <si>
    <t xml:space="preserve">Cadena de corazones</t>
  </si>
  <si>
    <t xml:space="preserve">Otros</t>
  </si>
  <si>
    <t xml:space="preserve">Mini</t>
  </si>
  <si>
    <t xml:space="preserve">3 corazones</t>
  </si>
  <si>
    <t xml:space="preserve">3 corazones cada una</t>
  </si>
  <si>
    <t xml:space="preserve">4 corazones</t>
  </si>
  <si>
    <t xml:space="preserve">mixta</t>
  </si>
  <si>
    <t xml:space="preserve">1 corazón grande + 2 pequeños</t>
  </si>
  <si>
    <t xml:space="preserve">Corazón</t>
  </si>
  <si>
    <t xml:space="preserve">19</t>
  </si>
  <si>
    <t xml:space="preserve">41</t>
  </si>
  <si>
    <t xml:space="preserve">10</t>
  </si>
  <si>
    <t xml:space="preserve">Abejas</t>
  </si>
  <si>
    <t xml:space="preserve">Selva</t>
  </si>
  <si>
    <t xml:space="preserve">3 niño  - 2 niña</t>
  </si>
  <si>
    <t xml:space="preserve">3 niño - 6 niña</t>
  </si>
  <si>
    <t xml:space="preserve">Jirafa</t>
  </si>
  <si>
    <t xml:space="preserve">León</t>
  </si>
  <si>
    <t xml:space="preserve">7 niño</t>
  </si>
  <si>
    <t xml:space="preserve">12 niño/a</t>
  </si>
  <si>
    <t xml:space="preserve">TOTALES</t>
  </si>
  <si>
    <t xml:space="preserve">• Para agregar un producto nuevo: escribe en la primera fila vacía el producto, la colección, el tamaño, el precio y el stock inicial. La referencia y todas las fórmulas se generan solas.</t>
  </si>
  <si>
    <t xml:space="preserve">• "Variante" solo se usa cuando dos productos tienen el mismo nombre, colección y tamaño (por ejemplo las dos Tildas grandes). Si no aplica, déjala vacía.</t>
  </si>
  <si>
    <t xml:space="preserve">• Para volver a agrupar después de agregar filas: selecciona los datos y ordena por Colección, luego Producto, luego "Orden tamaño".</t>
  </si>
  <si>
    <t xml:space="preserve">• Las columnas Q y R están ocultas: son auxiliares de los rankings del Resumen. No las borres.</t>
  </si>
  <si>
    <t xml:space="preserve">• Supuesto: las 4 filas de "Cadena de corazones" salen de la nota suelta del archivo original (cantidad = primer número, composición en Detalle). Faltan sus precios.</t>
  </si>
  <si>
    <t xml:space="preserve">• Dato a revisar del original: "Elefante · Grande · Selva" tenía cantidad 7 pero el detalle sumaba 9 (3 niño - 6 niña).</t>
  </si>
  <si>
    <t xml:space="preserve">Registro de ventas</t>
  </si>
  <si>
    <t xml:space="preserve">Fecha, producto (lista desplegable), cantidad y método de pago. El precio y el total se calculan solos y el inventario se descuenta al instante.</t>
  </si>
  <si>
    <t xml:space="preserve">Fecha</t>
  </si>
  <si>
    <t xml:space="preserve">Producto vendido</t>
  </si>
  <si>
    <t xml:space="preserve">Cantidad</t>
  </si>
  <si>
    <t xml:space="preserve">Descuento %</t>
  </si>
  <si>
    <t xml:space="preserve">Total venta</t>
  </si>
  <si>
    <t xml:space="preserve">Método de pago</t>
  </si>
  <si>
    <t xml:space="preserve">Cliente / Nota</t>
  </si>
  <si>
    <t xml:space="preserve">Alerta de stock</t>
  </si>
  <si>
    <t xml:space="preserve">• Si vendes 2 unidades escribes 2 en Cantidad: el "Stock actual" del Inventario baja 2 automáticamente.</t>
  </si>
  <si>
    <t xml:space="preserve">• Para una devolución, registra la misma venta con cantidad en negativo (-2). El stock vuelve a subir.</t>
  </si>
  <si>
    <t xml:space="preserve">• Descuento: escribe 10% (no 10). Si no hay descuento, deja la celda vacía.</t>
  </si>
  <si>
    <t xml:space="preserve">• Si la alerta dice "Stock negativo: revisa", vendiste más unidades de las que tenías registradas: revisa el stock inicial o registra la entrada que falta.</t>
  </si>
  <si>
    <t xml:space="preserve">Entradas de inventario</t>
  </si>
  <si>
    <t xml:space="preserve">Solo cantidades. Cada vez que produzcas o repongas unidades regístralo aquí y el stock del inventario sube automáticamente.</t>
  </si>
  <si>
    <t xml:space="preserve">Cantidad que entra</t>
  </si>
  <si>
    <t xml:space="preserve">Motivo</t>
  </si>
  <si>
    <t xml:space="preserve">Nota</t>
  </si>
  <si>
    <t xml:space="preserve">TOTAL</t>
  </si>
  <si>
    <t xml:space="preserve">• El producto se elige de la misma lista desplegable del Inventario, así que no hay que escribir códigos.</t>
  </si>
  <si>
    <t xml:space="preserve">• Si te equivocaste y entraron menos unidades, registra la diferencia en negativo con motivo "Ajuste de inventario".</t>
  </si>
  <si>
    <t xml:space="preserve">Resumen</t>
  </si>
  <si>
    <t xml:space="preserve">Todo se calcula solo a partir de Inventario, Ventas y Entradas. No hay nada que escribir en esta hoja.</t>
  </si>
  <si>
    <t xml:space="preserve">Inventario y ventas por colección</t>
  </si>
  <si>
    <t xml:space="preserve">Referencias</t>
  </si>
  <si>
    <t xml:space="preserve">Ingresos</t>
  </si>
  <si>
    <t xml:space="preserve">Inventario y ventas por tamaño</t>
  </si>
  <si>
    <t xml:space="preserve">Ventas por método de pago</t>
  </si>
  <si>
    <t xml:space="preserve">N° de ventas</t>
  </si>
  <si>
    <t xml:space="preserve">Unidades</t>
  </si>
  <si>
    <t xml:space="preserve">% de los ingresos</t>
  </si>
  <si>
    <t xml:space="preserve">Ventas por mes</t>
  </si>
  <si>
    <t xml:space="preserve">Mes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</si>
  <si>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</si>
  <si>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</si>
  <si>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</si>
  <si>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</si>
  <si>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</si>
  <si>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</si>
  <si>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</si>
  <si>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</si>
  <si>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</si>
  <si>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</si>
  <si>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</si>
  <si>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</si>
  <si>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Top 10 productos más vendidos</t>
  </si>
  <si>
    <t xml:space="preserve">#</t>
  </si>
  <si>
    <t xml:space="preserve">Stock que queda</t>
  </si>
  <si>
    <t xml:space="preserve">1°</t>
  </si>
  <si>
    <t xml:space="preserve">2°</t>
  </si>
  <si>
    <t xml:space="preserve">3°</t>
  </si>
  <si>
    <t xml:space="preserve">4°</t>
  </si>
  <si>
    <t xml:space="preserve">5°</t>
  </si>
  <si>
    <t xml:space="preserve">6°</t>
  </si>
  <si>
    <t xml:space="preserve">7°</t>
  </si>
  <si>
    <t xml:space="preserve">8°</t>
  </si>
  <si>
    <t xml:space="preserve">9°</t>
  </si>
  <si>
    <t xml:space="preserve">10°</t>
  </si>
  <si>
    <t xml:space="preserve">Reposición sugerida (stock igual o por debajo del umbral)</t>
  </si>
  <si>
    <t xml:space="preserve">• Los rankings se recalculan solos con cada venta. "—" significa que todavía no hay datos suficientes.</t>
  </si>
  <si>
    <t xml:space="preserve">• El umbral de stock bajo se cambia en la hoja Config.</t>
  </si>
  <si>
    <t xml:space="preserve">Configuración</t>
  </si>
  <si>
    <t xml:space="preserve">Aquí viven las listas desplegables y los parámetros. Puedes agregar opciones al final de cada lista y el resto del archivo las reconoce.</t>
  </si>
  <si>
    <t xml:space="preserve">Colecciones</t>
  </si>
  <si>
    <t xml:space="preserve">Tamaños y su orden</t>
  </si>
  <si>
    <t xml:space="preserve">Métodos de pago</t>
  </si>
  <si>
    <t xml:space="preserve">Motivos de entrada</t>
  </si>
  <si>
    <t xml:space="preserve">Parámetros</t>
  </si>
  <si>
    <t xml:space="preserve">Orden</t>
  </si>
  <si>
    <t xml:space="preserve">Método</t>
  </si>
  <si>
    <t xml:space="preserve">Parámetro</t>
  </si>
  <si>
    <t xml:space="preserve">Valor</t>
  </si>
  <si>
    <t xml:space="preserve">Efectivo</t>
  </si>
  <si>
    <t xml:space="preserve">Producción nueva</t>
  </si>
  <si>
    <t xml:space="preserve">Umbral de stock bajo (unidades)</t>
  </si>
  <si>
    <t xml:space="preserve">Nequi</t>
  </si>
  <si>
    <t xml:space="preserve">Reposición</t>
  </si>
  <si>
    <t xml:space="preserve">Año de la temporada</t>
  </si>
  <si>
    <t xml:space="preserve">Tarjeta</t>
  </si>
  <si>
    <t xml:space="preserve">Ajuste de inventario</t>
  </si>
  <si>
    <t xml:space="preserve">Moneda</t>
  </si>
  <si>
    <t xml:space="preserve">COP</t>
  </si>
  <si>
    <t xml:space="preserve">Daviplata</t>
  </si>
  <si>
    <t xml:space="preserve">Devolución de cliente</t>
  </si>
  <si>
    <t xml:space="preserve">Llave</t>
  </si>
  <si>
    <t xml:space="preserve">El umbral marca en amarillo toda referencia con esa cantidad o menos.</t>
  </si>
  <si>
    <t xml:space="preserve">El año se usa en la tabla "Ventas por mes" del Resumen.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</si>
</sst>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;\-"/>
    <numFmt numFmtId="166" formatCode="\$#,##0;[RED]&quot;-$&quot;#,##0;\-"/>
    <numFmt numFmtId="167" formatCode="\$#,##0"/>
    <numFmt numFmtId="168" formatCode="General"/>
    <numFmt numFmtId="169" formatCode="dd/mm/yyyy"/>
    <numFmt numFmtId="170" formatCode="0%"/>
    <numFmt numFmtId="171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AF1F8"/>
        <bgColor rgb="FFF7FAFC"/>
      </patternFill>
    </fill>
    <fill>
      <patternFill patternType="solid">
        <fgColor rgb="FF1F3864"/>
        <bgColor rgb="FF333399"/>
      </patternFill>
    </fill>
    <fill>
      <patternFill patternType="solid">
        <fgColor rgb="FFF7FAFC"/>
        <bgColor rgb="FFFFFFFF"/>
      </patternFill>
    </fill>
    <fill>
      <patternFill patternType="solid">
        <fgColor rgb="FFFFF2CC"/>
        <bgColor rgb="FFF7FAFC"/>
      </patternFill>
    </fill>
    <fill>
      <patternFill patternType="solid">
        <fgColor rgb="FF2E7D6F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7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FF0000"/>
        </patternFill>
      </fill>
    </dxf>
    <dxf>
      <font>
        <name val="Arial"/>
        <charset val="1"/>
        <family val="0"/>
        <color rgb="FF375623"/>
        <sz val="10"/>
      </font>
    </dxf>
    <dxf>
      <font>
        <name val="Arial"/>
        <charset val="1"/>
        <family val="0"/>
        <b val="1"/>
        <color rgb="FF9C000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AFC"/>
      <rgbColor rgb="FFCCFFCC"/>
      <rgbColor rgb="FFFFE699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6F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en stock por colección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Resumen!E5</c:f>
              <c:strCache>
                <c:ptCount val="1"/>
                <c:pt idx="0">
                  <c:v>Valor en stock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Resumen!$B$6:$B$14</c:f>
              <c:strCache>
                <c:ptCount val="9"/>
                <c:pt idx="0">
                  <c:v>Bebé</c:v>
                </c:pt>
                <c:pt idx="1">
                  <c:v>Granja</c:v>
                </c:pt>
                <c:pt idx="2">
                  <c:v>Halloween</c:v>
                </c:pt>
                <c:pt idx="3">
                  <c:v>Llavero</c:v>
                </c:pt>
                <c:pt idx="4">
                  <c:v>Mar</c:v>
                </c:pt>
                <c:pt idx="5">
                  <c:v>Muñecas</c:v>
                </c:pt>
                <c:pt idx="6">
                  <c:v>Navidad</c:v>
                </c:pt>
                <c:pt idx="7">
                  <c:v>Otros</c:v>
                </c:pt>
                <c:pt idx="8">
                  <c:v>Selva</c:v>
                </c:pt>
              </c:strCache>
            </c:strRef>
          </c:cat>
          <c:val>
            <c:numRef>
              <c:f>Resumen!$E$6:$E$14</c:f>
              <c:numCache>
                <c:formatCode>\$#,##0;[RED]"-$"#,##0;\-</c:formatCode>
                <c:ptCount val="9"/>
                <c:pt idx="0">
                  <c:v>10925000</c:v>
                </c:pt>
                <c:pt idx="1">
                  <c:v>12525000</c:v>
                </c:pt>
                <c:pt idx="2">
                  <c:v>5330000</c:v>
                </c:pt>
                <c:pt idx="3">
                  <c:v>1040000</c:v>
                </c:pt>
                <c:pt idx="4">
                  <c:v>240000</c:v>
                </c:pt>
                <c:pt idx="5">
                  <c:v>9545000</c:v>
                </c:pt>
                <c:pt idx="6">
                  <c:v>1610000</c:v>
                </c:pt>
                <c:pt idx="7">
                  <c:v>0</c:v>
                </c:pt>
                <c:pt idx="8">
                  <c:v>7485000</c:v>
                </c:pt>
              </c:numCache>
            </c:numRef>
          </c:val>
        </c:ser>
        <c:gapWidth val="150"/>
        <c:overlap val="0"/>
        <c:axId val="11201378"/>
        <c:axId val="77910608"/>
      </c:barChart>
      <c:catAx>
        <c:axId val="11201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910608"/>
        <c:crosses val="autoZero"/>
        <c:auto val="1"/>
        <c:lblAlgn val="ctr"/>
        <c:lblOffset val="100"/>
        <c:noMultiLvlLbl val="0"/>
      </c:catAx>
      <c:valAx>
        <c:axId val="779106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-$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01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Unidades vendidas por colección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Resumen!F5</c:f>
              <c:strCache>
                <c:ptCount val="1"/>
                <c:pt idx="0">
                  <c:v>Unidades vendidas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Resumen!$B$6:$B$14</c:f>
              <c:strCache>
                <c:ptCount val="9"/>
                <c:pt idx="0">
                  <c:v>Bebé</c:v>
                </c:pt>
                <c:pt idx="1">
                  <c:v>Granja</c:v>
                </c:pt>
                <c:pt idx="2">
                  <c:v>Halloween</c:v>
                </c:pt>
                <c:pt idx="3">
                  <c:v>Llavero</c:v>
                </c:pt>
                <c:pt idx="4">
                  <c:v>Mar</c:v>
                </c:pt>
                <c:pt idx="5">
                  <c:v>Muñecas</c:v>
                </c:pt>
                <c:pt idx="6">
                  <c:v>Navidad</c:v>
                </c:pt>
                <c:pt idx="7">
                  <c:v>Otros</c:v>
                </c:pt>
                <c:pt idx="8">
                  <c:v>Selva</c:v>
                </c:pt>
              </c:strCache>
            </c:strRef>
          </c:cat>
          <c:val>
            <c:numRef>
              <c:f>Resumen!$F$6:$F$14</c:f>
              <c:numCache>
                <c:formatCode>#,##0;[RED]\-#,##0;\-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89332909"/>
        <c:axId val="3330221"/>
      </c:barChart>
      <c:catAx>
        <c:axId val="89332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0221"/>
        <c:crosses val="autoZero"/>
        <c:auto val="1"/>
        <c:lblAlgn val="ctr"/>
        <c:lblOffset val="100"/>
        <c:noMultiLvlLbl val="0"/>
      </c:catAx>
      <c:valAx>
        <c:axId val="3330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[RED]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329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método de pago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Resumen!E29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Resumen!$B$30:$B$34</c:f>
              <c:strCache>
                <c:ptCount val="5"/>
                <c:pt idx="0">
                  <c:v>Efectivo</c:v>
                </c:pt>
                <c:pt idx="1">
                  <c:v>Nequi</c:v>
                </c:pt>
                <c:pt idx="2">
                  <c:v>Tarjeta</c:v>
                </c:pt>
                <c:pt idx="3">
                  <c:v>Daviplata</c:v>
                </c:pt>
                <c:pt idx="4">
                  <c:v>Llave</c:v>
                </c:pt>
              </c:strCache>
            </c:strRef>
          </c:cat>
          <c:val>
            <c:numRef>
              <c:f>Resumen!$E$30:$E$34</c:f>
              <c:numCache>
                <c:formatCode>\$#,##0;[RED]"-$"#,##0;\-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1247951"/>
        <c:axId val="90850787"/>
      </c:barChart>
      <c:catAx>
        <c:axId val="4124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50787"/>
        <c:crosses val="autoZero"/>
        <c:auto val="1"/>
        <c:lblAlgn val="ctr"/>
        <c:lblOffset val="100"/>
        <c:noMultiLvlLbl val="0"/>
      </c:catAx>
      <c:valAx>
        <c:axId val="908507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[RED]&quot;-$&quot;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47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17</xdr:col>
      <xdr:colOff>256320</xdr:colOff>
      <xdr:row>18</xdr:row>
      <xdr:rowOff>21960</xdr:rowOff>
    </xdr:to>
    <xdr:graphicFrame>
      <xdr:nvGraphicFramePr>
        <xdr:cNvPr id="0" name="Chart 1"/>
        <xdr:cNvGraphicFramePr/>
      </xdr:nvGraphicFramePr>
      <xdr:xfrm>
        <a:off x="9892800" y="8762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17</xdr:col>
      <xdr:colOff>256320</xdr:colOff>
      <xdr:row>35</xdr:row>
      <xdr:rowOff>21960</xdr:rowOff>
    </xdr:to>
    <xdr:graphicFrame>
      <xdr:nvGraphicFramePr>
        <xdr:cNvPr id="1" name="Chart 2"/>
        <xdr:cNvGraphicFramePr/>
      </xdr:nvGraphicFramePr>
      <xdr:xfrm>
        <a:off x="9892800" y="4495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38</xdr:row>
      <xdr:rowOff>0</xdr:rowOff>
    </xdr:from>
    <xdr:to>
      <xdr:col>17</xdr:col>
      <xdr:colOff>256320</xdr:colOff>
      <xdr:row>50</xdr:row>
      <xdr:rowOff>42840</xdr:rowOff>
    </xdr:to>
    <xdr:graphicFrame>
      <xdr:nvGraphicFramePr>
        <xdr:cNvPr id="2" name="Chart 3"/>
        <xdr:cNvGraphicFramePr/>
      </xdr:nvGraphicFramePr>
      <xdr:xfrm>
        <a:off x="9892800" y="7924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118"/>
  </cols>
  <sheetData>
    <row r="1" customFormat="false" ht="24" hidden="false" customHeight="true" outlineLevel="0" collapsed="false">
      <c r="A1" s="1"/>
      <c r="B1" s="2" t="s">
        <v>0</v>
      </c>
      <c r="C1" s="1"/>
      <c r="D1" s="1"/>
      <c r="E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4" t="s">
        <v>2</v>
      </c>
      <c r="C4" s="1"/>
      <c r="D4" s="1"/>
      <c r="E4" s="4" t="s">
        <v>3</v>
      </c>
    </row>
    <row r="5" customFormat="false" ht="15" hidden="false" customHeight="false" outlineLevel="0" collapsed="false">
      <c r="A5" s="1"/>
      <c r="B5" s="5" t="s">
        <v>4</v>
      </c>
      <c r="C5" s="6" t="n">
        <f aca="false">COUNTIF(Inventario!$C$5:$C$100,"?*")</f>
        <v>66</v>
      </c>
      <c r="D5" s="1"/>
      <c r="E5" s="7" t="s">
        <v>5</v>
      </c>
    </row>
    <row r="6" customFormat="false" ht="15" hidden="false" customHeight="false" outlineLevel="0" collapsed="false">
      <c r="A6" s="1"/>
      <c r="B6" s="5" t="s">
        <v>6</v>
      </c>
      <c r="C6" s="6" t="n">
        <f aca="false">SUM(Inventario!$L$5:$L$100)</f>
        <v>513</v>
      </c>
      <c r="D6" s="1"/>
      <c r="E6" s="7" t="s">
        <v>7</v>
      </c>
    </row>
    <row r="7" customFormat="false" ht="15" hidden="false" customHeight="false" outlineLevel="0" collapsed="false">
      <c r="A7" s="1"/>
      <c r="B7" s="5" t="s">
        <v>8</v>
      </c>
      <c r="C7" s="8" t="n">
        <f aca="false">SUM(Inventario!$M$5:$M$100)</f>
        <v>48700000</v>
      </c>
      <c r="D7" s="1"/>
      <c r="E7" s="7" t="s">
        <v>9</v>
      </c>
    </row>
    <row r="8" customFormat="false" ht="15" hidden="false" customHeight="false" outlineLevel="0" collapsed="false">
      <c r="A8" s="1"/>
      <c r="B8" s="5" t="s">
        <v>10</v>
      </c>
      <c r="C8" s="6" t="n">
        <f aca="false">COUNTIF(Inventario!$O$5:$O$100,"AGOTADO")</f>
        <v>0</v>
      </c>
      <c r="D8" s="1"/>
      <c r="E8" s="7" t="s">
        <v>11</v>
      </c>
    </row>
    <row r="9" customFormat="false" ht="15" hidden="false" customHeight="false" outlineLevel="0" collapsed="false">
      <c r="A9" s="1"/>
      <c r="B9" s="5" t="s">
        <v>12</v>
      </c>
      <c r="C9" s="6" t="n">
        <f aca="false">COUNTIF(Inventario!$O$5:$O$100,"BAJO")</f>
        <v>12</v>
      </c>
      <c r="D9" s="1"/>
      <c r="E9" s="7" t="s">
        <v>13</v>
      </c>
    </row>
    <row r="10" customFormat="false" ht="15" hidden="false" customHeight="false" outlineLevel="0" collapsed="false">
      <c r="A10" s="1"/>
      <c r="B10" s="5" t="s">
        <v>14</v>
      </c>
      <c r="C10" s="6" t="n">
        <f aca="false">COUNTIF(Inventario!$O$5:$O$100,"REVISAR")</f>
        <v>0</v>
      </c>
      <c r="D10" s="1"/>
      <c r="E10" s="7"/>
    </row>
    <row r="11" customFormat="false" ht="15" hidden="false" customHeight="false" outlineLevel="0" collapsed="false">
      <c r="A11" s="1"/>
      <c r="B11" s="1"/>
      <c r="C11" s="1"/>
      <c r="D11" s="1"/>
      <c r="E11" s="9" t="s">
        <v>15</v>
      </c>
    </row>
    <row r="12" customFormat="false" ht="15" hidden="false" customHeight="false" outlineLevel="0" collapsed="false">
      <c r="A12" s="1"/>
      <c r="B12" s="4" t="s">
        <v>16</v>
      </c>
      <c r="C12" s="1"/>
      <c r="D12" s="1"/>
      <c r="E12" s="7"/>
    </row>
    <row r="13" customFormat="false" ht="15" hidden="false" customHeight="false" outlineLevel="0" collapsed="false">
      <c r="A13" s="1"/>
      <c r="B13" s="5" t="s">
        <v>17</v>
      </c>
      <c r="C13" s="6" t="n">
        <f aca="false">COUNTIF(Ventas!$C$5:$C$504,"?*")</f>
        <v>0</v>
      </c>
      <c r="D13" s="1"/>
      <c r="E13" s="7" t="s">
        <v>18</v>
      </c>
    </row>
    <row r="14" customFormat="false" ht="15" hidden="false" customHeight="false" outlineLevel="0" collapsed="false">
      <c r="A14" s="1"/>
      <c r="B14" s="5" t="s">
        <v>19</v>
      </c>
      <c r="C14" s="6" t="n">
        <f aca="false">SUM(Ventas!$F$5:$F$504)</f>
        <v>0</v>
      </c>
      <c r="D14" s="1"/>
      <c r="E14" s="7" t="s">
        <v>20</v>
      </c>
    </row>
    <row r="15" customFormat="false" ht="15" hidden="false" customHeight="false" outlineLevel="0" collapsed="false">
      <c r="A15" s="1"/>
      <c r="B15" s="5" t="s">
        <v>21</v>
      </c>
      <c r="C15" s="8" t="n">
        <f aca="false">SUM(Ventas!$I$5:$I$504)</f>
        <v>0</v>
      </c>
      <c r="D15" s="1"/>
      <c r="E15" s="7" t="s">
        <v>22</v>
      </c>
    </row>
    <row r="16" customFormat="false" ht="15" hidden="false" customHeight="false" outlineLevel="0" collapsed="false">
      <c r="A16" s="1"/>
      <c r="B16" s="5" t="s">
        <v>23</v>
      </c>
      <c r="C16" s="8" t="n">
        <f aca="false">IFERROR($C$15/$C$13,0)</f>
        <v>0</v>
      </c>
      <c r="D16" s="1"/>
      <c r="E16" s="1"/>
    </row>
    <row r="17" customFormat="false" ht="15" hidden="false" customHeight="false" outlineLevel="0" collapsed="false">
      <c r="A17" s="1"/>
      <c r="B17" s="5" t="s">
        <v>24</v>
      </c>
      <c r="C17" s="8" t="n">
        <f aca="false">SUMIFS(Ventas!$I$5:$I$504,Ventas!$J$5:$J$504,"Efectivo")</f>
        <v>0</v>
      </c>
      <c r="D17" s="1"/>
      <c r="E17" s="4" t="s">
        <v>25</v>
      </c>
    </row>
    <row r="18" customFormat="false" ht="15" hidden="false" customHeight="false" outlineLevel="0" collapsed="false">
      <c r="A18" s="1"/>
      <c r="B18" s="5" t="s">
        <v>26</v>
      </c>
      <c r="C18" s="8" t="n">
        <f aca="false">$C$15-$C$17</f>
        <v>0</v>
      </c>
      <c r="D18" s="1"/>
      <c r="E18" s="10" t="s">
        <v>27</v>
      </c>
    </row>
    <row r="19" customFormat="false" ht="15" hidden="false" customHeight="false" outlineLevel="0" collapsed="false">
      <c r="A19" s="1"/>
      <c r="B19" s="1"/>
      <c r="C19" s="1"/>
      <c r="D19" s="1"/>
      <c r="E19" s="10" t="s">
        <v>28</v>
      </c>
    </row>
    <row r="20" customFormat="false" ht="15" hidden="false" customHeight="false" outlineLevel="0" collapsed="false">
      <c r="A20" s="1"/>
      <c r="B20" s="1"/>
      <c r="C20" s="1"/>
      <c r="D20" s="1"/>
      <c r="E20" s="10" t="s">
        <v>29</v>
      </c>
    </row>
    <row r="21" customFormat="false" ht="15" hidden="false" customHeight="false" outlineLevel="0" collapsed="false">
      <c r="A21" s="1"/>
      <c r="B21" s="1"/>
      <c r="C21" s="1"/>
      <c r="D21" s="1"/>
      <c r="E21" s="1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6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9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6" min="15" style="0" width="11"/>
    <col collapsed="false" customWidth="true" hidden="true" outlineLevel="0" max="18" min="17" style="0" width="9"/>
  </cols>
  <sheetData>
    <row r="1" customFormat="false" ht="24" hidden="false" customHeight="true" outlineLevel="0" collapsed="false">
      <c r="A1" s="1"/>
      <c r="B1" s="2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1"/>
      <c r="B2" s="3" t="s">
        <v>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31.5" hidden="false" customHeight="true" outlineLevel="0" collapsed="false">
      <c r="A4" s="1"/>
      <c r="B4" s="11" t="s">
        <v>32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39</v>
      </c>
      <c r="J4" s="11" t="s">
        <v>40</v>
      </c>
      <c r="K4" s="11" t="s">
        <v>41</v>
      </c>
      <c r="L4" s="11" t="s">
        <v>42</v>
      </c>
      <c r="M4" s="11" t="s">
        <v>43</v>
      </c>
      <c r="N4" s="11" t="s">
        <v>44</v>
      </c>
      <c r="O4" s="11" t="s">
        <v>45</v>
      </c>
      <c r="P4" s="11" t="s">
        <v>46</v>
      </c>
      <c r="Q4" s="11" t="s">
        <v>47</v>
      </c>
      <c r="R4" s="11" t="s">
        <v>48</v>
      </c>
    </row>
    <row r="5" customFormat="false" ht="15" hidden="false" customHeight="false" outlineLevel="0" collapsed="false">
      <c r="A5" s="1"/>
      <c r="B5" s="12" t="str">
        <f aca="false">IF($C5="","",$C5&amp;" · "&amp;$E5&amp;IF($F5=""," "," "&amp;$F5&amp;" ")&amp;"· "&amp;$D5)</f>
        <v>Cebra · Único · Bebé</v>
      </c>
      <c r="C5" s="13" t="s">
        <v>49</v>
      </c>
      <c r="D5" s="14" t="s">
        <v>50</v>
      </c>
      <c r="E5" s="14" t="s">
        <v>51</v>
      </c>
      <c r="F5" s="13"/>
      <c r="G5" s="13" t="s">
        <v>52</v>
      </c>
      <c r="H5" s="15" t="n">
        <v>115000</v>
      </c>
      <c r="I5" s="16" t="n">
        <v>7</v>
      </c>
      <c r="J5" s="17" t="n">
        <f aca="false">IF($C5="","",SUMIFS(Entradas!$D$5:$D$204,Entradas!$C$5:$C$204,$B5))</f>
        <v>0</v>
      </c>
      <c r="K5" s="17" t="n">
        <f aca="false">IF($C5="","",SUMIFS(Ventas!$F$5:$F$504,Ventas!$C$5:$C$504,$B5))</f>
        <v>0</v>
      </c>
      <c r="L5" s="18" t="n">
        <f aca="false">IF($C5="","",N($I5)+N($J5)-N($K5))</f>
        <v>7</v>
      </c>
      <c r="M5" s="19" t="n">
        <f aca="false">IF($C5="","",N($L5)*N($H5))</f>
        <v>805000</v>
      </c>
      <c r="N5" s="19" t="n">
        <f aca="false">IF($C5="","",SUMIFS(Ventas!$I$5:$I$504,Ventas!$C$5:$C$504,$B5))</f>
        <v>0</v>
      </c>
      <c r="O5" s="20" t="str">
        <f aca="false">IF($C5="","",IF($L5&lt;0,"REVISAR",IF($L5=0,"AGOTADO",IF($L5&lt;=Config!$M$6,"BAJO","OK"))))</f>
        <v>OK</v>
      </c>
      <c r="P5" s="21" t="n">
        <f aca="false">IF($C5="","",IFERROR(INDEX(Config!$E$6:$E$18,MATCH($E5,Config!$D$6:$D$18,0)),""))</f>
        <v>5</v>
      </c>
      <c r="Q5" s="21" t="n">
        <f aca="false">IF($C5="","",N($K5)+ROW()/1000000)</f>
        <v>5E-006</v>
      </c>
      <c r="R5" s="21" t="n">
        <f aca="false">IF($C5="","",N($L5)+ROW()/1000000)</f>
        <v>7.000005</v>
      </c>
    </row>
    <row r="6" customFormat="false" ht="15" hidden="false" customHeight="false" outlineLevel="0" collapsed="false">
      <c r="A6" s="1"/>
      <c r="B6" s="22" t="str">
        <f aca="false">IF($C6="","",$C6&amp;" · "&amp;$E6&amp;IF($F6=""," "," "&amp;$F6&amp;" ")&amp;"· "&amp;$D6)</f>
        <v>Conejo · Único · Bebé</v>
      </c>
      <c r="C6" s="23" t="s">
        <v>53</v>
      </c>
      <c r="D6" s="24" t="s">
        <v>50</v>
      </c>
      <c r="E6" s="24" t="s">
        <v>51</v>
      </c>
      <c r="F6" s="23"/>
      <c r="G6" s="23" t="s">
        <v>54</v>
      </c>
      <c r="H6" s="25" t="n">
        <v>115000</v>
      </c>
      <c r="I6" s="26" t="n">
        <v>12</v>
      </c>
      <c r="J6" s="27" t="n">
        <f aca="false">IF($C6="","",SUMIFS(Entradas!$D$5:$D$204,Entradas!$C$5:$C$204,$B6))</f>
        <v>0</v>
      </c>
      <c r="K6" s="27" t="n">
        <f aca="false">IF($C6="","",SUMIFS(Ventas!$F$5:$F$504,Ventas!$C$5:$C$504,$B6))</f>
        <v>0</v>
      </c>
      <c r="L6" s="28" t="n">
        <f aca="false">IF($C6="","",N($I6)+N($J6)-N($K6))</f>
        <v>12</v>
      </c>
      <c r="M6" s="29" t="n">
        <f aca="false">IF($C6="","",N($L6)*N($H6))</f>
        <v>1380000</v>
      </c>
      <c r="N6" s="29" t="n">
        <f aca="false">IF($C6="","",SUMIFS(Ventas!$I$5:$I$504,Ventas!$C$5:$C$504,$B6))</f>
        <v>0</v>
      </c>
      <c r="O6" s="30" t="str">
        <f aca="false">IF($C6="","",IF($L6&lt;0,"REVISAR",IF($L6=0,"AGOTADO",IF($L6&lt;=Config!$M$6,"BAJO","OK"))))</f>
        <v>OK</v>
      </c>
      <c r="P6" s="31" t="n">
        <f aca="false">IF($C6="","",IFERROR(INDEX(Config!$E$6:$E$18,MATCH($E6,Config!$D$6:$D$18,0)),""))</f>
        <v>5</v>
      </c>
      <c r="Q6" s="31" t="n">
        <f aca="false">IF($C6="","",N($K6)+ROW()/1000000)</f>
        <v>6E-006</v>
      </c>
      <c r="R6" s="31" t="n">
        <f aca="false">IF($C6="","",N($L6)+ROW()/1000000)</f>
        <v>12.000006</v>
      </c>
    </row>
    <row r="7" customFormat="false" ht="15" hidden="false" customHeight="false" outlineLevel="0" collapsed="false">
      <c r="A7" s="1"/>
      <c r="B7" s="12" t="str">
        <f aca="false">IF($C7="","",$C7&amp;" · "&amp;$E7&amp;IF($F7=""," "," "&amp;$F7&amp;" ")&amp;"· "&amp;$D7)</f>
        <v>Elefante · Único · Bebé</v>
      </c>
      <c r="C7" s="13" t="s">
        <v>55</v>
      </c>
      <c r="D7" s="14" t="s">
        <v>50</v>
      </c>
      <c r="E7" s="14" t="s">
        <v>51</v>
      </c>
      <c r="F7" s="13"/>
      <c r="G7" s="13" t="s">
        <v>54</v>
      </c>
      <c r="H7" s="15" t="n">
        <v>115000</v>
      </c>
      <c r="I7" s="16" t="n">
        <v>12</v>
      </c>
      <c r="J7" s="17" t="n">
        <f aca="false">IF($C7="","",SUMIFS(Entradas!$D$5:$D$204,Entradas!$C$5:$C$204,$B7))</f>
        <v>0</v>
      </c>
      <c r="K7" s="17" t="n">
        <f aca="false">IF($C7="","",SUMIFS(Ventas!$F$5:$F$504,Ventas!$C$5:$C$504,$B7))</f>
        <v>0</v>
      </c>
      <c r="L7" s="18" t="n">
        <f aca="false">IF($C7="","",N($I7)+N($J7)-N($K7))</f>
        <v>12</v>
      </c>
      <c r="M7" s="19" t="n">
        <f aca="false">IF($C7="","",N($L7)*N($H7))</f>
        <v>1380000</v>
      </c>
      <c r="N7" s="19" t="n">
        <f aca="false">IF($C7="","",SUMIFS(Ventas!$I$5:$I$504,Ventas!$C$5:$C$504,$B7))</f>
        <v>0</v>
      </c>
      <c r="O7" s="20" t="str">
        <f aca="false">IF($C7="","",IF($L7&lt;0,"REVISAR",IF($L7=0,"AGOTADO",IF($L7&lt;=Config!$M$6,"BAJO","OK"))))</f>
        <v>OK</v>
      </c>
      <c r="P7" s="21" t="n">
        <f aca="false">IF($C7="","",IFERROR(INDEX(Config!$E$6:$E$18,MATCH($E7,Config!$D$6:$D$18,0)),""))</f>
        <v>5</v>
      </c>
      <c r="Q7" s="21" t="n">
        <f aca="false">IF($C7="","",N($K7)+ROW()/1000000)</f>
        <v>7E-006</v>
      </c>
      <c r="R7" s="21" t="n">
        <f aca="false">IF($C7="","",N($L7)+ROW()/1000000)</f>
        <v>12.000007</v>
      </c>
    </row>
    <row r="8" customFormat="false" ht="15" hidden="false" customHeight="false" outlineLevel="0" collapsed="false">
      <c r="A8" s="1"/>
      <c r="B8" s="22" t="str">
        <f aca="false">IF($C8="","",$C8&amp;" · "&amp;$E8&amp;IF($F8=""," "," "&amp;$F8&amp;" ")&amp;"· "&amp;$D8)</f>
        <v>Ganso · Único · Bebé</v>
      </c>
      <c r="C8" s="23" t="s">
        <v>56</v>
      </c>
      <c r="D8" s="24" t="s">
        <v>50</v>
      </c>
      <c r="E8" s="24" t="s">
        <v>51</v>
      </c>
      <c r="F8" s="23"/>
      <c r="G8" s="23" t="s">
        <v>54</v>
      </c>
      <c r="H8" s="25" t="n">
        <v>115000</v>
      </c>
      <c r="I8" s="26" t="n">
        <v>12</v>
      </c>
      <c r="J8" s="27" t="n">
        <f aca="false">IF($C8="","",SUMIFS(Entradas!$D$5:$D$204,Entradas!$C$5:$C$204,$B8))</f>
        <v>0</v>
      </c>
      <c r="K8" s="27" t="n">
        <f aca="false">IF($C8="","",SUMIFS(Ventas!$F$5:$F$504,Ventas!$C$5:$C$504,$B8))</f>
        <v>0</v>
      </c>
      <c r="L8" s="28" t="n">
        <f aca="false">IF($C8="","",N($I8)+N($J8)-N($K8))</f>
        <v>12</v>
      </c>
      <c r="M8" s="29" t="n">
        <f aca="false">IF($C8="","",N($L8)*N($H8))</f>
        <v>1380000</v>
      </c>
      <c r="N8" s="29" t="n">
        <f aca="false">IF($C8="","",SUMIFS(Ventas!$I$5:$I$504,Ventas!$C$5:$C$504,$B8))</f>
        <v>0</v>
      </c>
      <c r="O8" s="30" t="str">
        <f aca="false">IF($C8="","",IF($L8&lt;0,"REVISAR",IF($L8=0,"AGOTADO",IF($L8&lt;=Config!$M$6,"BAJO","OK"))))</f>
        <v>OK</v>
      </c>
      <c r="P8" s="31" t="n">
        <f aca="false">IF($C8="","",IFERROR(INDEX(Config!$E$6:$E$18,MATCH($E8,Config!$D$6:$D$18,0)),""))</f>
        <v>5</v>
      </c>
      <c r="Q8" s="31" t="n">
        <f aca="false">IF($C8="","",N($K8)+ROW()/1000000)</f>
        <v>8E-006</v>
      </c>
      <c r="R8" s="31" t="n">
        <f aca="false">IF($C8="","",N($L8)+ROW()/1000000)</f>
        <v>12.000008</v>
      </c>
    </row>
    <row r="9" customFormat="false" ht="15" hidden="false" customHeight="false" outlineLevel="0" collapsed="false">
      <c r="A9" s="1"/>
      <c r="B9" s="12" t="str">
        <f aca="false">IF($C9="","",$C9&amp;" · "&amp;$E9&amp;IF($F9=""," "," "&amp;$F9&amp;" ")&amp;"· "&amp;$D9)</f>
        <v>Gaviota · Pequeño · Bebé</v>
      </c>
      <c r="C9" s="13" t="s">
        <v>57</v>
      </c>
      <c r="D9" s="14" t="s">
        <v>50</v>
      </c>
      <c r="E9" s="14" t="s">
        <v>58</v>
      </c>
      <c r="F9" s="13"/>
      <c r="G9" s="13" t="s">
        <v>59</v>
      </c>
      <c r="H9" s="15" t="n">
        <v>115000</v>
      </c>
      <c r="I9" s="16" t="n">
        <v>6</v>
      </c>
      <c r="J9" s="17" t="n">
        <f aca="false">IF($C9="","",SUMIFS(Entradas!$D$5:$D$204,Entradas!$C$5:$C$204,$B9))</f>
        <v>0</v>
      </c>
      <c r="K9" s="17" t="n">
        <f aca="false">IF($C9="","",SUMIFS(Ventas!$F$5:$F$504,Ventas!$C$5:$C$504,$B9))</f>
        <v>0</v>
      </c>
      <c r="L9" s="18" t="n">
        <f aca="false">IF($C9="","",N($I9)+N($J9)-N($K9))</f>
        <v>6</v>
      </c>
      <c r="M9" s="19" t="n">
        <f aca="false">IF($C9="","",N($L9)*N($H9))</f>
        <v>690000</v>
      </c>
      <c r="N9" s="19" t="n">
        <f aca="false">IF($C9="","",SUMIFS(Ventas!$I$5:$I$504,Ventas!$C$5:$C$504,$B9))</f>
        <v>0</v>
      </c>
      <c r="O9" s="20" t="str">
        <f aca="false">IF($C9="","",IF($L9&lt;0,"REVISAR",IF($L9=0,"AGOTADO",IF($L9&lt;=Config!$M$6,"BAJO","OK"))))</f>
        <v>OK</v>
      </c>
      <c r="P9" s="21" t="n">
        <f aca="false">IF($C9="","",IFERROR(INDEX(Config!$E$6:$E$18,MATCH($E9,Config!$D$6:$D$18,0)),""))</f>
        <v>2</v>
      </c>
      <c r="Q9" s="21" t="n">
        <f aca="false">IF($C9="","",N($K9)+ROW()/1000000)</f>
        <v>9E-006</v>
      </c>
      <c r="R9" s="21" t="n">
        <f aca="false">IF($C9="","",N($L9)+ROW()/1000000)</f>
        <v>6.000009</v>
      </c>
    </row>
    <row r="10" customFormat="false" ht="15" hidden="false" customHeight="false" outlineLevel="0" collapsed="false">
      <c r="A10" s="1"/>
      <c r="B10" s="22" t="str">
        <f aca="false">IF($C10="","",$C10&amp;" · "&amp;$E10&amp;IF($F10=""," "," "&amp;$F10&amp;" ")&amp;"· "&amp;$D10)</f>
        <v>Hipopotamo · Único · Bebé</v>
      </c>
      <c r="C10" s="23" t="s">
        <v>60</v>
      </c>
      <c r="D10" s="24" t="s">
        <v>50</v>
      </c>
      <c r="E10" s="24" t="s">
        <v>51</v>
      </c>
      <c r="F10" s="23"/>
      <c r="G10" s="23" t="s">
        <v>61</v>
      </c>
      <c r="H10" s="25" t="n">
        <v>115000</v>
      </c>
      <c r="I10" s="26" t="n">
        <v>11</v>
      </c>
      <c r="J10" s="27" t="n">
        <f aca="false">IF($C10="","",SUMIFS(Entradas!$D$5:$D$204,Entradas!$C$5:$C$204,$B10))</f>
        <v>0</v>
      </c>
      <c r="K10" s="27" t="n">
        <f aca="false">IF($C10="","",SUMIFS(Ventas!$F$5:$F$504,Ventas!$C$5:$C$504,$B10))</f>
        <v>0</v>
      </c>
      <c r="L10" s="28" t="n">
        <f aca="false">IF($C10="","",N($I10)+N($J10)-N($K10))</f>
        <v>11</v>
      </c>
      <c r="M10" s="29" t="n">
        <f aca="false">IF($C10="","",N($L10)*N($H10))</f>
        <v>1265000</v>
      </c>
      <c r="N10" s="29" t="n">
        <f aca="false">IF($C10="","",SUMIFS(Ventas!$I$5:$I$504,Ventas!$C$5:$C$504,$B10))</f>
        <v>0</v>
      </c>
      <c r="O10" s="30" t="str">
        <f aca="false">IF($C10="","",IF($L10&lt;0,"REVISAR",IF($L10=0,"AGOTADO",IF($L10&lt;=Config!$M$6,"BAJO","OK"))))</f>
        <v>OK</v>
      </c>
      <c r="P10" s="31" t="n">
        <f aca="false">IF($C10="","",IFERROR(INDEX(Config!$E$6:$E$18,MATCH($E10,Config!$D$6:$D$18,0)),""))</f>
        <v>5</v>
      </c>
      <c r="Q10" s="31" t="n">
        <f aca="false">IF($C10="","",N($K10)+ROW()/1000000)</f>
        <v>1E-005</v>
      </c>
      <c r="R10" s="31" t="n">
        <f aca="false">IF($C10="","",N($L10)+ROW()/1000000)</f>
        <v>11.00001</v>
      </c>
    </row>
    <row r="11" customFormat="false" ht="15" hidden="false" customHeight="false" outlineLevel="0" collapsed="false">
      <c r="A11" s="1"/>
      <c r="B11" s="12" t="str">
        <f aca="false">IF($C11="","",$C11&amp;" · "&amp;$E11&amp;IF($F11=""," "," "&amp;$F11&amp;" ")&amp;"· "&amp;$D11)</f>
        <v>Oso · Único · Bebé</v>
      </c>
      <c r="C11" s="13" t="s">
        <v>62</v>
      </c>
      <c r="D11" s="14" t="s">
        <v>50</v>
      </c>
      <c r="E11" s="14" t="s">
        <v>51</v>
      </c>
      <c r="F11" s="13"/>
      <c r="G11" s="13" t="s">
        <v>63</v>
      </c>
      <c r="H11" s="15" t="n">
        <v>115000</v>
      </c>
      <c r="I11" s="16" t="n">
        <v>6</v>
      </c>
      <c r="J11" s="17" t="n">
        <f aca="false">IF($C11="","",SUMIFS(Entradas!$D$5:$D$204,Entradas!$C$5:$C$204,$B11))</f>
        <v>0</v>
      </c>
      <c r="K11" s="17" t="n">
        <f aca="false">IF($C11="","",SUMIFS(Ventas!$F$5:$F$504,Ventas!$C$5:$C$504,$B11))</f>
        <v>0</v>
      </c>
      <c r="L11" s="18" t="n">
        <f aca="false">IF($C11="","",N($I11)+N($J11)-N($K11))</f>
        <v>6</v>
      </c>
      <c r="M11" s="19" t="n">
        <f aca="false">IF($C11="","",N($L11)*N($H11))</f>
        <v>690000</v>
      </c>
      <c r="N11" s="19" t="n">
        <f aca="false">IF($C11="","",SUMIFS(Ventas!$I$5:$I$504,Ventas!$C$5:$C$504,$B11))</f>
        <v>0</v>
      </c>
      <c r="O11" s="20" t="str">
        <f aca="false">IF($C11="","",IF($L11&lt;0,"REVISAR",IF($L11=0,"AGOTADO",IF($L11&lt;=Config!$M$6,"BAJO","OK"))))</f>
        <v>OK</v>
      </c>
      <c r="P11" s="21" t="n">
        <f aca="false">IF($C11="","",IFERROR(INDEX(Config!$E$6:$E$18,MATCH($E11,Config!$D$6:$D$18,0)),""))</f>
        <v>5</v>
      </c>
      <c r="Q11" s="21" t="n">
        <f aca="false">IF($C11="","",N($K11)+ROW()/1000000)</f>
        <v>1.1E-005</v>
      </c>
      <c r="R11" s="21" t="n">
        <f aca="false">IF($C11="","",N($L11)+ROW()/1000000)</f>
        <v>6.000011</v>
      </c>
    </row>
    <row r="12" customFormat="false" ht="15" hidden="false" customHeight="false" outlineLevel="0" collapsed="false">
      <c r="A12" s="1"/>
      <c r="B12" s="22" t="str">
        <f aca="false">IF($C12="","",$C12&amp;" · "&amp;$E12&amp;IF($F12=""," "," "&amp;$F12&amp;" ")&amp;"· "&amp;$D12)</f>
        <v>Pato · Mediano · Bebé</v>
      </c>
      <c r="C12" s="23" t="s">
        <v>64</v>
      </c>
      <c r="D12" s="24" t="s">
        <v>50</v>
      </c>
      <c r="E12" s="24" t="s">
        <v>65</v>
      </c>
      <c r="F12" s="23"/>
      <c r="G12" s="23" t="s">
        <v>66</v>
      </c>
      <c r="H12" s="25" t="n">
        <v>115000</v>
      </c>
      <c r="I12" s="26" t="n">
        <v>1</v>
      </c>
      <c r="J12" s="27" t="n">
        <f aca="false">IF($C12="","",SUMIFS(Entradas!$D$5:$D$204,Entradas!$C$5:$C$204,$B12))</f>
        <v>0</v>
      </c>
      <c r="K12" s="27" t="n">
        <f aca="false">IF($C12="","",SUMIFS(Ventas!$F$5:$F$504,Ventas!$C$5:$C$504,$B12))</f>
        <v>0</v>
      </c>
      <c r="L12" s="28" t="n">
        <f aca="false">IF($C12="","",N($I12)+N($J12)-N($K12))</f>
        <v>1</v>
      </c>
      <c r="M12" s="29" t="n">
        <f aca="false">IF($C12="","",N($L12)*N($H12))</f>
        <v>115000</v>
      </c>
      <c r="N12" s="29" t="n">
        <f aca="false">IF($C12="","",SUMIFS(Ventas!$I$5:$I$504,Ventas!$C$5:$C$504,$B12))</f>
        <v>0</v>
      </c>
      <c r="O12" s="30" t="str">
        <f aca="false">IF($C12="","",IF($L12&lt;0,"REVISAR",IF($L12=0,"AGOTADO",IF($L12&lt;=Config!$M$6,"BAJO","OK"))))</f>
        <v>BAJO</v>
      </c>
      <c r="P12" s="31" t="n">
        <f aca="false">IF($C12="","",IFERROR(INDEX(Config!$E$6:$E$18,MATCH($E12,Config!$D$6:$D$18,0)),""))</f>
        <v>3</v>
      </c>
      <c r="Q12" s="31" t="n">
        <f aca="false">IF($C12="","",N($K12)+ROW()/1000000)</f>
        <v>1.2E-005</v>
      </c>
      <c r="R12" s="31" t="n">
        <f aca="false">IF($C12="","",N($L12)+ROW()/1000000)</f>
        <v>1.000012</v>
      </c>
    </row>
    <row r="13" customFormat="false" ht="15" hidden="false" customHeight="false" outlineLevel="0" collapsed="false">
      <c r="A13" s="1"/>
      <c r="B13" s="12" t="str">
        <f aca="false">IF($C13="","",$C13&amp;" · "&amp;$E13&amp;IF($F13=""," "," "&amp;$F13&amp;" ")&amp;"· "&amp;$D13)</f>
        <v>Pato · Grande · Bebé</v>
      </c>
      <c r="C13" s="13" t="s">
        <v>64</v>
      </c>
      <c r="D13" s="14" t="s">
        <v>50</v>
      </c>
      <c r="E13" s="14" t="s">
        <v>67</v>
      </c>
      <c r="F13" s="13"/>
      <c r="G13" s="13" t="s">
        <v>66</v>
      </c>
      <c r="H13" s="15" t="n">
        <v>115000</v>
      </c>
      <c r="I13" s="16" t="n">
        <v>1</v>
      </c>
      <c r="J13" s="17" t="n">
        <f aca="false">IF($C13="","",SUMIFS(Entradas!$D$5:$D$204,Entradas!$C$5:$C$204,$B13))</f>
        <v>0</v>
      </c>
      <c r="K13" s="17" t="n">
        <f aca="false">IF($C13="","",SUMIFS(Ventas!$F$5:$F$504,Ventas!$C$5:$C$504,$B13))</f>
        <v>0</v>
      </c>
      <c r="L13" s="18" t="n">
        <f aca="false">IF($C13="","",N($I13)+N($J13)-N($K13))</f>
        <v>1</v>
      </c>
      <c r="M13" s="19" t="n">
        <f aca="false">IF($C13="","",N($L13)*N($H13))</f>
        <v>115000</v>
      </c>
      <c r="N13" s="19" t="n">
        <f aca="false">IF($C13="","",SUMIFS(Ventas!$I$5:$I$504,Ventas!$C$5:$C$504,$B13))</f>
        <v>0</v>
      </c>
      <c r="O13" s="20" t="str">
        <f aca="false">IF($C13="","",IF($L13&lt;0,"REVISAR",IF($L13=0,"AGOTADO",IF($L13&lt;=Config!$M$6,"BAJO","OK"))))</f>
        <v>BAJO</v>
      </c>
      <c r="P13" s="21" t="n">
        <f aca="false">IF($C13="","",IFERROR(INDEX(Config!$E$6:$E$18,MATCH($E13,Config!$D$6:$D$18,0)),""))</f>
        <v>4</v>
      </c>
      <c r="Q13" s="21" t="n">
        <f aca="false">IF($C13="","",N($K13)+ROW()/1000000)</f>
        <v>1.3E-005</v>
      </c>
      <c r="R13" s="21" t="n">
        <f aca="false">IF($C13="","",N($L13)+ROW()/1000000)</f>
        <v>1.000013</v>
      </c>
    </row>
    <row r="14" customFormat="false" ht="15" hidden="false" customHeight="false" outlineLevel="0" collapsed="false">
      <c r="A14" s="1"/>
      <c r="B14" s="22" t="str">
        <f aca="false">IF($C14="","",$C14&amp;" · "&amp;$E14&amp;IF($F14=""," "," "&amp;$F14&amp;" ")&amp;"· "&amp;$D14)</f>
        <v>Pato dormilón · Único · Bebé</v>
      </c>
      <c r="C14" s="23" t="s">
        <v>68</v>
      </c>
      <c r="D14" s="24" t="s">
        <v>50</v>
      </c>
      <c r="E14" s="24" t="s">
        <v>51</v>
      </c>
      <c r="F14" s="23"/>
      <c r="G14" s="23" t="s">
        <v>69</v>
      </c>
      <c r="H14" s="25" t="n">
        <v>115000</v>
      </c>
      <c r="I14" s="26" t="n">
        <v>3</v>
      </c>
      <c r="J14" s="27" t="n">
        <f aca="false">IF($C14="","",SUMIFS(Entradas!$D$5:$D$204,Entradas!$C$5:$C$204,$B14))</f>
        <v>0</v>
      </c>
      <c r="K14" s="27" t="n">
        <f aca="false">IF($C14="","",SUMIFS(Ventas!$F$5:$F$504,Ventas!$C$5:$C$504,$B14))</f>
        <v>0</v>
      </c>
      <c r="L14" s="28" t="n">
        <f aca="false">IF($C14="","",N($I14)+N($J14)-N($K14))</f>
        <v>3</v>
      </c>
      <c r="M14" s="29" t="n">
        <f aca="false">IF($C14="","",N($L14)*N($H14))</f>
        <v>345000</v>
      </c>
      <c r="N14" s="29" t="n">
        <f aca="false">IF($C14="","",SUMIFS(Ventas!$I$5:$I$504,Ventas!$C$5:$C$504,$B14))</f>
        <v>0</v>
      </c>
      <c r="O14" s="30" t="str">
        <f aca="false">IF($C14="","",IF($L14&lt;0,"REVISAR",IF($L14=0,"AGOTADO",IF($L14&lt;=Config!$M$6,"BAJO","OK"))))</f>
        <v>BAJO</v>
      </c>
      <c r="P14" s="31" t="n">
        <f aca="false">IF($C14="","",IFERROR(INDEX(Config!$E$6:$E$18,MATCH($E14,Config!$D$6:$D$18,0)),""))</f>
        <v>5</v>
      </c>
      <c r="Q14" s="31" t="n">
        <f aca="false">IF($C14="","",N($K14)+ROW()/1000000)</f>
        <v>1.4E-005</v>
      </c>
      <c r="R14" s="31" t="n">
        <f aca="false">IF($C14="","",N($L14)+ROW()/1000000)</f>
        <v>3.000014</v>
      </c>
    </row>
    <row r="15" customFormat="false" ht="15" hidden="false" customHeight="false" outlineLevel="0" collapsed="false">
      <c r="A15" s="1"/>
      <c r="B15" s="12" t="str">
        <f aca="false">IF($C15="","",$C15&amp;" · "&amp;$E15&amp;IF($F15=""," "," "&amp;$F15&amp;" ")&amp;"· "&amp;$D15)</f>
        <v>Perro · Único · Bebé</v>
      </c>
      <c r="C15" s="13" t="s">
        <v>70</v>
      </c>
      <c r="D15" s="14" t="s">
        <v>50</v>
      </c>
      <c r="E15" s="14" t="s">
        <v>51</v>
      </c>
      <c r="F15" s="13"/>
      <c r="G15" s="13" t="s">
        <v>63</v>
      </c>
      <c r="H15" s="15" t="n">
        <v>115000</v>
      </c>
      <c r="I15" s="16" t="n">
        <v>6</v>
      </c>
      <c r="J15" s="17" t="n">
        <f aca="false">IF($C15="","",SUMIFS(Entradas!$D$5:$D$204,Entradas!$C$5:$C$204,$B15))</f>
        <v>0</v>
      </c>
      <c r="K15" s="17" t="n">
        <f aca="false">IF($C15="","",SUMIFS(Ventas!$F$5:$F$504,Ventas!$C$5:$C$504,$B15))</f>
        <v>0</v>
      </c>
      <c r="L15" s="18" t="n">
        <f aca="false">IF($C15="","",N($I15)+N($J15)-N($K15))</f>
        <v>6</v>
      </c>
      <c r="M15" s="19" t="n">
        <f aca="false">IF($C15="","",N($L15)*N($H15))</f>
        <v>690000</v>
      </c>
      <c r="N15" s="19" t="n">
        <f aca="false">IF($C15="","",SUMIFS(Ventas!$I$5:$I$504,Ventas!$C$5:$C$504,$B15))</f>
        <v>0</v>
      </c>
      <c r="O15" s="20" t="str">
        <f aca="false">IF($C15="","",IF($L15&lt;0,"REVISAR",IF($L15=0,"AGOTADO",IF($L15&lt;=Config!$M$6,"BAJO","OK"))))</f>
        <v>OK</v>
      </c>
      <c r="P15" s="21" t="n">
        <f aca="false">IF($C15="","",IFERROR(INDEX(Config!$E$6:$E$18,MATCH($E15,Config!$D$6:$D$18,0)),""))</f>
        <v>5</v>
      </c>
      <c r="Q15" s="21" t="n">
        <f aca="false">IF($C15="","",N($K15)+ROW()/1000000)</f>
        <v>1.5E-005</v>
      </c>
      <c r="R15" s="21" t="n">
        <f aca="false">IF($C15="","",N($L15)+ROW()/1000000)</f>
        <v>6.000015</v>
      </c>
    </row>
    <row r="16" customFormat="false" ht="15" hidden="false" customHeight="false" outlineLevel="0" collapsed="false">
      <c r="A16" s="1"/>
      <c r="B16" s="22" t="str">
        <f aca="false">IF($C16="","",$C16&amp;" · "&amp;$E16&amp;IF($F16=""," "," "&amp;$F16&amp;" ")&amp;"· "&amp;$D16)</f>
        <v>Ratón · Único · Bebé</v>
      </c>
      <c r="C16" s="23" t="s">
        <v>71</v>
      </c>
      <c r="D16" s="24" t="s">
        <v>50</v>
      </c>
      <c r="E16" s="24" t="s">
        <v>51</v>
      </c>
      <c r="F16" s="23"/>
      <c r="G16" s="23" t="s">
        <v>63</v>
      </c>
      <c r="H16" s="25" t="n">
        <v>115000</v>
      </c>
      <c r="I16" s="26" t="n">
        <v>6</v>
      </c>
      <c r="J16" s="27" t="n">
        <f aca="false">IF($C16="","",SUMIFS(Entradas!$D$5:$D$204,Entradas!$C$5:$C$204,$B16))</f>
        <v>0</v>
      </c>
      <c r="K16" s="27" t="n">
        <f aca="false">IF($C16="","",SUMIFS(Ventas!$F$5:$F$504,Ventas!$C$5:$C$504,$B16))</f>
        <v>0</v>
      </c>
      <c r="L16" s="28" t="n">
        <f aca="false">IF($C16="","",N($I16)+N($J16)-N($K16))</f>
        <v>6</v>
      </c>
      <c r="M16" s="29" t="n">
        <f aca="false">IF($C16="","",N($L16)*N($H16))</f>
        <v>690000</v>
      </c>
      <c r="N16" s="29" t="n">
        <f aca="false">IF($C16="","",SUMIFS(Ventas!$I$5:$I$504,Ventas!$C$5:$C$504,$B16))</f>
        <v>0</v>
      </c>
      <c r="O16" s="30" t="str">
        <f aca="false">IF($C16="","",IF($L16&lt;0,"REVISAR",IF($L16=0,"AGOTADO",IF($L16&lt;=Config!$M$6,"BAJO","OK"))))</f>
        <v>OK</v>
      </c>
      <c r="P16" s="31" t="n">
        <f aca="false">IF($C16="","",IFERROR(INDEX(Config!$E$6:$E$18,MATCH($E16,Config!$D$6:$D$18,0)),""))</f>
        <v>5</v>
      </c>
      <c r="Q16" s="31" t="n">
        <f aca="false">IF($C16="","",N($K16)+ROW()/1000000)</f>
        <v>1.6E-005</v>
      </c>
      <c r="R16" s="31" t="n">
        <f aca="false">IF($C16="","",N($L16)+ROW()/1000000)</f>
        <v>6.000016</v>
      </c>
    </row>
    <row r="17" customFormat="false" ht="15" hidden="false" customHeight="false" outlineLevel="0" collapsed="false">
      <c r="A17" s="1"/>
      <c r="B17" s="12" t="str">
        <f aca="false">IF($C17="","",$C17&amp;" · "&amp;$E17&amp;IF($F17=""," "," "&amp;$F17&amp;" ")&amp;"· "&amp;$D17)</f>
        <v>Unicornio · Único · Bebé</v>
      </c>
      <c r="C17" s="13" t="s">
        <v>72</v>
      </c>
      <c r="D17" s="14" t="s">
        <v>50</v>
      </c>
      <c r="E17" s="14" t="s">
        <v>51</v>
      </c>
      <c r="F17" s="13"/>
      <c r="G17" s="13" t="s">
        <v>73</v>
      </c>
      <c r="H17" s="15" t="n">
        <v>115000</v>
      </c>
      <c r="I17" s="16" t="n">
        <v>12</v>
      </c>
      <c r="J17" s="17" t="n">
        <f aca="false">IF($C17="","",SUMIFS(Entradas!$D$5:$D$204,Entradas!$C$5:$C$204,$B17))</f>
        <v>0</v>
      </c>
      <c r="K17" s="17" t="n">
        <f aca="false">IF($C17="","",SUMIFS(Ventas!$F$5:$F$504,Ventas!$C$5:$C$504,$B17))</f>
        <v>0</v>
      </c>
      <c r="L17" s="18" t="n">
        <f aca="false">IF($C17="","",N($I17)+N($J17)-N($K17))</f>
        <v>12</v>
      </c>
      <c r="M17" s="19" t="n">
        <f aca="false">IF($C17="","",N($L17)*N($H17))</f>
        <v>1380000</v>
      </c>
      <c r="N17" s="19" t="n">
        <f aca="false">IF($C17="","",SUMIFS(Ventas!$I$5:$I$504,Ventas!$C$5:$C$504,$B17))</f>
        <v>0</v>
      </c>
      <c r="O17" s="20" t="str">
        <f aca="false">IF($C17="","",IF($L17&lt;0,"REVISAR",IF($L17=0,"AGOTADO",IF($L17&lt;=Config!$M$6,"BAJO","OK"))))</f>
        <v>OK</v>
      </c>
      <c r="P17" s="21" t="n">
        <f aca="false">IF($C17="","",IFERROR(INDEX(Config!$E$6:$E$18,MATCH($E17,Config!$D$6:$D$18,0)),""))</f>
        <v>5</v>
      </c>
      <c r="Q17" s="21" t="n">
        <f aca="false">IF($C17="","",N($K17)+ROW()/1000000)</f>
        <v>1.7E-005</v>
      </c>
      <c r="R17" s="21" t="n">
        <f aca="false">IF($C17="","",N($L17)+ROW()/1000000)</f>
        <v>12.000017</v>
      </c>
    </row>
    <row r="18" customFormat="false" ht="15" hidden="false" customHeight="false" outlineLevel="0" collapsed="false">
      <c r="A18" s="1"/>
      <c r="B18" s="22" t="str">
        <f aca="false">IF($C18="","",$C18&amp;" · "&amp;$E18&amp;IF($F18=""," "," "&amp;$F18&amp;" ")&amp;"· "&amp;$D18)</f>
        <v>Conejo Hares · Pequeño · Granja</v>
      </c>
      <c r="C18" s="23" t="s">
        <v>74</v>
      </c>
      <c r="D18" s="24" t="s">
        <v>75</v>
      </c>
      <c r="E18" s="24" t="s">
        <v>58</v>
      </c>
      <c r="F18" s="23"/>
      <c r="G18" s="23" t="s">
        <v>76</v>
      </c>
      <c r="H18" s="25" t="n">
        <v>80000</v>
      </c>
      <c r="I18" s="26" t="n">
        <v>9</v>
      </c>
      <c r="J18" s="27" t="n">
        <f aca="false">IF($C18="","",SUMIFS(Entradas!$D$5:$D$204,Entradas!$C$5:$C$204,$B18))</f>
        <v>0</v>
      </c>
      <c r="K18" s="27" t="n">
        <f aca="false">IF($C18="","",SUMIFS(Ventas!$F$5:$F$504,Ventas!$C$5:$C$504,$B18))</f>
        <v>0</v>
      </c>
      <c r="L18" s="28" t="n">
        <f aca="false">IF($C18="","",N($I18)+N($J18)-N($K18))</f>
        <v>9</v>
      </c>
      <c r="M18" s="29" t="n">
        <f aca="false">IF($C18="","",N($L18)*N($H18))</f>
        <v>720000</v>
      </c>
      <c r="N18" s="29" t="n">
        <f aca="false">IF($C18="","",SUMIFS(Ventas!$I$5:$I$504,Ventas!$C$5:$C$504,$B18))</f>
        <v>0</v>
      </c>
      <c r="O18" s="30" t="str">
        <f aca="false">IF($C18="","",IF($L18&lt;0,"REVISAR",IF($L18=0,"AGOTADO",IF($L18&lt;=Config!$M$6,"BAJO","OK"))))</f>
        <v>OK</v>
      </c>
      <c r="P18" s="31" t="n">
        <f aca="false">IF($C18="","",IFERROR(INDEX(Config!$E$6:$E$18,MATCH($E18,Config!$D$6:$D$18,0)),""))</f>
        <v>2</v>
      </c>
      <c r="Q18" s="31" t="n">
        <f aca="false">IF($C18="","",N($K18)+ROW()/1000000)</f>
        <v>1.8E-005</v>
      </c>
      <c r="R18" s="31" t="n">
        <f aca="false">IF($C18="","",N($L18)+ROW()/1000000)</f>
        <v>9.000018</v>
      </c>
    </row>
    <row r="19" customFormat="false" ht="15" hidden="false" customHeight="false" outlineLevel="0" collapsed="false">
      <c r="A19" s="1"/>
      <c r="B19" s="12" t="str">
        <f aca="false">IF($C19="","",$C19&amp;" · "&amp;$E19&amp;IF($F19=""," "," "&amp;$F19&amp;" ")&amp;"· "&amp;$D19)</f>
        <v>Conejo Hares · Grande · Granja</v>
      </c>
      <c r="C19" s="13" t="s">
        <v>74</v>
      </c>
      <c r="D19" s="14" t="s">
        <v>75</v>
      </c>
      <c r="E19" s="14" t="s">
        <v>67</v>
      </c>
      <c r="F19" s="13"/>
      <c r="G19" s="13" t="s">
        <v>63</v>
      </c>
      <c r="H19" s="15" t="n">
        <v>110000</v>
      </c>
      <c r="I19" s="16" t="n">
        <v>6</v>
      </c>
      <c r="J19" s="17" t="n">
        <f aca="false">IF($C19="","",SUMIFS(Entradas!$D$5:$D$204,Entradas!$C$5:$C$204,$B19))</f>
        <v>0</v>
      </c>
      <c r="K19" s="17" t="n">
        <f aca="false">IF($C19="","",SUMIFS(Ventas!$F$5:$F$504,Ventas!$C$5:$C$504,$B19))</f>
        <v>0</v>
      </c>
      <c r="L19" s="18" t="n">
        <f aca="false">IF($C19="","",N($I19)+N($J19)-N($K19))</f>
        <v>6</v>
      </c>
      <c r="M19" s="19" t="n">
        <f aca="false">IF($C19="","",N($L19)*N($H19))</f>
        <v>660000</v>
      </c>
      <c r="N19" s="19" t="n">
        <f aca="false">IF($C19="","",SUMIFS(Ventas!$I$5:$I$504,Ventas!$C$5:$C$504,$B19))</f>
        <v>0</v>
      </c>
      <c r="O19" s="20" t="str">
        <f aca="false">IF($C19="","",IF($L19&lt;0,"REVISAR",IF($L19=0,"AGOTADO",IF($L19&lt;=Config!$M$6,"BAJO","OK"))))</f>
        <v>OK</v>
      </c>
      <c r="P19" s="21" t="n">
        <f aca="false">IF($C19="","",IFERROR(INDEX(Config!$E$6:$E$18,MATCH($E19,Config!$D$6:$D$18,0)),""))</f>
        <v>4</v>
      </c>
      <c r="Q19" s="21" t="n">
        <f aca="false">IF($C19="","",N($K19)+ROW()/1000000)</f>
        <v>1.9E-005</v>
      </c>
      <c r="R19" s="21" t="n">
        <f aca="false">IF($C19="","",N($L19)+ROW()/1000000)</f>
        <v>6.000019</v>
      </c>
    </row>
    <row r="20" customFormat="false" ht="15" hidden="false" customHeight="false" outlineLevel="0" collapsed="false">
      <c r="A20" s="1"/>
      <c r="B20" s="22" t="str">
        <f aca="false">IF($C20="","",$C20&amp;" · "&amp;$E20&amp;IF($F20=""," "," "&amp;$F20&amp;" ")&amp;"· "&amp;$D20)</f>
        <v>Conejo piernas largas · Pequeño · Granja</v>
      </c>
      <c r="C20" s="23" t="s">
        <v>77</v>
      </c>
      <c r="D20" s="24" t="s">
        <v>75</v>
      </c>
      <c r="E20" s="24" t="s">
        <v>58</v>
      </c>
      <c r="F20" s="23"/>
      <c r="G20" s="23" t="s">
        <v>78</v>
      </c>
      <c r="H20" s="25" t="n">
        <v>100000</v>
      </c>
      <c r="I20" s="26" t="n">
        <v>4</v>
      </c>
      <c r="J20" s="27" t="n">
        <f aca="false">IF($C20="","",SUMIFS(Entradas!$D$5:$D$204,Entradas!$C$5:$C$204,$B20))</f>
        <v>0</v>
      </c>
      <c r="K20" s="27" t="n">
        <f aca="false">IF($C20="","",SUMIFS(Ventas!$F$5:$F$504,Ventas!$C$5:$C$504,$B20))</f>
        <v>0</v>
      </c>
      <c r="L20" s="28" t="n">
        <f aca="false">IF($C20="","",N($I20)+N($J20)-N($K20))</f>
        <v>4</v>
      </c>
      <c r="M20" s="29" t="n">
        <f aca="false">IF($C20="","",N($L20)*N($H20))</f>
        <v>400000</v>
      </c>
      <c r="N20" s="29" t="n">
        <f aca="false">IF($C20="","",SUMIFS(Ventas!$I$5:$I$504,Ventas!$C$5:$C$504,$B20))</f>
        <v>0</v>
      </c>
      <c r="O20" s="30" t="str">
        <f aca="false">IF($C20="","",IF($L20&lt;0,"REVISAR",IF($L20=0,"AGOTADO",IF($L20&lt;=Config!$M$6,"BAJO","OK"))))</f>
        <v>OK</v>
      </c>
      <c r="P20" s="31" t="n">
        <f aca="false">IF($C20="","",IFERROR(INDEX(Config!$E$6:$E$18,MATCH($E20,Config!$D$6:$D$18,0)),""))</f>
        <v>2</v>
      </c>
      <c r="Q20" s="31" t="n">
        <f aca="false">IF($C20="","",N($K20)+ROW()/1000000)</f>
        <v>2E-005</v>
      </c>
      <c r="R20" s="31" t="n">
        <f aca="false">IF($C20="","",N($L20)+ROW()/1000000)</f>
        <v>4.00002</v>
      </c>
    </row>
    <row r="21" customFormat="false" ht="15" hidden="false" customHeight="false" outlineLevel="0" collapsed="false">
      <c r="A21" s="1"/>
      <c r="B21" s="12" t="str">
        <f aca="false">IF($C21="","",$C21&amp;" · "&amp;$E21&amp;IF($F21=""," "," "&amp;$F21&amp;" ")&amp;"· "&amp;$D21)</f>
        <v>Conejo Tilda · Pequeño · Granja</v>
      </c>
      <c r="C21" s="13" t="s">
        <v>79</v>
      </c>
      <c r="D21" s="14" t="s">
        <v>75</v>
      </c>
      <c r="E21" s="14" t="s">
        <v>58</v>
      </c>
      <c r="F21" s="13"/>
      <c r="G21" s="13" t="s">
        <v>80</v>
      </c>
      <c r="H21" s="15" t="n">
        <v>80000</v>
      </c>
      <c r="I21" s="16" t="n">
        <v>14</v>
      </c>
      <c r="J21" s="17" t="n">
        <f aca="false">IF($C21="","",SUMIFS(Entradas!$D$5:$D$204,Entradas!$C$5:$C$204,$B21))</f>
        <v>0</v>
      </c>
      <c r="K21" s="17" t="n">
        <f aca="false">IF($C21="","",SUMIFS(Ventas!$F$5:$F$504,Ventas!$C$5:$C$504,$B21))</f>
        <v>0</v>
      </c>
      <c r="L21" s="18" t="n">
        <f aca="false">IF($C21="","",N($I21)+N($J21)-N($K21))</f>
        <v>14</v>
      </c>
      <c r="M21" s="19" t="n">
        <f aca="false">IF($C21="","",N($L21)*N($H21))</f>
        <v>1120000</v>
      </c>
      <c r="N21" s="19" t="n">
        <f aca="false">IF($C21="","",SUMIFS(Ventas!$I$5:$I$504,Ventas!$C$5:$C$504,$B21))</f>
        <v>0</v>
      </c>
      <c r="O21" s="20" t="str">
        <f aca="false">IF($C21="","",IF($L21&lt;0,"REVISAR",IF($L21=0,"AGOTADO",IF($L21&lt;=Config!$M$6,"BAJO","OK"))))</f>
        <v>OK</v>
      </c>
      <c r="P21" s="21" t="n">
        <f aca="false">IF($C21="","",IFERROR(INDEX(Config!$E$6:$E$18,MATCH($E21,Config!$D$6:$D$18,0)),""))</f>
        <v>2</v>
      </c>
      <c r="Q21" s="21" t="n">
        <f aca="false">IF($C21="","",N($K21)+ROW()/1000000)</f>
        <v>2.1E-005</v>
      </c>
      <c r="R21" s="21" t="n">
        <f aca="false">IF($C21="","",N($L21)+ROW()/1000000)</f>
        <v>14.000021</v>
      </c>
    </row>
    <row r="22" customFormat="false" ht="15" hidden="false" customHeight="false" outlineLevel="0" collapsed="false">
      <c r="A22" s="1"/>
      <c r="B22" s="22" t="str">
        <f aca="false">IF($C22="","",$C22&amp;" · "&amp;$E22&amp;IF($F22=""," "," "&amp;$F22&amp;" ")&amp;"· "&amp;$D22)</f>
        <v>Conejo Tilda · Grande · Granja</v>
      </c>
      <c r="C22" s="23" t="s">
        <v>79</v>
      </c>
      <c r="D22" s="24" t="s">
        <v>75</v>
      </c>
      <c r="E22" s="24" t="s">
        <v>67</v>
      </c>
      <c r="F22" s="23"/>
      <c r="G22" s="23" t="s">
        <v>81</v>
      </c>
      <c r="H22" s="25" t="n">
        <v>100000</v>
      </c>
      <c r="I22" s="26" t="n">
        <v>10</v>
      </c>
      <c r="J22" s="27" t="n">
        <f aca="false">IF($C22="","",SUMIFS(Entradas!$D$5:$D$204,Entradas!$C$5:$C$204,$B22))</f>
        <v>0</v>
      </c>
      <c r="K22" s="27" t="n">
        <f aca="false">IF($C22="","",SUMIFS(Ventas!$F$5:$F$504,Ventas!$C$5:$C$504,$B22))</f>
        <v>0</v>
      </c>
      <c r="L22" s="28" t="n">
        <f aca="false">IF($C22="","",N($I22)+N($J22)-N($K22))</f>
        <v>10</v>
      </c>
      <c r="M22" s="29" t="n">
        <f aca="false">IF($C22="","",N($L22)*N($H22))</f>
        <v>1000000</v>
      </c>
      <c r="N22" s="29" t="n">
        <f aca="false">IF($C22="","",SUMIFS(Ventas!$I$5:$I$504,Ventas!$C$5:$C$504,$B22))</f>
        <v>0</v>
      </c>
      <c r="O22" s="30" t="str">
        <f aca="false">IF($C22="","",IF($L22&lt;0,"REVISAR",IF($L22=0,"AGOTADO",IF($L22&lt;=Config!$M$6,"BAJO","OK"))))</f>
        <v>OK</v>
      </c>
      <c r="P22" s="31" t="n">
        <f aca="false">IF($C22="","",IFERROR(INDEX(Config!$E$6:$E$18,MATCH($E22,Config!$D$6:$D$18,0)),""))</f>
        <v>4</v>
      </c>
      <c r="Q22" s="31" t="n">
        <f aca="false">IF($C22="","",N($K22)+ROW()/1000000)</f>
        <v>2.2E-005</v>
      </c>
      <c r="R22" s="31" t="n">
        <f aca="false">IF($C22="","",N($L22)+ROW()/1000000)</f>
        <v>10.000022</v>
      </c>
    </row>
    <row r="23" customFormat="false" ht="15" hidden="false" customHeight="false" outlineLevel="0" collapsed="false">
      <c r="A23" s="1"/>
      <c r="B23" s="12" t="str">
        <f aca="false">IF($C23="","",$C23&amp;" · "&amp;$E23&amp;IF($F23=""," "," "&amp;$F23&amp;" ")&amp;"· "&amp;$D23)</f>
        <v>Ganso · Grande · Granja</v>
      </c>
      <c r="C23" s="13" t="s">
        <v>56</v>
      </c>
      <c r="D23" s="14" t="s">
        <v>75</v>
      </c>
      <c r="E23" s="14" t="s">
        <v>67</v>
      </c>
      <c r="F23" s="13"/>
      <c r="G23" s="13" t="s">
        <v>82</v>
      </c>
      <c r="H23" s="15" t="n">
        <v>110000</v>
      </c>
      <c r="I23" s="16" t="n">
        <v>12</v>
      </c>
      <c r="J23" s="17" t="n">
        <f aca="false">IF($C23="","",SUMIFS(Entradas!$D$5:$D$204,Entradas!$C$5:$C$204,$B23))</f>
        <v>0</v>
      </c>
      <c r="K23" s="17" t="n">
        <f aca="false">IF($C23="","",SUMIFS(Ventas!$F$5:$F$504,Ventas!$C$5:$C$504,$B23))</f>
        <v>0</v>
      </c>
      <c r="L23" s="18" t="n">
        <f aca="false">IF($C23="","",N($I23)+N($J23)-N($K23))</f>
        <v>12</v>
      </c>
      <c r="M23" s="19" t="n">
        <f aca="false">IF($C23="","",N($L23)*N($H23))</f>
        <v>1320000</v>
      </c>
      <c r="N23" s="19" t="n">
        <f aca="false">IF($C23="","",SUMIFS(Ventas!$I$5:$I$504,Ventas!$C$5:$C$504,$B23))</f>
        <v>0</v>
      </c>
      <c r="O23" s="20" t="str">
        <f aca="false">IF($C23="","",IF($L23&lt;0,"REVISAR",IF($L23=0,"AGOTADO",IF($L23&lt;=Config!$M$6,"BAJO","OK"))))</f>
        <v>OK</v>
      </c>
      <c r="P23" s="21" t="n">
        <f aca="false">IF($C23="","",IFERROR(INDEX(Config!$E$6:$E$18,MATCH($E23,Config!$D$6:$D$18,0)),""))</f>
        <v>4</v>
      </c>
      <c r="Q23" s="21" t="n">
        <f aca="false">IF($C23="","",N($K23)+ROW()/1000000)</f>
        <v>2.3E-005</v>
      </c>
      <c r="R23" s="21" t="n">
        <f aca="false">IF($C23="","",N($L23)+ROW()/1000000)</f>
        <v>12.000023</v>
      </c>
    </row>
    <row r="24" customFormat="false" ht="15" hidden="false" customHeight="false" outlineLevel="0" collapsed="false">
      <c r="A24" s="1"/>
      <c r="B24" s="22" t="str">
        <f aca="false">IF($C24="","",$C24&amp;" · "&amp;$E24&amp;IF($F24=""," "," "&amp;$F24&amp;" ")&amp;"· "&amp;$D24)</f>
        <v>Gato · Pequeño · Granja</v>
      </c>
      <c r="C24" s="23" t="s">
        <v>83</v>
      </c>
      <c r="D24" s="24" t="s">
        <v>75</v>
      </c>
      <c r="E24" s="24" t="s">
        <v>58</v>
      </c>
      <c r="F24" s="23"/>
      <c r="G24" s="23" t="s">
        <v>54</v>
      </c>
      <c r="H24" s="25" t="n">
        <v>80000</v>
      </c>
      <c r="I24" s="26" t="n">
        <v>12</v>
      </c>
      <c r="J24" s="27" t="n">
        <f aca="false">IF($C24="","",SUMIFS(Entradas!$D$5:$D$204,Entradas!$C$5:$C$204,$B24))</f>
        <v>0</v>
      </c>
      <c r="K24" s="27" t="n">
        <f aca="false">IF($C24="","",SUMIFS(Ventas!$F$5:$F$504,Ventas!$C$5:$C$504,$B24))</f>
        <v>0</v>
      </c>
      <c r="L24" s="28" t="n">
        <f aca="false">IF($C24="","",N($I24)+N($J24)-N($K24))</f>
        <v>12</v>
      </c>
      <c r="M24" s="29" t="n">
        <f aca="false">IF($C24="","",N($L24)*N($H24))</f>
        <v>960000</v>
      </c>
      <c r="N24" s="29" t="n">
        <f aca="false">IF($C24="","",SUMIFS(Ventas!$I$5:$I$504,Ventas!$C$5:$C$504,$B24))</f>
        <v>0</v>
      </c>
      <c r="O24" s="30" t="str">
        <f aca="false">IF($C24="","",IF($L24&lt;0,"REVISAR",IF($L24=0,"AGOTADO",IF($L24&lt;=Config!$M$6,"BAJO","OK"))))</f>
        <v>OK</v>
      </c>
      <c r="P24" s="31" t="n">
        <f aca="false">IF($C24="","",IFERROR(INDEX(Config!$E$6:$E$18,MATCH($E24,Config!$D$6:$D$18,0)),""))</f>
        <v>2</v>
      </c>
      <c r="Q24" s="31" t="n">
        <f aca="false">IF($C24="","",N($K24)+ROW()/1000000)</f>
        <v>2.4E-005</v>
      </c>
      <c r="R24" s="31" t="n">
        <f aca="false">IF($C24="","",N($L24)+ROW()/1000000)</f>
        <v>12.000024</v>
      </c>
    </row>
    <row r="25" customFormat="false" ht="15" hidden="false" customHeight="false" outlineLevel="0" collapsed="false">
      <c r="A25" s="1"/>
      <c r="B25" s="12" t="str">
        <f aca="false">IF($C25="","",$C25&amp;" · "&amp;$E25&amp;IF($F25=""," "," "&amp;$F25&amp;" ")&amp;"· "&amp;$D25)</f>
        <v>Gato · Grande · Granja</v>
      </c>
      <c r="C25" s="13" t="s">
        <v>83</v>
      </c>
      <c r="D25" s="14" t="s">
        <v>75</v>
      </c>
      <c r="E25" s="14" t="s">
        <v>67</v>
      </c>
      <c r="F25" s="13"/>
      <c r="G25" s="13" t="s">
        <v>84</v>
      </c>
      <c r="H25" s="15" t="n">
        <v>110000</v>
      </c>
      <c r="I25" s="16" t="n">
        <v>4</v>
      </c>
      <c r="J25" s="17" t="n">
        <f aca="false">IF($C25="","",SUMIFS(Entradas!$D$5:$D$204,Entradas!$C$5:$C$204,$B25))</f>
        <v>0</v>
      </c>
      <c r="K25" s="17" t="n">
        <f aca="false">IF($C25="","",SUMIFS(Ventas!$F$5:$F$504,Ventas!$C$5:$C$504,$B25))</f>
        <v>0</v>
      </c>
      <c r="L25" s="18" t="n">
        <f aca="false">IF($C25="","",N($I25)+N($J25)-N($K25))</f>
        <v>4</v>
      </c>
      <c r="M25" s="19" t="n">
        <f aca="false">IF($C25="","",N($L25)*N($H25))</f>
        <v>440000</v>
      </c>
      <c r="N25" s="19" t="n">
        <f aca="false">IF($C25="","",SUMIFS(Ventas!$I$5:$I$504,Ventas!$C$5:$C$504,$B25))</f>
        <v>0</v>
      </c>
      <c r="O25" s="20" t="str">
        <f aca="false">IF($C25="","",IF($L25&lt;0,"REVISAR",IF($L25=0,"AGOTADO",IF($L25&lt;=Config!$M$6,"BAJO","OK"))))</f>
        <v>OK</v>
      </c>
      <c r="P25" s="21" t="n">
        <f aca="false">IF($C25="","",IFERROR(INDEX(Config!$E$6:$E$18,MATCH($E25,Config!$D$6:$D$18,0)),""))</f>
        <v>4</v>
      </c>
      <c r="Q25" s="21" t="n">
        <f aca="false">IF($C25="","",N($K25)+ROW()/1000000)</f>
        <v>2.5E-005</v>
      </c>
      <c r="R25" s="21" t="n">
        <f aca="false">IF($C25="","",N($L25)+ROW()/1000000)</f>
        <v>4.000025</v>
      </c>
    </row>
    <row r="26" customFormat="false" ht="15" hidden="false" customHeight="false" outlineLevel="0" collapsed="false">
      <c r="A26" s="1"/>
      <c r="B26" s="22" t="str">
        <f aca="false">IF($C26="","",$C26&amp;" · "&amp;$E26&amp;IF($F26=""," "," "&amp;$F26&amp;" ")&amp;"· "&amp;$D26)</f>
        <v>Oso tilda · Único · Granja</v>
      </c>
      <c r="C26" s="23" t="s">
        <v>85</v>
      </c>
      <c r="D26" s="24" t="s">
        <v>75</v>
      </c>
      <c r="E26" s="24" t="s">
        <v>51</v>
      </c>
      <c r="F26" s="23"/>
      <c r="G26" s="23" t="s">
        <v>86</v>
      </c>
      <c r="H26" s="25" t="n">
        <v>75000</v>
      </c>
      <c r="I26" s="26" t="n">
        <v>11</v>
      </c>
      <c r="J26" s="27" t="n">
        <f aca="false">IF($C26="","",SUMIFS(Entradas!$D$5:$D$204,Entradas!$C$5:$C$204,$B26))</f>
        <v>0</v>
      </c>
      <c r="K26" s="27" t="n">
        <f aca="false">IF($C26="","",SUMIFS(Ventas!$F$5:$F$504,Ventas!$C$5:$C$504,$B26))</f>
        <v>0</v>
      </c>
      <c r="L26" s="28" t="n">
        <f aca="false">IF($C26="","",N($I26)+N($J26)-N($K26))</f>
        <v>11</v>
      </c>
      <c r="M26" s="29" t="n">
        <f aca="false">IF($C26="","",N($L26)*N($H26))</f>
        <v>825000</v>
      </c>
      <c r="N26" s="29" t="n">
        <f aca="false">IF($C26="","",SUMIFS(Ventas!$I$5:$I$504,Ventas!$C$5:$C$504,$B26))</f>
        <v>0</v>
      </c>
      <c r="O26" s="30" t="str">
        <f aca="false">IF($C26="","",IF($L26&lt;0,"REVISAR",IF($L26=0,"AGOTADO",IF($L26&lt;=Config!$M$6,"BAJO","OK"))))</f>
        <v>OK</v>
      </c>
      <c r="P26" s="31" t="n">
        <f aca="false">IF($C26="","",IFERROR(INDEX(Config!$E$6:$E$18,MATCH($E26,Config!$D$6:$D$18,0)),""))</f>
        <v>5</v>
      </c>
      <c r="Q26" s="31" t="n">
        <f aca="false">IF($C26="","",N($K26)+ROW()/1000000)</f>
        <v>2.6E-005</v>
      </c>
      <c r="R26" s="31" t="n">
        <f aca="false">IF($C26="","",N($L26)+ROW()/1000000)</f>
        <v>11.000026</v>
      </c>
    </row>
    <row r="27" customFormat="false" ht="15" hidden="false" customHeight="false" outlineLevel="0" collapsed="false">
      <c r="A27" s="1"/>
      <c r="B27" s="12" t="str">
        <f aca="false">IF($C27="","",$C27&amp;" · "&amp;$E27&amp;IF($F27=""," "," "&amp;$F27&amp;" ")&amp;"· "&amp;$D27)</f>
        <v>Perro · Pequeño · Granja</v>
      </c>
      <c r="C27" s="13" t="s">
        <v>70</v>
      </c>
      <c r="D27" s="14" t="s">
        <v>75</v>
      </c>
      <c r="E27" s="14" t="s">
        <v>58</v>
      </c>
      <c r="F27" s="13"/>
      <c r="G27" s="13" t="s">
        <v>54</v>
      </c>
      <c r="H27" s="15" t="n">
        <v>80000</v>
      </c>
      <c r="I27" s="16" t="n">
        <v>12</v>
      </c>
      <c r="J27" s="17" t="n">
        <f aca="false">IF($C27="","",SUMIFS(Entradas!$D$5:$D$204,Entradas!$C$5:$C$204,$B27))</f>
        <v>0</v>
      </c>
      <c r="K27" s="17" t="n">
        <f aca="false">IF($C27="","",SUMIFS(Ventas!$F$5:$F$504,Ventas!$C$5:$C$504,$B27))</f>
        <v>0</v>
      </c>
      <c r="L27" s="18" t="n">
        <f aca="false">IF($C27="","",N($I27)+N($J27)-N($K27))</f>
        <v>12</v>
      </c>
      <c r="M27" s="19" t="n">
        <f aca="false">IF($C27="","",N($L27)*N($H27))</f>
        <v>960000</v>
      </c>
      <c r="N27" s="19" t="n">
        <f aca="false">IF($C27="","",SUMIFS(Ventas!$I$5:$I$504,Ventas!$C$5:$C$504,$B27))</f>
        <v>0</v>
      </c>
      <c r="O27" s="20" t="str">
        <f aca="false">IF($C27="","",IF($L27&lt;0,"REVISAR",IF($L27=0,"AGOTADO",IF($L27&lt;=Config!$M$6,"BAJO","OK"))))</f>
        <v>OK</v>
      </c>
      <c r="P27" s="21" t="n">
        <f aca="false">IF($C27="","",IFERROR(INDEX(Config!$E$6:$E$18,MATCH($E27,Config!$D$6:$D$18,0)),""))</f>
        <v>2</v>
      </c>
      <c r="Q27" s="21" t="n">
        <f aca="false">IF($C27="","",N($K27)+ROW()/1000000)</f>
        <v>2.7E-005</v>
      </c>
      <c r="R27" s="21" t="n">
        <f aca="false">IF($C27="","",N($L27)+ROW()/1000000)</f>
        <v>12.000027</v>
      </c>
    </row>
    <row r="28" customFormat="false" ht="15" hidden="false" customHeight="false" outlineLevel="0" collapsed="false">
      <c r="A28" s="1"/>
      <c r="B28" s="22" t="str">
        <f aca="false">IF($C28="","",$C28&amp;" · "&amp;$E28&amp;IF($F28=""," "," "&amp;$F28&amp;" ")&amp;"· "&amp;$D28)</f>
        <v>Perro · Grande · Granja</v>
      </c>
      <c r="C28" s="23" t="s">
        <v>70</v>
      </c>
      <c r="D28" s="24" t="s">
        <v>75</v>
      </c>
      <c r="E28" s="24" t="s">
        <v>67</v>
      </c>
      <c r="F28" s="23"/>
      <c r="G28" s="23" t="s">
        <v>87</v>
      </c>
      <c r="H28" s="25" t="n">
        <v>110000</v>
      </c>
      <c r="I28" s="26" t="n">
        <v>5</v>
      </c>
      <c r="J28" s="27" t="n">
        <f aca="false">IF($C28="","",SUMIFS(Entradas!$D$5:$D$204,Entradas!$C$5:$C$204,$B28))</f>
        <v>0</v>
      </c>
      <c r="K28" s="27" t="n">
        <f aca="false">IF($C28="","",SUMIFS(Ventas!$F$5:$F$504,Ventas!$C$5:$C$504,$B28))</f>
        <v>0</v>
      </c>
      <c r="L28" s="28" t="n">
        <f aca="false">IF($C28="","",N($I28)+N($J28)-N($K28))</f>
        <v>5</v>
      </c>
      <c r="M28" s="29" t="n">
        <f aca="false">IF($C28="","",N($L28)*N($H28))</f>
        <v>550000</v>
      </c>
      <c r="N28" s="29" t="n">
        <f aca="false">IF($C28="","",SUMIFS(Ventas!$I$5:$I$504,Ventas!$C$5:$C$504,$B28))</f>
        <v>0</v>
      </c>
      <c r="O28" s="30" t="str">
        <f aca="false">IF($C28="","",IF($L28&lt;0,"REVISAR",IF($L28=0,"AGOTADO",IF($L28&lt;=Config!$M$6,"BAJO","OK"))))</f>
        <v>OK</v>
      </c>
      <c r="P28" s="31" t="n">
        <f aca="false">IF($C28="","",IFERROR(INDEX(Config!$E$6:$E$18,MATCH($E28,Config!$D$6:$D$18,0)),""))</f>
        <v>4</v>
      </c>
      <c r="Q28" s="31" t="n">
        <f aca="false">IF($C28="","",N($K28)+ROW()/1000000)</f>
        <v>2.8E-005</v>
      </c>
      <c r="R28" s="31" t="n">
        <f aca="false">IF($C28="","",N($L28)+ROW()/1000000)</f>
        <v>5.000028</v>
      </c>
    </row>
    <row r="29" customFormat="false" ht="15" hidden="false" customHeight="false" outlineLevel="0" collapsed="false">
      <c r="A29" s="1"/>
      <c r="B29" s="12" t="str">
        <f aca="false">IF($C29="","",$C29&amp;" · "&amp;$E29&amp;IF($F29=""," "," "&amp;$F29&amp;" ")&amp;"· "&amp;$D29)</f>
        <v>Perro Salchicha · Único · Granja</v>
      </c>
      <c r="C29" s="13" t="s">
        <v>88</v>
      </c>
      <c r="D29" s="14" t="s">
        <v>75</v>
      </c>
      <c r="E29" s="14" t="s">
        <v>51</v>
      </c>
      <c r="F29" s="13"/>
      <c r="G29" s="13" t="s">
        <v>89</v>
      </c>
      <c r="H29" s="15" t="n">
        <v>150000</v>
      </c>
      <c r="I29" s="16" t="n">
        <v>7</v>
      </c>
      <c r="J29" s="17" t="n">
        <f aca="false">IF($C29="","",SUMIFS(Entradas!$D$5:$D$204,Entradas!$C$5:$C$204,$B29))</f>
        <v>0</v>
      </c>
      <c r="K29" s="17" t="n">
        <f aca="false">IF($C29="","",SUMIFS(Ventas!$F$5:$F$504,Ventas!$C$5:$C$504,$B29))</f>
        <v>0</v>
      </c>
      <c r="L29" s="18" t="n">
        <f aca="false">IF($C29="","",N($I29)+N($J29)-N($K29))</f>
        <v>7</v>
      </c>
      <c r="M29" s="19" t="n">
        <f aca="false">IF($C29="","",N($L29)*N($H29))</f>
        <v>1050000</v>
      </c>
      <c r="N29" s="19" t="n">
        <f aca="false">IF($C29="","",SUMIFS(Ventas!$I$5:$I$504,Ventas!$C$5:$C$504,$B29))</f>
        <v>0</v>
      </c>
      <c r="O29" s="20" t="str">
        <f aca="false">IF($C29="","",IF($L29&lt;0,"REVISAR",IF($L29=0,"AGOTADO",IF($L29&lt;=Config!$M$6,"BAJO","OK"))))</f>
        <v>OK</v>
      </c>
      <c r="P29" s="21" t="n">
        <f aca="false">IF($C29="","",IFERROR(INDEX(Config!$E$6:$E$18,MATCH($E29,Config!$D$6:$D$18,0)),""))</f>
        <v>5</v>
      </c>
      <c r="Q29" s="21" t="n">
        <f aca="false">IF($C29="","",N($K29)+ROW()/1000000)</f>
        <v>2.9E-005</v>
      </c>
      <c r="R29" s="21" t="n">
        <f aca="false">IF($C29="","",N($L29)+ROW()/1000000)</f>
        <v>7.000029</v>
      </c>
    </row>
    <row r="30" customFormat="false" ht="15" hidden="false" customHeight="false" outlineLevel="0" collapsed="false">
      <c r="A30" s="1"/>
      <c r="B30" s="22" t="str">
        <f aca="false">IF($C30="","",$C30&amp;" · "&amp;$E30&amp;IF($F30=""," "," "&amp;$F30&amp;" ")&amp;"· "&amp;$D30)</f>
        <v>Ratón · Pequeño · Granja</v>
      </c>
      <c r="C30" s="23" t="s">
        <v>71</v>
      </c>
      <c r="D30" s="24" t="s">
        <v>75</v>
      </c>
      <c r="E30" s="24" t="s">
        <v>58</v>
      </c>
      <c r="F30" s="23"/>
      <c r="G30" s="23" t="s">
        <v>54</v>
      </c>
      <c r="H30" s="25" t="n">
        <v>80000</v>
      </c>
      <c r="I30" s="26" t="n">
        <v>12</v>
      </c>
      <c r="J30" s="27" t="n">
        <f aca="false">IF($C30="","",SUMIFS(Entradas!$D$5:$D$204,Entradas!$C$5:$C$204,$B30))</f>
        <v>0</v>
      </c>
      <c r="K30" s="27" t="n">
        <f aca="false">IF($C30="","",SUMIFS(Ventas!$F$5:$F$504,Ventas!$C$5:$C$504,$B30))</f>
        <v>0</v>
      </c>
      <c r="L30" s="28" t="n">
        <f aca="false">IF($C30="","",N($I30)+N($J30)-N($K30))</f>
        <v>12</v>
      </c>
      <c r="M30" s="29" t="n">
        <f aca="false">IF($C30="","",N($L30)*N($H30))</f>
        <v>960000</v>
      </c>
      <c r="N30" s="29" t="n">
        <f aca="false">IF($C30="","",SUMIFS(Ventas!$I$5:$I$504,Ventas!$C$5:$C$504,$B30))</f>
        <v>0</v>
      </c>
      <c r="O30" s="30" t="str">
        <f aca="false">IF($C30="","",IF($L30&lt;0,"REVISAR",IF($L30=0,"AGOTADO",IF($L30&lt;=Config!$M$6,"BAJO","OK"))))</f>
        <v>OK</v>
      </c>
      <c r="P30" s="31" t="n">
        <f aca="false">IF($C30="","",IFERROR(INDEX(Config!$E$6:$E$18,MATCH($E30,Config!$D$6:$D$18,0)),""))</f>
        <v>2</v>
      </c>
      <c r="Q30" s="31" t="n">
        <f aca="false">IF($C30="","",N($K30)+ROW()/1000000)</f>
        <v>3E-005</v>
      </c>
      <c r="R30" s="31" t="n">
        <f aca="false">IF($C30="","",N($L30)+ROW()/1000000)</f>
        <v>12.00003</v>
      </c>
    </row>
    <row r="31" customFormat="false" ht="15" hidden="false" customHeight="false" outlineLevel="0" collapsed="false">
      <c r="A31" s="1"/>
      <c r="B31" s="12" t="str">
        <f aca="false">IF($C31="","",$C31&amp;" · "&amp;$E31&amp;IF($F31=""," "," "&amp;$F31&amp;" ")&amp;"· "&amp;$D31)</f>
        <v>Ratón · Grande · Granja</v>
      </c>
      <c r="C31" s="13" t="s">
        <v>71</v>
      </c>
      <c r="D31" s="14" t="s">
        <v>75</v>
      </c>
      <c r="E31" s="14" t="s">
        <v>67</v>
      </c>
      <c r="F31" s="13"/>
      <c r="G31" s="13" t="s">
        <v>90</v>
      </c>
      <c r="H31" s="15" t="n">
        <v>110000</v>
      </c>
      <c r="I31" s="16" t="n">
        <v>12</v>
      </c>
      <c r="J31" s="17" t="n">
        <f aca="false">IF($C31="","",SUMIFS(Entradas!$D$5:$D$204,Entradas!$C$5:$C$204,$B31))</f>
        <v>0</v>
      </c>
      <c r="K31" s="17" t="n">
        <f aca="false">IF($C31="","",SUMIFS(Ventas!$F$5:$F$504,Ventas!$C$5:$C$504,$B31))</f>
        <v>0</v>
      </c>
      <c r="L31" s="18" t="n">
        <f aca="false">IF($C31="","",N($I31)+N($J31)-N($K31))</f>
        <v>12</v>
      </c>
      <c r="M31" s="19" t="n">
        <f aca="false">IF($C31="","",N($L31)*N($H31))</f>
        <v>1320000</v>
      </c>
      <c r="N31" s="19" t="n">
        <f aca="false">IF($C31="","",SUMIFS(Ventas!$I$5:$I$504,Ventas!$C$5:$C$504,$B31))</f>
        <v>0</v>
      </c>
      <c r="O31" s="20" t="str">
        <f aca="false">IF($C31="","",IF($L31&lt;0,"REVISAR",IF($L31=0,"AGOTADO",IF($L31&lt;=Config!$M$6,"BAJO","OK"))))</f>
        <v>OK</v>
      </c>
      <c r="P31" s="21" t="n">
        <f aca="false">IF($C31="","",IFERROR(INDEX(Config!$E$6:$E$18,MATCH($E31,Config!$D$6:$D$18,0)),""))</f>
        <v>4</v>
      </c>
      <c r="Q31" s="21" t="n">
        <f aca="false">IF($C31="","",N($K31)+ROW()/1000000)</f>
        <v>3.1E-005</v>
      </c>
      <c r="R31" s="21" t="n">
        <f aca="false">IF($C31="","",N($L31)+ROW()/1000000)</f>
        <v>12.000031</v>
      </c>
    </row>
    <row r="32" customFormat="false" ht="15" hidden="false" customHeight="false" outlineLevel="0" collapsed="false">
      <c r="A32" s="1"/>
      <c r="B32" s="22" t="str">
        <f aca="false">IF($C32="","",$C32&amp;" · "&amp;$E32&amp;IF($F32=""," "," "&amp;$F32&amp;" ")&amp;"· "&amp;$D32)</f>
        <v>Vaca · Pequeño · Granja</v>
      </c>
      <c r="C32" s="23" t="s">
        <v>91</v>
      </c>
      <c r="D32" s="24" t="s">
        <v>75</v>
      </c>
      <c r="E32" s="24" t="s">
        <v>58</v>
      </c>
      <c r="F32" s="23"/>
      <c r="G32" s="23" t="s">
        <v>92</v>
      </c>
      <c r="H32" s="25" t="n">
        <v>80000</v>
      </c>
      <c r="I32" s="26" t="n">
        <v>3</v>
      </c>
      <c r="J32" s="27" t="n">
        <f aca="false">IF($C32="","",SUMIFS(Entradas!$D$5:$D$204,Entradas!$C$5:$C$204,$B32))</f>
        <v>0</v>
      </c>
      <c r="K32" s="27" t="n">
        <f aca="false">IF($C32="","",SUMIFS(Ventas!$F$5:$F$504,Ventas!$C$5:$C$504,$B32))</f>
        <v>0</v>
      </c>
      <c r="L32" s="28" t="n">
        <f aca="false">IF($C32="","",N($I32)+N($J32)-N($K32))</f>
        <v>3</v>
      </c>
      <c r="M32" s="29" t="n">
        <f aca="false">IF($C32="","",N($L32)*N($H32))</f>
        <v>240000</v>
      </c>
      <c r="N32" s="29" t="n">
        <f aca="false">IF($C32="","",SUMIFS(Ventas!$I$5:$I$504,Ventas!$C$5:$C$504,$B32))</f>
        <v>0</v>
      </c>
      <c r="O32" s="30" t="str">
        <f aca="false">IF($C32="","",IF($L32&lt;0,"REVISAR",IF($L32=0,"AGOTADO",IF($L32&lt;=Config!$M$6,"BAJO","OK"))))</f>
        <v>BAJO</v>
      </c>
      <c r="P32" s="31" t="n">
        <f aca="false">IF($C32="","",IFERROR(INDEX(Config!$E$6:$E$18,MATCH($E32,Config!$D$6:$D$18,0)),""))</f>
        <v>2</v>
      </c>
      <c r="Q32" s="31" t="n">
        <f aca="false">IF($C32="","",N($K32)+ROW()/1000000)</f>
        <v>3.2E-005</v>
      </c>
      <c r="R32" s="31" t="n">
        <f aca="false">IF($C32="","",N($L32)+ROW()/1000000)</f>
        <v>3.000032</v>
      </c>
    </row>
    <row r="33" customFormat="false" ht="15" hidden="false" customHeight="false" outlineLevel="0" collapsed="false">
      <c r="A33" s="1"/>
      <c r="B33" s="12" t="str">
        <f aca="false">IF($C33="","",$C33&amp;" · "&amp;$E33&amp;IF($F33=""," "," "&amp;$F33&amp;" ")&amp;"· "&amp;$D33)</f>
        <v>Muñeco Calabaza · Único · Halloween</v>
      </c>
      <c r="C33" s="13" t="s">
        <v>93</v>
      </c>
      <c r="D33" s="14" t="s">
        <v>94</v>
      </c>
      <c r="E33" s="14" t="s">
        <v>51</v>
      </c>
      <c r="F33" s="13"/>
      <c r="G33" s="13" t="s">
        <v>95</v>
      </c>
      <c r="H33" s="15" t="n">
        <v>130000</v>
      </c>
      <c r="I33" s="16" t="n">
        <v>13</v>
      </c>
      <c r="J33" s="17" t="n">
        <f aca="false">IF($C33="","",SUMIFS(Entradas!$D$5:$D$204,Entradas!$C$5:$C$204,$B33))</f>
        <v>0</v>
      </c>
      <c r="K33" s="17" t="n">
        <f aca="false">IF($C33="","",SUMIFS(Ventas!$F$5:$F$504,Ventas!$C$5:$C$504,$B33))</f>
        <v>0</v>
      </c>
      <c r="L33" s="18" t="n">
        <f aca="false">IF($C33="","",N($I33)+N($J33)-N($K33))</f>
        <v>13</v>
      </c>
      <c r="M33" s="19" t="n">
        <f aca="false">IF($C33="","",N($L33)*N($H33))</f>
        <v>1690000</v>
      </c>
      <c r="N33" s="19" t="n">
        <f aca="false">IF($C33="","",SUMIFS(Ventas!$I$5:$I$504,Ventas!$C$5:$C$504,$B33))</f>
        <v>0</v>
      </c>
      <c r="O33" s="20" t="str">
        <f aca="false">IF($C33="","",IF($L33&lt;0,"REVISAR",IF($L33=0,"AGOTADO",IF($L33&lt;=Config!$M$6,"BAJO","OK"))))</f>
        <v>OK</v>
      </c>
      <c r="P33" s="21" t="n">
        <f aca="false">IF($C33="","",IFERROR(INDEX(Config!$E$6:$E$18,MATCH($E33,Config!$D$6:$D$18,0)),""))</f>
        <v>5</v>
      </c>
      <c r="Q33" s="21" t="n">
        <f aca="false">IF($C33="","",N($K33)+ROW()/1000000)</f>
        <v>3.3E-005</v>
      </c>
      <c r="R33" s="21" t="n">
        <f aca="false">IF($C33="","",N($L33)+ROW()/1000000)</f>
        <v>13.000033</v>
      </c>
    </row>
    <row r="34" customFormat="false" ht="15" hidden="false" customHeight="false" outlineLevel="0" collapsed="false">
      <c r="A34" s="1"/>
      <c r="B34" s="22" t="str">
        <f aca="false">IF($C34="","",$C34&amp;" · "&amp;$E34&amp;IF($F34=""," "," "&amp;$F34&amp;" ")&amp;"· "&amp;$D34)</f>
        <v>Muñeco Fantasma · Único · Halloween</v>
      </c>
      <c r="C34" s="23" t="s">
        <v>96</v>
      </c>
      <c r="D34" s="24" t="s">
        <v>94</v>
      </c>
      <c r="E34" s="24" t="s">
        <v>51</v>
      </c>
      <c r="F34" s="23"/>
      <c r="G34" s="23" t="s">
        <v>97</v>
      </c>
      <c r="H34" s="25" t="n">
        <v>130000</v>
      </c>
      <c r="I34" s="26" t="n">
        <v>8</v>
      </c>
      <c r="J34" s="27" t="n">
        <f aca="false">IF($C34="","",SUMIFS(Entradas!$D$5:$D$204,Entradas!$C$5:$C$204,$B34))</f>
        <v>0</v>
      </c>
      <c r="K34" s="27" t="n">
        <f aca="false">IF($C34="","",SUMIFS(Ventas!$F$5:$F$504,Ventas!$C$5:$C$504,$B34))</f>
        <v>0</v>
      </c>
      <c r="L34" s="28" t="n">
        <f aca="false">IF($C34="","",N($I34)+N($J34)-N($K34))</f>
        <v>8</v>
      </c>
      <c r="M34" s="29" t="n">
        <f aca="false">IF($C34="","",N($L34)*N($H34))</f>
        <v>1040000</v>
      </c>
      <c r="N34" s="29" t="n">
        <f aca="false">IF($C34="","",SUMIFS(Ventas!$I$5:$I$504,Ventas!$C$5:$C$504,$B34))</f>
        <v>0</v>
      </c>
      <c r="O34" s="30" t="str">
        <f aca="false">IF($C34="","",IF($L34&lt;0,"REVISAR",IF($L34=0,"AGOTADO",IF($L34&lt;=Config!$M$6,"BAJO","OK"))))</f>
        <v>OK</v>
      </c>
      <c r="P34" s="31" t="n">
        <f aca="false">IF($C34="","",IFERROR(INDEX(Config!$E$6:$E$18,MATCH($E34,Config!$D$6:$D$18,0)),""))</f>
        <v>5</v>
      </c>
      <c r="Q34" s="31" t="n">
        <f aca="false">IF($C34="","",N($K34)+ROW()/1000000)</f>
        <v>3.4E-005</v>
      </c>
      <c r="R34" s="31" t="n">
        <f aca="false">IF($C34="","",N($L34)+ROW()/1000000)</f>
        <v>8.000034</v>
      </c>
    </row>
    <row r="35" customFormat="false" ht="15" hidden="false" customHeight="false" outlineLevel="0" collapsed="false">
      <c r="A35" s="1"/>
      <c r="B35" s="12" t="str">
        <f aca="false">IF($C35="","",$C35&amp;" · "&amp;$E35&amp;IF($F35=""," "," "&amp;$F35&amp;" ")&amp;"· "&amp;$D35)</f>
        <v>Muñeco Gato Negro · Único · Halloween</v>
      </c>
      <c r="C35" s="13" t="s">
        <v>98</v>
      </c>
      <c r="D35" s="14" t="s">
        <v>94</v>
      </c>
      <c r="E35" s="14" t="s">
        <v>51</v>
      </c>
      <c r="F35" s="13"/>
      <c r="G35" s="13" t="s">
        <v>99</v>
      </c>
      <c r="H35" s="15" t="n">
        <v>130000</v>
      </c>
      <c r="I35" s="16" t="n">
        <v>6</v>
      </c>
      <c r="J35" s="17" t="n">
        <f aca="false">IF($C35="","",SUMIFS(Entradas!$D$5:$D$204,Entradas!$C$5:$C$204,$B35))</f>
        <v>0</v>
      </c>
      <c r="K35" s="17" t="n">
        <f aca="false">IF($C35="","",SUMIFS(Ventas!$F$5:$F$504,Ventas!$C$5:$C$504,$B35))</f>
        <v>0</v>
      </c>
      <c r="L35" s="18" t="n">
        <f aca="false">IF($C35="","",N($I35)+N($J35)-N($K35))</f>
        <v>6</v>
      </c>
      <c r="M35" s="19" t="n">
        <f aca="false">IF($C35="","",N($L35)*N($H35))</f>
        <v>780000</v>
      </c>
      <c r="N35" s="19" t="n">
        <f aca="false">IF($C35="","",SUMIFS(Ventas!$I$5:$I$504,Ventas!$C$5:$C$504,$B35))</f>
        <v>0</v>
      </c>
      <c r="O35" s="20" t="str">
        <f aca="false">IF($C35="","",IF($L35&lt;0,"REVISAR",IF($L35=0,"AGOTADO",IF($L35&lt;=Config!$M$6,"BAJO","OK"))))</f>
        <v>OK</v>
      </c>
      <c r="P35" s="21" t="n">
        <f aca="false">IF($C35="","",IFERROR(INDEX(Config!$E$6:$E$18,MATCH($E35,Config!$D$6:$D$18,0)),""))</f>
        <v>5</v>
      </c>
      <c r="Q35" s="21" t="n">
        <f aca="false">IF($C35="","",N($K35)+ROW()/1000000)</f>
        <v>3.5E-005</v>
      </c>
      <c r="R35" s="21" t="n">
        <f aca="false">IF($C35="","",N($L35)+ROW()/1000000)</f>
        <v>6.000035</v>
      </c>
    </row>
    <row r="36" customFormat="false" ht="15" hidden="false" customHeight="false" outlineLevel="0" collapsed="false">
      <c r="A36" s="1"/>
      <c r="B36" s="22" t="str">
        <f aca="false">IF($C36="","",$C36&amp;" · "&amp;$E36&amp;IF($F36=""," "," "&amp;$F36&amp;" ")&amp;"· "&amp;$D36)</f>
        <v>Muñeco Murciélago · Único · Halloween</v>
      </c>
      <c r="C36" s="23" t="s">
        <v>100</v>
      </c>
      <c r="D36" s="24" t="s">
        <v>94</v>
      </c>
      <c r="E36" s="24" t="s">
        <v>51</v>
      </c>
      <c r="F36" s="23"/>
      <c r="G36" s="23" t="s">
        <v>99</v>
      </c>
      <c r="H36" s="25" t="n">
        <v>130000</v>
      </c>
      <c r="I36" s="26" t="n">
        <v>6</v>
      </c>
      <c r="J36" s="27" t="n">
        <f aca="false">IF($C36="","",SUMIFS(Entradas!$D$5:$D$204,Entradas!$C$5:$C$204,$B36))</f>
        <v>0</v>
      </c>
      <c r="K36" s="27" t="n">
        <f aca="false">IF($C36="","",SUMIFS(Ventas!$F$5:$F$504,Ventas!$C$5:$C$504,$B36))</f>
        <v>0</v>
      </c>
      <c r="L36" s="28" t="n">
        <f aca="false">IF($C36="","",N($I36)+N($J36)-N($K36))</f>
        <v>6</v>
      </c>
      <c r="M36" s="29" t="n">
        <f aca="false">IF($C36="","",N($L36)*N($H36))</f>
        <v>780000</v>
      </c>
      <c r="N36" s="29" t="n">
        <f aca="false">IF($C36="","",SUMIFS(Ventas!$I$5:$I$504,Ventas!$C$5:$C$504,$B36))</f>
        <v>0</v>
      </c>
      <c r="O36" s="30" t="str">
        <f aca="false">IF($C36="","",IF($L36&lt;0,"REVISAR",IF($L36=0,"AGOTADO",IF($L36&lt;=Config!$M$6,"BAJO","OK"))))</f>
        <v>OK</v>
      </c>
      <c r="P36" s="31" t="n">
        <f aca="false">IF($C36="","",IFERROR(INDEX(Config!$E$6:$E$18,MATCH($E36,Config!$D$6:$D$18,0)),""))</f>
        <v>5</v>
      </c>
      <c r="Q36" s="31" t="n">
        <f aca="false">IF($C36="","",N($K36)+ROW()/1000000)</f>
        <v>3.6E-005</v>
      </c>
      <c r="R36" s="31" t="n">
        <f aca="false">IF($C36="","",N($L36)+ROW()/1000000)</f>
        <v>6.000036</v>
      </c>
    </row>
    <row r="37" customFormat="false" ht="15" hidden="false" customHeight="false" outlineLevel="0" collapsed="false">
      <c r="A37" s="1"/>
      <c r="B37" s="12" t="str">
        <f aca="false">IF($C37="","",$C37&amp;" · "&amp;$E37&amp;IF($F37=""," "," "&amp;$F37&amp;" ")&amp;"· "&amp;$D37)</f>
        <v>Zorro · Pequeño · Halloween</v>
      </c>
      <c r="C37" s="13" t="s">
        <v>101</v>
      </c>
      <c r="D37" s="14" t="s">
        <v>94</v>
      </c>
      <c r="E37" s="14" t="s">
        <v>58</v>
      </c>
      <c r="F37" s="13"/>
      <c r="G37" s="13" t="s">
        <v>102</v>
      </c>
      <c r="H37" s="15" t="n">
        <v>80000</v>
      </c>
      <c r="I37" s="16" t="n">
        <v>4</v>
      </c>
      <c r="J37" s="17" t="n">
        <f aca="false">IF($C37="","",SUMIFS(Entradas!$D$5:$D$204,Entradas!$C$5:$C$204,$B37))</f>
        <v>0</v>
      </c>
      <c r="K37" s="17" t="n">
        <f aca="false">IF($C37="","",SUMIFS(Ventas!$F$5:$F$504,Ventas!$C$5:$C$504,$B37))</f>
        <v>0</v>
      </c>
      <c r="L37" s="18" t="n">
        <f aca="false">IF($C37="","",N($I37)+N($J37)-N($K37))</f>
        <v>4</v>
      </c>
      <c r="M37" s="19" t="n">
        <f aca="false">IF($C37="","",N($L37)*N($H37))</f>
        <v>320000</v>
      </c>
      <c r="N37" s="19" t="n">
        <f aca="false">IF($C37="","",SUMIFS(Ventas!$I$5:$I$504,Ventas!$C$5:$C$504,$B37))</f>
        <v>0</v>
      </c>
      <c r="O37" s="20" t="str">
        <f aca="false">IF($C37="","",IF($L37&lt;0,"REVISAR",IF($L37=0,"AGOTADO",IF($L37&lt;=Config!$M$6,"BAJO","OK"))))</f>
        <v>OK</v>
      </c>
      <c r="P37" s="21" t="n">
        <f aca="false">IF($C37="","",IFERROR(INDEX(Config!$E$6:$E$18,MATCH($E37,Config!$D$6:$D$18,0)),""))</f>
        <v>2</v>
      </c>
      <c r="Q37" s="21" t="n">
        <f aca="false">IF($C37="","",N($K37)+ROW()/1000000)</f>
        <v>3.7E-005</v>
      </c>
      <c r="R37" s="21" t="n">
        <f aca="false">IF($C37="","",N($L37)+ROW()/1000000)</f>
        <v>4.000037</v>
      </c>
    </row>
    <row r="38" customFormat="false" ht="15" hidden="false" customHeight="false" outlineLevel="0" collapsed="false">
      <c r="A38" s="1"/>
      <c r="B38" s="22" t="str">
        <f aca="false">IF($C38="","",$C38&amp;" · "&amp;$E38&amp;IF($F38=""," "," "&amp;$F38&amp;" ")&amp;"· "&amp;$D38)</f>
        <v>Zorro · Grande · Halloween</v>
      </c>
      <c r="C38" s="23" t="s">
        <v>101</v>
      </c>
      <c r="D38" s="24" t="s">
        <v>94</v>
      </c>
      <c r="E38" s="24" t="s">
        <v>67</v>
      </c>
      <c r="F38" s="23"/>
      <c r="G38" s="23" t="s">
        <v>63</v>
      </c>
      <c r="H38" s="25" t="n">
        <v>120000</v>
      </c>
      <c r="I38" s="26" t="n">
        <v>6</v>
      </c>
      <c r="J38" s="27" t="n">
        <f aca="false">IF($C38="","",SUMIFS(Entradas!$D$5:$D$204,Entradas!$C$5:$C$204,$B38))</f>
        <v>0</v>
      </c>
      <c r="K38" s="27" t="n">
        <f aca="false">IF($C38="","",SUMIFS(Ventas!$F$5:$F$504,Ventas!$C$5:$C$504,$B38))</f>
        <v>0</v>
      </c>
      <c r="L38" s="28" t="n">
        <f aca="false">IF($C38="","",N($I38)+N($J38)-N($K38))</f>
        <v>6</v>
      </c>
      <c r="M38" s="29" t="n">
        <f aca="false">IF($C38="","",N($L38)*N($H38))</f>
        <v>720000</v>
      </c>
      <c r="N38" s="29" t="n">
        <f aca="false">IF($C38="","",SUMIFS(Ventas!$I$5:$I$504,Ventas!$C$5:$C$504,$B38))</f>
        <v>0</v>
      </c>
      <c r="O38" s="30" t="str">
        <f aca="false">IF($C38="","",IF($L38&lt;0,"REVISAR",IF($L38=0,"AGOTADO",IF($L38&lt;=Config!$M$6,"BAJO","OK"))))</f>
        <v>OK</v>
      </c>
      <c r="P38" s="31" t="n">
        <f aca="false">IF($C38="","",IFERROR(INDEX(Config!$E$6:$E$18,MATCH($E38,Config!$D$6:$D$18,0)),""))</f>
        <v>4</v>
      </c>
      <c r="Q38" s="31" t="n">
        <f aca="false">IF($C38="","",N($K38)+ROW()/1000000)</f>
        <v>3.8E-005</v>
      </c>
      <c r="R38" s="31" t="n">
        <f aca="false">IF($C38="","",N($L38)+ROW()/1000000)</f>
        <v>6.000038</v>
      </c>
    </row>
    <row r="39" customFormat="false" ht="15" hidden="false" customHeight="false" outlineLevel="0" collapsed="false">
      <c r="A39" s="1"/>
      <c r="B39" s="12" t="str">
        <f aca="false">IF($C39="","",$C39&amp;" · "&amp;$E39&amp;IF($F39=""," "," "&amp;$F39&amp;" ")&amp;"· "&amp;$D39)</f>
        <v>Pato · Único · Llavero</v>
      </c>
      <c r="C39" s="13" t="s">
        <v>64</v>
      </c>
      <c r="D39" s="14" t="s">
        <v>103</v>
      </c>
      <c r="E39" s="14" t="s">
        <v>51</v>
      </c>
      <c r="F39" s="13"/>
      <c r="G39" s="13" t="s">
        <v>104</v>
      </c>
      <c r="H39" s="15" t="n">
        <v>65000</v>
      </c>
      <c r="I39" s="16" t="n">
        <v>4</v>
      </c>
      <c r="J39" s="17" t="n">
        <f aca="false">IF($C39="","",SUMIFS(Entradas!$D$5:$D$204,Entradas!$C$5:$C$204,$B39))</f>
        <v>0</v>
      </c>
      <c r="K39" s="17" t="n">
        <f aca="false">IF($C39="","",SUMIFS(Ventas!$F$5:$F$504,Ventas!$C$5:$C$504,$B39))</f>
        <v>0</v>
      </c>
      <c r="L39" s="18" t="n">
        <f aca="false">IF($C39="","",N($I39)+N($J39)-N($K39))</f>
        <v>4</v>
      </c>
      <c r="M39" s="19" t="n">
        <f aca="false">IF($C39="","",N($L39)*N($H39))</f>
        <v>260000</v>
      </c>
      <c r="N39" s="19" t="n">
        <f aca="false">IF($C39="","",SUMIFS(Ventas!$I$5:$I$504,Ventas!$C$5:$C$504,$B39))</f>
        <v>0</v>
      </c>
      <c r="O39" s="20" t="str">
        <f aca="false">IF($C39="","",IF($L39&lt;0,"REVISAR",IF($L39=0,"AGOTADO",IF($L39&lt;=Config!$M$6,"BAJO","OK"))))</f>
        <v>OK</v>
      </c>
      <c r="P39" s="21" t="n">
        <f aca="false">IF($C39="","",IFERROR(INDEX(Config!$E$6:$E$18,MATCH($E39,Config!$D$6:$D$18,0)),""))</f>
        <v>5</v>
      </c>
      <c r="Q39" s="21" t="n">
        <f aca="false">IF($C39="","",N($K39)+ROW()/1000000)</f>
        <v>3.9E-005</v>
      </c>
      <c r="R39" s="21" t="n">
        <f aca="false">IF($C39="","",N($L39)+ROW()/1000000)</f>
        <v>4.000039</v>
      </c>
    </row>
    <row r="40" customFormat="false" ht="15" hidden="false" customHeight="false" outlineLevel="0" collapsed="false">
      <c r="A40" s="1"/>
      <c r="B40" s="22" t="str">
        <f aca="false">IF($C40="","",$C40&amp;" · "&amp;$E40&amp;IF($F40=""," "," "&amp;$F40&amp;" ")&amp;"· "&amp;$D40)</f>
        <v>Ratón · Único · Llavero</v>
      </c>
      <c r="C40" s="23" t="s">
        <v>71</v>
      </c>
      <c r="D40" s="24" t="s">
        <v>103</v>
      </c>
      <c r="E40" s="24" t="s">
        <v>51</v>
      </c>
      <c r="F40" s="23"/>
      <c r="G40" s="23" t="s">
        <v>99</v>
      </c>
      <c r="H40" s="25" t="n">
        <v>65000</v>
      </c>
      <c r="I40" s="26" t="n">
        <v>6</v>
      </c>
      <c r="J40" s="27" t="n">
        <f aca="false">IF($C40="","",SUMIFS(Entradas!$D$5:$D$204,Entradas!$C$5:$C$204,$B40))</f>
        <v>0</v>
      </c>
      <c r="K40" s="27" t="n">
        <f aca="false">IF($C40="","",SUMIFS(Ventas!$F$5:$F$504,Ventas!$C$5:$C$504,$B40))</f>
        <v>0</v>
      </c>
      <c r="L40" s="28" t="n">
        <f aca="false">IF($C40="","",N($I40)+N($J40)-N($K40))</f>
        <v>6</v>
      </c>
      <c r="M40" s="29" t="n">
        <f aca="false">IF($C40="","",N($L40)*N($H40))</f>
        <v>390000</v>
      </c>
      <c r="N40" s="29" t="n">
        <f aca="false">IF($C40="","",SUMIFS(Ventas!$I$5:$I$504,Ventas!$C$5:$C$504,$B40))</f>
        <v>0</v>
      </c>
      <c r="O40" s="30" t="str">
        <f aca="false">IF($C40="","",IF($L40&lt;0,"REVISAR",IF($L40=0,"AGOTADO",IF($L40&lt;=Config!$M$6,"BAJO","OK"))))</f>
        <v>OK</v>
      </c>
      <c r="P40" s="31" t="n">
        <f aca="false">IF($C40="","",IFERROR(INDEX(Config!$E$6:$E$18,MATCH($E40,Config!$D$6:$D$18,0)),""))</f>
        <v>5</v>
      </c>
      <c r="Q40" s="31" t="n">
        <f aca="false">IF($C40="","",N($K40)+ROW()/1000000)</f>
        <v>4E-005</v>
      </c>
      <c r="R40" s="31" t="n">
        <f aca="false">IF($C40="","",N($L40)+ROW()/1000000)</f>
        <v>6.00004</v>
      </c>
    </row>
    <row r="41" customFormat="false" ht="15" hidden="false" customHeight="false" outlineLevel="0" collapsed="false">
      <c r="A41" s="1"/>
      <c r="B41" s="12" t="str">
        <f aca="false">IF($C41="","",$C41&amp;" · "&amp;$E41&amp;IF($F41=""," "," "&amp;$F41&amp;" ")&amp;"· "&amp;$D41)</f>
        <v>Zorro · Único · Llavero</v>
      </c>
      <c r="C41" s="13" t="s">
        <v>101</v>
      </c>
      <c r="D41" s="14" t="s">
        <v>103</v>
      </c>
      <c r="E41" s="14" t="s">
        <v>51</v>
      </c>
      <c r="F41" s="13"/>
      <c r="G41" s="13" t="s">
        <v>99</v>
      </c>
      <c r="H41" s="15" t="n">
        <v>65000</v>
      </c>
      <c r="I41" s="16" t="n">
        <v>6</v>
      </c>
      <c r="J41" s="17" t="n">
        <f aca="false">IF($C41="","",SUMIFS(Entradas!$D$5:$D$204,Entradas!$C$5:$C$204,$B41))</f>
        <v>0</v>
      </c>
      <c r="K41" s="17" t="n">
        <f aca="false">IF($C41="","",SUMIFS(Ventas!$F$5:$F$504,Ventas!$C$5:$C$504,$B41))</f>
        <v>0</v>
      </c>
      <c r="L41" s="18" t="n">
        <f aca="false">IF($C41="","",N($I41)+N($J41)-N($K41))</f>
        <v>6</v>
      </c>
      <c r="M41" s="19" t="n">
        <f aca="false">IF($C41="","",N($L41)*N($H41))</f>
        <v>390000</v>
      </c>
      <c r="N41" s="19" t="n">
        <f aca="false">IF($C41="","",SUMIFS(Ventas!$I$5:$I$504,Ventas!$C$5:$C$504,$B41))</f>
        <v>0</v>
      </c>
      <c r="O41" s="20" t="str">
        <f aca="false">IF($C41="","",IF($L41&lt;0,"REVISAR",IF($L41=0,"AGOTADO",IF($L41&lt;=Config!$M$6,"BAJO","OK"))))</f>
        <v>OK</v>
      </c>
      <c r="P41" s="21" t="n">
        <f aca="false">IF($C41="","",IFERROR(INDEX(Config!$E$6:$E$18,MATCH($E41,Config!$D$6:$D$18,0)),""))</f>
        <v>5</v>
      </c>
      <c r="Q41" s="21" t="n">
        <f aca="false">IF($C41="","",N($K41)+ROW()/1000000)</f>
        <v>4.1E-005</v>
      </c>
      <c r="R41" s="21" t="n">
        <f aca="false">IF($C41="","",N($L41)+ROW()/1000000)</f>
        <v>6.000041</v>
      </c>
    </row>
    <row r="42" customFormat="false" ht="15" hidden="false" customHeight="false" outlineLevel="0" collapsed="false">
      <c r="A42" s="1"/>
      <c r="B42" s="22" t="str">
        <f aca="false">IF($C42="","",$C42&amp;" · "&amp;$E42&amp;IF($F42=""," "," "&amp;$F42&amp;" ")&amp;"· "&amp;$D42)</f>
        <v>Pulpo · Único · Mar</v>
      </c>
      <c r="C42" s="23" t="s">
        <v>105</v>
      </c>
      <c r="D42" s="24" t="s">
        <v>106</v>
      </c>
      <c r="E42" s="24" t="s">
        <v>51</v>
      </c>
      <c r="F42" s="23"/>
      <c r="G42" s="23" t="s">
        <v>107</v>
      </c>
      <c r="H42" s="25" t="n">
        <v>120000</v>
      </c>
      <c r="I42" s="26" t="n">
        <v>2</v>
      </c>
      <c r="J42" s="27" t="n">
        <f aca="false">IF($C42="","",SUMIFS(Entradas!$D$5:$D$204,Entradas!$C$5:$C$204,$B42))</f>
        <v>0</v>
      </c>
      <c r="K42" s="27" t="n">
        <f aca="false">IF($C42="","",SUMIFS(Ventas!$F$5:$F$504,Ventas!$C$5:$C$504,$B42))</f>
        <v>0</v>
      </c>
      <c r="L42" s="28" t="n">
        <f aca="false">IF($C42="","",N($I42)+N($J42)-N($K42))</f>
        <v>2</v>
      </c>
      <c r="M42" s="29" t="n">
        <f aca="false">IF($C42="","",N($L42)*N($H42))</f>
        <v>240000</v>
      </c>
      <c r="N42" s="29" t="n">
        <f aca="false">IF($C42="","",SUMIFS(Ventas!$I$5:$I$504,Ventas!$C$5:$C$504,$B42))</f>
        <v>0</v>
      </c>
      <c r="O42" s="30" t="str">
        <f aca="false">IF($C42="","",IF($L42&lt;0,"REVISAR",IF($L42=0,"AGOTADO",IF($L42&lt;=Config!$M$6,"BAJO","OK"))))</f>
        <v>BAJO</v>
      </c>
      <c r="P42" s="31" t="n">
        <f aca="false">IF($C42="","",IFERROR(INDEX(Config!$E$6:$E$18,MATCH($E42,Config!$D$6:$D$18,0)),""))</f>
        <v>5</v>
      </c>
      <c r="Q42" s="31" t="n">
        <f aca="false">IF($C42="","",N($K42)+ROW()/1000000)</f>
        <v>4.2E-005</v>
      </c>
      <c r="R42" s="31" t="n">
        <f aca="false">IF($C42="","",N($L42)+ROW()/1000000)</f>
        <v>2.000042</v>
      </c>
    </row>
    <row r="43" customFormat="false" ht="15" hidden="false" customHeight="false" outlineLevel="0" collapsed="false">
      <c r="A43" s="1"/>
      <c r="B43" s="12" t="str">
        <f aca="false">IF($C43="","",$C43&amp;" · "&amp;$E43&amp;IF($F43=""," "," "&amp;$F43&amp;" ")&amp;"· "&amp;$D43)</f>
        <v>Bailarinas · Pequeño · Muñecas</v>
      </c>
      <c r="C43" s="13" t="s">
        <v>108</v>
      </c>
      <c r="D43" s="14" t="s">
        <v>109</v>
      </c>
      <c r="E43" s="14" t="s">
        <v>58</v>
      </c>
      <c r="F43" s="13"/>
      <c r="G43" s="13" t="s">
        <v>99</v>
      </c>
      <c r="H43" s="15" t="n">
        <v>75000</v>
      </c>
      <c r="I43" s="16" t="n">
        <v>6</v>
      </c>
      <c r="J43" s="17" t="n">
        <f aca="false">IF($C43="","",SUMIFS(Entradas!$D$5:$D$204,Entradas!$C$5:$C$204,$B43))</f>
        <v>0</v>
      </c>
      <c r="K43" s="17" t="n">
        <f aca="false">IF($C43="","",SUMIFS(Ventas!$F$5:$F$504,Ventas!$C$5:$C$504,$B43))</f>
        <v>0</v>
      </c>
      <c r="L43" s="18" t="n">
        <f aca="false">IF($C43="","",N($I43)+N($J43)-N($K43))</f>
        <v>6</v>
      </c>
      <c r="M43" s="19" t="n">
        <f aca="false">IF($C43="","",N($L43)*N($H43))</f>
        <v>450000</v>
      </c>
      <c r="N43" s="19" t="n">
        <f aca="false">IF($C43="","",SUMIFS(Ventas!$I$5:$I$504,Ventas!$C$5:$C$504,$B43))</f>
        <v>0</v>
      </c>
      <c r="O43" s="20" t="str">
        <f aca="false">IF($C43="","",IF($L43&lt;0,"REVISAR",IF($L43=0,"AGOTADO",IF($L43&lt;=Config!$M$6,"BAJO","OK"))))</f>
        <v>OK</v>
      </c>
      <c r="P43" s="21" t="n">
        <f aca="false">IF($C43="","",IFERROR(INDEX(Config!$E$6:$E$18,MATCH($E43,Config!$D$6:$D$18,0)),""))</f>
        <v>2</v>
      </c>
      <c r="Q43" s="21" t="n">
        <f aca="false">IF($C43="","",N($K43)+ROW()/1000000)</f>
        <v>4.3E-005</v>
      </c>
      <c r="R43" s="21" t="n">
        <f aca="false">IF($C43="","",N($L43)+ROW()/1000000)</f>
        <v>6.000043</v>
      </c>
    </row>
    <row r="44" customFormat="false" ht="15" hidden="false" customHeight="false" outlineLevel="0" collapsed="false">
      <c r="A44" s="1"/>
      <c r="B44" s="22" t="str">
        <f aca="false">IF($C44="","",$C44&amp;" · "&amp;$E44&amp;IF($F44=""," "," "&amp;$F44&amp;" ")&amp;"· "&amp;$D44)</f>
        <v>Bailarinas · Grande · Muñecas</v>
      </c>
      <c r="C44" s="23" t="s">
        <v>108</v>
      </c>
      <c r="D44" s="24" t="s">
        <v>109</v>
      </c>
      <c r="E44" s="24" t="s">
        <v>67</v>
      </c>
      <c r="F44" s="23"/>
      <c r="G44" s="23" t="s">
        <v>99</v>
      </c>
      <c r="H44" s="25" t="n">
        <v>95000</v>
      </c>
      <c r="I44" s="26" t="n">
        <v>6</v>
      </c>
      <c r="J44" s="27" t="n">
        <f aca="false">IF($C44="","",SUMIFS(Entradas!$D$5:$D$204,Entradas!$C$5:$C$204,$B44))</f>
        <v>0</v>
      </c>
      <c r="K44" s="27" t="n">
        <f aca="false">IF($C44="","",SUMIFS(Ventas!$F$5:$F$504,Ventas!$C$5:$C$504,$B44))</f>
        <v>0</v>
      </c>
      <c r="L44" s="28" t="n">
        <f aca="false">IF($C44="","",N($I44)+N($J44)-N($K44))</f>
        <v>6</v>
      </c>
      <c r="M44" s="29" t="n">
        <f aca="false">IF($C44="","",N($L44)*N($H44))</f>
        <v>570000</v>
      </c>
      <c r="N44" s="29" t="n">
        <f aca="false">IF($C44="","",SUMIFS(Ventas!$I$5:$I$504,Ventas!$C$5:$C$504,$B44))</f>
        <v>0</v>
      </c>
      <c r="O44" s="30" t="str">
        <f aca="false">IF($C44="","",IF($L44&lt;0,"REVISAR",IF($L44=0,"AGOTADO",IF($L44&lt;=Config!$M$6,"BAJO","OK"))))</f>
        <v>OK</v>
      </c>
      <c r="P44" s="31" t="n">
        <f aca="false">IF($C44="","",IFERROR(INDEX(Config!$E$6:$E$18,MATCH($E44,Config!$D$6:$D$18,0)),""))</f>
        <v>4</v>
      </c>
      <c r="Q44" s="31" t="n">
        <f aca="false">IF($C44="","",N($K44)+ROW()/1000000)</f>
        <v>4.4E-005</v>
      </c>
      <c r="R44" s="31" t="n">
        <f aca="false">IF($C44="","",N($L44)+ROW()/1000000)</f>
        <v>6.000044</v>
      </c>
    </row>
    <row r="45" customFormat="false" ht="15" hidden="false" customHeight="false" outlineLevel="0" collapsed="false">
      <c r="A45" s="1"/>
      <c r="B45" s="12" t="str">
        <f aca="false">IF($C45="","",$C45&amp;" · "&amp;$E45&amp;IF($F45=""," "," "&amp;$F45&amp;" ")&amp;"· "&amp;$D45)</f>
        <v>Country · Pequeño · Muñecas</v>
      </c>
      <c r="C45" s="13" t="s">
        <v>110</v>
      </c>
      <c r="D45" s="14" t="s">
        <v>109</v>
      </c>
      <c r="E45" s="14" t="s">
        <v>58</v>
      </c>
      <c r="F45" s="13"/>
      <c r="G45" s="13" t="s">
        <v>73</v>
      </c>
      <c r="H45" s="15" t="n">
        <v>125000</v>
      </c>
      <c r="I45" s="16" t="n">
        <v>12</v>
      </c>
      <c r="J45" s="17" t="n">
        <f aca="false">IF($C45="","",SUMIFS(Entradas!$D$5:$D$204,Entradas!$C$5:$C$204,$B45))</f>
        <v>0</v>
      </c>
      <c r="K45" s="17" t="n">
        <f aca="false">IF($C45="","",SUMIFS(Ventas!$F$5:$F$504,Ventas!$C$5:$C$504,$B45))</f>
        <v>0</v>
      </c>
      <c r="L45" s="18" t="n">
        <f aca="false">IF($C45="","",N($I45)+N($J45)-N($K45))</f>
        <v>12</v>
      </c>
      <c r="M45" s="19" t="n">
        <f aca="false">IF($C45="","",N($L45)*N($H45))</f>
        <v>1500000</v>
      </c>
      <c r="N45" s="19" t="n">
        <f aca="false">IF($C45="","",SUMIFS(Ventas!$I$5:$I$504,Ventas!$C$5:$C$504,$B45))</f>
        <v>0</v>
      </c>
      <c r="O45" s="20" t="str">
        <f aca="false">IF($C45="","",IF($L45&lt;0,"REVISAR",IF($L45=0,"AGOTADO",IF($L45&lt;=Config!$M$6,"BAJO","OK"))))</f>
        <v>OK</v>
      </c>
      <c r="P45" s="21" t="n">
        <f aca="false">IF($C45="","",IFERROR(INDEX(Config!$E$6:$E$18,MATCH($E45,Config!$D$6:$D$18,0)),""))</f>
        <v>2</v>
      </c>
      <c r="Q45" s="21" t="n">
        <f aca="false">IF($C45="","",N($K45)+ROW()/1000000)</f>
        <v>4.5E-005</v>
      </c>
      <c r="R45" s="21" t="n">
        <f aca="false">IF($C45="","",N($L45)+ROW()/1000000)</f>
        <v>12.000045</v>
      </c>
    </row>
    <row r="46" customFormat="false" ht="15" hidden="false" customHeight="false" outlineLevel="0" collapsed="false">
      <c r="A46" s="1"/>
      <c r="B46" s="22" t="str">
        <f aca="false">IF($C46="","",$C46&amp;" · "&amp;$E46&amp;IF($F46=""," "," "&amp;$F46&amp;" ")&amp;"· "&amp;$D46)</f>
        <v>Country · Grande · Muñecas</v>
      </c>
      <c r="C46" s="23" t="s">
        <v>110</v>
      </c>
      <c r="D46" s="24" t="s">
        <v>109</v>
      </c>
      <c r="E46" s="24" t="s">
        <v>67</v>
      </c>
      <c r="F46" s="23"/>
      <c r="G46" s="23" t="s">
        <v>111</v>
      </c>
      <c r="H46" s="25" t="n">
        <v>150000</v>
      </c>
      <c r="I46" s="26" t="n">
        <v>15</v>
      </c>
      <c r="J46" s="27" t="n">
        <f aca="false">IF($C46="","",SUMIFS(Entradas!$D$5:$D$204,Entradas!$C$5:$C$204,$B46))</f>
        <v>0</v>
      </c>
      <c r="K46" s="27" t="n">
        <f aca="false">IF($C46="","",SUMIFS(Ventas!$F$5:$F$504,Ventas!$C$5:$C$504,$B46))</f>
        <v>0</v>
      </c>
      <c r="L46" s="28" t="n">
        <f aca="false">IF($C46="","",N($I46)+N($J46)-N($K46))</f>
        <v>15</v>
      </c>
      <c r="M46" s="29" t="n">
        <f aca="false">IF($C46="","",N($L46)*N($H46))</f>
        <v>2250000</v>
      </c>
      <c r="N46" s="29" t="n">
        <f aca="false">IF($C46="","",SUMIFS(Ventas!$I$5:$I$504,Ventas!$C$5:$C$504,$B46))</f>
        <v>0</v>
      </c>
      <c r="O46" s="30" t="str">
        <f aca="false">IF($C46="","",IF($L46&lt;0,"REVISAR",IF($L46=0,"AGOTADO",IF($L46&lt;=Config!$M$6,"BAJO","OK"))))</f>
        <v>OK</v>
      </c>
      <c r="P46" s="31" t="n">
        <f aca="false">IF($C46="","",IFERROR(INDEX(Config!$E$6:$E$18,MATCH($E46,Config!$D$6:$D$18,0)),""))</f>
        <v>4</v>
      </c>
      <c r="Q46" s="31" t="n">
        <f aca="false">IF($C46="","",N($K46)+ROW()/1000000)</f>
        <v>4.6E-005</v>
      </c>
      <c r="R46" s="31" t="n">
        <f aca="false">IF($C46="","",N($L46)+ROW()/1000000)</f>
        <v>15.000046</v>
      </c>
    </row>
    <row r="47" customFormat="false" ht="15" hidden="false" customHeight="false" outlineLevel="0" collapsed="false">
      <c r="A47" s="1"/>
      <c r="B47" s="12" t="str">
        <f aca="false">IF($C47="","",$C47&amp;" · "&amp;$E47&amp;IF($F47=""," "," "&amp;$F47&amp;" ")&amp;"· "&amp;$D47)</f>
        <v>Pinocho · Único · Muñecas</v>
      </c>
      <c r="C47" s="13" t="s">
        <v>112</v>
      </c>
      <c r="D47" s="14" t="s">
        <v>109</v>
      </c>
      <c r="E47" s="14" t="s">
        <v>51</v>
      </c>
      <c r="F47" s="13"/>
      <c r="G47" s="13" t="s">
        <v>113</v>
      </c>
      <c r="H47" s="15" t="n">
        <v>150000</v>
      </c>
      <c r="I47" s="16" t="n">
        <v>8</v>
      </c>
      <c r="J47" s="17" t="n">
        <f aca="false">IF($C47="","",SUMIFS(Entradas!$D$5:$D$204,Entradas!$C$5:$C$204,$B47))</f>
        <v>0</v>
      </c>
      <c r="K47" s="17" t="n">
        <f aca="false">IF($C47="","",SUMIFS(Ventas!$F$5:$F$504,Ventas!$C$5:$C$504,$B47))</f>
        <v>0</v>
      </c>
      <c r="L47" s="18" t="n">
        <f aca="false">IF($C47="","",N($I47)+N($J47)-N($K47))</f>
        <v>8</v>
      </c>
      <c r="M47" s="19" t="n">
        <f aca="false">IF($C47="","",N($L47)*N($H47))</f>
        <v>1200000</v>
      </c>
      <c r="N47" s="19" t="n">
        <f aca="false">IF($C47="","",SUMIFS(Ventas!$I$5:$I$504,Ventas!$C$5:$C$504,$B47))</f>
        <v>0</v>
      </c>
      <c r="O47" s="20" t="str">
        <f aca="false">IF($C47="","",IF($L47&lt;0,"REVISAR",IF($L47=0,"AGOTADO",IF($L47&lt;=Config!$M$6,"BAJO","OK"))))</f>
        <v>OK</v>
      </c>
      <c r="P47" s="21" t="n">
        <f aca="false">IF($C47="","",IFERROR(INDEX(Config!$E$6:$E$18,MATCH($E47,Config!$D$6:$D$18,0)),""))</f>
        <v>5</v>
      </c>
      <c r="Q47" s="21" t="n">
        <f aca="false">IF($C47="","",N($K47)+ROW()/1000000)</f>
        <v>4.7E-005</v>
      </c>
      <c r="R47" s="21" t="n">
        <f aca="false">IF($C47="","",N($L47)+ROW()/1000000)</f>
        <v>8.000047</v>
      </c>
    </row>
    <row r="48" customFormat="false" ht="15" hidden="false" customHeight="false" outlineLevel="0" collapsed="false">
      <c r="A48" s="1"/>
      <c r="B48" s="22" t="str">
        <f aca="false">IF($C48="","",$C48&amp;" · "&amp;$E48&amp;IF($F48=""," "," "&amp;$F48&amp;" ")&amp;"· "&amp;$D48)</f>
        <v>Puka · Único · Muñecas</v>
      </c>
      <c r="C48" s="23" t="s">
        <v>114</v>
      </c>
      <c r="D48" s="24" t="s">
        <v>109</v>
      </c>
      <c r="E48" s="24" t="s">
        <v>51</v>
      </c>
      <c r="F48" s="23"/>
      <c r="G48" s="23" t="s">
        <v>115</v>
      </c>
      <c r="H48" s="25" t="n">
        <v>115000</v>
      </c>
      <c r="I48" s="26" t="n">
        <v>5</v>
      </c>
      <c r="J48" s="27" t="n">
        <f aca="false">IF($C48="","",SUMIFS(Entradas!$D$5:$D$204,Entradas!$C$5:$C$204,$B48))</f>
        <v>0</v>
      </c>
      <c r="K48" s="27" t="n">
        <f aca="false">IF($C48="","",SUMIFS(Ventas!$F$5:$F$504,Ventas!$C$5:$C$504,$B48))</f>
        <v>0</v>
      </c>
      <c r="L48" s="28" t="n">
        <f aca="false">IF($C48="","",N($I48)+N($J48)-N($K48))</f>
        <v>5</v>
      </c>
      <c r="M48" s="29" t="n">
        <f aca="false">IF($C48="","",N($L48)*N($H48))</f>
        <v>575000</v>
      </c>
      <c r="N48" s="29" t="n">
        <f aca="false">IF($C48="","",SUMIFS(Ventas!$I$5:$I$504,Ventas!$C$5:$C$504,$B48))</f>
        <v>0</v>
      </c>
      <c r="O48" s="30" t="str">
        <f aca="false">IF($C48="","",IF($L48&lt;0,"REVISAR",IF($L48=0,"AGOTADO",IF($L48&lt;=Config!$M$6,"BAJO","OK"))))</f>
        <v>OK</v>
      </c>
      <c r="P48" s="31" t="n">
        <f aca="false">IF($C48="","",IFERROR(INDEX(Config!$E$6:$E$18,MATCH($E48,Config!$D$6:$D$18,0)),""))</f>
        <v>5</v>
      </c>
      <c r="Q48" s="31" t="n">
        <f aca="false">IF($C48="","",N($K48)+ROW()/1000000)</f>
        <v>4.8E-005</v>
      </c>
      <c r="R48" s="31" t="n">
        <f aca="false">IF($C48="","",N($L48)+ROW()/1000000)</f>
        <v>5.000048</v>
      </c>
    </row>
    <row r="49" customFormat="false" ht="15" hidden="false" customHeight="false" outlineLevel="0" collapsed="false">
      <c r="A49" s="1"/>
      <c r="B49" s="12" t="str">
        <f aca="false">IF($C49="","",$C49&amp;" · "&amp;$E49&amp;IF($F49=""," "," "&amp;$F49&amp;" ")&amp;"· "&amp;$D49)</f>
        <v>Tilda · Grande navidad y country · Muñecas</v>
      </c>
      <c r="C49" s="13" t="s">
        <v>116</v>
      </c>
      <c r="D49" s="14" t="s">
        <v>109</v>
      </c>
      <c r="E49" s="14" t="s">
        <v>67</v>
      </c>
      <c r="F49" s="13" t="s">
        <v>117</v>
      </c>
      <c r="G49" s="13" t="s">
        <v>118</v>
      </c>
      <c r="H49" s="15" t="n">
        <v>200000</v>
      </c>
      <c r="I49" s="16" t="n">
        <v>8</v>
      </c>
      <c r="J49" s="17" t="n">
        <f aca="false">IF($C49="","",SUMIFS(Entradas!$D$5:$D$204,Entradas!$C$5:$C$204,$B49))</f>
        <v>0</v>
      </c>
      <c r="K49" s="17" t="n">
        <f aca="false">IF($C49="","",SUMIFS(Ventas!$F$5:$F$504,Ventas!$C$5:$C$504,$B49))</f>
        <v>0</v>
      </c>
      <c r="L49" s="18" t="n">
        <f aca="false">IF($C49="","",N($I49)+N($J49)-N($K49))</f>
        <v>8</v>
      </c>
      <c r="M49" s="19" t="n">
        <f aca="false">IF($C49="","",N($L49)*N($H49))</f>
        <v>1600000</v>
      </c>
      <c r="N49" s="19" t="n">
        <f aca="false">IF($C49="","",SUMIFS(Ventas!$I$5:$I$504,Ventas!$C$5:$C$504,$B49))</f>
        <v>0</v>
      </c>
      <c r="O49" s="20" t="str">
        <f aca="false">IF($C49="","",IF($L49&lt;0,"REVISAR",IF($L49=0,"AGOTADO",IF($L49&lt;=Config!$M$6,"BAJO","OK"))))</f>
        <v>OK</v>
      </c>
      <c r="P49" s="21" t="n">
        <f aca="false">IF($C49="","",IFERROR(INDEX(Config!$E$6:$E$18,MATCH($E49,Config!$D$6:$D$18,0)),""))</f>
        <v>4</v>
      </c>
      <c r="Q49" s="21" t="n">
        <f aca="false">IF($C49="","",N($K49)+ROW()/1000000)</f>
        <v>4.9E-005</v>
      </c>
      <c r="R49" s="21" t="n">
        <f aca="false">IF($C49="","",N($L49)+ROW()/1000000)</f>
        <v>8.000049</v>
      </c>
    </row>
    <row r="50" customFormat="false" ht="15" hidden="false" customHeight="false" outlineLevel="0" collapsed="false">
      <c r="A50" s="1"/>
      <c r="B50" s="22" t="str">
        <f aca="false">IF($C50="","",$C50&amp;" · "&amp;$E50&amp;IF($F50=""," "," "&amp;$F50&amp;" ")&amp;"· "&amp;$D50)</f>
        <v>Tilda · Grande vestido azul · Muñecas</v>
      </c>
      <c r="C50" s="23" t="s">
        <v>116</v>
      </c>
      <c r="D50" s="24" t="s">
        <v>109</v>
      </c>
      <c r="E50" s="24" t="s">
        <v>67</v>
      </c>
      <c r="F50" s="23" t="s">
        <v>119</v>
      </c>
      <c r="G50" s="23" t="s">
        <v>120</v>
      </c>
      <c r="H50" s="25" t="n">
        <v>200000</v>
      </c>
      <c r="I50" s="26" t="n">
        <v>7</v>
      </c>
      <c r="J50" s="27" t="n">
        <f aca="false">IF($C50="","",SUMIFS(Entradas!$D$5:$D$204,Entradas!$C$5:$C$204,$B50))</f>
        <v>0</v>
      </c>
      <c r="K50" s="27" t="n">
        <f aca="false">IF($C50="","",SUMIFS(Ventas!$F$5:$F$504,Ventas!$C$5:$C$504,$B50))</f>
        <v>0</v>
      </c>
      <c r="L50" s="28" t="n">
        <f aca="false">IF($C50="","",N($I50)+N($J50)-N($K50))</f>
        <v>7</v>
      </c>
      <c r="M50" s="29" t="n">
        <f aca="false">IF($C50="","",N($L50)*N($H50))</f>
        <v>1400000</v>
      </c>
      <c r="N50" s="29" t="n">
        <f aca="false">IF($C50="","",SUMIFS(Ventas!$I$5:$I$504,Ventas!$C$5:$C$504,$B50))</f>
        <v>0</v>
      </c>
      <c r="O50" s="30" t="str">
        <f aca="false">IF($C50="","",IF($L50&lt;0,"REVISAR",IF($L50=0,"AGOTADO",IF($L50&lt;=Config!$M$6,"BAJO","OK"))))</f>
        <v>OK</v>
      </c>
      <c r="P50" s="31" t="n">
        <f aca="false">IF($C50="","",IFERROR(INDEX(Config!$E$6:$E$18,MATCH($E50,Config!$D$6:$D$18,0)),""))</f>
        <v>4</v>
      </c>
      <c r="Q50" s="31" t="n">
        <f aca="false">IF($C50="","",N($K50)+ROW()/1000000)</f>
        <v>5E-005</v>
      </c>
      <c r="R50" s="31" t="n">
        <f aca="false">IF($C50="","",N($L50)+ROW()/1000000)</f>
        <v>7.00005</v>
      </c>
    </row>
    <row r="51" customFormat="false" ht="15" hidden="false" customHeight="false" outlineLevel="0" collapsed="false">
      <c r="A51" s="1"/>
      <c r="B51" s="12" t="str">
        <f aca="false">IF($C51="","",$C51&amp;" · "&amp;$E51&amp;IF($F51=""," "," "&amp;$F51&amp;" ")&amp;"· "&amp;$D51)</f>
        <v>Papá Noel Bernabela · Pequeño · Navidad</v>
      </c>
      <c r="C51" s="13" t="s">
        <v>121</v>
      </c>
      <c r="D51" s="14" t="s">
        <v>122</v>
      </c>
      <c r="E51" s="14" t="s">
        <v>58</v>
      </c>
      <c r="F51" s="13"/>
      <c r="G51" s="13" t="s">
        <v>123</v>
      </c>
      <c r="H51" s="15" t="n">
        <v>150000</v>
      </c>
      <c r="I51" s="16" t="n">
        <v>2</v>
      </c>
      <c r="J51" s="17" t="n">
        <f aca="false">IF($C51="","",SUMIFS(Entradas!$D$5:$D$204,Entradas!$C$5:$C$204,$B51))</f>
        <v>0</v>
      </c>
      <c r="K51" s="17" t="n">
        <f aca="false">IF($C51="","",SUMIFS(Ventas!$F$5:$F$504,Ventas!$C$5:$C$504,$B51))</f>
        <v>0</v>
      </c>
      <c r="L51" s="18" t="n">
        <f aca="false">IF($C51="","",N($I51)+N($J51)-N($K51))</f>
        <v>2</v>
      </c>
      <c r="M51" s="19" t="n">
        <f aca="false">IF($C51="","",N($L51)*N($H51))</f>
        <v>300000</v>
      </c>
      <c r="N51" s="19" t="n">
        <f aca="false">IF($C51="","",SUMIFS(Ventas!$I$5:$I$504,Ventas!$C$5:$C$504,$B51))</f>
        <v>0</v>
      </c>
      <c r="O51" s="20" t="str">
        <f aca="false">IF($C51="","",IF($L51&lt;0,"REVISAR",IF($L51=0,"AGOTADO",IF($L51&lt;=Config!$M$6,"BAJO","OK"))))</f>
        <v>BAJO</v>
      </c>
      <c r="P51" s="21" t="n">
        <f aca="false">IF($C51="","",IFERROR(INDEX(Config!$E$6:$E$18,MATCH($E51,Config!$D$6:$D$18,0)),""))</f>
        <v>2</v>
      </c>
      <c r="Q51" s="21" t="n">
        <f aca="false">IF($C51="","",N($K51)+ROW()/1000000)</f>
        <v>5.1E-005</v>
      </c>
      <c r="R51" s="21" t="n">
        <f aca="false">IF($C51="","",N($L51)+ROW()/1000000)</f>
        <v>2.000051</v>
      </c>
    </row>
    <row r="52" customFormat="false" ht="15" hidden="false" customHeight="false" outlineLevel="0" collapsed="false">
      <c r="A52" s="1"/>
      <c r="B52" s="22" t="str">
        <f aca="false">IF($C52="","",$C52&amp;" · "&amp;$E52&amp;IF($F52=""," "," "&amp;$F52&amp;" ")&amp;"· "&amp;$D52)</f>
        <v>Papá Noel Bernabela · Grande · Navidad</v>
      </c>
      <c r="C52" s="23" t="s">
        <v>121</v>
      </c>
      <c r="D52" s="24" t="s">
        <v>122</v>
      </c>
      <c r="E52" s="24" t="s">
        <v>67</v>
      </c>
      <c r="F52" s="23"/>
      <c r="G52" s="23" t="s">
        <v>123</v>
      </c>
      <c r="H52" s="25" t="n">
        <v>250000</v>
      </c>
      <c r="I52" s="26" t="n">
        <v>2</v>
      </c>
      <c r="J52" s="27" t="n">
        <f aca="false">IF($C52="","",SUMIFS(Entradas!$D$5:$D$204,Entradas!$C$5:$C$204,$B52))</f>
        <v>0</v>
      </c>
      <c r="K52" s="27" t="n">
        <f aca="false">IF($C52="","",SUMIFS(Ventas!$F$5:$F$504,Ventas!$C$5:$C$504,$B52))</f>
        <v>0</v>
      </c>
      <c r="L52" s="28" t="n">
        <f aca="false">IF($C52="","",N($I52)+N($J52)-N($K52))</f>
        <v>2</v>
      </c>
      <c r="M52" s="29" t="n">
        <f aca="false">IF($C52="","",N($L52)*N($H52))</f>
        <v>500000</v>
      </c>
      <c r="N52" s="29" t="n">
        <f aca="false">IF($C52="","",SUMIFS(Ventas!$I$5:$I$504,Ventas!$C$5:$C$504,$B52))</f>
        <v>0</v>
      </c>
      <c r="O52" s="30" t="str">
        <f aca="false">IF($C52="","",IF($L52&lt;0,"REVISAR",IF($L52=0,"AGOTADO",IF($L52&lt;=Config!$M$6,"BAJO","OK"))))</f>
        <v>BAJO</v>
      </c>
      <c r="P52" s="31" t="n">
        <f aca="false">IF($C52="","",IFERROR(INDEX(Config!$E$6:$E$18,MATCH($E52,Config!$D$6:$D$18,0)),""))</f>
        <v>4</v>
      </c>
      <c r="Q52" s="31" t="n">
        <f aca="false">IF($C52="","",N($K52)+ROW()/1000000)</f>
        <v>5.2E-005</v>
      </c>
      <c r="R52" s="31" t="n">
        <f aca="false">IF($C52="","",N($L52)+ROW()/1000000)</f>
        <v>2.000052</v>
      </c>
    </row>
    <row r="53" customFormat="false" ht="15" hidden="false" customHeight="false" outlineLevel="0" collapsed="false">
      <c r="A53" s="1"/>
      <c r="B53" s="12" t="str">
        <f aca="false">IF($C53="","",$C53&amp;" · "&amp;$E53&amp;IF($F53=""," "," "&amp;$F53&amp;" ")&amp;"· "&amp;$D53)</f>
        <v>Papá Noel pijama · Único · Navidad</v>
      </c>
      <c r="C53" s="13" t="s">
        <v>124</v>
      </c>
      <c r="D53" s="14" t="s">
        <v>122</v>
      </c>
      <c r="E53" s="14" t="s">
        <v>51</v>
      </c>
      <c r="F53" s="13"/>
      <c r="G53" s="13" t="s">
        <v>125</v>
      </c>
      <c r="H53" s="15" t="n">
        <v>90000</v>
      </c>
      <c r="I53" s="16" t="n">
        <v>9</v>
      </c>
      <c r="J53" s="17" t="n">
        <f aca="false">IF($C53="","",SUMIFS(Entradas!$D$5:$D$204,Entradas!$C$5:$C$204,$B53))</f>
        <v>0</v>
      </c>
      <c r="K53" s="17" t="n">
        <f aca="false">IF($C53="","",SUMIFS(Ventas!$F$5:$F$504,Ventas!$C$5:$C$504,$B53))</f>
        <v>0</v>
      </c>
      <c r="L53" s="18" t="n">
        <f aca="false">IF($C53="","",N($I53)+N($J53)-N($K53))</f>
        <v>9</v>
      </c>
      <c r="M53" s="19" t="n">
        <f aca="false">IF($C53="","",N($L53)*N($H53))</f>
        <v>810000</v>
      </c>
      <c r="N53" s="19" t="n">
        <f aca="false">IF($C53="","",SUMIFS(Ventas!$I$5:$I$504,Ventas!$C$5:$C$504,$B53))</f>
        <v>0</v>
      </c>
      <c r="O53" s="20" t="str">
        <f aca="false">IF($C53="","",IF($L53&lt;0,"REVISAR",IF($L53=0,"AGOTADO",IF($L53&lt;=Config!$M$6,"BAJO","OK"))))</f>
        <v>OK</v>
      </c>
      <c r="P53" s="21" t="n">
        <f aca="false">IF($C53="","",IFERROR(INDEX(Config!$E$6:$E$18,MATCH($E53,Config!$D$6:$D$18,0)),""))</f>
        <v>5</v>
      </c>
      <c r="Q53" s="21" t="n">
        <f aca="false">IF($C53="","",N($K53)+ROW()/1000000)</f>
        <v>5.3E-005</v>
      </c>
      <c r="R53" s="21" t="n">
        <f aca="false">IF($C53="","",N($L53)+ROW()/1000000)</f>
        <v>9.000053</v>
      </c>
    </row>
    <row r="54" customFormat="false" ht="15" hidden="false" customHeight="false" outlineLevel="0" collapsed="false">
      <c r="A54" s="1"/>
      <c r="B54" s="22" t="str">
        <f aca="false">IF($C54="","",$C54&amp;" · "&amp;$E54&amp;IF($F54=""," "," "&amp;$F54&amp;" ")&amp;"· "&amp;$D54)</f>
        <v>Cadena de corazones · Mini · Otros</v>
      </c>
      <c r="C54" s="23" t="s">
        <v>126</v>
      </c>
      <c r="D54" s="24" t="s">
        <v>127</v>
      </c>
      <c r="E54" s="24" t="s">
        <v>128</v>
      </c>
      <c r="F54" s="23"/>
      <c r="G54" s="23" t="s">
        <v>129</v>
      </c>
      <c r="H54" s="32"/>
      <c r="I54" s="26" t="n">
        <v>1</v>
      </c>
      <c r="J54" s="27" t="n">
        <f aca="false">IF($C54="","",SUMIFS(Entradas!$D$5:$D$204,Entradas!$C$5:$C$204,$B54))</f>
        <v>0</v>
      </c>
      <c r="K54" s="27" t="n">
        <f aca="false">IF($C54="","",SUMIFS(Ventas!$F$5:$F$504,Ventas!$C$5:$C$504,$B54))</f>
        <v>0</v>
      </c>
      <c r="L54" s="28" t="n">
        <f aca="false">IF($C54="","",N($I54)+N($J54)-N($K54))</f>
        <v>1</v>
      </c>
      <c r="M54" s="29" t="n">
        <f aca="false">IF($C54="","",N($L54)*N($H54))</f>
        <v>0</v>
      </c>
      <c r="N54" s="29" t="n">
        <f aca="false">IF($C54="","",SUMIFS(Ventas!$I$5:$I$504,Ventas!$C$5:$C$504,$B54))</f>
        <v>0</v>
      </c>
      <c r="O54" s="30" t="str">
        <f aca="false">IF($C54="","",IF($L54&lt;0,"REVISAR",IF($L54=0,"AGOTADO",IF($L54&lt;=Config!$M$6,"BAJO","OK"))))</f>
        <v>BAJO</v>
      </c>
      <c r="P54" s="31" t="n">
        <f aca="false">IF($C54="","",IFERROR(INDEX(Config!$E$6:$E$18,MATCH($E54,Config!$D$6:$D$18,0)),""))</f>
        <v>1</v>
      </c>
      <c r="Q54" s="31" t="n">
        <f aca="false">IF($C54="","",N($K54)+ROW()/1000000)</f>
        <v>5.4E-005</v>
      </c>
      <c r="R54" s="31" t="n">
        <f aca="false">IF($C54="","",N($L54)+ROW()/1000000)</f>
        <v>1.000054</v>
      </c>
    </row>
    <row r="55" customFormat="false" ht="15" hidden="false" customHeight="false" outlineLevel="0" collapsed="false">
      <c r="A55" s="1"/>
      <c r="B55" s="12" t="str">
        <f aca="false">IF($C55="","",$C55&amp;" · "&amp;$E55&amp;IF($F55=""," "," "&amp;$F55&amp;" ")&amp;"· "&amp;$D55)</f>
        <v>Cadena de corazones · Pequeño · Otros</v>
      </c>
      <c r="C55" s="13" t="s">
        <v>126</v>
      </c>
      <c r="D55" s="14" t="s">
        <v>127</v>
      </c>
      <c r="E55" s="14" t="s">
        <v>58</v>
      </c>
      <c r="F55" s="13"/>
      <c r="G55" s="13" t="s">
        <v>130</v>
      </c>
      <c r="H55" s="32"/>
      <c r="I55" s="16" t="n">
        <v>3</v>
      </c>
      <c r="J55" s="17" t="n">
        <f aca="false">IF($C55="","",SUMIFS(Entradas!$D$5:$D$204,Entradas!$C$5:$C$204,$B55))</f>
        <v>0</v>
      </c>
      <c r="K55" s="17" t="n">
        <f aca="false">IF($C55="","",SUMIFS(Ventas!$F$5:$F$504,Ventas!$C$5:$C$504,$B55))</f>
        <v>0</v>
      </c>
      <c r="L55" s="18" t="n">
        <f aca="false">IF($C55="","",N($I55)+N($J55)-N($K55))</f>
        <v>3</v>
      </c>
      <c r="M55" s="19" t="n">
        <f aca="false">IF($C55="","",N($L55)*N($H55))</f>
        <v>0</v>
      </c>
      <c r="N55" s="19" t="n">
        <f aca="false">IF($C55="","",SUMIFS(Ventas!$I$5:$I$504,Ventas!$C$5:$C$504,$B55))</f>
        <v>0</v>
      </c>
      <c r="O55" s="20" t="str">
        <f aca="false">IF($C55="","",IF($L55&lt;0,"REVISAR",IF($L55=0,"AGOTADO",IF($L55&lt;=Config!$M$6,"BAJO","OK"))))</f>
        <v>BAJO</v>
      </c>
      <c r="P55" s="21" t="n">
        <f aca="false">IF($C55="","",IFERROR(INDEX(Config!$E$6:$E$18,MATCH($E55,Config!$D$6:$D$18,0)),""))</f>
        <v>2</v>
      </c>
      <c r="Q55" s="21" t="n">
        <f aca="false">IF($C55="","",N($K55)+ROW()/1000000)</f>
        <v>5.5E-005</v>
      </c>
      <c r="R55" s="21" t="n">
        <f aca="false">IF($C55="","",N($L55)+ROW()/1000000)</f>
        <v>3.000055</v>
      </c>
    </row>
    <row r="56" customFormat="false" ht="15" hidden="false" customHeight="false" outlineLevel="0" collapsed="false">
      <c r="A56" s="1"/>
      <c r="B56" s="22" t="str">
        <f aca="false">IF($C56="","",$C56&amp;" · "&amp;$E56&amp;IF($F56=""," "," "&amp;$F56&amp;" ")&amp;"· "&amp;$D56)</f>
        <v>Cadena de corazones · Mediano · Otros</v>
      </c>
      <c r="C56" s="23" t="s">
        <v>126</v>
      </c>
      <c r="D56" s="24" t="s">
        <v>127</v>
      </c>
      <c r="E56" s="24" t="s">
        <v>65</v>
      </c>
      <c r="F56" s="23"/>
      <c r="G56" s="23" t="s">
        <v>131</v>
      </c>
      <c r="H56" s="32"/>
      <c r="I56" s="26" t="n">
        <v>1</v>
      </c>
      <c r="J56" s="27" t="n">
        <f aca="false">IF($C56="","",SUMIFS(Entradas!$D$5:$D$204,Entradas!$C$5:$C$204,$B56))</f>
        <v>0</v>
      </c>
      <c r="K56" s="27" t="n">
        <f aca="false">IF($C56="","",SUMIFS(Ventas!$F$5:$F$504,Ventas!$C$5:$C$504,$B56))</f>
        <v>0</v>
      </c>
      <c r="L56" s="28" t="n">
        <f aca="false">IF($C56="","",N($I56)+N($J56)-N($K56))</f>
        <v>1</v>
      </c>
      <c r="M56" s="29" t="n">
        <f aca="false">IF($C56="","",N($L56)*N($H56))</f>
        <v>0</v>
      </c>
      <c r="N56" s="29" t="n">
        <f aca="false">IF($C56="","",SUMIFS(Ventas!$I$5:$I$504,Ventas!$C$5:$C$504,$B56))</f>
        <v>0</v>
      </c>
      <c r="O56" s="30" t="str">
        <f aca="false">IF($C56="","",IF($L56&lt;0,"REVISAR",IF($L56=0,"AGOTADO",IF($L56&lt;=Config!$M$6,"BAJO","OK"))))</f>
        <v>BAJO</v>
      </c>
      <c r="P56" s="31" t="n">
        <f aca="false">IF($C56="","",IFERROR(INDEX(Config!$E$6:$E$18,MATCH($E56,Config!$D$6:$D$18,0)),""))</f>
        <v>3</v>
      </c>
      <c r="Q56" s="31" t="n">
        <f aca="false">IF($C56="","",N($K56)+ROW()/1000000)</f>
        <v>5.6E-005</v>
      </c>
      <c r="R56" s="31" t="n">
        <f aca="false">IF($C56="","",N($L56)+ROW()/1000000)</f>
        <v>1.000056</v>
      </c>
    </row>
    <row r="57" customFormat="false" ht="15" hidden="false" customHeight="false" outlineLevel="0" collapsed="false">
      <c r="A57" s="1"/>
      <c r="B57" s="12" t="str">
        <f aca="false">IF($C57="","",$C57&amp;" · "&amp;$E57&amp;IF($F57=""," "," "&amp;$F57&amp;" ")&amp;"· "&amp;$D57)</f>
        <v>Cadena de corazones · Único mixta · Otros</v>
      </c>
      <c r="C57" s="13" t="s">
        <v>126</v>
      </c>
      <c r="D57" s="14" t="s">
        <v>127</v>
      </c>
      <c r="E57" s="14" t="s">
        <v>51</v>
      </c>
      <c r="F57" s="13" t="s">
        <v>132</v>
      </c>
      <c r="G57" s="13" t="s">
        <v>133</v>
      </c>
      <c r="H57" s="32"/>
      <c r="I57" s="16" t="n">
        <v>1</v>
      </c>
      <c r="J57" s="17" t="n">
        <f aca="false">IF($C57="","",SUMIFS(Entradas!$D$5:$D$204,Entradas!$C$5:$C$204,$B57))</f>
        <v>0</v>
      </c>
      <c r="K57" s="17" t="n">
        <f aca="false">IF($C57="","",SUMIFS(Ventas!$F$5:$F$504,Ventas!$C$5:$C$504,$B57))</f>
        <v>0</v>
      </c>
      <c r="L57" s="18" t="n">
        <f aca="false">IF($C57="","",N($I57)+N($J57)-N($K57))</f>
        <v>1</v>
      </c>
      <c r="M57" s="19" t="n">
        <f aca="false">IF($C57="","",N($L57)*N($H57))</f>
        <v>0</v>
      </c>
      <c r="N57" s="19" t="n">
        <f aca="false">IF($C57="","",SUMIFS(Ventas!$I$5:$I$504,Ventas!$C$5:$C$504,$B57))</f>
        <v>0</v>
      </c>
      <c r="O57" s="20" t="str">
        <f aca="false">IF($C57="","",IF($L57&lt;0,"REVISAR",IF($L57=0,"AGOTADO",IF($L57&lt;=Config!$M$6,"BAJO","OK"))))</f>
        <v>BAJO</v>
      </c>
      <c r="P57" s="21" t="n">
        <f aca="false">IF($C57="","",IFERROR(INDEX(Config!$E$6:$E$18,MATCH($E57,Config!$D$6:$D$18,0)),""))</f>
        <v>5</v>
      </c>
      <c r="Q57" s="21" t="n">
        <f aca="false">IF($C57="","",N($K57)+ROW()/1000000)</f>
        <v>5.7E-005</v>
      </c>
      <c r="R57" s="21" t="n">
        <f aca="false">IF($C57="","",N($L57)+ROW()/1000000)</f>
        <v>1.000057</v>
      </c>
    </row>
    <row r="58" customFormat="false" ht="15" hidden="false" customHeight="false" outlineLevel="0" collapsed="false">
      <c r="A58" s="1"/>
      <c r="B58" s="22" t="str">
        <f aca="false">IF($C58="","",$C58&amp;" · "&amp;$E58&amp;IF($F58=""," "," "&amp;$F58&amp;" ")&amp;"· "&amp;$D58)</f>
        <v>Corazón · Mini · Otros</v>
      </c>
      <c r="C58" s="23" t="s">
        <v>134</v>
      </c>
      <c r="D58" s="24" t="s">
        <v>127</v>
      </c>
      <c r="E58" s="24" t="s">
        <v>128</v>
      </c>
      <c r="F58" s="23"/>
      <c r="G58" s="23" t="s">
        <v>135</v>
      </c>
      <c r="H58" s="32"/>
      <c r="I58" s="26" t="n">
        <v>19</v>
      </c>
      <c r="J58" s="27" t="n">
        <f aca="false">IF($C58="","",SUMIFS(Entradas!$D$5:$D$204,Entradas!$C$5:$C$204,$B58))</f>
        <v>0</v>
      </c>
      <c r="K58" s="27" t="n">
        <f aca="false">IF($C58="","",SUMIFS(Ventas!$F$5:$F$504,Ventas!$C$5:$C$504,$B58))</f>
        <v>0</v>
      </c>
      <c r="L58" s="28" t="n">
        <f aca="false">IF($C58="","",N($I58)+N($J58)-N($K58))</f>
        <v>19</v>
      </c>
      <c r="M58" s="29" t="n">
        <f aca="false">IF($C58="","",N($L58)*N($H58))</f>
        <v>0</v>
      </c>
      <c r="N58" s="29" t="n">
        <f aca="false">IF($C58="","",SUMIFS(Ventas!$I$5:$I$504,Ventas!$C$5:$C$504,$B58))</f>
        <v>0</v>
      </c>
      <c r="O58" s="30" t="str">
        <f aca="false">IF($C58="","",IF($L58&lt;0,"REVISAR",IF($L58=0,"AGOTADO",IF($L58&lt;=Config!$M$6,"BAJO","OK"))))</f>
        <v>OK</v>
      </c>
      <c r="P58" s="31" t="n">
        <f aca="false">IF($C58="","",IFERROR(INDEX(Config!$E$6:$E$18,MATCH($E58,Config!$D$6:$D$18,0)),""))</f>
        <v>1</v>
      </c>
      <c r="Q58" s="31" t="n">
        <f aca="false">IF($C58="","",N($K58)+ROW()/1000000)</f>
        <v>5.8E-005</v>
      </c>
      <c r="R58" s="31" t="n">
        <f aca="false">IF($C58="","",N($L58)+ROW()/1000000)</f>
        <v>19.000058</v>
      </c>
    </row>
    <row r="59" customFormat="false" ht="15" hidden="false" customHeight="false" outlineLevel="0" collapsed="false">
      <c r="A59" s="1"/>
      <c r="B59" s="12" t="str">
        <f aca="false">IF($C59="","",$C59&amp;" · "&amp;$E59&amp;IF($F59=""," "," "&amp;$F59&amp;" ")&amp;"· "&amp;$D59)</f>
        <v>Corazón · Pequeño · Otros</v>
      </c>
      <c r="C59" s="13" t="s">
        <v>134</v>
      </c>
      <c r="D59" s="14" t="s">
        <v>127</v>
      </c>
      <c r="E59" s="14" t="s">
        <v>58</v>
      </c>
      <c r="F59" s="13"/>
      <c r="G59" s="13" t="s">
        <v>136</v>
      </c>
      <c r="H59" s="32"/>
      <c r="I59" s="16" t="n">
        <v>41</v>
      </c>
      <c r="J59" s="17" t="n">
        <f aca="false">IF($C59="","",SUMIFS(Entradas!$D$5:$D$204,Entradas!$C$5:$C$204,$B59))</f>
        <v>0</v>
      </c>
      <c r="K59" s="17" t="n">
        <f aca="false">IF($C59="","",SUMIFS(Ventas!$F$5:$F$504,Ventas!$C$5:$C$504,$B59))</f>
        <v>0</v>
      </c>
      <c r="L59" s="18" t="n">
        <f aca="false">IF($C59="","",N($I59)+N($J59)-N($K59))</f>
        <v>41</v>
      </c>
      <c r="M59" s="19" t="n">
        <f aca="false">IF($C59="","",N($L59)*N($H59))</f>
        <v>0</v>
      </c>
      <c r="N59" s="19" t="n">
        <f aca="false">IF($C59="","",SUMIFS(Ventas!$I$5:$I$504,Ventas!$C$5:$C$504,$B59))</f>
        <v>0</v>
      </c>
      <c r="O59" s="20" t="str">
        <f aca="false">IF($C59="","",IF($L59&lt;0,"REVISAR",IF($L59=0,"AGOTADO",IF($L59&lt;=Config!$M$6,"BAJO","OK"))))</f>
        <v>OK</v>
      </c>
      <c r="P59" s="21" t="n">
        <f aca="false">IF($C59="","",IFERROR(INDEX(Config!$E$6:$E$18,MATCH($E59,Config!$D$6:$D$18,0)),""))</f>
        <v>2</v>
      </c>
      <c r="Q59" s="21" t="n">
        <f aca="false">IF($C59="","",N($K59)+ROW()/1000000)</f>
        <v>5.9E-005</v>
      </c>
      <c r="R59" s="21" t="n">
        <f aca="false">IF($C59="","",N($L59)+ROW()/1000000)</f>
        <v>41.000059</v>
      </c>
    </row>
    <row r="60" customFormat="false" ht="15" hidden="false" customHeight="false" outlineLevel="0" collapsed="false">
      <c r="A60" s="1"/>
      <c r="B60" s="22" t="str">
        <f aca="false">IF($C60="","",$C60&amp;" · "&amp;$E60&amp;IF($F60=""," "," "&amp;$F60&amp;" ")&amp;"· "&amp;$D60)</f>
        <v>Corazón · Mediano · Otros</v>
      </c>
      <c r="C60" s="23" t="s">
        <v>134</v>
      </c>
      <c r="D60" s="24" t="s">
        <v>127</v>
      </c>
      <c r="E60" s="24" t="s">
        <v>65</v>
      </c>
      <c r="F60" s="23"/>
      <c r="G60" s="23" t="s">
        <v>137</v>
      </c>
      <c r="H60" s="32"/>
      <c r="I60" s="26" t="n">
        <v>10</v>
      </c>
      <c r="J60" s="27" t="n">
        <f aca="false">IF($C60="","",SUMIFS(Entradas!$D$5:$D$204,Entradas!$C$5:$C$204,$B60))</f>
        <v>0</v>
      </c>
      <c r="K60" s="27" t="n">
        <f aca="false">IF($C60="","",SUMIFS(Ventas!$F$5:$F$504,Ventas!$C$5:$C$504,$B60))</f>
        <v>0</v>
      </c>
      <c r="L60" s="28" t="n">
        <f aca="false">IF($C60="","",N($I60)+N($J60)-N($K60))</f>
        <v>10</v>
      </c>
      <c r="M60" s="29" t="n">
        <f aca="false">IF($C60="","",N($L60)*N($H60))</f>
        <v>0</v>
      </c>
      <c r="N60" s="29" t="n">
        <f aca="false">IF($C60="","",SUMIFS(Ventas!$I$5:$I$504,Ventas!$C$5:$C$504,$B60))</f>
        <v>0</v>
      </c>
      <c r="O60" s="30" t="str">
        <f aca="false">IF($C60="","",IF($L60&lt;0,"REVISAR",IF($L60=0,"AGOTADO",IF($L60&lt;=Config!$M$6,"BAJO","OK"))))</f>
        <v>OK</v>
      </c>
      <c r="P60" s="31" t="n">
        <f aca="false">IF($C60="","",IFERROR(INDEX(Config!$E$6:$E$18,MATCH($E60,Config!$D$6:$D$18,0)),""))</f>
        <v>3</v>
      </c>
      <c r="Q60" s="31" t="n">
        <f aca="false">IF($C60="","",N($K60)+ROW()/1000000)</f>
        <v>6E-005</v>
      </c>
      <c r="R60" s="31" t="n">
        <f aca="false">IF($C60="","",N($L60)+ROW()/1000000)</f>
        <v>10.00006</v>
      </c>
    </row>
    <row r="61" customFormat="false" ht="15" hidden="false" customHeight="false" outlineLevel="0" collapsed="false">
      <c r="A61" s="1"/>
      <c r="B61" s="12" t="str">
        <f aca="false">IF($C61="","",$C61&amp;" · "&amp;$E61&amp;IF($F61=""," "," "&amp;$F61&amp;" ")&amp;"· "&amp;$D61)</f>
        <v>Corazón · Grande · Otros</v>
      </c>
      <c r="C61" s="13" t="s">
        <v>134</v>
      </c>
      <c r="D61" s="14" t="s">
        <v>127</v>
      </c>
      <c r="E61" s="14" t="s">
        <v>67</v>
      </c>
      <c r="F61" s="13"/>
      <c r="G61" s="13" t="s">
        <v>115</v>
      </c>
      <c r="H61" s="32"/>
      <c r="I61" s="16" t="n">
        <v>5</v>
      </c>
      <c r="J61" s="17" t="n">
        <f aca="false">IF($C61="","",SUMIFS(Entradas!$D$5:$D$204,Entradas!$C$5:$C$204,$B61))</f>
        <v>0</v>
      </c>
      <c r="K61" s="17" t="n">
        <f aca="false">IF($C61="","",SUMIFS(Ventas!$F$5:$F$504,Ventas!$C$5:$C$504,$B61))</f>
        <v>0</v>
      </c>
      <c r="L61" s="18" t="n">
        <f aca="false">IF($C61="","",N($I61)+N($J61)-N($K61))</f>
        <v>5</v>
      </c>
      <c r="M61" s="19" t="n">
        <f aca="false">IF($C61="","",N($L61)*N($H61))</f>
        <v>0</v>
      </c>
      <c r="N61" s="19" t="n">
        <f aca="false">IF($C61="","",SUMIFS(Ventas!$I$5:$I$504,Ventas!$C$5:$C$504,$B61))</f>
        <v>0</v>
      </c>
      <c r="O61" s="20" t="str">
        <f aca="false">IF($C61="","",IF($L61&lt;0,"REVISAR",IF($L61=0,"AGOTADO",IF($L61&lt;=Config!$M$6,"BAJO","OK"))))</f>
        <v>OK</v>
      </c>
      <c r="P61" s="21" t="n">
        <f aca="false">IF($C61="","",IFERROR(INDEX(Config!$E$6:$E$18,MATCH($E61,Config!$D$6:$D$18,0)),""))</f>
        <v>4</v>
      </c>
      <c r="Q61" s="21" t="n">
        <f aca="false">IF($C61="","",N($K61)+ROW()/1000000)</f>
        <v>6.1E-005</v>
      </c>
      <c r="R61" s="21" t="n">
        <f aca="false">IF($C61="","",N($L61)+ROW()/1000000)</f>
        <v>5.000061</v>
      </c>
    </row>
    <row r="62" customFormat="false" ht="15" hidden="false" customHeight="false" outlineLevel="0" collapsed="false">
      <c r="A62" s="1"/>
      <c r="B62" s="22" t="str">
        <f aca="false">IF($C62="","",$C62&amp;" · "&amp;$E62&amp;IF($F62=""," "," "&amp;$F62&amp;" ")&amp;"· "&amp;$D62)</f>
        <v>Abejas · Único · Selva</v>
      </c>
      <c r="C62" s="23" t="s">
        <v>138</v>
      </c>
      <c r="D62" s="24" t="s">
        <v>139</v>
      </c>
      <c r="E62" s="24" t="s">
        <v>51</v>
      </c>
      <c r="F62" s="23"/>
      <c r="G62" s="23" t="s">
        <v>69</v>
      </c>
      <c r="H62" s="25" t="n">
        <v>115000</v>
      </c>
      <c r="I62" s="26" t="n">
        <v>3</v>
      </c>
      <c r="J62" s="27" t="n">
        <f aca="false">IF($C62="","",SUMIFS(Entradas!$D$5:$D$204,Entradas!$C$5:$C$204,$B62))</f>
        <v>0</v>
      </c>
      <c r="K62" s="27" t="n">
        <f aca="false">IF($C62="","",SUMIFS(Ventas!$F$5:$F$504,Ventas!$C$5:$C$504,$B62))</f>
        <v>0</v>
      </c>
      <c r="L62" s="28" t="n">
        <f aca="false">IF($C62="","",N($I62)+N($J62)-N($K62))</f>
        <v>3</v>
      </c>
      <c r="M62" s="29" t="n">
        <f aca="false">IF($C62="","",N($L62)*N($H62))</f>
        <v>345000</v>
      </c>
      <c r="N62" s="29" t="n">
        <f aca="false">IF($C62="","",SUMIFS(Ventas!$I$5:$I$504,Ventas!$C$5:$C$504,$B62))</f>
        <v>0</v>
      </c>
      <c r="O62" s="30" t="str">
        <f aca="false">IF($C62="","",IF($L62&lt;0,"REVISAR",IF($L62=0,"AGOTADO",IF($L62&lt;=Config!$M$6,"BAJO","OK"))))</f>
        <v>BAJO</v>
      </c>
      <c r="P62" s="31" t="n">
        <f aca="false">IF($C62="","",IFERROR(INDEX(Config!$E$6:$E$18,MATCH($E62,Config!$D$6:$D$18,0)),""))</f>
        <v>5</v>
      </c>
      <c r="Q62" s="31" t="n">
        <f aca="false">IF($C62="","",N($K62)+ROW()/1000000)</f>
        <v>6.2E-005</v>
      </c>
      <c r="R62" s="31" t="n">
        <f aca="false">IF($C62="","",N($L62)+ROW()/1000000)</f>
        <v>3.000062</v>
      </c>
    </row>
    <row r="63" customFormat="false" ht="15" hidden="false" customHeight="false" outlineLevel="0" collapsed="false">
      <c r="A63" s="1"/>
      <c r="B63" s="12" t="str">
        <f aca="false">IF($C63="","",$C63&amp;" · "&amp;$E63&amp;IF($F63=""," "," "&amp;$F63&amp;" ")&amp;"· "&amp;$D63)</f>
        <v>Cebra · Grande · Selva</v>
      </c>
      <c r="C63" s="13" t="s">
        <v>49</v>
      </c>
      <c r="D63" s="14" t="s">
        <v>139</v>
      </c>
      <c r="E63" s="14" t="s">
        <v>67</v>
      </c>
      <c r="F63" s="13"/>
      <c r="G63" s="13" t="s">
        <v>102</v>
      </c>
      <c r="H63" s="15" t="n">
        <v>110000</v>
      </c>
      <c r="I63" s="16" t="n">
        <v>4</v>
      </c>
      <c r="J63" s="17" t="n">
        <f aca="false">IF($C63="","",SUMIFS(Entradas!$D$5:$D$204,Entradas!$C$5:$C$204,$B63))</f>
        <v>0</v>
      </c>
      <c r="K63" s="17" t="n">
        <f aca="false">IF($C63="","",SUMIFS(Ventas!$F$5:$F$504,Ventas!$C$5:$C$504,$B63))</f>
        <v>0</v>
      </c>
      <c r="L63" s="18" t="n">
        <f aca="false">IF($C63="","",N($I63)+N($J63)-N($K63))</f>
        <v>4</v>
      </c>
      <c r="M63" s="19" t="n">
        <f aca="false">IF($C63="","",N($L63)*N($H63))</f>
        <v>440000</v>
      </c>
      <c r="N63" s="19" t="n">
        <f aca="false">IF($C63="","",SUMIFS(Ventas!$I$5:$I$504,Ventas!$C$5:$C$504,$B63))</f>
        <v>0</v>
      </c>
      <c r="O63" s="20" t="str">
        <f aca="false">IF($C63="","",IF($L63&lt;0,"REVISAR",IF($L63=0,"AGOTADO",IF($L63&lt;=Config!$M$6,"BAJO","OK"))))</f>
        <v>OK</v>
      </c>
      <c r="P63" s="21" t="n">
        <f aca="false">IF($C63="","",IFERROR(INDEX(Config!$E$6:$E$18,MATCH($E63,Config!$D$6:$D$18,0)),""))</f>
        <v>4</v>
      </c>
      <c r="Q63" s="21" t="n">
        <f aca="false">IF($C63="","",N($K63)+ROW()/1000000)</f>
        <v>6.3E-005</v>
      </c>
      <c r="R63" s="21" t="n">
        <f aca="false">IF($C63="","",N($L63)+ROW()/1000000)</f>
        <v>4.000063</v>
      </c>
    </row>
    <row r="64" customFormat="false" ht="15" hidden="false" customHeight="false" outlineLevel="0" collapsed="false">
      <c r="A64" s="1"/>
      <c r="B64" s="22" t="str">
        <f aca="false">IF($C64="","",$C64&amp;" · "&amp;$E64&amp;IF($F64=""," "," "&amp;$F64&amp;" ")&amp;"· "&amp;$D64)</f>
        <v>Elefante · Pequeño · Selva</v>
      </c>
      <c r="C64" s="23" t="s">
        <v>55</v>
      </c>
      <c r="D64" s="24" t="s">
        <v>139</v>
      </c>
      <c r="E64" s="24" t="s">
        <v>58</v>
      </c>
      <c r="F64" s="23"/>
      <c r="G64" s="23" t="s">
        <v>140</v>
      </c>
      <c r="H64" s="25" t="n">
        <v>115000</v>
      </c>
      <c r="I64" s="26" t="n">
        <v>5</v>
      </c>
      <c r="J64" s="27" t="n">
        <f aca="false">IF($C64="","",SUMIFS(Entradas!$D$5:$D$204,Entradas!$C$5:$C$204,$B64))</f>
        <v>0</v>
      </c>
      <c r="K64" s="27" t="n">
        <f aca="false">IF($C64="","",SUMIFS(Ventas!$F$5:$F$504,Ventas!$C$5:$C$504,$B64))</f>
        <v>0</v>
      </c>
      <c r="L64" s="28" t="n">
        <f aca="false">IF($C64="","",N($I64)+N($J64)-N($K64))</f>
        <v>5</v>
      </c>
      <c r="M64" s="29" t="n">
        <f aca="false">IF($C64="","",N($L64)*N($H64))</f>
        <v>575000</v>
      </c>
      <c r="N64" s="29" t="n">
        <f aca="false">IF($C64="","",SUMIFS(Ventas!$I$5:$I$504,Ventas!$C$5:$C$504,$B64))</f>
        <v>0</v>
      </c>
      <c r="O64" s="30" t="str">
        <f aca="false">IF($C64="","",IF($L64&lt;0,"REVISAR",IF($L64=0,"AGOTADO",IF($L64&lt;=Config!$M$6,"BAJO","OK"))))</f>
        <v>OK</v>
      </c>
      <c r="P64" s="31" t="n">
        <f aca="false">IF($C64="","",IFERROR(INDEX(Config!$E$6:$E$18,MATCH($E64,Config!$D$6:$D$18,0)),""))</f>
        <v>2</v>
      </c>
      <c r="Q64" s="31" t="n">
        <f aca="false">IF($C64="","",N($K64)+ROW()/1000000)</f>
        <v>6.4E-005</v>
      </c>
      <c r="R64" s="31" t="n">
        <f aca="false">IF($C64="","",N($L64)+ROW()/1000000)</f>
        <v>5.000064</v>
      </c>
    </row>
    <row r="65" customFormat="false" ht="15" hidden="false" customHeight="false" outlineLevel="0" collapsed="false">
      <c r="A65" s="1"/>
      <c r="B65" s="12" t="str">
        <f aca="false">IF($C65="","",$C65&amp;" · "&amp;$E65&amp;IF($F65=""," "," "&amp;$F65&amp;" ")&amp;"· "&amp;$D65)</f>
        <v>Elefante · Grande · Selva</v>
      </c>
      <c r="C65" s="13" t="s">
        <v>55</v>
      </c>
      <c r="D65" s="14" t="s">
        <v>139</v>
      </c>
      <c r="E65" s="14" t="s">
        <v>67</v>
      </c>
      <c r="F65" s="13"/>
      <c r="G65" s="13" t="s">
        <v>141</v>
      </c>
      <c r="H65" s="15" t="n">
        <v>140000</v>
      </c>
      <c r="I65" s="16" t="n">
        <v>7</v>
      </c>
      <c r="J65" s="17" t="n">
        <f aca="false">IF($C65="","",SUMIFS(Entradas!$D$5:$D$204,Entradas!$C$5:$C$204,$B65))</f>
        <v>0</v>
      </c>
      <c r="K65" s="17" t="n">
        <f aca="false">IF($C65="","",SUMIFS(Ventas!$F$5:$F$504,Ventas!$C$5:$C$504,$B65))</f>
        <v>0</v>
      </c>
      <c r="L65" s="18" t="n">
        <f aca="false">IF($C65="","",N($I65)+N($J65)-N($K65))</f>
        <v>7</v>
      </c>
      <c r="M65" s="19" t="n">
        <f aca="false">IF($C65="","",N($L65)*N($H65))</f>
        <v>980000</v>
      </c>
      <c r="N65" s="19" t="n">
        <f aca="false">IF($C65="","",SUMIFS(Ventas!$I$5:$I$504,Ventas!$C$5:$C$504,$B65))</f>
        <v>0</v>
      </c>
      <c r="O65" s="20" t="str">
        <f aca="false">IF($C65="","",IF($L65&lt;0,"REVISAR",IF($L65=0,"AGOTADO",IF($L65&lt;=Config!$M$6,"BAJO","OK"))))</f>
        <v>OK</v>
      </c>
      <c r="P65" s="21" t="n">
        <f aca="false">IF($C65="","",IFERROR(INDEX(Config!$E$6:$E$18,MATCH($E65,Config!$D$6:$D$18,0)),""))</f>
        <v>4</v>
      </c>
      <c r="Q65" s="21" t="n">
        <f aca="false">IF($C65="","",N($K65)+ROW()/1000000)</f>
        <v>6.5E-005</v>
      </c>
      <c r="R65" s="21" t="n">
        <f aca="false">IF($C65="","",N($L65)+ROW()/1000000)</f>
        <v>7.000065</v>
      </c>
    </row>
    <row r="66" customFormat="false" ht="15" hidden="false" customHeight="false" outlineLevel="0" collapsed="false">
      <c r="A66" s="1"/>
      <c r="B66" s="22" t="str">
        <f aca="false">IF($C66="","",$C66&amp;" · "&amp;$E66&amp;IF($F66=""," "," "&amp;$F66&amp;" ")&amp;"· "&amp;$D66)</f>
        <v>Jirafa · Pequeño · Selva</v>
      </c>
      <c r="C66" s="23" t="s">
        <v>142</v>
      </c>
      <c r="D66" s="24" t="s">
        <v>139</v>
      </c>
      <c r="E66" s="24" t="s">
        <v>58</v>
      </c>
      <c r="F66" s="23"/>
      <c r="G66" s="23" t="s">
        <v>89</v>
      </c>
      <c r="H66" s="25" t="n">
        <v>115000</v>
      </c>
      <c r="I66" s="26" t="n">
        <v>7</v>
      </c>
      <c r="J66" s="27" t="n">
        <f aca="false">IF($C66="","",SUMIFS(Entradas!$D$5:$D$204,Entradas!$C$5:$C$204,$B66))</f>
        <v>0</v>
      </c>
      <c r="K66" s="27" t="n">
        <f aca="false">IF($C66="","",SUMIFS(Ventas!$F$5:$F$504,Ventas!$C$5:$C$504,$B66))</f>
        <v>0</v>
      </c>
      <c r="L66" s="28" t="n">
        <f aca="false">IF($C66="","",N($I66)+N($J66)-N($K66))</f>
        <v>7</v>
      </c>
      <c r="M66" s="29" t="n">
        <f aca="false">IF($C66="","",N($L66)*N($H66))</f>
        <v>805000</v>
      </c>
      <c r="N66" s="29" t="n">
        <f aca="false">IF($C66="","",SUMIFS(Ventas!$I$5:$I$504,Ventas!$C$5:$C$504,$B66))</f>
        <v>0</v>
      </c>
      <c r="O66" s="30" t="str">
        <f aca="false">IF($C66="","",IF($L66&lt;0,"REVISAR",IF($L66=0,"AGOTADO",IF($L66&lt;=Config!$M$6,"BAJO","OK"))))</f>
        <v>OK</v>
      </c>
      <c r="P66" s="31" t="n">
        <f aca="false">IF($C66="","",IFERROR(INDEX(Config!$E$6:$E$18,MATCH($E66,Config!$D$6:$D$18,0)),""))</f>
        <v>2</v>
      </c>
      <c r="Q66" s="31" t="n">
        <f aca="false">IF($C66="","",N($K66)+ROW()/1000000)</f>
        <v>6.6E-005</v>
      </c>
      <c r="R66" s="31" t="n">
        <f aca="false">IF($C66="","",N($L66)+ROW()/1000000)</f>
        <v>7.000066</v>
      </c>
    </row>
    <row r="67" customFormat="false" ht="15" hidden="false" customHeight="false" outlineLevel="0" collapsed="false">
      <c r="A67" s="1"/>
      <c r="B67" s="12" t="str">
        <f aca="false">IF($C67="","",$C67&amp;" · "&amp;$E67&amp;IF($F67=""," "," "&amp;$F67&amp;" ")&amp;"· "&amp;$D67)</f>
        <v>Jirafa · Grande · Selva</v>
      </c>
      <c r="C67" s="13" t="s">
        <v>142</v>
      </c>
      <c r="D67" s="14" t="s">
        <v>139</v>
      </c>
      <c r="E67" s="14" t="s">
        <v>67</v>
      </c>
      <c r="F67" s="13"/>
      <c r="G67" s="13" t="s">
        <v>63</v>
      </c>
      <c r="H67" s="15" t="n">
        <v>140000</v>
      </c>
      <c r="I67" s="16" t="n">
        <v>6</v>
      </c>
      <c r="J67" s="17" t="n">
        <f aca="false">IF($C67="","",SUMIFS(Entradas!$D$5:$D$204,Entradas!$C$5:$C$204,$B67))</f>
        <v>0</v>
      </c>
      <c r="K67" s="17" t="n">
        <f aca="false">IF($C67="","",SUMIFS(Ventas!$F$5:$F$504,Ventas!$C$5:$C$504,$B67))</f>
        <v>0</v>
      </c>
      <c r="L67" s="18" t="n">
        <f aca="false">IF($C67="","",N($I67)+N($J67)-N($K67))</f>
        <v>6</v>
      </c>
      <c r="M67" s="19" t="n">
        <f aca="false">IF($C67="","",N($L67)*N($H67))</f>
        <v>840000</v>
      </c>
      <c r="N67" s="19" t="n">
        <f aca="false">IF($C67="","",SUMIFS(Ventas!$I$5:$I$504,Ventas!$C$5:$C$504,$B67))</f>
        <v>0</v>
      </c>
      <c r="O67" s="20" t="str">
        <f aca="false">IF($C67="","",IF($L67&lt;0,"REVISAR",IF($L67=0,"AGOTADO",IF($L67&lt;=Config!$M$6,"BAJO","OK"))))</f>
        <v>OK</v>
      </c>
      <c r="P67" s="21" t="n">
        <f aca="false">IF($C67="","",IFERROR(INDEX(Config!$E$6:$E$18,MATCH($E67,Config!$D$6:$D$18,0)),""))</f>
        <v>4</v>
      </c>
      <c r="Q67" s="21" t="n">
        <f aca="false">IF($C67="","",N($K67)+ROW()/1000000)</f>
        <v>6.7E-005</v>
      </c>
      <c r="R67" s="21" t="n">
        <f aca="false">IF($C67="","",N($L67)+ROW()/1000000)</f>
        <v>6.000067</v>
      </c>
    </row>
    <row r="68" customFormat="false" ht="15" hidden="false" customHeight="false" outlineLevel="0" collapsed="false">
      <c r="A68" s="1"/>
      <c r="B68" s="22" t="str">
        <f aca="false">IF($C68="","",$C68&amp;" · "&amp;$E68&amp;IF($F68=""," "," "&amp;$F68&amp;" ")&amp;"· "&amp;$D68)</f>
        <v>León · Pequeño · Selva</v>
      </c>
      <c r="C68" s="23" t="s">
        <v>143</v>
      </c>
      <c r="D68" s="24" t="s">
        <v>139</v>
      </c>
      <c r="E68" s="24" t="s">
        <v>58</v>
      </c>
      <c r="F68" s="23"/>
      <c r="G68" s="23" t="s">
        <v>73</v>
      </c>
      <c r="H68" s="25" t="n">
        <v>115000</v>
      </c>
      <c r="I68" s="26" t="n">
        <v>12</v>
      </c>
      <c r="J68" s="27" t="n">
        <f aca="false">IF($C68="","",SUMIFS(Entradas!$D$5:$D$204,Entradas!$C$5:$C$204,$B68))</f>
        <v>0</v>
      </c>
      <c r="K68" s="27" t="n">
        <f aca="false">IF($C68="","",SUMIFS(Ventas!$F$5:$F$504,Ventas!$C$5:$C$504,$B68))</f>
        <v>0</v>
      </c>
      <c r="L68" s="28" t="n">
        <f aca="false">IF($C68="","",N($I68)+N($J68)-N($K68))</f>
        <v>12</v>
      </c>
      <c r="M68" s="29" t="n">
        <f aca="false">IF($C68="","",N($L68)*N($H68))</f>
        <v>1380000</v>
      </c>
      <c r="N68" s="29" t="n">
        <f aca="false">IF($C68="","",SUMIFS(Ventas!$I$5:$I$504,Ventas!$C$5:$C$504,$B68))</f>
        <v>0</v>
      </c>
      <c r="O68" s="30" t="str">
        <f aca="false">IF($C68="","",IF($L68&lt;0,"REVISAR",IF($L68=0,"AGOTADO",IF($L68&lt;=Config!$M$6,"BAJO","OK"))))</f>
        <v>OK</v>
      </c>
      <c r="P68" s="31" t="n">
        <f aca="false">IF($C68="","",IFERROR(INDEX(Config!$E$6:$E$18,MATCH($E68,Config!$D$6:$D$18,0)),""))</f>
        <v>2</v>
      </c>
      <c r="Q68" s="31" t="n">
        <f aca="false">IF($C68="","",N($K68)+ROW()/1000000)</f>
        <v>6.8E-005</v>
      </c>
      <c r="R68" s="31" t="n">
        <f aca="false">IF($C68="","",N($L68)+ROW()/1000000)</f>
        <v>12.000068</v>
      </c>
    </row>
    <row r="69" customFormat="false" ht="15" hidden="false" customHeight="false" outlineLevel="0" collapsed="false">
      <c r="A69" s="1"/>
      <c r="B69" s="12" t="str">
        <f aca="false">IF($C69="","",$C69&amp;" · "&amp;$E69&amp;IF($F69=""," "," "&amp;$F69&amp;" ")&amp;"· "&amp;$D69)</f>
        <v>León · Grande · Selva</v>
      </c>
      <c r="C69" s="13" t="s">
        <v>143</v>
      </c>
      <c r="D69" s="14" t="s">
        <v>139</v>
      </c>
      <c r="E69" s="14" t="s">
        <v>67</v>
      </c>
      <c r="F69" s="13"/>
      <c r="G69" s="13" t="s">
        <v>144</v>
      </c>
      <c r="H69" s="15" t="n">
        <v>140000</v>
      </c>
      <c r="I69" s="16" t="n">
        <v>7</v>
      </c>
      <c r="J69" s="17" t="n">
        <f aca="false">IF($C69="","",SUMIFS(Entradas!$D$5:$D$204,Entradas!$C$5:$C$204,$B69))</f>
        <v>0</v>
      </c>
      <c r="K69" s="17" t="n">
        <f aca="false">IF($C69="","",SUMIFS(Ventas!$F$5:$F$504,Ventas!$C$5:$C$504,$B69))</f>
        <v>0</v>
      </c>
      <c r="L69" s="18" t="n">
        <f aca="false">IF($C69="","",N($I69)+N($J69)-N($K69))</f>
        <v>7</v>
      </c>
      <c r="M69" s="19" t="n">
        <f aca="false">IF($C69="","",N($L69)*N($H69))</f>
        <v>980000</v>
      </c>
      <c r="N69" s="19" t="n">
        <f aca="false">IF($C69="","",SUMIFS(Ventas!$I$5:$I$504,Ventas!$C$5:$C$504,$B69))</f>
        <v>0</v>
      </c>
      <c r="O69" s="20" t="str">
        <f aca="false">IF($C69="","",IF($L69&lt;0,"REVISAR",IF($L69=0,"AGOTADO",IF($L69&lt;=Config!$M$6,"BAJO","OK"))))</f>
        <v>OK</v>
      </c>
      <c r="P69" s="21" t="n">
        <f aca="false">IF($C69="","",IFERROR(INDEX(Config!$E$6:$E$18,MATCH($E69,Config!$D$6:$D$18,0)),""))</f>
        <v>4</v>
      </c>
      <c r="Q69" s="21" t="n">
        <f aca="false">IF($C69="","",N($K69)+ROW()/1000000)</f>
        <v>6.9E-005</v>
      </c>
      <c r="R69" s="21" t="n">
        <f aca="false">IF($C69="","",N($L69)+ROW()/1000000)</f>
        <v>7.000069</v>
      </c>
    </row>
    <row r="70" customFormat="false" ht="15" hidden="false" customHeight="false" outlineLevel="0" collapsed="false">
      <c r="A70" s="1"/>
      <c r="B70" s="22" t="str">
        <f aca="false">IF($C70="","",$C70&amp;" · "&amp;$E70&amp;IF($F70=""," "," "&amp;$F70&amp;" ")&amp;"· "&amp;$D70)</f>
        <v>Unicornio · Pequeño · Selva</v>
      </c>
      <c r="C70" s="23" t="s">
        <v>72</v>
      </c>
      <c r="D70" s="24" t="s">
        <v>139</v>
      </c>
      <c r="E70" s="24" t="s">
        <v>58</v>
      </c>
      <c r="F70" s="23"/>
      <c r="G70" s="23" t="s">
        <v>145</v>
      </c>
      <c r="H70" s="25" t="n">
        <v>95000</v>
      </c>
      <c r="I70" s="26" t="n">
        <v>12</v>
      </c>
      <c r="J70" s="27" t="n">
        <f aca="false">IF($C70="","",SUMIFS(Entradas!$D$5:$D$204,Entradas!$C$5:$C$204,$B70))</f>
        <v>0</v>
      </c>
      <c r="K70" s="27" t="n">
        <f aca="false">IF($C70="","",SUMIFS(Ventas!$F$5:$F$504,Ventas!$C$5:$C$504,$B70))</f>
        <v>0</v>
      </c>
      <c r="L70" s="28" t="n">
        <f aca="false">IF($C70="","",N($I70)+N($J70)-N($K70))</f>
        <v>12</v>
      </c>
      <c r="M70" s="29" t="n">
        <f aca="false">IF($C70="","",N($L70)*N($H70))</f>
        <v>1140000</v>
      </c>
      <c r="N70" s="29" t="n">
        <f aca="false">IF($C70="","",SUMIFS(Ventas!$I$5:$I$504,Ventas!$C$5:$C$504,$B70))</f>
        <v>0</v>
      </c>
      <c r="O70" s="30" t="str">
        <f aca="false">IF($C70="","",IF($L70&lt;0,"REVISAR",IF($L70=0,"AGOTADO",IF($L70&lt;=Config!$M$6,"BAJO","OK"))))</f>
        <v>OK</v>
      </c>
      <c r="P70" s="31" t="n">
        <f aca="false">IF($C70="","",IFERROR(INDEX(Config!$E$6:$E$18,MATCH($E70,Config!$D$6:$D$18,0)),""))</f>
        <v>2</v>
      </c>
      <c r="Q70" s="31" t="n">
        <f aca="false">IF($C70="","",N($K70)+ROW()/1000000)</f>
        <v>7E-005</v>
      </c>
      <c r="R70" s="31" t="n">
        <f aca="false">IF($C70="","",N($L70)+ROW()/1000000)</f>
        <v>12.00007</v>
      </c>
    </row>
    <row r="71" customFormat="false" ht="15" hidden="false" customHeight="false" outlineLevel="0" collapsed="false">
      <c r="A71" s="1"/>
      <c r="B71" s="12" t="str">
        <f aca="false">IF($C71="","",$C71&amp;" · "&amp;$E71&amp;IF($F71=""," "," "&amp;$F71&amp;" ")&amp;"· "&amp;$D71)</f>
        <v/>
      </c>
      <c r="C71" s="13"/>
      <c r="D71" s="14"/>
      <c r="E71" s="14"/>
      <c r="F71" s="13"/>
      <c r="G71" s="13"/>
      <c r="H71" s="15"/>
      <c r="I71" s="16"/>
      <c r="J71" s="17" t="str">
        <f aca="false">IF($C71="","",SUMIFS(Entradas!$D$5:$D$204,Entradas!$C$5:$C$204,$B71))</f>
        <v/>
      </c>
      <c r="K71" s="17" t="str">
        <f aca="false">IF($C71="","",SUMIFS(Ventas!$F$5:$F$504,Ventas!$C$5:$C$504,$B71))</f>
        <v/>
      </c>
      <c r="L71" s="18" t="str">
        <f aca="false">IF($C71="","",N($I71)+N($J71)-N($K71))</f>
        <v/>
      </c>
      <c r="M71" s="19" t="str">
        <f aca="false">IF($C71="","",N($L71)*N($H71))</f>
        <v/>
      </c>
      <c r="N71" s="19" t="str">
        <f aca="false">IF($C71="","",SUMIFS(Ventas!$I$5:$I$504,Ventas!$C$5:$C$504,$B71))</f>
        <v/>
      </c>
      <c r="O71" s="20" t="str">
        <f aca="false">IF($C71="","",IF($L71&lt;0,"REVISAR",IF($L71=0,"AGOTADO",IF($L71&lt;=Config!$M$6,"BAJO","OK"))))</f>
        <v/>
      </c>
      <c r="P71" s="21" t="str">
        <f aca="false">IF($C71="","",IFERROR(INDEX(Config!$E$6:$E$18,MATCH($E71,Config!$D$6:$D$18,0)),""))</f>
        <v/>
      </c>
      <c r="Q71" s="21" t="str">
        <f aca="false">IF($C71="","",N($K71)+ROW()/1000000)</f>
        <v/>
      </c>
      <c r="R71" s="21" t="str">
        <f aca="false">IF($C71="","",N($L71)+ROW()/1000000)</f>
        <v/>
      </c>
    </row>
    <row r="72" customFormat="false" ht="15" hidden="false" customHeight="false" outlineLevel="0" collapsed="false">
      <c r="A72" s="1"/>
      <c r="B72" s="22" t="str">
        <f aca="false">IF($C72="","",$C72&amp;" · "&amp;$E72&amp;IF($F72=""," "," "&amp;$F72&amp;" ")&amp;"· "&amp;$D72)</f>
        <v/>
      </c>
      <c r="C72" s="23"/>
      <c r="D72" s="24"/>
      <c r="E72" s="24"/>
      <c r="F72" s="23"/>
      <c r="G72" s="23"/>
      <c r="H72" s="25"/>
      <c r="I72" s="26"/>
      <c r="J72" s="27" t="str">
        <f aca="false">IF($C72="","",SUMIFS(Entradas!$D$5:$D$204,Entradas!$C$5:$C$204,$B72))</f>
        <v/>
      </c>
      <c r="K72" s="27" t="str">
        <f aca="false">IF($C72="","",SUMIFS(Ventas!$F$5:$F$504,Ventas!$C$5:$C$504,$B72))</f>
        <v/>
      </c>
      <c r="L72" s="28" t="str">
        <f aca="false">IF($C72="","",N($I72)+N($J72)-N($K72))</f>
        <v/>
      </c>
      <c r="M72" s="29" t="str">
        <f aca="false">IF($C72="","",N($L72)*N($H72))</f>
        <v/>
      </c>
      <c r="N72" s="29" t="str">
        <f aca="false">IF($C72="","",SUMIFS(Ventas!$I$5:$I$504,Ventas!$C$5:$C$504,$B72))</f>
        <v/>
      </c>
      <c r="O72" s="30" t="str">
        <f aca="false">IF($C72="","",IF($L72&lt;0,"REVISAR",IF($L72=0,"AGOTADO",IF($L72&lt;=Config!$M$6,"BAJO","OK"))))</f>
        <v/>
      </c>
      <c r="P72" s="31" t="str">
        <f aca="false">IF($C72="","",IFERROR(INDEX(Config!$E$6:$E$18,MATCH($E72,Config!$D$6:$D$18,0)),""))</f>
        <v/>
      </c>
      <c r="Q72" s="31" t="str">
        <f aca="false">IF($C72="","",N($K72)+ROW()/1000000)</f>
        <v/>
      </c>
      <c r="R72" s="31" t="str">
        <f aca="false">IF($C72="","",N($L72)+ROW()/1000000)</f>
        <v/>
      </c>
    </row>
    <row r="73" customFormat="false" ht="15" hidden="false" customHeight="false" outlineLevel="0" collapsed="false">
      <c r="A73" s="1"/>
      <c r="B73" s="12" t="str">
        <f aca="false">IF($C73="","",$C73&amp;" · "&amp;$E73&amp;IF($F73=""," "," "&amp;$F73&amp;" ")&amp;"· "&amp;$D73)</f>
        <v/>
      </c>
      <c r="C73" s="13"/>
      <c r="D73" s="14"/>
      <c r="E73" s="14"/>
      <c r="F73" s="13"/>
      <c r="G73" s="13"/>
      <c r="H73" s="15"/>
      <c r="I73" s="16"/>
      <c r="J73" s="17" t="str">
        <f aca="false">IF($C73="","",SUMIFS(Entradas!$D$5:$D$204,Entradas!$C$5:$C$204,$B73))</f>
        <v/>
      </c>
      <c r="K73" s="17" t="str">
        <f aca="false">IF($C73="","",SUMIFS(Ventas!$F$5:$F$504,Ventas!$C$5:$C$504,$B73))</f>
        <v/>
      </c>
      <c r="L73" s="18" t="str">
        <f aca="false">IF($C73="","",N($I73)+N($J73)-N($K73))</f>
        <v/>
      </c>
      <c r="M73" s="19" t="str">
        <f aca="false">IF($C73="","",N($L73)*N($H73))</f>
        <v/>
      </c>
      <c r="N73" s="19" t="str">
        <f aca="false">IF($C73="","",SUMIFS(Ventas!$I$5:$I$504,Ventas!$C$5:$C$504,$B73))</f>
        <v/>
      </c>
      <c r="O73" s="20" t="str">
        <f aca="false">IF($C73="","",IF($L73&lt;0,"REVISAR",IF($L73=0,"AGOTADO",IF($L73&lt;=Config!$M$6,"BAJO","OK"))))</f>
        <v/>
      </c>
      <c r="P73" s="21" t="str">
        <f aca="false">IF($C73="","",IFERROR(INDEX(Config!$E$6:$E$18,MATCH($E73,Config!$D$6:$D$18,0)),""))</f>
        <v/>
      </c>
      <c r="Q73" s="21" t="str">
        <f aca="false">IF($C73="","",N($K73)+ROW()/1000000)</f>
        <v/>
      </c>
      <c r="R73" s="21" t="str">
        <f aca="false">IF($C73="","",N($L73)+ROW()/1000000)</f>
        <v/>
      </c>
    </row>
    <row r="74" customFormat="false" ht="15" hidden="false" customHeight="false" outlineLevel="0" collapsed="false">
      <c r="A74" s="1"/>
      <c r="B74" s="22" t="str">
        <f aca="false">IF($C74="","",$C74&amp;" · "&amp;$E74&amp;IF($F74=""," "," "&amp;$F74&amp;" ")&amp;"· "&amp;$D74)</f>
        <v/>
      </c>
      <c r="C74" s="23"/>
      <c r="D74" s="24"/>
      <c r="E74" s="24"/>
      <c r="F74" s="23"/>
      <c r="G74" s="23"/>
      <c r="H74" s="25"/>
      <c r="I74" s="26"/>
      <c r="J74" s="27" t="str">
        <f aca="false">IF($C74="","",SUMIFS(Entradas!$D$5:$D$204,Entradas!$C$5:$C$204,$B74))</f>
        <v/>
      </c>
      <c r="K74" s="27" t="str">
        <f aca="false">IF($C74="","",SUMIFS(Ventas!$F$5:$F$504,Ventas!$C$5:$C$504,$B74))</f>
        <v/>
      </c>
      <c r="L74" s="28" t="str">
        <f aca="false">IF($C74="","",N($I74)+N($J74)-N($K74))</f>
        <v/>
      </c>
      <c r="M74" s="29" t="str">
        <f aca="false">IF($C74="","",N($L74)*N($H74))</f>
        <v/>
      </c>
      <c r="N74" s="29" t="str">
        <f aca="false">IF($C74="","",SUMIFS(Ventas!$I$5:$I$504,Ventas!$C$5:$C$504,$B74))</f>
        <v/>
      </c>
      <c r="O74" s="30" t="str">
        <f aca="false">IF($C74="","",IF($L74&lt;0,"REVISAR",IF($L74=0,"AGOTADO",IF($L74&lt;=Config!$M$6,"BAJO","OK"))))</f>
        <v/>
      </c>
      <c r="P74" s="31" t="str">
        <f aca="false">IF($C74="","",IFERROR(INDEX(Config!$E$6:$E$18,MATCH($E74,Config!$D$6:$D$18,0)),""))</f>
        <v/>
      </c>
      <c r="Q74" s="31" t="str">
        <f aca="false">IF($C74="","",N($K74)+ROW()/1000000)</f>
        <v/>
      </c>
      <c r="R74" s="31" t="str">
        <f aca="false">IF($C74="","",N($L74)+ROW()/1000000)</f>
        <v/>
      </c>
    </row>
    <row r="75" customFormat="false" ht="15" hidden="false" customHeight="false" outlineLevel="0" collapsed="false">
      <c r="A75" s="1"/>
      <c r="B75" s="12" t="str">
        <f aca="false">IF($C75="","",$C75&amp;" · "&amp;$E75&amp;IF($F75=""," "," "&amp;$F75&amp;" ")&amp;"· "&amp;$D75)</f>
        <v/>
      </c>
      <c r="C75" s="13"/>
      <c r="D75" s="14"/>
      <c r="E75" s="14"/>
      <c r="F75" s="13"/>
      <c r="G75" s="13"/>
      <c r="H75" s="15"/>
      <c r="I75" s="16"/>
      <c r="J75" s="17" t="str">
        <f aca="false">IF($C75="","",SUMIFS(Entradas!$D$5:$D$204,Entradas!$C$5:$C$204,$B75))</f>
        <v/>
      </c>
      <c r="K75" s="17" t="str">
        <f aca="false">IF($C75="","",SUMIFS(Ventas!$F$5:$F$504,Ventas!$C$5:$C$504,$B75))</f>
        <v/>
      </c>
      <c r="L75" s="18" t="str">
        <f aca="false">IF($C75="","",N($I75)+N($J75)-N($K75))</f>
        <v/>
      </c>
      <c r="M75" s="19" t="str">
        <f aca="false">IF($C75="","",N($L75)*N($H75))</f>
        <v/>
      </c>
      <c r="N75" s="19" t="str">
        <f aca="false">IF($C75="","",SUMIFS(Ventas!$I$5:$I$504,Ventas!$C$5:$C$504,$B75))</f>
        <v/>
      </c>
      <c r="O75" s="20" t="str">
        <f aca="false">IF($C75="","",IF($L75&lt;0,"REVISAR",IF($L75=0,"AGOTADO",IF($L75&lt;=Config!$M$6,"BAJO","OK"))))</f>
        <v/>
      </c>
      <c r="P75" s="21" t="str">
        <f aca="false">IF($C75="","",IFERROR(INDEX(Config!$E$6:$E$18,MATCH($E75,Config!$D$6:$D$18,0)),""))</f>
        <v/>
      </c>
      <c r="Q75" s="21" t="str">
        <f aca="false">IF($C75="","",N($K75)+ROW()/1000000)</f>
        <v/>
      </c>
      <c r="R75" s="21" t="str">
        <f aca="false">IF($C75="","",N($L75)+ROW()/1000000)</f>
        <v/>
      </c>
    </row>
    <row r="76" customFormat="false" ht="15" hidden="false" customHeight="false" outlineLevel="0" collapsed="false">
      <c r="A76" s="1"/>
      <c r="B76" s="22" t="str">
        <f aca="false">IF($C76="","",$C76&amp;" · "&amp;$E76&amp;IF($F76=""," "," "&amp;$F76&amp;" ")&amp;"· "&amp;$D76)</f>
        <v/>
      </c>
      <c r="C76" s="23"/>
      <c r="D76" s="24"/>
      <c r="E76" s="24"/>
      <c r="F76" s="23"/>
      <c r="G76" s="23"/>
      <c r="H76" s="25"/>
      <c r="I76" s="26"/>
      <c r="J76" s="27" t="str">
        <f aca="false">IF($C76="","",SUMIFS(Entradas!$D$5:$D$204,Entradas!$C$5:$C$204,$B76))</f>
        <v/>
      </c>
      <c r="K76" s="27" t="str">
        <f aca="false">IF($C76="","",SUMIFS(Ventas!$F$5:$F$504,Ventas!$C$5:$C$504,$B76))</f>
        <v/>
      </c>
      <c r="L76" s="28" t="str">
        <f aca="false">IF($C76="","",N($I76)+N($J76)-N($K76))</f>
        <v/>
      </c>
      <c r="M76" s="29" t="str">
        <f aca="false">IF($C76="","",N($L76)*N($H76))</f>
        <v/>
      </c>
      <c r="N76" s="29" t="str">
        <f aca="false">IF($C76="","",SUMIFS(Ventas!$I$5:$I$504,Ventas!$C$5:$C$504,$B76))</f>
        <v/>
      </c>
      <c r="O76" s="30" t="str">
        <f aca="false">IF($C76="","",IF($L76&lt;0,"REVISAR",IF($L76=0,"AGOTADO",IF($L76&lt;=Config!$M$6,"BAJO","OK"))))</f>
        <v/>
      </c>
      <c r="P76" s="31" t="str">
        <f aca="false">IF($C76="","",IFERROR(INDEX(Config!$E$6:$E$18,MATCH($E76,Config!$D$6:$D$18,0)),""))</f>
        <v/>
      </c>
      <c r="Q76" s="31" t="str">
        <f aca="false">IF($C76="","",N($K76)+ROW()/1000000)</f>
        <v/>
      </c>
      <c r="R76" s="31" t="str">
        <f aca="false">IF($C76="","",N($L76)+ROW()/1000000)</f>
        <v/>
      </c>
    </row>
    <row r="77" customFormat="false" ht="15" hidden="false" customHeight="false" outlineLevel="0" collapsed="false">
      <c r="A77" s="1"/>
      <c r="B77" s="12" t="str">
        <f aca="false">IF($C77="","",$C77&amp;" · "&amp;$E77&amp;IF($F77=""," "," "&amp;$F77&amp;" ")&amp;"· "&amp;$D77)</f>
        <v/>
      </c>
      <c r="C77" s="13"/>
      <c r="D77" s="14"/>
      <c r="E77" s="14"/>
      <c r="F77" s="13"/>
      <c r="G77" s="13"/>
      <c r="H77" s="15"/>
      <c r="I77" s="16"/>
      <c r="J77" s="17" t="str">
        <f aca="false">IF($C77="","",SUMIFS(Entradas!$D$5:$D$204,Entradas!$C$5:$C$204,$B77))</f>
        <v/>
      </c>
      <c r="K77" s="17" t="str">
        <f aca="false">IF($C77="","",SUMIFS(Ventas!$F$5:$F$504,Ventas!$C$5:$C$504,$B77))</f>
        <v/>
      </c>
      <c r="L77" s="18" t="str">
        <f aca="false">IF($C77="","",N($I77)+N($J77)-N($K77))</f>
        <v/>
      </c>
      <c r="M77" s="19" t="str">
        <f aca="false">IF($C77="","",N($L77)*N($H77))</f>
        <v/>
      </c>
      <c r="N77" s="19" t="str">
        <f aca="false">IF($C77="","",SUMIFS(Ventas!$I$5:$I$504,Ventas!$C$5:$C$504,$B77))</f>
        <v/>
      </c>
      <c r="O77" s="20" t="str">
        <f aca="false">IF($C77="","",IF($L77&lt;0,"REVISAR",IF($L77=0,"AGOTADO",IF($L77&lt;=Config!$M$6,"BAJO","OK"))))</f>
        <v/>
      </c>
      <c r="P77" s="21" t="str">
        <f aca="false">IF($C77="","",IFERROR(INDEX(Config!$E$6:$E$18,MATCH($E77,Config!$D$6:$D$18,0)),""))</f>
        <v/>
      </c>
      <c r="Q77" s="21" t="str">
        <f aca="false">IF($C77="","",N($K77)+ROW()/1000000)</f>
        <v/>
      </c>
      <c r="R77" s="21" t="str">
        <f aca="false">IF($C77="","",N($L77)+ROW()/1000000)</f>
        <v/>
      </c>
    </row>
    <row r="78" customFormat="false" ht="15" hidden="false" customHeight="false" outlineLevel="0" collapsed="false">
      <c r="A78" s="1"/>
      <c r="B78" s="22" t="str">
        <f aca="false">IF($C78="","",$C78&amp;" · "&amp;$E78&amp;IF($F78=""," "," "&amp;$F78&amp;" ")&amp;"· "&amp;$D78)</f>
        <v/>
      </c>
      <c r="C78" s="23"/>
      <c r="D78" s="24"/>
      <c r="E78" s="24"/>
      <c r="F78" s="23"/>
      <c r="G78" s="23"/>
      <c r="H78" s="25"/>
      <c r="I78" s="26"/>
      <c r="J78" s="27" t="str">
        <f aca="false">IF($C78="","",SUMIFS(Entradas!$D$5:$D$204,Entradas!$C$5:$C$204,$B78))</f>
        <v/>
      </c>
      <c r="K78" s="27" t="str">
        <f aca="false">IF($C78="","",SUMIFS(Ventas!$F$5:$F$504,Ventas!$C$5:$C$504,$B78))</f>
        <v/>
      </c>
      <c r="L78" s="28" t="str">
        <f aca="false">IF($C78="","",N($I78)+N($J78)-N($K78))</f>
        <v/>
      </c>
      <c r="M78" s="29" t="str">
        <f aca="false">IF($C78="","",N($L78)*N($H78))</f>
        <v/>
      </c>
      <c r="N78" s="29" t="str">
        <f aca="false">IF($C78="","",SUMIFS(Ventas!$I$5:$I$504,Ventas!$C$5:$C$504,$B78))</f>
        <v/>
      </c>
      <c r="O78" s="30" t="str">
        <f aca="false">IF($C78="","",IF($L78&lt;0,"REVISAR",IF($L78=0,"AGOTADO",IF($L78&lt;=Config!$M$6,"BAJO","OK"))))</f>
        <v/>
      </c>
      <c r="P78" s="31" t="str">
        <f aca="false">IF($C78="","",IFERROR(INDEX(Config!$E$6:$E$18,MATCH($E78,Config!$D$6:$D$18,0)),""))</f>
        <v/>
      </c>
      <c r="Q78" s="31" t="str">
        <f aca="false">IF($C78="","",N($K78)+ROW()/1000000)</f>
        <v/>
      </c>
      <c r="R78" s="31" t="str">
        <f aca="false">IF($C78="","",N($L78)+ROW()/1000000)</f>
        <v/>
      </c>
    </row>
    <row r="79" customFormat="false" ht="15" hidden="false" customHeight="false" outlineLevel="0" collapsed="false">
      <c r="A79" s="1"/>
      <c r="B79" s="12" t="str">
        <f aca="false">IF($C79="","",$C79&amp;" · "&amp;$E79&amp;IF($F79=""," "," "&amp;$F79&amp;" ")&amp;"· "&amp;$D79)</f>
        <v/>
      </c>
      <c r="C79" s="13"/>
      <c r="D79" s="14"/>
      <c r="E79" s="14"/>
      <c r="F79" s="13"/>
      <c r="G79" s="13"/>
      <c r="H79" s="15"/>
      <c r="I79" s="16"/>
      <c r="J79" s="17" t="str">
        <f aca="false">IF($C79="","",SUMIFS(Entradas!$D$5:$D$204,Entradas!$C$5:$C$204,$B79))</f>
        <v/>
      </c>
      <c r="K79" s="17" t="str">
        <f aca="false">IF($C79="","",SUMIFS(Ventas!$F$5:$F$504,Ventas!$C$5:$C$504,$B79))</f>
        <v/>
      </c>
      <c r="L79" s="18" t="str">
        <f aca="false">IF($C79="","",N($I79)+N($J79)-N($K79))</f>
        <v/>
      </c>
      <c r="M79" s="19" t="str">
        <f aca="false">IF($C79="","",N($L79)*N($H79))</f>
        <v/>
      </c>
      <c r="N79" s="19" t="str">
        <f aca="false">IF($C79="","",SUMIFS(Ventas!$I$5:$I$504,Ventas!$C$5:$C$504,$B79))</f>
        <v/>
      </c>
      <c r="O79" s="20" t="str">
        <f aca="false">IF($C79="","",IF($L79&lt;0,"REVISAR",IF($L79=0,"AGOTADO",IF($L79&lt;=Config!$M$6,"BAJO","OK"))))</f>
        <v/>
      </c>
      <c r="P79" s="21" t="str">
        <f aca="false">IF($C79="","",IFERROR(INDEX(Config!$E$6:$E$18,MATCH($E79,Config!$D$6:$D$18,0)),""))</f>
        <v/>
      </c>
      <c r="Q79" s="21" t="str">
        <f aca="false">IF($C79="","",N($K79)+ROW()/1000000)</f>
        <v/>
      </c>
      <c r="R79" s="21" t="str">
        <f aca="false">IF($C79="","",N($L79)+ROW()/1000000)</f>
        <v/>
      </c>
    </row>
    <row r="80" customFormat="false" ht="15" hidden="false" customHeight="false" outlineLevel="0" collapsed="false">
      <c r="A80" s="1"/>
      <c r="B80" s="22" t="str">
        <f aca="false">IF($C80="","",$C80&amp;" · "&amp;$E80&amp;IF($F80=""," "," "&amp;$F80&amp;" ")&amp;"· "&amp;$D80)</f>
        <v/>
      </c>
      <c r="C80" s="23"/>
      <c r="D80" s="24"/>
      <c r="E80" s="24"/>
      <c r="F80" s="23"/>
      <c r="G80" s="23"/>
      <c r="H80" s="25"/>
      <c r="I80" s="26"/>
      <c r="J80" s="27" t="str">
        <f aca="false">IF($C80="","",SUMIFS(Entradas!$D$5:$D$204,Entradas!$C$5:$C$204,$B80))</f>
        <v/>
      </c>
      <c r="K80" s="27" t="str">
        <f aca="false">IF($C80="","",SUMIFS(Ventas!$F$5:$F$504,Ventas!$C$5:$C$504,$B80))</f>
        <v/>
      </c>
      <c r="L80" s="28" t="str">
        <f aca="false">IF($C80="","",N($I80)+N($J80)-N($K80))</f>
        <v/>
      </c>
      <c r="M80" s="29" t="str">
        <f aca="false">IF($C80="","",N($L80)*N($H80))</f>
        <v/>
      </c>
      <c r="N80" s="29" t="str">
        <f aca="false">IF($C80="","",SUMIFS(Ventas!$I$5:$I$504,Ventas!$C$5:$C$504,$B80))</f>
        <v/>
      </c>
      <c r="O80" s="30" t="str">
        <f aca="false">IF($C80="","",IF($L80&lt;0,"REVISAR",IF($L80=0,"AGOTADO",IF($L80&lt;=Config!$M$6,"BAJO","OK"))))</f>
        <v/>
      </c>
      <c r="P80" s="31" t="str">
        <f aca="false">IF($C80="","",IFERROR(INDEX(Config!$E$6:$E$18,MATCH($E80,Config!$D$6:$D$18,0)),""))</f>
        <v/>
      </c>
      <c r="Q80" s="31" t="str">
        <f aca="false">IF($C80="","",N($K80)+ROW()/1000000)</f>
        <v/>
      </c>
      <c r="R80" s="31" t="str">
        <f aca="false">IF($C80="","",N($L80)+ROW()/1000000)</f>
        <v/>
      </c>
    </row>
    <row r="81" customFormat="false" ht="15" hidden="false" customHeight="false" outlineLevel="0" collapsed="false">
      <c r="A81" s="1"/>
      <c r="B81" s="12" t="str">
        <f aca="false">IF($C81="","",$C81&amp;" · "&amp;$E81&amp;IF($F81=""," "," "&amp;$F81&amp;" ")&amp;"· "&amp;$D81)</f>
        <v/>
      </c>
      <c r="C81" s="13"/>
      <c r="D81" s="14"/>
      <c r="E81" s="14"/>
      <c r="F81" s="13"/>
      <c r="G81" s="13"/>
      <c r="H81" s="15"/>
      <c r="I81" s="16"/>
      <c r="J81" s="17" t="str">
        <f aca="false">IF($C81="","",SUMIFS(Entradas!$D$5:$D$204,Entradas!$C$5:$C$204,$B81))</f>
        <v/>
      </c>
      <c r="K81" s="17" t="str">
        <f aca="false">IF($C81="","",SUMIFS(Ventas!$F$5:$F$504,Ventas!$C$5:$C$504,$B81))</f>
        <v/>
      </c>
      <c r="L81" s="18" t="str">
        <f aca="false">IF($C81="","",N($I81)+N($J81)-N($K81))</f>
        <v/>
      </c>
      <c r="M81" s="19" t="str">
        <f aca="false">IF($C81="","",N($L81)*N($H81))</f>
        <v/>
      </c>
      <c r="N81" s="19" t="str">
        <f aca="false">IF($C81="","",SUMIFS(Ventas!$I$5:$I$504,Ventas!$C$5:$C$504,$B81))</f>
        <v/>
      </c>
      <c r="O81" s="20" t="str">
        <f aca="false">IF($C81="","",IF($L81&lt;0,"REVISAR",IF($L81=0,"AGOTADO",IF($L81&lt;=Config!$M$6,"BAJO","OK"))))</f>
        <v/>
      </c>
      <c r="P81" s="21" t="str">
        <f aca="false">IF($C81="","",IFERROR(INDEX(Config!$E$6:$E$18,MATCH($E81,Config!$D$6:$D$18,0)),""))</f>
        <v/>
      </c>
      <c r="Q81" s="21" t="str">
        <f aca="false">IF($C81="","",N($K81)+ROW()/1000000)</f>
        <v/>
      </c>
      <c r="R81" s="21" t="str">
        <f aca="false">IF($C81="","",N($L81)+ROW()/1000000)</f>
        <v/>
      </c>
    </row>
    <row r="82" customFormat="false" ht="15" hidden="false" customHeight="false" outlineLevel="0" collapsed="false">
      <c r="A82" s="1"/>
      <c r="B82" s="22" t="str">
        <f aca="false">IF($C82="","",$C82&amp;" · "&amp;$E82&amp;IF($F82=""," "," "&amp;$F82&amp;" ")&amp;"· "&amp;$D82)</f>
        <v/>
      </c>
      <c r="C82" s="23"/>
      <c r="D82" s="24"/>
      <c r="E82" s="24"/>
      <c r="F82" s="23"/>
      <c r="G82" s="23"/>
      <c r="H82" s="25"/>
      <c r="I82" s="26"/>
      <c r="J82" s="27" t="str">
        <f aca="false">IF($C82="","",SUMIFS(Entradas!$D$5:$D$204,Entradas!$C$5:$C$204,$B82))</f>
        <v/>
      </c>
      <c r="K82" s="27" t="str">
        <f aca="false">IF($C82="","",SUMIFS(Ventas!$F$5:$F$504,Ventas!$C$5:$C$504,$B82))</f>
        <v/>
      </c>
      <c r="L82" s="28" t="str">
        <f aca="false">IF($C82="","",N($I82)+N($J82)-N($K82))</f>
        <v/>
      </c>
      <c r="M82" s="29" t="str">
        <f aca="false">IF($C82="","",N($L82)*N($H82))</f>
        <v/>
      </c>
      <c r="N82" s="29" t="str">
        <f aca="false">IF($C82="","",SUMIFS(Ventas!$I$5:$I$504,Ventas!$C$5:$C$504,$B82))</f>
        <v/>
      </c>
      <c r="O82" s="30" t="str">
        <f aca="false">IF($C82="","",IF($L82&lt;0,"REVISAR",IF($L82=0,"AGOTADO",IF($L82&lt;=Config!$M$6,"BAJO","OK"))))</f>
        <v/>
      </c>
      <c r="P82" s="31" t="str">
        <f aca="false">IF($C82="","",IFERROR(INDEX(Config!$E$6:$E$18,MATCH($E82,Config!$D$6:$D$18,0)),""))</f>
        <v/>
      </c>
      <c r="Q82" s="31" t="str">
        <f aca="false">IF($C82="","",N($K82)+ROW()/1000000)</f>
        <v/>
      </c>
      <c r="R82" s="31" t="str">
        <f aca="false">IF($C82="","",N($L82)+ROW()/1000000)</f>
        <v/>
      </c>
    </row>
    <row r="83" customFormat="false" ht="15" hidden="false" customHeight="false" outlineLevel="0" collapsed="false">
      <c r="A83" s="1"/>
      <c r="B83" s="12" t="str">
        <f aca="false">IF($C83="","",$C83&amp;" · "&amp;$E83&amp;IF($F83=""," "," "&amp;$F83&amp;" ")&amp;"· "&amp;$D83)</f>
        <v/>
      </c>
      <c r="C83" s="13"/>
      <c r="D83" s="14"/>
      <c r="E83" s="14"/>
      <c r="F83" s="13"/>
      <c r="G83" s="13"/>
      <c r="H83" s="15"/>
      <c r="I83" s="16"/>
      <c r="J83" s="17" t="str">
        <f aca="false">IF($C83="","",SUMIFS(Entradas!$D$5:$D$204,Entradas!$C$5:$C$204,$B83))</f>
        <v/>
      </c>
      <c r="K83" s="17" t="str">
        <f aca="false">IF($C83="","",SUMIFS(Ventas!$F$5:$F$504,Ventas!$C$5:$C$504,$B83))</f>
        <v/>
      </c>
      <c r="L83" s="18" t="str">
        <f aca="false">IF($C83="","",N($I83)+N($J83)-N($K83))</f>
        <v/>
      </c>
      <c r="M83" s="19" t="str">
        <f aca="false">IF($C83="","",N($L83)*N($H83))</f>
        <v/>
      </c>
      <c r="N83" s="19" t="str">
        <f aca="false">IF($C83="","",SUMIFS(Ventas!$I$5:$I$504,Ventas!$C$5:$C$504,$B83))</f>
        <v/>
      </c>
      <c r="O83" s="20" t="str">
        <f aca="false">IF($C83="","",IF($L83&lt;0,"REVISAR",IF($L83=0,"AGOTADO",IF($L83&lt;=Config!$M$6,"BAJO","OK"))))</f>
        <v/>
      </c>
      <c r="P83" s="21" t="str">
        <f aca="false">IF($C83="","",IFERROR(INDEX(Config!$E$6:$E$18,MATCH($E83,Config!$D$6:$D$18,0)),""))</f>
        <v/>
      </c>
      <c r="Q83" s="21" t="str">
        <f aca="false">IF($C83="","",N($K83)+ROW()/1000000)</f>
        <v/>
      </c>
      <c r="R83" s="21" t="str">
        <f aca="false">IF($C83="","",N($L83)+ROW()/1000000)</f>
        <v/>
      </c>
    </row>
    <row r="84" customFormat="false" ht="15" hidden="false" customHeight="false" outlineLevel="0" collapsed="false">
      <c r="A84" s="1"/>
      <c r="B84" s="22" t="str">
        <f aca="false">IF($C84="","",$C84&amp;" · "&amp;$E84&amp;IF($F84=""," "," "&amp;$F84&amp;" ")&amp;"· "&amp;$D84)</f>
        <v/>
      </c>
      <c r="C84" s="23"/>
      <c r="D84" s="24"/>
      <c r="E84" s="24"/>
      <c r="F84" s="23"/>
      <c r="G84" s="23"/>
      <c r="H84" s="25"/>
      <c r="I84" s="26"/>
      <c r="J84" s="27" t="str">
        <f aca="false">IF($C84="","",SUMIFS(Entradas!$D$5:$D$204,Entradas!$C$5:$C$204,$B84))</f>
        <v/>
      </c>
      <c r="K84" s="27" t="str">
        <f aca="false">IF($C84="","",SUMIFS(Ventas!$F$5:$F$504,Ventas!$C$5:$C$504,$B84))</f>
        <v/>
      </c>
      <c r="L84" s="28" t="str">
        <f aca="false">IF($C84="","",N($I84)+N($J84)-N($K84))</f>
        <v/>
      </c>
      <c r="M84" s="29" t="str">
        <f aca="false">IF($C84="","",N($L84)*N($H84))</f>
        <v/>
      </c>
      <c r="N84" s="29" t="str">
        <f aca="false">IF($C84="","",SUMIFS(Ventas!$I$5:$I$504,Ventas!$C$5:$C$504,$B84))</f>
        <v/>
      </c>
      <c r="O84" s="30" t="str">
        <f aca="false">IF($C84="","",IF($L84&lt;0,"REVISAR",IF($L84=0,"AGOTADO",IF($L84&lt;=Config!$M$6,"BAJO","OK"))))</f>
        <v/>
      </c>
      <c r="P84" s="31" t="str">
        <f aca="false">IF($C84="","",IFERROR(INDEX(Config!$E$6:$E$18,MATCH($E84,Config!$D$6:$D$18,0)),""))</f>
        <v/>
      </c>
      <c r="Q84" s="31" t="str">
        <f aca="false">IF($C84="","",N($K84)+ROW()/1000000)</f>
        <v/>
      </c>
      <c r="R84" s="31" t="str">
        <f aca="false">IF($C84="","",N($L84)+ROW()/1000000)</f>
        <v/>
      </c>
    </row>
    <row r="85" customFormat="false" ht="15" hidden="false" customHeight="false" outlineLevel="0" collapsed="false">
      <c r="A85" s="1"/>
      <c r="B85" s="12" t="str">
        <f aca="false">IF($C85="","",$C85&amp;" · "&amp;$E85&amp;IF($F85=""," "," "&amp;$F85&amp;" ")&amp;"· "&amp;$D85)</f>
        <v/>
      </c>
      <c r="C85" s="13"/>
      <c r="D85" s="14"/>
      <c r="E85" s="14"/>
      <c r="F85" s="13"/>
      <c r="G85" s="13"/>
      <c r="H85" s="15"/>
      <c r="I85" s="16"/>
      <c r="J85" s="17" t="str">
        <f aca="false">IF($C85="","",SUMIFS(Entradas!$D$5:$D$204,Entradas!$C$5:$C$204,$B85))</f>
        <v/>
      </c>
      <c r="K85" s="17" t="str">
        <f aca="false">IF($C85="","",SUMIFS(Ventas!$F$5:$F$504,Ventas!$C$5:$C$504,$B85))</f>
        <v/>
      </c>
      <c r="L85" s="18" t="str">
        <f aca="false">IF($C85="","",N($I85)+N($J85)-N($K85))</f>
        <v/>
      </c>
      <c r="M85" s="19" t="str">
        <f aca="false">IF($C85="","",N($L85)*N($H85))</f>
        <v/>
      </c>
      <c r="N85" s="19" t="str">
        <f aca="false">IF($C85="","",SUMIFS(Ventas!$I$5:$I$504,Ventas!$C$5:$C$504,$B85))</f>
        <v/>
      </c>
      <c r="O85" s="20" t="str">
        <f aca="false">IF($C85="","",IF($L85&lt;0,"REVISAR",IF($L85=0,"AGOTADO",IF($L85&lt;=Config!$M$6,"BAJO","OK"))))</f>
        <v/>
      </c>
      <c r="P85" s="21" t="str">
        <f aca="false">IF($C85="","",IFERROR(INDEX(Config!$E$6:$E$18,MATCH($E85,Config!$D$6:$D$18,0)),""))</f>
        <v/>
      </c>
      <c r="Q85" s="21" t="str">
        <f aca="false">IF($C85="","",N($K85)+ROW()/1000000)</f>
        <v/>
      </c>
      <c r="R85" s="21" t="str">
        <f aca="false">IF($C85="","",N($L85)+ROW()/1000000)</f>
        <v/>
      </c>
    </row>
    <row r="86" customFormat="false" ht="15" hidden="false" customHeight="false" outlineLevel="0" collapsed="false">
      <c r="A86" s="1"/>
      <c r="B86" s="22" t="str">
        <f aca="false">IF($C86="","",$C86&amp;" · "&amp;$E86&amp;IF($F86=""," "," "&amp;$F86&amp;" ")&amp;"· "&amp;$D86)</f>
        <v/>
      </c>
      <c r="C86" s="23"/>
      <c r="D86" s="24"/>
      <c r="E86" s="24"/>
      <c r="F86" s="23"/>
      <c r="G86" s="23"/>
      <c r="H86" s="25"/>
      <c r="I86" s="26"/>
      <c r="J86" s="27" t="str">
        <f aca="false">IF($C86="","",SUMIFS(Entradas!$D$5:$D$204,Entradas!$C$5:$C$204,$B86))</f>
        <v/>
      </c>
      <c r="K86" s="27" t="str">
        <f aca="false">IF($C86="","",SUMIFS(Ventas!$F$5:$F$504,Ventas!$C$5:$C$504,$B86))</f>
        <v/>
      </c>
      <c r="L86" s="28" t="str">
        <f aca="false">IF($C86="","",N($I86)+N($J86)-N($K86))</f>
        <v/>
      </c>
      <c r="M86" s="29" t="str">
        <f aca="false">IF($C86="","",N($L86)*N($H86))</f>
        <v/>
      </c>
      <c r="N86" s="29" t="str">
        <f aca="false">IF($C86="","",SUMIFS(Ventas!$I$5:$I$504,Ventas!$C$5:$C$504,$B86))</f>
        <v/>
      </c>
      <c r="O86" s="30" t="str">
        <f aca="false">IF($C86="","",IF($L86&lt;0,"REVISAR",IF($L86=0,"AGOTADO",IF($L86&lt;=Config!$M$6,"BAJO","OK"))))</f>
        <v/>
      </c>
      <c r="P86" s="31" t="str">
        <f aca="false">IF($C86="","",IFERROR(INDEX(Config!$E$6:$E$18,MATCH($E86,Config!$D$6:$D$18,0)),""))</f>
        <v/>
      </c>
      <c r="Q86" s="31" t="str">
        <f aca="false">IF($C86="","",N($K86)+ROW()/1000000)</f>
        <v/>
      </c>
      <c r="R86" s="31" t="str">
        <f aca="false">IF($C86="","",N($L86)+ROW()/1000000)</f>
        <v/>
      </c>
    </row>
    <row r="87" customFormat="false" ht="15" hidden="false" customHeight="false" outlineLevel="0" collapsed="false">
      <c r="A87" s="1"/>
      <c r="B87" s="12" t="str">
        <f aca="false">IF($C87="","",$C87&amp;" · "&amp;$E87&amp;IF($F87=""," "," "&amp;$F87&amp;" ")&amp;"· "&amp;$D87)</f>
        <v/>
      </c>
      <c r="C87" s="13"/>
      <c r="D87" s="14"/>
      <c r="E87" s="14"/>
      <c r="F87" s="13"/>
      <c r="G87" s="13"/>
      <c r="H87" s="15"/>
      <c r="I87" s="16"/>
      <c r="J87" s="17" t="str">
        <f aca="false">IF($C87="","",SUMIFS(Entradas!$D$5:$D$204,Entradas!$C$5:$C$204,$B87))</f>
        <v/>
      </c>
      <c r="K87" s="17" t="str">
        <f aca="false">IF($C87="","",SUMIFS(Ventas!$F$5:$F$504,Ventas!$C$5:$C$504,$B87))</f>
        <v/>
      </c>
      <c r="L87" s="18" t="str">
        <f aca="false">IF($C87="","",N($I87)+N($J87)-N($K87))</f>
        <v/>
      </c>
      <c r="M87" s="19" t="str">
        <f aca="false">IF($C87="","",N($L87)*N($H87))</f>
        <v/>
      </c>
      <c r="N87" s="19" t="str">
        <f aca="false">IF($C87="","",SUMIFS(Ventas!$I$5:$I$504,Ventas!$C$5:$C$504,$B87))</f>
        <v/>
      </c>
      <c r="O87" s="20" t="str">
        <f aca="false">IF($C87="","",IF($L87&lt;0,"REVISAR",IF($L87=0,"AGOTADO",IF($L87&lt;=Config!$M$6,"BAJO","OK"))))</f>
        <v/>
      </c>
      <c r="P87" s="21" t="str">
        <f aca="false">IF($C87="","",IFERROR(INDEX(Config!$E$6:$E$18,MATCH($E87,Config!$D$6:$D$18,0)),""))</f>
        <v/>
      </c>
      <c r="Q87" s="21" t="str">
        <f aca="false">IF($C87="","",N($K87)+ROW()/1000000)</f>
        <v/>
      </c>
      <c r="R87" s="21" t="str">
        <f aca="false">IF($C87="","",N($L87)+ROW()/1000000)</f>
        <v/>
      </c>
    </row>
    <row r="88" customFormat="false" ht="15" hidden="false" customHeight="false" outlineLevel="0" collapsed="false">
      <c r="A88" s="1"/>
      <c r="B88" s="22" t="str">
        <f aca="false">IF($C88="","",$C88&amp;" · "&amp;$E88&amp;IF($F88=""," "," "&amp;$F88&amp;" ")&amp;"· "&amp;$D88)</f>
        <v/>
      </c>
      <c r="C88" s="23"/>
      <c r="D88" s="24"/>
      <c r="E88" s="24"/>
      <c r="F88" s="23"/>
      <c r="G88" s="23"/>
      <c r="H88" s="25"/>
      <c r="I88" s="26"/>
      <c r="J88" s="27" t="str">
        <f aca="false">IF($C88="","",SUMIFS(Entradas!$D$5:$D$204,Entradas!$C$5:$C$204,$B88))</f>
        <v/>
      </c>
      <c r="K88" s="27" t="str">
        <f aca="false">IF($C88="","",SUMIFS(Ventas!$F$5:$F$504,Ventas!$C$5:$C$504,$B88))</f>
        <v/>
      </c>
      <c r="L88" s="28" t="str">
        <f aca="false">IF($C88="","",N($I88)+N($J88)-N($K88))</f>
        <v/>
      </c>
      <c r="M88" s="29" t="str">
        <f aca="false">IF($C88="","",N($L88)*N($H88))</f>
        <v/>
      </c>
      <c r="N88" s="29" t="str">
        <f aca="false">IF($C88="","",SUMIFS(Ventas!$I$5:$I$504,Ventas!$C$5:$C$504,$B88))</f>
        <v/>
      </c>
      <c r="O88" s="30" t="str">
        <f aca="false">IF($C88="","",IF($L88&lt;0,"REVISAR",IF($L88=0,"AGOTADO",IF($L88&lt;=Config!$M$6,"BAJO","OK"))))</f>
        <v/>
      </c>
      <c r="P88" s="31" t="str">
        <f aca="false">IF($C88="","",IFERROR(INDEX(Config!$E$6:$E$18,MATCH($E88,Config!$D$6:$D$18,0)),""))</f>
        <v/>
      </c>
      <c r="Q88" s="31" t="str">
        <f aca="false">IF($C88="","",N($K88)+ROW()/1000000)</f>
        <v/>
      </c>
      <c r="R88" s="31" t="str">
        <f aca="false">IF($C88="","",N($L88)+ROW()/1000000)</f>
        <v/>
      </c>
    </row>
    <row r="89" customFormat="false" ht="15" hidden="false" customHeight="false" outlineLevel="0" collapsed="false">
      <c r="A89" s="1"/>
      <c r="B89" s="12" t="str">
        <f aca="false">IF($C89="","",$C89&amp;" · "&amp;$E89&amp;IF($F89=""," "," "&amp;$F89&amp;" ")&amp;"· "&amp;$D89)</f>
        <v/>
      </c>
      <c r="C89" s="13"/>
      <c r="D89" s="14"/>
      <c r="E89" s="14"/>
      <c r="F89" s="13"/>
      <c r="G89" s="13"/>
      <c r="H89" s="15"/>
      <c r="I89" s="16"/>
      <c r="J89" s="17" t="str">
        <f aca="false">IF($C89="","",SUMIFS(Entradas!$D$5:$D$204,Entradas!$C$5:$C$204,$B89))</f>
        <v/>
      </c>
      <c r="K89" s="17" t="str">
        <f aca="false">IF($C89="","",SUMIFS(Ventas!$F$5:$F$504,Ventas!$C$5:$C$504,$B89))</f>
        <v/>
      </c>
      <c r="L89" s="18" t="str">
        <f aca="false">IF($C89="","",N($I89)+N($J89)-N($K89))</f>
        <v/>
      </c>
      <c r="M89" s="19" t="str">
        <f aca="false">IF($C89="","",N($L89)*N($H89))</f>
        <v/>
      </c>
      <c r="N89" s="19" t="str">
        <f aca="false">IF($C89="","",SUMIFS(Ventas!$I$5:$I$504,Ventas!$C$5:$C$504,$B89))</f>
        <v/>
      </c>
      <c r="O89" s="20" t="str">
        <f aca="false">IF($C89="","",IF($L89&lt;0,"REVISAR",IF($L89=0,"AGOTADO",IF($L89&lt;=Config!$M$6,"BAJO","OK"))))</f>
        <v/>
      </c>
      <c r="P89" s="21" t="str">
        <f aca="false">IF($C89="","",IFERROR(INDEX(Config!$E$6:$E$18,MATCH($E89,Config!$D$6:$D$18,0)),""))</f>
        <v/>
      </c>
      <c r="Q89" s="21" t="str">
        <f aca="false">IF($C89="","",N($K89)+ROW()/1000000)</f>
        <v/>
      </c>
      <c r="R89" s="21" t="str">
        <f aca="false">IF($C89="","",N($L89)+ROW()/1000000)</f>
        <v/>
      </c>
    </row>
    <row r="90" customFormat="false" ht="15" hidden="false" customHeight="false" outlineLevel="0" collapsed="false">
      <c r="A90" s="1"/>
      <c r="B90" s="22" t="str">
        <f aca="false">IF($C90="","",$C90&amp;" · "&amp;$E90&amp;IF($F90=""," "," "&amp;$F90&amp;" ")&amp;"· "&amp;$D90)</f>
        <v/>
      </c>
      <c r="C90" s="23"/>
      <c r="D90" s="24"/>
      <c r="E90" s="24"/>
      <c r="F90" s="23"/>
      <c r="G90" s="23"/>
      <c r="H90" s="25"/>
      <c r="I90" s="26"/>
      <c r="J90" s="27" t="str">
        <f aca="false">IF($C90="","",SUMIFS(Entradas!$D$5:$D$204,Entradas!$C$5:$C$204,$B90))</f>
        <v/>
      </c>
      <c r="K90" s="27" t="str">
        <f aca="false">IF($C90="","",SUMIFS(Ventas!$F$5:$F$504,Ventas!$C$5:$C$504,$B90))</f>
        <v/>
      </c>
      <c r="L90" s="28" t="str">
        <f aca="false">IF($C90="","",N($I90)+N($J90)-N($K90))</f>
        <v/>
      </c>
      <c r="M90" s="29" t="str">
        <f aca="false">IF($C90="","",N($L90)*N($H90))</f>
        <v/>
      </c>
      <c r="N90" s="29" t="str">
        <f aca="false">IF($C90="","",SUMIFS(Ventas!$I$5:$I$504,Ventas!$C$5:$C$504,$B90))</f>
        <v/>
      </c>
      <c r="O90" s="30" t="str">
        <f aca="false">IF($C90="","",IF($L90&lt;0,"REVISAR",IF($L90=0,"AGOTADO",IF($L90&lt;=Config!$M$6,"BAJO","OK"))))</f>
        <v/>
      </c>
      <c r="P90" s="31" t="str">
        <f aca="false">IF($C90="","",IFERROR(INDEX(Config!$E$6:$E$18,MATCH($E90,Config!$D$6:$D$18,0)),""))</f>
        <v/>
      </c>
      <c r="Q90" s="31" t="str">
        <f aca="false">IF($C90="","",N($K90)+ROW()/1000000)</f>
        <v/>
      </c>
      <c r="R90" s="31" t="str">
        <f aca="false">IF($C90="","",N($L90)+ROW()/1000000)</f>
        <v/>
      </c>
    </row>
    <row r="91" customFormat="false" ht="15" hidden="false" customHeight="false" outlineLevel="0" collapsed="false">
      <c r="A91" s="1"/>
      <c r="B91" s="12" t="str">
        <f aca="false">IF($C91="","",$C91&amp;" · "&amp;$E91&amp;IF($F91=""," "," "&amp;$F91&amp;" ")&amp;"· "&amp;$D91)</f>
        <v/>
      </c>
      <c r="C91" s="13"/>
      <c r="D91" s="14"/>
      <c r="E91" s="14"/>
      <c r="F91" s="13"/>
      <c r="G91" s="13"/>
      <c r="H91" s="15"/>
      <c r="I91" s="16"/>
      <c r="J91" s="17" t="str">
        <f aca="false">IF($C91="","",SUMIFS(Entradas!$D$5:$D$204,Entradas!$C$5:$C$204,$B91))</f>
        <v/>
      </c>
      <c r="K91" s="17" t="str">
        <f aca="false">IF($C91="","",SUMIFS(Ventas!$F$5:$F$504,Ventas!$C$5:$C$504,$B91))</f>
        <v/>
      </c>
      <c r="L91" s="18" t="str">
        <f aca="false">IF($C91="","",N($I91)+N($J91)-N($K91))</f>
        <v/>
      </c>
      <c r="M91" s="19" t="str">
        <f aca="false">IF($C91="","",N($L91)*N($H91))</f>
        <v/>
      </c>
      <c r="N91" s="19" t="str">
        <f aca="false">IF($C91="","",SUMIFS(Ventas!$I$5:$I$504,Ventas!$C$5:$C$504,$B91))</f>
        <v/>
      </c>
      <c r="O91" s="20" t="str">
        <f aca="false">IF($C91="","",IF($L91&lt;0,"REVISAR",IF($L91=0,"AGOTADO",IF($L91&lt;=Config!$M$6,"BAJO","OK"))))</f>
        <v/>
      </c>
      <c r="P91" s="21" t="str">
        <f aca="false">IF($C91="","",IFERROR(INDEX(Config!$E$6:$E$18,MATCH($E91,Config!$D$6:$D$18,0)),""))</f>
        <v/>
      </c>
      <c r="Q91" s="21" t="str">
        <f aca="false">IF($C91="","",N($K91)+ROW()/1000000)</f>
        <v/>
      </c>
      <c r="R91" s="21" t="str">
        <f aca="false">IF($C91="","",N($L91)+ROW()/1000000)</f>
        <v/>
      </c>
    </row>
    <row r="92" customFormat="false" ht="15" hidden="false" customHeight="false" outlineLevel="0" collapsed="false">
      <c r="A92" s="1"/>
      <c r="B92" s="22" t="str">
        <f aca="false">IF($C92="","",$C92&amp;" · "&amp;$E92&amp;IF($F92=""," "," "&amp;$F92&amp;" ")&amp;"· "&amp;$D92)</f>
        <v/>
      </c>
      <c r="C92" s="23"/>
      <c r="D92" s="24"/>
      <c r="E92" s="24"/>
      <c r="F92" s="23"/>
      <c r="G92" s="23"/>
      <c r="H92" s="25"/>
      <c r="I92" s="26"/>
      <c r="J92" s="27" t="str">
        <f aca="false">IF($C92="","",SUMIFS(Entradas!$D$5:$D$204,Entradas!$C$5:$C$204,$B92))</f>
        <v/>
      </c>
      <c r="K92" s="27" t="str">
        <f aca="false">IF($C92="","",SUMIFS(Ventas!$F$5:$F$504,Ventas!$C$5:$C$504,$B92))</f>
        <v/>
      </c>
      <c r="L92" s="28" t="str">
        <f aca="false">IF($C92="","",N($I92)+N($J92)-N($K92))</f>
        <v/>
      </c>
      <c r="M92" s="29" t="str">
        <f aca="false">IF($C92="","",N($L92)*N($H92))</f>
        <v/>
      </c>
      <c r="N92" s="29" t="str">
        <f aca="false">IF($C92="","",SUMIFS(Ventas!$I$5:$I$504,Ventas!$C$5:$C$504,$B92))</f>
        <v/>
      </c>
      <c r="O92" s="30" t="str">
        <f aca="false">IF($C92="","",IF($L92&lt;0,"REVISAR",IF($L92=0,"AGOTADO",IF($L92&lt;=Config!$M$6,"BAJO","OK"))))</f>
        <v/>
      </c>
      <c r="P92" s="31" t="str">
        <f aca="false">IF($C92="","",IFERROR(INDEX(Config!$E$6:$E$18,MATCH($E92,Config!$D$6:$D$18,0)),""))</f>
        <v/>
      </c>
      <c r="Q92" s="31" t="str">
        <f aca="false">IF($C92="","",N($K92)+ROW()/1000000)</f>
        <v/>
      </c>
      <c r="R92" s="31" t="str">
        <f aca="false">IF($C92="","",N($L92)+ROW()/1000000)</f>
        <v/>
      </c>
    </row>
    <row r="93" customFormat="false" ht="15" hidden="false" customHeight="false" outlineLevel="0" collapsed="false">
      <c r="A93" s="1"/>
      <c r="B93" s="12" t="str">
        <f aca="false">IF($C93="","",$C93&amp;" · "&amp;$E93&amp;IF($F93=""," "," "&amp;$F93&amp;" ")&amp;"· "&amp;$D93)</f>
        <v/>
      </c>
      <c r="C93" s="13"/>
      <c r="D93" s="14"/>
      <c r="E93" s="14"/>
      <c r="F93" s="13"/>
      <c r="G93" s="13"/>
      <c r="H93" s="15"/>
      <c r="I93" s="16"/>
      <c r="J93" s="17" t="str">
        <f aca="false">IF($C93="","",SUMIFS(Entradas!$D$5:$D$204,Entradas!$C$5:$C$204,$B93))</f>
        <v/>
      </c>
      <c r="K93" s="17" t="str">
        <f aca="false">IF($C93="","",SUMIFS(Ventas!$F$5:$F$504,Ventas!$C$5:$C$504,$B93))</f>
        <v/>
      </c>
      <c r="L93" s="18" t="str">
        <f aca="false">IF($C93="","",N($I93)+N($J93)-N($K93))</f>
        <v/>
      </c>
      <c r="M93" s="19" t="str">
        <f aca="false">IF($C93="","",N($L93)*N($H93))</f>
        <v/>
      </c>
      <c r="N93" s="19" t="str">
        <f aca="false">IF($C93="","",SUMIFS(Ventas!$I$5:$I$504,Ventas!$C$5:$C$504,$B93))</f>
        <v/>
      </c>
      <c r="O93" s="20" t="str">
        <f aca="false">IF($C93="","",IF($L93&lt;0,"REVISAR",IF($L93=0,"AGOTADO",IF($L93&lt;=Config!$M$6,"BAJO","OK"))))</f>
        <v/>
      </c>
      <c r="P93" s="21" t="str">
        <f aca="false">IF($C93="","",IFERROR(INDEX(Config!$E$6:$E$18,MATCH($E93,Config!$D$6:$D$18,0)),""))</f>
        <v/>
      </c>
      <c r="Q93" s="21" t="str">
        <f aca="false">IF($C93="","",N($K93)+ROW()/1000000)</f>
        <v/>
      </c>
      <c r="R93" s="21" t="str">
        <f aca="false">IF($C93="","",N($L93)+ROW()/1000000)</f>
        <v/>
      </c>
    </row>
    <row r="94" customFormat="false" ht="15" hidden="false" customHeight="false" outlineLevel="0" collapsed="false">
      <c r="A94" s="1"/>
      <c r="B94" s="22" t="str">
        <f aca="false">IF($C94="","",$C94&amp;" · "&amp;$E94&amp;IF($F94=""," "," "&amp;$F94&amp;" ")&amp;"· "&amp;$D94)</f>
        <v/>
      </c>
      <c r="C94" s="23"/>
      <c r="D94" s="24"/>
      <c r="E94" s="24"/>
      <c r="F94" s="23"/>
      <c r="G94" s="23"/>
      <c r="H94" s="25"/>
      <c r="I94" s="26"/>
      <c r="J94" s="27" t="str">
        <f aca="false">IF($C94="","",SUMIFS(Entradas!$D$5:$D$204,Entradas!$C$5:$C$204,$B94))</f>
        <v/>
      </c>
      <c r="K94" s="27" t="str">
        <f aca="false">IF($C94="","",SUMIFS(Ventas!$F$5:$F$504,Ventas!$C$5:$C$504,$B94))</f>
        <v/>
      </c>
      <c r="L94" s="28" t="str">
        <f aca="false">IF($C94="","",N($I94)+N($J94)-N($K94))</f>
        <v/>
      </c>
      <c r="M94" s="29" t="str">
        <f aca="false">IF($C94="","",N($L94)*N($H94))</f>
        <v/>
      </c>
      <c r="N94" s="29" t="str">
        <f aca="false">IF($C94="","",SUMIFS(Ventas!$I$5:$I$504,Ventas!$C$5:$C$504,$B94))</f>
        <v/>
      </c>
      <c r="O94" s="30" t="str">
        <f aca="false">IF($C94="","",IF($L94&lt;0,"REVISAR",IF($L94=0,"AGOTADO",IF($L94&lt;=Config!$M$6,"BAJO","OK"))))</f>
        <v/>
      </c>
      <c r="P94" s="31" t="str">
        <f aca="false">IF($C94="","",IFERROR(INDEX(Config!$E$6:$E$18,MATCH($E94,Config!$D$6:$D$18,0)),""))</f>
        <v/>
      </c>
      <c r="Q94" s="31" t="str">
        <f aca="false">IF($C94="","",N($K94)+ROW()/1000000)</f>
        <v/>
      </c>
      <c r="R94" s="31" t="str">
        <f aca="false">IF($C94="","",N($L94)+ROW()/1000000)</f>
        <v/>
      </c>
    </row>
    <row r="95" customFormat="false" ht="15" hidden="false" customHeight="false" outlineLevel="0" collapsed="false">
      <c r="A95" s="1"/>
      <c r="B95" s="12" t="str">
        <f aca="false">IF($C95="","",$C95&amp;" · "&amp;$E95&amp;IF($F95=""," "," "&amp;$F95&amp;" ")&amp;"· "&amp;$D95)</f>
        <v/>
      </c>
      <c r="C95" s="13"/>
      <c r="D95" s="14"/>
      <c r="E95" s="14"/>
      <c r="F95" s="13"/>
      <c r="G95" s="13"/>
      <c r="H95" s="15"/>
      <c r="I95" s="16"/>
      <c r="J95" s="17" t="str">
        <f aca="false">IF($C95="","",SUMIFS(Entradas!$D$5:$D$204,Entradas!$C$5:$C$204,$B95))</f>
        <v/>
      </c>
      <c r="K95" s="17" t="str">
        <f aca="false">IF($C95="","",SUMIFS(Ventas!$F$5:$F$504,Ventas!$C$5:$C$504,$B95))</f>
        <v/>
      </c>
      <c r="L95" s="18" t="str">
        <f aca="false">IF($C95="","",N($I95)+N($J95)-N($K95))</f>
        <v/>
      </c>
      <c r="M95" s="19" t="str">
        <f aca="false">IF($C95="","",N($L95)*N($H95))</f>
        <v/>
      </c>
      <c r="N95" s="19" t="str">
        <f aca="false">IF($C95="","",SUMIFS(Ventas!$I$5:$I$504,Ventas!$C$5:$C$504,$B95))</f>
        <v/>
      </c>
      <c r="O95" s="20" t="str">
        <f aca="false">IF($C95="","",IF($L95&lt;0,"REVISAR",IF($L95=0,"AGOTADO",IF($L95&lt;=Config!$M$6,"BAJO","OK"))))</f>
        <v/>
      </c>
      <c r="P95" s="21" t="str">
        <f aca="false">IF($C95="","",IFERROR(INDEX(Config!$E$6:$E$18,MATCH($E95,Config!$D$6:$D$18,0)),""))</f>
        <v/>
      </c>
      <c r="Q95" s="21" t="str">
        <f aca="false">IF($C95="","",N($K95)+ROW()/1000000)</f>
        <v/>
      </c>
      <c r="R95" s="21" t="str">
        <f aca="false">IF($C95="","",N($L95)+ROW()/1000000)</f>
        <v/>
      </c>
    </row>
    <row r="96" customFormat="false" ht="15" hidden="false" customHeight="false" outlineLevel="0" collapsed="false">
      <c r="A96" s="1"/>
      <c r="B96" s="22" t="str">
        <f aca="false">IF($C96="","",$C96&amp;" · "&amp;$E96&amp;IF($F96=""," "," "&amp;$F96&amp;" ")&amp;"· "&amp;$D96)</f>
        <v/>
      </c>
      <c r="C96" s="23"/>
      <c r="D96" s="24"/>
      <c r="E96" s="24"/>
      <c r="F96" s="23"/>
      <c r="G96" s="23"/>
      <c r="H96" s="25"/>
      <c r="I96" s="26"/>
      <c r="J96" s="27" t="str">
        <f aca="false">IF($C96="","",SUMIFS(Entradas!$D$5:$D$204,Entradas!$C$5:$C$204,$B96))</f>
        <v/>
      </c>
      <c r="K96" s="27" t="str">
        <f aca="false">IF($C96="","",SUMIFS(Ventas!$F$5:$F$504,Ventas!$C$5:$C$504,$B96))</f>
        <v/>
      </c>
      <c r="L96" s="28" t="str">
        <f aca="false">IF($C96="","",N($I96)+N($J96)-N($K96))</f>
        <v/>
      </c>
      <c r="M96" s="29" t="str">
        <f aca="false">IF($C96="","",N($L96)*N($H96))</f>
        <v/>
      </c>
      <c r="N96" s="29" t="str">
        <f aca="false">IF($C96="","",SUMIFS(Ventas!$I$5:$I$504,Ventas!$C$5:$C$504,$B96))</f>
        <v/>
      </c>
      <c r="O96" s="30" t="str">
        <f aca="false">IF($C96="","",IF($L96&lt;0,"REVISAR",IF($L96=0,"AGOTADO",IF($L96&lt;=Config!$M$6,"BAJO","OK"))))</f>
        <v/>
      </c>
      <c r="P96" s="31" t="str">
        <f aca="false">IF($C96="","",IFERROR(INDEX(Config!$E$6:$E$18,MATCH($E96,Config!$D$6:$D$18,0)),""))</f>
        <v/>
      </c>
      <c r="Q96" s="31" t="str">
        <f aca="false">IF($C96="","",N($K96)+ROW()/1000000)</f>
        <v/>
      </c>
      <c r="R96" s="31" t="str">
        <f aca="false">IF($C96="","",N($L96)+ROW()/1000000)</f>
        <v/>
      </c>
    </row>
    <row r="97" customFormat="false" ht="15" hidden="false" customHeight="false" outlineLevel="0" collapsed="false">
      <c r="A97" s="1"/>
      <c r="B97" s="12" t="str">
        <f aca="false">IF($C97="","",$C97&amp;" · "&amp;$E97&amp;IF($F97=""," "," "&amp;$F97&amp;" ")&amp;"· "&amp;$D97)</f>
        <v/>
      </c>
      <c r="C97" s="13"/>
      <c r="D97" s="14"/>
      <c r="E97" s="14"/>
      <c r="F97" s="13"/>
      <c r="G97" s="13"/>
      <c r="H97" s="15"/>
      <c r="I97" s="16"/>
      <c r="J97" s="17" t="str">
        <f aca="false">IF($C97="","",SUMIFS(Entradas!$D$5:$D$204,Entradas!$C$5:$C$204,$B97))</f>
        <v/>
      </c>
      <c r="K97" s="17" t="str">
        <f aca="false">IF($C97="","",SUMIFS(Ventas!$F$5:$F$504,Ventas!$C$5:$C$504,$B97))</f>
        <v/>
      </c>
      <c r="L97" s="18" t="str">
        <f aca="false">IF($C97="","",N($I97)+N($J97)-N($K97))</f>
        <v/>
      </c>
      <c r="M97" s="19" t="str">
        <f aca="false">IF($C97="","",N($L97)*N($H97))</f>
        <v/>
      </c>
      <c r="N97" s="19" t="str">
        <f aca="false">IF($C97="","",SUMIFS(Ventas!$I$5:$I$504,Ventas!$C$5:$C$504,$B97))</f>
        <v/>
      </c>
      <c r="O97" s="20" t="str">
        <f aca="false">IF($C97="","",IF($L97&lt;0,"REVISAR",IF($L97=0,"AGOTADO",IF($L97&lt;=Config!$M$6,"BAJO","OK"))))</f>
        <v/>
      </c>
      <c r="P97" s="21" t="str">
        <f aca="false">IF($C97="","",IFERROR(INDEX(Config!$E$6:$E$18,MATCH($E97,Config!$D$6:$D$18,0)),""))</f>
        <v/>
      </c>
      <c r="Q97" s="21" t="str">
        <f aca="false">IF($C97="","",N($K97)+ROW()/1000000)</f>
        <v/>
      </c>
      <c r="R97" s="21" t="str">
        <f aca="false">IF($C97="","",N($L97)+ROW()/1000000)</f>
        <v/>
      </c>
    </row>
    <row r="98" customFormat="false" ht="15" hidden="false" customHeight="false" outlineLevel="0" collapsed="false">
      <c r="A98" s="1"/>
      <c r="B98" s="22" t="str">
        <f aca="false">IF($C98="","",$C98&amp;" · "&amp;$E98&amp;IF($F98=""," "," "&amp;$F98&amp;" ")&amp;"· "&amp;$D98)</f>
        <v/>
      </c>
      <c r="C98" s="23"/>
      <c r="D98" s="24"/>
      <c r="E98" s="24"/>
      <c r="F98" s="23"/>
      <c r="G98" s="23"/>
      <c r="H98" s="25"/>
      <c r="I98" s="26"/>
      <c r="J98" s="27" t="str">
        <f aca="false">IF($C98="","",SUMIFS(Entradas!$D$5:$D$204,Entradas!$C$5:$C$204,$B98))</f>
        <v/>
      </c>
      <c r="K98" s="27" t="str">
        <f aca="false">IF($C98="","",SUMIFS(Ventas!$F$5:$F$504,Ventas!$C$5:$C$504,$B98))</f>
        <v/>
      </c>
      <c r="L98" s="28" t="str">
        <f aca="false">IF($C98="","",N($I98)+N($J98)-N($K98))</f>
        <v/>
      </c>
      <c r="M98" s="29" t="str">
        <f aca="false">IF($C98="","",N($L98)*N($H98))</f>
        <v/>
      </c>
      <c r="N98" s="29" t="str">
        <f aca="false">IF($C98="","",SUMIFS(Ventas!$I$5:$I$504,Ventas!$C$5:$C$504,$B98))</f>
        <v/>
      </c>
      <c r="O98" s="30" t="str">
        <f aca="false">IF($C98="","",IF($L98&lt;0,"REVISAR",IF($L98=0,"AGOTADO",IF($L98&lt;=Config!$M$6,"BAJO","OK"))))</f>
        <v/>
      </c>
      <c r="P98" s="31" t="str">
        <f aca="false">IF($C98="","",IFERROR(INDEX(Config!$E$6:$E$18,MATCH($E98,Config!$D$6:$D$18,0)),""))</f>
        <v/>
      </c>
      <c r="Q98" s="31" t="str">
        <f aca="false">IF($C98="","",N($K98)+ROW()/1000000)</f>
        <v/>
      </c>
      <c r="R98" s="31" t="str">
        <f aca="false">IF($C98="","",N($L98)+ROW()/1000000)</f>
        <v/>
      </c>
    </row>
    <row r="99" customFormat="false" ht="15" hidden="false" customHeight="false" outlineLevel="0" collapsed="false">
      <c r="A99" s="1"/>
      <c r="B99" s="12" t="str">
        <f aca="false">IF($C99="","",$C99&amp;" · "&amp;$E99&amp;IF($F99=""," "," "&amp;$F99&amp;" ")&amp;"· "&amp;$D99)</f>
        <v/>
      </c>
      <c r="C99" s="13"/>
      <c r="D99" s="14"/>
      <c r="E99" s="14"/>
      <c r="F99" s="13"/>
      <c r="G99" s="13"/>
      <c r="H99" s="15"/>
      <c r="I99" s="16"/>
      <c r="J99" s="17" t="str">
        <f aca="false">IF($C99="","",SUMIFS(Entradas!$D$5:$D$204,Entradas!$C$5:$C$204,$B99))</f>
        <v/>
      </c>
      <c r="K99" s="17" t="str">
        <f aca="false">IF($C99="","",SUMIFS(Ventas!$F$5:$F$504,Ventas!$C$5:$C$504,$B99))</f>
        <v/>
      </c>
      <c r="L99" s="18" t="str">
        <f aca="false">IF($C99="","",N($I99)+N($J99)-N($K99))</f>
        <v/>
      </c>
      <c r="M99" s="19" t="str">
        <f aca="false">IF($C99="","",N($L99)*N($H99))</f>
        <v/>
      </c>
      <c r="N99" s="19" t="str">
        <f aca="false">IF($C99="","",SUMIFS(Ventas!$I$5:$I$504,Ventas!$C$5:$C$504,$B99))</f>
        <v/>
      </c>
      <c r="O99" s="20" t="str">
        <f aca="false">IF($C99="","",IF($L99&lt;0,"REVISAR",IF($L99=0,"AGOTADO",IF($L99&lt;=Config!$M$6,"BAJO","OK"))))</f>
        <v/>
      </c>
      <c r="P99" s="21" t="str">
        <f aca="false">IF($C99="","",IFERROR(INDEX(Config!$E$6:$E$18,MATCH($E99,Config!$D$6:$D$18,0)),""))</f>
        <v/>
      </c>
      <c r="Q99" s="21" t="str">
        <f aca="false">IF($C99="","",N($K99)+ROW()/1000000)</f>
        <v/>
      </c>
      <c r="R99" s="21" t="str">
        <f aca="false">IF($C99="","",N($L99)+ROW()/1000000)</f>
        <v/>
      </c>
    </row>
    <row r="100" customFormat="false" ht="15" hidden="false" customHeight="false" outlineLevel="0" collapsed="false">
      <c r="A100" s="1"/>
      <c r="B100" s="22" t="str">
        <f aca="false">IF($C100="","",$C100&amp;" · "&amp;$E100&amp;IF($F100=""," "," "&amp;$F100&amp;" ")&amp;"· "&amp;$D100)</f>
        <v/>
      </c>
      <c r="C100" s="23"/>
      <c r="D100" s="24"/>
      <c r="E100" s="24"/>
      <c r="F100" s="23"/>
      <c r="G100" s="23"/>
      <c r="H100" s="25"/>
      <c r="I100" s="26"/>
      <c r="J100" s="27" t="str">
        <f aca="false">IF($C100="","",SUMIFS(Entradas!$D$5:$D$204,Entradas!$C$5:$C$204,$B100))</f>
        <v/>
      </c>
      <c r="K100" s="27" t="str">
        <f aca="false">IF($C100="","",SUMIFS(Ventas!$F$5:$F$504,Ventas!$C$5:$C$504,$B100))</f>
        <v/>
      </c>
      <c r="L100" s="28" t="str">
        <f aca="false">IF($C100="","",N($I100)+N($J100)-N($K100))</f>
        <v/>
      </c>
      <c r="M100" s="29" t="str">
        <f aca="false">IF($C100="","",N($L100)*N($H100))</f>
        <v/>
      </c>
      <c r="N100" s="29" t="str">
        <f aca="false">IF($C100="","",SUMIFS(Ventas!$I$5:$I$504,Ventas!$C$5:$C$504,$B100))</f>
        <v/>
      </c>
      <c r="O100" s="30" t="str">
        <f aca="false">IF($C100="","",IF($L100&lt;0,"REVISAR",IF($L100=0,"AGOTADO",IF($L100&lt;=Config!$M$6,"BAJO","OK"))))</f>
        <v/>
      </c>
      <c r="P100" s="31" t="str">
        <f aca="false">IF($C100="","",IFERROR(INDEX(Config!$E$6:$E$18,MATCH($E100,Config!$D$6:$D$18,0)),""))</f>
        <v/>
      </c>
      <c r="Q100" s="31" t="str">
        <f aca="false">IF($C100="","",N($K100)+ROW()/1000000)</f>
        <v/>
      </c>
      <c r="R100" s="31" t="str">
        <f aca="false">IF($C100="","",N($L100)+ROW()/1000000)</f>
        <v/>
      </c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customFormat="false" ht="15" hidden="false" customHeight="false" outlineLevel="0" collapsed="false">
      <c r="A102" s="1"/>
      <c r="B102" s="33" t="s">
        <v>146</v>
      </c>
      <c r="C102" s="34"/>
      <c r="D102" s="34"/>
      <c r="E102" s="34"/>
      <c r="F102" s="34"/>
      <c r="G102" s="34"/>
      <c r="H102" s="34"/>
      <c r="I102" s="35" t="n">
        <f aca="false">SUM(I5:I100)</f>
        <v>513</v>
      </c>
      <c r="J102" s="35" t="n">
        <f aca="false">SUM(J5:J100)</f>
        <v>0</v>
      </c>
      <c r="K102" s="35" t="n">
        <f aca="false">SUM(K5:K100)</f>
        <v>0</v>
      </c>
      <c r="L102" s="35" t="n">
        <f aca="false">SUM(L5:L100)</f>
        <v>513</v>
      </c>
      <c r="M102" s="36" t="n">
        <f aca="false">SUM(M5:M100)</f>
        <v>48700000</v>
      </c>
      <c r="N102" s="36" t="n">
        <f aca="false">SUM(N5:N100)</f>
        <v>0</v>
      </c>
      <c r="O102" s="34"/>
      <c r="P102" s="34"/>
      <c r="Q102" s="34"/>
      <c r="R102" s="34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customFormat="false" ht="15" hidden="false" customHeight="false" outlineLevel="0" collapsed="false">
      <c r="A104" s="1"/>
      <c r="B104" s="3" t="s">
        <v>147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customFormat="false" ht="15" hidden="false" customHeight="false" outlineLevel="0" collapsed="false">
      <c r="A105" s="1"/>
      <c r="B105" s="3" t="s">
        <v>148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customFormat="false" ht="15" hidden="false" customHeight="false" outlineLevel="0" collapsed="false">
      <c r="A106" s="1"/>
      <c r="B106" s="3" t="s">
        <v>149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customFormat="false" ht="15" hidden="false" customHeight="false" outlineLevel="0" collapsed="false">
      <c r="A107" s="1"/>
      <c r="B107" s="3" t="s">
        <v>150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customFormat="false" ht="15" hidden="false" customHeight="false" outlineLevel="0" collapsed="false">
      <c r="A108" s="1"/>
      <c r="B108" s="3" t="s">
        <v>151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customFormat="false" ht="15" hidden="false" customHeight="false" outlineLevel="0" collapsed="false">
      <c r="A109" s="1"/>
      <c r="B109" s="3" t="s">
        <v>152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</sheetData>
  <autoFilter ref="B4:P100"/>
  <conditionalFormatting sqref="O5:O100">
    <cfRule type="expression" priority="2" aboveAverage="0" equalAverage="0" bottom="0" percent="0" rank="0" text="" dxfId="9">
      <formula>$O5="AGOTADO"</formula>
    </cfRule>
    <cfRule type="expression" priority="3" aboveAverage="0" equalAverage="0" bottom="0" percent="0" rank="0" text="" dxfId="10">
      <formula>$O5="BAJO"</formula>
    </cfRule>
    <cfRule type="expression" priority="4" aboveAverage="0" equalAverage="0" bottom="0" percent="0" rank="0" text="" dxfId="11">
      <formula>$O5="REVISAR"</formula>
    </cfRule>
    <cfRule type="expression" priority="5" aboveAverage="0" equalAverage="0" bottom="0" percent="0" rank="0" text="" dxfId="12">
      <formula>$O5="OK"</formula>
    </cfRule>
  </conditionalFormatting>
  <conditionalFormatting sqref="L5:L100">
    <cfRule type="cellIs" priority="6" operator="lessThan" aboveAverage="0" equalAverage="0" bottom="0" percent="0" rank="0" text="" dxfId="13">
      <formula>0</formula>
    </cfRule>
  </conditionalFormatting>
  <dataValidations count="2">
    <dataValidation allowBlank="true" error="Elige una colección de la lista. Se administran en la hoja Config." errorStyle="stop" errorTitle="Colección no válida" operator="between" showDropDown="false" showErrorMessage="false" showInputMessage="false" sqref="D5:D100" type="list">
      <formula1>Config!$B$6:$B$25</formula1>
      <formula2>0</formula2>
    </dataValidation>
    <dataValidation allowBlank="true" error="Elige: Mini, Pequeño, Mediano, Grande o Único." errorStyle="stop" errorTitle="Tamaño no válido" operator="between" showDropDown="false" showErrorMessage="false" showInputMessage="false" sqref="E5:E100" type="list">
      <formula1>Config!$D$6:$D$18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26"/>
    <col collapsed="false" customWidth="true" hidden="false" outlineLevel="0" max="12" min="12" style="0" width="20"/>
  </cols>
  <sheetData>
    <row r="1" customFormat="false" ht="24" hidden="false" customHeight="true" outlineLevel="0" collapsed="false">
      <c r="A1" s="1"/>
      <c r="B1" s="2" t="s">
        <v>153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3" t="s">
        <v>154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1.5" hidden="false" customHeight="true" outlineLevel="0" collapsed="false">
      <c r="A4" s="1"/>
      <c r="B4" s="11" t="s">
        <v>155</v>
      </c>
      <c r="C4" s="11" t="s">
        <v>156</v>
      </c>
      <c r="D4" s="11" t="s">
        <v>34</v>
      </c>
      <c r="E4" s="11" t="s">
        <v>35</v>
      </c>
      <c r="F4" s="11" t="s">
        <v>157</v>
      </c>
      <c r="G4" s="11" t="s">
        <v>38</v>
      </c>
      <c r="H4" s="11" t="s">
        <v>158</v>
      </c>
      <c r="I4" s="11" t="s">
        <v>159</v>
      </c>
      <c r="J4" s="11" t="s">
        <v>160</v>
      </c>
      <c r="K4" s="11" t="s">
        <v>161</v>
      </c>
      <c r="L4" s="11" t="s">
        <v>162</v>
      </c>
    </row>
    <row r="5" customFormat="false" ht="15" hidden="false" customHeight="false" outlineLevel="0" collapsed="false">
      <c r="A5" s="1"/>
      <c r="B5" s="37"/>
      <c r="C5" s="13"/>
      <c r="D5" s="21" t="str">
        <f aca="false">IF($C5="","",IFERROR(INDEX(Inventario!$D$5:$D$100,MATCH($C5,Inventario!$B$5:$B$100,0)),"No está en Inventario"))</f>
        <v/>
      </c>
      <c r="E5" s="21" t="str">
        <f aca="false">IF($C5="","",IFERROR(INDEX(Inventario!$E$5:$E$100,MATCH($C5,Inventario!$B$5:$B$100,0)),"No está en Inventario"))</f>
        <v/>
      </c>
      <c r="F5" s="16"/>
      <c r="G5" s="38" t="str">
        <f aca="false">IF($C5="","",IFERROR(INDEX(Inventario!$H$5:$H$100,MATCH($C5,Inventario!$B$5:$B$100,0)),"No está en Inventario"))</f>
        <v/>
      </c>
      <c r="H5" s="39"/>
      <c r="I5" s="40" t="str">
        <f aca="false">IF(OR($C5="",$F5=""),"",N($F5)*N($G5)*(1-N($H5)))</f>
        <v/>
      </c>
      <c r="J5" s="14"/>
      <c r="K5" s="13"/>
      <c r="L5" s="20" t="str">
        <f aca="false">IF($C5="","",IFERROR(IF(INDEX(Inventario!$L$5:$L$100,MATCH($C5,Inventario!$B$5:$B$100,0))&lt;0,"Stock negativo: revisa","OK"),"No está en Inventario"))</f>
        <v/>
      </c>
    </row>
    <row r="6" customFormat="false" ht="15" hidden="false" customHeight="false" outlineLevel="0" collapsed="false">
      <c r="A6" s="1"/>
      <c r="B6" s="41"/>
      <c r="C6" s="23"/>
      <c r="D6" s="31" t="str">
        <f aca="false">IF($C6="","",IFERROR(INDEX(Inventario!$D$5:$D$100,MATCH($C6,Inventario!$B$5:$B$100,0)),"No está en Inventario"))</f>
        <v/>
      </c>
      <c r="E6" s="31" t="str">
        <f aca="false">IF($C6="","",IFERROR(INDEX(Inventario!$E$5:$E$100,MATCH($C6,Inventario!$B$5:$B$100,0)),"No está en Inventario"))</f>
        <v/>
      </c>
      <c r="F6" s="26"/>
      <c r="G6" s="42" t="str">
        <f aca="false">IF($C6="","",IFERROR(INDEX(Inventario!$H$5:$H$100,MATCH($C6,Inventario!$B$5:$B$100,0)),"No está en Inventario"))</f>
        <v/>
      </c>
      <c r="H6" s="43"/>
      <c r="I6" s="44" t="str">
        <f aca="false">IF(OR($C6="",$F6=""),"",N($F6)*N($G6)*(1-N($H6)))</f>
        <v/>
      </c>
      <c r="J6" s="24"/>
      <c r="K6" s="23"/>
      <c r="L6" s="30" t="str">
        <f aca="false">IF($C6="","",IFERROR(IF(INDEX(Inventario!$L$5:$L$100,MATCH($C6,Inventario!$B$5:$B$100,0))&lt;0,"Stock negativo: revisa","OK"),"No está en Inventario"))</f>
        <v/>
      </c>
    </row>
    <row r="7" customFormat="false" ht="15" hidden="false" customHeight="false" outlineLevel="0" collapsed="false">
      <c r="A7" s="1"/>
      <c r="B7" s="37"/>
      <c r="C7" s="13"/>
      <c r="D7" s="21" t="str">
        <f aca="false">IF($C7="","",IFERROR(INDEX(Inventario!$D$5:$D$100,MATCH($C7,Inventario!$B$5:$B$100,0)),"No está en Inventario"))</f>
        <v/>
      </c>
      <c r="E7" s="21" t="str">
        <f aca="false">IF($C7="","",IFERROR(INDEX(Inventario!$E$5:$E$100,MATCH($C7,Inventario!$B$5:$B$100,0)),"No está en Inventario"))</f>
        <v/>
      </c>
      <c r="F7" s="16"/>
      <c r="G7" s="38" t="str">
        <f aca="false">IF($C7="","",IFERROR(INDEX(Inventario!$H$5:$H$100,MATCH($C7,Inventario!$B$5:$B$100,0)),"No está en Inventario"))</f>
        <v/>
      </c>
      <c r="H7" s="39"/>
      <c r="I7" s="40" t="str">
        <f aca="false">IF(OR($C7="",$F7=""),"",N($F7)*N($G7)*(1-N($H7)))</f>
        <v/>
      </c>
      <c r="J7" s="14"/>
      <c r="K7" s="13"/>
      <c r="L7" s="20" t="str">
        <f aca="false">IF($C7="","",IFERROR(IF(INDEX(Inventario!$L$5:$L$100,MATCH($C7,Inventario!$B$5:$B$100,0))&lt;0,"Stock negativo: revisa","OK"),"No está en Inventario"))</f>
        <v/>
      </c>
    </row>
    <row r="8" customFormat="false" ht="15" hidden="false" customHeight="false" outlineLevel="0" collapsed="false">
      <c r="A8" s="1"/>
      <c r="B8" s="41"/>
      <c r="C8" s="23"/>
      <c r="D8" s="31" t="str">
        <f aca="false">IF($C8="","",IFERROR(INDEX(Inventario!$D$5:$D$100,MATCH($C8,Inventario!$B$5:$B$100,0)),"No está en Inventario"))</f>
        <v/>
      </c>
      <c r="E8" s="31" t="str">
        <f aca="false">IF($C8="","",IFERROR(INDEX(Inventario!$E$5:$E$100,MATCH($C8,Inventario!$B$5:$B$100,0)),"No está en Inventario"))</f>
        <v/>
      </c>
      <c r="F8" s="26"/>
      <c r="G8" s="42" t="str">
        <f aca="false">IF($C8="","",IFERROR(INDEX(Inventario!$H$5:$H$100,MATCH($C8,Inventario!$B$5:$B$100,0)),"No está en Inventario"))</f>
        <v/>
      </c>
      <c r="H8" s="43"/>
      <c r="I8" s="44" t="str">
        <f aca="false">IF(OR($C8="",$F8=""),"",N($F8)*N($G8)*(1-N($H8)))</f>
        <v/>
      </c>
      <c r="J8" s="24"/>
      <c r="K8" s="23"/>
      <c r="L8" s="30" t="str">
        <f aca="false">IF($C8="","",IFERROR(IF(INDEX(Inventario!$L$5:$L$100,MATCH($C8,Inventario!$B$5:$B$100,0))&lt;0,"Stock negativo: revisa","OK"),"No está en Inventario"))</f>
        <v/>
      </c>
    </row>
    <row r="9" customFormat="false" ht="15" hidden="false" customHeight="false" outlineLevel="0" collapsed="false">
      <c r="A9" s="1"/>
      <c r="B9" s="37"/>
      <c r="C9" s="13"/>
      <c r="D9" s="21" t="str">
        <f aca="false">IF($C9="","",IFERROR(INDEX(Inventario!$D$5:$D$100,MATCH($C9,Inventario!$B$5:$B$100,0)),"No está en Inventario"))</f>
        <v/>
      </c>
      <c r="E9" s="21" t="str">
        <f aca="false">IF($C9="","",IFERROR(INDEX(Inventario!$E$5:$E$100,MATCH($C9,Inventario!$B$5:$B$100,0)),"No está en Inventario"))</f>
        <v/>
      </c>
      <c r="F9" s="16"/>
      <c r="G9" s="38" t="str">
        <f aca="false">IF($C9="","",IFERROR(INDEX(Inventario!$H$5:$H$100,MATCH($C9,Inventario!$B$5:$B$100,0)),"No está en Inventario"))</f>
        <v/>
      </c>
      <c r="H9" s="39"/>
      <c r="I9" s="40" t="str">
        <f aca="false">IF(OR($C9="",$F9=""),"",N($F9)*N($G9)*(1-N($H9)))</f>
        <v/>
      </c>
      <c r="J9" s="14"/>
      <c r="K9" s="13"/>
      <c r="L9" s="20" t="str">
        <f aca="false">IF($C9="","",IFERROR(IF(INDEX(Inventario!$L$5:$L$100,MATCH($C9,Inventario!$B$5:$B$100,0))&lt;0,"Stock negativo: revisa","OK"),"No está en Inventario"))</f>
        <v/>
      </c>
    </row>
    <row r="10" customFormat="false" ht="15" hidden="false" customHeight="false" outlineLevel="0" collapsed="false">
      <c r="A10" s="1"/>
      <c r="B10" s="41"/>
      <c r="C10" s="23"/>
      <c r="D10" s="31" t="str">
        <f aca="false">IF($C10="","",IFERROR(INDEX(Inventario!$D$5:$D$100,MATCH($C10,Inventario!$B$5:$B$100,0)),"No está en Inventario"))</f>
        <v/>
      </c>
      <c r="E10" s="31" t="str">
        <f aca="false">IF($C10="","",IFERROR(INDEX(Inventario!$E$5:$E$100,MATCH($C10,Inventario!$B$5:$B$100,0)),"No está en Inventario"))</f>
        <v/>
      </c>
      <c r="F10" s="26"/>
      <c r="G10" s="42" t="str">
        <f aca="false">IF($C10="","",IFERROR(INDEX(Inventario!$H$5:$H$100,MATCH($C10,Inventario!$B$5:$B$100,0)),"No está en Inventario"))</f>
        <v/>
      </c>
      <c r="H10" s="43"/>
      <c r="I10" s="44" t="str">
        <f aca="false">IF(OR($C10="",$F10=""),"",N($F10)*N($G10)*(1-N($H10)))</f>
        <v/>
      </c>
      <c r="J10" s="24"/>
      <c r="K10" s="23"/>
      <c r="L10" s="30" t="str">
        <f aca="false">IF($C10="","",IFERROR(IF(INDEX(Inventario!$L$5:$L$100,MATCH($C10,Inventario!$B$5:$B$100,0))&lt;0,"Stock negativo: revisa","OK"),"No está en Inventario"))</f>
        <v/>
      </c>
    </row>
    <row r="11" customFormat="false" ht="15" hidden="false" customHeight="false" outlineLevel="0" collapsed="false">
      <c r="A11" s="1"/>
      <c r="B11" s="37"/>
      <c r="C11" s="13"/>
      <c r="D11" s="21" t="str">
        <f aca="false">IF($C11="","",IFERROR(INDEX(Inventario!$D$5:$D$100,MATCH($C11,Inventario!$B$5:$B$100,0)),"No está en Inventario"))</f>
        <v/>
      </c>
      <c r="E11" s="21" t="str">
        <f aca="false">IF($C11="","",IFERROR(INDEX(Inventario!$E$5:$E$100,MATCH($C11,Inventario!$B$5:$B$100,0)),"No está en Inventario"))</f>
        <v/>
      </c>
      <c r="F11" s="16"/>
      <c r="G11" s="38" t="str">
        <f aca="false">IF($C11="","",IFERROR(INDEX(Inventario!$H$5:$H$100,MATCH($C11,Inventario!$B$5:$B$100,0)),"No está en Inventario"))</f>
        <v/>
      </c>
      <c r="H11" s="39"/>
      <c r="I11" s="40" t="str">
        <f aca="false">IF(OR($C11="",$F11=""),"",N($F11)*N($G11)*(1-N($H11)))</f>
        <v/>
      </c>
      <c r="J11" s="14"/>
      <c r="K11" s="13"/>
      <c r="L11" s="20" t="str">
        <f aca="false">IF($C11="","",IFERROR(IF(INDEX(Inventario!$L$5:$L$100,MATCH($C11,Inventario!$B$5:$B$100,0))&lt;0,"Stock negativo: revisa","OK"),"No está en Inventario"))</f>
        <v/>
      </c>
    </row>
    <row r="12" customFormat="false" ht="15" hidden="false" customHeight="false" outlineLevel="0" collapsed="false">
      <c r="A12" s="1"/>
      <c r="B12" s="41"/>
      <c r="C12" s="23"/>
      <c r="D12" s="31" t="str">
        <f aca="false">IF($C12="","",IFERROR(INDEX(Inventario!$D$5:$D$100,MATCH($C12,Inventario!$B$5:$B$100,0)),"No está en Inventario"))</f>
        <v/>
      </c>
      <c r="E12" s="31" t="str">
        <f aca="false">IF($C12="","",IFERROR(INDEX(Inventario!$E$5:$E$100,MATCH($C12,Inventario!$B$5:$B$100,0)),"No está en Inventario"))</f>
        <v/>
      </c>
      <c r="F12" s="26"/>
      <c r="G12" s="42" t="str">
        <f aca="false">IF($C12="","",IFERROR(INDEX(Inventario!$H$5:$H$100,MATCH($C12,Inventario!$B$5:$B$100,0)),"No está en Inventario"))</f>
        <v/>
      </c>
      <c r="H12" s="43"/>
      <c r="I12" s="44" t="str">
        <f aca="false">IF(OR($C12="",$F12=""),"",N($F12)*N($G12)*(1-N($H12)))</f>
        <v/>
      </c>
      <c r="J12" s="24"/>
      <c r="K12" s="23"/>
      <c r="L12" s="30" t="str">
        <f aca="false">IF($C12="","",IFERROR(IF(INDEX(Inventario!$L$5:$L$100,MATCH($C12,Inventario!$B$5:$B$100,0))&lt;0,"Stock negativo: revisa","OK"),"No está en Inventario"))</f>
        <v/>
      </c>
    </row>
    <row r="13" customFormat="false" ht="15" hidden="false" customHeight="false" outlineLevel="0" collapsed="false">
      <c r="A13" s="1"/>
      <c r="B13" s="37"/>
      <c r="C13" s="13"/>
      <c r="D13" s="21" t="str">
        <f aca="false">IF($C13="","",IFERROR(INDEX(Inventario!$D$5:$D$100,MATCH($C13,Inventario!$B$5:$B$100,0)),"No está en Inventario"))</f>
        <v/>
      </c>
      <c r="E13" s="21" t="str">
        <f aca="false">IF($C13="","",IFERROR(INDEX(Inventario!$E$5:$E$100,MATCH($C13,Inventario!$B$5:$B$100,0)),"No está en Inventario"))</f>
        <v/>
      </c>
      <c r="F13" s="16"/>
      <c r="G13" s="38" t="str">
        <f aca="false">IF($C13="","",IFERROR(INDEX(Inventario!$H$5:$H$100,MATCH($C13,Inventario!$B$5:$B$100,0)),"No está en Inventario"))</f>
        <v/>
      </c>
      <c r="H13" s="39"/>
      <c r="I13" s="40" t="str">
        <f aca="false">IF(OR($C13="",$F13=""),"",N($F13)*N($G13)*(1-N($H13)))</f>
        <v/>
      </c>
      <c r="J13" s="14"/>
      <c r="K13" s="13"/>
      <c r="L13" s="20" t="str">
        <f aca="false">IF($C13="","",IFERROR(IF(INDEX(Inventario!$L$5:$L$100,MATCH($C13,Inventario!$B$5:$B$100,0))&lt;0,"Stock negativo: revisa","OK"),"No está en Inventario"))</f>
        <v/>
      </c>
    </row>
    <row r="14" customFormat="false" ht="15" hidden="false" customHeight="false" outlineLevel="0" collapsed="false">
      <c r="A14" s="1"/>
      <c r="B14" s="41"/>
      <c r="C14" s="23"/>
      <c r="D14" s="31" t="str">
        <f aca="false">IF($C14="","",IFERROR(INDEX(Inventario!$D$5:$D$100,MATCH($C14,Inventario!$B$5:$B$100,0)),"No está en Inventario"))</f>
        <v/>
      </c>
      <c r="E14" s="31" t="str">
        <f aca="false">IF($C14="","",IFERROR(INDEX(Inventario!$E$5:$E$100,MATCH($C14,Inventario!$B$5:$B$100,0)),"No está en Inventario"))</f>
        <v/>
      </c>
      <c r="F14" s="26"/>
      <c r="G14" s="42" t="str">
        <f aca="false">IF($C14="","",IFERROR(INDEX(Inventario!$H$5:$H$100,MATCH($C14,Inventario!$B$5:$B$100,0)),"No está en Inventario"))</f>
        <v/>
      </c>
      <c r="H14" s="43"/>
      <c r="I14" s="44" t="str">
        <f aca="false">IF(OR($C14="",$F14=""),"",N($F14)*N($G14)*(1-N($H14)))</f>
        <v/>
      </c>
      <c r="J14" s="24"/>
      <c r="K14" s="23"/>
      <c r="L14" s="30" t="str">
        <f aca="false">IF($C14="","",IFERROR(IF(INDEX(Inventario!$L$5:$L$100,MATCH($C14,Inventario!$B$5:$B$100,0))&lt;0,"Stock negativo: revisa","OK"),"No está en Inventario"))</f>
        <v/>
      </c>
    </row>
    <row r="15" customFormat="false" ht="15" hidden="false" customHeight="false" outlineLevel="0" collapsed="false">
      <c r="A15" s="1"/>
      <c r="B15" s="37"/>
      <c r="C15" s="13"/>
      <c r="D15" s="21" t="str">
        <f aca="false">IF($C15="","",IFERROR(INDEX(Inventario!$D$5:$D$100,MATCH($C15,Inventario!$B$5:$B$100,0)),"No está en Inventario"))</f>
        <v/>
      </c>
      <c r="E15" s="21" t="str">
        <f aca="false">IF($C15="","",IFERROR(INDEX(Inventario!$E$5:$E$100,MATCH($C15,Inventario!$B$5:$B$100,0)),"No está en Inventario"))</f>
        <v/>
      </c>
      <c r="F15" s="16"/>
      <c r="G15" s="38" t="str">
        <f aca="false">IF($C15="","",IFERROR(INDEX(Inventario!$H$5:$H$100,MATCH($C15,Inventario!$B$5:$B$100,0)),"No está en Inventario"))</f>
        <v/>
      </c>
      <c r="H15" s="39"/>
      <c r="I15" s="40" t="str">
        <f aca="false">IF(OR($C15="",$F15=""),"",N($F15)*N($G15)*(1-N($H15)))</f>
        <v/>
      </c>
      <c r="J15" s="14"/>
      <c r="K15" s="13"/>
      <c r="L15" s="20" t="str">
        <f aca="false">IF($C15="","",IFERROR(IF(INDEX(Inventario!$L$5:$L$100,MATCH($C15,Inventario!$B$5:$B$100,0))&lt;0,"Stock negativo: revisa","OK"),"No está en Inventario"))</f>
        <v/>
      </c>
    </row>
    <row r="16" customFormat="false" ht="15" hidden="false" customHeight="false" outlineLevel="0" collapsed="false">
      <c r="A16" s="1"/>
      <c r="B16" s="41"/>
      <c r="C16" s="23"/>
      <c r="D16" s="31" t="str">
        <f aca="false">IF($C16="","",IFERROR(INDEX(Inventario!$D$5:$D$100,MATCH($C16,Inventario!$B$5:$B$100,0)),"No está en Inventario"))</f>
        <v/>
      </c>
      <c r="E16" s="31" t="str">
        <f aca="false">IF($C16="","",IFERROR(INDEX(Inventario!$E$5:$E$100,MATCH($C16,Inventario!$B$5:$B$100,0)),"No está en Inventario"))</f>
        <v/>
      </c>
      <c r="F16" s="26"/>
      <c r="G16" s="42" t="str">
        <f aca="false">IF($C16="","",IFERROR(INDEX(Inventario!$H$5:$H$100,MATCH($C16,Inventario!$B$5:$B$100,0)),"No está en Inventario"))</f>
        <v/>
      </c>
      <c r="H16" s="43"/>
      <c r="I16" s="44" t="str">
        <f aca="false">IF(OR($C16="",$F16=""),"",N($F16)*N($G16)*(1-N($H16)))</f>
        <v/>
      </c>
      <c r="J16" s="24"/>
      <c r="K16" s="23"/>
      <c r="L16" s="30" t="str">
        <f aca="false">IF($C16="","",IFERROR(IF(INDEX(Inventario!$L$5:$L$100,MATCH($C16,Inventario!$B$5:$B$100,0))&lt;0,"Stock negativo: revisa","OK"),"No está en Inventario"))</f>
        <v/>
      </c>
    </row>
    <row r="17" customFormat="false" ht="15" hidden="false" customHeight="false" outlineLevel="0" collapsed="false">
      <c r="A17" s="1"/>
      <c r="B17" s="37"/>
      <c r="C17" s="13"/>
      <c r="D17" s="21" t="str">
        <f aca="false">IF($C17="","",IFERROR(INDEX(Inventario!$D$5:$D$100,MATCH($C17,Inventario!$B$5:$B$100,0)),"No está en Inventario"))</f>
        <v/>
      </c>
      <c r="E17" s="21" t="str">
        <f aca="false">IF($C17="","",IFERROR(INDEX(Inventario!$E$5:$E$100,MATCH($C17,Inventario!$B$5:$B$100,0)),"No está en Inventario"))</f>
        <v/>
      </c>
      <c r="F17" s="16"/>
      <c r="G17" s="38" t="str">
        <f aca="false">IF($C17="","",IFERROR(INDEX(Inventario!$H$5:$H$100,MATCH($C17,Inventario!$B$5:$B$100,0)),"No está en Inventario"))</f>
        <v/>
      </c>
      <c r="H17" s="39"/>
      <c r="I17" s="40" t="str">
        <f aca="false">IF(OR($C17="",$F17=""),"",N($F17)*N($G17)*(1-N($H17)))</f>
        <v/>
      </c>
      <c r="J17" s="14"/>
      <c r="K17" s="13"/>
      <c r="L17" s="20" t="str">
        <f aca="false">IF($C17="","",IFERROR(IF(INDEX(Inventario!$L$5:$L$100,MATCH($C17,Inventario!$B$5:$B$100,0))&lt;0,"Stock negativo: revisa","OK"),"No está en Inventario"))</f>
        <v/>
      </c>
    </row>
    <row r="18" customFormat="false" ht="15" hidden="false" customHeight="false" outlineLevel="0" collapsed="false">
      <c r="A18" s="1"/>
      <c r="B18" s="41"/>
      <c r="C18" s="23"/>
      <c r="D18" s="31" t="str">
        <f aca="false">IF($C18="","",IFERROR(INDEX(Inventario!$D$5:$D$100,MATCH($C18,Inventario!$B$5:$B$100,0)),"No está en Inventario"))</f>
        <v/>
      </c>
      <c r="E18" s="31" t="str">
        <f aca="false">IF($C18="","",IFERROR(INDEX(Inventario!$E$5:$E$100,MATCH($C18,Inventario!$B$5:$B$100,0)),"No está en Inventario"))</f>
        <v/>
      </c>
      <c r="F18" s="26"/>
      <c r="G18" s="42" t="str">
        <f aca="false">IF($C18="","",IFERROR(INDEX(Inventario!$H$5:$H$100,MATCH($C18,Inventario!$B$5:$B$100,0)),"No está en Inventario"))</f>
        <v/>
      </c>
      <c r="H18" s="43"/>
      <c r="I18" s="44" t="str">
        <f aca="false">IF(OR($C18="",$F18=""),"",N($F18)*N($G18)*(1-N($H18)))</f>
        <v/>
      </c>
      <c r="J18" s="24"/>
      <c r="K18" s="23"/>
      <c r="L18" s="30" t="str">
        <f aca="false">IF($C18="","",IFERROR(IF(INDEX(Inventario!$L$5:$L$100,MATCH($C18,Inventario!$B$5:$B$100,0))&lt;0,"Stock negativo: revisa","OK"),"No está en Inventario"))</f>
        <v/>
      </c>
    </row>
    <row r="19" customFormat="false" ht="15" hidden="false" customHeight="false" outlineLevel="0" collapsed="false">
      <c r="A19" s="1"/>
      <c r="B19" s="37"/>
      <c r="C19" s="13"/>
      <c r="D19" s="21" t="str">
        <f aca="false">IF($C19="","",IFERROR(INDEX(Inventario!$D$5:$D$100,MATCH($C19,Inventario!$B$5:$B$100,0)),"No está en Inventario"))</f>
        <v/>
      </c>
      <c r="E19" s="21" t="str">
        <f aca="false">IF($C19="","",IFERROR(INDEX(Inventario!$E$5:$E$100,MATCH($C19,Inventario!$B$5:$B$100,0)),"No está en Inventario"))</f>
        <v/>
      </c>
      <c r="F19" s="16"/>
      <c r="G19" s="38" t="str">
        <f aca="false">IF($C19="","",IFERROR(INDEX(Inventario!$H$5:$H$100,MATCH($C19,Inventario!$B$5:$B$100,0)),"No está en Inventario"))</f>
        <v/>
      </c>
      <c r="H19" s="39"/>
      <c r="I19" s="40" t="str">
        <f aca="false">IF(OR($C19="",$F19=""),"",N($F19)*N($G19)*(1-N($H19)))</f>
        <v/>
      </c>
      <c r="J19" s="14"/>
      <c r="K19" s="13"/>
      <c r="L19" s="20" t="str">
        <f aca="false">IF($C19="","",IFERROR(IF(INDEX(Inventario!$L$5:$L$100,MATCH($C19,Inventario!$B$5:$B$100,0))&lt;0,"Stock negativo: revisa","OK"),"No está en Inventario"))</f>
        <v/>
      </c>
    </row>
    <row r="20" customFormat="false" ht="15" hidden="false" customHeight="false" outlineLevel="0" collapsed="false">
      <c r="A20" s="1"/>
      <c r="B20" s="41"/>
      <c r="C20" s="23"/>
      <c r="D20" s="31" t="str">
        <f aca="false">IF($C20="","",IFERROR(INDEX(Inventario!$D$5:$D$100,MATCH($C20,Inventario!$B$5:$B$100,0)),"No está en Inventario"))</f>
        <v/>
      </c>
      <c r="E20" s="31" t="str">
        <f aca="false">IF($C20="","",IFERROR(INDEX(Inventario!$E$5:$E$100,MATCH($C20,Inventario!$B$5:$B$100,0)),"No está en Inventario"))</f>
        <v/>
      </c>
      <c r="F20" s="26"/>
      <c r="G20" s="42" t="str">
        <f aca="false">IF($C20="","",IFERROR(INDEX(Inventario!$H$5:$H$100,MATCH($C20,Inventario!$B$5:$B$100,0)),"No está en Inventario"))</f>
        <v/>
      </c>
      <c r="H20" s="43"/>
      <c r="I20" s="44" t="str">
        <f aca="false">IF(OR($C20="",$F20=""),"",N($F20)*N($G20)*(1-N($H20)))</f>
        <v/>
      </c>
      <c r="J20" s="24"/>
      <c r="K20" s="23"/>
      <c r="L20" s="30" t="str">
        <f aca="false">IF($C20="","",IFERROR(IF(INDEX(Inventario!$L$5:$L$100,MATCH($C20,Inventario!$B$5:$B$100,0))&lt;0,"Stock negativo: revisa","OK"),"No está en Inventario"))</f>
        <v/>
      </c>
    </row>
    <row r="21" customFormat="false" ht="15" hidden="false" customHeight="false" outlineLevel="0" collapsed="false">
      <c r="A21" s="1"/>
      <c r="B21" s="37"/>
      <c r="C21" s="13"/>
      <c r="D21" s="21" t="str">
        <f aca="false">IF($C21="","",IFERROR(INDEX(Inventario!$D$5:$D$100,MATCH($C21,Inventario!$B$5:$B$100,0)),"No está en Inventario"))</f>
        <v/>
      </c>
      <c r="E21" s="21" t="str">
        <f aca="false">IF($C21="","",IFERROR(INDEX(Inventario!$E$5:$E$100,MATCH($C21,Inventario!$B$5:$B$100,0)),"No está en Inventario"))</f>
        <v/>
      </c>
      <c r="F21" s="16"/>
      <c r="G21" s="38" t="str">
        <f aca="false">IF($C21="","",IFERROR(INDEX(Inventario!$H$5:$H$100,MATCH($C21,Inventario!$B$5:$B$100,0)),"No está en Inventario"))</f>
        <v/>
      </c>
      <c r="H21" s="39"/>
      <c r="I21" s="40" t="str">
        <f aca="false">IF(OR($C21="",$F21=""),"",N($F21)*N($G21)*(1-N($H21)))</f>
        <v/>
      </c>
      <c r="J21" s="14"/>
      <c r="K21" s="13"/>
      <c r="L21" s="20" t="str">
        <f aca="false">IF($C21="","",IFERROR(IF(INDEX(Inventario!$L$5:$L$100,MATCH($C21,Inventario!$B$5:$B$100,0))&lt;0,"Stock negativo: revisa","OK"),"No está en Inventario"))</f>
        <v/>
      </c>
    </row>
    <row r="22" customFormat="false" ht="15" hidden="false" customHeight="false" outlineLevel="0" collapsed="false">
      <c r="A22" s="1"/>
      <c r="B22" s="41"/>
      <c r="C22" s="23"/>
      <c r="D22" s="31" t="str">
        <f aca="false">IF($C22="","",IFERROR(INDEX(Inventario!$D$5:$D$100,MATCH($C22,Inventario!$B$5:$B$100,0)),"No está en Inventario"))</f>
        <v/>
      </c>
      <c r="E22" s="31" t="str">
        <f aca="false">IF($C22="","",IFERROR(INDEX(Inventario!$E$5:$E$100,MATCH($C22,Inventario!$B$5:$B$100,0)),"No está en Inventario"))</f>
        <v/>
      </c>
      <c r="F22" s="26"/>
      <c r="G22" s="42" t="str">
        <f aca="false">IF($C22="","",IFERROR(INDEX(Inventario!$H$5:$H$100,MATCH($C22,Inventario!$B$5:$B$100,0)),"No está en Inventario"))</f>
        <v/>
      </c>
      <c r="H22" s="43"/>
      <c r="I22" s="44" t="str">
        <f aca="false">IF(OR($C22="",$F22=""),"",N($F22)*N($G22)*(1-N($H22)))</f>
        <v/>
      </c>
      <c r="J22" s="24"/>
      <c r="K22" s="23"/>
      <c r="L22" s="30" t="str">
        <f aca="false">IF($C22="","",IFERROR(IF(INDEX(Inventario!$L$5:$L$100,MATCH($C22,Inventario!$B$5:$B$100,0))&lt;0,"Stock negativo: revisa","OK"),"No está en Inventario"))</f>
        <v/>
      </c>
    </row>
    <row r="23" customFormat="false" ht="15" hidden="false" customHeight="false" outlineLevel="0" collapsed="false">
      <c r="A23" s="1"/>
      <c r="B23" s="37"/>
      <c r="C23" s="13"/>
      <c r="D23" s="21" t="str">
        <f aca="false">IF($C23="","",IFERROR(INDEX(Inventario!$D$5:$D$100,MATCH($C23,Inventario!$B$5:$B$100,0)),"No está en Inventario"))</f>
        <v/>
      </c>
      <c r="E23" s="21" t="str">
        <f aca="false">IF($C23="","",IFERROR(INDEX(Inventario!$E$5:$E$100,MATCH($C23,Inventario!$B$5:$B$100,0)),"No está en Inventario"))</f>
        <v/>
      </c>
      <c r="F23" s="16"/>
      <c r="G23" s="38" t="str">
        <f aca="false">IF($C23="","",IFERROR(INDEX(Inventario!$H$5:$H$100,MATCH($C23,Inventario!$B$5:$B$100,0)),"No está en Inventario"))</f>
        <v/>
      </c>
      <c r="H23" s="39"/>
      <c r="I23" s="40" t="str">
        <f aca="false">IF(OR($C23="",$F23=""),"",N($F23)*N($G23)*(1-N($H23)))</f>
        <v/>
      </c>
      <c r="J23" s="14"/>
      <c r="K23" s="13"/>
      <c r="L23" s="20" t="str">
        <f aca="false">IF($C23="","",IFERROR(IF(INDEX(Inventario!$L$5:$L$100,MATCH($C23,Inventario!$B$5:$B$100,0))&lt;0,"Stock negativo: revisa","OK"),"No está en Inventario"))</f>
        <v/>
      </c>
    </row>
    <row r="24" customFormat="false" ht="15" hidden="false" customHeight="false" outlineLevel="0" collapsed="false">
      <c r="A24" s="1"/>
      <c r="B24" s="41"/>
      <c r="C24" s="23"/>
      <c r="D24" s="31" t="str">
        <f aca="false">IF($C24="","",IFERROR(INDEX(Inventario!$D$5:$D$100,MATCH($C24,Inventario!$B$5:$B$100,0)),"No está en Inventario"))</f>
        <v/>
      </c>
      <c r="E24" s="31" t="str">
        <f aca="false">IF($C24="","",IFERROR(INDEX(Inventario!$E$5:$E$100,MATCH($C24,Inventario!$B$5:$B$100,0)),"No está en Inventario"))</f>
        <v/>
      </c>
      <c r="F24" s="26"/>
      <c r="G24" s="42" t="str">
        <f aca="false">IF($C24="","",IFERROR(INDEX(Inventario!$H$5:$H$100,MATCH($C24,Inventario!$B$5:$B$100,0)),"No está en Inventario"))</f>
        <v/>
      </c>
      <c r="H24" s="43"/>
      <c r="I24" s="44" t="str">
        <f aca="false">IF(OR($C24="",$F24=""),"",N($F24)*N($G24)*(1-N($H24)))</f>
        <v/>
      </c>
      <c r="J24" s="24"/>
      <c r="K24" s="23"/>
      <c r="L24" s="30" t="str">
        <f aca="false">IF($C24="","",IFERROR(IF(INDEX(Inventario!$L$5:$L$100,MATCH($C24,Inventario!$B$5:$B$100,0))&lt;0,"Stock negativo: revisa","OK"),"No está en Inventario"))</f>
        <v/>
      </c>
    </row>
    <row r="25" customFormat="false" ht="15" hidden="false" customHeight="false" outlineLevel="0" collapsed="false">
      <c r="A25" s="1"/>
      <c r="B25" s="37"/>
      <c r="C25" s="13"/>
      <c r="D25" s="21" t="str">
        <f aca="false">IF($C25="","",IFERROR(INDEX(Inventario!$D$5:$D$100,MATCH($C25,Inventario!$B$5:$B$100,0)),"No está en Inventario"))</f>
        <v/>
      </c>
      <c r="E25" s="21" t="str">
        <f aca="false">IF($C25="","",IFERROR(INDEX(Inventario!$E$5:$E$100,MATCH($C25,Inventario!$B$5:$B$100,0)),"No está en Inventario"))</f>
        <v/>
      </c>
      <c r="F25" s="16"/>
      <c r="G25" s="38" t="str">
        <f aca="false">IF($C25="","",IFERROR(INDEX(Inventario!$H$5:$H$100,MATCH($C25,Inventario!$B$5:$B$100,0)),"No está en Inventario"))</f>
        <v/>
      </c>
      <c r="H25" s="39"/>
      <c r="I25" s="40" t="str">
        <f aca="false">IF(OR($C25="",$F25=""),"",N($F25)*N($G25)*(1-N($H25)))</f>
        <v/>
      </c>
      <c r="J25" s="14"/>
      <c r="K25" s="13"/>
      <c r="L25" s="20" t="str">
        <f aca="false">IF($C25="","",IFERROR(IF(INDEX(Inventario!$L$5:$L$100,MATCH($C25,Inventario!$B$5:$B$100,0))&lt;0,"Stock negativo: revisa","OK"),"No está en Inventario"))</f>
        <v/>
      </c>
    </row>
    <row r="26" customFormat="false" ht="15" hidden="false" customHeight="false" outlineLevel="0" collapsed="false">
      <c r="A26" s="1"/>
      <c r="B26" s="41"/>
      <c r="C26" s="23"/>
      <c r="D26" s="31" t="str">
        <f aca="false">IF($C26="","",IFERROR(INDEX(Inventario!$D$5:$D$100,MATCH($C26,Inventario!$B$5:$B$100,0)),"No está en Inventario"))</f>
        <v/>
      </c>
      <c r="E26" s="31" t="str">
        <f aca="false">IF($C26="","",IFERROR(INDEX(Inventario!$E$5:$E$100,MATCH($C26,Inventario!$B$5:$B$100,0)),"No está en Inventario"))</f>
        <v/>
      </c>
      <c r="F26" s="26"/>
      <c r="G26" s="42" t="str">
        <f aca="false">IF($C26="","",IFERROR(INDEX(Inventario!$H$5:$H$100,MATCH($C26,Inventario!$B$5:$B$100,0)),"No está en Inventario"))</f>
        <v/>
      </c>
      <c r="H26" s="43"/>
      <c r="I26" s="44" t="str">
        <f aca="false">IF(OR($C26="",$F26=""),"",N($F26)*N($G26)*(1-N($H26)))</f>
        <v/>
      </c>
      <c r="J26" s="24"/>
      <c r="K26" s="23"/>
      <c r="L26" s="30" t="str">
        <f aca="false">IF($C26="","",IFERROR(IF(INDEX(Inventario!$L$5:$L$100,MATCH($C26,Inventario!$B$5:$B$100,0))&lt;0,"Stock negativo: revisa","OK"),"No está en Inventario"))</f>
        <v/>
      </c>
    </row>
    <row r="27" customFormat="false" ht="15" hidden="false" customHeight="false" outlineLevel="0" collapsed="false">
      <c r="A27" s="1"/>
      <c r="B27" s="37"/>
      <c r="C27" s="13"/>
      <c r="D27" s="21" t="str">
        <f aca="false">IF($C27="","",IFERROR(INDEX(Inventario!$D$5:$D$100,MATCH($C27,Inventario!$B$5:$B$100,0)),"No está en Inventario"))</f>
        <v/>
      </c>
      <c r="E27" s="21" t="str">
        <f aca="false">IF($C27="","",IFERROR(INDEX(Inventario!$E$5:$E$100,MATCH($C27,Inventario!$B$5:$B$100,0)),"No está en Inventario"))</f>
        <v/>
      </c>
      <c r="F27" s="16"/>
      <c r="G27" s="38" t="str">
        <f aca="false">IF($C27="","",IFERROR(INDEX(Inventario!$H$5:$H$100,MATCH($C27,Inventario!$B$5:$B$100,0)),"No está en Inventario"))</f>
        <v/>
      </c>
      <c r="H27" s="39"/>
      <c r="I27" s="40" t="str">
        <f aca="false">IF(OR($C27="",$F27=""),"",N($F27)*N($G27)*(1-N($H27)))</f>
        <v/>
      </c>
      <c r="J27" s="14"/>
      <c r="K27" s="13"/>
      <c r="L27" s="20" t="str">
        <f aca="false">IF($C27="","",IFERROR(IF(INDEX(Inventario!$L$5:$L$100,MATCH($C27,Inventario!$B$5:$B$100,0))&lt;0,"Stock negativo: revisa","OK"),"No está en Inventario"))</f>
        <v/>
      </c>
    </row>
    <row r="28" customFormat="false" ht="15" hidden="false" customHeight="false" outlineLevel="0" collapsed="false">
      <c r="A28" s="1"/>
      <c r="B28" s="41"/>
      <c r="C28" s="23"/>
      <c r="D28" s="31" t="str">
        <f aca="false">IF($C28="","",IFERROR(INDEX(Inventario!$D$5:$D$100,MATCH($C28,Inventario!$B$5:$B$100,0)),"No está en Inventario"))</f>
        <v/>
      </c>
      <c r="E28" s="31" t="str">
        <f aca="false">IF($C28="","",IFERROR(INDEX(Inventario!$E$5:$E$100,MATCH($C28,Inventario!$B$5:$B$100,0)),"No está en Inventario"))</f>
        <v/>
      </c>
      <c r="F28" s="26"/>
      <c r="G28" s="42" t="str">
        <f aca="false">IF($C28="","",IFERROR(INDEX(Inventario!$H$5:$H$100,MATCH($C28,Inventario!$B$5:$B$100,0)),"No está en Inventario"))</f>
        <v/>
      </c>
      <c r="H28" s="43"/>
      <c r="I28" s="44" t="str">
        <f aca="false">IF(OR($C28="",$F28=""),"",N($F28)*N($G28)*(1-N($H28)))</f>
        <v/>
      </c>
      <c r="J28" s="24"/>
      <c r="K28" s="23"/>
      <c r="L28" s="30" t="str">
        <f aca="false">IF($C28="","",IFERROR(IF(INDEX(Inventario!$L$5:$L$100,MATCH($C28,Inventario!$B$5:$B$100,0))&lt;0,"Stock negativo: revisa","OK"),"No está en Inventario"))</f>
        <v/>
      </c>
    </row>
    <row r="29" customFormat="false" ht="15" hidden="false" customHeight="false" outlineLevel="0" collapsed="false">
      <c r="A29" s="1"/>
      <c r="B29" s="37"/>
      <c r="C29" s="13"/>
      <c r="D29" s="21" t="str">
        <f aca="false">IF($C29="","",IFERROR(INDEX(Inventario!$D$5:$D$100,MATCH($C29,Inventario!$B$5:$B$100,0)),"No está en Inventario"))</f>
        <v/>
      </c>
      <c r="E29" s="21" t="str">
        <f aca="false">IF($C29="","",IFERROR(INDEX(Inventario!$E$5:$E$100,MATCH($C29,Inventario!$B$5:$B$100,0)),"No está en Inventario"))</f>
        <v/>
      </c>
      <c r="F29" s="16"/>
      <c r="G29" s="38" t="str">
        <f aca="false">IF($C29="","",IFERROR(INDEX(Inventario!$H$5:$H$100,MATCH($C29,Inventario!$B$5:$B$100,0)),"No está en Inventario"))</f>
        <v/>
      </c>
      <c r="H29" s="39"/>
      <c r="I29" s="40" t="str">
        <f aca="false">IF(OR($C29="",$F29=""),"",N($F29)*N($G29)*(1-N($H29)))</f>
        <v/>
      </c>
      <c r="J29" s="14"/>
      <c r="K29" s="13"/>
      <c r="L29" s="20" t="str">
        <f aca="false">IF($C29="","",IFERROR(IF(INDEX(Inventario!$L$5:$L$100,MATCH($C29,Inventario!$B$5:$B$100,0))&lt;0,"Stock negativo: revisa","OK"),"No está en Inventario"))</f>
        <v/>
      </c>
    </row>
    <row r="30" customFormat="false" ht="15" hidden="false" customHeight="false" outlineLevel="0" collapsed="false">
      <c r="A30" s="1"/>
      <c r="B30" s="41"/>
      <c r="C30" s="23"/>
      <c r="D30" s="31" t="str">
        <f aca="false">IF($C30="","",IFERROR(INDEX(Inventario!$D$5:$D$100,MATCH($C30,Inventario!$B$5:$B$100,0)),"No está en Inventario"))</f>
        <v/>
      </c>
      <c r="E30" s="31" t="str">
        <f aca="false">IF($C30="","",IFERROR(INDEX(Inventario!$E$5:$E$100,MATCH($C30,Inventario!$B$5:$B$100,0)),"No está en Inventario"))</f>
        <v/>
      </c>
      <c r="F30" s="26"/>
      <c r="G30" s="42" t="str">
        <f aca="false">IF($C30="","",IFERROR(INDEX(Inventario!$H$5:$H$100,MATCH($C30,Inventario!$B$5:$B$100,0)),"No está en Inventario"))</f>
        <v/>
      </c>
      <c r="H30" s="43"/>
      <c r="I30" s="44" t="str">
        <f aca="false">IF(OR($C30="",$F30=""),"",N($F30)*N($G30)*(1-N($H30)))</f>
        <v/>
      </c>
      <c r="J30" s="24"/>
      <c r="K30" s="23"/>
      <c r="L30" s="30" t="str">
        <f aca="false">IF($C30="","",IFERROR(IF(INDEX(Inventario!$L$5:$L$100,MATCH($C30,Inventario!$B$5:$B$100,0))&lt;0,"Stock negativo: revisa","OK"),"No está en Inventario"))</f>
        <v/>
      </c>
    </row>
    <row r="31" customFormat="false" ht="15" hidden="false" customHeight="false" outlineLevel="0" collapsed="false">
      <c r="A31" s="1"/>
      <c r="B31" s="37"/>
      <c r="C31" s="13"/>
      <c r="D31" s="21" t="str">
        <f aca="false">IF($C31="","",IFERROR(INDEX(Inventario!$D$5:$D$100,MATCH($C31,Inventario!$B$5:$B$100,0)),"No está en Inventario"))</f>
        <v/>
      </c>
      <c r="E31" s="21" t="str">
        <f aca="false">IF($C31="","",IFERROR(INDEX(Inventario!$E$5:$E$100,MATCH($C31,Inventario!$B$5:$B$100,0)),"No está en Inventario"))</f>
        <v/>
      </c>
      <c r="F31" s="16"/>
      <c r="G31" s="38" t="str">
        <f aca="false">IF($C31="","",IFERROR(INDEX(Inventario!$H$5:$H$100,MATCH($C31,Inventario!$B$5:$B$100,0)),"No está en Inventario"))</f>
        <v/>
      </c>
      <c r="H31" s="39"/>
      <c r="I31" s="40" t="str">
        <f aca="false">IF(OR($C31="",$F31=""),"",N($F31)*N($G31)*(1-N($H31)))</f>
        <v/>
      </c>
      <c r="J31" s="14"/>
      <c r="K31" s="13"/>
      <c r="L31" s="20" t="str">
        <f aca="false">IF($C31="","",IFERROR(IF(INDEX(Inventario!$L$5:$L$100,MATCH($C31,Inventario!$B$5:$B$100,0))&lt;0,"Stock negativo: revisa","OK"),"No está en Inventario"))</f>
        <v/>
      </c>
    </row>
    <row r="32" customFormat="false" ht="15" hidden="false" customHeight="false" outlineLevel="0" collapsed="false">
      <c r="A32" s="1"/>
      <c r="B32" s="41"/>
      <c r="C32" s="23"/>
      <c r="D32" s="31" t="str">
        <f aca="false">IF($C32="","",IFERROR(INDEX(Inventario!$D$5:$D$100,MATCH($C32,Inventario!$B$5:$B$100,0)),"No está en Inventario"))</f>
        <v/>
      </c>
      <c r="E32" s="31" t="str">
        <f aca="false">IF($C32="","",IFERROR(INDEX(Inventario!$E$5:$E$100,MATCH($C32,Inventario!$B$5:$B$100,0)),"No está en Inventario"))</f>
        <v/>
      </c>
      <c r="F32" s="26"/>
      <c r="G32" s="42" t="str">
        <f aca="false">IF($C32="","",IFERROR(INDEX(Inventario!$H$5:$H$100,MATCH($C32,Inventario!$B$5:$B$100,0)),"No está en Inventario"))</f>
        <v/>
      </c>
      <c r="H32" s="43"/>
      <c r="I32" s="44" t="str">
        <f aca="false">IF(OR($C32="",$F32=""),"",N($F32)*N($G32)*(1-N($H32)))</f>
        <v/>
      </c>
      <c r="J32" s="24"/>
      <c r="K32" s="23"/>
      <c r="L32" s="30" t="str">
        <f aca="false">IF($C32="","",IFERROR(IF(INDEX(Inventario!$L$5:$L$100,MATCH($C32,Inventario!$B$5:$B$100,0))&lt;0,"Stock negativo: revisa","OK"),"No está en Inventario"))</f>
        <v/>
      </c>
    </row>
    <row r="33" customFormat="false" ht="15" hidden="false" customHeight="false" outlineLevel="0" collapsed="false">
      <c r="A33" s="1"/>
      <c r="B33" s="37"/>
      <c r="C33" s="13"/>
      <c r="D33" s="21" t="str">
        <f aca="false">IF($C33="","",IFERROR(INDEX(Inventario!$D$5:$D$100,MATCH($C33,Inventario!$B$5:$B$100,0)),"No está en Inventario"))</f>
        <v/>
      </c>
      <c r="E33" s="21" t="str">
        <f aca="false">IF($C33="","",IFERROR(INDEX(Inventario!$E$5:$E$100,MATCH($C33,Inventario!$B$5:$B$100,0)),"No está en Inventario"))</f>
        <v/>
      </c>
      <c r="F33" s="16"/>
      <c r="G33" s="38" t="str">
        <f aca="false">IF($C33="","",IFERROR(INDEX(Inventario!$H$5:$H$100,MATCH($C33,Inventario!$B$5:$B$100,0)),"No está en Inventario"))</f>
        <v/>
      </c>
      <c r="H33" s="39"/>
      <c r="I33" s="40" t="str">
        <f aca="false">IF(OR($C33="",$F33=""),"",N($F33)*N($G33)*(1-N($H33)))</f>
        <v/>
      </c>
      <c r="J33" s="14"/>
      <c r="K33" s="13"/>
      <c r="L33" s="20" t="str">
        <f aca="false">IF($C33="","",IFERROR(IF(INDEX(Inventario!$L$5:$L$100,MATCH($C33,Inventario!$B$5:$B$100,0))&lt;0,"Stock negativo: revisa","OK"),"No está en Inventario"))</f>
        <v/>
      </c>
    </row>
    <row r="34" customFormat="false" ht="15" hidden="false" customHeight="false" outlineLevel="0" collapsed="false">
      <c r="A34" s="1"/>
      <c r="B34" s="41"/>
      <c r="C34" s="23"/>
      <c r="D34" s="31" t="str">
        <f aca="false">IF($C34="","",IFERROR(INDEX(Inventario!$D$5:$D$100,MATCH($C34,Inventario!$B$5:$B$100,0)),"No está en Inventario"))</f>
        <v/>
      </c>
      <c r="E34" s="31" t="str">
        <f aca="false">IF($C34="","",IFERROR(INDEX(Inventario!$E$5:$E$100,MATCH($C34,Inventario!$B$5:$B$100,0)),"No está en Inventario"))</f>
        <v/>
      </c>
      <c r="F34" s="26"/>
      <c r="G34" s="42" t="str">
        <f aca="false">IF($C34="","",IFERROR(INDEX(Inventario!$H$5:$H$100,MATCH($C34,Inventario!$B$5:$B$100,0)),"No está en Inventario"))</f>
        <v/>
      </c>
      <c r="H34" s="43"/>
      <c r="I34" s="44" t="str">
        <f aca="false">IF(OR($C34="",$F34=""),"",N($F34)*N($G34)*(1-N($H34)))</f>
        <v/>
      </c>
      <c r="J34" s="24"/>
      <c r="K34" s="23"/>
      <c r="L34" s="30" t="str">
        <f aca="false">IF($C34="","",IFERROR(IF(INDEX(Inventario!$L$5:$L$100,MATCH($C34,Inventario!$B$5:$B$100,0))&lt;0,"Stock negativo: revisa","OK"),"No está en Inventario"))</f>
        <v/>
      </c>
    </row>
    <row r="35" customFormat="false" ht="15" hidden="false" customHeight="false" outlineLevel="0" collapsed="false">
      <c r="A35" s="1"/>
      <c r="B35" s="37"/>
      <c r="C35" s="13"/>
      <c r="D35" s="21" t="str">
        <f aca="false">IF($C35="","",IFERROR(INDEX(Inventario!$D$5:$D$100,MATCH($C35,Inventario!$B$5:$B$100,0)),"No está en Inventario"))</f>
        <v/>
      </c>
      <c r="E35" s="21" t="str">
        <f aca="false">IF($C35="","",IFERROR(INDEX(Inventario!$E$5:$E$100,MATCH($C35,Inventario!$B$5:$B$100,0)),"No está en Inventario"))</f>
        <v/>
      </c>
      <c r="F35" s="16"/>
      <c r="G35" s="38" t="str">
        <f aca="false">IF($C35="","",IFERROR(INDEX(Inventario!$H$5:$H$100,MATCH($C35,Inventario!$B$5:$B$100,0)),"No está en Inventario"))</f>
        <v/>
      </c>
      <c r="H35" s="39"/>
      <c r="I35" s="40" t="str">
        <f aca="false">IF(OR($C35="",$F35=""),"",N($F35)*N($G35)*(1-N($H35)))</f>
        <v/>
      </c>
      <c r="J35" s="14"/>
      <c r="K35" s="13"/>
      <c r="L35" s="20" t="str">
        <f aca="false">IF($C35="","",IFERROR(IF(INDEX(Inventario!$L$5:$L$100,MATCH($C35,Inventario!$B$5:$B$100,0))&lt;0,"Stock negativo: revisa","OK"),"No está en Inventario"))</f>
        <v/>
      </c>
    </row>
    <row r="36" customFormat="false" ht="15" hidden="false" customHeight="false" outlineLevel="0" collapsed="false">
      <c r="A36" s="1"/>
      <c r="B36" s="41"/>
      <c r="C36" s="23"/>
      <c r="D36" s="31" t="str">
        <f aca="false">IF($C36="","",IFERROR(INDEX(Inventario!$D$5:$D$100,MATCH($C36,Inventario!$B$5:$B$100,0)),"No está en Inventario"))</f>
        <v/>
      </c>
      <c r="E36" s="31" t="str">
        <f aca="false">IF($C36="","",IFERROR(INDEX(Inventario!$E$5:$E$100,MATCH($C36,Inventario!$B$5:$B$100,0)),"No está en Inventario"))</f>
        <v/>
      </c>
      <c r="F36" s="26"/>
      <c r="G36" s="42" t="str">
        <f aca="false">IF($C36="","",IFERROR(INDEX(Inventario!$H$5:$H$100,MATCH($C36,Inventario!$B$5:$B$100,0)),"No está en Inventario"))</f>
        <v/>
      </c>
      <c r="H36" s="43"/>
      <c r="I36" s="44" t="str">
        <f aca="false">IF(OR($C36="",$F36=""),"",N($F36)*N($G36)*(1-N($H36)))</f>
        <v/>
      </c>
      <c r="J36" s="24"/>
      <c r="K36" s="23"/>
      <c r="L36" s="30" t="str">
        <f aca="false">IF($C36="","",IFERROR(IF(INDEX(Inventario!$L$5:$L$100,MATCH($C36,Inventario!$B$5:$B$100,0))&lt;0,"Stock negativo: revisa","OK"),"No está en Inventario"))</f>
        <v/>
      </c>
    </row>
    <row r="37" customFormat="false" ht="15" hidden="false" customHeight="false" outlineLevel="0" collapsed="false">
      <c r="A37" s="1"/>
      <c r="B37" s="37"/>
      <c r="C37" s="13"/>
      <c r="D37" s="21" t="str">
        <f aca="false">IF($C37="","",IFERROR(INDEX(Inventario!$D$5:$D$100,MATCH($C37,Inventario!$B$5:$B$100,0)),"No está en Inventario"))</f>
        <v/>
      </c>
      <c r="E37" s="21" t="str">
        <f aca="false">IF($C37="","",IFERROR(INDEX(Inventario!$E$5:$E$100,MATCH($C37,Inventario!$B$5:$B$100,0)),"No está en Inventario"))</f>
        <v/>
      </c>
      <c r="F37" s="16"/>
      <c r="G37" s="38" t="str">
        <f aca="false">IF($C37="","",IFERROR(INDEX(Inventario!$H$5:$H$100,MATCH($C37,Inventario!$B$5:$B$100,0)),"No está en Inventario"))</f>
        <v/>
      </c>
      <c r="H37" s="39"/>
      <c r="I37" s="40" t="str">
        <f aca="false">IF(OR($C37="",$F37=""),"",N($F37)*N($G37)*(1-N($H37)))</f>
        <v/>
      </c>
      <c r="J37" s="14"/>
      <c r="K37" s="13"/>
      <c r="L37" s="20" t="str">
        <f aca="false">IF($C37="","",IFERROR(IF(INDEX(Inventario!$L$5:$L$100,MATCH($C37,Inventario!$B$5:$B$100,0))&lt;0,"Stock negativo: revisa","OK"),"No está en Inventario"))</f>
        <v/>
      </c>
    </row>
    <row r="38" customFormat="false" ht="15" hidden="false" customHeight="false" outlineLevel="0" collapsed="false">
      <c r="A38" s="1"/>
      <c r="B38" s="41"/>
      <c r="C38" s="23"/>
      <c r="D38" s="31" t="str">
        <f aca="false">IF($C38="","",IFERROR(INDEX(Inventario!$D$5:$D$100,MATCH($C38,Inventario!$B$5:$B$100,0)),"No está en Inventario"))</f>
        <v/>
      </c>
      <c r="E38" s="31" t="str">
        <f aca="false">IF($C38="","",IFERROR(INDEX(Inventario!$E$5:$E$100,MATCH($C38,Inventario!$B$5:$B$100,0)),"No está en Inventario"))</f>
        <v/>
      </c>
      <c r="F38" s="26"/>
      <c r="G38" s="42" t="str">
        <f aca="false">IF($C38="","",IFERROR(INDEX(Inventario!$H$5:$H$100,MATCH($C38,Inventario!$B$5:$B$100,0)),"No está en Inventario"))</f>
        <v/>
      </c>
      <c r="H38" s="43"/>
      <c r="I38" s="44" t="str">
        <f aca="false">IF(OR($C38="",$F38=""),"",N($F38)*N($G38)*(1-N($H38)))</f>
        <v/>
      </c>
      <c r="J38" s="24"/>
      <c r="K38" s="23"/>
      <c r="L38" s="30" t="str">
        <f aca="false">IF($C38="","",IFERROR(IF(INDEX(Inventario!$L$5:$L$100,MATCH($C38,Inventario!$B$5:$B$100,0))&lt;0,"Stock negativo: revisa","OK"),"No está en Inventario"))</f>
        <v/>
      </c>
    </row>
    <row r="39" customFormat="false" ht="15" hidden="false" customHeight="false" outlineLevel="0" collapsed="false">
      <c r="A39" s="1"/>
      <c r="B39" s="37"/>
      <c r="C39" s="13"/>
      <c r="D39" s="21" t="str">
        <f aca="false">IF($C39="","",IFERROR(INDEX(Inventario!$D$5:$D$100,MATCH($C39,Inventario!$B$5:$B$100,0)),"No está en Inventario"))</f>
        <v/>
      </c>
      <c r="E39" s="21" t="str">
        <f aca="false">IF($C39="","",IFERROR(INDEX(Inventario!$E$5:$E$100,MATCH($C39,Inventario!$B$5:$B$100,0)),"No está en Inventario"))</f>
        <v/>
      </c>
      <c r="F39" s="16"/>
      <c r="G39" s="38" t="str">
        <f aca="false">IF($C39="","",IFERROR(INDEX(Inventario!$H$5:$H$100,MATCH($C39,Inventario!$B$5:$B$100,0)),"No está en Inventario"))</f>
        <v/>
      </c>
      <c r="H39" s="39"/>
      <c r="I39" s="40" t="str">
        <f aca="false">IF(OR($C39="",$F39=""),"",N($F39)*N($G39)*(1-N($H39)))</f>
        <v/>
      </c>
      <c r="J39" s="14"/>
      <c r="K39" s="13"/>
      <c r="L39" s="20" t="str">
        <f aca="false">IF($C39="","",IFERROR(IF(INDEX(Inventario!$L$5:$L$100,MATCH($C39,Inventario!$B$5:$B$100,0))&lt;0,"Stock negativo: revisa","OK"),"No está en Inventario"))</f>
        <v/>
      </c>
    </row>
    <row r="40" customFormat="false" ht="15" hidden="false" customHeight="false" outlineLevel="0" collapsed="false">
      <c r="A40" s="1"/>
      <c r="B40" s="41"/>
      <c r="C40" s="23"/>
      <c r="D40" s="31" t="str">
        <f aca="false">IF($C40="","",IFERROR(INDEX(Inventario!$D$5:$D$100,MATCH($C40,Inventario!$B$5:$B$100,0)),"No está en Inventario"))</f>
        <v/>
      </c>
      <c r="E40" s="31" t="str">
        <f aca="false">IF($C40="","",IFERROR(INDEX(Inventario!$E$5:$E$100,MATCH($C40,Inventario!$B$5:$B$100,0)),"No está en Inventario"))</f>
        <v/>
      </c>
      <c r="F40" s="26"/>
      <c r="G40" s="42" t="str">
        <f aca="false">IF($C40="","",IFERROR(INDEX(Inventario!$H$5:$H$100,MATCH($C40,Inventario!$B$5:$B$100,0)),"No está en Inventario"))</f>
        <v/>
      </c>
      <c r="H40" s="43"/>
      <c r="I40" s="44" t="str">
        <f aca="false">IF(OR($C40="",$F40=""),"",N($F40)*N($G40)*(1-N($H40)))</f>
        <v/>
      </c>
      <c r="J40" s="24"/>
      <c r="K40" s="23"/>
      <c r="L40" s="30" t="str">
        <f aca="false">IF($C40="","",IFERROR(IF(INDEX(Inventario!$L$5:$L$100,MATCH($C40,Inventario!$B$5:$B$100,0))&lt;0,"Stock negativo: revisa","OK"),"No está en Inventario"))</f>
        <v/>
      </c>
    </row>
    <row r="41" customFormat="false" ht="15" hidden="false" customHeight="false" outlineLevel="0" collapsed="false">
      <c r="A41" s="1"/>
      <c r="B41" s="37"/>
      <c r="C41" s="13"/>
      <c r="D41" s="21" t="str">
        <f aca="false">IF($C41="","",IFERROR(INDEX(Inventario!$D$5:$D$100,MATCH($C41,Inventario!$B$5:$B$100,0)),"No está en Inventario"))</f>
        <v/>
      </c>
      <c r="E41" s="21" t="str">
        <f aca="false">IF($C41="","",IFERROR(INDEX(Inventario!$E$5:$E$100,MATCH($C41,Inventario!$B$5:$B$100,0)),"No está en Inventario"))</f>
        <v/>
      </c>
      <c r="F41" s="16"/>
      <c r="G41" s="38" t="str">
        <f aca="false">IF($C41="","",IFERROR(INDEX(Inventario!$H$5:$H$100,MATCH($C41,Inventario!$B$5:$B$100,0)),"No está en Inventario"))</f>
        <v/>
      </c>
      <c r="H41" s="39"/>
      <c r="I41" s="40" t="str">
        <f aca="false">IF(OR($C41="",$F41=""),"",N($F41)*N($G41)*(1-N($H41)))</f>
        <v/>
      </c>
      <c r="J41" s="14"/>
      <c r="K41" s="13"/>
      <c r="L41" s="20" t="str">
        <f aca="false">IF($C41="","",IFERROR(IF(INDEX(Inventario!$L$5:$L$100,MATCH($C41,Inventario!$B$5:$B$100,0))&lt;0,"Stock negativo: revisa","OK"),"No está en Inventario"))</f>
        <v/>
      </c>
    </row>
    <row r="42" customFormat="false" ht="15" hidden="false" customHeight="false" outlineLevel="0" collapsed="false">
      <c r="A42" s="1"/>
      <c r="B42" s="41"/>
      <c r="C42" s="23"/>
      <c r="D42" s="31" t="str">
        <f aca="false">IF($C42="","",IFERROR(INDEX(Inventario!$D$5:$D$100,MATCH($C42,Inventario!$B$5:$B$100,0)),"No está en Inventario"))</f>
        <v/>
      </c>
      <c r="E42" s="31" t="str">
        <f aca="false">IF($C42="","",IFERROR(INDEX(Inventario!$E$5:$E$100,MATCH($C42,Inventario!$B$5:$B$100,0)),"No está en Inventario"))</f>
        <v/>
      </c>
      <c r="F42" s="26"/>
      <c r="G42" s="42" t="str">
        <f aca="false">IF($C42="","",IFERROR(INDEX(Inventario!$H$5:$H$100,MATCH($C42,Inventario!$B$5:$B$100,0)),"No está en Inventario"))</f>
        <v/>
      </c>
      <c r="H42" s="43"/>
      <c r="I42" s="44" t="str">
        <f aca="false">IF(OR($C42="",$F42=""),"",N($F42)*N($G42)*(1-N($H42)))</f>
        <v/>
      </c>
      <c r="J42" s="24"/>
      <c r="K42" s="23"/>
      <c r="L42" s="30" t="str">
        <f aca="false">IF($C42="","",IFERROR(IF(INDEX(Inventario!$L$5:$L$100,MATCH($C42,Inventario!$B$5:$B$100,0))&lt;0,"Stock negativo: revisa","OK"),"No está en Inventario"))</f>
        <v/>
      </c>
    </row>
    <row r="43" customFormat="false" ht="15" hidden="false" customHeight="false" outlineLevel="0" collapsed="false">
      <c r="A43" s="1"/>
      <c r="B43" s="37"/>
      <c r="C43" s="13"/>
      <c r="D43" s="21" t="str">
        <f aca="false">IF($C43="","",IFERROR(INDEX(Inventario!$D$5:$D$100,MATCH($C43,Inventario!$B$5:$B$100,0)),"No está en Inventario"))</f>
        <v/>
      </c>
      <c r="E43" s="21" t="str">
        <f aca="false">IF($C43="","",IFERROR(INDEX(Inventario!$E$5:$E$100,MATCH($C43,Inventario!$B$5:$B$100,0)),"No está en Inventario"))</f>
        <v/>
      </c>
      <c r="F43" s="16"/>
      <c r="G43" s="38" t="str">
        <f aca="false">IF($C43="","",IFERROR(INDEX(Inventario!$H$5:$H$100,MATCH($C43,Inventario!$B$5:$B$100,0)),"No está en Inventario"))</f>
        <v/>
      </c>
      <c r="H43" s="39"/>
      <c r="I43" s="40" t="str">
        <f aca="false">IF(OR($C43="",$F43=""),"",N($F43)*N($G43)*(1-N($H43)))</f>
        <v/>
      </c>
      <c r="J43" s="14"/>
      <c r="K43" s="13"/>
      <c r="L43" s="20" t="str">
        <f aca="false">IF($C43="","",IFERROR(IF(INDEX(Inventario!$L$5:$L$100,MATCH($C43,Inventario!$B$5:$B$100,0))&lt;0,"Stock negativo: revisa","OK"),"No está en Inventario"))</f>
        <v/>
      </c>
    </row>
    <row r="44" customFormat="false" ht="15" hidden="false" customHeight="false" outlineLevel="0" collapsed="false">
      <c r="A44" s="1"/>
      <c r="B44" s="41"/>
      <c r="C44" s="23"/>
      <c r="D44" s="31" t="str">
        <f aca="false">IF($C44="","",IFERROR(INDEX(Inventario!$D$5:$D$100,MATCH($C44,Inventario!$B$5:$B$100,0)),"No está en Inventario"))</f>
        <v/>
      </c>
      <c r="E44" s="31" t="str">
        <f aca="false">IF($C44="","",IFERROR(INDEX(Inventario!$E$5:$E$100,MATCH($C44,Inventario!$B$5:$B$100,0)),"No está en Inventario"))</f>
        <v/>
      </c>
      <c r="F44" s="26"/>
      <c r="G44" s="42" t="str">
        <f aca="false">IF($C44="","",IFERROR(INDEX(Inventario!$H$5:$H$100,MATCH($C44,Inventario!$B$5:$B$100,0)),"No está en Inventario"))</f>
        <v/>
      </c>
      <c r="H44" s="43"/>
      <c r="I44" s="44" t="str">
        <f aca="false">IF(OR($C44="",$F44=""),"",N($F44)*N($G44)*(1-N($H44)))</f>
        <v/>
      </c>
      <c r="J44" s="24"/>
      <c r="K44" s="23"/>
      <c r="L44" s="30" t="str">
        <f aca="false">IF($C44="","",IFERROR(IF(INDEX(Inventario!$L$5:$L$100,MATCH($C44,Inventario!$B$5:$B$100,0))&lt;0,"Stock negativo: revisa","OK"),"No está en Inventario"))</f>
        <v/>
      </c>
    </row>
    <row r="45" customFormat="false" ht="15" hidden="false" customHeight="false" outlineLevel="0" collapsed="false">
      <c r="A45" s="1"/>
      <c r="B45" s="37"/>
      <c r="C45" s="13"/>
      <c r="D45" s="21" t="str">
        <f aca="false">IF($C45="","",IFERROR(INDEX(Inventario!$D$5:$D$100,MATCH($C45,Inventario!$B$5:$B$100,0)),"No está en Inventario"))</f>
        <v/>
      </c>
      <c r="E45" s="21" t="str">
        <f aca="false">IF($C45="","",IFERROR(INDEX(Inventario!$E$5:$E$100,MATCH($C45,Inventario!$B$5:$B$100,0)),"No está en Inventario"))</f>
        <v/>
      </c>
      <c r="F45" s="16"/>
      <c r="G45" s="38" t="str">
        <f aca="false">IF($C45="","",IFERROR(INDEX(Inventario!$H$5:$H$100,MATCH($C45,Inventario!$B$5:$B$100,0)),"No está en Inventario"))</f>
        <v/>
      </c>
      <c r="H45" s="39"/>
      <c r="I45" s="40" t="str">
        <f aca="false">IF(OR($C45="",$F45=""),"",N($F45)*N($G45)*(1-N($H45)))</f>
        <v/>
      </c>
      <c r="J45" s="14"/>
      <c r="K45" s="13"/>
      <c r="L45" s="20" t="str">
        <f aca="false">IF($C45="","",IFERROR(IF(INDEX(Inventario!$L$5:$L$100,MATCH($C45,Inventario!$B$5:$B$100,0))&lt;0,"Stock negativo: revisa","OK"),"No está en Inventario"))</f>
        <v/>
      </c>
    </row>
    <row r="46" customFormat="false" ht="15" hidden="false" customHeight="false" outlineLevel="0" collapsed="false">
      <c r="A46" s="1"/>
      <c r="B46" s="41"/>
      <c r="C46" s="23"/>
      <c r="D46" s="31" t="str">
        <f aca="false">IF($C46="","",IFERROR(INDEX(Inventario!$D$5:$D$100,MATCH($C46,Inventario!$B$5:$B$100,0)),"No está en Inventario"))</f>
        <v/>
      </c>
      <c r="E46" s="31" t="str">
        <f aca="false">IF($C46="","",IFERROR(INDEX(Inventario!$E$5:$E$100,MATCH($C46,Inventario!$B$5:$B$100,0)),"No está en Inventario"))</f>
        <v/>
      </c>
      <c r="F46" s="26"/>
      <c r="G46" s="42" t="str">
        <f aca="false">IF($C46="","",IFERROR(INDEX(Inventario!$H$5:$H$100,MATCH($C46,Inventario!$B$5:$B$100,0)),"No está en Inventario"))</f>
        <v/>
      </c>
      <c r="H46" s="43"/>
      <c r="I46" s="44" t="str">
        <f aca="false">IF(OR($C46="",$F46=""),"",N($F46)*N($G46)*(1-N($H46)))</f>
        <v/>
      </c>
      <c r="J46" s="24"/>
      <c r="K46" s="23"/>
      <c r="L46" s="30" t="str">
        <f aca="false">IF($C46="","",IFERROR(IF(INDEX(Inventario!$L$5:$L$100,MATCH($C46,Inventario!$B$5:$B$100,0))&lt;0,"Stock negativo: revisa","OK"),"No está en Inventario"))</f>
        <v/>
      </c>
    </row>
    <row r="47" customFormat="false" ht="15" hidden="false" customHeight="false" outlineLevel="0" collapsed="false">
      <c r="A47" s="1"/>
      <c r="B47" s="37"/>
      <c r="C47" s="13"/>
      <c r="D47" s="21" t="str">
        <f aca="false">IF($C47="","",IFERROR(INDEX(Inventario!$D$5:$D$100,MATCH($C47,Inventario!$B$5:$B$100,0)),"No está en Inventario"))</f>
        <v/>
      </c>
      <c r="E47" s="21" t="str">
        <f aca="false">IF($C47="","",IFERROR(INDEX(Inventario!$E$5:$E$100,MATCH($C47,Inventario!$B$5:$B$100,0)),"No está en Inventario"))</f>
        <v/>
      </c>
      <c r="F47" s="16"/>
      <c r="G47" s="38" t="str">
        <f aca="false">IF($C47="","",IFERROR(INDEX(Inventario!$H$5:$H$100,MATCH($C47,Inventario!$B$5:$B$100,0)),"No está en Inventario"))</f>
        <v/>
      </c>
      <c r="H47" s="39"/>
      <c r="I47" s="40" t="str">
        <f aca="false">IF(OR($C47="",$F47=""),"",N($F47)*N($G47)*(1-N($H47)))</f>
        <v/>
      </c>
      <c r="J47" s="14"/>
      <c r="K47" s="13"/>
      <c r="L47" s="20" t="str">
        <f aca="false">IF($C47="","",IFERROR(IF(INDEX(Inventario!$L$5:$L$100,MATCH($C47,Inventario!$B$5:$B$100,0))&lt;0,"Stock negativo: revisa","OK"),"No está en Inventario"))</f>
        <v/>
      </c>
    </row>
    <row r="48" customFormat="false" ht="15" hidden="false" customHeight="false" outlineLevel="0" collapsed="false">
      <c r="A48" s="1"/>
      <c r="B48" s="41"/>
      <c r="C48" s="23"/>
      <c r="D48" s="31" t="str">
        <f aca="false">IF($C48="","",IFERROR(INDEX(Inventario!$D$5:$D$100,MATCH($C48,Inventario!$B$5:$B$100,0)),"No está en Inventario"))</f>
        <v/>
      </c>
      <c r="E48" s="31" t="str">
        <f aca="false">IF($C48="","",IFERROR(INDEX(Inventario!$E$5:$E$100,MATCH($C48,Inventario!$B$5:$B$100,0)),"No está en Inventario"))</f>
        <v/>
      </c>
      <c r="F48" s="26"/>
      <c r="G48" s="42" t="str">
        <f aca="false">IF($C48="","",IFERROR(INDEX(Inventario!$H$5:$H$100,MATCH($C48,Inventario!$B$5:$B$100,0)),"No está en Inventario"))</f>
        <v/>
      </c>
      <c r="H48" s="43"/>
      <c r="I48" s="44" t="str">
        <f aca="false">IF(OR($C48="",$F48=""),"",N($F48)*N($G48)*(1-N($H48)))</f>
        <v/>
      </c>
      <c r="J48" s="24"/>
      <c r="K48" s="23"/>
      <c r="L48" s="30" t="str">
        <f aca="false">IF($C48="","",IFERROR(IF(INDEX(Inventario!$L$5:$L$100,MATCH($C48,Inventario!$B$5:$B$100,0))&lt;0,"Stock negativo: revisa","OK"),"No está en Inventario"))</f>
        <v/>
      </c>
    </row>
    <row r="49" customFormat="false" ht="15" hidden="false" customHeight="false" outlineLevel="0" collapsed="false">
      <c r="A49" s="1"/>
      <c r="B49" s="37"/>
      <c r="C49" s="13"/>
      <c r="D49" s="21" t="str">
        <f aca="false">IF($C49="","",IFERROR(INDEX(Inventario!$D$5:$D$100,MATCH($C49,Inventario!$B$5:$B$100,0)),"No está en Inventario"))</f>
        <v/>
      </c>
      <c r="E49" s="21" t="str">
        <f aca="false">IF($C49="","",IFERROR(INDEX(Inventario!$E$5:$E$100,MATCH($C49,Inventario!$B$5:$B$100,0)),"No está en Inventario"))</f>
        <v/>
      </c>
      <c r="F49" s="16"/>
      <c r="G49" s="38" t="str">
        <f aca="false">IF($C49="","",IFERROR(INDEX(Inventario!$H$5:$H$100,MATCH($C49,Inventario!$B$5:$B$100,0)),"No está en Inventario"))</f>
        <v/>
      </c>
      <c r="H49" s="39"/>
      <c r="I49" s="40" t="str">
        <f aca="false">IF(OR($C49="",$F49=""),"",N($F49)*N($G49)*(1-N($H49)))</f>
        <v/>
      </c>
      <c r="J49" s="14"/>
      <c r="K49" s="13"/>
      <c r="L49" s="20" t="str">
        <f aca="false">IF($C49="","",IFERROR(IF(INDEX(Inventario!$L$5:$L$100,MATCH($C49,Inventario!$B$5:$B$100,0))&lt;0,"Stock negativo: revisa","OK"),"No está en Inventario"))</f>
        <v/>
      </c>
    </row>
    <row r="50" customFormat="false" ht="15" hidden="false" customHeight="false" outlineLevel="0" collapsed="false">
      <c r="A50" s="1"/>
      <c r="B50" s="41"/>
      <c r="C50" s="23"/>
      <c r="D50" s="31" t="str">
        <f aca="false">IF($C50="","",IFERROR(INDEX(Inventario!$D$5:$D$100,MATCH($C50,Inventario!$B$5:$B$100,0)),"No está en Inventario"))</f>
        <v/>
      </c>
      <c r="E50" s="31" t="str">
        <f aca="false">IF($C50="","",IFERROR(INDEX(Inventario!$E$5:$E$100,MATCH($C50,Inventario!$B$5:$B$100,0)),"No está en Inventario"))</f>
        <v/>
      </c>
      <c r="F50" s="26"/>
      <c r="G50" s="42" t="str">
        <f aca="false">IF($C50="","",IFERROR(INDEX(Inventario!$H$5:$H$100,MATCH($C50,Inventario!$B$5:$B$100,0)),"No está en Inventario"))</f>
        <v/>
      </c>
      <c r="H50" s="43"/>
      <c r="I50" s="44" t="str">
        <f aca="false">IF(OR($C50="",$F50=""),"",N($F50)*N($G50)*(1-N($H50)))</f>
        <v/>
      </c>
      <c r="J50" s="24"/>
      <c r="K50" s="23"/>
      <c r="L50" s="30" t="str">
        <f aca="false">IF($C50="","",IFERROR(IF(INDEX(Inventario!$L$5:$L$100,MATCH($C50,Inventario!$B$5:$B$100,0))&lt;0,"Stock negativo: revisa","OK"),"No está en Inventario"))</f>
        <v/>
      </c>
    </row>
    <row r="51" customFormat="false" ht="15" hidden="false" customHeight="false" outlineLevel="0" collapsed="false">
      <c r="A51" s="1"/>
      <c r="B51" s="37"/>
      <c r="C51" s="13"/>
      <c r="D51" s="21" t="str">
        <f aca="false">IF($C51="","",IFERROR(INDEX(Inventario!$D$5:$D$100,MATCH($C51,Inventario!$B$5:$B$100,0)),"No está en Inventario"))</f>
        <v/>
      </c>
      <c r="E51" s="21" t="str">
        <f aca="false">IF($C51="","",IFERROR(INDEX(Inventario!$E$5:$E$100,MATCH($C51,Inventario!$B$5:$B$100,0)),"No está en Inventario"))</f>
        <v/>
      </c>
      <c r="F51" s="16"/>
      <c r="G51" s="38" t="str">
        <f aca="false">IF($C51="","",IFERROR(INDEX(Inventario!$H$5:$H$100,MATCH($C51,Inventario!$B$5:$B$100,0)),"No está en Inventario"))</f>
        <v/>
      </c>
      <c r="H51" s="39"/>
      <c r="I51" s="40" t="str">
        <f aca="false">IF(OR($C51="",$F51=""),"",N($F51)*N($G51)*(1-N($H51)))</f>
        <v/>
      </c>
      <c r="J51" s="14"/>
      <c r="K51" s="13"/>
      <c r="L51" s="20" t="str">
        <f aca="false">IF($C51="","",IFERROR(IF(INDEX(Inventario!$L$5:$L$100,MATCH($C51,Inventario!$B$5:$B$100,0))&lt;0,"Stock negativo: revisa","OK"),"No está en Inventario"))</f>
        <v/>
      </c>
    </row>
    <row r="52" customFormat="false" ht="15" hidden="false" customHeight="false" outlineLevel="0" collapsed="false">
      <c r="A52" s="1"/>
      <c r="B52" s="41"/>
      <c r="C52" s="23"/>
      <c r="D52" s="31" t="str">
        <f aca="false">IF($C52="","",IFERROR(INDEX(Inventario!$D$5:$D$100,MATCH($C52,Inventario!$B$5:$B$100,0)),"No está en Inventario"))</f>
        <v/>
      </c>
      <c r="E52" s="31" t="str">
        <f aca="false">IF($C52="","",IFERROR(INDEX(Inventario!$E$5:$E$100,MATCH($C52,Inventario!$B$5:$B$100,0)),"No está en Inventario"))</f>
        <v/>
      </c>
      <c r="F52" s="26"/>
      <c r="G52" s="42" t="str">
        <f aca="false">IF($C52="","",IFERROR(INDEX(Inventario!$H$5:$H$100,MATCH($C52,Inventario!$B$5:$B$100,0)),"No está en Inventario"))</f>
        <v/>
      </c>
      <c r="H52" s="43"/>
      <c r="I52" s="44" t="str">
        <f aca="false">IF(OR($C52="",$F52=""),"",N($F52)*N($G52)*(1-N($H52)))</f>
        <v/>
      </c>
      <c r="J52" s="24"/>
      <c r="K52" s="23"/>
      <c r="L52" s="30" t="str">
        <f aca="false">IF($C52="","",IFERROR(IF(INDEX(Inventario!$L$5:$L$100,MATCH($C52,Inventario!$B$5:$B$100,0))&lt;0,"Stock negativo: revisa","OK"),"No está en Inventario"))</f>
        <v/>
      </c>
    </row>
    <row r="53" customFormat="false" ht="15" hidden="false" customHeight="false" outlineLevel="0" collapsed="false">
      <c r="A53" s="1"/>
      <c r="B53" s="37"/>
      <c r="C53" s="13"/>
      <c r="D53" s="21" t="str">
        <f aca="false">IF($C53="","",IFERROR(INDEX(Inventario!$D$5:$D$100,MATCH($C53,Inventario!$B$5:$B$100,0)),"No está en Inventario"))</f>
        <v/>
      </c>
      <c r="E53" s="21" t="str">
        <f aca="false">IF($C53="","",IFERROR(INDEX(Inventario!$E$5:$E$100,MATCH($C53,Inventario!$B$5:$B$100,0)),"No está en Inventario"))</f>
        <v/>
      </c>
      <c r="F53" s="16"/>
      <c r="G53" s="38" t="str">
        <f aca="false">IF($C53="","",IFERROR(INDEX(Inventario!$H$5:$H$100,MATCH($C53,Inventario!$B$5:$B$100,0)),"No está en Inventario"))</f>
        <v/>
      </c>
      <c r="H53" s="39"/>
      <c r="I53" s="40" t="str">
        <f aca="false">IF(OR($C53="",$F53=""),"",N($F53)*N($G53)*(1-N($H53)))</f>
        <v/>
      </c>
      <c r="J53" s="14"/>
      <c r="K53" s="13"/>
      <c r="L53" s="20" t="str">
        <f aca="false">IF($C53="","",IFERROR(IF(INDEX(Inventario!$L$5:$L$100,MATCH($C53,Inventario!$B$5:$B$100,0))&lt;0,"Stock negativo: revisa","OK"),"No está en Inventario"))</f>
        <v/>
      </c>
    </row>
    <row r="54" customFormat="false" ht="15" hidden="false" customHeight="false" outlineLevel="0" collapsed="false">
      <c r="A54" s="1"/>
      <c r="B54" s="41"/>
      <c r="C54" s="23"/>
      <c r="D54" s="31" t="str">
        <f aca="false">IF($C54="","",IFERROR(INDEX(Inventario!$D$5:$D$100,MATCH($C54,Inventario!$B$5:$B$100,0)),"No está en Inventario"))</f>
        <v/>
      </c>
      <c r="E54" s="31" t="str">
        <f aca="false">IF($C54="","",IFERROR(INDEX(Inventario!$E$5:$E$100,MATCH($C54,Inventario!$B$5:$B$100,0)),"No está en Inventario"))</f>
        <v/>
      </c>
      <c r="F54" s="26"/>
      <c r="G54" s="42" t="str">
        <f aca="false">IF($C54="","",IFERROR(INDEX(Inventario!$H$5:$H$100,MATCH($C54,Inventario!$B$5:$B$100,0)),"No está en Inventario"))</f>
        <v/>
      </c>
      <c r="H54" s="43"/>
      <c r="I54" s="44" t="str">
        <f aca="false">IF(OR($C54="",$F54=""),"",N($F54)*N($G54)*(1-N($H54)))</f>
        <v/>
      </c>
      <c r="J54" s="24"/>
      <c r="K54" s="23"/>
      <c r="L54" s="30" t="str">
        <f aca="false">IF($C54="","",IFERROR(IF(INDEX(Inventario!$L$5:$L$100,MATCH($C54,Inventario!$B$5:$B$100,0))&lt;0,"Stock negativo: revisa","OK"),"No está en Inventario"))</f>
        <v/>
      </c>
    </row>
    <row r="55" customFormat="false" ht="15" hidden="false" customHeight="false" outlineLevel="0" collapsed="false">
      <c r="A55" s="1"/>
      <c r="B55" s="37"/>
      <c r="C55" s="13"/>
      <c r="D55" s="21" t="str">
        <f aca="false">IF($C55="","",IFERROR(INDEX(Inventario!$D$5:$D$100,MATCH($C55,Inventario!$B$5:$B$100,0)),"No está en Inventario"))</f>
        <v/>
      </c>
      <c r="E55" s="21" t="str">
        <f aca="false">IF($C55="","",IFERROR(INDEX(Inventario!$E$5:$E$100,MATCH($C55,Inventario!$B$5:$B$100,0)),"No está en Inventario"))</f>
        <v/>
      </c>
      <c r="F55" s="16"/>
      <c r="G55" s="38" t="str">
        <f aca="false">IF($C55="","",IFERROR(INDEX(Inventario!$H$5:$H$100,MATCH($C55,Inventario!$B$5:$B$100,0)),"No está en Inventario"))</f>
        <v/>
      </c>
      <c r="H55" s="39"/>
      <c r="I55" s="40" t="str">
        <f aca="false">IF(OR($C55="",$F55=""),"",N($F55)*N($G55)*(1-N($H55)))</f>
        <v/>
      </c>
      <c r="J55" s="14"/>
      <c r="K55" s="13"/>
      <c r="L55" s="20" t="str">
        <f aca="false">IF($C55="","",IFERROR(IF(INDEX(Inventario!$L$5:$L$100,MATCH($C55,Inventario!$B$5:$B$100,0))&lt;0,"Stock negativo: revisa","OK"),"No está en Inventario"))</f>
        <v/>
      </c>
    </row>
    <row r="56" customFormat="false" ht="15" hidden="false" customHeight="false" outlineLevel="0" collapsed="false">
      <c r="A56" s="1"/>
      <c r="B56" s="41"/>
      <c r="C56" s="23"/>
      <c r="D56" s="31" t="str">
        <f aca="false">IF($C56="","",IFERROR(INDEX(Inventario!$D$5:$D$100,MATCH($C56,Inventario!$B$5:$B$100,0)),"No está en Inventario"))</f>
        <v/>
      </c>
      <c r="E56" s="31" t="str">
        <f aca="false">IF($C56="","",IFERROR(INDEX(Inventario!$E$5:$E$100,MATCH($C56,Inventario!$B$5:$B$100,0)),"No está en Inventario"))</f>
        <v/>
      </c>
      <c r="F56" s="26"/>
      <c r="G56" s="42" t="str">
        <f aca="false">IF($C56="","",IFERROR(INDEX(Inventario!$H$5:$H$100,MATCH($C56,Inventario!$B$5:$B$100,0)),"No está en Inventario"))</f>
        <v/>
      </c>
      <c r="H56" s="43"/>
      <c r="I56" s="44" t="str">
        <f aca="false">IF(OR($C56="",$F56=""),"",N($F56)*N($G56)*(1-N($H56)))</f>
        <v/>
      </c>
      <c r="J56" s="24"/>
      <c r="K56" s="23"/>
      <c r="L56" s="30" t="str">
        <f aca="false">IF($C56="","",IFERROR(IF(INDEX(Inventario!$L$5:$L$100,MATCH($C56,Inventario!$B$5:$B$100,0))&lt;0,"Stock negativo: revisa","OK"),"No está en Inventario"))</f>
        <v/>
      </c>
    </row>
    <row r="57" customFormat="false" ht="15" hidden="false" customHeight="false" outlineLevel="0" collapsed="false">
      <c r="A57" s="1"/>
      <c r="B57" s="37"/>
      <c r="C57" s="13"/>
      <c r="D57" s="21" t="str">
        <f aca="false">IF($C57="","",IFERROR(INDEX(Inventario!$D$5:$D$100,MATCH($C57,Inventario!$B$5:$B$100,0)),"No está en Inventario"))</f>
        <v/>
      </c>
      <c r="E57" s="21" t="str">
        <f aca="false">IF($C57="","",IFERROR(INDEX(Inventario!$E$5:$E$100,MATCH($C57,Inventario!$B$5:$B$100,0)),"No está en Inventario"))</f>
        <v/>
      </c>
      <c r="F57" s="16"/>
      <c r="G57" s="38" t="str">
        <f aca="false">IF($C57="","",IFERROR(INDEX(Inventario!$H$5:$H$100,MATCH($C57,Inventario!$B$5:$B$100,0)),"No está en Inventario"))</f>
        <v/>
      </c>
      <c r="H57" s="39"/>
      <c r="I57" s="40" t="str">
        <f aca="false">IF(OR($C57="",$F57=""),"",N($F57)*N($G57)*(1-N($H57)))</f>
        <v/>
      </c>
      <c r="J57" s="14"/>
      <c r="K57" s="13"/>
      <c r="L57" s="20" t="str">
        <f aca="false">IF($C57="","",IFERROR(IF(INDEX(Inventario!$L$5:$L$100,MATCH($C57,Inventario!$B$5:$B$100,0))&lt;0,"Stock negativo: revisa","OK"),"No está en Inventario"))</f>
        <v/>
      </c>
    </row>
    <row r="58" customFormat="false" ht="15" hidden="false" customHeight="false" outlineLevel="0" collapsed="false">
      <c r="A58" s="1"/>
      <c r="B58" s="41"/>
      <c r="C58" s="23"/>
      <c r="D58" s="31" t="str">
        <f aca="false">IF($C58="","",IFERROR(INDEX(Inventario!$D$5:$D$100,MATCH($C58,Inventario!$B$5:$B$100,0)),"No está en Inventario"))</f>
        <v/>
      </c>
      <c r="E58" s="31" t="str">
        <f aca="false">IF($C58="","",IFERROR(INDEX(Inventario!$E$5:$E$100,MATCH($C58,Inventario!$B$5:$B$100,0)),"No está en Inventario"))</f>
        <v/>
      </c>
      <c r="F58" s="26"/>
      <c r="G58" s="42" t="str">
        <f aca="false">IF($C58="","",IFERROR(INDEX(Inventario!$H$5:$H$100,MATCH($C58,Inventario!$B$5:$B$100,0)),"No está en Inventario"))</f>
        <v/>
      </c>
      <c r="H58" s="43"/>
      <c r="I58" s="44" t="str">
        <f aca="false">IF(OR($C58="",$F58=""),"",N($F58)*N($G58)*(1-N($H58)))</f>
        <v/>
      </c>
      <c r="J58" s="24"/>
      <c r="K58" s="23"/>
      <c r="L58" s="30" t="str">
        <f aca="false">IF($C58="","",IFERROR(IF(INDEX(Inventario!$L$5:$L$100,MATCH($C58,Inventario!$B$5:$B$100,0))&lt;0,"Stock negativo: revisa","OK"),"No está en Inventario"))</f>
        <v/>
      </c>
    </row>
    <row r="59" customFormat="false" ht="15" hidden="false" customHeight="false" outlineLevel="0" collapsed="false">
      <c r="A59" s="1"/>
      <c r="B59" s="37"/>
      <c r="C59" s="13"/>
      <c r="D59" s="21" t="str">
        <f aca="false">IF($C59="","",IFERROR(INDEX(Inventario!$D$5:$D$100,MATCH($C59,Inventario!$B$5:$B$100,0)),"No está en Inventario"))</f>
        <v/>
      </c>
      <c r="E59" s="21" t="str">
        <f aca="false">IF($C59="","",IFERROR(INDEX(Inventario!$E$5:$E$100,MATCH($C59,Inventario!$B$5:$B$100,0)),"No está en Inventario"))</f>
        <v/>
      </c>
      <c r="F59" s="16"/>
      <c r="G59" s="38" t="str">
        <f aca="false">IF($C59="","",IFERROR(INDEX(Inventario!$H$5:$H$100,MATCH($C59,Inventario!$B$5:$B$100,0)),"No está en Inventario"))</f>
        <v/>
      </c>
      <c r="H59" s="39"/>
      <c r="I59" s="40" t="str">
        <f aca="false">IF(OR($C59="",$F59=""),"",N($F59)*N($G59)*(1-N($H59)))</f>
        <v/>
      </c>
      <c r="J59" s="14"/>
      <c r="K59" s="13"/>
      <c r="L59" s="20" t="str">
        <f aca="false">IF($C59="","",IFERROR(IF(INDEX(Inventario!$L$5:$L$100,MATCH($C59,Inventario!$B$5:$B$100,0))&lt;0,"Stock negativo: revisa","OK"),"No está en Inventario"))</f>
        <v/>
      </c>
    </row>
    <row r="60" customFormat="false" ht="15" hidden="false" customHeight="false" outlineLevel="0" collapsed="false">
      <c r="A60" s="1"/>
      <c r="B60" s="41"/>
      <c r="C60" s="23"/>
      <c r="D60" s="31" t="str">
        <f aca="false">IF($C60="","",IFERROR(INDEX(Inventario!$D$5:$D$100,MATCH($C60,Inventario!$B$5:$B$100,0)),"No está en Inventario"))</f>
        <v/>
      </c>
      <c r="E60" s="31" t="str">
        <f aca="false">IF($C60="","",IFERROR(INDEX(Inventario!$E$5:$E$100,MATCH($C60,Inventario!$B$5:$B$100,0)),"No está en Inventario"))</f>
        <v/>
      </c>
      <c r="F60" s="26"/>
      <c r="G60" s="42" t="str">
        <f aca="false">IF($C60="","",IFERROR(INDEX(Inventario!$H$5:$H$100,MATCH($C60,Inventario!$B$5:$B$100,0)),"No está en Inventario"))</f>
        <v/>
      </c>
      <c r="H60" s="43"/>
      <c r="I60" s="44" t="str">
        <f aca="false">IF(OR($C60="",$F60=""),"",N($F60)*N($G60)*(1-N($H60)))</f>
        <v/>
      </c>
      <c r="J60" s="24"/>
      <c r="K60" s="23"/>
      <c r="L60" s="30" t="str">
        <f aca="false">IF($C60="","",IFERROR(IF(INDEX(Inventario!$L$5:$L$100,MATCH($C60,Inventario!$B$5:$B$100,0))&lt;0,"Stock negativo: revisa","OK"),"No está en Inventario"))</f>
        <v/>
      </c>
    </row>
    <row r="61" customFormat="false" ht="15" hidden="false" customHeight="false" outlineLevel="0" collapsed="false">
      <c r="A61" s="1"/>
      <c r="B61" s="37"/>
      <c r="C61" s="13"/>
      <c r="D61" s="21" t="str">
        <f aca="false">IF($C61="","",IFERROR(INDEX(Inventario!$D$5:$D$100,MATCH($C61,Inventario!$B$5:$B$100,0)),"No está en Inventario"))</f>
        <v/>
      </c>
      <c r="E61" s="21" t="str">
        <f aca="false">IF($C61="","",IFERROR(INDEX(Inventario!$E$5:$E$100,MATCH($C61,Inventario!$B$5:$B$100,0)),"No está en Inventario"))</f>
        <v/>
      </c>
      <c r="F61" s="16"/>
      <c r="G61" s="38" t="str">
        <f aca="false">IF($C61="","",IFERROR(INDEX(Inventario!$H$5:$H$100,MATCH($C61,Inventario!$B$5:$B$100,0)),"No está en Inventario"))</f>
        <v/>
      </c>
      <c r="H61" s="39"/>
      <c r="I61" s="40" t="str">
        <f aca="false">IF(OR($C61="",$F61=""),"",N($F61)*N($G61)*(1-N($H61)))</f>
        <v/>
      </c>
      <c r="J61" s="14"/>
      <c r="K61" s="13"/>
      <c r="L61" s="20" t="str">
        <f aca="false">IF($C61="","",IFERROR(IF(INDEX(Inventario!$L$5:$L$100,MATCH($C61,Inventario!$B$5:$B$100,0))&lt;0,"Stock negativo: revisa","OK"),"No está en Inventario"))</f>
        <v/>
      </c>
    </row>
    <row r="62" customFormat="false" ht="15" hidden="false" customHeight="false" outlineLevel="0" collapsed="false">
      <c r="A62" s="1"/>
      <c r="B62" s="41"/>
      <c r="C62" s="23"/>
      <c r="D62" s="31" t="str">
        <f aca="false">IF($C62="","",IFERROR(INDEX(Inventario!$D$5:$D$100,MATCH($C62,Inventario!$B$5:$B$100,0)),"No está en Inventario"))</f>
        <v/>
      </c>
      <c r="E62" s="31" t="str">
        <f aca="false">IF($C62="","",IFERROR(INDEX(Inventario!$E$5:$E$100,MATCH($C62,Inventario!$B$5:$B$100,0)),"No está en Inventario"))</f>
        <v/>
      </c>
      <c r="F62" s="26"/>
      <c r="G62" s="42" t="str">
        <f aca="false">IF($C62="","",IFERROR(INDEX(Inventario!$H$5:$H$100,MATCH($C62,Inventario!$B$5:$B$100,0)),"No está en Inventario"))</f>
        <v/>
      </c>
      <c r="H62" s="43"/>
      <c r="I62" s="44" t="str">
        <f aca="false">IF(OR($C62="",$F62=""),"",N($F62)*N($G62)*(1-N($H62)))</f>
        <v/>
      </c>
      <c r="J62" s="24"/>
      <c r="K62" s="23"/>
      <c r="L62" s="30" t="str">
        <f aca="false">IF($C62="","",IFERROR(IF(INDEX(Inventario!$L$5:$L$100,MATCH($C62,Inventario!$B$5:$B$100,0))&lt;0,"Stock negativo: revisa","OK"),"No está en Inventario"))</f>
        <v/>
      </c>
    </row>
    <row r="63" customFormat="false" ht="15" hidden="false" customHeight="false" outlineLevel="0" collapsed="false">
      <c r="A63" s="1"/>
      <c r="B63" s="37"/>
      <c r="C63" s="13"/>
      <c r="D63" s="21" t="str">
        <f aca="false">IF($C63="","",IFERROR(INDEX(Inventario!$D$5:$D$100,MATCH($C63,Inventario!$B$5:$B$100,0)),"No está en Inventario"))</f>
        <v/>
      </c>
      <c r="E63" s="21" t="str">
        <f aca="false">IF($C63="","",IFERROR(INDEX(Inventario!$E$5:$E$100,MATCH($C63,Inventario!$B$5:$B$100,0)),"No está en Inventario"))</f>
        <v/>
      </c>
      <c r="F63" s="16"/>
      <c r="G63" s="38" t="str">
        <f aca="false">IF($C63="","",IFERROR(INDEX(Inventario!$H$5:$H$100,MATCH($C63,Inventario!$B$5:$B$100,0)),"No está en Inventario"))</f>
        <v/>
      </c>
      <c r="H63" s="39"/>
      <c r="I63" s="40" t="str">
        <f aca="false">IF(OR($C63="",$F63=""),"",N($F63)*N($G63)*(1-N($H63)))</f>
        <v/>
      </c>
      <c r="J63" s="14"/>
      <c r="K63" s="13"/>
      <c r="L63" s="20" t="str">
        <f aca="false">IF($C63="","",IFERROR(IF(INDEX(Inventario!$L$5:$L$100,MATCH($C63,Inventario!$B$5:$B$100,0))&lt;0,"Stock negativo: revisa","OK"),"No está en Inventario"))</f>
        <v/>
      </c>
    </row>
    <row r="64" customFormat="false" ht="15" hidden="false" customHeight="false" outlineLevel="0" collapsed="false">
      <c r="A64" s="1"/>
      <c r="B64" s="41"/>
      <c r="C64" s="23"/>
      <c r="D64" s="31" t="str">
        <f aca="false">IF($C64="","",IFERROR(INDEX(Inventario!$D$5:$D$100,MATCH($C64,Inventario!$B$5:$B$100,0)),"No está en Inventario"))</f>
        <v/>
      </c>
      <c r="E64" s="31" t="str">
        <f aca="false">IF($C64="","",IFERROR(INDEX(Inventario!$E$5:$E$100,MATCH($C64,Inventario!$B$5:$B$100,0)),"No está en Inventario"))</f>
        <v/>
      </c>
      <c r="F64" s="26"/>
      <c r="G64" s="42" t="str">
        <f aca="false">IF($C64="","",IFERROR(INDEX(Inventario!$H$5:$H$100,MATCH($C64,Inventario!$B$5:$B$100,0)),"No está en Inventario"))</f>
        <v/>
      </c>
      <c r="H64" s="43"/>
      <c r="I64" s="44" t="str">
        <f aca="false">IF(OR($C64="",$F64=""),"",N($F64)*N($G64)*(1-N($H64)))</f>
        <v/>
      </c>
      <c r="J64" s="24"/>
      <c r="K64" s="23"/>
      <c r="L64" s="30" t="str">
        <f aca="false">IF($C64="","",IFERROR(IF(INDEX(Inventario!$L$5:$L$100,MATCH($C64,Inventario!$B$5:$B$100,0))&lt;0,"Stock negativo: revisa","OK"),"No está en Inventario"))</f>
        <v/>
      </c>
    </row>
    <row r="65" customFormat="false" ht="15" hidden="false" customHeight="false" outlineLevel="0" collapsed="false">
      <c r="A65" s="1"/>
      <c r="B65" s="37"/>
      <c r="C65" s="13"/>
      <c r="D65" s="21" t="str">
        <f aca="false">IF($C65="","",IFERROR(INDEX(Inventario!$D$5:$D$100,MATCH($C65,Inventario!$B$5:$B$100,0)),"No está en Inventario"))</f>
        <v/>
      </c>
      <c r="E65" s="21" t="str">
        <f aca="false">IF($C65="","",IFERROR(INDEX(Inventario!$E$5:$E$100,MATCH($C65,Inventario!$B$5:$B$100,0)),"No está en Inventario"))</f>
        <v/>
      </c>
      <c r="F65" s="16"/>
      <c r="G65" s="38" t="str">
        <f aca="false">IF($C65="","",IFERROR(INDEX(Inventario!$H$5:$H$100,MATCH($C65,Inventario!$B$5:$B$100,0)),"No está en Inventario"))</f>
        <v/>
      </c>
      <c r="H65" s="39"/>
      <c r="I65" s="40" t="str">
        <f aca="false">IF(OR($C65="",$F65=""),"",N($F65)*N($G65)*(1-N($H65)))</f>
        <v/>
      </c>
      <c r="J65" s="14"/>
      <c r="K65" s="13"/>
      <c r="L65" s="20" t="str">
        <f aca="false">IF($C65="","",IFERROR(IF(INDEX(Inventario!$L$5:$L$100,MATCH($C65,Inventario!$B$5:$B$100,0))&lt;0,"Stock negativo: revisa","OK"),"No está en Inventario"))</f>
        <v/>
      </c>
    </row>
    <row r="66" customFormat="false" ht="15" hidden="false" customHeight="false" outlineLevel="0" collapsed="false">
      <c r="A66" s="1"/>
      <c r="B66" s="41"/>
      <c r="C66" s="23"/>
      <c r="D66" s="31" t="str">
        <f aca="false">IF($C66="","",IFERROR(INDEX(Inventario!$D$5:$D$100,MATCH($C66,Inventario!$B$5:$B$100,0)),"No está en Inventario"))</f>
        <v/>
      </c>
      <c r="E66" s="31" t="str">
        <f aca="false">IF($C66="","",IFERROR(INDEX(Inventario!$E$5:$E$100,MATCH($C66,Inventario!$B$5:$B$100,0)),"No está en Inventario"))</f>
        <v/>
      </c>
      <c r="F66" s="26"/>
      <c r="G66" s="42" t="str">
        <f aca="false">IF($C66="","",IFERROR(INDEX(Inventario!$H$5:$H$100,MATCH($C66,Inventario!$B$5:$B$100,0)),"No está en Inventario"))</f>
        <v/>
      </c>
      <c r="H66" s="43"/>
      <c r="I66" s="44" t="str">
        <f aca="false">IF(OR($C66="",$F66=""),"",N($F66)*N($G66)*(1-N($H66)))</f>
        <v/>
      </c>
      <c r="J66" s="24"/>
      <c r="K66" s="23"/>
      <c r="L66" s="30" t="str">
        <f aca="false">IF($C66="","",IFERROR(IF(INDEX(Inventario!$L$5:$L$100,MATCH($C66,Inventario!$B$5:$B$100,0))&lt;0,"Stock negativo: revisa","OK"),"No está en Inventario"))</f>
        <v/>
      </c>
    </row>
    <row r="67" customFormat="false" ht="15" hidden="false" customHeight="false" outlineLevel="0" collapsed="false">
      <c r="A67" s="1"/>
      <c r="B67" s="37"/>
      <c r="C67" s="13"/>
      <c r="D67" s="21" t="str">
        <f aca="false">IF($C67="","",IFERROR(INDEX(Inventario!$D$5:$D$100,MATCH($C67,Inventario!$B$5:$B$100,0)),"No está en Inventario"))</f>
        <v/>
      </c>
      <c r="E67" s="21" t="str">
        <f aca="false">IF($C67="","",IFERROR(INDEX(Inventario!$E$5:$E$100,MATCH($C67,Inventario!$B$5:$B$100,0)),"No está en Inventario"))</f>
        <v/>
      </c>
      <c r="F67" s="16"/>
      <c r="G67" s="38" t="str">
        <f aca="false">IF($C67="","",IFERROR(INDEX(Inventario!$H$5:$H$100,MATCH($C67,Inventario!$B$5:$B$100,0)),"No está en Inventario"))</f>
        <v/>
      </c>
      <c r="H67" s="39"/>
      <c r="I67" s="40" t="str">
        <f aca="false">IF(OR($C67="",$F67=""),"",N($F67)*N($G67)*(1-N($H67)))</f>
        <v/>
      </c>
      <c r="J67" s="14"/>
      <c r="K67" s="13"/>
      <c r="L67" s="20" t="str">
        <f aca="false">IF($C67="","",IFERROR(IF(INDEX(Inventario!$L$5:$L$100,MATCH($C67,Inventario!$B$5:$B$100,0))&lt;0,"Stock negativo: revisa","OK"),"No está en Inventario"))</f>
        <v/>
      </c>
    </row>
    <row r="68" customFormat="false" ht="15" hidden="false" customHeight="false" outlineLevel="0" collapsed="false">
      <c r="A68" s="1"/>
      <c r="B68" s="41"/>
      <c r="C68" s="23"/>
      <c r="D68" s="31" t="str">
        <f aca="false">IF($C68="","",IFERROR(INDEX(Inventario!$D$5:$D$100,MATCH($C68,Inventario!$B$5:$B$100,0)),"No está en Inventario"))</f>
        <v/>
      </c>
      <c r="E68" s="31" t="str">
        <f aca="false">IF($C68="","",IFERROR(INDEX(Inventario!$E$5:$E$100,MATCH($C68,Inventario!$B$5:$B$100,0)),"No está en Inventario"))</f>
        <v/>
      </c>
      <c r="F68" s="26"/>
      <c r="G68" s="42" t="str">
        <f aca="false">IF($C68="","",IFERROR(INDEX(Inventario!$H$5:$H$100,MATCH($C68,Inventario!$B$5:$B$100,0)),"No está en Inventario"))</f>
        <v/>
      </c>
      <c r="H68" s="43"/>
      <c r="I68" s="44" t="str">
        <f aca="false">IF(OR($C68="",$F68=""),"",N($F68)*N($G68)*(1-N($H68)))</f>
        <v/>
      </c>
      <c r="J68" s="24"/>
      <c r="K68" s="23"/>
      <c r="L68" s="30" t="str">
        <f aca="false">IF($C68="","",IFERROR(IF(INDEX(Inventario!$L$5:$L$100,MATCH($C68,Inventario!$B$5:$B$100,0))&lt;0,"Stock negativo: revisa","OK"),"No está en Inventario"))</f>
        <v/>
      </c>
    </row>
    <row r="69" customFormat="false" ht="15" hidden="false" customHeight="false" outlineLevel="0" collapsed="false">
      <c r="A69" s="1"/>
      <c r="B69" s="37"/>
      <c r="C69" s="13"/>
      <c r="D69" s="21" t="str">
        <f aca="false">IF($C69="","",IFERROR(INDEX(Inventario!$D$5:$D$100,MATCH($C69,Inventario!$B$5:$B$100,0)),"No está en Inventario"))</f>
        <v/>
      </c>
      <c r="E69" s="21" t="str">
        <f aca="false">IF($C69="","",IFERROR(INDEX(Inventario!$E$5:$E$100,MATCH($C69,Inventario!$B$5:$B$100,0)),"No está en Inventario"))</f>
        <v/>
      </c>
      <c r="F69" s="16"/>
      <c r="G69" s="38" t="str">
        <f aca="false">IF($C69="","",IFERROR(INDEX(Inventario!$H$5:$H$100,MATCH($C69,Inventario!$B$5:$B$100,0)),"No está en Inventario"))</f>
        <v/>
      </c>
      <c r="H69" s="39"/>
      <c r="I69" s="40" t="str">
        <f aca="false">IF(OR($C69="",$F69=""),"",N($F69)*N($G69)*(1-N($H69)))</f>
        <v/>
      </c>
      <c r="J69" s="14"/>
      <c r="K69" s="13"/>
      <c r="L69" s="20" t="str">
        <f aca="false">IF($C69="","",IFERROR(IF(INDEX(Inventario!$L$5:$L$100,MATCH($C69,Inventario!$B$5:$B$100,0))&lt;0,"Stock negativo: revisa","OK"),"No está en Inventario"))</f>
        <v/>
      </c>
    </row>
    <row r="70" customFormat="false" ht="15" hidden="false" customHeight="false" outlineLevel="0" collapsed="false">
      <c r="A70" s="1"/>
      <c r="B70" s="41"/>
      <c r="C70" s="23"/>
      <c r="D70" s="31" t="str">
        <f aca="false">IF($C70="","",IFERROR(INDEX(Inventario!$D$5:$D$100,MATCH($C70,Inventario!$B$5:$B$100,0)),"No está en Inventario"))</f>
        <v/>
      </c>
      <c r="E70" s="31" t="str">
        <f aca="false">IF($C70="","",IFERROR(INDEX(Inventario!$E$5:$E$100,MATCH($C70,Inventario!$B$5:$B$100,0)),"No está en Inventario"))</f>
        <v/>
      </c>
      <c r="F70" s="26"/>
      <c r="G70" s="42" t="str">
        <f aca="false">IF($C70="","",IFERROR(INDEX(Inventario!$H$5:$H$100,MATCH($C70,Inventario!$B$5:$B$100,0)),"No está en Inventario"))</f>
        <v/>
      </c>
      <c r="H70" s="43"/>
      <c r="I70" s="44" t="str">
        <f aca="false">IF(OR($C70="",$F70=""),"",N($F70)*N($G70)*(1-N($H70)))</f>
        <v/>
      </c>
      <c r="J70" s="24"/>
      <c r="K70" s="23"/>
      <c r="L70" s="30" t="str">
        <f aca="false">IF($C70="","",IFERROR(IF(INDEX(Inventario!$L$5:$L$100,MATCH($C70,Inventario!$B$5:$B$100,0))&lt;0,"Stock negativo: revisa","OK"),"No está en Inventario"))</f>
        <v/>
      </c>
    </row>
    <row r="71" customFormat="false" ht="15" hidden="false" customHeight="false" outlineLevel="0" collapsed="false">
      <c r="A71" s="1"/>
      <c r="B71" s="37"/>
      <c r="C71" s="13"/>
      <c r="D71" s="21" t="str">
        <f aca="false">IF($C71="","",IFERROR(INDEX(Inventario!$D$5:$D$100,MATCH($C71,Inventario!$B$5:$B$100,0)),"No está en Inventario"))</f>
        <v/>
      </c>
      <c r="E71" s="21" t="str">
        <f aca="false">IF($C71="","",IFERROR(INDEX(Inventario!$E$5:$E$100,MATCH($C71,Inventario!$B$5:$B$100,0)),"No está en Inventario"))</f>
        <v/>
      </c>
      <c r="F71" s="16"/>
      <c r="G71" s="38" t="str">
        <f aca="false">IF($C71="","",IFERROR(INDEX(Inventario!$H$5:$H$100,MATCH($C71,Inventario!$B$5:$B$100,0)),"No está en Inventario"))</f>
        <v/>
      </c>
      <c r="H71" s="39"/>
      <c r="I71" s="40" t="str">
        <f aca="false">IF(OR($C71="",$F71=""),"",N($F71)*N($G71)*(1-N($H71)))</f>
        <v/>
      </c>
      <c r="J71" s="14"/>
      <c r="K71" s="13"/>
      <c r="L71" s="20" t="str">
        <f aca="false">IF($C71="","",IFERROR(IF(INDEX(Inventario!$L$5:$L$100,MATCH($C71,Inventario!$B$5:$B$100,0))&lt;0,"Stock negativo: revisa","OK"),"No está en Inventario"))</f>
        <v/>
      </c>
    </row>
    <row r="72" customFormat="false" ht="15" hidden="false" customHeight="false" outlineLevel="0" collapsed="false">
      <c r="A72" s="1"/>
      <c r="B72" s="41"/>
      <c r="C72" s="23"/>
      <c r="D72" s="31" t="str">
        <f aca="false">IF($C72="","",IFERROR(INDEX(Inventario!$D$5:$D$100,MATCH($C72,Inventario!$B$5:$B$100,0)),"No está en Inventario"))</f>
        <v/>
      </c>
      <c r="E72" s="31" t="str">
        <f aca="false">IF($C72="","",IFERROR(INDEX(Inventario!$E$5:$E$100,MATCH($C72,Inventario!$B$5:$B$100,0)),"No está en Inventario"))</f>
        <v/>
      </c>
      <c r="F72" s="26"/>
      <c r="G72" s="42" t="str">
        <f aca="false">IF($C72="","",IFERROR(INDEX(Inventario!$H$5:$H$100,MATCH($C72,Inventario!$B$5:$B$100,0)),"No está en Inventario"))</f>
        <v/>
      </c>
      <c r="H72" s="43"/>
      <c r="I72" s="44" t="str">
        <f aca="false">IF(OR($C72="",$F72=""),"",N($F72)*N($G72)*(1-N($H72)))</f>
        <v/>
      </c>
      <c r="J72" s="24"/>
      <c r="K72" s="23"/>
      <c r="L72" s="30" t="str">
        <f aca="false">IF($C72="","",IFERROR(IF(INDEX(Inventario!$L$5:$L$100,MATCH($C72,Inventario!$B$5:$B$100,0))&lt;0,"Stock negativo: revisa","OK"),"No está en Inventario"))</f>
        <v/>
      </c>
    </row>
    <row r="73" customFormat="false" ht="15" hidden="false" customHeight="false" outlineLevel="0" collapsed="false">
      <c r="A73" s="1"/>
      <c r="B73" s="37"/>
      <c r="C73" s="13"/>
      <c r="D73" s="21" t="str">
        <f aca="false">IF($C73="","",IFERROR(INDEX(Inventario!$D$5:$D$100,MATCH($C73,Inventario!$B$5:$B$100,0)),"No está en Inventario"))</f>
        <v/>
      </c>
      <c r="E73" s="21" t="str">
        <f aca="false">IF($C73="","",IFERROR(INDEX(Inventario!$E$5:$E$100,MATCH($C73,Inventario!$B$5:$B$100,0)),"No está en Inventario"))</f>
        <v/>
      </c>
      <c r="F73" s="16"/>
      <c r="G73" s="38" t="str">
        <f aca="false">IF($C73="","",IFERROR(INDEX(Inventario!$H$5:$H$100,MATCH($C73,Inventario!$B$5:$B$100,0)),"No está en Inventario"))</f>
        <v/>
      </c>
      <c r="H73" s="39"/>
      <c r="I73" s="40" t="str">
        <f aca="false">IF(OR($C73="",$F73=""),"",N($F73)*N($G73)*(1-N($H73)))</f>
        <v/>
      </c>
      <c r="J73" s="14"/>
      <c r="K73" s="13"/>
      <c r="L73" s="20" t="str">
        <f aca="false">IF($C73="","",IFERROR(IF(INDEX(Inventario!$L$5:$L$100,MATCH($C73,Inventario!$B$5:$B$100,0))&lt;0,"Stock negativo: revisa","OK"),"No está en Inventario"))</f>
        <v/>
      </c>
    </row>
    <row r="74" customFormat="false" ht="15" hidden="false" customHeight="false" outlineLevel="0" collapsed="false">
      <c r="A74" s="1"/>
      <c r="B74" s="41"/>
      <c r="C74" s="23"/>
      <c r="D74" s="31" t="str">
        <f aca="false">IF($C74="","",IFERROR(INDEX(Inventario!$D$5:$D$100,MATCH($C74,Inventario!$B$5:$B$100,0)),"No está en Inventario"))</f>
        <v/>
      </c>
      <c r="E74" s="31" t="str">
        <f aca="false">IF($C74="","",IFERROR(INDEX(Inventario!$E$5:$E$100,MATCH($C74,Inventario!$B$5:$B$100,0)),"No está en Inventario"))</f>
        <v/>
      </c>
      <c r="F74" s="26"/>
      <c r="G74" s="42" t="str">
        <f aca="false">IF($C74="","",IFERROR(INDEX(Inventario!$H$5:$H$100,MATCH($C74,Inventario!$B$5:$B$100,0)),"No está en Inventario"))</f>
        <v/>
      </c>
      <c r="H74" s="43"/>
      <c r="I74" s="44" t="str">
        <f aca="false">IF(OR($C74="",$F74=""),"",N($F74)*N($G74)*(1-N($H74)))</f>
        <v/>
      </c>
      <c r="J74" s="24"/>
      <c r="K74" s="23"/>
      <c r="L74" s="30" t="str">
        <f aca="false">IF($C74="","",IFERROR(IF(INDEX(Inventario!$L$5:$L$100,MATCH($C74,Inventario!$B$5:$B$100,0))&lt;0,"Stock negativo: revisa","OK"),"No está en Inventario"))</f>
        <v/>
      </c>
    </row>
    <row r="75" customFormat="false" ht="15" hidden="false" customHeight="false" outlineLevel="0" collapsed="false">
      <c r="A75" s="1"/>
      <c r="B75" s="37"/>
      <c r="C75" s="13"/>
      <c r="D75" s="21" t="str">
        <f aca="false">IF($C75="","",IFERROR(INDEX(Inventario!$D$5:$D$100,MATCH($C75,Inventario!$B$5:$B$100,0)),"No está en Inventario"))</f>
        <v/>
      </c>
      <c r="E75" s="21" t="str">
        <f aca="false">IF($C75="","",IFERROR(INDEX(Inventario!$E$5:$E$100,MATCH($C75,Inventario!$B$5:$B$100,0)),"No está en Inventario"))</f>
        <v/>
      </c>
      <c r="F75" s="16"/>
      <c r="G75" s="38" t="str">
        <f aca="false">IF($C75="","",IFERROR(INDEX(Inventario!$H$5:$H$100,MATCH($C75,Inventario!$B$5:$B$100,0)),"No está en Inventario"))</f>
        <v/>
      </c>
      <c r="H75" s="39"/>
      <c r="I75" s="40" t="str">
        <f aca="false">IF(OR($C75="",$F75=""),"",N($F75)*N($G75)*(1-N($H75)))</f>
        <v/>
      </c>
      <c r="J75" s="14"/>
      <c r="K75" s="13"/>
      <c r="L75" s="20" t="str">
        <f aca="false">IF($C75="","",IFERROR(IF(INDEX(Inventario!$L$5:$L$100,MATCH($C75,Inventario!$B$5:$B$100,0))&lt;0,"Stock negativo: revisa","OK"),"No está en Inventario"))</f>
        <v/>
      </c>
    </row>
    <row r="76" customFormat="false" ht="15" hidden="false" customHeight="false" outlineLevel="0" collapsed="false">
      <c r="A76" s="1"/>
      <c r="B76" s="41"/>
      <c r="C76" s="23"/>
      <c r="D76" s="31" t="str">
        <f aca="false">IF($C76="","",IFERROR(INDEX(Inventario!$D$5:$D$100,MATCH($C76,Inventario!$B$5:$B$100,0)),"No está en Inventario"))</f>
        <v/>
      </c>
      <c r="E76" s="31" t="str">
        <f aca="false">IF($C76="","",IFERROR(INDEX(Inventario!$E$5:$E$100,MATCH($C76,Inventario!$B$5:$B$100,0)),"No está en Inventario"))</f>
        <v/>
      </c>
      <c r="F76" s="26"/>
      <c r="G76" s="42" t="str">
        <f aca="false">IF($C76="","",IFERROR(INDEX(Inventario!$H$5:$H$100,MATCH($C76,Inventario!$B$5:$B$100,0)),"No está en Inventario"))</f>
        <v/>
      </c>
      <c r="H76" s="43"/>
      <c r="I76" s="44" t="str">
        <f aca="false">IF(OR($C76="",$F76=""),"",N($F76)*N($G76)*(1-N($H76)))</f>
        <v/>
      </c>
      <c r="J76" s="24"/>
      <c r="K76" s="23"/>
      <c r="L76" s="30" t="str">
        <f aca="false">IF($C76="","",IFERROR(IF(INDEX(Inventario!$L$5:$L$100,MATCH($C76,Inventario!$B$5:$B$100,0))&lt;0,"Stock negativo: revisa","OK"),"No está en Inventario"))</f>
        <v/>
      </c>
    </row>
    <row r="77" customFormat="false" ht="15" hidden="false" customHeight="false" outlineLevel="0" collapsed="false">
      <c r="A77" s="1"/>
      <c r="B77" s="37"/>
      <c r="C77" s="13"/>
      <c r="D77" s="21" t="str">
        <f aca="false">IF($C77="","",IFERROR(INDEX(Inventario!$D$5:$D$100,MATCH($C77,Inventario!$B$5:$B$100,0)),"No está en Inventario"))</f>
        <v/>
      </c>
      <c r="E77" s="21" t="str">
        <f aca="false">IF($C77="","",IFERROR(INDEX(Inventario!$E$5:$E$100,MATCH($C77,Inventario!$B$5:$B$100,0)),"No está en Inventario"))</f>
        <v/>
      </c>
      <c r="F77" s="16"/>
      <c r="G77" s="38" t="str">
        <f aca="false">IF($C77="","",IFERROR(INDEX(Inventario!$H$5:$H$100,MATCH($C77,Inventario!$B$5:$B$100,0)),"No está en Inventario"))</f>
        <v/>
      </c>
      <c r="H77" s="39"/>
      <c r="I77" s="40" t="str">
        <f aca="false">IF(OR($C77="",$F77=""),"",N($F77)*N($G77)*(1-N($H77)))</f>
        <v/>
      </c>
      <c r="J77" s="14"/>
      <c r="K77" s="13"/>
      <c r="L77" s="20" t="str">
        <f aca="false">IF($C77="","",IFERROR(IF(INDEX(Inventario!$L$5:$L$100,MATCH($C77,Inventario!$B$5:$B$100,0))&lt;0,"Stock negativo: revisa","OK"),"No está en Inventario"))</f>
        <v/>
      </c>
    </row>
    <row r="78" customFormat="false" ht="15" hidden="false" customHeight="false" outlineLevel="0" collapsed="false">
      <c r="A78" s="1"/>
      <c r="B78" s="41"/>
      <c r="C78" s="23"/>
      <c r="D78" s="31" t="str">
        <f aca="false">IF($C78="","",IFERROR(INDEX(Inventario!$D$5:$D$100,MATCH($C78,Inventario!$B$5:$B$100,0)),"No está en Inventario"))</f>
        <v/>
      </c>
      <c r="E78" s="31" t="str">
        <f aca="false">IF($C78="","",IFERROR(INDEX(Inventario!$E$5:$E$100,MATCH($C78,Inventario!$B$5:$B$100,0)),"No está en Inventario"))</f>
        <v/>
      </c>
      <c r="F78" s="26"/>
      <c r="G78" s="42" t="str">
        <f aca="false">IF($C78="","",IFERROR(INDEX(Inventario!$H$5:$H$100,MATCH($C78,Inventario!$B$5:$B$100,0)),"No está en Inventario"))</f>
        <v/>
      </c>
      <c r="H78" s="43"/>
      <c r="I78" s="44" t="str">
        <f aca="false">IF(OR($C78="",$F78=""),"",N($F78)*N($G78)*(1-N($H78)))</f>
        <v/>
      </c>
      <c r="J78" s="24"/>
      <c r="K78" s="23"/>
      <c r="L78" s="30" t="str">
        <f aca="false">IF($C78="","",IFERROR(IF(INDEX(Inventario!$L$5:$L$100,MATCH($C78,Inventario!$B$5:$B$100,0))&lt;0,"Stock negativo: revisa","OK"),"No está en Inventario"))</f>
        <v/>
      </c>
    </row>
    <row r="79" customFormat="false" ht="15" hidden="false" customHeight="false" outlineLevel="0" collapsed="false">
      <c r="A79" s="1"/>
      <c r="B79" s="37"/>
      <c r="C79" s="13"/>
      <c r="D79" s="21" t="str">
        <f aca="false">IF($C79="","",IFERROR(INDEX(Inventario!$D$5:$D$100,MATCH($C79,Inventario!$B$5:$B$100,0)),"No está en Inventario"))</f>
        <v/>
      </c>
      <c r="E79" s="21" t="str">
        <f aca="false">IF($C79="","",IFERROR(INDEX(Inventario!$E$5:$E$100,MATCH($C79,Inventario!$B$5:$B$100,0)),"No está en Inventario"))</f>
        <v/>
      </c>
      <c r="F79" s="16"/>
      <c r="G79" s="38" t="str">
        <f aca="false">IF($C79="","",IFERROR(INDEX(Inventario!$H$5:$H$100,MATCH($C79,Inventario!$B$5:$B$100,0)),"No está en Inventario"))</f>
        <v/>
      </c>
      <c r="H79" s="39"/>
      <c r="I79" s="40" t="str">
        <f aca="false">IF(OR($C79="",$F79=""),"",N($F79)*N($G79)*(1-N($H79)))</f>
        <v/>
      </c>
      <c r="J79" s="14"/>
      <c r="K79" s="13"/>
      <c r="L79" s="20" t="str">
        <f aca="false">IF($C79="","",IFERROR(IF(INDEX(Inventario!$L$5:$L$100,MATCH($C79,Inventario!$B$5:$B$100,0))&lt;0,"Stock negativo: revisa","OK"),"No está en Inventario"))</f>
        <v/>
      </c>
    </row>
    <row r="80" customFormat="false" ht="15" hidden="false" customHeight="false" outlineLevel="0" collapsed="false">
      <c r="A80" s="1"/>
      <c r="B80" s="41"/>
      <c r="C80" s="23"/>
      <c r="D80" s="31" t="str">
        <f aca="false">IF($C80="","",IFERROR(INDEX(Inventario!$D$5:$D$100,MATCH($C80,Inventario!$B$5:$B$100,0)),"No está en Inventario"))</f>
        <v/>
      </c>
      <c r="E80" s="31" t="str">
        <f aca="false">IF($C80="","",IFERROR(INDEX(Inventario!$E$5:$E$100,MATCH($C80,Inventario!$B$5:$B$100,0)),"No está en Inventario"))</f>
        <v/>
      </c>
      <c r="F80" s="26"/>
      <c r="G80" s="42" t="str">
        <f aca="false">IF($C80="","",IFERROR(INDEX(Inventario!$H$5:$H$100,MATCH($C80,Inventario!$B$5:$B$100,0)),"No está en Inventario"))</f>
        <v/>
      </c>
      <c r="H80" s="43"/>
      <c r="I80" s="44" t="str">
        <f aca="false">IF(OR($C80="",$F80=""),"",N($F80)*N($G80)*(1-N($H80)))</f>
        <v/>
      </c>
      <c r="J80" s="24"/>
      <c r="K80" s="23"/>
      <c r="L80" s="30" t="str">
        <f aca="false">IF($C80="","",IFERROR(IF(INDEX(Inventario!$L$5:$L$100,MATCH($C80,Inventario!$B$5:$B$100,0))&lt;0,"Stock negativo: revisa","OK"),"No está en Inventario"))</f>
        <v/>
      </c>
    </row>
    <row r="81" customFormat="false" ht="15" hidden="false" customHeight="false" outlineLevel="0" collapsed="false">
      <c r="A81" s="1"/>
      <c r="B81" s="37"/>
      <c r="C81" s="13"/>
      <c r="D81" s="21" t="str">
        <f aca="false">IF($C81="","",IFERROR(INDEX(Inventario!$D$5:$D$100,MATCH($C81,Inventario!$B$5:$B$100,0)),"No está en Inventario"))</f>
        <v/>
      </c>
      <c r="E81" s="21" t="str">
        <f aca="false">IF($C81="","",IFERROR(INDEX(Inventario!$E$5:$E$100,MATCH($C81,Inventario!$B$5:$B$100,0)),"No está en Inventario"))</f>
        <v/>
      </c>
      <c r="F81" s="16"/>
      <c r="G81" s="38" t="str">
        <f aca="false">IF($C81="","",IFERROR(INDEX(Inventario!$H$5:$H$100,MATCH($C81,Inventario!$B$5:$B$100,0)),"No está en Inventario"))</f>
        <v/>
      </c>
      <c r="H81" s="39"/>
      <c r="I81" s="40" t="str">
        <f aca="false">IF(OR($C81="",$F81=""),"",N($F81)*N($G81)*(1-N($H81)))</f>
        <v/>
      </c>
      <c r="J81" s="14"/>
      <c r="K81" s="13"/>
      <c r="L81" s="20" t="str">
        <f aca="false">IF($C81="","",IFERROR(IF(INDEX(Inventario!$L$5:$L$100,MATCH($C81,Inventario!$B$5:$B$100,0))&lt;0,"Stock negativo: revisa","OK"),"No está en Inventario"))</f>
        <v/>
      </c>
    </row>
    <row r="82" customFormat="false" ht="15" hidden="false" customHeight="false" outlineLevel="0" collapsed="false">
      <c r="A82" s="1"/>
      <c r="B82" s="41"/>
      <c r="C82" s="23"/>
      <c r="D82" s="31" t="str">
        <f aca="false">IF($C82="","",IFERROR(INDEX(Inventario!$D$5:$D$100,MATCH($C82,Inventario!$B$5:$B$100,0)),"No está en Inventario"))</f>
        <v/>
      </c>
      <c r="E82" s="31" t="str">
        <f aca="false">IF($C82="","",IFERROR(INDEX(Inventario!$E$5:$E$100,MATCH($C82,Inventario!$B$5:$B$100,0)),"No está en Inventario"))</f>
        <v/>
      </c>
      <c r="F82" s="26"/>
      <c r="G82" s="42" t="str">
        <f aca="false">IF($C82="","",IFERROR(INDEX(Inventario!$H$5:$H$100,MATCH($C82,Inventario!$B$5:$B$100,0)),"No está en Inventario"))</f>
        <v/>
      </c>
      <c r="H82" s="43"/>
      <c r="I82" s="44" t="str">
        <f aca="false">IF(OR($C82="",$F82=""),"",N($F82)*N($G82)*(1-N($H82)))</f>
        <v/>
      </c>
      <c r="J82" s="24"/>
      <c r="K82" s="23"/>
      <c r="L82" s="30" t="str">
        <f aca="false">IF($C82="","",IFERROR(IF(INDEX(Inventario!$L$5:$L$100,MATCH($C82,Inventario!$B$5:$B$100,0))&lt;0,"Stock negativo: revisa","OK"),"No está en Inventario"))</f>
        <v/>
      </c>
    </row>
    <row r="83" customFormat="false" ht="15" hidden="false" customHeight="false" outlineLevel="0" collapsed="false">
      <c r="A83" s="1"/>
      <c r="B83" s="37"/>
      <c r="C83" s="13"/>
      <c r="D83" s="21" t="str">
        <f aca="false">IF($C83="","",IFERROR(INDEX(Inventario!$D$5:$D$100,MATCH($C83,Inventario!$B$5:$B$100,0)),"No está en Inventario"))</f>
        <v/>
      </c>
      <c r="E83" s="21" t="str">
        <f aca="false">IF($C83="","",IFERROR(INDEX(Inventario!$E$5:$E$100,MATCH($C83,Inventario!$B$5:$B$100,0)),"No está en Inventario"))</f>
        <v/>
      </c>
      <c r="F83" s="16"/>
      <c r="G83" s="38" t="str">
        <f aca="false">IF($C83="","",IFERROR(INDEX(Inventario!$H$5:$H$100,MATCH($C83,Inventario!$B$5:$B$100,0)),"No está en Inventario"))</f>
        <v/>
      </c>
      <c r="H83" s="39"/>
      <c r="I83" s="40" t="str">
        <f aca="false">IF(OR($C83="",$F83=""),"",N($F83)*N($G83)*(1-N($H83)))</f>
        <v/>
      </c>
      <c r="J83" s="14"/>
      <c r="K83" s="13"/>
      <c r="L83" s="20" t="str">
        <f aca="false">IF($C83="","",IFERROR(IF(INDEX(Inventario!$L$5:$L$100,MATCH($C83,Inventario!$B$5:$B$100,0))&lt;0,"Stock negativo: revisa","OK"),"No está en Inventario"))</f>
        <v/>
      </c>
    </row>
    <row r="84" customFormat="false" ht="15" hidden="false" customHeight="false" outlineLevel="0" collapsed="false">
      <c r="A84" s="1"/>
      <c r="B84" s="41"/>
      <c r="C84" s="23"/>
      <c r="D84" s="31" t="str">
        <f aca="false">IF($C84="","",IFERROR(INDEX(Inventario!$D$5:$D$100,MATCH($C84,Inventario!$B$5:$B$100,0)),"No está en Inventario"))</f>
        <v/>
      </c>
      <c r="E84" s="31" t="str">
        <f aca="false">IF($C84="","",IFERROR(INDEX(Inventario!$E$5:$E$100,MATCH($C84,Inventario!$B$5:$B$100,0)),"No está en Inventario"))</f>
        <v/>
      </c>
      <c r="F84" s="26"/>
      <c r="G84" s="42" t="str">
        <f aca="false">IF($C84="","",IFERROR(INDEX(Inventario!$H$5:$H$100,MATCH($C84,Inventario!$B$5:$B$100,0)),"No está en Inventario"))</f>
        <v/>
      </c>
      <c r="H84" s="43"/>
      <c r="I84" s="44" t="str">
        <f aca="false">IF(OR($C84="",$F84=""),"",N($F84)*N($G84)*(1-N($H84)))</f>
        <v/>
      </c>
      <c r="J84" s="24"/>
      <c r="K84" s="23"/>
      <c r="L84" s="30" t="str">
        <f aca="false">IF($C84="","",IFERROR(IF(INDEX(Inventario!$L$5:$L$100,MATCH($C84,Inventario!$B$5:$B$100,0))&lt;0,"Stock negativo: revisa","OK"),"No está en Inventario"))</f>
        <v/>
      </c>
    </row>
    <row r="85" customFormat="false" ht="15" hidden="false" customHeight="false" outlineLevel="0" collapsed="false">
      <c r="A85" s="1"/>
      <c r="B85" s="37"/>
      <c r="C85" s="13"/>
      <c r="D85" s="21" t="str">
        <f aca="false">IF($C85="","",IFERROR(INDEX(Inventario!$D$5:$D$100,MATCH($C85,Inventario!$B$5:$B$100,0)),"No está en Inventario"))</f>
        <v/>
      </c>
      <c r="E85" s="21" t="str">
        <f aca="false">IF($C85="","",IFERROR(INDEX(Inventario!$E$5:$E$100,MATCH($C85,Inventario!$B$5:$B$100,0)),"No está en Inventario"))</f>
        <v/>
      </c>
      <c r="F85" s="16"/>
      <c r="G85" s="38" t="str">
        <f aca="false">IF($C85="","",IFERROR(INDEX(Inventario!$H$5:$H$100,MATCH($C85,Inventario!$B$5:$B$100,0)),"No está en Inventario"))</f>
        <v/>
      </c>
      <c r="H85" s="39"/>
      <c r="I85" s="40" t="str">
        <f aca="false">IF(OR($C85="",$F85=""),"",N($F85)*N($G85)*(1-N($H85)))</f>
        <v/>
      </c>
      <c r="J85" s="14"/>
      <c r="K85" s="13"/>
      <c r="L85" s="20" t="str">
        <f aca="false">IF($C85="","",IFERROR(IF(INDEX(Inventario!$L$5:$L$100,MATCH($C85,Inventario!$B$5:$B$100,0))&lt;0,"Stock negativo: revisa","OK"),"No está en Inventario"))</f>
        <v/>
      </c>
    </row>
    <row r="86" customFormat="false" ht="15" hidden="false" customHeight="false" outlineLevel="0" collapsed="false">
      <c r="A86" s="1"/>
      <c r="B86" s="41"/>
      <c r="C86" s="23"/>
      <c r="D86" s="31" t="str">
        <f aca="false">IF($C86="","",IFERROR(INDEX(Inventario!$D$5:$D$100,MATCH($C86,Inventario!$B$5:$B$100,0)),"No está en Inventario"))</f>
        <v/>
      </c>
      <c r="E86" s="31" t="str">
        <f aca="false">IF($C86="","",IFERROR(INDEX(Inventario!$E$5:$E$100,MATCH($C86,Inventario!$B$5:$B$100,0)),"No está en Inventario"))</f>
        <v/>
      </c>
      <c r="F86" s="26"/>
      <c r="G86" s="42" t="str">
        <f aca="false">IF($C86="","",IFERROR(INDEX(Inventario!$H$5:$H$100,MATCH($C86,Inventario!$B$5:$B$100,0)),"No está en Inventario"))</f>
        <v/>
      </c>
      <c r="H86" s="43"/>
      <c r="I86" s="44" t="str">
        <f aca="false">IF(OR($C86="",$F86=""),"",N($F86)*N($G86)*(1-N($H86)))</f>
        <v/>
      </c>
      <c r="J86" s="24"/>
      <c r="K86" s="23"/>
      <c r="L86" s="30" t="str">
        <f aca="false">IF($C86="","",IFERROR(IF(INDEX(Inventario!$L$5:$L$100,MATCH($C86,Inventario!$B$5:$B$100,0))&lt;0,"Stock negativo: revisa","OK"),"No está en Inventario"))</f>
        <v/>
      </c>
    </row>
    <row r="87" customFormat="false" ht="15" hidden="false" customHeight="false" outlineLevel="0" collapsed="false">
      <c r="A87" s="1"/>
      <c r="B87" s="37"/>
      <c r="C87" s="13"/>
      <c r="D87" s="21" t="str">
        <f aca="false">IF($C87="","",IFERROR(INDEX(Inventario!$D$5:$D$100,MATCH($C87,Inventario!$B$5:$B$100,0)),"No está en Inventario"))</f>
        <v/>
      </c>
      <c r="E87" s="21" t="str">
        <f aca="false">IF($C87="","",IFERROR(INDEX(Inventario!$E$5:$E$100,MATCH($C87,Inventario!$B$5:$B$100,0)),"No está en Inventario"))</f>
        <v/>
      </c>
      <c r="F87" s="16"/>
      <c r="G87" s="38" t="str">
        <f aca="false">IF($C87="","",IFERROR(INDEX(Inventario!$H$5:$H$100,MATCH($C87,Inventario!$B$5:$B$100,0)),"No está en Inventario"))</f>
        <v/>
      </c>
      <c r="H87" s="39"/>
      <c r="I87" s="40" t="str">
        <f aca="false">IF(OR($C87="",$F87=""),"",N($F87)*N($G87)*(1-N($H87)))</f>
        <v/>
      </c>
      <c r="J87" s="14"/>
      <c r="K87" s="13"/>
      <c r="L87" s="20" t="str">
        <f aca="false">IF($C87="","",IFERROR(IF(INDEX(Inventario!$L$5:$L$100,MATCH($C87,Inventario!$B$5:$B$100,0))&lt;0,"Stock negativo: revisa","OK"),"No está en Inventario"))</f>
        <v/>
      </c>
    </row>
    <row r="88" customFormat="false" ht="15" hidden="false" customHeight="false" outlineLevel="0" collapsed="false">
      <c r="A88" s="1"/>
      <c r="B88" s="41"/>
      <c r="C88" s="23"/>
      <c r="D88" s="31" t="str">
        <f aca="false">IF($C88="","",IFERROR(INDEX(Inventario!$D$5:$D$100,MATCH($C88,Inventario!$B$5:$B$100,0)),"No está en Inventario"))</f>
        <v/>
      </c>
      <c r="E88" s="31" t="str">
        <f aca="false">IF($C88="","",IFERROR(INDEX(Inventario!$E$5:$E$100,MATCH($C88,Inventario!$B$5:$B$100,0)),"No está en Inventario"))</f>
        <v/>
      </c>
      <c r="F88" s="26"/>
      <c r="G88" s="42" t="str">
        <f aca="false">IF($C88="","",IFERROR(INDEX(Inventario!$H$5:$H$100,MATCH($C88,Inventario!$B$5:$B$100,0)),"No está en Inventario"))</f>
        <v/>
      </c>
      <c r="H88" s="43"/>
      <c r="I88" s="44" t="str">
        <f aca="false">IF(OR($C88="",$F88=""),"",N($F88)*N($G88)*(1-N($H88)))</f>
        <v/>
      </c>
      <c r="J88" s="24"/>
      <c r="K88" s="23"/>
      <c r="L88" s="30" t="str">
        <f aca="false">IF($C88="","",IFERROR(IF(INDEX(Inventario!$L$5:$L$100,MATCH($C88,Inventario!$B$5:$B$100,0))&lt;0,"Stock negativo: revisa","OK"),"No está en Inventario"))</f>
        <v/>
      </c>
    </row>
    <row r="89" customFormat="false" ht="15" hidden="false" customHeight="false" outlineLevel="0" collapsed="false">
      <c r="A89" s="1"/>
      <c r="B89" s="37"/>
      <c r="C89" s="13"/>
      <c r="D89" s="21" t="str">
        <f aca="false">IF($C89="","",IFERROR(INDEX(Inventario!$D$5:$D$100,MATCH($C89,Inventario!$B$5:$B$100,0)),"No está en Inventario"))</f>
        <v/>
      </c>
      <c r="E89" s="21" t="str">
        <f aca="false">IF($C89="","",IFERROR(INDEX(Inventario!$E$5:$E$100,MATCH($C89,Inventario!$B$5:$B$100,0)),"No está en Inventario"))</f>
        <v/>
      </c>
      <c r="F89" s="16"/>
      <c r="G89" s="38" t="str">
        <f aca="false">IF($C89="","",IFERROR(INDEX(Inventario!$H$5:$H$100,MATCH($C89,Inventario!$B$5:$B$100,0)),"No está en Inventario"))</f>
        <v/>
      </c>
      <c r="H89" s="39"/>
      <c r="I89" s="40" t="str">
        <f aca="false">IF(OR($C89="",$F89=""),"",N($F89)*N($G89)*(1-N($H89)))</f>
        <v/>
      </c>
      <c r="J89" s="14"/>
      <c r="K89" s="13"/>
      <c r="L89" s="20" t="str">
        <f aca="false">IF($C89="","",IFERROR(IF(INDEX(Inventario!$L$5:$L$100,MATCH($C89,Inventario!$B$5:$B$100,0))&lt;0,"Stock negativo: revisa","OK"),"No está en Inventario"))</f>
        <v/>
      </c>
    </row>
    <row r="90" customFormat="false" ht="15" hidden="false" customHeight="false" outlineLevel="0" collapsed="false">
      <c r="A90" s="1"/>
      <c r="B90" s="41"/>
      <c r="C90" s="23"/>
      <c r="D90" s="31" t="str">
        <f aca="false">IF($C90="","",IFERROR(INDEX(Inventario!$D$5:$D$100,MATCH($C90,Inventario!$B$5:$B$100,0)),"No está en Inventario"))</f>
        <v/>
      </c>
      <c r="E90" s="31" t="str">
        <f aca="false">IF($C90="","",IFERROR(INDEX(Inventario!$E$5:$E$100,MATCH($C90,Inventario!$B$5:$B$100,0)),"No está en Inventario"))</f>
        <v/>
      </c>
      <c r="F90" s="26"/>
      <c r="G90" s="42" t="str">
        <f aca="false">IF($C90="","",IFERROR(INDEX(Inventario!$H$5:$H$100,MATCH($C90,Inventario!$B$5:$B$100,0)),"No está en Inventario"))</f>
        <v/>
      </c>
      <c r="H90" s="43"/>
      <c r="I90" s="44" t="str">
        <f aca="false">IF(OR($C90="",$F90=""),"",N($F90)*N($G90)*(1-N($H90)))</f>
        <v/>
      </c>
      <c r="J90" s="24"/>
      <c r="K90" s="23"/>
      <c r="L90" s="30" t="str">
        <f aca="false">IF($C90="","",IFERROR(IF(INDEX(Inventario!$L$5:$L$100,MATCH($C90,Inventario!$B$5:$B$100,0))&lt;0,"Stock negativo: revisa","OK"),"No está en Inventario"))</f>
        <v/>
      </c>
    </row>
    <row r="91" customFormat="false" ht="15" hidden="false" customHeight="false" outlineLevel="0" collapsed="false">
      <c r="A91" s="1"/>
      <c r="B91" s="37"/>
      <c r="C91" s="13"/>
      <c r="D91" s="21" t="str">
        <f aca="false">IF($C91="","",IFERROR(INDEX(Inventario!$D$5:$D$100,MATCH($C91,Inventario!$B$5:$B$100,0)),"No está en Inventario"))</f>
        <v/>
      </c>
      <c r="E91" s="21" t="str">
        <f aca="false">IF($C91="","",IFERROR(INDEX(Inventario!$E$5:$E$100,MATCH($C91,Inventario!$B$5:$B$100,0)),"No está en Inventario"))</f>
        <v/>
      </c>
      <c r="F91" s="16"/>
      <c r="G91" s="38" t="str">
        <f aca="false">IF($C91="","",IFERROR(INDEX(Inventario!$H$5:$H$100,MATCH($C91,Inventario!$B$5:$B$100,0)),"No está en Inventario"))</f>
        <v/>
      </c>
      <c r="H91" s="39"/>
      <c r="I91" s="40" t="str">
        <f aca="false">IF(OR($C91="",$F91=""),"",N($F91)*N($G91)*(1-N($H91)))</f>
        <v/>
      </c>
      <c r="J91" s="14"/>
      <c r="K91" s="13"/>
      <c r="L91" s="20" t="str">
        <f aca="false">IF($C91="","",IFERROR(IF(INDEX(Inventario!$L$5:$L$100,MATCH($C91,Inventario!$B$5:$B$100,0))&lt;0,"Stock negativo: revisa","OK"),"No está en Inventario"))</f>
        <v/>
      </c>
    </row>
    <row r="92" customFormat="false" ht="15" hidden="false" customHeight="false" outlineLevel="0" collapsed="false">
      <c r="A92" s="1"/>
      <c r="B92" s="41"/>
      <c r="C92" s="23"/>
      <c r="D92" s="31" t="str">
        <f aca="false">IF($C92="","",IFERROR(INDEX(Inventario!$D$5:$D$100,MATCH($C92,Inventario!$B$5:$B$100,0)),"No está en Inventario"))</f>
        <v/>
      </c>
      <c r="E92" s="31" t="str">
        <f aca="false">IF($C92="","",IFERROR(INDEX(Inventario!$E$5:$E$100,MATCH($C92,Inventario!$B$5:$B$100,0)),"No está en Inventario"))</f>
        <v/>
      </c>
      <c r="F92" s="26"/>
      <c r="G92" s="42" t="str">
        <f aca="false">IF($C92="","",IFERROR(INDEX(Inventario!$H$5:$H$100,MATCH($C92,Inventario!$B$5:$B$100,0)),"No está en Inventario"))</f>
        <v/>
      </c>
      <c r="H92" s="43"/>
      <c r="I92" s="44" t="str">
        <f aca="false">IF(OR($C92="",$F92=""),"",N($F92)*N($G92)*(1-N($H92)))</f>
        <v/>
      </c>
      <c r="J92" s="24"/>
      <c r="K92" s="23"/>
      <c r="L92" s="30" t="str">
        <f aca="false">IF($C92="","",IFERROR(IF(INDEX(Inventario!$L$5:$L$100,MATCH($C92,Inventario!$B$5:$B$100,0))&lt;0,"Stock negativo: revisa","OK"),"No está en Inventario"))</f>
        <v/>
      </c>
    </row>
    <row r="93" customFormat="false" ht="15" hidden="false" customHeight="false" outlineLevel="0" collapsed="false">
      <c r="A93" s="1"/>
      <c r="B93" s="37"/>
      <c r="C93" s="13"/>
      <c r="D93" s="21" t="str">
        <f aca="false">IF($C93="","",IFERROR(INDEX(Inventario!$D$5:$D$100,MATCH($C93,Inventario!$B$5:$B$100,0)),"No está en Inventario"))</f>
        <v/>
      </c>
      <c r="E93" s="21" t="str">
        <f aca="false">IF($C93="","",IFERROR(INDEX(Inventario!$E$5:$E$100,MATCH($C93,Inventario!$B$5:$B$100,0)),"No está en Inventario"))</f>
        <v/>
      </c>
      <c r="F93" s="16"/>
      <c r="G93" s="38" t="str">
        <f aca="false">IF($C93="","",IFERROR(INDEX(Inventario!$H$5:$H$100,MATCH($C93,Inventario!$B$5:$B$100,0)),"No está en Inventario"))</f>
        <v/>
      </c>
      <c r="H93" s="39"/>
      <c r="I93" s="40" t="str">
        <f aca="false">IF(OR($C93="",$F93=""),"",N($F93)*N($G93)*(1-N($H93)))</f>
        <v/>
      </c>
      <c r="J93" s="14"/>
      <c r="K93" s="13"/>
      <c r="L93" s="20" t="str">
        <f aca="false">IF($C93="","",IFERROR(IF(INDEX(Inventario!$L$5:$L$100,MATCH($C93,Inventario!$B$5:$B$100,0))&lt;0,"Stock negativo: revisa","OK"),"No está en Inventario"))</f>
        <v/>
      </c>
    </row>
    <row r="94" customFormat="false" ht="15" hidden="false" customHeight="false" outlineLevel="0" collapsed="false">
      <c r="A94" s="1"/>
      <c r="B94" s="41"/>
      <c r="C94" s="23"/>
      <c r="D94" s="31" t="str">
        <f aca="false">IF($C94="","",IFERROR(INDEX(Inventario!$D$5:$D$100,MATCH($C94,Inventario!$B$5:$B$100,0)),"No está en Inventario"))</f>
        <v/>
      </c>
      <c r="E94" s="31" t="str">
        <f aca="false">IF($C94="","",IFERROR(INDEX(Inventario!$E$5:$E$100,MATCH($C94,Inventario!$B$5:$B$100,0)),"No está en Inventario"))</f>
        <v/>
      </c>
      <c r="F94" s="26"/>
      <c r="G94" s="42" t="str">
        <f aca="false">IF($C94="","",IFERROR(INDEX(Inventario!$H$5:$H$100,MATCH($C94,Inventario!$B$5:$B$100,0)),"No está en Inventario"))</f>
        <v/>
      </c>
      <c r="H94" s="43"/>
      <c r="I94" s="44" t="str">
        <f aca="false">IF(OR($C94="",$F94=""),"",N($F94)*N($G94)*(1-N($H94)))</f>
        <v/>
      </c>
      <c r="J94" s="24"/>
      <c r="K94" s="23"/>
      <c r="L94" s="30" t="str">
        <f aca="false">IF($C94="","",IFERROR(IF(INDEX(Inventario!$L$5:$L$100,MATCH($C94,Inventario!$B$5:$B$100,0))&lt;0,"Stock negativo: revisa","OK"),"No está en Inventario"))</f>
        <v/>
      </c>
    </row>
    <row r="95" customFormat="false" ht="15" hidden="false" customHeight="false" outlineLevel="0" collapsed="false">
      <c r="A95" s="1"/>
      <c r="B95" s="37"/>
      <c r="C95" s="13"/>
      <c r="D95" s="21" t="str">
        <f aca="false">IF($C95="","",IFERROR(INDEX(Inventario!$D$5:$D$100,MATCH($C95,Inventario!$B$5:$B$100,0)),"No está en Inventario"))</f>
        <v/>
      </c>
      <c r="E95" s="21" t="str">
        <f aca="false">IF($C95="","",IFERROR(INDEX(Inventario!$E$5:$E$100,MATCH($C95,Inventario!$B$5:$B$100,0)),"No está en Inventario"))</f>
        <v/>
      </c>
      <c r="F95" s="16"/>
      <c r="G95" s="38" t="str">
        <f aca="false">IF($C95="","",IFERROR(INDEX(Inventario!$H$5:$H$100,MATCH($C95,Inventario!$B$5:$B$100,0)),"No está en Inventario"))</f>
        <v/>
      </c>
      <c r="H95" s="39"/>
      <c r="I95" s="40" t="str">
        <f aca="false">IF(OR($C95="",$F95=""),"",N($F95)*N($G95)*(1-N($H95)))</f>
        <v/>
      </c>
      <c r="J95" s="14"/>
      <c r="K95" s="13"/>
      <c r="L95" s="20" t="str">
        <f aca="false">IF($C95="","",IFERROR(IF(INDEX(Inventario!$L$5:$L$100,MATCH($C95,Inventario!$B$5:$B$100,0))&lt;0,"Stock negativo: revisa","OK"),"No está en Inventario"))</f>
        <v/>
      </c>
    </row>
    <row r="96" customFormat="false" ht="15" hidden="false" customHeight="false" outlineLevel="0" collapsed="false">
      <c r="A96" s="1"/>
      <c r="B96" s="41"/>
      <c r="C96" s="23"/>
      <c r="D96" s="31" t="str">
        <f aca="false">IF($C96="","",IFERROR(INDEX(Inventario!$D$5:$D$100,MATCH($C96,Inventario!$B$5:$B$100,0)),"No está en Inventario"))</f>
        <v/>
      </c>
      <c r="E96" s="31" t="str">
        <f aca="false">IF($C96="","",IFERROR(INDEX(Inventario!$E$5:$E$100,MATCH($C96,Inventario!$B$5:$B$100,0)),"No está en Inventario"))</f>
        <v/>
      </c>
      <c r="F96" s="26"/>
      <c r="G96" s="42" t="str">
        <f aca="false">IF($C96="","",IFERROR(INDEX(Inventario!$H$5:$H$100,MATCH($C96,Inventario!$B$5:$B$100,0)),"No está en Inventario"))</f>
        <v/>
      </c>
      <c r="H96" s="43"/>
      <c r="I96" s="44" t="str">
        <f aca="false">IF(OR($C96="",$F96=""),"",N($F96)*N($G96)*(1-N($H96)))</f>
        <v/>
      </c>
      <c r="J96" s="24"/>
      <c r="K96" s="23"/>
      <c r="L96" s="30" t="str">
        <f aca="false">IF($C96="","",IFERROR(IF(INDEX(Inventario!$L$5:$L$100,MATCH($C96,Inventario!$B$5:$B$100,0))&lt;0,"Stock negativo: revisa","OK"),"No está en Inventario"))</f>
        <v/>
      </c>
    </row>
    <row r="97" customFormat="false" ht="15" hidden="false" customHeight="false" outlineLevel="0" collapsed="false">
      <c r="A97" s="1"/>
      <c r="B97" s="37"/>
      <c r="C97" s="13"/>
      <c r="D97" s="21" t="str">
        <f aca="false">IF($C97="","",IFERROR(INDEX(Inventario!$D$5:$D$100,MATCH($C97,Inventario!$B$5:$B$100,0)),"No está en Inventario"))</f>
        <v/>
      </c>
      <c r="E97" s="21" t="str">
        <f aca="false">IF($C97="","",IFERROR(INDEX(Inventario!$E$5:$E$100,MATCH($C97,Inventario!$B$5:$B$100,0)),"No está en Inventario"))</f>
        <v/>
      </c>
      <c r="F97" s="16"/>
      <c r="G97" s="38" t="str">
        <f aca="false">IF($C97="","",IFERROR(INDEX(Inventario!$H$5:$H$100,MATCH($C97,Inventario!$B$5:$B$100,0)),"No está en Inventario"))</f>
        <v/>
      </c>
      <c r="H97" s="39"/>
      <c r="I97" s="40" t="str">
        <f aca="false">IF(OR($C97="",$F97=""),"",N($F97)*N($G97)*(1-N($H97)))</f>
        <v/>
      </c>
      <c r="J97" s="14"/>
      <c r="K97" s="13"/>
      <c r="L97" s="20" t="str">
        <f aca="false">IF($C97="","",IFERROR(IF(INDEX(Inventario!$L$5:$L$100,MATCH($C97,Inventario!$B$5:$B$100,0))&lt;0,"Stock negativo: revisa","OK"),"No está en Inventario"))</f>
        <v/>
      </c>
    </row>
    <row r="98" customFormat="false" ht="15" hidden="false" customHeight="false" outlineLevel="0" collapsed="false">
      <c r="A98" s="1"/>
      <c r="B98" s="41"/>
      <c r="C98" s="23"/>
      <c r="D98" s="31" t="str">
        <f aca="false">IF($C98="","",IFERROR(INDEX(Inventario!$D$5:$D$100,MATCH($C98,Inventario!$B$5:$B$100,0)),"No está en Inventario"))</f>
        <v/>
      </c>
      <c r="E98" s="31" t="str">
        <f aca="false">IF($C98="","",IFERROR(INDEX(Inventario!$E$5:$E$100,MATCH($C98,Inventario!$B$5:$B$100,0)),"No está en Inventario"))</f>
        <v/>
      </c>
      <c r="F98" s="26"/>
      <c r="G98" s="42" t="str">
        <f aca="false">IF($C98="","",IFERROR(INDEX(Inventario!$H$5:$H$100,MATCH($C98,Inventario!$B$5:$B$100,0)),"No está en Inventario"))</f>
        <v/>
      </c>
      <c r="H98" s="43"/>
      <c r="I98" s="44" t="str">
        <f aca="false">IF(OR($C98="",$F98=""),"",N($F98)*N($G98)*(1-N($H98)))</f>
        <v/>
      </c>
      <c r="J98" s="24"/>
      <c r="K98" s="23"/>
      <c r="L98" s="30" t="str">
        <f aca="false">IF($C98="","",IFERROR(IF(INDEX(Inventario!$L$5:$L$100,MATCH($C98,Inventario!$B$5:$B$100,0))&lt;0,"Stock negativo: revisa","OK"),"No está en Inventario"))</f>
        <v/>
      </c>
    </row>
    <row r="99" customFormat="false" ht="15" hidden="false" customHeight="false" outlineLevel="0" collapsed="false">
      <c r="A99" s="1"/>
      <c r="B99" s="37"/>
      <c r="C99" s="13"/>
      <c r="D99" s="21" t="str">
        <f aca="false">IF($C99="","",IFERROR(INDEX(Inventario!$D$5:$D$100,MATCH($C99,Inventario!$B$5:$B$100,0)),"No está en Inventario"))</f>
        <v/>
      </c>
      <c r="E99" s="21" t="str">
        <f aca="false">IF($C99="","",IFERROR(INDEX(Inventario!$E$5:$E$100,MATCH($C99,Inventario!$B$5:$B$100,0)),"No está en Inventario"))</f>
        <v/>
      </c>
      <c r="F99" s="16"/>
      <c r="G99" s="38" t="str">
        <f aca="false">IF($C99="","",IFERROR(INDEX(Inventario!$H$5:$H$100,MATCH($C99,Inventario!$B$5:$B$100,0)),"No está en Inventario"))</f>
        <v/>
      </c>
      <c r="H99" s="39"/>
      <c r="I99" s="40" t="str">
        <f aca="false">IF(OR($C99="",$F99=""),"",N($F99)*N($G99)*(1-N($H99)))</f>
        <v/>
      </c>
      <c r="J99" s="14"/>
      <c r="K99" s="13"/>
      <c r="L99" s="20" t="str">
        <f aca="false">IF($C99="","",IFERROR(IF(INDEX(Inventario!$L$5:$L$100,MATCH($C99,Inventario!$B$5:$B$100,0))&lt;0,"Stock negativo: revisa","OK"),"No está en Inventario"))</f>
        <v/>
      </c>
    </row>
    <row r="100" customFormat="false" ht="15" hidden="false" customHeight="false" outlineLevel="0" collapsed="false">
      <c r="A100" s="1"/>
      <c r="B100" s="41"/>
      <c r="C100" s="23"/>
      <c r="D100" s="31" t="str">
        <f aca="false">IF($C100="","",IFERROR(INDEX(Inventario!$D$5:$D$100,MATCH($C100,Inventario!$B$5:$B$100,0)),"No está en Inventario"))</f>
        <v/>
      </c>
      <c r="E100" s="31" t="str">
        <f aca="false">IF($C100="","",IFERROR(INDEX(Inventario!$E$5:$E$100,MATCH($C100,Inventario!$B$5:$B$100,0)),"No está en Inventario"))</f>
        <v/>
      </c>
      <c r="F100" s="26"/>
      <c r="G100" s="42" t="str">
        <f aca="false">IF($C100="","",IFERROR(INDEX(Inventario!$H$5:$H$100,MATCH($C100,Inventario!$B$5:$B$100,0)),"No está en Inventario"))</f>
        <v/>
      </c>
      <c r="H100" s="43"/>
      <c r="I100" s="44" t="str">
        <f aca="false">IF(OR($C100="",$F100=""),"",N($F100)*N($G100)*(1-N($H100)))</f>
        <v/>
      </c>
      <c r="J100" s="24"/>
      <c r="K100" s="23"/>
      <c r="L100" s="30" t="str">
        <f aca="false">IF($C100="","",IFERROR(IF(INDEX(Inventario!$L$5:$L$100,MATCH($C100,Inventario!$B$5:$B$100,0))&lt;0,"Stock negativo: revisa","OK"),"No está en Inventario"))</f>
        <v/>
      </c>
    </row>
    <row r="101" customFormat="false" ht="15" hidden="false" customHeight="false" outlineLevel="0" collapsed="false">
      <c r="A101" s="1"/>
      <c r="B101" s="37"/>
      <c r="C101" s="13"/>
      <c r="D101" s="21" t="str">
        <f aca="false">IF($C101="","",IFERROR(INDEX(Inventario!$D$5:$D$100,MATCH($C101,Inventario!$B$5:$B$100,0)),"No está en Inventario"))</f>
        <v/>
      </c>
      <c r="E101" s="21" t="str">
        <f aca="false">IF($C101="","",IFERROR(INDEX(Inventario!$E$5:$E$100,MATCH($C101,Inventario!$B$5:$B$100,0)),"No está en Inventario"))</f>
        <v/>
      </c>
      <c r="F101" s="16"/>
      <c r="G101" s="38" t="str">
        <f aca="false">IF($C101="","",IFERROR(INDEX(Inventario!$H$5:$H$100,MATCH($C101,Inventario!$B$5:$B$100,0)),"No está en Inventario"))</f>
        <v/>
      </c>
      <c r="H101" s="39"/>
      <c r="I101" s="40" t="str">
        <f aca="false">IF(OR($C101="",$F101=""),"",N($F101)*N($G101)*(1-N($H101)))</f>
        <v/>
      </c>
      <c r="J101" s="14"/>
      <c r="K101" s="13"/>
      <c r="L101" s="20" t="str">
        <f aca="false">IF($C101="","",IFERROR(IF(INDEX(Inventario!$L$5:$L$100,MATCH($C101,Inventario!$B$5:$B$100,0))&lt;0,"Stock negativo: revisa","OK"),"No está en Inventario"))</f>
        <v/>
      </c>
    </row>
    <row r="102" customFormat="false" ht="15" hidden="false" customHeight="false" outlineLevel="0" collapsed="false">
      <c r="A102" s="1"/>
      <c r="B102" s="41"/>
      <c r="C102" s="23"/>
      <c r="D102" s="31" t="str">
        <f aca="false">IF($C102="","",IFERROR(INDEX(Inventario!$D$5:$D$100,MATCH($C102,Inventario!$B$5:$B$100,0)),"No está en Inventario"))</f>
        <v/>
      </c>
      <c r="E102" s="31" t="str">
        <f aca="false">IF($C102="","",IFERROR(INDEX(Inventario!$E$5:$E$100,MATCH($C102,Inventario!$B$5:$B$100,0)),"No está en Inventario"))</f>
        <v/>
      </c>
      <c r="F102" s="26"/>
      <c r="G102" s="42" t="str">
        <f aca="false">IF($C102="","",IFERROR(INDEX(Inventario!$H$5:$H$100,MATCH($C102,Inventario!$B$5:$B$100,0)),"No está en Inventario"))</f>
        <v/>
      </c>
      <c r="H102" s="43"/>
      <c r="I102" s="44" t="str">
        <f aca="false">IF(OR($C102="",$F102=""),"",N($F102)*N($G102)*(1-N($H102)))</f>
        <v/>
      </c>
      <c r="J102" s="24"/>
      <c r="K102" s="23"/>
      <c r="L102" s="30" t="str">
        <f aca="false">IF($C102="","",IFERROR(IF(INDEX(Inventario!$L$5:$L$100,MATCH($C102,Inventario!$B$5:$B$100,0))&lt;0,"Stock negativo: revisa","OK"),"No está en Inventario"))</f>
        <v/>
      </c>
    </row>
    <row r="103" customFormat="false" ht="15" hidden="false" customHeight="false" outlineLevel="0" collapsed="false">
      <c r="A103" s="1"/>
      <c r="B103" s="37"/>
      <c r="C103" s="13"/>
      <c r="D103" s="21" t="str">
        <f aca="false">IF($C103="","",IFERROR(INDEX(Inventario!$D$5:$D$100,MATCH($C103,Inventario!$B$5:$B$100,0)),"No está en Inventario"))</f>
        <v/>
      </c>
      <c r="E103" s="21" t="str">
        <f aca="false">IF($C103="","",IFERROR(INDEX(Inventario!$E$5:$E$100,MATCH($C103,Inventario!$B$5:$B$100,0)),"No está en Inventario"))</f>
        <v/>
      </c>
      <c r="F103" s="16"/>
      <c r="G103" s="38" t="str">
        <f aca="false">IF($C103="","",IFERROR(INDEX(Inventario!$H$5:$H$100,MATCH($C103,Inventario!$B$5:$B$100,0)),"No está en Inventario"))</f>
        <v/>
      </c>
      <c r="H103" s="39"/>
      <c r="I103" s="40" t="str">
        <f aca="false">IF(OR($C103="",$F103=""),"",N($F103)*N($G103)*(1-N($H103)))</f>
        <v/>
      </c>
      <c r="J103" s="14"/>
      <c r="K103" s="13"/>
      <c r="L103" s="20" t="str">
        <f aca="false">IF($C103="","",IFERROR(IF(INDEX(Inventario!$L$5:$L$100,MATCH($C103,Inventario!$B$5:$B$100,0))&lt;0,"Stock negativo: revisa","OK"),"No está en Inventario"))</f>
        <v/>
      </c>
    </row>
    <row r="104" customFormat="false" ht="15" hidden="false" customHeight="false" outlineLevel="0" collapsed="false">
      <c r="A104" s="1"/>
      <c r="B104" s="41"/>
      <c r="C104" s="23"/>
      <c r="D104" s="31" t="str">
        <f aca="false">IF($C104="","",IFERROR(INDEX(Inventario!$D$5:$D$100,MATCH($C104,Inventario!$B$5:$B$100,0)),"No está en Inventario"))</f>
        <v/>
      </c>
      <c r="E104" s="31" t="str">
        <f aca="false">IF($C104="","",IFERROR(INDEX(Inventario!$E$5:$E$100,MATCH($C104,Inventario!$B$5:$B$100,0)),"No está en Inventario"))</f>
        <v/>
      </c>
      <c r="F104" s="26"/>
      <c r="G104" s="42" t="str">
        <f aca="false">IF($C104="","",IFERROR(INDEX(Inventario!$H$5:$H$100,MATCH($C104,Inventario!$B$5:$B$100,0)),"No está en Inventario"))</f>
        <v/>
      </c>
      <c r="H104" s="43"/>
      <c r="I104" s="44" t="str">
        <f aca="false">IF(OR($C104="",$F104=""),"",N($F104)*N($G104)*(1-N($H104)))</f>
        <v/>
      </c>
      <c r="J104" s="24"/>
      <c r="K104" s="23"/>
      <c r="L104" s="30" t="str">
        <f aca="false">IF($C104="","",IFERROR(IF(INDEX(Inventario!$L$5:$L$100,MATCH($C104,Inventario!$B$5:$B$100,0))&lt;0,"Stock negativo: revisa","OK"),"No está en Inventario"))</f>
        <v/>
      </c>
    </row>
    <row r="105" customFormat="false" ht="15" hidden="false" customHeight="false" outlineLevel="0" collapsed="false">
      <c r="A105" s="1"/>
      <c r="B105" s="37"/>
      <c r="C105" s="13"/>
      <c r="D105" s="21" t="str">
        <f aca="false">IF($C105="","",IFERROR(INDEX(Inventario!$D$5:$D$100,MATCH($C105,Inventario!$B$5:$B$100,0)),"No está en Inventario"))</f>
        <v/>
      </c>
      <c r="E105" s="21" t="str">
        <f aca="false">IF($C105="","",IFERROR(INDEX(Inventario!$E$5:$E$100,MATCH($C105,Inventario!$B$5:$B$100,0)),"No está en Inventario"))</f>
        <v/>
      </c>
      <c r="F105" s="16"/>
      <c r="G105" s="38" t="str">
        <f aca="false">IF($C105="","",IFERROR(INDEX(Inventario!$H$5:$H$100,MATCH($C105,Inventario!$B$5:$B$100,0)),"No está en Inventario"))</f>
        <v/>
      </c>
      <c r="H105" s="39"/>
      <c r="I105" s="40" t="str">
        <f aca="false">IF(OR($C105="",$F105=""),"",N($F105)*N($G105)*(1-N($H105)))</f>
        <v/>
      </c>
      <c r="J105" s="14"/>
      <c r="K105" s="13"/>
      <c r="L105" s="20" t="str">
        <f aca="false">IF($C105="","",IFERROR(IF(INDEX(Inventario!$L$5:$L$100,MATCH($C105,Inventario!$B$5:$B$100,0))&lt;0,"Stock negativo: revisa","OK"),"No está en Inventario"))</f>
        <v/>
      </c>
    </row>
    <row r="106" customFormat="false" ht="15" hidden="false" customHeight="false" outlineLevel="0" collapsed="false">
      <c r="A106" s="1"/>
      <c r="B106" s="41"/>
      <c r="C106" s="23"/>
      <c r="D106" s="31" t="str">
        <f aca="false">IF($C106="","",IFERROR(INDEX(Inventario!$D$5:$D$100,MATCH($C106,Inventario!$B$5:$B$100,0)),"No está en Inventario"))</f>
        <v/>
      </c>
      <c r="E106" s="31" t="str">
        <f aca="false">IF($C106="","",IFERROR(INDEX(Inventario!$E$5:$E$100,MATCH($C106,Inventario!$B$5:$B$100,0)),"No está en Inventario"))</f>
        <v/>
      </c>
      <c r="F106" s="26"/>
      <c r="G106" s="42" t="str">
        <f aca="false">IF($C106="","",IFERROR(INDEX(Inventario!$H$5:$H$100,MATCH($C106,Inventario!$B$5:$B$100,0)),"No está en Inventario"))</f>
        <v/>
      </c>
      <c r="H106" s="43"/>
      <c r="I106" s="44" t="str">
        <f aca="false">IF(OR($C106="",$F106=""),"",N($F106)*N($G106)*(1-N($H106)))</f>
        <v/>
      </c>
      <c r="J106" s="24"/>
      <c r="K106" s="23"/>
      <c r="L106" s="30" t="str">
        <f aca="false">IF($C106="","",IFERROR(IF(INDEX(Inventario!$L$5:$L$100,MATCH($C106,Inventario!$B$5:$B$100,0))&lt;0,"Stock negativo: revisa","OK"),"No está en Inventario"))</f>
        <v/>
      </c>
    </row>
    <row r="107" customFormat="false" ht="15" hidden="false" customHeight="false" outlineLevel="0" collapsed="false">
      <c r="A107" s="1"/>
      <c r="B107" s="37"/>
      <c r="C107" s="13"/>
      <c r="D107" s="21" t="str">
        <f aca="false">IF($C107="","",IFERROR(INDEX(Inventario!$D$5:$D$100,MATCH($C107,Inventario!$B$5:$B$100,0)),"No está en Inventario"))</f>
        <v/>
      </c>
      <c r="E107" s="21" t="str">
        <f aca="false">IF($C107="","",IFERROR(INDEX(Inventario!$E$5:$E$100,MATCH($C107,Inventario!$B$5:$B$100,0)),"No está en Inventario"))</f>
        <v/>
      </c>
      <c r="F107" s="16"/>
      <c r="G107" s="38" t="str">
        <f aca="false">IF($C107="","",IFERROR(INDEX(Inventario!$H$5:$H$100,MATCH($C107,Inventario!$B$5:$B$100,0)),"No está en Inventario"))</f>
        <v/>
      </c>
      <c r="H107" s="39"/>
      <c r="I107" s="40" t="str">
        <f aca="false">IF(OR($C107="",$F107=""),"",N($F107)*N($G107)*(1-N($H107)))</f>
        <v/>
      </c>
      <c r="J107" s="14"/>
      <c r="K107" s="13"/>
      <c r="L107" s="20" t="str">
        <f aca="false">IF($C107="","",IFERROR(IF(INDEX(Inventario!$L$5:$L$100,MATCH($C107,Inventario!$B$5:$B$100,0))&lt;0,"Stock negativo: revisa","OK"),"No está en Inventario"))</f>
        <v/>
      </c>
    </row>
    <row r="108" customFormat="false" ht="15" hidden="false" customHeight="false" outlineLevel="0" collapsed="false">
      <c r="A108" s="1"/>
      <c r="B108" s="41"/>
      <c r="C108" s="23"/>
      <c r="D108" s="31" t="str">
        <f aca="false">IF($C108="","",IFERROR(INDEX(Inventario!$D$5:$D$100,MATCH($C108,Inventario!$B$5:$B$100,0)),"No está en Inventario"))</f>
        <v/>
      </c>
      <c r="E108" s="31" t="str">
        <f aca="false">IF($C108="","",IFERROR(INDEX(Inventario!$E$5:$E$100,MATCH($C108,Inventario!$B$5:$B$100,0)),"No está en Inventario"))</f>
        <v/>
      </c>
      <c r="F108" s="26"/>
      <c r="G108" s="42" t="str">
        <f aca="false">IF($C108="","",IFERROR(INDEX(Inventario!$H$5:$H$100,MATCH($C108,Inventario!$B$5:$B$100,0)),"No está en Inventario"))</f>
        <v/>
      </c>
      <c r="H108" s="43"/>
      <c r="I108" s="44" t="str">
        <f aca="false">IF(OR($C108="",$F108=""),"",N($F108)*N($G108)*(1-N($H108)))</f>
        <v/>
      </c>
      <c r="J108" s="24"/>
      <c r="K108" s="23"/>
      <c r="L108" s="30" t="str">
        <f aca="false">IF($C108="","",IFERROR(IF(INDEX(Inventario!$L$5:$L$100,MATCH($C108,Inventario!$B$5:$B$100,0))&lt;0,"Stock negativo: revisa","OK"),"No está en Inventario"))</f>
        <v/>
      </c>
    </row>
    <row r="109" customFormat="false" ht="15" hidden="false" customHeight="false" outlineLevel="0" collapsed="false">
      <c r="A109" s="1"/>
      <c r="B109" s="37"/>
      <c r="C109" s="13"/>
      <c r="D109" s="21" t="str">
        <f aca="false">IF($C109="","",IFERROR(INDEX(Inventario!$D$5:$D$100,MATCH($C109,Inventario!$B$5:$B$100,0)),"No está en Inventario"))</f>
        <v/>
      </c>
      <c r="E109" s="21" t="str">
        <f aca="false">IF($C109="","",IFERROR(INDEX(Inventario!$E$5:$E$100,MATCH($C109,Inventario!$B$5:$B$100,0)),"No está en Inventario"))</f>
        <v/>
      </c>
      <c r="F109" s="16"/>
      <c r="G109" s="38" t="str">
        <f aca="false">IF($C109="","",IFERROR(INDEX(Inventario!$H$5:$H$100,MATCH($C109,Inventario!$B$5:$B$100,0)),"No está en Inventario"))</f>
        <v/>
      </c>
      <c r="H109" s="39"/>
      <c r="I109" s="40" t="str">
        <f aca="false">IF(OR($C109="",$F109=""),"",N($F109)*N($G109)*(1-N($H109)))</f>
        <v/>
      </c>
      <c r="J109" s="14"/>
      <c r="K109" s="13"/>
      <c r="L109" s="20" t="str">
        <f aca="false">IF($C109="","",IFERROR(IF(INDEX(Inventario!$L$5:$L$100,MATCH($C109,Inventario!$B$5:$B$100,0))&lt;0,"Stock negativo: revisa","OK"),"No está en Inventario"))</f>
        <v/>
      </c>
    </row>
    <row r="110" customFormat="false" ht="15" hidden="false" customHeight="false" outlineLevel="0" collapsed="false">
      <c r="A110" s="1"/>
      <c r="B110" s="41"/>
      <c r="C110" s="23"/>
      <c r="D110" s="31" t="str">
        <f aca="false">IF($C110="","",IFERROR(INDEX(Inventario!$D$5:$D$100,MATCH($C110,Inventario!$B$5:$B$100,0)),"No está en Inventario"))</f>
        <v/>
      </c>
      <c r="E110" s="31" t="str">
        <f aca="false">IF($C110="","",IFERROR(INDEX(Inventario!$E$5:$E$100,MATCH($C110,Inventario!$B$5:$B$100,0)),"No está en Inventario"))</f>
        <v/>
      </c>
      <c r="F110" s="26"/>
      <c r="G110" s="42" t="str">
        <f aca="false">IF($C110="","",IFERROR(INDEX(Inventario!$H$5:$H$100,MATCH($C110,Inventario!$B$5:$B$100,0)),"No está en Inventario"))</f>
        <v/>
      </c>
      <c r="H110" s="43"/>
      <c r="I110" s="44" t="str">
        <f aca="false">IF(OR($C110="",$F110=""),"",N($F110)*N($G110)*(1-N($H110)))</f>
        <v/>
      </c>
      <c r="J110" s="24"/>
      <c r="K110" s="23"/>
      <c r="L110" s="30" t="str">
        <f aca="false">IF($C110="","",IFERROR(IF(INDEX(Inventario!$L$5:$L$100,MATCH($C110,Inventario!$B$5:$B$100,0))&lt;0,"Stock negativo: revisa","OK"),"No está en Inventario"))</f>
        <v/>
      </c>
    </row>
    <row r="111" customFormat="false" ht="15" hidden="false" customHeight="false" outlineLevel="0" collapsed="false">
      <c r="A111" s="1"/>
      <c r="B111" s="37"/>
      <c r="C111" s="13"/>
      <c r="D111" s="21" t="str">
        <f aca="false">IF($C111="","",IFERROR(INDEX(Inventario!$D$5:$D$100,MATCH($C111,Inventario!$B$5:$B$100,0)),"No está en Inventario"))</f>
        <v/>
      </c>
      <c r="E111" s="21" t="str">
        <f aca="false">IF($C111="","",IFERROR(INDEX(Inventario!$E$5:$E$100,MATCH($C111,Inventario!$B$5:$B$100,0)),"No está en Inventario"))</f>
        <v/>
      </c>
      <c r="F111" s="16"/>
      <c r="G111" s="38" t="str">
        <f aca="false">IF($C111="","",IFERROR(INDEX(Inventario!$H$5:$H$100,MATCH($C111,Inventario!$B$5:$B$100,0)),"No está en Inventario"))</f>
        <v/>
      </c>
      <c r="H111" s="39"/>
      <c r="I111" s="40" t="str">
        <f aca="false">IF(OR($C111="",$F111=""),"",N($F111)*N($G111)*(1-N($H111)))</f>
        <v/>
      </c>
      <c r="J111" s="14"/>
      <c r="K111" s="13"/>
      <c r="L111" s="20" t="str">
        <f aca="false">IF($C111="","",IFERROR(IF(INDEX(Inventario!$L$5:$L$100,MATCH($C111,Inventario!$B$5:$B$100,0))&lt;0,"Stock negativo: revisa","OK"),"No está en Inventario"))</f>
        <v/>
      </c>
    </row>
    <row r="112" customFormat="false" ht="15" hidden="false" customHeight="false" outlineLevel="0" collapsed="false">
      <c r="A112" s="1"/>
      <c r="B112" s="41"/>
      <c r="C112" s="23"/>
      <c r="D112" s="31" t="str">
        <f aca="false">IF($C112="","",IFERROR(INDEX(Inventario!$D$5:$D$100,MATCH($C112,Inventario!$B$5:$B$100,0)),"No está en Inventario"))</f>
        <v/>
      </c>
      <c r="E112" s="31" t="str">
        <f aca="false">IF($C112="","",IFERROR(INDEX(Inventario!$E$5:$E$100,MATCH($C112,Inventario!$B$5:$B$100,0)),"No está en Inventario"))</f>
        <v/>
      </c>
      <c r="F112" s="26"/>
      <c r="G112" s="42" t="str">
        <f aca="false">IF($C112="","",IFERROR(INDEX(Inventario!$H$5:$H$100,MATCH($C112,Inventario!$B$5:$B$100,0)),"No está en Inventario"))</f>
        <v/>
      </c>
      <c r="H112" s="43"/>
      <c r="I112" s="44" t="str">
        <f aca="false">IF(OR($C112="",$F112=""),"",N($F112)*N($G112)*(1-N($H112)))</f>
        <v/>
      </c>
      <c r="J112" s="24"/>
      <c r="K112" s="23"/>
      <c r="L112" s="30" t="str">
        <f aca="false">IF($C112="","",IFERROR(IF(INDEX(Inventario!$L$5:$L$100,MATCH($C112,Inventario!$B$5:$B$100,0))&lt;0,"Stock negativo: revisa","OK"),"No está en Inventario"))</f>
        <v/>
      </c>
    </row>
    <row r="113" customFormat="false" ht="15" hidden="false" customHeight="false" outlineLevel="0" collapsed="false">
      <c r="A113" s="1"/>
      <c r="B113" s="37"/>
      <c r="C113" s="13"/>
      <c r="D113" s="21" t="str">
        <f aca="false">IF($C113="","",IFERROR(INDEX(Inventario!$D$5:$D$100,MATCH($C113,Inventario!$B$5:$B$100,0)),"No está en Inventario"))</f>
        <v/>
      </c>
      <c r="E113" s="21" t="str">
        <f aca="false">IF($C113="","",IFERROR(INDEX(Inventario!$E$5:$E$100,MATCH($C113,Inventario!$B$5:$B$100,0)),"No está en Inventario"))</f>
        <v/>
      </c>
      <c r="F113" s="16"/>
      <c r="G113" s="38" t="str">
        <f aca="false">IF($C113="","",IFERROR(INDEX(Inventario!$H$5:$H$100,MATCH($C113,Inventario!$B$5:$B$100,0)),"No está en Inventario"))</f>
        <v/>
      </c>
      <c r="H113" s="39"/>
      <c r="I113" s="40" t="str">
        <f aca="false">IF(OR($C113="",$F113=""),"",N($F113)*N($G113)*(1-N($H113)))</f>
        <v/>
      </c>
      <c r="J113" s="14"/>
      <c r="K113" s="13"/>
      <c r="L113" s="20" t="str">
        <f aca="false">IF($C113="","",IFERROR(IF(INDEX(Inventario!$L$5:$L$100,MATCH($C113,Inventario!$B$5:$B$100,0))&lt;0,"Stock negativo: revisa","OK"),"No está en Inventario"))</f>
        <v/>
      </c>
    </row>
    <row r="114" customFormat="false" ht="15" hidden="false" customHeight="false" outlineLevel="0" collapsed="false">
      <c r="A114" s="1"/>
      <c r="B114" s="41"/>
      <c r="C114" s="23"/>
      <c r="D114" s="31" t="str">
        <f aca="false">IF($C114="","",IFERROR(INDEX(Inventario!$D$5:$D$100,MATCH($C114,Inventario!$B$5:$B$100,0)),"No está en Inventario"))</f>
        <v/>
      </c>
      <c r="E114" s="31" t="str">
        <f aca="false">IF($C114="","",IFERROR(INDEX(Inventario!$E$5:$E$100,MATCH($C114,Inventario!$B$5:$B$100,0)),"No está en Inventario"))</f>
        <v/>
      </c>
      <c r="F114" s="26"/>
      <c r="G114" s="42" t="str">
        <f aca="false">IF($C114="","",IFERROR(INDEX(Inventario!$H$5:$H$100,MATCH($C114,Inventario!$B$5:$B$100,0)),"No está en Inventario"))</f>
        <v/>
      </c>
      <c r="H114" s="43"/>
      <c r="I114" s="44" t="str">
        <f aca="false">IF(OR($C114="",$F114=""),"",N($F114)*N($G114)*(1-N($H114)))</f>
        <v/>
      </c>
      <c r="J114" s="24"/>
      <c r="K114" s="23"/>
      <c r="L114" s="30" t="str">
        <f aca="false">IF($C114="","",IFERROR(IF(INDEX(Inventario!$L$5:$L$100,MATCH($C114,Inventario!$B$5:$B$100,0))&lt;0,"Stock negativo: revisa","OK"),"No está en Inventario"))</f>
        <v/>
      </c>
    </row>
    <row r="115" customFormat="false" ht="15" hidden="false" customHeight="false" outlineLevel="0" collapsed="false">
      <c r="A115" s="1"/>
      <c r="B115" s="37"/>
      <c r="C115" s="13"/>
      <c r="D115" s="21" t="str">
        <f aca="false">IF($C115="","",IFERROR(INDEX(Inventario!$D$5:$D$100,MATCH($C115,Inventario!$B$5:$B$100,0)),"No está en Inventario"))</f>
        <v/>
      </c>
      <c r="E115" s="21" t="str">
        <f aca="false">IF($C115="","",IFERROR(INDEX(Inventario!$E$5:$E$100,MATCH($C115,Inventario!$B$5:$B$100,0)),"No está en Inventario"))</f>
        <v/>
      </c>
      <c r="F115" s="16"/>
      <c r="G115" s="38" t="str">
        <f aca="false">IF($C115="","",IFERROR(INDEX(Inventario!$H$5:$H$100,MATCH($C115,Inventario!$B$5:$B$100,0)),"No está en Inventario"))</f>
        <v/>
      </c>
      <c r="H115" s="39"/>
      <c r="I115" s="40" t="str">
        <f aca="false">IF(OR($C115="",$F115=""),"",N($F115)*N($G115)*(1-N($H115)))</f>
        <v/>
      </c>
      <c r="J115" s="14"/>
      <c r="K115" s="13"/>
      <c r="L115" s="20" t="str">
        <f aca="false">IF($C115="","",IFERROR(IF(INDEX(Inventario!$L$5:$L$100,MATCH($C115,Inventario!$B$5:$B$100,0))&lt;0,"Stock negativo: revisa","OK"),"No está en Inventario"))</f>
        <v/>
      </c>
    </row>
    <row r="116" customFormat="false" ht="15" hidden="false" customHeight="false" outlineLevel="0" collapsed="false">
      <c r="A116" s="1"/>
      <c r="B116" s="41"/>
      <c r="C116" s="23"/>
      <c r="D116" s="31" t="str">
        <f aca="false">IF($C116="","",IFERROR(INDEX(Inventario!$D$5:$D$100,MATCH($C116,Inventario!$B$5:$B$100,0)),"No está en Inventario"))</f>
        <v/>
      </c>
      <c r="E116" s="31" t="str">
        <f aca="false">IF($C116="","",IFERROR(INDEX(Inventario!$E$5:$E$100,MATCH($C116,Inventario!$B$5:$B$100,0)),"No está en Inventario"))</f>
        <v/>
      </c>
      <c r="F116" s="26"/>
      <c r="G116" s="42" t="str">
        <f aca="false">IF($C116="","",IFERROR(INDEX(Inventario!$H$5:$H$100,MATCH($C116,Inventario!$B$5:$B$100,0)),"No está en Inventario"))</f>
        <v/>
      </c>
      <c r="H116" s="43"/>
      <c r="I116" s="44" t="str">
        <f aca="false">IF(OR($C116="",$F116=""),"",N($F116)*N($G116)*(1-N($H116)))</f>
        <v/>
      </c>
      <c r="J116" s="24"/>
      <c r="K116" s="23"/>
      <c r="L116" s="30" t="str">
        <f aca="false">IF($C116="","",IFERROR(IF(INDEX(Inventario!$L$5:$L$100,MATCH($C116,Inventario!$B$5:$B$100,0))&lt;0,"Stock negativo: revisa","OK"),"No está en Inventario"))</f>
        <v/>
      </c>
    </row>
    <row r="117" customFormat="false" ht="15" hidden="false" customHeight="false" outlineLevel="0" collapsed="false">
      <c r="A117" s="1"/>
      <c r="B117" s="37"/>
      <c r="C117" s="13"/>
      <c r="D117" s="21" t="str">
        <f aca="false">IF($C117="","",IFERROR(INDEX(Inventario!$D$5:$D$100,MATCH($C117,Inventario!$B$5:$B$100,0)),"No está en Inventario"))</f>
        <v/>
      </c>
      <c r="E117" s="21" t="str">
        <f aca="false">IF($C117="","",IFERROR(INDEX(Inventario!$E$5:$E$100,MATCH($C117,Inventario!$B$5:$B$100,0)),"No está en Inventario"))</f>
        <v/>
      </c>
      <c r="F117" s="16"/>
      <c r="G117" s="38" t="str">
        <f aca="false">IF($C117="","",IFERROR(INDEX(Inventario!$H$5:$H$100,MATCH($C117,Inventario!$B$5:$B$100,0)),"No está en Inventario"))</f>
        <v/>
      </c>
      <c r="H117" s="39"/>
      <c r="I117" s="40" t="str">
        <f aca="false">IF(OR($C117="",$F117=""),"",N($F117)*N($G117)*(1-N($H117)))</f>
        <v/>
      </c>
      <c r="J117" s="14"/>
      <c r="K117" s="13"/>
      <c r="L117" s="20" t="str">
        <f aca="false">IF($C117="","",IFERROR(IF(INDEX(Inventario!$L$5:$L$100,MATCH($C117,Inventario!$B$5:$B$100,0))&lt;0,"Stock negativo: revisa","OK"),"No está en Inventario"))</f>
        <v/>
      </c>
    </row>
    <row r="118" customFormat="false" ht="15" hidden="false" customHeight="false" outlineLevel="0" collapsed="false">
      <c r="A118" s="1"/>
      <c r="B118" s="41"/>
      <c r="C118" s="23"/>
      <c r="D118" s="31" t="str">
        <f aca="false">IF($C118="","",IFERROR(INDEX(Inventario!$D$5:$D$100,MATCH($C118,Inventario!$B$5:$B$100,0)),"No está en Inventario"))</f>
        <v/>
      </c>
      <c r="E118" s="31" t="str">
        <f aca="false">IF($C118="","",IFERROR(INDEX(Inventario!$E$5:$E$100,MATCH($C118,Inventario!$B$5:$B$100,0)),"No está en Inventario"))</f>
        <v/>
      </c>
      <c r="F118" s="26"/>
      <c r="G118" s="42" t="str">
        <f aca="false">IF($C118="","",IFERROR(INDEX(Inventario!$H$5:$H$100,MATCH($C118,Inventario!$B$5:$B$100,0)),"No está en Inventario"))</f>
        <v/>
      </c>
      <c r="H118" s="43"/>
      <c r="I118" s="44" t="str">
        <f aca="false">IF(OR($C118="",$F118=""),"",N($F118)*N($G118)*(1-N($H118)))</f>
        <v/>
      </c>
      <c r="J118" s="24"/>
      <c r="K118" s="23"/>
      <c r="L118" s="30" t="str">
        <f aca="false">IF($C118="","",IFERROR(IF(INDEX(Inventario!$L$5:$L$100,MATCH($C118,Inventario!$B$5:$B$100,0))&lt;0,"Stock negativo: revisa","OK"),"No está en Inventario"))</f>
        <v/>
      </c>
    </row>
    <row r="119" customFormat="false" ht="15" hidden="false" customHeight="false" outlineLevel="0" collapsed="false">
      <c r="A119" s="1"/>
      <c r="B119" s="37"/>
      <c r="C119" s="13"/>
      <c r="D119" s="21" t="str">
        <f aca="false">IF($C119="","",IFERROR(INDEX(Inventario!$D$5:$D$100,MATCH($C119,Inventario!$B$5:$B$100,0)),"No está en Inventario"))</f>
        <v/>
      </c>
      <c r="E119" s="21" t="str">
        <f aca="false">IF($C119="","",IFERROR(INDEX(Inventario!$E$5:$E$100,MATCH($C119,Inventario!$B$5:$B$100,0)),"No está en Inventario"))</f>
        <v/>
      </c>
      <c r="F119" s="16"/>
      <c r="G119" s="38" t="str">
        <f aca="false">IF($C119="","",IFERROR(INDEX(Inventario!$H$5:$H$100,MATCH($C119,Inventario!$B$5:$B$100,0)),"No está en Inventario"))</f>
        <v/>
      </c>
      <c r="H119" s="39"/>
      <c r="I119" s="40" t="str">
        <f aca="false">IF(OR($C119="",$F119=""),"",N($F119)*N($G119)*(1-N($H119)))</f>
        <v/>
      </c>
      <c r="J119" s="14"/>
      <c r="K119" s="13"/>
      <c r="L119" s="20" t="str">
        <f aca="false">IF($C119="","",IFERROR(IF(INDEX(Inventario!$L$5:$L$100,MATCH($C119,Inventario!$B$5:$B$100,0))&lt;0,"Stock negativo: revisa","OK"),"No está en Inventario"))</f>
        <v/>
      </c>
    </row>
    <row r="120" customFormat="false" ht="15" hidden="false" customHeight="false" outlineLevel="0" collapsed="false">
      <c r="A120" s="1"/>
      <c r="B120" s="41"/>
      <c r="C120" s="23"/>
      <c r="D120" s="31" t="str">
        <f aca="false">IF($C120="","",IFERROR(INDEX(Inventario!$D$5:$D$100,MATCH($C120,Inventario!$B$5:$B$100,0)),"No está en Inventario"))</f>
        <v/>
      </c>
      <c r="E120" s="31" t="str">
        <f aca="false">IF($C120="","",IFERROR(INDEX(Inventario!$E$5:$E$100,MATCH($C120,Inventario!$B$5:$B$100,0)),"No está en Inventario"))</f>
        <v/>
      </c>
      <c r="F120" s="26"/>
      <c r="G120" s="42" t="str">
        <f aca="false">IF($C120="","",IFERROR(INDEX(Inventario!$H$5:$H$100,MATCH($C120,Inventario!$B$5:$B$100,0)),"No está en Inventario"))</f>
        <v/>
      </c>
      <c r="H120" s="43"/>
      <c r="I120" s="44" t="str">
        <f aca="false">IF(OR($C120="",$F120=""),"",N($F120)*N($G120)*(1-N($H120)))</f>
        <v/>
      </c>
      <c r="J120" s="24"/>
      <c r="K120" s="23"/>
      <c r="L120" s="30" t="str">
        <f aca="false">IF($C120="","",IFERROR(IF(INDEX(Inventario!$L$5:$L$100,MATCH($C120,Inventario!$B$5:$B$100,0))&lt;0,"Stock negativo: revisa","OK"),"No está en Inventario"))</f>
        <v/>
      </c>
    </row>
    <row r="121" customFormat="false" ht="15" hidden="false" customHeight="false" outlineLevel="0" collapsed="false">
      <c r="A121" s="1"/>
      <c r="B121" s="37"/>
      <c r="C121" s="13"/>
      <c r="D121" s="21" t="str">
        <f aca="false">IF($C121="","",IFERROR(INDEX(Inventario!$D$5:$D$100,MATCH($C121,Inventario!$B$5:$B$100,0)),"No está en Inventario"))</f>
        <v/>
      </c>
      <c r="E121" s="21" t="str">
        <f aca="false">IF($C121="","",IFERROR(INDEX(Inventario!$E$5:$E$100,MATCH($C121,Inventario!$B$5:$B$100,0)),"No está en Inventario"))</f>
        <v/>
      </c>
      <c r="F121" s="16"/>
      <c r="G121" s="38" t="str">
        <f aca="false">IF($C121="","",IFERROR(INDEX(Inventario!$H$5:$H$100,MATCH($C121,Inventario!$B$5:$B$100,0)),"No está en Inventario"))</f>
        <v/>
      </c>
      <c r="H121" s="39"/>
      <c r="I121" s="40" t="str">
        <f aca="false">IF(OR($C121="",$F121=""),"",N($F121)*N($G121)*(1-N($H121)))</f>
        <v/>
      </c>
      <c r="J121" s="14"/>
      <c r="K121" s="13"/>
      <c r="L121" s="20" t="str">
        <f aca="false">IF($C121="","",IFERROR(IF(INDEX(Inventario!$L$5:$L$100,MATCH($C121,Inventario!$B$5:$B$100,0))&lt;0,"Stock negativo: revisa","OK"),"No está en Inventario"))</f>
        <v/>
      </c>
    </row>
    <row r="122" customFormat="false" ht="15" hidden="false" customHeight="false" outlineLevel="0" collapsed="false">
      <c r="A122" s="1"/>
      <c r="B122" s="41"/>
      <c r="C122" s="23"/>
      <c r="D122" s="31" t="str">
        <f aca="false">IF($C122="","",IFERROR(INDEX(Inventario!$D$5:$D$100,MATCH($C122,Inventario!$B$5:$B$100,0)),"No está en Inventario"))</f>
        <v/>
      </c>
      <c r="E122" s="31" t="str">
        <f aca="false">IF($C122="","",IFERROR(INDEX(Inventario!$E$5:$E$100,MATCH($C122,Inventario!$B$5:$B$100,0)),"No está en Inventario"))</f>
        <v/>
      </c>
      <c r="F122" s="26"/>
      <c r="G122" s="42" t="str">
        <f aca="false">IF($C122="","",IFERROR(INDEX(Inventario!$H$5:$H$100,MATCH($C122,Inventario!$B$5:$B$100,0)),"No está en Inventario"))</f>
        <v/>
      </c>
      <c r="H122" s="43"/>
      <c r="I122" s="44" t="str">
        <f aca="false">IF(OR($C122="",$F122=""),"",N($F122)*N($G122)*(1-N($H122)))</f>
        <v/>
      </c>
      <c r="J122" s="24"/>
      <c r="K122" s="23"/>
      <c r="L122" s="30" t="str">
        <f aca="false">IF($C122="","",IFERROR(IF(INDEX(Inventario!$L$5:$L$100,MATCH($C122,Inventario!$B$5:$B$100,0))&lt;0,"Stock negativo: revisa","OK"),"No está en Inventario"))</f>
        <v/>
      </c>
    </row>
    <row r="123" customFormat="false" ht="15" hidden="false" customHeight="false" outlineLevel="0" collapsed="false">
      <c r="A123" s="1"/>
      <c r="B123" s="37"/>
      <c r="C123" s="13"/>
      <c r="D123" s="21" t="str">
        <f aca="false">IF($C123="","",IFERROR(INDEX(Inventario!$D$5:$D$100,MATCH($C123,Inventario!$B$5:$B$100,0)),"No está en Inventario"))</f>
        <v/>
      </c>
      <c r="E123" s="21" t="str">
        <f aca="false">IF($C123="","",IFERROR(INDEX(Inventario!$E$5:$E$100,MATCH($C123,Inventario!$B$5:$B$100,0)),"No está en Inventario"))</f>
        <v/>
      </c>
      <c r="F123" s="16"/>
      <c r="G123" s="38" t="str">
        <f aca="false">IF($C123="","",IFERROR(INDEX(Inventario!$H$5:$H$100,MATCH($C123,Inventario!$B$5:$B$100,0)),"No está en Inventario"))</f>
        <v/>
      </c>
      <c r="H123" s="39"/>
      <c r="I123" s="40" t="str">
        <f aca="false">IF(OR($C123="",$F123=""),"",N($F123)*N($G123)*(1-N($H123)))</f>
        <v/>
      </c>
      <c r="J123" s="14"/>
      <c r="K123" s="13"/>
      <c r="L123" s="20" t="str">
        <f aca="false">IF($C123="","",IFERROR(IF(INDEX(Inventario!$L$5:$L$100,MATCH($C123,Inventario!$B$5:$B$100,0))&lt;0,"Stock negativo: revisa","OK"),"No está en Inventario"))</f>
        <v/>
      </c>
    </row>
    <row r="124" customFormat="false" ht="15" hidden="false" customHeight="false" outlineLevel="0" collapsed="false">
      <c r="A124" s="1"/>
      <c r="B124" s="41"/>
      <c r="C124" s="23"/>
      <c r="D124" s="31" t="str">
        <f aca="false">IF($C124="","",IFERROR(INDEX(Inventario!$D$5:$D$100,MATCH($C124,Inventario!$B$5:$B$100,0)),"No está en Inventario"))</f>
        <v/>
      </c>
      <c r="E124" s="31" t="str">
        <f aca="false">IF($C124="","",IFERROR(INDEX(Inventario!$E$5:$E$100,MATCH($C124,Inventario!$B$5:$B$100,0)),"No está en Inventario"))</f>
        <v/>
      </c>
      <c r="F124" s="26"/>
      <c r="G124" s="42" t="str">
        <f aca="false">IF($C124="","",IFERROR(INDEX(Inventario!$H$5:$H$100,MATCH($C124,Inventario!$B$5:$B$100,0)),"No está en Inventario"))</f>
        <v/>
      </c>
      <c r="H124" s="43"/>
      <c r="I124" s="44" t="str">
        <f aca="false">IF(OR($C124="",$F124=""),"",N($F124)*N($G124)*(1-N($H124)))</f>
        <v/>
      </c>
      <c r="J124" s="24"/>
      <c r="K124" s="23"/>
      <c r="L124" s="30" t="str">
        <f aca="false">IF($C124="","",IFERROR(IF(INDEX(Inventario!$L$5:$L$100,MATCH($C124,Inventario!$B$5:$B$100,0))&lt;0,"Stock negativo: revisa","OK"),"No está en Inventario"))</f>
        <v/>
      </c>
    </row>
    <row r="125" customFormat="false" ht="15" hidden="false" customHeight="false" outlineLevel="0" collapsed="false">
      <c r="A125" s="1"/>
      <c r="B125" s="37"/>
      <c r="C125" s="13"/>
      <c r="D125" s="21" t="str">
        <f aca="false">IF($C125="","",IFERROR(INDEX(Inventario!$D$5:$D$100,MATCH($C125,Inventario!$B$5:$B$100,0)),"No está en Inventario"))</f>
        <v/>
      </c>
      <c r="E125" s="21" t="str">
        <f aca="false">IF($C125="","",IFERROR(INDEX(Inventario!$E$5:$E$100,MATCH($C125,Inventario!$B$5:$B$100,0)),"No está en Inventario"))</f>
        <v/>
      </c>
      <c r="F125" s="16"/>
      <c r="G125" s="38" t="str">
        <f aca="false">IF($C125="","",IFERROR(INDEX(Inventario!$H$5:$H$100,MATCH($C125,Inventario!$B$5:$B$100,0)),"No está en Inventario"))</f>
        <v/>
      </c>
      <c r="H125" s="39"/>
      <c r="I125" s="40" t="str">
        <f aca="false">IF(OR($C125="",$F125=""),"",N($F125)*N($G125)*(1-N($H125)))</f>
        <v/>
      </c>
      <c r="J125" s="14"/>
      <c r="K125" s="13"/>
      <c r="L125" s="20" t="str">
        <f aca="false">IF($C125="","",IFERROR(IF(INDEX(Inventario!$L$5:$L$100,MATCH($C125,Inventario!$B$5:$B$100,0))&lt;0,"Stock negativo: revisa","OK"),"No está en Inventario"))</f>
        <v/>
      </c>
    </row>
    <row r="126" customFormat="false" ht="15" hidden="false" customHeight="false" outlineLevel="0" collapsed="false">
      <c r="A126" s="1"/>
      <c r="B126" s="41"/>
      <c r="C126" s="23"/>
      <c r="D126" s="31" t="str">
        <f aca="false">IF($C126="","",IFERROR(INDEX(Inventario!$D$5:$D$100,MATCH($C126,Inventario!$B$5:$B$100,0)),"No está en Inventario"))</f>
        <v/>
      </c>
      <c r="E126" s="31" t="str">
        <f aca="false">IF($C126="","",IFERROR(INDEX(Inventario!$E$5:$E$100,MATCH($C126,Inventario!$B$5:$B$100,0)),"No está en Inventario"))</f>
        <v/>
      </c>
      <c r="F126" s="26"/>
      <c r="G126" s="42" t="str">
        <f aca="false">IF($C126="","",IFERROR(INDEX(Inventario!$H$5:$H$100,MATCH($C126,Inventario!$B$5:$B$100,0)),"No está en Inventario"))</f>
        <v/>
      </c>
      <c r="H126" s="43"/>
      <c r="I126" s="44" t="str">
        <f aca="false">IF(OR($C126="",$F126=""),"",N($F126)*N($G126)*(1-N($H126)))</f>
        <v/>
      </c>
      <c r="J126" s="24"/>
      <c r="K126" s="23"/>
      <c r="L126" s="30" t="str">
        <f aca="false">IF($C126="","",IFERROR(IF(INDEX(Inventario!$L$5:$L$100,MATCH($C126,Inventario!$B$5:$B$100,0))&lt;0,"Stock negativo: revisa","OK"),"No está en Inventario"))</f>
        <v/>
      </c>
    </row>
    <row r="127" customFormat="false" ht="15" hidden="false" customHeight="false" outlineLevel="0" collapsed="false">
      <c r="A127" s="1"/>
      <c r="B127" s="37"/>
      <c r="C127" s="13"/>
      <c r="D127" s="21" t="str">
        <f aca="false">IF($C127="","",IFERROR(INDEX(Inventario!$D$5:$D$100,MATCH($C127,Inventario!$B$5:$B$100,0)),"No está en Inventario"))</f>
        <v/>
      </c>
      <c r="E127" s="21" t="str">
        <f aca="false">IF($C127="","",IFERROR(INDEX(Inventario!$E$5:$E$100,MATCH($C127,Inventario!$B$5:$B$100,0)),"No está en Inventario"))</f>
        <v/>
      </c>
      <c r="F127" s="16"/>
      <c r="G127" s="38" t="str">
        <f aca="false">IF($C127="","",IFERROR(INDEX(Inventario!$H$5:$H$100,MATCH($C127,Inventario!$B$5:$B$100,0)),"No está en Inventario"))</f>
        <v/>
      </c>
      <c r="H127" s="39"/>
      <c r="I127" s="40" t="str">
        <f aca="false">IF(OR($C127="",$F127=""),"",N($F127)*N($G127)*(1-N($H127)))</f>
        <v/>
      </c>
      <c r="J127" s="14"/>
      <c r="K127" s="13"/>
      <c r="L127" s="20" t="str">
        <f aca="false">IF($C127="","",IFERROR(IF(INDEX(Inventario!$L$5:$L$100,MATCH($C127,Inventario!$B$5:$B$100,0))&lt;0,"Stock negativo: revisa","OK"),"No está en Inventario"))</f>
        <v/>
      </c>
    </row>
    <row r="128" customFormat="false" ht="15" hidden="false" customHeight="false" outlineLevel="0" collapsed="false">
      <c r="A128" s="1"/>
      <c r="B128" s="41"/>
      <c r="C128" s="23"/>
      <c r="D128" s="31" t="str">
        <f aca="false">IF($C128="","",IFERROR(INDEX(Inventario!$D$5:$D$100,MATCH($C128,Inventario!$B$5:$B$100,0)),"No está en Inventario"))</f>
        <v/>
      </c>
      <c r="E128" s="31" t="str">
        <f aca="false">IF($C128="","",IFERROR(INDEX(Inventario!$E$5:$E$100,MATCH($C128,Inventario!$B$5:$B$100,0)),"No está en Inventario"))</f>
        <v/>
      </c>
      <c r="F128" s="26"/>
      <c r="G128" s="42" t="str">
        <f aca="false">IF($C128="","",IFERROR(INDEX(Inventario!$H$5:$H$100,MATCH($C128,Inventario!$B$5:$B$100,0)),"No está en Inventario"))</f>
        <v/>
      </c>
      <c r="H128" s="43"/>
      <c r="I128" s="44" t="str">
        <f aca="false">IF(OR($C128="",$F128=""),"",N($F128)*N($G128)*(1-N($H128)))</f>
        <v/>
      </c>
      <c r="J128" s="24"/>
      <c r="K128" s="23"/>
      <c r="L128" s="30" t="str">
        <f aca="false">IF($C128="","",IFERROR(IF(INDEX(Inventario!$L$5:$L$100,MATCH($C128,Inventario!$B$5:$B$100,0))&lt;0,"Stock negativo: revisa","OK"),"No está en Inventario"))</f>
        <v/>
      </c>
    </row>
    <row r="129" customFormat="false" ht="15" hidden="false" customHeight="false" outlineLevel="0" collapsed="false">
      <c r="A129" s="1"/>
      <c r="B129" s="37"/>
      <c r="C129" s="13"/>
      <c r="D129" s="21" t="str">
        <f aca="false">IF($C129="","",IFERROR(INDEX(Inventario!$D$5:$D$100,MATCH($C129,Inventario!$B$5:$B$100,0)),"No está en Inventario"))</f>
        <v/>
      </c>
      <c r="E129" s="21" t="str">
        <f aca="false">IF($C129="","",IFERROR(INDEX(Inventario!$E$5:$E$100,MATCH($C129,Inventario!$B$5:$B$100,0)),"No está en Inventario"))</f>
        <v/>
      </c>
      <c r="F129" s="16"/>
      <c r="G129" s="38" t="str">
        <f aca="false">IF($C129="","",IFERROR(INDEX(Inventario!$H$5:$H$100,MATCH($C129,Inventario!$B$5:$B$100,0)),"No está en Inventario"))</f>
        <v/>
      </c>
      <c r="H129" s="39"/>
      <c r="I129" s="40" t="str">
        <f aca="false">IF(OR($C129="",$F129=""),"",N($F129)*N($G129)*(1-N($H129)))</f>
        <v/>
      </c>
      <c r="J129" s="14"/>
      <c r="K129" s="13"/>
      <c r="L129" s="20" t="str">
        <f aca="false">IF($C129="","",IFERROR(IF(INDEX(Inventario!$L$5:$L$100,MATCH($C129,Inventario!$B$5:$B$100,0))&lt;0,"Stock negativo: revisa","OK"),"No está en Inventario"))</f>
        <v/>
      </c>
    </row>
    <row r="130" customFormat="false" ht="15" hidden="false" customHeight="false" outlineLevel="0" collapsed="false">
      <c r="A130" s="1"/>
      <c r="B130" s="41"/>
      <c r="C130" s="23"/>
      <c r="D130" s="31" t="str">
        <f aca="false">IF($C130="","",IFERROR(INDEX(Inventario!$D$5:$D$100,MATCH($C130,Inventario!$B$5:$B$100,0)),"No está en Inventario"))</f>
        <v/>
      </c>
      <c r="E130" s="31" t="str">
        <f aca="false">IF($C130="","",IFERROR(INDEX(Inventario!$E$5:$E$100,MATCH($C130,Inventario!$B$5:$B$100,0)),"No está en Inventario"))</f>
        <v/>
      </c>
      <c r="F130" s="26"/>
      <c r="G130" s="42" t="str">
        <f aca="false">IF($C130="","",IFERROR(INDEX(Inventario!$H$5:$H$100,MATCH($C130,Inventario!$B$5:$B$100,0)),"No está en Inventario"))</f>
        <v/>
      </c>
      <c r="H130" s="43"/>
      <c r="I130" s="44" t="str">
        <f aca="false">IF(OR($C130="",$F130=""),"",N($F130)*N($G130)*(1-N($H130)))</f>
        <v/>
      </c>
      <c r="J130" s="24"/>
      <c r="K130" s="23"/>
      <c r="L130" s="30" t="str">
        <f aca="false">IF($C130="","",IFERROR(IF(INDEX(Inventario!$L$5:$L$100,MATCH($C130,Inventario!$B$5:$B$100,0))&lt;0,"Stock negativo: revisa","OK"),"No está en Inventario"))</f>
        <v/>
      </c>
    </row>
    <row r="131" customFormat="false" ht="15" hidden="false" customHeight="false" outlineLevel="0" collapsed="false">
      <c r="A131" s="1"/>
      <c r="B131" s="37"/>
      <c r="C131" s="13"/>
      <c r="D131" s="21" t="str">
        <f aca="false">IF($C131="","",IFERROR(INDEX(Inventario!$D$5:$D$100,MATCH($C131,Inventario!$B$5:$B$100,0)),"No está en Inventario"))</f>
        <v/>
      </c>
      <c r="E131" s="21" t="str">
        <f aca="false">IF($C131="","",IFERROR(INDEX(Inventario!$E$5:$E$100,MATCH($C131,Inventario!$B$5:$B$100,0)),"No está en Inventario"))</f>
        <v/>
      </c>
      <c r="F131" s="16"/>
      <c r="G131" s="38" t="str">
        <f aca="false">IF($C131="","",IFERROR(INDEX(Inventario!$H$5:$H$100,MATCH($C131,Inventario!$B$5:$B$100,0)),"No está en Inventario"))</f>
        <v/>
      </c>
      <c r="H131" s="39"/>
      <c r="I131" s="40" t="str">
        <f aca="false">IF(OR($C131="",$F131=""),"",N($F131)*N($G131)*(1-N($H131)))</f>
        <v/>
      </c>
      <c r="J131" s="14"/>
      <c r="K131" s="13"/>
      <c r="L131" s="20" t="str">
        <f aca="false">IF($C131="","",IFERROR(IF(INDEX(Inventario!$L$5:$L$100,MATCH($C131,Inventario!$B$5:$B$100,0))&lt;0,"Stock negativo: revisa","OK"),"No está en Inventario"))</f>
        <v/>
      </c>
    </row>
    <row r="132" customFormat="false" ht="15" hidden="false" customHeight="false" outlineLevel="0" collapsed="false">
      <c r="A132" s="1"/>
      <c r="B132" s="41"/>
      <c r="C132" s="23"/>
      <c r="D132" s="31" t="str">
        <f aca="false">IF($C132="","",IFERROR(INDEX(Inventario!$D$5:$D$100,MATCH($C132,Inventario!$B$5:$B$100,0)),"No está en Inventario"))</f>
        <v/>
      </c>
      <c r="E132" s="31" t="str">
        <f aca="false">IF($C132="","",IFERROR(INDEX(Inventario!$E$5:$E$100,MATCH($C132,Inventario!$B$5:$B$100,0)),"No está en Inventario"))</f>
        <v/>
      </c>
      <c r="F132" s="26"/>
      <c r="G132" s="42" t="str">
        <f aca="false">IF($C132="","",IFERROR(INDEX(Inventario!$H$5:$H$100,MATCH($C132,Inventario!$B$5:$B$100,0)),"No está en Inventario"))</f>
        <v/>
      </c>
      <c r="H132" s="43"/>
      <c r="I132" s="44" t="str">
        <f aca="false">IF(OR($C132="",$F132=""),"",N($F132)*N($G132)*(1-N($H132)))</f>
        <v/>
      </c>
      <c r="J132" s="24"/>
      <c r="K132" s="23"/>
      <c r="L132" s="30" t="str">
        <f aca="false">IF($C132="","",IFERROR(IF(INDEX(Inventario!$L$5:$L$100,MATCH($C132,Inventario!$B$5:$B$100,0))&lt;0,"Stock negativo: revisa","OK"),"No está en Inventario"))</f>
        <v/>
      </c>
    </row>
    <row r="133" customFormat="false" ht="15" hidden="false" customHeight="false" outlineLevel="0" collapsed="false">
      <c r="A133" s="1"/>
      <c r="B133" s="37"/>
      <c r="C133" s="13"/>
      <c r="D133" s="21" t="str">
        <f aca="false">IF($C133="","",IFERROR(INDEX(Inventario!$D$5:$D$100,MATCH($C133,Inventario!$B$5:$B$100,0)),"No está en Inventario"))</f>
        <v/>
      </c>
      <c r="E133" s="21" t="str">
        <f aca="false">IF($C133="","",IFERROR(INDEX(Inventario!$E$5:$E$100,MATCH($C133,Inventario!$B$5:$B$100,0)),"No está en Inventario"))</f>
        <v/>
      </c>
      <c r="F133" s="16"/>
      <c r="G133" s="38" t="str">
        <f aca="false">IF($C133="","",IFERROR(INDEX(Inventario!$H$5:$H$100,MATCH($C133,Inventario!$B$5:$B$100,0)),"No está en Inventario"))</f>
        <v/>
      </c>
      <c r="H133" s="39"/>
      <c r="I133" s="40" t="str">
        <f aca="false">IF(OR($C133="",$F133=""),"",N($F133)*N($G133)*(1-N($H133)))</f>
        <v/>
      </c>
      <c r="J133" s="14"/>
      <c r="K133" s="13"/>
      <c r="L133" s="20" t="str">
        <f aca="false">IF($C133="","",IFERROR(IF(INDEX(Inventario!$L$5:$L$100,MATCH($C133,Inventario!$B$5:$B$100,0))&lt;0,"Stock negativo: revisa","OK"),"No está en Inventario"))</f>
        <v/>
      </c>
    </row>
    <row r="134" customFormat="false" ht="15" hidden="false" customHeight="false" outlineLevel="0" collapsed="false">
      <c r="A134" s="1"/>
      <c r="B134" s="41"/>
      <c r="C134" s="23"/>
      <c r="D134" s="31" t="str">
        <f aca="false">IF($C134="","",IFERROR(INDEX(Inventario!$D$5:$D$100,MATCH($C134,Inventario!$B$5:$B$100,0)),"No está en Inventario"))</f>
        <v/>
      </c>
      <c r="E134" s="31" t="str">
        <f aca="false">IF($C134="","",IFERROR(INDEX(Inventario!$E$5:$E$100,MATCH($C134,Inventario!$B$5:$B$100,0)),"No está en Inventario"))</f>
        <v/>
      </c>
      <c r="F134" s="26"/>
      <c r="G134" s="42" t="str">
        <f aca="false">IF($C134="","",IFERROR(INDEX(Inventario!$H$5:$H$100,MATCH($C134,Inventario!$B$5:$B$100,0)),"No está en Inventario"))</f>
        <v/>
      </c>
      <c r="H134" s="43"/>
      <c r="I134" s="44" t="str">
        <f aca="false">IF(OR($C134="",$F134=""),"",N($F134)*N($G134)*(1-N($H134)))</f>
        <v/>
      </c>
      <c r="J134" s="24"/>
      <c r="K134" s="23"/>
      <c r="L134" s="30" t="str">
        <f aca="false">IF($C134="","",IFERROR(IF(INDEX(Inventario!$L$5:$L$100,MATCH($C134,Inventario!$B$5:$B$100,0))&lt;0,"Stock negativo: revisa","OK"),"No está en Inventario"))</f>
        <v/>
      </c>
    </row>
    <row r="135" customFormat="false" ht="15" hidden="false" customHeight="false" outlineLevel="0" collapsed="false">
      <c r="A135" s="1"/>
      <c r="B135" s="37"/>
      <c r="C135" s="13"/>
      <c r="D135" s="21" t="str">
        <f aca="false">IF($C135="","",IFERROR(INDEX(Inventario!$D$5:$D$100,MATCH($C135,Inventario!$B$5:$B$100,0)),"No está en Inventario"))</f>
        <v/>
      </c>
      <c r="E135" s="21" t="str">
        <f aca="false">IF($C135="","",IFERROR(INDEX(Inventario!$E$5:$E$100,MATCH($C135,Inventario!$B$5:$B$100,0)),"No está en Inventario"))</f>
        <v/>
      </c>
      <c r="F135" s="16"/>
      <c r="G135" s="38" t="str">
        <f aca="false">IF($C135="","",IFERROR(INDEX(Inventario!$H$5:$H$100,MATCH($C135,Inventario!$B$5:$B$100,0)),"No está en Inventario"))</f>
        <v/>
      </c>
      <c r="H135" s="39"/>
      <c r="I135" s="40" t="str">
        <f aca="false">IF(OR($C135="",$F135=""),"",N($F135)*N($G135)*(1-N($H135)))</f>
        <v/>
      </c>
      <c r="J135" s="14"/>
      <c r="K135" s="13"/>
      <c r="L135" s="20" t="str">
        <f aca="false">IF($C135="","",IFERROR(IF(INDEX(Inventario!$L$5:$L$100,MATCH($C135,Inventario!$B$5:$B$100,0))&lt;0,"Stock negativo: revisa","OK"),"No está en Inventario"))</f>
        <v/>
      </c>
    </row>
    <row r="136" customFormat="false" ht="15" hidden="false" customHeight="false" outlineLevel="0" collapsed="false">
      <c r="A136" s="1"/>
      <c r="B136" s="41"/>
      <c r="C136" s="23"/>
      <c r="D136" s="31" t="str">
        <f aca="false">IF($C136="","",IFERROR(INDEX(Inventario!$D$5:$D$100,MATCH($C136,Inventario!$B$5:$B$100,0)),"No está en Inventario"))</f>
        <v/>
      </c>
      <c r="E136" s="31" t="str">
        <f aca="false">IF($C136="","",IFERROR(INDEX(Inventario!$E$5:$E$100,MATCH($C136,Inventario!$B$5:$B$100,0)),"No está en Inventario"))</f>
        <v/>
      </c>
      <c r="F136" s="26"/>
      <c r="G136" s="42" t="str">
        <f aca="false">IF($C136="","",IFERROR(INDEX(Inventario!$H$5:$H$100,MATCH($C136,Inventario!$B$5:$B$100,0)),"No está en Inventario"))</f>
        <v/>
      </c>
      <c r="H136" s="43"/>
      <c r="I136" s="44" t="str">
        <f aca="false">IF(OR($C136="",$F136=""),"",N($F136)*N($G136)*(1-N($H136)))</f>
        <v/>
      </c>
      <c r="J136" s="24"/>
      <c r="K136" s="23"/>
      <c r="L136" s="30" t="str">
        <f aca="false">IF($C136="","",IFERROR(IF(INDEX(Inventario!$L$5:$L$100,MATCH($C136,Inventario!$B$5:$B$100,0))&lt;0,"Stock negativo: revisa","OK"),"No está en Inventario"))</f>
        <v/>
      </c>
    </row>
    <row r="137" customFormat="false" ht="15" hidden="false" customHeight="false" outlineLevel="0" collapsed="false">
      <c r="A137" s="1"/>
      <c r="B137" s="37"/>
      <c r="C137" s="13"/>
      <c r="D137" s="21" t="str">
        <f aca="false">IF($C137="","",IFERROR(INDEX(Inventario!$D$5:$D$100,MATCH($C137,Inventario!$B$5:$B$100,0)),"No está en Inventario"))</f>
        <v/>
      </c>
      <c r="E137" s="21" t="str">
        <f aca="false">IF($C137="","",IFERROR(INDEX(Inventario!$E$5:$E$100,MATCH($C137,Inventario!$B$5:$B$100,0)),"No está en Inventario"))</f>
        <v/>
      </c>
      <c r="F137" s="16"/>
      <c r="G137" s="38" t="str">
        <f aca="false">IF($C137="","",IFERROR(INDEX(Inventario!$H$5:$H$100,MATCH($C137,Inventario!$B$5:$B$100,0)),"No está en Inventario"))</f>
        <v/>
      </c>
      <c r="H137" s="39"/>
      <c r="I137" s="40" t="str">
        <f aca="false">IF(OR($C137="",$F137=""),"",N($F137)*N($G137)*(1-N($H137)))</f>
        <v/>
      </c>
      <c r="J137" s="14"/>
      <c r="K137" s="13"/>
      <c r="L137" s="20" t="str">
        <f aca="false">IF($C137="","",IFERROR(IF(INDEX(Inventario!$L$5:$L$100,MATCH($C137,Inventario!$B$5:$B$100,0))&lt;0,"Stock negativo: revisa","OK"),"No está en Inventario"))</f>
        <v/>
      </c>
    </row>
    <row r="138" customFormat="false" ht="15" hidden="false" customHeight="false" outlineLevel="0" collapsed="false">
      <c r="A138" s="1"/>
      <c r="B138" s="41"/>
      <c r="C138" s="23"/>
      <c r="D138" s="31" t="str">
        <f aca="false">IF($C138="","",IFERROR(INDEX(Inventario!$D$5:$D$100,MATCH($C138,Inventario!$B$5:$B$100,0)),"No está en Inventario"))</f>
        <v/>
      </c>
      <c r="E138" s="31" t="str">
        <f aca="false">IF($C138="","",IFERROR(INDEX(Inventario!$E$5:$E$100,MATCH($C138,Inventario!$B$5:$B$100,0)),"No está en Inventario"))</f>
        <v/>
      </c>
      <c r="F138" s="26"/>
      <c r="G138" s="42" t="str">
        <f aca="false">IF($C138="","",IFERROR(INDEX(Inventario!$H$5:$H$100,MATCH($C138,Inventario!$B$5:$B$100,0)),"No está en Inventario"))</f>
        <v/>
      </c>
      <c r="H138" s="43"/>
      <c r="I138" s="44" t="str">
        <f aca="false">IF(OR($C138="",$F138=""),"",N($F138)*N($G138)*(1-N($H138)))</f>
        <v/>
      </c>
      <c r="J138" s="24"/>
      <c r="K138" s="23"/>
      <c r="L138" s="30" t="str">
        <f aca="false">IF($C138="","",IFERROR(IF(INDEX(Inventario!$L$5:$L$100,MATCH($C138,Inventario!$B$5:$B$100,0))&lt;0,"Stock negativo: revisa","OK"),"No está en Inventario"))</f>
        <v/>
      </c>
    </row>
    <row r="139" customFormat="false" ht="15" hidden="false" customHeight="false" outlineLevel="0" collapsed="false">
      <c r="A139" s="1"/>
      <c r="B139" s="37"/>
      <c r="C139" s="13"/>
      <c r="D139" s="21" t="str">
        <f aca="false">IF($C139="","",IFERROR(INDEX(Inventario!$D$5:$D$100,MATCH($C139,Inventario!$B$5:$B$100,0)),"No está en Inventario"))</f>
        <v/>
      </c>
      <c r="E139" s="21" t="str">
        <f aca="false">IF($C139="","",IFERROR(INDEX(Inventario!$E$5:$E$100,MATCH($C139,Inventario!$B$5:$B$100,0)),"No está en Inventario"))</f>
        <v/>
      </c>
      <c r="F139" s="16"/>
      <c r="G139" s="38" t="str">
        <f aca="false">IF($C139="","",IFERROR(INDEX(Inventario!$H$5:$H$100,MATCH($C139,Inventario!$B$5:$B$100,0)),"No está en Inventario"))</f>
        <v/>
      </c>
      <c r="H139" s="39"/>
      <c r="I139" s="40" t="str">
        <f aca="false">IF(OR($C139="",$F139=""),"",N($F139)*N($G139)*(1-N($H139)))</f>
        <v/>
      </c>
      <c r="J139" s="14"/>
      <c r="K139" s="13"/>
      <c r="L139" s="20" t="str">
        <f aca="false">IF($C139="","",IFERROR(IF(INDEX(Inventario!$L$5:$L$100,MATCH($C139,Inventario!$B$5:$B$100,0))&lt;0,"Stock negativo: revisa","OK"),"No está en Inventario"))</f>
        <v/>
      </c>
    </row>
    <row r="140" customFormat="false" ht="15" hidden="false" customHeight="false" outlineLevel="0" collapsed="false">
      <c r="A140" s="1"/>
      <c r="B140" s="41"/>
      <c r="C140" s="23"/>
      <c r="D140" s="31" t="str">
        <f aca="false">IF($C140="","",IFERROR(INDEX(Inventario!$D$5:$D$100,MATCH($C140,Inventario!$B$5:$B$100,0)),"No está en Inventario"))</f>
        <v/>
      </c>
      <c r="E140" s="31" t="str">
        <f aca="false">IF($C140="","",IFERROR(INDEX(Inventario!$E$5:$E$100,MATCH($C140,Inventario!$B$5:$B$100,0)),"No está en Inventario"))</f>
        <v/>
      </c>
      <c r="F140" s="26"/>
      <c r="G140" s="42" t="str">
        <f aca="false">IF($C140="","",IFERROR(INDEX(Inventario!$H$5:$H$100,MATCH($C140,Inventario!$B$5:$B$100,0)),"No está en Inventario"))</f>
        <v/>
      </c>
      <c r="H140" s="43"/>
      <c r="I140" s="44" t="str">
        <f aca="false">IF(OR($C140="",$F140=""),"",N($F140)*N($G140)*(1-N($H140)))</f>
        <v/>
      </c>
      <c r="J140" s="24"/>
      <c r="K140" s="23"/>
      <c r="L140" s="30" t="str">
        <f aca="false">IF($C140="","",IFERROR(IF(INDEX(Inventario!$L$5:$L$100,MATCH($C140,Inventario!$B$5:$B$100,0))&lt;0,"Stock negativo: revisa","OK"),"No está en Inventario"))</f>
        <v/>
      </c>
    </row>
    <row r="141" customFormat="false" ht="15" hidden="false" customHeight="false" outlineLevel="0" collapsed="false">
      <c r="A141" s="1"/>
      <c r="B141" s="37"/>
      <c r="C141" s="13"/>
      <c r="D141" s="21" t="str">
        <f aca="false">IF($C141="","",IFERROR(INDEX(Inventario!$D$5:$D$100,MATCH($C141,Inventario!$B$5:$B$100,0)),"No está en Inventario"))</f>
        <v/>
      </c>
      <c r="E141" s="21" t="str">
        <f aca="false">IF($C141="","",IFERROR(INDEX(Inventario!$E$5:$E$100,MATCH($C141,Inventario!$B$5:$B$100,0)),"No está en Inventario"))</f>
        <v/>
      </c>
      <c r="F141" s="16"/>
      <c r="G141" s="38" t="str">
        <f aca="false">IF($C141="","",IFERROR(INDEX(Inventario!$H$5:$H$100,MATCH($C141,Inventario!$B$5:$B$100,0)),"No está en Inventario"))</f>
        <v/>
      </c>
      <c r="H141" s="39"/>
      <c r="I141" s="40" t="str">
        <f aca="false">IF(OR($C141="",$F141=""),"",N($F141)*N($G141)*(1-N($H141)))</f>
        <v/>
      </c>
      <c r="J141" s="14"/>
      <c r="K141" s="13"/>
      <c r="L141" s="20" t="str">
        <f aca="false">IF($C141="","",IFERROR(IF(INDEX(Inventario!$L$5:$L$100,MATCH($C141,Inventario!$B$5:$B$100,0))&lt;0,"Stock negativo: revisa","OK"),"No está en Inventario"))</f>
        <v/>
      </c>
    </row>
    <row r="142" customFormat="false" ht="15" hidden="false" customHeight="false" outlineLevel="0" collapsed="false">
      <c r="A142" s="1"/>
      <c r="B142" s="41"/>
      <c r="C142" s="23"/>
      <c r="D142" s="31" t="str">
        <f aca="false">IF($C142="","",IFERROR(INDEX(Inventario!$D$5:$D$100,MATCH($C142,Inventario!$B$5:$B$100,0)),"No está en Inventario"))</f>
        <v/>
      </c>
      <c r="E142" s="31" t="str">
        <f aca="false">IF($C142="","",IFERROR(INDEX(Inventario!$E$5:$E$100,MATCH($C142,Inventario!$B$5:$B$100,0)),"No está en Inventario"))</f>
        <v/>
      </c>
      <c r="F142" s="26"/>
      <c r="G142" s="42" t="str">
        <f aca="false">IF($C142="","",IFERROR(INDEX(Inventario!$H$5:$H$100,MATCH($C142,Inventario!$B$5:$B$100,0)),"No está en Inventario"))</f>
        <v/>
      </c>
      <c r="H142" s="43"/>
      <c r="I142" s="44" t="str">
        <f aca="false">IF(OR($C142="",$F142=""),"",N($F142)*N($G142)*(1-N($H142)))</f>
        <v/>
      </c>
      <c r="J142" s="24"/>
      <c r="K142" s="23"/>
      <c r="L142" s="30" t="str">
        <f aca="false">IF($C142="","",IFERROR(IF(INDEX(Inventario!$L$5:$L$100,MATCH($C142,Inventario!$B$5:$B$100,0))&lt;0,"Stock negativo: revisa","OK"),"No está en Inventario"))</f>
        <v/>
      </c>
    </row>
    <row r="143" customFormat="false" ht="15" hidden="false" customHeight="false" outlineLevel="0" collapsed="false">
      <c r="A143" s="1"/>
      <c r="B143" s="37"/>
      <c r="C143" s="13"/>
      <c r="D143" s="21" t="str">
        <f aca="false">IF($C143="","",IFERROR(INDEX(Inventario!$D$5:$D$100,MATCH($C143,Inventario!$B$5:$B$100,0)),"No está en Inventario"))</f>
        <v/>
      </c>
      <c r="E143" s="21" t="str">
        <f aca="false">IF($C143="","",IFERROR(INDEX(Inventario!$E$5:$E$100,MATCH($C143,Inventario!$B$5:$B$100,0)),"No está en Inventario"))</f>
        <v/>
      </c>
      <c r="F143" s="16"/>
      <c r="G143" s="38" t="str">
        <f aca="false">IF($C143="","",IFERROR(INDEX(Inventario!$H$5:$H$100,MATCH($C143,Inventario!$B$5:$B$100,0)),"No está en Inventario"))</f>
        <v/>
      </c>
      <c r="H143" s="39"/>
      <c r="I143" s="40" t="str">
        <f aca="false">IF(OR($C143="",$F143=""),"",N($F143)*N($G143)*(1-N($H143)))</f>
        <v/>
      </c>
      <c r="J143" s="14"/>
      <c r="K143" s="13"/>
      <c r="L143" s="20" t="str">
        <f aca="false">IF($C143="","",IFERROR(IF(INDEX(Inventario!$L$5:$L$100,MATCH($C143,Inventario!$B$5:$B$100,0))&lt;0,"Stock negativo: revisa","OK"),"No está en Inventario"))</f>
        <v/>
      </c>
    </row>
    <row r="144" customFormat="false" ht="15" hidden="false" customHeight="false" outlineLevel="0" collapsed="false">
      <c r="A144" s="1"/>
      <c r="B144" s="41"/>
      <c r="C144" s="23"/>
      <c r="D144" s="31" t="str">
        <f aca="false">IF($C144="","",IFERROR(INDEX(Inventario!$D$5:$D$100,MATCH($C144,Inventario!$B$5:$B$100,0)),"No está en Inventario"))</f>
        <v/>
      </c>
      <c r="E144" s="31" t="str">
        <f aca="false">IF($C144="","",IFERROR(INDEX(Inventario!$E$5:$E$100,MATCH($C144,Inventario!$B$5:$B$100,0)),"No está en Inventario"))</f>
        <v/>
      </c>
      <c r="F144" s="26"/>
      <c r="G144" s="42" t="str">
        <f aca="false">IF($C144="","",IFERROR(INDEX(Inventario!$H$5:$H$100,MATCH($C144,Inventario!$B$5:$B$100,0)),"No está en Inventario"))</f>
        <v/>
      </c>
      <c r="H144" s="43"/>
      <c r="I144" s="44" t="str">
        <f aca="false">IF(OR($C144="",$F144=""),"",N($F144)*N($G144)*(1-N($H144)))</f>
        <v/>
      </c>
      <c r="J144" s="24"/>
      <c r="K144" s="23"/>
      <c r="L144" s="30" t="str">
        <f aca="false">IF($C144="","",IFERROR(IF(INDEX(Inventario!$L$5:$L$100,MATCH($C144,Inventario!$B$5:$B$100,0))&lt;0,"Stock negativo: revisa","OK"),"No está en Inventario"))</f>
        <v/>
      </c>
    </row>
    <row r="145" customFormat="false" ht="15" hidden="false" customHeight="false" outlineLevel="0" collapsed="false">
      <c r="A145" s="1"/>
      <c r="B145" s="37"/>
      <c r="C145" s="13"/>
      <c r="D145" s="21" t="str">
        <f aca="false">IF($C145="","",IFERROR(INDEX(Inventario!$D$5:$D$100,MATCH($C145,Inventario!$B$5:$B$100,0)),"No está en Inventario"))</f>
        <v/>
      </c>
      <c r="E145" s="21" t="str">
        <f aca="false">IF($C145="","",IFERROR(INDEX(Inventario!$E$5:$E$100,MATCH($C145,Inventario!$B$5:$B$100,0)),"No está en Inventario"))</f>
        <v/>
      </c>
      <c r="F145" s="16"/>
      <c r="G145" s="38" t="str">
        <f aca="false">IF($C145="","",IFERROR(INDEX(Inventario!$H$5:$H$100,MATCH($C145,Inventario!$B$5:$B$100,0)),"No está en Inventario"))</f>
        <v/>
      </c>
      <c r="H145" s="39"/>
      <c r="I145" s="40" t="str">
        <f aca="false">IF(OR($C145="",$F145=""),"",N($F145)*N($G145)*(1-N($H145)))</f>
        <v/>
      </c>
      <c r="J145" s="14"/>
      <c r="K145" s="13"/>
      <c r="L145" s="20" t="str">
        <f aca="false">IF($C145="","",IFERROR(IF(INDEX(Inventario!$L$5:$L$100,MATCH($C145,Inventario!$B$5:$B$100,0))&lt;0,"Stock negativo: revisa","OK"),"No está en Inventario"))</f>
        <v/>
      </c>
    </row>
    <row r="146" customFormat="false" ht="15" hidden="false" customHeight="false" outlineLevel="0" collapsed="false">
      <c r="A146" s="1"/>
      <c r="B146" s="41"/>
      <c r="C146" s="23"/>
      <c r="D146" s="31" t="str">
        <f aca="false">IF($C146="","",IFERROR(INDEX(Inventario!$D$5:$D$100,MATCH($C146,Inventario!$B$5:$B$100,0)),"No está en Inventario"))</f>
        <v/>
      </c>
      <c r="E146" s="31" t="str">
        <f aca="false">IF($C146="","",IFERROR(INDEX(Inventario!$E$5:$E$100,MATCH($C146,Inventario!$B$5:$B$100,0)),"No está en Inventario"))</f>
        <v/>
      </c>
      <c r="F146" s="26"/>
      <c r="G146" s="42" t="str">
        <f aca="false">IF($C146="","",IFERROR(INDEX(Inventario!$H$5:$H$100,MATCH($C146,Inventario!$B$5:$B$100,0)),"No está en Inventario"))</f>
        <v/>
      </c>
      <c r="H146" s="43"/>
      <c r="I146" s="44" t="str">
        <f aca="false">IF(OR($C146="",$F146=""),"",N($F146)*N($G146)*(1-N($H146)))</f>
        <v/>
      </c>
      <c r="J146" s="24"/>
      <c r="K146" s="23"/>
      <c r="L146" s="30" t="str">
        <f aca="false">IF($C146="","",IFERROR(IF(INDEX(Inventario!$L$5:$L$100,MATCH($C146,Inventario!$B$5:$B$100,0))&lt;0,"Stock negativo: revisa","OK"),"No está en Inventario"))</f>
        <v/>
      </c>
    </row>
    <row r="147" customFormat="false" ht="15" hidden="false" customHeight="false" outlineLevel="0" collapsed="false">
      <c r="A147" s="1"/>
      <c r="B147" s="37"/>
      <c r="C147" s="13"/>
      <c r="D147" s="21" t="str">
        <f aca="false">IF($C147="","",IFERROR(INDEX(Inventario!$D$5:$D$100,MATCH($C147,Inventario!$B$5:$B$100,0)),"No está en Inventario"))</f>
        <v/>
      </c>
      <c r="E147" s="21" t="str">
        <f aca="false">IF($C147="","",IFERROR(INDEX(Inventario!$E$5:$E$100,MATCH($C147,Inventario!$B$5:$B$100,0)),"No está en Inventario"))</f>
        <v/>
      </c>
      <c r="F147" s="16"/>
      <c r="G147" s="38" t="str">
        <f aca="false">IF($C147="","",IFERROR(INDEX(Inventario!$H$5:$H$100,MATCH($C147,Inventario!$B$5:$B$100,0)),"No está en Inventario"))</f>
        <v/>
      </c>
      <c r="H147" s="39"/>
      <c r="I147" s="40" t="str">
        <f aca="false">IF(OR($C147="",$F147=""),"",N($F147)*N($G147)*(1-N($H147)))</f>
        <v/>
      </c>
      <c r="J147" s="14"/>
      <c r="K147" s="13"/>
      <c r="L147" s="20" t="str">
        <f aca="false">IF($C147="","",IFERROR(IF(INDEX(Inventario!$L$5:$L$100,MATCH($C147,Inventario!$B$5:$B$100,0))&lt;0,"Stock negativo: revisa","OK"),"No está en Inventario"))</f>
        <v/>
      </c>
    </row>
    <row r="148" customFormat="false" ht="15" hidden="false" customHeight="false" outlineLevel="0" collapsed="false">
      <c r="A148" s="1"/>
      <c r="B148" s="41"/>
      <c r="C148" s="23"/>
      <c r="D148" s="31" t="str">
        <f aca="false">IF($C148="","",IFERROR(INDEX(Inventario!$D$5:$D$100,MATCH($C148,Inventario!$B$5:$B$100,0)),"No está en Inventario"))</f>
        <v/>
      </c>
      <c r="E148" s="31" t="str">
        <f aca="false">IF($C148="","",IFERROR(INDEX(Inventario!$E$5:$E$100,MATCH($C148,Inventario!$B$5:$B$100,0)),"No está en Inventario"))</f>
        <v/>
      </c>
      <c r="F148" s="26"/>
      <c r="G148" s="42" t="str">
        <f aca="false">IF($C148="","",IFERROR(INDEX(Inventario!$H$5:$H$100,MATCH($C148,Inventario!$B$5:$B$100,0)),"No está en Inventario"))</f>
        <v/>
      </c>
      <c r="H148" s="43"/>
      <c r="I148" s="44" t="str">
        <f aca="false">IF(OR($C148="",$F148=""),"",N($F148)*N($G148)*(1-N($H148)))</f>
        <v/>
      </c>
      <c r="J148" s="24"/>
      <c r="K148" s="23"/>
      <c r="L148" s="30" t="str">
        <f aca="false">IF($C148="","",IFERROR(IF(INDEX(Inventario!$L$5:$L$100,MATCH($C148,Inventario!$B$5:$B$100,0))&lt;0,"Stock negativo: revisa","OK"),"No está en Inventario"))</f>
        <v/>
      </c>
    </row>
    <row r="149" customFormat="false" ht="15" hidden="false" customHeight="false" outlineLevel="0" collapsed="false">
      <c r="A149" s="1"/>
      <c r="B149" s="37"/>
      <c r="C149" s="13"/>
      <c r="D149" s="21" t="str">
        <f aca="false">IF($C149="","",IFERROR(INDEX(Inventario!$D$5:$D$100,MATCH($C149,Inventario!$B$5:$B$100,0)),"No está en Inventario"))</f>
        <v/>
      </c>
      <c r="E149" s="21" t="str">
        <f aca="false">IF($C149="","",IFERROR(INDEX(Inventario!$E$5:$E$100,MATCH($C149,Inventario!$B$5:$B$100,0)),"No está en Inventario"))</f>
        <v/>
      </c>
      <c r="F149" s="16"/>
      <c r="G149" s="38" t="str">
        <f aca="false">IF($C149="","",IFERROR(INDEX(Inventario!$H$5:$H$100,MATCH($C149,Inventario!$B$5:$B$100,0)),"No está en Inventario"))</f>
        <v/>
      </c>
      <c r="H149" s="39"/>
      <c r="I149" s="40" t="str">
        <f aca="false">IF(OR($C149="",$F149=""),"",N($F149)*N($G149)*(1-N($H149)))</f>
        <v/>
      </c>
      <c r="J149" s="14"/>
      <c r="K149" s="13"/>
      <c r="L149" s="20" t="str">
        <f aca="false">IF($C149="","",IFERROR(IF(INDEX(Inventario!$L$5:$L$100,MATCH($C149,Inventario!$B$5:$B$100,0))&lt;0,"Stock negativo: revisa","OK"),"No está en Inventario"))</f>
        <v/>
      </c>
    </row>
    <row r="150" customFormat="false" ht="15" hidden="false" customHeight="false" outlineLevel="0" collapsed="false">
      <c r="A150" s="1"/>
      <c r="B150" s="41"/>
      <c r="C150" s="23"/>
      <c r="D150" s="31" t="str">
        <f aca="false">IF($C150="","",IFERROR(INDEX(Inventario!$D$5:$D$100,MATCH($C150,Inventario!$B$5:$B$100,0)),"No está en Inventario"))</f>
        <v/>
      </c>
      <c r="E150" s="31" t="str">
        <f aca="false">IF($C150="","",IFERROR(INDEX(Inventario!$E$5:$E$100,MATCH($C150,Inventario!$B$5:$B$100,0)),"No está en Inventario"))</f>
        <v/>
      </c>
      <c r="F150" s="26"/>
      <c r="G150" s="42" t="str">
        <f aca="false">IF($C150="","",IFERROR(INDEX(Inventario!$H$5:$H$100,MATCH($C150,Inventario!$B$5:$B$100,0)),"No está en Inventario"))</f>
        <v/>
      </c>
      <c r="H150" s="43"/>
      <c r="I150" s="44" t="str">
        <f aca="false">IF(OR($C150="",$F150=""),"",N($F150)*N($G150)*(1-N($H150)))</f>
        <v/>
      </c>
      <c r="J150" s="24"/>
      <c r="K150" s="23"/>
      <c r="L150" s="30" t="str">
        <f aca="false">IF($C150="","",IFERROR(IF(INDEX(Inventario!$L$5:$L$100,MATCH($C150,Inventario!$B$5:$B$100,0))&lt;0,"Stock negativo: revisa","OK"),"No está en Inventario"))</f>
        <v/>
      </c>
    </row>
    <row r="151" customFormat="false" ht="15" hidden="false" customHeight="false" outlineLevel="0" collapsed="false">
      <c r="A151" s="1"/>
      <c r="B151" s="37"/>
      <c r="C151" s="13"/>
      <c r="D151" s="21" t="str">
        <f aca="false">IF($C151="","",IFERROR(INDEX(Inventario!$D$5:$D$100,MATCH($C151,Inventario!$B$5:$B$100,0)),"No está en Inventario"))</f>
        <v/>
      </c>
      <c r="E151" s="21" t="str">
        <f aca="false">IF($C151="","",IFERROR(INDEX(Inventario!$E$5:$E$100,MATCH($C151,Inventario!$B$5:$B$100,0)),"No está en Inventario"))</f>
        <v/>
      </c>
      <c r="F151" s="16"/>
      <c r="G151" s="38" t="str">
        <f aca="false">IF($C151="","",IFERROR(INDEX(Inventario!$H$5:$H$100,MATCH($C151,Inventario!$B$5:$B$100,0)),"No está en Inventario"))</f>
        <v/>
      </c>
      <c r="H151" s="39"/>
      <c r="I151" s="40" t="str">
        <f aca="false">IF(OR($C151="",$F151=""),"",N($F151)*N($G151)*(1-N($H151)))</f>
        <v/>
      </c>
      <c r="J151" s="14"/>
      <c r="K151" s="13"/>
      <c r="L151" s="20" t="str">
        <f aca="false">IF($C151="","",IFERROR(IF(INDEX(Inventario!$L$5:$L$100,MATCH($C151,Inventario!$B$5:$B$100,0))&lt;0,"Stock negativo: revisa","OK"),"No está en Inventario"))</f>
        <v/>
      </c>
    </row>
    <row r="152" customFormat="false" ht="15" hidden="false" customHeight="false" outlineLevel="0" collapsed="false">
      <c r="A152" s="1"/>
      <c r="B152" s="41"/>
      <c r="C152" s="23"/>
      <c r="D152" s="31" t="str">
        <f aca="false">IF($C152="","",IFERROR(INDEX(Inventario!$D$5:$D$100,MATCH($C152,Inventario!$B$5:$B$100,0)),"No está en Inventario"))</f>
        <v/>
      </c>
      <c r="E152" s="31" t="str">
        <f aca="false">IF($C152="","",IFERROR(INDEX(Inventario!$E$5:$E$100,MATCH($C152,Inventario!$B$5:$B$100,0)),"No está en Inventario"))</f>
        <v/>
      </c>
      <c r="F152" s="26"/>
      <c r="G152" s="42" t="str">
        <f aca="false">IF($C152="","",IFERROR(INDEX(Inventario!$H$5:$H$100,MATCH($C152,Inventario!$B$5:$B$100,0)),"No está en Inventario"))</f>
        <v/>
      </c>
      <c r="H152" s="43"/>
      <c r="I152" s="44" t="str">
        <f aca="false">IF(OR($C152="",$F152=""),"",N($F152)*N($G152)*(1-N($H152)))</f>
        <v/>
      </c>
      <c r="J152" s="24"/>
      <c r="K152" s="23"/>
      <c r="L152" s="30" t="str">
        <f aca="false">IF($C152="","",IFERROR(IF(INDEX(Inventario!$L$5:$L$100,MATCH($C152,Inventario!$B$5:$B$100,0))&lt;0,"Stock negativo: revisa","OK"),"No está en Inventario"))</f>
        <v/>
      </c>
    </row>
    <row r="153" customFormat="false" ht="15" hidden="false" customHeight="false" outlineLevel="0" collapsed="false">
      <c r="A153" s="1"/>
      <c r="B153" s="37"/>
      <c r="C153" s="13"/>
      <c r="D153" s="21" t="str">
        <f aca="false">IF($C153="","",IFERROR(INDEX(Inventario!$D$5:$D$100,MATCH($C153,Inventario!$B$5:$B$100,0)),"No está en Inventario"))</f>
        <v/>
      </c>
      <c r="E153" s="21" t="str">
        <f aca="false">IF($C153="","",IFERROR(INDEX(Inventario!$E$5:$E$100,MATCH($C153,Inventario!$B$5:$B$100,0)),"No está en Inventario"))</f>
        <v/>
      </c>
      <c r="F153" s="16"/>
      <c r="G153" s="38" t="str">
        <f aca="false">IF($C153="","",IFERROR(INDEX(Inventario!$H$5:$H$100,MATCH($C153,Inventario!$B$5:$B$100,0)),"No está en Inventario"))</f>
        <v/>
      </c>
      <c r="H153" s="39"/>
      <c r="I153" s="40" t="str">
        <f aca="false">IF(OR($C153="",$F153=""),"",N($F153)*N($G153)*(1-N($H153)))</f>
        <v/>
      </c>
      <c r="J153" s="14"/>
      <c r="K153" s="13"/>
      <c r="L153" s="20" t="str">
        <f aca="false">IF($C153="","",IFERROR(IF(INDEX(Inventario!$L$5:$L$100,MATCH($C153,Inventario!$B$5:$B$100,0))&lt;0,"Stock negativo: revisa","OK"),"No está en Inventario"))</f>
        <v/>
      </c>
    </row>
    <row r="154" customFormat="false" ht="15" hidden="false" customHeight="false" outlineLevel="0" collapsed="false">
      <c r="A154" s="1"/>
      <c r="B154" s="41"/>
      <c r="C154" s="23"/>
      <c r="D154" s="31" t="str">
        <f aca="false">IF($C154="","",IFERROR(INDEX(Inventario!$D$5:$D$100,MATCH($C154,Inventario!$B$5:$B$100,0)),"No está en Inventario"))</f>
        <v/>
      </c>
      <c r="E154" s="31" t="str">
        <f aca="false">IF($C154="","",IFERROR(INDEX(Inventario!$E$5:$E$100,MATCH($C154,Inventario!$B$5:$B$100,0)),"No está en Inventario"))</f>
        <v/>
      </c>
      <c r="F154" s="26"/>
      <c r="G154" s="42" t="str">
        <f aca="false">IF($C154="","",IFERROR(INDEX(Inventario!$H$5:$H$100,MATCH($C154,Inventario!$B$5:$B$100,0)),"No está en Inventario"))</f>
        <v/>
      </c>
      <c r="H154" s="43"/>
      <c r="I154" s="44" t="str">
        <f aca="false">IF(OR($C154="",$F154=""),"",N($F154)*N($G154)*(1-N($H154)))</f>
        <v/>
      </c>
      <c r="J154" s="24"/>
      <c r="K154" s="23"/>
      <c r="L154" s="30" t="str">
        <f aca="false">IF($C154="","",IFERROR(IF(INDEX(Inventario!$L$5:$L$100,MATCH($C154,Inventario!$B$5:$B$100,0))&lt;0,"Stock negativo: revisa","OK"),"No está en Inventario"))</f>
        <v/>
      </c>
    </row>
    <row r="155" customFormat="false" ht="15" hidden="false" customHeight="false" outlineLevel="0" collapsed="false">
      <c r="A155" s="1"/>
      <c r="B155" s="37"/>
      <c r="C155" s="13"/>
      <c r="D155" s="21" t="str">
        <f aca="false">IF($C155="","",IFERROR(INDEX(Inventario!$D$5:$D$100,MATCH($C155,Inventario!$B$5:$B$100,0)),"No está en Inventario"))</f>
        <v/>
      </c>
      <c r="E155" s="21" t="str">
        <f aca="false">IF($C155="","",IFERROR(INDEX(Inventario!$E$5:$E$100,MATCH($C155,Inventario!$B$5:$B$100,0)),"No está en Inventario"))</f>
        <v/>
      </c>
      <c r="F155" s="16"/>
      <c r="G155" s="38" t="str">
        <f aca="false">IF($C155="","",IFERROR(INDEX(Inventario!$H$5:$H$100,MATCH($C155,Inventario!$B$5:$B$100,0)),"No está en Inventario"))</f>
        <v/>
      </c>
      <c r="H155" s="39"/>
      <c r="I155" s="40" t="str">
        <f aca="false">IF(OR($C155="",$F155=""),"",N($F155)*N($G155)*(1-N($H155)))</f>
        <v/>
      </c>
      <c r="J155" s="14"/>
      <c r="K155" s="13"/>
      <c r="L155" s="20" t="str">
        <f aca="false">IF($C155="","",IFERROR(IF(INDEX(Inventario!$L$5:$L$100,MATCH($C155,Inventario!$B$5:$B$100,0))&lt;0,"Stock negativo: revisa","OK"),"No está en Inventario"))</f>
        <v/>
      </c>
    </row>
    <row r="156" customFormat="false" ht="15" hidden="false" customHeight="false" outlineLevel="0" collapsed="false">
      <c r="A156" s="1"/>
      <c r="B156" s="41"/>
      <c r="C156" s="23"/>
      <c r="D156" s="31" t="str">
        <f aca="false">IF($C156="","",IFERROR(INDEX(Inventario!$D$5:$D$100,MATCH($C156,Inventario!$B$5:$B$100,0)),"No está en Inventario"))</f>
        <v/>
      </c>
      <c r="E156" s="31" t="str">
        <f aca="false">IF($C156="","",IFERROR(INDEX(Inventario!$E$5:$E$100,MATCH($C156,Inventario!$B$5:$B$100,0)),"No está en Inventario"))</f>
        <v/>
      </c>
      <c r="F156" s="26"/>
      <c r="G156" s="42" t="str">
        <f aca="false">IF($C156="","",IFERROR(INDEX(Inventario!$H$5:$H$100,MATCH($C156,Inventario!$B$5:$B$100,0)),"No está en Inventario"))</f>
        <v/>
      </c>
      <c r="H156" s="43"/>
      <c r="I156" s="44" t="str">
        <f aca="false">IF(OR($C156="",$F156=""),"",N($F156)*N($G156)*(1-N($H156)))</f>
        <v/>
      </c>
      <c r="J156" s="24"/>
      <c r="K156" s="23"/>
      <c r="L156" s="30" t="str">
        <f aca="false">IF($C156="","",IFERROR(IF(INDEX(Inventario!$L$5:$L$100,MATCH($C156,Inventario!$B$5:$B$100,0))&lt;0,"Stock negativo: revisa","OK"),"No está en Inventario"))</f>
        <v/>
      </c>
    </row>
    <row r="157" customFormat="false" ht="15" hidden="false" customHeight="false" outlineLevel="0" collapsed="false">
      <c r="A157" s="1"/>
      <c r="B157" s="37"/>
      <c r="C157" s="13"/>
      <c r="D157" s="21" t="str">
        <f aca="false">IF($C157="","",IFERROR(INDEX(Inventario!$D$5:$D$100,MATCH($C157,Inventario!$B$5:$B$100,0)),"No está en Inventario"))</f>
        <v/>
      </c>
      <c r="E157" s="21" t="str">
        <f aca="false">IF($C157="","",IFERROR(INDEX(Inventario!$E$5:$E$100,MATCH($C157,Inventario!$B$5:$B$100,0)),"No está en Inventario"))</f>
        <v/>
      </c>
      <c r="F157" s="16"/>
      <c r="G157" s="38" t="str">
        <f aca="false">IF($C157="","",IFERROR(INDEX(Inventario!$H$5:$H$100,MATCH($C157,Inventario!$B$5:$B$100,0)),"No está en Inventario"))</f>
        <v/>
      </c>
      <c r="H157" s="39"/>
      <c r="I157" s="40" t="str">
        <f aca="false">IF(OR($C157="",$F157=""),"",N($F157)*N($G157)*(1-N($H157)))</f>
        <v/>
      </c>
      <c r="J157" s="14"/>
      <c r="K157" s="13"/>
      <c r="L157" s="20" t="str">
        <f aca="false">IF($C157="","",IFERROR(IF(INDEX(Inventario!$L$5:$L$100,MATCH($C157,Inventario!$B$5:$B$100,0))&lt;0,"Stock negativo: revisa","OK"),"No está en Inventario"))</f>
        <v/>
      </c>
    </row>
    <row r="158" customFormat="false" ht="15" hidden="false" customHeight="false" outlineLevel="0" collapsed="false">
      <c r="A158" s="1"/>
      <c r="B158" s="41"/>
      <c r="C158" s="23"/>
      <c r="D158" s="31" t="str">
        <f aca="false">IF($C158="","",IFERROR(INDEX(Inventario!$D$5:$D$100,MATCH($C158,Inventario!$B$5:$B$100,0)),"No está en Inventario"))</f>
        <v/>
      </c>
      <c r="E158" s="31" t="str">
        <f aca="false">IF($C158="","",IFERROR(INDEX(Inventario!$E$5:$E$100,MATCH($C158,Inventario!$B$5:$B$100,0)),"No está en Inventario"))</f>
        <v/>
      </c>
      <c r="F158" s="26"/>
      <c r="G158" s="42" t="str">
        <f aca="false">IF($C158="","",IFERROR(INDEX(Inventario!$H$5:$H$100,MATCH($C158,Inventario!$B$5:$B$100,0)),"No está en Inventario"))</f>
        <v/>
      </c>
      <c r="H158" s="43"/>
      <c r="I158" s="44" t="str">
        <f aca="false">IF(OR($C158="",$F158=""),"",N($F158)*N($G158)*(1-N($H158)))</f>
        <v/>
      </c>
      <c r="J158" s="24"/>
      <c r="K158" s="23"/>
      <c r="L158" s="30" t="str">
        <f aca="false">IF($C158="","",IFERROR(IF(INDEX(Inventario!$L$5:$L$100,MATCH($C158,Inventario!$B$5:$B$100,0))&lt;0,"Stock negativo: revisa","OK"),"No está en Inventario"))</f>
        <v/>
      </c>
    </row>
    <row r="159" customFormat="false" ht="15" hidden="false" customHeight="false" outlineLevel="0" collapsed="false">
      <c r="A159" s="1"/>
      <c r="B159" s="37"/>
      <c r="C159" s="13"/>
      <c r="D159" s="21" t="str">
        <f aca="false">IF($C159="","",IFERROR(INDEX(Inventario!$D$5:$D$100,MATCH($C159,Inventario!$B$5:$B$100,0)),"No está en Inventario"))</f>
        <v/>
      </c>
      <c r="E159" s="21" t="str">
        <f aca="false">IF($C159="","",IFERROR(INDEX(Inventario!$E$5:$E$100,MATCH($C159,Inventario!$B$5:$B$100,0)),"No está en Inventario"))</f>
        <v/>
      </c>
      <c r="F159" s="16"/>
      <c r="G159" s="38" t="str">
        <f aca="false">IF($C159="","",IFERROR(INDEX(Inventario!$H$5:$H$100,MATCH($C159,Inventario!$B$5:$B$100,0)),"No está en Inventario"))</f>
        <v/>
      </c>
      <c r="H159" s="39"/>
      <c r="I159" s="40" t="str">
        <f aca="false">IF(OR($C159="",$F159=""),"",N($F159)*N($G159)*(1-N($H159)))</f>
        <v/>
      </c>
      <c r="J159" s="14"/>
      <c r="K159" s="13"/>
      <c r="L159" s="20" t="str">
        <f aca="false">IF($C159="","",IFERROR(IF(INDEX(Inventario!$L$5:$L$100,MATCH($C159,Inventario!$B$5:$B$100,0))&lt;0,"Stock negativo: revisa","OK"),"No está en Inventario"))</f>
        <v/>
      </c>
    </row>
    <row r="160" customFormat="false" ht="15" hidden="false" customHeight="false" outlineLevel="0" collapsed="false">
      <c r="A160" s="1"/>
      <c r="B160" s="41"/>
      <c r="C160" s="23"/>
      <c r="D160" s="31" t="str">
        <f aca="false">IF($C160="","",IFERROR(INDEX(Inventario!$D$5:$D$100,MATCH($C160,Inventario!$B$5:$B$100,0)),"No está en Inventario"))</f>
        <v/>
      </c>
      <c r="E160" s="31" t="str">
        <f aca="false">IF($C160="","",IFERROR(INDEX(Inventario!$E$5:$E$100,MATCH($C160,Inventario!$B$5:$B$100,0)),"No está en Inventario"))</f>
        <v/>
      </c>
      <c r="F160" s="26"/>
      <c r="G160" s="42" t="str">
        <f aca="false">IF($C160="","",IFERROR(INDEX(Inventario!$H$5:$H$100,MATCH($C160,Inventario!$B$5:$B$100,0)),"No está en Inventario"))</f>
        <v/>
      </c>
      <c r="H160" s="43"/>
      <c r="I160" s="44" t="str">
        <f aca="false">IF(OR($C160="",$F160=""),"",N($F160)*N($G160)*(1-N($H160)))</f>
        <v/>
      </c>
      <c r="J160" s="24"/>
      <c r="K160" s="23"/>
      <c r="L160" s="30" t="str">
        <f aca="false">IF($C160="","",IFERROR(IF(INDEX(Inventario!$L$5:$L$100,MATCH($C160,Inventario!$B$5:$B$100,0))&lt;0,"Stock negativo: revisa","OK"),"No está en Inventario"))</f>
        <v/>
      </c>
    </row>
    <row r="161" customFormat="false" ht="15" hidden="false" customHeight="false" outlineLevel="0" collapsed="false">
      <c r="A161" s="1"/>
      <c r="B161" s="37"/>
      <c r="C161" s="13"/>
      <c r="D161" s="21" t="str">
        <f aca="false">IF($C161="","",IFERROR(INDEX(Inventario!$D$5:$D$100,MATCH($C161,Inventario!$B$5:$B$100,0)),"No está en Inventario"))</f>
        <v/>
      </c>
      <c r="E161" s="21" t="str">
        <f aca="false">IF($C161="","",IFERROR(INDEX(Inventario!$E$5:$E$100,MATCH($C161,Inventario!$B$5:$B$100,0)),"No está en Inventario"))</f>
        <v/>
      </c>
      <c r="F161" s="16"/>
      <c r="G161" s="38" t="str">
        <f aca="false">IF($C161="","",IFERROR(INDEX(Inventario!$H$5:$H$100,MATCH($C161,Inventario!$B$5:$B$100,0)),"No está en Inventario"))</f>
        <v/>
      </c>
      <c r="H161" s="39"/>
      <c r="I161" s="40" t="str">
        <f aca="false">IF(OR($C161="",$F161=""),"",N($F161)*N($G161)*(1-N($H161)))</f>
        <v/>
      </c>
      <c r="J161" s="14"/>
      <c r="K161" s="13"/>
      <c r="L161" s="20" t="str">
        <f aca="false">IF($C161="","",IFERROR(IF(INDEX(Inventario!$L$5:$L$100,MATCH($C161,Inventario!$B$5:$B$100,0))&lt;0,"Stock negativo: revisa","OK"),"No está en Inventario"))</f>
        <v/>
      </c>
    </row>
    <row r="162" customFormat="false" ht="15" hidden="false" customHeight="false" outlineLevel="0" collapsed="false">
      <c r="A162" s="1"/>
      <c r="B162" s="41"/>
      <c r="C162" s="23"/>
      <c r="D162" s="31" t="str">
        <f aca="false">IF($C162="","",IFERROR(INDEX(Inventario!$D$5:$D$100,MATCH($C162,Inventario!$B$5:$B$100,0)),"No está en Inventario"))</f>
        <v/>
      </c>
      <c r="E162" s="31" t="str">
        <f aca="false">IF($C162="","",IFERROR(INDEX(Inventario!$E$5:$E$100,MATCH($C162,Inventario!$B$5:$B$100,0)),"No está en Inventario"))</f>
        <v/>
      </c>
      <c r="F162" s="26"/>
      <c r="G162" s="42" t="str">
        <f aca="false">IF($C162="","",IFERROR(INDEX(Inventario!$H$5:$H$100,MATCH($C162,Inventario!$B$5:$B$100,0)),"No está en Inventario"))</f>
        <v/>
      </c>
      <c r="H162" s="43"/>
      <c r="I162" s="44" t="str">
        <f aca="false">IF(OR($C162="",$F162=""),"",N($F162)*N($G162)*(1-N($H162)))</f>
        <v/>
      </c>
      <c r="J162" s="24"/>
      <c r="K162" s="23"/>
      <c r="L162" s="30" t="str">
        <f aca="false">IF($C162="","",IFERROR(IF(INDEX(Inventario!$L$5:$L$100,MATCH($C162,Inventario!$B$5:$B$100,0))&lt;0,"Stock negativo: revisa","OK"),"No está en Inventario"))</f>
        <v/>
      </c>
    </row>
    <row r="163" customFormat="false" ht="15" hidden="false" customHeight="false" outlineLevel="0" collapsed="false">
      <c r="A163" s="1"/>
      <c r="B163" s="37"/>
      <c r="C163" s="13"/>
      <c r="D163" s="21" t="str">
        <f aca="false">IF($C163="","",IFERROR(INDEX(Inventario!$D$5:$D$100,MATCH($C163,Inventario!$B$5:$B$100,0)),"No está en Inventario"))</f>
        <v/>
      </c>
      <c r="E163" s="21" t="str">
        <f aca="false">IF($C163="","",IFERROR(INDEX(Inventario!$E$5:$E$100,MATCH($C163,Inventario!$B$5:$B$100,0)),"No está en Inventario"))</f>
        <v/>
      </c>
      <c r="F163" s="16"/>
      <c r="G163" s="38" t="str">
        <f aca="false">IF($C163="","",IFERROR(INDEX(Inventario!$H$5:$H$100,MATCH($C163,Inventario!$B$5:$B$100,0)),"No está en Inventario"))</f>
        <v/>
      </c>
      <c r="H163" s="39"/>
      <c r="I163" s="40" t="str">
        <f aca="false">IF(OR($C163="",$F163=""),"",N($F163)*N($G163)*(1-N($H163)))</f>
        <v/>
      </c>
      <c r="J163" s="14"/>
      <c r="K163" s="13"/>
      <c r="L163" s="20" t="str">
        <f aca="false">IF($C163="","",IFERROR(IF(INDEX(Inventario!$L$5:$L$100,MATCH($C163,Inventario!$B$5:$B$100,0))&lt;0,"Stock negativo: revisa","OK"),"No está en Inventario"))</f>
        <v/>
      </c>
    </row>
    <row r="164" customFormat="false" ht="15" hidden="false" customHeight="false" outlineLevel="0" collapsed="false">
      <c r="A164" s="1"/>
      <c r="B164" s="41"/>
      <c r="C164" s="23"/>
      <c r="D164" s="31" t="str">
        <f aca="false">IF($C164="","",IFERROR(INDEX(Inventario!$D$5:$D$100,MATCH($C164,Inventario!$B$5:$B$100,0)),"No está en Inventario"))</f>
        <v/>
      </c>
      <c r="E164" s="31" t="str">
        <f aca="false">IF($C164="","",IFERROR(INDEX(Inventario!$E$5:$E$100,MATCH($C164,Inventario!$B$5:$B$100,0)),"No está en Inventario"))</f>
        <v/>
      </c>
      <c r="F164" s="26"/>
      <c r="G164" s="42" t="str">
        <f aca="false">IF($C164="","",IFERROR(INDEX(Inventario!$H$5:$H$100,MATCH($C164,Inventario!$B$5:$B$100,0)),"No está en Inventario"))</f>
        <v/>
      </c>
      <c r="H164" s="43"/>
      <c r="I164" s="44" t="str">
        <f aca="false">IF(OR($C164="",$F164=""),"",N($F164)*N($G164)*(1-N($H164)))</f>
        <v/>
      </c>
      <c r="J164" s="24"/>
      <c r="K164" s="23"/>
      <c r="L164" s="30" t="str">
        <f aca="false">IF($C164="","",IFERROR(IF(INDEX(Inventario!$L$5:$L$100,MATCH($C164,Inventario!$B$5:$B$100,0))&lt;0,"Stock negativo: revisa","OK"),"No está en Inventario"))</f>
        <v/>
      </c>
    </row>
    <row r="165" customFormat="false" ht="15" hidden="false" customHeight="false" outlineLevel="0" collapsed="false">
      <c r="A165" s="1"/>
      <c r="B165" s="37"/>
      <c r="C165" s="13"/>
      <c r="D165" s="21" t="str">
        <f aca="false">IF($C165="","",IFERROR(INDEX(Inventario!$D$5:$D$100,MATCH($C165,Inventario!$B$5:$B$100,0)),"No está en Inventario"))</f>
        <v/>
      </c>
      <c r="E165" s="21" t="str">
        <f aca="false">IF($C165="","",IFERROR(INDEX(Inventario!$E$5:$E$100,MATCH($C165,Inventario!$B$5:$B$100,0)),"No está en Inventario"))</f>
        <v/>
      </c>
      <c r="F165" s="16"/>
      <c r="G165" s="38" t="str">
        <f aca="false">IF($C165="","",IFERROR(INDEX(Inventario!$H$5:$H$100,MATCH($C165,Inventario!$B$5:$B$100,0)),"No está en Inventario"))</f>
        <v/>
      </c>
      <c r="H165" s="39"/>
      <c r="I165" s="40" t="str">
        <f aca="false">IF(OR($C165="",$F165=""),"",N($F165)*N($G165)*(1-N($H165)))</f>
        <v/>
      </c>
      <c r="J165" s="14"/>
      <c r="K165" s="13"/>
      <c r="L165" s="20" t="str">
        <f aca="false">IF($C165="","",IFERROR(IF(INDEX(Inventario!$L$5:$L$100,MATCH($C165,Inventario!$B$5:$B$100,0))&lt;0,"Stock negativo: revisa","OK"),"No está en Inventario"))</f>
        <v/>
      </c>
    </row>
    <row r="166" customFormat="false" ht="15" hidden="false" customHeight="false" outlineLevel="0" collapsed="false">
      <c r="A166" s="1"/>
      <c r="B166" s="41"/>
      <c r="C166" s="23"/>
      <c r="D166" s="31" t="str">
        <f aca="false">IF($C166="","",IFERROR(INDEX(Inventario!$D$5:$D$100,MATCH($C166,Inventario!$B$5:$B$100,0)),"No está en Inventario"))</f>
        <v/>
      </c>
      <c r="E166" s="31" t="str">
        <f aca="false">IF($C166="","",IFERROR(INDEX(Inventario!$E$5:$E$100,MATCH($C166,Inventario!$B$5:$B$100,0)),"No está en Inventario"))</f>
        <v/>
      </c>
      <c r="F166" s="26"/>
      <c r="G166" s="42" t="str">
        <f aca="false">IF($C166="","",IFERROR(INDEX(Inventario!$H$5:$H$100,MATCH($C166,Inventario!$B$5:$B$100,0)),"No está en Inventario"))</f>
        <v/>
      </c>
      <c r="H166" s="43"/>
      <c r="I166" s="44" t="str">
        <f aca="false">IF(OR($C166="",$F166=""),"",N($F166)*N($G166)*(1-N($H166)))</f>
        <v/>
      </c>
      <c r="J166" s="24"/>
      <c r="K166" s="23"/>
      <c r="L166" s="30" t="str">
        <f aca="false">IF($C166="","",IFERROR(IF(INDEX(Inventario!$L$5:$L$100,MATCH($C166,Inventario!$B$5:$B$100,0))&lt;0,"Stock negativo: revisa","OK"),"No está en Inventario"))</f>
        <v/>
      </c>
    </row>
    <row r="167" customFormat="false" ht="15" hidden="false" customHeight="false" outlineLevel="0" collapsed="false">
      <c r="A167" s="1"/>
      <c r="B167" s="37"/>
      <c r="C167" s="13"/>
      <c r="D167" s="21" t="str">
        <f aca="false">IF($C167="","",IFERROR(INDEX(Inventario!$D$5:$D$100,MATCH($C167,Inventario!$B$5:$B$100,0)),"No está en Inventario"))</f>
        <v/>
      </c>
      <c r="E167" s="21" t="str">
        <f aca="false">IF($C167="","",IFERROR(INDEX(Inventario!$E$5:$E$100,MATCH($C167,Inventario!$B$5:$B$100,0)),"No está en Inventario"))</f>
        <v/>
      </c>
      <c r="F167" s="16"/>
      <c r="G167" s="38" t="str">
        <f aca="false">IF($C167="","",IFERROR(INDEX(Inventario!$H$5:$H$100,MATCH($C167,Inventario!$B$5:$B$100,0)),"No está en Inventario"))</f>
        <v/>
      </c>
      <c r="H167" s="39"/>
      <c r="I167" s="40" t="str">
        <f aca="false">IF(OR($C167="",$F167=""),"",N($F167)*N($G167)*(1-N($H167)))</f>
        <v/>
      </c>
      <c r="J167" s="14"/>
      <c r="K167" s="13"/>
      <c r="L167" s="20" t="str">
        <f aca="false">IF($C167="","",IFERROR(IF(INDEX(Inventario!$L$5:$L$100,MATCH($C167,Inventario!$B$5:$B$100,0))&lt;0,"Stock negativo: revisa","OK"),"No está en Inventario"))</f>
        <v/>
      </c>
    </row>
    <row r="168" customFormat="false" ht="15" hidden="false" customHeight="false" outlineLevel="0" collapsed="false">
      <c r="A168" s="1"/>
      <c r="B168" s="41"/>
      <c r="C168" s="23"/>
      <c r="D168" s="31" t="str">
        <f aca="false">IF($C168="","",IFERROR(INDEX(Inventario!$D$5:$D$100,MATCH($C168,Inventario!$B$5:$B$100,0)),"No está en Inventario"))</f>
        <v/>
      </c>
      <c r="E168" s="31" t="str">
        <f aca="false">IF($C168="","",IFERROR(INDEX(Inventario!$E$5:$E$100,MATCH($C168,Inventario!$B$5:$B$100,0)),"No está en Inventario"))</f>
        <v/>
      </c>
      <c r="F168" s="26"/>
      <c r="G168" s="42" t="str">
        <f aca="false">IF($C168="","",IFERROR(INDEX(Inventario!$H$5:$H$100,MATCH($C168,Inventario!$B$5:$B$100,0)),"No está en Inventario"))</f>
        <v/>
      </c>
      <c r="H168" s="43"/>
      <c r="I168" s="44" t="str">
        <f aca="false">IF(OR($C168="",$F168=""),"",N($F168)*N($G168)*(1-N($H168)))</f>
        <v/>
      </c>
      <c r="J168" s="24"/>
      <c r="K168" s="23"/>
      <c r="L168" s="30" t="str">
        <f aca="false">IF($C168="","",IFERROR(IF(INDEX(Inventario!$L$5:$L$100,MATCH($C168,Inventario!$B$5:$B$100,0))&lt;0,"Stock negativo: revisa","OK"),"No está en Inventario"))</f>
        <v/>
      </c>
    </row>
    <row r="169" customFormat="false" ht="15" hidden="false" customHeight="false" outlineLevel="0" collapsed="false">
      <c r="A169" s="1"/>
      <c r="B169" s="37"/>
      <c r="C169" s="13"/>
      <c r="D169" s="21" t="str">
        <f aca="false">IF($C169="","",IFERROR(INDEX(Inventario!$D$5:$D$100,MATCH($C169,Inventario!$B$5:$B$100,0)),"No está en Inventario"))</f>
        <v/>
      </c>
      <c r="E169" s="21" t="str">
        <f aca="false">IF($C169="","",IFERROR(INDEX(Inventario!$E$5:$E$100,MATCH($C169,Inventario!$B$5:$B$100,0)),"No está en Inventario"))</f>
        <v/>
      </c>
      <c r="F169" s="16"/>
      <c r="G169" s="38" t="str">
        <f aca="false">IF($C169="","",IFERROR(INDEX(Inventario!$H$5:$H$100,MATCH($C169,Inventario!$B$5:$B$100,0)),"No está en Inventario"))</f>
        <v/>
      </c>
      <c r="H169" s="39"/>
      <c r="I169" s="40" t="str">
        <f aca="false">IF(OR($C169="",$F169=""),"",N($F169)*N($G169)*(1-N($H169)))</f>
        <v/>
      </c>
      <c r="J169" s="14"/>
      <c r="K169" s="13"/>
      <c r="L169" s="20" t="str">
        <f aca="false">IF($C169="","",IFERROR(IF(INDEX(Inventario!$L$5:$L$100,MATCH($C169,Inventario!$B$5:$B$100,0))&lt;0,"Stock negativo: revisa","OK"),"No está en Inventario"))</f>
        <v/>
      </c>
    </row>
    <row r="170" customFormat="false" ht="15" hidden="false" customHeight="false" outlineLevel="0" collapsed="false">
      <c r="A170" s="1"/>
      <c r="B170" s="41"/>
      <c r="C170" s="23"/>
      <c r="D170" s="31" t="str">
        <f aca="false">IF($C170="","",IFERROR(INDEX(Inventario!$D$5:$D$100,MATCH($C170,Inventario!$B$5:$B$100,0)),"No está en Inventario"))</f>
        <v/>
      </c>
      <c r="E170" s="31" t="str">
        <f aca="false">IF($C170="","",IFERROR(INDEX(Inventario!$E$5:$E$100,MATCH($C170,Inventario!$B$5:$B$100,0)),"No está en Inventario"))</f>
        <v/>
      </c>
      <c r="F170" s="26"/>
      <c r="G170" s="42" t="str">
        <f aca="false">IF($C170="","",IFERROR(INDEX(Inventario!$H$5:$H$100,MATCH($C170,Inventario!$B$5:$B$100,0)),"No está en Inventario"))</f>
        <v/>
      </c>
      <c r="H170" s="43"/>
      <c r="I170" s="44" t="str">
        <f aca="false">IF(OR($C170="",$F170=""),"",N($F170)*N($G170)*(1-N($H170)))</f>
        <v/>
      </c>
      <c r="J170" s="24"/>
      <c r="K170" s="23"/>
      <c r="L170" s="30" t="str">
        <f aca="false">IF($C170="","",IFERROR(IF(INDEX(Inventario!$L$5:$L$100,MATCH($C170,Inventario!$B$5:$B$100,0))&lt;0,"Stock negativo: revisa","OK"),"No está en Inventario"))</f>
        <v/>
      </c>
    </row>
    <row r="171" customFormat="false" ht="15" hidden="false" customHeight="false" outlineLevel="0" collapsed="false">
      <c r="A171" s="1"/>
      <c r="B171" s="37"/>
      <c r="C171" s="13"/>
      <c r="D171" s="21" t="str">
        <f aca="false">IF($C171="","",IFERROR(INDEX(Inventario!$D$5:$D$100,MATCH($C171,Inventario!$B$5:$B$100,0)),"No está en Inventario"))</f>
        <v/>
      </c>
      <c r="E171" s="21" t="str">
        <f aca="false">IF($C171="","",IFERROR(INDEX(Inventario!$E$5:$E$100,MATCH($C171,Inventario!$B$5:$B$100,0)),"No está en Inventario"))</f>
        <v/>
      </c>
      <c r="F171" s="16"/>
      <c r="G171" s="38" t="str">
        <f aca="false">IF($C171="","",IFERROR(INDEX(Inventario!$H$5:$H$100,MATCH($C171,Inventario!$B$5:$B$100,0)),"No está en Inventario"))</f>
        <v/>
      </c>
      <c r="H171" s="39"/>
      <c r="I171" s="40" t="str">
        <f aca="false">IF(OR($C171="",$F171=""),"",N($F171)*N($G171)*(1-N($H171)))</f>
        <v/>
      </c>
      <c r="J171" s="14"/>
      <c r="K171" s="13"/>
      <c r="L171" s="20" t="str">
        <f aca="false">IF($C171="","",IFERROR(IF(INDEX(Inventario!$L$5:$L$100,MATCH($C171,Inventario!$B$5:$B$100,0))&lt;0,"Stock negativo: revisa","OK"),"No está en Inventario"))</f>
        <v/>
      </c>
    </row>
    <row r="172" customFormat="false" ht="15" hidden="false" customHeight="false" outlineLevel="0" collapsed="false">
      <c r="A172" s="1"/>
      <c r="B172" s="41"/>
      <c r="C172" s="23"/>
      <c r="D172" s="31" t="str">
        <f aca="false">IF($C172="","",IFERROR(INDEX(Inventario!$D$5:$D$100,MATCH($C172,Inventario!$B$5:$B$100,0)),"No está en Inventario"))</f>
        <v/>
      </c>
      <c r="E172" s="31" t="str">
        <f aca="false">IF($C172="","",IFERROR(INDEX(Inventario!$E$5:$E$100,MATCH($C172,Inventario!$B$5:$B$100,0)),"No está en Inventario"))</f>
        <v/>
      </c>
      <c r="F172" s="26"/>
      <c r="G172" s="42" t="str">
        <f aca="false">IF($C172="","",IFERROR(INDEX(Inventario!$H$5:$H$100,MATCH($C172,Inventario!$B$5:$B$100,0)),"No está en Inventario"))</f>
        <v/>
      </c>
      <c r="H172" s="43"/>
      <c r="I172" s="44" t="str">
        <f aca="false">IF(OR($C172="",$F172=""),"",N($F172)*N($G172)*(1-N($H172)))</f>
        <v/>
      </c>
      <c r="J172" s="24"/>
      <c r="K172" s="23"/>
      <c r="L172" s="30" t="str">
        <f aca="false">IF($C172="","",IFERROR(IF(INDEX(Inventario!$L$5:$L$100,MATCH($C172,Inventario!$B$5:$B$100,0))&lt;0,"Stock negativo: revisa","OK"),"No está en Inventario"))</f>
        <v/>
      </c>
    </row>
    <row r="173" customFormat="false" ht="15" hidden="false" customHeight="false" outlineLevel="0" collapsed="false">
      <c r="A173" s="1"/>
      <c r="B173" s="37"/>
      <c r="C173" s="13"/>
      <c r="D173" s="21" t="str">
        <f aca="false">IF($C173="","",IFERROR(INDEX(Inventario!$D$5:$D$100,MATCH($C173,Inventario!$B$5:$B$100,0)),"No está en Inventario"))</f>
        <v/>
      </c>
      <c r="E173" s="21" t="str">
        <f aca="false">IF($C173="","",IFERROR(INDEX(Inventario!$E$5:$E$100,MATCH($C173,Inventario!$B$5:$B$100,0)),"No está en Inventario"))</f>
        <v/>
      </c>
      <c r="F173" s="16"/>
      <c r="G173" s="38" t="str">
        <f aca="false">IF($C173="","",IFERROR(INDEX(Inventario!$H$5:$H$100,MATCH($C173,Inventario!$B$5:$B$100,0)),"No está en Inventario"))</f>
        <v/>
      </c>
      <c r="H173" s="39"/>
      <c r="I173" s="40" t="str">
        <f aca="false">IF(OR($C173="",$F173=""),"",N($F173)*N($G173)*(1-N($H173)))</f>
        <v/>
      </c>
      <c r="J173" s="14"/>
      <c r="K173" s="13"/>
      <c r="L173" s="20" t="str">
        <f aca="false">IF($C173="","",IFERROR(IF(INDEX(Inventario!$L$5:$L$100,MATCH($C173,Inventario!$B$5:$B$100,0))&lt;0,"Stock negativo: revisa","OK"),"No está en Inventario"))</f>
        <v/>
      </c>
    </row>
    <row r="174" customFormat="false" ht="15" hidden="false" customHeight="false" outlineLevel="0" collapsed="false">
      <c r="A174" s="1"/>
      <c r="B174" s="41"/>
      <c r="C174" s="23"/>
      <c r="D174" s="31" t="str">
        <f aca="false">IF($C174="","",IFERROR(INDEX(Inventario!$D$5:$D$100,MATCH($C174,Inventario!$B$5:$B$100,0)),"No está en Inventario"))</f>
        <v/>
      </c>
      <c r="E174" s="31" t="str">
        <f aca="false">IF($C174="","",IFERROR(INDEX(Inventario!$E$5:$E$100,MATCH($C174,Inventario!$B$5:$B$100,0)),"No está en Inventario"))</f>
        <v/>
      </c>
      <c r="F174" s="26"/>
      <c r="G174" s="42" t="str">
        <f aca="false">IF($C174="","",IFERROR(INDEX(Inventario!$H$5:$H$100,MATCH($C174,Inventario!$B$5:$B$100,0)),"No está en Inventario"))</f>
        <v/>
      </c>
      <c r="H174" s="43"/>
      <c r="I174" s="44" t="str">
        <f aca="false">IF(OR($C174="",$F174=""),"",N($F174)*N($G174)*(1-N($H174)))</f>
        <v/>
      </c>
      <c r="J174" s="24"/>
      <c r="K174" s="23"/>
      <c r="L174" s="30" t="str">
        <f aca="false">IF($C174="","",IFERROR(IF(INDEX(Inventario!$L$5:$L$100,MATCH($C174,Inventario!$B$5:$B$100,0))&lt;0,"Stock negativo: revisa","OK"),"No está en Inventario"))</f>
        <v/>
      </c>
    </row>
    <row r="175" customFormat="false" ht="15" hidden="false" customHeight="false" outlineLevel="0" collapsed="false">
      <c r="A175" s="1"/>
      <c r="B175" s="37"/>
      <c r="C175" s="13"/>
      <c r="D175" s="21" t="str">
        <f aca="false">IF($C175="","",IFERROR(INDEX(Inventario!$D$5:$D$100,MATCH($C175,Inventario!$B$5:$B$100,0)),"No está en Inventario"))</f>
        <v/>
      </c>
      <c r="E175" s="21" t="str">
        <f aca="false">IF($C175="","",IFERROR(INDEX(Inventario!$E$5:$E$100,MATCH($C175,Inventario!$B$5:$B$100,0)),"No está en Inventario"))</f>
        <v/>
      </c>
      <c r="F175" s="16"/>
      <c r="G175" s="38" t="str">
        <f aca="false">IF($C175="","",IFERROR(INDEX(Inventario!$H$5:$H$100,MATCH($C175,Inventario!$B$5:$B$100,0)),"No está en Inventario"))</f>
        <v/>
      </c>
      <c r="H175" s="39"/>
      <c r="I175" s="40" t="str">
        <f aca="false">IF(OR($C175="",$F175=""),"",N($F175)*N($G175)*(1-N($H175)))</f>
        <v/>
      </c>
      <c r="J175" s="14"/>
      <c r="K175" s="13"/>
      <c r="L175" s="20" t="str">
        <f aca="false">IF($C175="","",IFERROR(IF(INDEX(Inventario!$L$5:$L$100,MATCH($C175,Inventario!$B$5:$B$100,0))&lt;0,"Stock negativo: revisa","OK"),"No está en Inventario"))</f>
        <v/>
      </c>
    </row>
    <row r="176" customFormat="false" ht="15" hidden="false" customHeight="false" outlineLevel="0" collapsed="false">
      <c r="A176" s="1"/>
      <c r="B176" s="41"/>
      <c r="C176" s="23"/>
      <c r="D176" s="31" t="str">
        <f aca="false">IF($C176="","",IFERROR(INDEX(Inventario!$D$5:$D$100,MATCH($C176,Inventario!$B$5:$B$100,0)),"No está en Inventario"))</f>
        <v/>
      </c>
      <c r="E176" s="31" t="str">
        <f aca="false">IF($C176="","",IFERROR(INDEX(Inventario!$E$5:$E$100,MATCH($C176,Inventario!$B$5:$B$100,0)),"No está en Inventario"))</f>
        <v/>
      </c>
      <c r="F176" s="26"/>
      <c r="G176" s="42" t="str">
        <f aca="false">IF($C176="","",IFERROR(INDEX(Inventario!$H$5:$H$100,MATCH($C176,Inventario!$B$5:$B$100,0)),"No está en Inventario"))</f>
        <v/>
      </c>
      <c r="H176" s="43"/>
      <c r="I176" s="44" t="str">
        <f aca="false">IF(OR($C176="",$F176=""),"",N($F176)*N($G176)*(1-N($H176)))</f>
        <v/>
      </c>
      <c r="J176" s="24"/>
      <c r="K176" s="23"/>
      <c r="L176" s="30" t="str">
        <f aca="false">IF($C176="","",IFERROR(IF(INDEX(Inventario!$L$5:$L$100,MATCH($C176,Inventario!$B$5:$B$100,0))&lt;0,"Stock negativo: revisa","OK"),"No está en Inventario"))</f>
        <v/>
      </c>
    </row>
    <row r="177" customFormat="false" ht="15" hidden="false" customHeight="false" outlineLevel="0" collapsed="false">
      <c r="A177" s="1"/>
      <c r="B177" s="37"/>
      <c r="C177" s="13"/>
      <c r="D177" s="21" t="str">
        <f aca="false">IF($C177="","",IFERROR(INDEX(Inventario!$D$5:$D$100,MATCH($C177,Inventario!$B$5:$B$100,0)),"No está en Inventario"))</f>
        <v/>
      </c>
      <c r="E177" s="21" t="str">
        <f aca="false">IF($C177="","",IFERROR(INDEX(Inventario!$E$5:$E$100,MATCH($C177,Inventario!$B$5:$B$100,0)),"No está en Inventario"))</f>
        <v/>
      </c>
      <c r="F177" s="16"/>
      <c r="G177" s="38" t="str">
        <f aca="false">IF($C177="","",IFERROR(INDEX(Inventario!$H$5:$H$100,MATCH($C177,Inventario!$B$5:$B$100,0)),"No está en Inventario"))</f>
        <v/>
      </c>
      <c r="H177" s="39"/>
      <c r="I177" s="40" t="str">
        <f aca="false">IF(OR($C177="",$F177=""),"",N($F177)*N($G177)*(1-N($H177)))</f>
        <v/>
      </c>
      <c r="J177" s="14"/>
      <c r="K177" s="13"/>
      <c r="L177" s="20" t="str">
        <f aca="false">IF($C177="","",IFERROR(IF(INDEX(Inventario!$L$5:$L$100,MATCH($C177,Inventario!$B$5:$B$100,0))&lt;0,"Stock negativo: revisa","OK"),"No está en Inventario"))</f>
        <v/>
      </c>
    </row>
    <row r="178" customFormat="false" ht="15" hidden="false" customHeight="false" outlineLevel="0" collapsed="false">
      <c r="A178" s="1"/>
      <c r="B178" s="41"/>
      <c r="C178" s="23"/>
      <c r="D178" s="31" t="str">
        <f aca="false">IF($C178="","",IFERROR(INDEX(Inventario!$D$5:$D$100,MATCH($C178,Inventario!$B$5:$B$100,0)),"No está en Inventario"))</f>
        <v/>
      </c>
      <c r="E178" s="31" t="str">
        <f aca="false">IF($C178="","",IFERROR(INDEX(Inventario!$E$5:$E$100,MATCH($C178,Inventario!$B$5:$B$100,0)),"No está en Inventario"))</f>
        <v/>
      </c>
      <c r="F178" s="26"/>
      <c r="G178" s="42" t="str">
        <f aca="false">IF($C178="","",IFERROR(INDEX(Inventario!$H$5:$H$100,MATCH($C178,Inventario!$B$5:$B$100,0)),"No está en Inventario"))</f>
        <v/>
      </c>
      <c r="H178" s="43"/>
      <c r="I178" s="44" t="str">
        <f aca="false">IF(OR($C178="",$F178=""),"",N($F178)*N($G178)*(1-N($H178)))</f>
        <v/>
      </c>
      <c r="J178" s="24"/>
      <c r="K178" s="23"/>
      <c r="L178" s="30" t="str">
        <f aca="false">IF($C178="","",IFERROR(IF(INDEX(Inventario!$L$5:$L$100,MATCH($C178,Inventario!$B$5:$B$100,0))&lt;0,"Stock negativo: revisa","OK"),"No está en Inventario"))</f>
        <v/>
      </c>
    </row>
    <row r="179" customFormat="false" ht="15" hidden="false" customHeight="false" outlineLevel="0" collapsed="false">
      <c r="A179" s="1"/>
      <c r="B179" s="37"/>
      <c r="C179" s="13"/>
      <c r="D179" s="21" t="str">
        <f aca="false">IF($C179="","",IFERROR(INDEX(Inventario!$D$5:$D$100,MATCH($C179,Inventario!$B$5:$B$100,0)),"No está en Inventario"))</f>
        <v/>
      </c>
      <c r="E179" s="21" t="str">
        <f aca="false">IF($C179="","",IFERROR(INDEX(Inventario!$E$5:$E$100,MATCH($C179,Inventario!$B$5:$B$100,0)),"No está en Inventario"))</f>
        <v/>
      </c>
      <c r="F179" s="16"/>
      <c r="G179" s="38" t="str">
        <f aca="false">IF($C179="","",IFERROR(INDEX(Inventario!$H$5:$H$100,MATCH($C179,Inventario!$B$5:$B$100,0)),"No está en Inventario"))</f>
        <v/>
      </c>
      <c r="H179" s="39"/>
      <c r="I179" s="40" t="str">
        <f aca="false">IF(OR($C179="",$F179=""),"",N($F179)*N($G179)*(1-N($H179)))</f>
        <v/>
      </c>
      <c r="J179" s="14"/>
      <c r="K179" s="13"/>
      <c r="L179" s="20" t="str">
        <f aca="false">IF($C179="","",IFERROR(IF(INDEX(Inventario!$L$5:$L$100,MATCH($C179,Inventario!$B$5:$B$100,0))&lt;0,"Stock negativo: revisa","OK"),"No está en Inventario"))</f>
        <v/>
      </c>
    </row>
    <row r="180" customFormat="false" ht="15" hidden="false" customHeight="false" outlineLevel="0" collapsed="false">
      <c r="A180" s="1"/>
      <c r="B180" s="41"/>
      <c r="C180" s="23"/>
      <c r="D180" s="31" t="str">
        <f aca="false">IF($C180="","",IFERROR(INDEX(Inventario!$D$5:$D$100,MATCH($C180,Inventario!$B$5:$B$100,0)),"No está en Inventario"))</f>
        <v/>
      </c>
      <c r="E180" s="31" t="str">
        <f aca="false">IF($C180="","",IFERROR(INDEX(Inventario!$E$5:$E$100,MATCH($C180,Inventario!$B$5:$B$100,0)),"No está en Inventario"))</f>
        <v/>
      </c>
      <c r="F180" s="26"/>
      <c r="G180" s="42" t="str">
        <f aca="false">IF($C180="","",IFERROR(INDEX(Inventario!$H$5:$H$100,MATCH($C180,Inventario!$B$5:$B$100,0)),"No está en Inventario"))</f>
        <v/>
      </c>
      <c r="H180" s="43"/>
      <c r="I180" s="44" t="str">
        <f aca="false">IF(OR($C180="",$F180=""),"",N($F180)*N($G180)*(1-N($H180)))</f>
        <v/>
      </c>
      <c r="J180" s="24"/>
      <c r="K180" s="23"/>
      <c r="L180" s="30" t="str">
        <f aca="false">IF($C180="","",IFERROR(IF(INDEX(Inventario!$L$5:$L$100,MATCH($C180,Inventario!$B$5:$B$100,0))&lt;0,"Stock negativo: revisa","OK"),"No está en Inventario"))</f>
        <v/>
      </c>
    </row>
    <row r="181" customFormat="false" ht="15" hidden="false" customHeight="false" outlineLevel="0" collapsed="false">
      <c r="A181" s="1"/>
      <c r="B181" s="37"/>
      <c r="C181" s="13"/>
      <c r="D181" s="21" t="str">
        <f aca="false">IF($C181="","",IFERROR(INDEX(Inventario!$D$5:$D$100,MATCH($C181,Inventario!$B$5:$B$100,0)),"No está en Inventario"))</f>
        <v/>
      </c>
      <c r="E181" s="21" t="str">
        <f aca="false">IF($C181="","",IFERROR(INDEX(Inventario!$E$5:$E$100,MATCH($C181,Inventario!$B$5:$B$100,0)),"No está en Inventario"))</f>
        <v/>
      </c>
      <c r="F181" s="16"/>
      <c r="G181" s="38" t="str">
        <f aca="false">IF($C181="","",IFERROR(INDEX(Inventario!$H$5:$H$100,MATCH($C181,Inventario!$B$5:$B$100,0)),"No está en Inventario"))</f>
        <v/>
      </c>
      <c r="H181" s="39"/>
      <c r="I181" s="40" t="str">
        <f aca="false">IF(OR($C181="",$F181=""),"",N($F181)*N($G181)*(1-N($H181)))</f>
        <v/>
      </c>
      <c r="J181" s="14"/>
      <c r="K181" s="13"/>
      <c r="L181" s="20" t="str">
        <f aca="false">IF($C181="","",IFERROR(IF(INDEX(Inventario!$L$5:$L$100,MATCH($C181,Inventario!$B$5:$B$100,0))&lt;0,"Stock negativo: revisa","OK"),"No está en Inventario"))</f>
        <v/>
      </c>
    </row>
    <row r="182" customFormat="false" ht="15" hidden="false" customHeight="false" outlineLevel="0" collapsed="false">
      <c r="A182" s="1"/>
      <c r="B182" s="41"/>
      <c r="C182" s="23"/>
      <c r="D182" s="31" t="str">
        <f aca="false">IF($C182="","",IFERROR(INDEX(Inventario!$D$5:$D$100,MATCH($C182,Inventario!$B$5:$B$100,0)),"No está en Inventario"))</f>
        <v/>
      </c>
      <c r="E182" s="31" t="str">
        <f aca="false">IF($C182="","",IFERROR(INDEX(Inventario!$E$5:$E$100,MATCH($C182,Inventario!$B$5:$B$100,0)),"No está en Inventario"))</f>
        <v/>
      </c>
      <c r="F182" s="26"/>
      <c r="G182" s="42" t="str">
        <f aca="false">IF($C182="","",IFERROR(INDEX(Inventario!$H$5:$H$100,MATCH($C182,Inventario!$B$5:$B$100,0)),"No está en Inventario"))</f>
        <v/>
      </c>
      <c r="H182" s="43"/>
      <c r="I182" s="44" t="str">
        <f aca="false">IF(OR($C182="",$F182=""),"",N($F182)*N($G182)*(1-N($H182)))</f>
        <v/>
      </c>
      <c r="J182" s="24"/>
      <c r="K182" s="23"/>
      <c r="L182" s="30" t="str">
        <f aca="false">IF($C182="","",IFERROR(IF(INDEX(Inventario!$L$5:$L$100,MATCH($C182,Inventario!$B$5:$B$100,0))&lt;0,"Stock negativo: revisa","OK"),"No está en Inventario"))</f>
        <v/>
      </c>
    </row>
    <row r="183" customFormat="false" ht="15" hidden="false" customHeight="false" outlineLevel="0" collapsed="false">
      <c r="A183" s="1"/>
      <c r="B183" s="37"/>
      <c r="C183" s="13"/>
      <c r="D183" s="21" t="str">
        <f aca="false">IF($C183="","",IFERROR(INDEX(Inventario!$D$5:$D$100,MATCH($C183,Inventario!$B$5:$B$100,0)),"No está en Inventario"))</f>
        <v/>
      </c>
      <c r="E183" s="21" t="str">
        <f aca="false">IF($C183="","",IFERROR(INDEX(Inventario!$E$5:$E$100,MATCH($C183,Inventario!$B$5:$B$100,0)),"No está en Inventario"))</f>
        <v/>
      </c>
      <c r="F183" s="16"/>
      <c r="G183" s="38" t="str">
        <f aca="false">IF($C183="","",IFERROR(INDEX(Inventario!$H$5:$H$100,MATCH($C183,Inventario!$B$5:$B$100,0)),"No está en Inventario"))</f>
        <v/>
      </c>
      <c r="H183" s="39"/>
      <c r="I183" s="40" t="str">
        <f aca="false">IF(OR($C183="",$F183=""),"",N($F183)*N($G183)*(1-N($H183)))</f>
        <v/>
      </c>
      <c r="J183" s="14"/>
      <c r="K183" s="13"/>
      <c r="L183" s="20" t="str">
        <f aca="false">IF($C183="","",IFERROR(IF(INDEX(Inventario!$L$5:$L$100,MATCH($C183,Inventario!$B$5:$B$100,0))&lt;0,"Stock negativo: revisa","OK"),"No está en Inventario"))</f>
        <v/>
      </c>
    </row>
    <row r="184" customFormat="false" ht="15" hidden="false" customHeight="false" outlineLevel="0" collapsed="false">
      <c r="A184" s="1"/>
      <c r="B184" s="41"/>
      <c r="C184" s="23"/>
      <c r="D184" s="31" t="str">
        <f aca="false">IF($C184="","",IFERROR(INDEX(Inventario!$D$5:$D$100,MATCH($C184,Inventario!$B$5:$B$100,0)),"No está en Inventario"))</f>
        <v/>
      </c>
      <c r="E184" s="31" t="str">
        <f aca="false">IF($C184="","",IFERROR(INDEX(Inventario!$E$5:$E$100,MATCH($C184,Inventario!$B$5:$B$100,0)),"No está en Inventario"))</f>
        <v/>
      </c>
      <c r="F184" s="26"/>
      <c r="G184" s="42" t="str">
        <f aca="false">IF($C184="","",IFERROR(INDEX(Inventario!$H$5:$H$100,MATCH($C184,Inventario!$B$5:$B$100,0)),"No está en Inventario"))</f>
        <v/>
      </c>
      <c r="H184" s="43"/>
      <c r="I184" s="44" t="str">
        <f aca="false">IF(OR($C184="",$F184=""),"",N($F184)*N($G184)*(1-N($H184)))</f>
        <v/>
      </c>
      <c r="J184" s="24"/>
      <c r="K184" s="23"/>
      <c r="L184" s="30" t="str">
        <f aca="false">IF($C184="","",IFERROR(IF(INDEX(Inventario!$L$5:$L$100,MATCH($C184,Inventario!$B$5:$B$100,0))&lt;0,"Stock negativo: revisa","OK"),"No está en Inventario"))</f>
        <v/>
      </c>
    </row>
    <row r="185" customFormat="false" ht="15" hidden="false" customHeight="false" outlineLevel="0" collapsed="false">
      <c r="A185" s="1"/>
      <c r="B185" s="37"/>
      <c r="C185" s="13"/>
      <c r="D185" s="21" t="str">
        <f aca="false">IF($C185="","",IFERROR(INDEX(Inventario!$D$5:$D$100,MATCH($C185,Inventario!$B$5:$B$100,0)),"No está en Inventario"))</f>
        <v/>
      </c>
      <c r="E185" s="21" t="str">
        <f aca="false">IF($C185="","",IFERROR(INDEX(Inventario!$E$5:$E$100,MATCH($C185,Inventario!$B$5:$B$100,0)),"No está en Inventario"))</f>
        <v/>
      </c>
      <c r="F185" s="16"/>
      <c r="G185" s="38" t="str">
        <f aca="false">IF($C185="","",IFERROR(INDEX(Inventario!$H$5:$H$100,MATCH($C185,Inventario!$B$5:$B$100,0)),"No está en Inventario"))</f>
        <v/>
      </c>
      <c r="H185" s="39"/>
      <c r="I185" s="40" t="str">
        <f aca="false">IF(OR($C185="",$F185=""),"",N($F185)*N($G185)*(1-N($H185)))</f>
        <v/>
      </c>
      <c r="J185" s="14"/>
      <c r="K185" s="13"/>
      <c r="L185" s="20" t="str">
        <f aca="false">IF($C185="","",IFERROR(IF(INDEX(Inventario!$L$5:$L$100,MATCH($C185,Inventario!$B$5:$B$100,0))&lt;0,"Stock negativo: revisa","OK"),"No está en Inventario"))</f>
        <v/>
      </c>
    </row>
    <row r="186" customFormat="false" ht="15" hidden="false" customHeight="false" outlineLevel="0" collapsed="false">
      <c r="A186" s="1"/>
      <c r="B186" s="41"/>
      <c r="C186" s="23"/>
      <c r="D186" s="31" t="str">
        <f aca="false">IF($C186="","",IFERROR(INDEX(Inventario!$D$5:$D$100,MATCH($C186,Inventario!$B$5:$B$100,0)),"No está en Inventario"))</f>
        <v/>
      </c>
      <c r="E186" s="31" t="str">
        <f aca="false">IF($C186="","",IFERROR(INDEX(Inventario!$E$5:$E$100,MATCH($C186,Inventario!$B$5:$B$100,0)),"No está en Inventario"))</f>
        <v/>
      </c>
      <c r="F186" s="26"/>
      <c r="G186" s="42" t="str">
        <f aca="false">IF($C186="","",IFERROR(INDEX(Inventario!$H$5:$H$100,MATCH($C186,Inventario!$B$5:$B$100,0)),"No está en Inventario"))</f>
        <v/>
      </c>
      <c r="H186" s="43"/>
      <c r="I186" s="44" t="str">
        <f aca="false">IF(OR($C186="",$F186=""),"",N($F186)*N($G186)*(1-N($H186)))</f>
        <v/>
      </c>
      <c r="J186" s="24"/>
      <c r="K186" s="23"/>
      <c r="L186" s="30" t="str">
        <f aca="false">IF($C186="","",IFERROR(IF(INDEX(Inventario!$L$5:$L$100,MATCH($C186,Inventario!$B$5:$B$100,0))&lt;0,"Stock negativo: revisa","OK"),"No está en Inventario"))</f>
        <v/>
      </c>
    </row>
    <row r="187" customFormat="false" ht="15" hidden="false" customHeight="false" outlineLevel="0" collapsed="false">
      <c r="A187" s="1"/>
      <c r="B187" s="37"/>
      <c r="C187" s="13"/>
      <c r="D187" s="21" t="str">
        <f aca="false">IF($C187="","",IFERROR(INDEX(Inventario!$D$5:$D$100,MATCH($C187,Inventario!$B$5:$B$100,0)),"No está en Inventario"))</f>
        <v/>
      </c>
      <c r="E187" s="21" t="str">
        <f aca="false">IF($C187="","",IFERROR(INDEX(Inventario!$E$5:$E$100,MATCH($C187,Inventario!$B$5:$B$100,0)),"No está en Inventario"))</f>
        <v/>
      </c>
      <c r="F187" s="16"/>
      <c r="G187" s="38" t="str">
        <f aca="false">IF($C187="","",IFERROR(INDEX(Inventario!$H$5:$H$100,MATCH($C187,Inventario!$B$5:$B$100,0)),"No está en Inventario"))</f>
        <v/>
      </c>
      <c r="H187" s="39"/>
      <c r="I187" s="40" t="str">
        <f aca="false">IF(OR($C187="",$F187=""),"",N($F187)*N($G187)*(1-N($H187)))</f>
        <v/>
      </c>
      <c r="J187" s="14"/>
      <c r="K187" s="13"/>
      <c r="L187" s="20" t="str">
        <f aca="false">IF($C187="","",IFERROR(IF(INDEX(Inventario!$L$5:$L$100,MATCH($C187,Inventario!$B$5:$B$100,0))&lt;0,"Stock negativo: revisa","OK"),"No está en Inventario"))</f>
        <v/>
      </c>
    </row>
    <row r="188" customFormat="false" ht="15" hidden="false" customHeight="false" outlineLevel="0" collapsed="false">
      <c r="A188" s="1"/>
      <c r="B188" s="41"/>
      <c r="C188" s="23"/>
      <c r="D188" s="31" t="str">
        <f aca="false">IF($C188="","",IFERROR(INDEX(Inventario!$D$5:$D$100,MATCH($C188,Inventario!$B$5:$B$100,0)),"No está en Inventario"))</f>
        <v/>
      </c>
      <c r="E188" s="31" t="str">
        <f aca="false">IF($C188="","",IFERROR(INDEX(Inventario!$E$5:$E$100,MATCH($C188,Inventario!$B$5:$B$100,0)),"No está en Inventario"))</f>
        <v/>
      </c>
      <c r="F188" s="26"/>
      <c r="G188" s="42" t="str">
        <f aca="false">IF($C188="","",IFERROR(INDEX(Inventario!$H$5:$H$100,MATCH($C188,Inventario!$B$5:$B$100,0)),"No está en Inventario"))</f>
        <v/>
      </c>
      <c r="H188" s="43"/>
      <c r="I188" s="44" t="str">
        <f aca="false">IF(OR($C188="",$F188=""),"",N($F188)*N($G188)*(1-N($H188)))</f>
        <v/>
      </c>
      <c r="J188" s="24"/>
      <c r="K188" s="23"/>
      <c r="L188" s="30" t="str">
        <f aca="false">IF($C188="","",IFERROR(IF(INDEX(Inventario!$L$5:$L$100,MATCH($C188,Inventario!$B$5:$B$100,0))&lt;0,"Stock negativo: revisa","OK"),"No está en Inventario"))</f>
        <v/>
      </c>
    </row>
    <row r="189" customFormat="false" ht="15" hidden="false" customHeight="false" outlineLevel="0" collapsed="false">
      <c r="A189" s="1"/>
      <c r="B189" s="37"/>
      <c r="C189" s="13"/>
      <c r="D189" s="21" t="str">
        <f aca="false">IF($C189="","",IFERROR(INDEX(Inventario!$D$5:$D$100,MATCH($C189,Inventario!$B$5:$B$100,0)),"No está en Inventario"))</f>
        <v/>
      </c>
      <c r="E189" s="21" t="str">
        <f aca="false">IF($C189="","",IFERROR(INDEX(Inventario!$E$5:$E$100,MATCH($C189,Inventario!$B$5:$B$100,0)),"No está en Inventario"))</f>
        <v/>
      </c>
      <c r="F189" s="16"/>
      <c r="G189" s="38" t="str">
        <f aca="false">IF($C189="","",IFERROR(INDEX(Inventario!$H$5:$H$100,MATCH($C189,Inventario!$B$5:$B$100,0)),"No está en Inventario"))</f>
        <v/>
      </c>
      <c r="H189" s="39"/>
      <c r="I189" s="40" t="str">
        <f aca="false">IF(OR($C189="",$F189=""),"",N($F189)*N($G189)*(1-N($H189)))</f>
        <v/>
      </c>
      <c r="J189" s="14"/>
      <c r="K189" s="13"/>
      <c r="L189" s="20" t="str">
        <f aca="false">IF($C189="","",IFERROR(IF(INDEX(Inventario!$L$5:$L$100,MATCH($C189,Inventario!$B$5:$B$100,0))&lt;0,"Stock negativo: revisa","OK"),"No está en Inventario"))</f>
        <v/>
      </c>
    </row>
    <row r="190" customFormat="false" ht="15" hidden="false" customHeight="false" outlineLevel="0" collapsed="false">
      <c r="A190" s="1"/>
      <c r="B190" s="41"/>
      <c r="C190" s="23"/>
      <c r="D190" s="31" t="str">
        <f aca="false">IF($C190="","",IFERROR(INDEX(Inventario!$D$5:$D$100,MATCH($C190,Inventario!$B$5:$B$100,0)),"No está en Inventario"))</f>
        <v/>
      </c>
      <c r="E190" s="31" t="str">
        <f aca="false">IF($C190="","",IFERROR(INDEX(Inventario!$E$5:$E$100,MATCH($C190,Inventario!$B$5:$B$100,0)),"No está en Inventario"))</f>
        <v/>
      </c>
      <c r="F190" s="26"/>
      <c r="G190" s="42" t="str">
        <f aca="false">IF($C190="","",IFERROR(INDEX(Inventario!$H$5:$H$100,MATCH($C190,Inventario!$B$5:$B$100,0)),"No está en Inventario"))</f>
        <v/>
      </c>
      <c r="H190" s="43"/>
      <c r="I190" s="44" t="str">
        <f aca="false">IF(OR($C190="",$F190=""),"",N($F190)*N($G190)*(1-N($H190)))</f>
        <v/>
      </c>
      <c r="J190" s="24"/>
      <c r="K190" s="23"/>
      <c r="L190" s="30" t="str">
        <f aca="false">IF($C190="","",IFERROR(IF(INDEX(Inventario!$L$5:$L$100,MATCH($C190,Inventario!$B$5:$B$100,0))&lt;0,"Stock negativo: revisa","OK"),"No está en Inventario"))</f>
        <v/>
      </c>
    </row>
    <row r="191" customFormat="false" ht="15" hidden="false" customHeight="false" outlineLevel="0" collapsed="false">
      <c r="A191" s="1"/>
      <c r="B191" s="37"/>
      <c r="C191" s="13"/>
      <c r="D191" s="21" t="str">
        <f aca="false">IF($C191="","",IFERROR(INDEX(Inventario!$D$5:$D$100,MATCH($C191,Inventario!$B$5:$B$100,0)),"No está en Inventario"))</f>
        <v/>
      </c>
      <c r="E191" s="21" t="str">
        <f aca="false">IF($C191="","",IFERROR(INDEX(Inventario!$E$5:$E$100,MATCH($C191,Inventario!$B$5:$B$100,0)),"No está en Inventario"))</f>
        <v/>
      </c>
      <c r="F191" s="16"/>
      <c r="G191" s="38" t="str">
        <f aca="false">IF($C191="","",IFERROR(INDEX(Inventario!$H$5:$H$100,MATCH($C191,Inventario!$B$5:$B$100,0)),"No está en Inventario"))</f>
        <v/>
      </c>
      <c r="H191" s="39"/>
      <c r="I191" s="40" t="str">
        <f aca="false">IF(OR($C191="",$F191=""),"",N($F191)*N($G191)*(1-N($H191)))</f>
        <v/>
      </c>
      <c r="J191" s="14"/>
      <c r="K191" s="13"/>
      <c r="L191" s="20" t="str">
        <f aca="false">IF($C191="","",IFERROR(IF(INDEX(Inventario!$L$5:$L$100,MATCH($C191,Inventario!$B$5:$B$100,0))&lt;0,"Stock negativo: revisa","OK"),"No está en Inventario"))</f>
        <v/>
      </c>
    </row>
    <row r="192" customFormat="false" ht="15" hidden="false" customHeight="false" outlineLevel="0" collapsed="false">
      <c r="A192" s="1"/>
      <c r="B192" s="41"/>
      <c r="C192" s="23"/>
      <c r="D192" s="31" t="str">
        <f aca="false">IF($C192="","",IFERROR(INDEX(Inventario!$D$5:$D$100,MATCH($C192,Inventario!$B$5:$B$100,0)),"No está en Inventario"))</f>
        <v/>
      </c>
      <c r="E192" s="31" t="str">
        <f aca="false">IF($C192="","",IFERROR(INDEX(Inventario!$E$5:$E$100,MATCH($C192,Inventario!$B$5:$B$100,0)),"No está en Inventario"))</f>
        <v/>
      </c>
      <c r="F192" s="26"/>
      <c r="G192" s="42" t="str">
        <f aca="false">IF($C192="","",IFERROR(INDEX(Inventario!$H$5:$H$100,MATCH($C192,Inventario!$B$5:$B$100,0)),"No está en Inventario"))</f>
        <v/>
      </c>
      <c r="H192" s="43"/>
      <c r="I192" s="44" t="str">
        <f aca="false">IF(OR($C192="",$F192=""),"",N($F192)*N($G192)*(1-N($H192)))</f>
        <v/>
      </c>
      <c r="J192" s="24"/>
      <c r="K192" s="23"/>
      <c r="L192" s="30" t="str">
        <f aca="false">IF($C192="","",IFERROR(IF(INDEX(Inventario!$L$5:$L$100,MATCH($C192,Inventario!$B$5:$B$100,0))&lt;0,"Stock negativo: revisa","OK"),"No está en Inventario"))</f>
        <v/>
      </c>
    </row>
    <row r="193" customFormat="false" ht="15" hidden="false" customHeight="false" outlineLevel="0" collapsed="false">
      <c r="A193" s="1"/>
      <c r="B193" s="37"/>
      <c r="C193" s="13"/>
      <c r="D193" s="21" t="str">
        <f aca="false">IF($C193="","",IFERROR(INDEX(Inventario!$D$5:$D$100,MATCH($C193,Inventario!$B$5:$B$100,0)),"No está en Inventario"))</f>
        <v/>
      </c>
      <c r="E193" s="21" t="str">
        <f aca="false">IF($C193="","",IFERROR(INDEX(Inventario!$E$5:$E$100,MATCH($C193,Inventario!$B$5:$B$100,0)),"No está en Inventario"))</f>
        <v/>
      </c>
      <c r="F193" s="16"/>
      <c r="G193" s="38" t="str">
        <f aca="false">IF($C193="","",IFERROR(INDEX(Inventario!$H$5:$H$100,MATCH($C193,Inventario!$B$5:$B$100,0)),"No está en Inventario"))</f>
        <v/>
      </c>
      <c r="H193" s="39"/>
      <c r="I193" s="40" t="str">
        <f aca="false">IF(OR($C193="",$F193=""),"",N($F193)*N($G193)*(1-N($H193)))</f>
        <v/>
      </c>
      <c r="J193" s="14"/>
      <c r="K193" s="13"/>
      <c r="L193" s="20" t="str">
        <f aca="false">IF($C193="","",IFERROR(IF(INDEX(Inventario!$L$5:$L$100,MATCH($C193,Inventario!$B$5:$B$100,0))&lt;0,"Stock negativo: revisa","OK"),"No está en Inventario"))</f>
        <v/>
      </c>
    </row>
    <row r="194" customFormat="false" ht="15" hidden="false" customHeight="false" outlineLevel="0" collapsed="false">
      <c r="A194" s="1"/>
      <c r="B194" s="41"/>
      <c r="C194" s="23"/>
      <c r="D194" s="31" t="str">
        <f aca="false">IF($C194="","",IFERROR(INDEX(Inventario!$D$5:$D$100,MATCH($C194,Inventario!$B$5:$B$100,0)),"No está en Inventario"))</f>
        <v/>
      </c>
      <c r="E194" s="31" t="str">
        <f aca="false">IF($C194="","",IFERROR(INDEX(Inventario!$E$5:$E$100,MATCH($C194,Inventario!$B$5:$B$100,0)),"No está en Inventario"))</f>
        <v/>
      </c>
      <c r="F194" s="26"/>
      <c r="G194" s="42" t="str">
        <f aca="false">IF($C194="","",IFERROR(INDEX(Inventario!$H$5:$H$100,MATCH($C194,Inventario!$B$5:$B$100,0)),"No está en Inventario"))</f>
        <v/>
      </c>
      <c r="H194" s="43"/>
      <c r="I194" s="44" t="str">
        <f aca="false">IF(OR($C194="",$F194=""),"",N($F194)*N($G194)*(1-N($H194)))</f>
        <v/>
      </c>
      <c r="J194" s="24"/>
      <c r="K194" s="23"/>
      <c r="L194" s="30" t="str">
        <f aca="false">IF($C194="","",IFERROR(IF(INDEX(Inventario!$L$5:$L$100,MATCH($C194,Inventario!$B$5:$B$100,0))&lt;0,"Stock negativo: revisa","OK"),"No está en Inventario"))</f>
        <v/>
      </c>
    </row>
    <row r="195" customFormat="false" ht="15" hidden="false" customHeight="false" outlineLevel="0" collapsed="false">
      <c r="A195" s="1"/>
      <c r="B195" s="37"/>
      <c r="C195" s="13"/>
      <c r="D195" s="21" t="str">
        <f aca="false">IF($C195="","",IFERROR(INDEX(Inventario!$D$5:$D$100,MATCH($C195,Inventario!$B$5:$B$100,0)),"No está en Inventario"))</f>
        <v/>
      </c>
      <c r="E195" s="21" t="str">
        <f aca="false">IF($C195="","",IFERROR(INDEX(Inventario!$E$5:$E$100,MATCH($C195,Inventario!$B$5:$B$100,0)),"No está en Inventario"))</f>
        <v/>
      </c>
      <c r="F195" s="16"/>
      <c r="G195" s="38" t="str">
        <f aca="false">IF($C195="","",IFERROR(INDEX(Inventario!$H$5:$H$100,MATCH($C195,Inventario!$B$5:$B$100,0)),"No está en Inventario"))</f>
        <v/>
      </c>
      <c r="H195" s="39"/>
      <c r="I195" s="40" t="str">
        <f aca="false">IF(OR($C195="",$F195=""),"",N($F195)*N($G195)*(1-N($H195)))</f>
        <v/>
      </c>
      <c r="J195" s="14"/>
      <c r="K195" s="13"/>
      <c r="L195" s="20" t="str">
        <f aca="false">IF($C195="","",IFERROR(IF(INDEX(Inventario!$L$5:$L$100,MATCH($C195,Inventario!$B$5:$B$100,0))&lt;0,"Stock negativo: revisa","OK"),"No está en Inventario"))</f>
        <v/>
      </c>
    </row>
    <row r="196" customFormat="false" ht="15" hidden="false" customHeight="false" outlineLevel="0" collapsed="false">
      <c r="A196" s="1"/>
      <c r="B196" s="41"/>
      <c r="C196" s="23"/>
      <c r="D196" s="31" t="str">
        <f aca="false">IF($C196="","",IFERROR(INDEX(Inventario!$D$5:$D$100,MATCH($C196,Inventario!$B$5:$B$100,0)),"No está en Inventario"))</f>
        <v/>
      </c>
      <c r="E196" s="31" t="str">
        <f aca="false">IF($C196="","",IFERROR(INDEX(Inventario!$E$5:$E$100,MATCH($C196,Inventario!$B$5:$B$100,0)),"No está en Inventario"))</f>
        <v/>
      </c>
      <c r="F196" s="26"/>
      <c r="G196" s="42" t="str">
        <f aca="false">IF($C196="","",IFERROR(INDEX(Inventario!$H$5:$H$100,MATCH($C196,Inventario!$B$5:$B$100,0)),"No está en Inventario"))</f>
        <v/>
      </c>
      <c r="H196" s="43"/>
      <c r="I196" s="44" t="str">
        <f aca="false">IF(OR($C196="",$F196=""),"",N($F196)*N($G196)*(1-N($H196)))</f>
        <v/>
      </c>
      <c r="J196" s="24"/>
      <c r="K196" s="23"/>
      <c r="L196" s="30" t="str">
        <f aca="false">IF($C196="","",IFERROR(IF(INDEX(Inventario!$L$5:$L$100,MATCH($C196,Inventario!$B$5:$B$100,0))&lt;0,"Stock negativo: revisa","OK"),"No está en Inventario"))</f>
        <v/>
      </c>
    </row>
    <row r="197" customFormat="false" ht="15" hidden="false" customHeight="false" outlineLevel="0" collapsed="false">
      <c r="A197" s="1"/>
      <c r="B197" s="37"/>
      <c r="C197" s="13"/>
      <c r="D197" s="21" t="str">
        <f aca="false">IF($C197="","",IFERROR(INDEX(Inventario!$D$5:$D$100,MATCH($C197,Inventario!$B$5:$B$100,0)),"No está en Inventario"))</f>
        <v/>
      </c>
      <c r="E197" s="21" t="str">
        <f aca="false">IF($C197="","",IFERROR(INDEX(Inventario!$E$5:$E$100,MATCH($C197,Inventario!$B$5:$B$100,0)),"No está en Inventario"))</f>
        <v/>
      </c>
      <c r="F197" s="16"/>
      <c r="G197" s="38" t="str">
        <f aca="false">IF($C197="","",IFERROR(INDEX(Inventario!$H$5:$H$100,MATCH($C197,Inventario!$B$5:$B$100,0)),"No está en Inventario"))</f>
        <v/>
      </c>
      <c r="H197" s="39"/>
      <c r="I197" s="40" t="str">
        <f aca="false">IF(OR($C197="",$F197=""),"",N($F197)*N($G197)*(1-N($H197)))</f>
        <v/>
      </c>
      <c r="J197" s="14"/>
      <c r="K197" s="13"/>
      <c r="L197" s="20" t="str">
        <f aca="false">IF($C197="","",IFERROR(IF(INDEX(Inventario!$L$5:$L$100,MATCH($C197,Inventario!$B$5:$B$100,0))&lt;0,"Stock negativo: revisa","OK"),"No está en Inventario"))</f>
        <v/>
      </c>
    </row>
    <row r="198" customFormat="false" ht="15" hidden="false" customHeight="false" outlineLevel="0" collapsed="false">
      <c r="A198" s="1"/>
      <c r="B198" s="41"/>
      <c r="C198" s="23"/>
      <c r="D198" s="31" t="str">
        <f aca="false">IF($C198="","",IFERROR(INDEX(Inventario!$D$5:$D$100,MATCH($C198,Inventario!$B$5:$B$100,0)),"No está en Inventario"))</f>
        <v/>
      </c>
      <c r="E198" s="31" t="str">
        <f aca="false">IF($C198="","",IFERROR(INDEX(Inventario!$E$5:$E$100,MATCH($C198,Inventario!$B$5:$B$100,0)),"No está en Inventario"))</f>
        <v/>
      </c>
      <c r="F198" s="26"/>
      <c r="G198" s="42" t="str">
        <f aca="false">IF($C198="","",IFERROR(INDEX(Inventario!$H$5:$H$100,MATCH($C198,Inventario!$B$5:$B$100,0)),"No está en Inventario"))</f>
        <v/>
      </c>
      <c r="H198" s="43"/>
      <c r="I198" s="44" t="str">
        <f aca="false">IF(OR($C198="",$F198=""),"",N($F198)*N($G198)*(1-N($H198)))</f>
        <v/>
      </c>
      <c r="J198" s="24"/>
      <c r="K198" s="23"/>
      <c r="L198" s="30" t="str">
        <f aca="false">IF($C198="","",IFERROR(IF(INDEX(Inventario!$L$5:$L$100,MATCH($C198,Inventario!$B$5:$B$100,0))&lt;0,"Stock negativo: revisa","OK"),"No está en Inventario"))</f>
        <v/>
      </c>
    </row>
    <row r="199" customFormat="false" ht="15" hidden="false" customHeight="false" outlineLevel="0" collapsed="false">
      <c r="A199" s="1"/>
      <c r="B199" s="37"/>
      <c r="C199" s="13"/>
      <c r="D199" s="21" t="str">
        <f aca="false">IF($C199="","",IFERROR(INDEX(Inventario!$D$5:$D$100,MATCH($C199,Inventario!$B$5:$B$100,0)),"No está en Inventario"))</f>
        <v/>
      </c>
      <c r="E199" s="21" t="str">
        <f aca="false">IF($C199="","",IFERROR(INDEX(Inventario!$E$5:$E$100,MATCH($C199,Inventario!$B$5:$B$100,0)),"No está en Inventario"))</f>
        <v/>
      </c>
      <c r="F199" s="16"/>
      <c r="G199" s="38" t="str">
        <f aca="false">IF($C199="","",IFERROR(INDEX(Inventario!$H$5:$H$100,MATCH($C199,Inventario!$B$5:$B$100,0)),"No está en Inventario"))</f>
        <v/>
      </c>
      <c r="H199" s="39"/>
      <c r="I199" s="40" t="str">
        <f aca="false">IF(OR($C199="",$F199=""),"",N($F199)*N($G199)*(1-N($H199)))</f>
        <v/>
      </c>
      <c r="J199" s="14"/>
      <c r="K199" s="13"/>
      <c r="L199" s="20" t="str">
        <f aca="false">IF($C199="","",IFERROR(IF(INDEX(Inventario!$L$5:$L$100,MATCH($C199,Inventario!$B$5:$B$100,0))&lt;0,"Stock negativo: revisa","OK"),"No está en Inventario"))</f>
        <v/>
      </c>
    </row>
    <row r="200" customFormat="false" ht="15" hidden="false" customHeight="false" outlineLevel="0" collapsed="false">
      <c r="A200" s="1"/>
      <c r="B200" s="41"/>
      <c r="C200" s="23"/>
      <c r="D200" s="31" t="str">
        <f aca="false">IF($C200="","",IFERROR(INDEX(Inventario!$D$5:$D$100,MATCH($C200,Inventario!$B$5:$B$100,0)),"No está en Inventario"))</f>
        <v/>
      </c>
      <c r="E200" s="31" t="str">
        <f aca="false">IF($C200="","",IFERROR(INDEX(Inventario!$E$5:$E$100,MATCH($C200,Inventario!$B$5:$B$100,0)),"No está en Inventario"))</f>
        <v/>
      </c>
      <c r="F200" s="26"/>
      <c r="G200" s="42" t="str">
        <f aca="false">IF($C200="","",IFERROR(INDEX(Inventario!$H$5:$H$100,MATCH($C200,Inventario!$B$5:$B$100,0)),"No está en Inventario"))</f>
        <v/>
      </c>
      <c r="H200" s="43"/>
      <c r="I200" s="44" t="str">
        <f aca="false">IF(OR($C200="",$F200=""),"",N($F200)*N($G200)*(1-N($H200)))</f>
        <v/>
      </c>
      <c r="J200" s="24"/>
      <c r="K200" s="23"/>
      <c r="L200" s="30" t="str">
        <f aca="false">IF($C200="","",IFERROR(IF(INDEX(Inventario!$L$5:$L$100,MATCH($C200,Inventario!$B$5:$B$100,0))&lt;0,"Stock negativo: revisa","OK"),"No está en Inventario"))</f>
        <v/>
      </c>
    </row>
    <row r="201" customFormat="false" ht="15" hidden="false" customHeight="false" outlineLevel="0" collapsed="false">
      <c r="A201" s="1"/>
      <c r="B201" s="37"/>
      <c r="C201" s="13"/>
      <c r="D201" s="21" t="str">
        <f aca="false">IF($C201="","",IFERROR(INDEX(Inventario!$D$5:$D$100,MATCH($C201,Inventario!$B$5:$B$100,0)),"No está en Inventario"))</f>
        <v/>
      </c>
      <c r="E201" s="21" t="str">
        <f aca="false">IF($C201="","",IFERROR(INDEX(Inventario!$E$5:$E$100,MATCH($C201,Inventario!$B$5:$B$100,0)),"No está en Inventario"))</f>
        <v/>
      </c>
      <c r="F201" s="16"/>
      <c r="G201" s="38" t="str">
        <f aca="false">IF($C201="","",IFERROR(INDEX(Inventario!$H$5:$H$100,MATCH($C201,Inventario!$B$5:$B$100,0)),"No está en Inventario"))</f>
        <v/>
      </c>
      <c r="H201" s="39"/>
      <c r="I201" s="40" t="str">
        <f aca="false">IF(OR($C201="",$F201=""),"",N($F201)*N($G201)*(1-N($H201)))</f>
        <v/>
      </c>
      <c r="J201" s="14"/>
      <c r="K201" s="13"/>
      <c r="L201" s="20" t="str">
        <f aca="false">IF($C201="","",IFERROR(IF(INDEX(Inventario!$L$5:$L$100,MATCH($C201,Inventario!$B$5:$B$100,0))&lt;0,"Stock negativo: revisa","OK"),"No está en Inventario"))</f>
        <v/>
      </c>
    </row>
    <row r="202" customFormat="false" ht="15" hidden="false" customHeight="false" outlineLevel="0" collapsed="false">
      <c r="A202" s="1"/>
      <c r="B202" s="41"/>
      <c r="C202" s="23"/>
      <c r="D202" s="31" t="str">
        <f aca="false">IF($C202="","",IFERROR(INDEX(Inventario!$D$5:$D$100,MATCH($C202,Inventario!$B$5:$B$100,0)),"No está en Inventario"))</f>
        <v/>
      </c>
      <c r="E202" s="31" t="str">
        <f aca="false">IF($C202="","",IFERROR(INDEX(Inventario!$E$5:$E$100,MATCH($C202,Inventario!$B$5:$B$100,0)),"No está en Inventario"))</f>
        <v/>
      </c>
      <c r="F202" s="26"/>
      <c r="G202" s="42" t="str">
        <f aca="false">IF($C202="","",IFERROR(INDEX(Inventario!$H$5:$H$100,MATCH($C202,Inventario!$B$5:$B$100,0)),"No está en Inventario"))</f>
        <v/>
      </c>
      <c r="H202" s="43"/>
      <c r="I202" s="44" t="str">
        <f aca="false">IF(OR($C202="",$F202=""),"",N($F202)*N($G202)*(1-N($H202)))</f>
        <v/>
      </c>
      <c r="J202" s="24"/>
      <c r="K202" s="23"/>
      <c r="L202" s="30" t="str">
        <f aca="false">IF($C202="","",IFERROR(IF(INDEX(Inventario!$L$5:$L$100,MATCH($C202,Inventario!$B$5:$B$100,0))&lt;0,"Stock negativo: revisa","OK"),"No está en Inventario"))</f>
        <v/>
      </c>
    </row>
    <row r="203" customFormat="false" ht="15" hidden="false" customHeight="false" outlineLevel="0" collapsed="false">
      <c r="A203" s="1"/>
      <c r="B203" s="37"/>
      <c r="C203" s="13"/>
      <c r="D203" s="21" t="str">
        <f aca="false">IF($C203="","",IFERROR(INDEX(Inventario!$D$5:$D$100,MATCH($C203,Inventario!$B$5:$B$100,0)),"No está en Inventario"))</f>
        <v/>
      </c>
      <c r="E203" s="21" t="str">
        <f aca="false">IF($C203="","",IFERROR(INDEX(Inventario!$E$5:$E$100,MATCH($C203,Inventario!$B$5:$B$100,0)),"No está en Inventario"))</f>
        <v/>
      </c>
      <c r="F203" s="16"/>
      <c r="G203" s="38" t="str">
        <f aca="false">IF($C203="","",IFERROR(INDEX(Inventario!$H$5:$H$100,MATCH($C203,Inventario!$B$5:$B$100,0)),"No está en Inventario"))</f>
        <v/>
      </c>
      <c r="H203" s="39"/>
      <c r="I203" s="40" t="str">
        <f aca="false">IF(OR($C203="",$F203=""),"",N($F203)*N($G203)*(1-N($H203)))</f>
        <v/>
      </c>
      <c r="J203" s="14"/>
      <c r="K203" s="13"/>
      <c r="L203" s="20" t="str">
        <f aca="false">IF($C203="","",IFERROR(IF(INDEX(Inventario!$L$5:$L$100,MATCH($C203,Inventario!$B$5:$B$100,0))&lt;0,"Stock negativo: revisa","OK"),"No está en Inventario"))</f>
        <v/>
      </c>
    </row>
    <row r="204" customFormat="false" ht="15" hidden="false" customHeight="false" outlineLevel="0" collapsed="false">
      <c r="A204" s="1"/>
      <c r="B204" s="41"/>
      <c r="C204" s="23"/>
      <c r="D204" s="31" t="str">
        <f aca="false">IF($C204="","",IFERROR(INDEX(Inventario!$D$5:$D$100,MATCH($C204,Inventario!$B$5:$B$100,0)),"No está en Inventario"))</f>
        <v/>
      </c>
      <c r="E204" s="31" t="str">
        <f aca="false">IF($C204="","",IFERROR(INDEX(Inventario!$E$5:$E$100,MATCH($C204,Inventario!$B$5:$B$100,0)),"No está en Inventario"))</f>
        <v/>
      </c>
      <c r="F204" s="26"/>
      <c r="G204" s="42" t="str">
        <f aca="false">IF($C204="","",IFERROR(INDEX(Inventario!$H$5:$H$100,MATCH($C204,Inventario!$B$5:$B$100,0)),"No está en Inventario"))</f>
        <v/>
      </c>
      <c r="H204" s="43"/>
      <c r="I204" s="44" t="str">
        <f aca="false">IF(OR($C204="",$F204=""),"",N($F204)*N($G204)*(1-N($H204)))</f>
        <v/>
      </c>
      <c r="J204" s="24"/>
      <c r="K204" s="23"/>
      <c r="L204" s="30" t="str">
        <f aca="false">IF($C204="","",IFERROR(IF(INDEX(Inventario!$L$5:$L$100,MATCH($C204,Inventario!$B$5:$B$100,0))&lt;0,"Stock negativo: revisa","OK"),"No está en Inventario"))</f>
        <v/>
      </c>
    </row>
    <row r="205" customFormat="false" ht="15" hidden="false" customHeight="false" outlineLevel="0" collapsed="false">
      <c r="A205" s="1"/>
      <c r="B205" s="37"/>
      <c r="C205" s="13"/>
      <c r="D205" s="21" t="str">
        <f aca="false">IF($C205="","",IFERROR(INDEX(Inventario!$D$5:$D$100,MATCH($C205,Inventario!$B$5:$B$100,0)),"No está en Inventario"))</f>
        <v/>
      </c>
      <c r="E205" s="21" t="str">
        <f aca="false">IF($C205="","",IFERROR(INDEX(Inventario!$E$5:$E$100,MATCH($C205,Inventario!$B$5:$B$100,0)),"No está en Inventario"))</f>
        <v/>
      </c>
      <c r="F205" s="16"/>
      <c r="G205" s="38" t="str">
        <f aca="false">IF($C205="","",IFERROR(INDEX(Inventario!$H$5:$H$100,MATCH($C205,Inventario!$B$5:$B$100,0)),"No está en Inventario"))</f>
        <v/>
      </c>
      <c r="H205" s="39"/>
      <c r="I205" s="40" t="str">
        <f aca="false">IF(OR($C205="",$F205=""),"",N($F205)*N($G205)*(1-N($H205)))</f>
        <v/>
      </c>
      <c r="J205" s="14"/>
      <c r="K205" s="13"/>
      <c r="L205" s="20" t="str">
        <f aca="false">IF($C205="","",IFERROR(IF(INDEX(Inventario!$L$5:$L$100,MATCH($C205,Inventario!$B$5:$B$100,0))&lt;0,"Stock negativo: revisa","OK"),"No está en Inventario"))</f>
        <v/>
      </c>
    </row>
    <row r="206" customFormat="false" ht="15" hidden="false" customHeight="false" outlineLevel="0" collapsed="false">
      <c r="A206" s="1"/>
      <c r="B206" s="41"/>
      <c r="C206" s="23"/>
      <c r="D206" s="31" t="str">
        <f aca="false">IF($C206="","",IFERROR(INDEX(Inventario!$D$5:$D$100,MATCH($C206,Inventario!$B$5:$B$100,0)),"No está en Inventario"))</f>
        <v/>
      </c>
      <c r="E206" s="31" t="str">
        <f aca="false">IF($C206="","",IFERROR(INDEX(Inventario!$E$5:$E$100,MATCH($C206,Inventario!$B$5:$B$100,0)),"No está en Inventario"))</f>
        <v/>
      </c>
      <c r="F206" s="26"/>
      <c r="G206" s="42" t="str">
        <f aca="false">IF($C206="","",IFERROR(INDEX(Inventario!$H$5:$H$100,MATCH($C206,Inventario!$B$5:$B$100,0)),"No está en Inventario"))</f>
        <v/>
      </c>
      <c r="H206" s="43"/>
      <c r="I206" s="44" t="str">
        <f aca="false">IF(OR($C206="",$F206=""),"",N($F206)*N($G206)*(1-N($H206)))</f>
        <v/>
      </c>
      <c r="J206" s="24"/>
      <c r="K206" s="23"/>
      <c r="L206" s="30" t="str">
        <f aca="false">IF($C206="","",IFERROR(IF(INDEX(Inventario!$L$5:$L$100,MATCH($C206,Inventario!$B$5:$B$100,0))&lt;0,"Stock negativo: revisa","OK"),"No está en Inventario"))</f>
        <v/>
      </c>
    </row>
    <row r="207" customFormat="false" ht="15" hidden="false" customHeight="false" outlineLevel="0" collapsed="false">
      <c r="A207" s="1"/>
      <c r="B207" s="37"/>
      <c r="C207" s="13"/>
      <c r="D207" s="21" t="str">
        <f aca="false">IF($C207="","",IFERROR(INDEX(Inventario!$D$5:$D$100,MATCH($C207,Inventario!$B$5:$B$100,0)),"No está en Inventario"))</f>
        <v/>
      </c>
      <c r="E207" s="21" t="str">
        <f aca="false">IF($C207="","",IFERROR(INDEX(Inventario!$E$5:$E$100,MATCH($C207,Inventario!$B$5:$B$100,0)),"No está en Inventario"))</f>
        <v/>
      </c>
      <c r="F207" s="16"/>
      <c r="G207" s="38" t="str">
        <f aca="false">IF($C207="","",IFERROR(INDEX(Inventario!$H$5:$H$100,MATCH($C207,Inventario!$B$5:$B$100,0)),"No está en Inventario"))</f>
        <v/>
      </c>
      <c r="H207" s="39"/>
      <c r="I207" s="40" t="str">
        <f aca="false">IF(OR($C207="",$F207=""),"",N($F207)*N($G207)*(1-N($H207)))</f>
        <v/>
      </c>
      <c r="J207" s="14"/>
      <c r="K207" s="13"/>
      <c r="L207" s="20" t="str">
        <f aca="false">IF($C207="","",IFERROR(IF(INDEX(Inventario!$L$5:$L$100,MATCH($C207,Inventario!$B$5:$B$100,0))&lt;0,"Stock negativo: revisa","OK"),"No está en Inventario"))</f>
        <v/>
      </c>
    </row>
    <row r="208" customFormat="false" ht="15" hidden="false" customHeight="false" outlineLevel="0" collapsed="false">
      <c r="A208" s="1"/>
      <c r="B208" s="41"/>
      <c r="C208" s="23"/>
      <c r="D208" s="31" t="str">
        <f aca="false">IF($C208="","",IFERROR(INDEX(Inventario!$D$5:$D$100,MATCH($C208,Inventario!$B$5:$B$100,0)),"No está en Inventario"))</f>
        <v/>
      </c>
      <c r="E208" s="31" t="str">
        <f aca="false">IF($C208="","",IFERROR(INDEX(Inventario!$E$5:$E$100,MATCH($C208,Inventario!$B$5:$B$100,0)),"No está en Inventario"))</f>
        <v/>
      </c>
      <c r="F208" s="26"/>
      <c r="G208" s="42" t="str">
        <f aca="false">IF($C208="","",IFERROR(INDEX(Inventario!$H$5:$H$100,MATCH($C208,Inventario!$B$5:$B$100,0)),"No está en Inventario"))</f>
        <v/>
      </c>
      <c r="H208" s="43"/>
      <c r="I208" s="44" t="str">
        <f aca="false">IF(OR($C208="",$F208=""),"",N($F208)*N($G208)*(1-N($H208)))</f>
        <v/>
      </c>
      <c r="J208" s="24"/>
      <c r="K208" s="23"/>
      <c r="L208" s="30" t="str">
        <f aca="false">IF($C208="","",IFERROR(IF(INDEX(Inventario!$L$5:$L$100,MATCH($C208,Inventario!$B$5:$B$100,0))&lt;0,"Stock negativo: revisa","OK"),"No está en Inventario"))</f>
        <v/>
      </c>
    </row>
    <row r="209" customFormat="false" ht="15" hidden="false" customHeight="false" outlineLevel="0" collapsed="false">
      <c r="A209" s="1"/>
      <c r="B209" s="37"/>
      <c r="C209" s="13"/>
      <c r="D209" s="21" t="str">
        <f aca="false">IF($C209="","",IFERROR(INDEX(Inventario!$D$5:$D$100,MATCH($C209,Inventario!$B$5:$B$100,0)),"No está en Inventario"))</f>
        <v/>
      </c>
      <c r="E209" s="21" t="str">
        <f aca="false">IF($C209="","",IFERROR(INDEX(Inventario!$E$5:$E$100,MATCH($C209,Inventario!$B$5:$B$100,0)),"No está en Inventario"))</f>
        <v/>
      </c>
      <c r="F209" s="16"/>
      <c r="G209" s="38" t="str">
        <f aca="false">IF($C209="","",IFERROR(INDEX(Inventario!$H$5:$H$100,MATCH($C209,Inventario!$B$5:$B$100,0)),"No está en Inventario"))</f>
        <v/>
      </c>
      <c r="H209" s="39"/>
      <c r="I209" s="40" t="str">
        <f aca="false">IF(OR($C209="",$F209=""),"",N($F209)*N($G209)*(1-N($H209)))</f>
        <v/>
      </c>
      <c r="J209" s="14"/>
      <c r="K209" s="13"/>
      <c r="L209" s="20" t="str">
        <f aca="false">IF($C209="","",IFERROR(IF(INDEX(Inventario!$L$5:$L$100,MATCH($C209,Inventario!$B$5:$B$100,0))&lt;0,"Stock negativo: revisa","OK"),"No está en Inventario"))</f>
        <v/>
      </c>
    </row>
    <row r="210" customFormat="false" ht="15" hidden="false" customHeight="false" outlineLevel="0" collapsed="false">
      <c r="A210" s="1"/>
      <c r="B210" s="41"/>
      <c r="C210" s="23"/>
      <c r="D210" s="31" t="str">
        <f aca="false">IF($C210="","",IFERROR(INDEX(Inventario!$D$5:$D$100,MATCH($C210,Inventario!$B$5:$B$100,0)),"No está en Inventario"))</f>
        <v/>
      </c>
      <c r="E210" s="31" t="str">
        <f aca="false">IF($C210="","",IFERROR(INDEX(Inventario!$E$5:$E$100,MATCH($C210,Inventario!$B$5:$B$100,0)),"No está en Inventario"))</f>
        <v/>
      </c>
      <c r="F210" s="26"/>
      <c r="G210" s="42" t="str">
        <f aca="false">IF($C210="","",IFERROR(INDEX(Inventario!$H$5:$H$100,MATCH($C210,Inventario!$B$5:$B$100,0)),"No está en Inventario"))</f>
        <v/>
      </c>
      <c r="H210" s="43"/>
      <c r="I210" s="44" t="str">
        <f aca="false">IF(OR($C210="",$F210=""),"",N($F210)*N($G210)*(1-N($H210)))</f>
        <v/>
      </c>
      <c r="J210" s="24"/>
      <c r="K210" s="23"/>
      <c r="L210" s="30" t="str">
        <f aca="false">IF($C210="","",IFERROR(IF(INDEX(Inventario!$L$5:$L$100,MATCH($C210,Inventario!$B$5:$B$100,0))&lt;0,"Stock negativo: revisa","OK"),"No está en Inventario"))</f>
        <v/>
      </c>
    </row>
    <row r="211" customFormat="false" ht="15" hidden="false" customHeight="false" outlineLevel="0" collapsed="false">
      <c r="A211" s="1"/>
      <c r="B211" s="37"/>
      <c r="C211" s="13"/>
      <c r="D211" s="21" t="str">
        <f aca="false">IF($C211="","",IFERROR(INDEX(Inventario!$D$5:$D$100,MATCH($C211,Inventario!$B$5:$B$100,0)),"No está en Inventario"))</f>
        <v/>
      </c>
      <c r="E211" s="21" t="str">
        <f aca="false">IF($C211="","",IFERROR(INDEX(Inventario!$E$5:$E$100,MATCH($C211,Inventario!$B$5:$B$100,0)),"No está en Inventario"))</f>
        <v/>
      </c>
      <c r="F211" s="16"/>
      <c r="G211" s="38" t="str">
        <f aca="false">IF($C211="","",IFERROR(INDEX(Inventario!$H$5:$H$100,MATCH($C211,Inventario!$B$5:$B$100,0)),"No está en Inventario"))</f>
        <v/>
      </c>
      <c r="H211" s="39"/>
      <c r="I211" s="40" t="str">
        <f aca="false">IF(OR($C211="",$F211=""),"",N($F211)*N($G211)*(1-N($H211)))</f>
        <v/>
      </c>
      <c r="J211" s="14"/>
      <c r="K211" s="13"/>
      <c r="L211" s="20" t="str">
        <f aca="false">IF($C211="","",IFERROR(IF(INDEX(Inventario!$L$5:$L$100,MATCH($C211,Inventario!$B$5:$B$100,0))&lt;0,"Stock negativo: revisa","OK"),"No está en Inventario"))</f>
        <v/>
      </c>
    </row>
    <row r="212" customFormat="false" ht="15" hidden="false" customHeight="false" outlineLevel="0" collapsed="false">
      <c r="A212" s="1"/>
      <c r="B212" s="41"/>
      <c r="C212" s="23"/>
      <c r="D212" s="31" t="str">
        <f aca="false">IF($C212="","",IFERROR(INDEX(Inventario!$D$5:$D$100,MATCH($C212,Inventario!$B$5:$B$100,0)),"No está en Inventario"))</f>
        <v/>
      </c>
      <c r="E212" s="31" t="str">
        <f aca="false">IF($C212="","",IFERROR(INDEX(Inventario!$E$5:$E$100,MATCH($C212,Inventario!$B$5:$B$100,0)),"No está en Inventario"))</f>
        <v/>
      </c>
      <c r="F212" s="26"/>
      <c r="G212" s="42" t="str">
        <f aca="false">IF($C212="","",IFERROR(INDEX(Inventario!$H$5:$H$100,MATCH($C212,Inventario!$B$5:$B$100,0)),"No está en Inventario"))</f>
        <v/>
      </c>
      <c r="H212" s="43"/>
      <c r="I212" s="44" t="str">
        <f aca="false">IF(OR($C212="",$F212=""),"",N($F212)*N($G212)*(1-N($H212)))</f>
        <v/>
      </c>
      <c r="J212" s="24"/>
      <c r="K212" s="23"/>
      <c r="L212" s="30" t="str">
        <f aca="false">IF($C212="","",IFERROR(IF(INDEX(Inventario!$L$5:$L$100,MATCH($C212,Inventario!$B$5:$B$100,0))&lt;0,"Stock negativo: revisa","OK"),"No está en Inventario"))</f>
        <v/>
      </c>
    </row>
    <row r="213" customFormat="false" ht="15" hidden="false" customHeight="false" outlineLevel="0" collapsed="false">
      <c r="A213" s="1"/>
      <c r="B213" s="37"/>
      <c r="C213" s="13"/>
      <c r="D213" s="21" t="str">
        <f aca="false">IF($C213="","",IFERROR(INDEX(Inventario!$D$5:$D$100,MATCH($C213,Inventario!$B$5:$B$100,0)),"No está en Inventario"))</f>
        <v/>
      </c>
      <c r="E213" s="21" t="str">
        <f aca="false">IF($C213="","",IFERROR(INDEX(Inventario!$E$5:$E$100,MATCH($C213,Inventario!$B$5:$B$100,0)),"No está en Inventario"))</f>
        <v/>
      </c>
      <c r="F213" s="16"/>
      <c r="G213" s="38" t="str">
        <f aca="false">IF($C213="","",IFERROR(INDEX(Inventario!$H$5:$H$100,MATCH($C213,Inventario!$B$5:$B$100,0)),"No está en Inventario"))</f>
        <v/>
      </c>
      <c r="H213" s="39"/>
      <c r="I213" s="40" t="str">
        <f aca="false">IF(OR($C213="",$F213=""),"",N($F213)*N($G213)*(1-N($H213)))</f>
        <v/>
      </c>
      <c r="J213" s="14"/>
      <c r="K213" s="13"/>
      <c r="L213" s="20" t="str">
        <f aca="false">IF($C213="","",IFERROR(IF(INDEX(Inventario!$L$5:$L$100,MATCH($C213,Inventario!$B$5:$B$100,0))&lt;0,"Stock negativo: revisa","OK"),"No está en Inventario"))</f>
        <v/>
      </c>
    </row>
    <row r="214" customFormat="false" ht="15" hidden="false" customHeight="false" outlineLevel="0" collapsed="false">
      <c r="A214" s="1"/>
      <c r="B214" s="41"/>
      <c r="C214" s="23"/>
      <c r="D214" s="31" t="str">
        <f aca="false">IF($C214="","",IFERROR(INDEX(Inventario!$D$5:$D$100,MATCH($C214,Inventario!$B$5:$B$100,0)),"No está en Inventario"))</f>
        <v/>
      </c>
      <c r="E214" s="31" t="str">
        <f aca="false">IF($C214="","",IFERROR(INDEX(Inventario!$E$5:$E$100,MATCH($C214,Inventario!$B$5:$B$100,0)),"No está en Inventario"))</f>
        <v/>
      </c>
      <c r="F214" s="26"/>
      <c r="G214" s="42" t="str">
        <f aca="false">IF($C214="","",IFERROR(INDEX(Inventario!$H$5:$H$100,MATCH($C214,Inventario!$B$5:$B$100,0)),"No está en Inventario"))</f>
        <v/>
      </c>
      <c r="H214" s="43"/>
      <c r="I214" s="44" t="str">
        <f aca="false">IF(OR($C214="",$F214=""),"",N($F214)*N($G214)*(1-N($H214)))</f>
        <v/>
      </c>
      <c r="J214" s="24"/>
      <c r="K214" s="23"/>
      <c r="L214" s="30" t="str">
        <f aca="false">IF($C214="","",IFERROR(IF(INDEX(Inventario!$L$5:$L$100,MATCH($C214,Inventario!$B$5:$B$100,0))&lt;0,"Stock negativo: revisa","OK"),"No está en Inventario"))</f>
        <v/>
      </c>
    </row>
    <row r="215" customFormat="false" ht="15" hidden="false" customHeight="false" outlineLevel="0" collapsed="false">
      <c r="A215" s="1"/>
      <c r="B215" s="37"/>
      <c r="C215" s="13"/>
      <c r="D215" s="21" t="str">
        <f aca="false">IF($C215="","",IFERROR(INDEX(Inventario!$D$5:$D$100,MATCH($C215,Inventario!$B$5:$B$100,0)),"No está en Inventario"))</f>
        <v/>
      </c>
      <c r="E215" s="21" t="str">
        <f aca="false">IF($C215="","",IFERROR(INDEX(Inventario!$E$5:$E$100,MATCH($C215,Inventario!$B$5:$B$100,0)),"No está en Inventario"))</f>
        <v/>
      </c>
      <c r="F215" s="16"/>
      <c r="G215" s="38" t="str">
        <f aca="false">IF($C215="","",IFERROR(INDEX(Inventario!$H$5:$H$100,MATCH($C215,Inventario!$B$5:$B$100,0)),"No está en Inventario"))</f>
        <v/>
      </c>
      <c r="H215" s="39"/>
      <c r="I215" s="40" t="str">
        <f aca="false">IF(OR($C215="",$F215=""),"",N($F215)*N($G215)*(1-N($H215)))</f>
        <v/>
      </c>
      <c r="J215" s="14"/>
      <c r="K215" s="13"/>
      <c r="L215" s="20" t="str">
        <f aca="false">IF($C215="","",IFERROR(IF(INDEX(Inventario!$L$5:$L$100,MATCH($C215,Inventario!$B$5:$B$100,0))&lt;0,"Stock negativo: revisa","OK"),"No está en Inventario"))</f>
        <v/>
      </c>
    </row>
    <row r="216" customFormat="false" ht="15" hidden="false" customHeight="false" outlineLevel="0" collapsed="false">
      <c r="A216" s="1"/>
      <c r="B216" s="41"/>
      <c r="C216" s="23"/>
      <c r="D216" s="31" t="str">
        <f aca="false">IF($C216="","",IFERROR(INDEX(Inventario!$D$5:$D$100,MATCH($C216,Inventario!$B$5:$B$100,0)),"No está en Inventario"))</f>
        <v/>
      </c>
      <c r="E216" s="31" t="str">
        <f aca="false">IF($C216="","",IFERROR(INDEX(Inventario!$E$5:$E$100,MATCH($C216,Inventario!$B$5:$B$100,0)),"No está en Inventario"))</f>
        <v/>
      </c>
      <c r="F216" s="26"/>
      <c r="G216" s="42" t="str">
        <f aca="false">IF($C216="","",IFERROR(INDEX(Inventario!$H$5:$H$100,MATCH($C216,Inventario!$B$5:$B$100,0)),"No está en Inventario"))</f>
        <v/>
      </c>
      <c r="H216" s="43"/>
      <c r="I216" s="44" t="str">
        <f aca="false">IF(OR($C216="",$F216=""),"",N($F216)*N($G216)*(1-N($H216)))</f>
        <v/>
      </c>
      <c r="J216" s="24"/>
      <c r="K216" s="23"/>
      <c r="L216" s="30" t="str">
        <f aca="false">IF($C216="","",IFERROR(IF(INDEX(Inventario!$L$5:$L$100,MATCH($C216,Inventario!$B$5:$B$100,0))&lt;0,"Stock negativo: revisa","OK"),"No está en Inventario"))</f>
        <v/>
      </c>
    </row>
    <row r="217" customFormat="false" ht="15" hidden="false" customHeight="false" outlineLevel="0" collapsed="false">
      <c r="A217" s="1"/>
      <c r="B217" s="37"/>
      <c r="C217" s="13"/>
      <c r="D217" s="21" t="str">
        <f aca="false">IF($C217="","",IFERROR(INDEX(Inventario!$D$5:$D$100,MATCH($C217,Inventario!$B$5:$B$100,0)),"No está en Inventario"))</f>
        <v/>
      </c>
      <c r="E217" s="21" t="str">
        <f aca="false">IF($C217="","",IFERROR(INDEX(Inventario!$E$5:$E$100,MATCH($C217,Inventario!$B$5:$B$100,0)),"No está en Inventario"))</f>
        <v/>
      </c>
      <c r="F217" s="16"/>
      <c r="G217" s="38" t="str">
        <f aca="false">IF($C217="","",IFERROR(INDEX(Inventario!$H$5:$H$100,MATCH($C217,Inventario!$B$5:$B$100,0)),"No está en Inventario"))</f>
        <v/>
      </c>
      <c r="H217" s="39"/>
      <c r="I217" s="40" t="str">
        <f aca="false">IF(OR($C217="",$F217=""),"",N($F217)*N($G217)*(1-N($H217)))</f>
        <v/>
      </c>
      <c r="J217" s="14"/>
      <c r="K217" s="13"/>
      <c r="L217" s="20" t="str">
        <f aca="false">IF($C217="","",IFERROR(IF(INDEX(Inventario!$L$5:$L$100,MATCH($C217,Inventario!$B$5:$B$100,0))&lt;0,"Stock negativo: revisa","OK"),"No está en Inventario"))</f>
        <v/>
      </c>
    </row>
    <row r="218" customFormat="false" ht="15" hidden="false" customHeight="false" outlineLevel="0" collapsed="false">
      <c r="A218" s="1"/>
      <c r="B218" s="41"/>
      <c r="C218" s="23"/>
      <c r="D218" s="31" t="str">
        <f aca="false">IF($C218="","",IFERROR(INDEX(Inventario!$D$5:$D$100,MATCH($C218,Inventario!$B$5:$B$100,0)),"No está en Inventario"))</f>
        <v/>
      </c>
      <c r="E218" s="31" t="str">
        <f aca="false">IF($C218="","",IFERROR(INDEX(Inventario!$E$5:$E$100,MATCH($C218,Inventario!$B$5:$B$100,0)),"No está en Inventario"))</f>
        <v/>
      </c>
      <c r="F218" s="26"/>
      <c r="G218" s="42" t="str">
        <f aca="false">IF($C218="","",IFERROR(INDEX(Inventario!$H$5:$H$100,MATCH($C218,Inventario!$B$5:$B$100,0)),"No está en Inventario"))</f>
        <v/>
      </c>
      <c r="H218" s="43"/>
      <c r="I218" s="44" t="str">
        <f aca="false">IF(OR($C218="",$F218=""),"",N($F218)*N($G218)*(1-N($H218)))</f>
        <v/>
      </c>
      <c r="J218" s="24"/>
      <c r="K218" s="23"/>
      <c r="L218" s="30" t="str">
        <f aca="false">IF($C218="","",IFERROR(IF(INDEX(Inventario!$L$5:$L$100,MATCH($C218,Inventario!$B$5:$B$100,0))&lt;0,"Stock negativo: revisa","OK"),"No está en Inventario"))</f>
        <v/>
      </c>
    </row>
    <row r="219" customFormat="false" ht="15" hidden="false" customHeight="false" outlineLevel="0" collapsed="false">
      <c r="A219" s="1"/>
      <c r="B219" s="37"/>
      <c r="C219" s="13"/>
      <c r="D219" s="21" t="str">
        <f aca="false">IF($C219="","",IFERROR(INDEX(Inventario!$D$5:$D$100,MATCH($C219,Inventario!$B$5:$B$100,0)),"No está en Inventario"))</f>
        <v/>
      </c>
      <c r="E219" s="21" t="str">
        <f aca="false">IF($C219="","",IFERROR(INDEX(Inventario!$E$5:$E$100,MATCH($C219,Inventario!$B$5:$B$100,0)),"No está en Inventario"))</f>
        <v/>
      </c>
      <c r="F219" s="16"/>
      <c r="G219" s="38" t="str">
        <f aca="false">IF($C219="","",IFERROR(INDEX(Inventario!$H$5:$H$100,MATCH($C219,Inventario!$B$5:$B$100,0)),"No está en Inventario"))</f>
        <v/>
      </c>
      <c r="H219" s="39"/>
      <c r="I219" s="40" t="str">
        <f aca="false">IF(OR($C219="",$F219=""),"",N($F219)*N($G219)*(1-N($H219)))</f>
        <v/>
      </c>
      <c r="J219" s="14"/>
      <c r="K219" s="13"/>
      <c r="L219" s="20" t="str">
        <f aca="false">IF($C219="","",IFERROR(IF(INDEX(Inventario!$L$5:$L$100,MATCH($C219,Inventario!$B$5:$B$100,0))&lt;0,"Stock negativo: revisa","OK"),"No está en Inventario"))</f>
        <v/>
      </c>
    </row>
    <row r="220" customFormat="false" ht="15" hidden="false" customHeight="false" outlineLevel="0" collapsed="false">
      <c r="A220" s="1"/>
      <c r="B220" s="41"/>
      <c r="C220" s="23"/>
      <c r="D220" s="31" t="str">
        <f aca="false">IF($C220="","",IFERROR(INDEX(Inventario!$D$5:$D$100,MATCH($C220,Inventario!$B$5:$B$100,0)),"No está en Inventario"))</f>
        <v/>
      </c>
      <c r="E220" s="31" t="str">
        <f aca="false">IF($C220="","",IFERROR(INDEX(Inventario!$E$5:$E$100,MATCH($C220,Inventario!$B$5:$B$100,0)),"No está en Inventario"))</f>
        <v/>
      </c>
      <c r="F220" s="26"/>
      <c r="G220" s="42" t="str">
        <f aca="false">IF($C220="","",IFERROR(INDEX(Inventario!$H$5:$H$100,MATCH($C220,Inventario!$B$5:$B$100,0)),"No está en Inventario"))</f>
        <v/>
      </c>
      <c r="H220" s="43"/>
      <c r="I220" s="44" t="str">
        <f aca="false">IF(OR($C220="",$F220=""),"",N($F220)*N($G220)*(1-N($H220)))</f>
        <v/>
      </c>
      <c r="J220" s="24"/>
      <c r="K220" s="23"/>
      <c r="L220" s="30" t="str">
        <f aca="false">IF($C220="","",IFERROR(IF(INDEX(Inventario!$L$5:$L$100,MATCH($C220,Inventario!$B$5:$B$100,0))&lt;0,"Stock negativo: revisa","OK"),"No está en Inventario"))</f>
        <v/>
      </c>
    </row>
    <row r="221" customFormat="false" ht="15" hidden="false" customHeight="false" outlineLevel="0" collapsed="false">
      <c r="A221" s="1"/>
      <c r="B221" s="37"/>
      <c r="C221" s="13"/>
      <c r="D221" s="21" t="str">
        <f aca="false">IF($C221="","",IFERROR(INDEX(Inventario!$D$5:$D$100,MATCH($C221,Inventario!$B$5:$B$100,0)),"No está en Inventario"))</f>
        <v/>
      </c>
      <c r="E221" s="21" t="str">
        <f aca="false">IF($C221="","",IFERROR(INDEX(Inventario!$E$5:$E$100,MATCH($C221,Inventario!$B$5:$B$100,0)),"No está en Inventario"))</f>
        <v/>
      </c>
      <c r="F221" s="16"/>
      <c r="G221" s="38" t="str">
        <f aca="false">IF($C221="","",IFERROR(INDEX(Inventario!$H$5:$H$100,MATCH($C221,Inventario!$B$5:$B$100,0)),"No está en Inventario"))</f>
        <v/>
      </c>
      <c r="H221" s="39"/>
      <c r="I221" s="40" t="str">
        <f aca="false">IF(OR($C221="",$F221=""),"",N($F221)*N($G221)*(1-N($H221)))</f>
        <v/>
      </c>
      <c r="J221" s="14"/>
      <c r="K221" s="13"/>
      <c r="L221" s="20" t="str">
        <f aca="false">IF($C221="","",IFERROR(IF(INDEX(Inventario!$L$5:$L$100,MATCH($C221,Inventario!$B$5:$B$100,0))&lt;0,"Stock negativo: revisa","OK"),"No está en Inventario"))</f>
        <v/>
      </c>
    </row>
    <row r="222" customFormat="false" ht="15" hidden="false" customHeight="false" outlineLevel="0" collapsed="false">
      <c r="A222" s="1"/>
      <c r="B222" s="41"/>
      <c r="C222" s="23"/>
      <c r="D222" s="31" t="str">
        <f aca="false">IF($C222="","",IFERROR(INDEX(Inventario!$D$5:$D$100,MATCH($C222,Inventario!$B$5:$B$100,0)),"No está en Inventario"))</f>
        <v/>
      </c>
      <c r="E222" s="31" t="str">
        <f aca="false">IF($C222="","",IFERROR(INDEX(Inventario!$E$5:$E$100,MATCH($C222,Inventario!$B$5:$B$100,0)),"No está en Inventario"))</f>
        <v/>
      </c>
      <c r="F222" s="26"/>
      <c r="G222" s="42" t="str">
        <f aca="false">IF($C222="","",IFERROR(INDEX(Inventario!$H$5:$H$100,MATCH($C222,Inventario!$B$5:$B$100,0)),"No está en Inventario"))</f>
        <v/>
      </c>
      <c r="H222" s="43"/>
      <c r="I222" s="44" t="str">
        <f aca="false">IF(OR($C222="",$F222=""),"",N($F222)*N($G222)*(1-N($H222)))</f>
        <v/>
      </c>
      <c r="J222" s="24"/>
      <c r="K222" s="23"/>
      <c r="L222" s="30" t="str">
        <f aca="false">IF($C222="","",IFERROR(IF(INDEX(Inventario!$L$5:$L$100,MATCH($C222,Inventario!$B$5:$B$100,0))&lt;0,"Stock negativo: revisa","OK"),"No está en Inventario"))</f>
        <v/>
      </c>
    </row>
    <row r="223" customFormat="false" ht="15" hidden="false" customHeight="false" outlineLevel="0" collapsed="false">
      <c r="A223" s="1"/>
      <c r="B223" s="37"/>
      <c r="C223" s="13"/>
      <c r="D223" s="21" t="str">
        <f aca="false">IF($C223="","",IFERROR(INDEX(Inventario!$D$5:$D$100,MATCH($C223,Inventario!$B$5:$B$100,0)),"No está en Inventario"))</f>
        <v/>
      </c>
      <c r="E223" s="21" t="str">
        <f aca="false">IF($C223="","",IFERROR(INDEX(Inventario!$E$5:$E$100,MATCH($C223,Inventario!$B$5:$B$100,0)),"No está en Inventario"))</f>
        <v/>
      </c>
      <c r="F223" s="16"/>
      <c r="G223" s="38" t="str">
        <f aca="false">IF($C223="","",IFERROR(INDEX(Inventario!$H$5:$H$100,MATCH($C223,Inventario!$B$5:$B$100,0)),"No está en Inventario"))</f>
        <v/>
      </c>
      <c r="H223" s="39"/>
      <c r="I223" s="40" t="str">
        <f aca="false">IF(OR($C223="",$F223=""),"",N($F223)*N($G223)*(1-N($H223)))</f>
        <v/>
      </c>
      <c r="J223" s="14"/>
      <c r="K223" s="13"/>
      <c r="L223" s="20" t="str">
        <f aca="false">IF($C223="","",IFERROR(IF(INDEX(Inventario!$L$5:$L$100,MATCH($C223,Inventario!$B$5:$B$100,0))&lt;0,"Stock negativo: revisa","OK"),"No está en Inventario"))</f>
        <v/>
      </c>
    </row>
    <row r="224" customFormat="false" ht="15" hidden="false" customHeight="false" outlineLevel="0" collapsed="false">
      <c r="A224" s="1"/>
      <c r="B224" s="41"/>
      <c r="C224" s="23"/>
      <c r="D224" s="31" t="str">
        <f aca="false">IF($C224="","",IFERROR(INDEX(Inventario!$D$5:$D$100,MATCH($C224,Inventario!$B$5:$B$100,0)),"No está en Inventario"))</f>
        <v/>
      </c>
      <c r="E224" s="31" t="str">
        <f aca="false">IF($C224="","",IFERROR(INDEX(Inventario!$E$5:$E$100,MATCH($C224,Inventario!$B$5:$B$100,0)),"No está en Inventario"))</f>
        <v/>
      </c>
      <c r="F224" s="26"/>
      <c r="G224" s="42" t="str">
        <f aca="false">IF($C224="","",IFERROR(INDEX(Inventario!$H$5:$H$100,MATCH($C224,Inventario!$B$5:$B$100,0)),"No está en Inventario"))</f>
        <v/>
      </c>
      <c r="H224" s="43"/>
      <c r="I224" s="44" t="str">
        <f aca="false">IF(OR($C224="",$F224=""),"",N($F224)*N($G224)*(1-N($H224)))</f>
        <v/>
      </c>
      <c r="J224" s="24"/>
      <c r="K224" s="23"/>
      <c r="L224" s="30" t="str">
        <f aca="false">IF($C224="","",IFERROR(IF(INDEX(Inventario!$L$5:$L$100,MATCH($C224,Inventario!$B$5:$B$100,0))&lt;0,"Stock negativo: revisa","OK"),"No está en Inventario"))</f>
        <v/>
      </c>
    </row>
    <row r="225" customFormat="false" ht="15" hidden="false" customHeight="false" outlineLevel="0" collapsed="false">
      <c r="A225" s="1"/>
      <c r="B225" s="37"/>
      <c r="C225" s="13"/>
      <c r="D225" s="21" t="str">
        <f aca="false">IF($C225="","",IFERROR(INDEX(Inventario!$D$5:$D$100,MATCH($C225,Inventario!$B$5:$B$100,0)),"No está en Inventario"))</f>
        <v/>
      </c>
      <c r="E225" s="21" t="str">
        <f aca="false">IF($C225="","",IFERROR(INDEX(Inventario!$E$5:$E$100,MATCH($C225,Inventario!$B$5:$B$100,0)),"No está en Inventario"))</f>
        <v/>
      </c>
      <c r="F225" s="16"/>
      <c r="G225" s="38" t="str">
        <f aca="false">IF($C225="","",IFERROR(INDEX(Inventario!$H$5:$H$100,MATCH($C225,Inventario!$B$5:$B$100,0)),"No está en Inventario"))</f>
        <v/>
      </c>
      <c r="H225" s="39"/>
      <c r="I225" s="40" t="str">
        <f aca="false">IF(OR($C225="",$F225=""),"",N($F225)*N($G225)*(1-N($H225)))</f>
        <v/>
      </c>
      <c r="J225" s="14"/>
      <c r="K225" s="13"/>
      <c r="L225" s="20" t="str">
        <f aca="false">IF($C225="","",IFERROR(IF(INDEX(Inventario!$L$5:$L$100,MATCH($C225,Inventario!$B$5:$B$100,0))&lt;0,"Stock negativo: revisa","OK"),"No está en Inventario"))</f>
        <v/>
      </c>
    </row>
    <row r="226" customFormat="false" ht="15" hidden="false" customHeight="false" outlineLevel="0" collapsed="false">
      <c r="A226" s="1"/>
      <c r="B226" s="41"/>
      <c r="C226" s="23"/>
      <c r="D226" s="31" t="str">
        <f aca="false">IF($C226="","",IFERROR(INDEX(Inventario!$D$5:$D$100,MATCH($C226,Inventario!$B$5:$B$100,0)),"No está en Inventario"))</f>
        <v/>
      </c>
      <c r="E226" s="31" t="str">
        <f aca="false">IF($C226="","",IFERROR(INDEX(Inventario!$E$5:$E$100,MATCH($C226,Inventario!$B$5:$B$100,0)),"No está en Inventario"))</f>
        <v/>
      </c>
      <c r="F226" s="26"/>
      <c r="G226" s="42" t="str">
        <f aca="false">IF($C226="","",IFERROR(INDEX(Inventario!$H$5:$H$100,MATCH($C226,Inventario!$B$5:$B$100,0)),"No está en Inventario"))</f>
        <v/>
      </c>
      <c r="H226" s="43"/>
      <c r="I226" s="44" t="str">
        <f aca="false">IF(OR($C226="",$F226=""),"",N($F226)*N($G226)*(1-N($H226)))</f>
        <v/>
      </c>
      <c r="J226" s="24"/>
      <c r="K226" s="23"/>
      <c r="L226" s="30" t="str">
        <f aca="false">IF($C226="","",IFERROR(IF(INDEX(Inventario!$L$5:$L$100,MATCH($C226,Inventario!$B$5:$B$100,0))&lt;0,"Stock negativo: revisa","OK"),"No está en Inventario"))</f>
        <v/>
      </c>
    </row>
    <row r="227" customFormat="false" ht="15" hidden="false" customHeight="false" outlineLevel="0" collapsed="false">
      <c r="A227" s="1"/>
      <c r="B227" s="37"/>
      <c r="C227" s="13"/>
      <c r="D227" s="21" t="str">
        <f aca="false">IF($C227="","",IFERROR(INDEX(Inventario!$D$5:$D$100,MATCH($C227,Inventario!$B$5:$B$100,0)),"No está en Inventario"))</f>
        <v/>
      </c>
      <c r="E227" s="21" t="str">
        <f aca="false">IF($C227="","",IFERROR(INDEX(Inventario!$E$5:$E$100,MATCH($C227,Inventario!$B$5:$B$100,0)),"No está en Inventario"))</f>
        <v/>
      </c>
      <c r="F227" s="16"/>
      <c r="G227" s="38" t="str">
        <f aca="false">IF($C227="","",IFERROR(INDEX(Inventario!$H$5:$H$100,MATCH($C227,Inventario!$B$5:$B$100,0)),"No está en Inventario"))</f>
        <v/>
      </c>
      <c r="H227" s="39"/>
      <c r="I227" s="40" t="str">
        <f aca="false">IF(OR($C227="",$F227=""),"",N($F227)*N($G227)*(1-N($H227)))</f>
        <v/>
      </c>
      <c r="J227" s="14"/>
      <c r="K227" s="13"/>
      <c r="L227" s="20" t="str">
        <f aca="false">IF($C227="","",IFERROR(IF(INDEX(Inventario!$L$5:$L$100,MATCH($C227,Inventario!$B$5:$B$100,0))&lt;0,"Stock negativo: revisa","OK"),"No está en Inventario"))</f>
        <v/>
      </c>
    </row>
    <row r="228" customFormat="false" ht="15" hidden="false" customHeight="false" outlineLevel="0" collapsed="false">
      <c r="A228" s="1"/>
      <c r="B228" s="41"/>
      <c r="C228" s="23"/>
      <c r="D228" s="31" t="str">
        <f aca="false">IF($C228="","",IFERROR(INDEX(Inventario!$D$5:$D$100,MATCH($C228,Inventario!$B$5:$B$100,0)),"No está en Inventario"))</f>
        <v/>
      </c>
      <c r="E228" s="31" t="str">
        <f aca="false">IF($C228="","",IFERROR(INDEX(Inventario!$E$5:$E$100,MATCH($C228,Inventario!$B$5:$B$100,0)),"No está en Inventario"))</f>
        <v/>
      </c>
      <c r="F228" s="26"/>
      <c r="G228" s="42" t="str">
        <f aca="false">IF($C228="","",IFERROR(INDEX(Inventario!$H$5:$H$100,MATCH($C228,Inventario!$B$5:$B$100,0)),"No está en Inventario"))</f>
        <v/>
      </c>
      <c r="H228" s="43"/>
      <c r="I228" s="44" t="str">
        <f aca="false">IF(OR($C228="",$F228=""),"",N($F228)*N($G228)*(1-N($H228)))</f>
        <v/>
      </c>
      <c r="J228" s="24"/>
      <c r="K228" s="23"/>
      <c r="L228" s="30" t="str">
        <f aca="false">IF($C228="","",IFERROR(IF(INDEX(Inventario!$L$5:$L$100,MATCH($C228,Inventario!$B$5:$B$100,0))&lt;0,"Stock negativo: revisa","OK"),"No está en Inventario"))</f>
        <v/>
      </c>
    </row>
    <row r="229" customFormat="false" ht="15" hidden="false" customHeight="false" outlineLevel="0" collapsed="false">
      <c r="A229" s="1"/>
      <c r="B229" s="37"/>
      <c r="C229" s="13"/>
      <c r="D229" s="21" t="str">
        <f aca="false">IF($C229="","",IFERROR(INDEX(Inventario!$D$5:$D$100,MATCH($C229,Inventario!$B$5:$B$100,0)),"No está en Inventario"))</f>
        <v/>
      </c>
      <c r="E229" s="21" t="str">
        <f aca="false">IF($C229="","",IFERROR(INDEX(Inventario!$E$5:$E$100,MATCH($C229,Inventario!$B$5:$B$100,0)),"No está en Inventario"))</f>
        <v/>
      </c>
      <c r="F229" s="16"/>
      <c r="G229" s="38" t="str">
        <f aca="false">IF($C229="","",IFERROR(INDEX(Inventario!$H$5:$H$100,MATCH($C229,Inventario!$B$5:$B$100,0)),"No está en Inventario"))</f>
        <v/>
      </c>
      <c r="H229" s="39"/>
      <c r="I229" s="40" t="str">
        <f aca="false">IF(OR($C229="",$F229=""),"",N($F229)*N($G229)*(1-N($H229)))</f>
        <v/>
      </c>
      <c r="J229" s="14"/>
      <c r="K229" s="13"/>
      <c r="L229" s="20" t="str">
        <f aca="false">IF($C229="","",IFERROR(IF(INDEX(Inventario!$L$5:$L$100,MATCH($C229,Inventario!$B$5:$B$100,0))&lt;0,"Stock negativo: revisa","OK"),"No está en Inventario"))</f>
        <v/>
      </c>
    </row>
    <row r="230" customFormat="false" ht="15" hidden="false" customHeight="false" outlineLevel="0" collapsed="false">
      <c r="A230" s="1"/>
      <c r="B230" s="41"/>
      <c r="C230" s="23"/>
      <c r="D230" s="31" t="str">
        <f aca="false">IF($C230="","",IFERROR(INDEX(Inventario!$D$5:$D$100,MATCH($C230,Inventario!$B$5:$B$100,0)),"No está en Inventario"))</f>
        <v/>
      </c>
      <c r="E230" s="31" t="str">
        <f aca="false">IF($C230="","",IFERROR(INDEX(Inventario!$E$5:$E$100,MATCH($C230,Inventario!$B$5:$B$100,0)),"No está en Inventario"))</f>
        <v/>
      </c>
      <c r="F230" s="26"/>
      <c r="G230" s="42" t="str">
        <f aca="false">IF($C230="","",IFERROR(INDEX(Inventario!$H$5:$H$100,MATCH($C230,Inventario!$B$5:$B$100,0)),"No está en Inventario"))</f>
        <v/>
      </c>
      <c r="H230" s="43"/>
      <c r="I230" s="44" t="str">
        <f aca="false">IF(OR($C230="",$F230=""),"",N($F230)*N($G230)*(1-N($H230)))</f>
        <v/>
      </c>
      <c r="J230" s="24"/>
      <c r="K230" s="23"/>
      <c r="L230" s="30" t="str">
        <f aca="false">IF($C230="","",IFERROR(IF(INDEX(Inventario!$L$5:$L$100,MATCH($C230,Inventario!$B$5:$B$100,0))&lt;0,"Stock negativo: revisa","OK"),"No está en Inventario"))</f>
        <v/>
      </c>
    </row>
    <row r="231" customFormat="false" ht="15" hidden="false" customHeight="false" outlineLevel="0" collapsed="false">
      <c r="A231" s="1"/>
      <c r="B231" s="37"/>
      <c r="C231" s="13"/>
      <c r="D231" s="21" t="str">
        <f aca="false">IF($C231="","",IFERROR(INDEX(Inventario!$D$5:$D$100,MATCH($C231,Inventario!$B$5:$B$100,0)),"No está en Inventario"))</f>
        <v/>
      </c>
      <c r="E231" s="21" t="str">
        <f aca="false">IF($C231="","",IFERROR(INDEX(Inventario!$E$5:$E$100,MATCH($C231,Inventario!$B$5:$B$100,0)),"No está en Inventario"))</f>
        <v/>
      </c>
      <c r="F231" s="16"/>
      <c r="G231" s="38" t="str">
        <f aca="false">IF($C231="","",IFERROR(INDEX(Inventario!$H$5:$H$100,MATCH($C231,Inventario!$B$5:$B$100,0)),"No está en Inventario"))</f>
        <v/>
      </c>
      <c r="H231" s="39"/>
      <c r="I231" s="40" t="str">
        <f aca="false">IF(OR($C231="",$F231=""),"",N($F231)*N($G231)*(1-N($H231)))</f>
        <v/>
      </c>
      <c r="J231" s="14"/>
      <c r="K231" s="13"/>
      <c r="L231" s="20" t="str">
        <f aca="false">IF($C231="","",IFERROR(IF(INDEX(Inventario!$L$5:$L$100,MATCH($C231,Inventario!$B$5:$B$100,0))&lt;0,"Stock negativo: revisa","OK"),"No está en Inventario"))</f>
        <v/>
      </c>
    </row>
    <row r="232" customFormat="false" ht="15" hidden="false" customHeight="false" outlineLevel="0" collapsed="false">
      <c r="A232" s="1"/>
      <c r="B232" s="41"/>
      <c r="C232" s="23"/>
      <c r="D232" s="31" t="str">
        <f aca="false">IF($C232="","",IFERROR(INDEX(Inventario!$D$5:$D$100,MATCH($C232,Inventario!$B$5:$B$100,0)),"No está en Inventario"))</f>
        <v/>
      </c>
      <c r="E232" s="31" t="str">
        <f aca="false">IF($C232="","",IFERROR(INDEX(Inventario!$E$5:$E$100,MATCH($C232,Inventario!$B$5:$B$100,0)),"No está en Inventario"))</f>
        <v/>
      </c>
      <c r="F232" s="26"/>
      <c r="G232" s="42" t="str">
        <f aca="false">IF($C232="","",IFERROR(INDEX(Inventario!$H$5:$H$100,MATCH($C232,Inventario!$B$5:$B$100,0)),"No está en Inventario"))</f>
        <v/>
      </c>
      <c r="H232" s="43"/>
      <c r="I232" s="44" t="str">
        <f aca="false">IF(OR($C232="",$F232=""),"",N($F232)*N($G232)*(1-N($H232)))</f>
        <v/>
      </c>
      <c r="J232" s="24"/>
      <c r="K232" s="23"/>
      <c r="L232" s="30" t="str">
        <f aca="false">IF($C232="","",IFERROR(IF(INDEX(Inventario!$L$5:$L$100,MATCH($C232,Inventario!$B$5:$B$100,0))&lt;0,"Stock negativo: revisa","OK"),"No está en Inventario"))</f>
        <v/>
      </c>
    </row>
    <row r="233" customFormat="false" ht="15" hidden="false" customHeight="false" outlineLevel="0" collapsed="false">
      <c r="A233" s="1"/>
      <c r="B233" s="37"/>
      <c r="C233" s="13"/>
      <c r="D233" s="21" t="str">
        <f aca="false">IF($C233="","",IFERROR(INDEX(Inventario!$D$5:$D$100,MATCH($C233,Inventario!$B$5:$B$100,0)),"No está en Inventario"))</f>
        <v/>
      </c>
      <c r="E233" s="21" t="str">
        <f aca="false">IF($C233="","",IFERROR(INDEX(Inventario!$E$5:$E$100,MATCH($C233,Inventario!$B$5:$B$100,0)),"No está en Inventario"))</f>
        <v/>
      </c>
      <c r="F233" s="16"/>
      <c r="G233" s="38" t="str">
        <f aca="false">IF($C233="","",IFERROR(INDEX(Inventario!$H$5:$H$100,MATCH($C233,Inventario!$B$5:$B$100,0)),"No está en Inventario"))</f>
        <v/>
      </c>
      <c r="H233" s="39"/>
      <c r="I233" s="40" t="str">
        <f aca="false">IF(OR($C233="",$F233=""),"",N($F233)*N($G233)*(1-N($H233)))</f>
        <v/>
      </c>
      <c r="J233" s="14"/>
      <c r="K233" s="13"/>
      <c r="L233" s="20" t="str">
        <f aca="false">IF($C233="","",IFERROR(IF(INDEX(Inventario!$L$5:$L$100,MATCH($C233,Inventario!$B$5:$B$100,0))&lt;0,"Stock negativo: revisa","OK"),"No está en Inventario"))</f>
        <v/>
      </c>
    </row>
    <row r="234" customFormat="false" ht="15" hidden="false" customHeight="false" outlineLevel="0" collapsed="false">
      <c r="A234" s="1"/>
      <c r="B234" s="41"/>
      <c r="C234" s="23"/>
      <c r="D234" s="31" t="str">
        <f aca="false">IF($C234="","",IFERROR(INDEX(Inventario!$D$5:$D$100,MATCH($C234,Inventario!$B$5:$B$100,0)),"No está en Inventario"))</f>
        <v/>
      </c>
      <c r="E234" s="31" t="str">
        <f aca="false">IF($C234="","",IFERROR(INDEX(Inventario!$E$5:$E$100,MATCH($C234,Inventario!$B$5:$B$100,0)),"No está en Inventario"))</f>
        <v/>
      </c>
      <c r="F234" s="26"/>
      <c r="G234" s="42" t="str">
        <f aca="false">IF($C234="","",IFERROR(INDEX(Inventario!$H$5:$H$100,MATCH($C234,Inventario!$B$5:$B$100,0)),"No está en Inventario"))</f>
        <v/>
      </c>
      <c r="H234" s="43"/>
      <c r="I234" s="44" t="str">
        <f aca="false">IF(OR($C234="",$F234=""),"",N($F234)*N($G234)*(1-N($H234)))</f>
        <v/>
      </c>
      <c r="J234" s="24"/>
      <c r="K234" s="23"/>
      <c r="L234" s="30" t="str">
        <f aca="false">IF($C234="","",IFERROR(IF(INDEX(Inventario!$L$5:$L$100,MATCH($C234,Inventario!$B$5:$B$100,0))&lt;0,"Stock negativo: revisa","OK"),"No está en Inventario"))</f>
        <v/>
      </c>
    </row>
    <row r="235" customFormat="false" ht="15" hidden="false" customHeight="false" outlineLevel="0" collapsed="false">
      <c r="A235" s="1"/>
      <c r="B235" s="37"/>
      <c r="C235" s="13"/>
      <c r="D235" s="21" t="str">
        <f aca="false">IF($C235="","",IFERROR(INDEX(Inventario!$D$5:$D$100,MATCH($C235,Inventario!$B$5:$B$100,0)),"No está en Inventario"))</f>
        <v/>
      </c>
      <c r="E235" s="21" t="str">
        <f aca="false">IF($C235="","",IFERROR(INDEX(Inventario!$E$5:$E$100,MATCH($C235,Inventario!$B$5:$B$100,0)),"No está en Inventario"))</f>
        <v/>
      </c>
      <c r="F235" s="16"/>
      <c r="G235" s="38" t="str">
        <f aca="false">IF($C235="","",IFERROR(INDEX(Inventario!$H$5:$H$100,MATCH($C235,Inventario!$B$5:$B$100,0)),"No está en Inventario"))</f>
        <v/>
      </c>
      <c r="H235" s="39"/>
      <c r="I235" s="40" t="str">
        <f aca="false">IF(OR($C235="",$F235=""),"",N($F235)*N($G235)*(1-N($H235)))</f>
        <v/>
      </c>
      <c r="J235" s="14"/>
      <c r="K235" s="13"/>
      <c r="L235" s="20" t="str">
        <f aca="false">IF($C235="","",IFERROR(IF(INDEX(Inventario!$L$5:$L$100,MATCH($C235,Inventario!$B$5:$B$100,0))&lt;0,"Stock negativo: revisa","OK"),"No está en Inventario"))</f>
        <v/>
      </c>
    </row>
    <row r="236" customFormat="false" ht="15" hidden="false" customHeight="false" outlineLevel="0" collapsed="false">
      <c r="A236" s="1"/>
      <c r="B236" s="41"/>
      <c r="C236" s="23"/>
      <c r="D236" s="31" t="str">
        <f aca="false">IF($C236="","",IFERROR(INDEX(Inventario!$D$5:$D$100,MATCH($C236,Inventario!$B$5:$B$100,0)),"No está en Inventario"))</f>
        <v/>
      </c>
      <c r="E236" s="31" t="str">
        <f aca="false">IF($C236="","",IFERROR(INDEX(Inventario!$E$5:$E$100,MATCH($C236,Inventario!$B$5:$B$100,0)),"No está en Inventario"))</f>
        <v/>
      </c>
      <c r="F236" s="26"/>
      <c r="G236" s="42" t="str">
        <f aca="false">IF($C236="","",IFERROR(INDEX(Inventario!$H$5:$H$100,MATCH($C236,Inventario!$B$5:$B$100,0)),"No está en Inventario"))</f>
        <v/>
      </c>
      <c r="H236" s="43"/>
      <c r="I236" s="44" t="str">
        <f aca="false">IF(OR($C236="",$F236=""),"",N($F236)*N($G236)*(1-N($H236)))</f>
        <v/>
      </c>
      <c r="J236" s="24"/>
      <c r="K236" s="23"/>
      <c r="L236" s="30" t="str">
        <f aca="false">IF($C236="","",IFERROR(IF(INDEX(Inventario!$L$5:$L$100,MATCH($C236,Inventario!$B$5:$B$100,0))&lt;0,"Stock negativo: revisa","OK"),"No está en Inventario"))</f>
        <v/>
      </c>
    </row>
    <row r="237" customFormat="false" ht="15" hidden="false" customHeight="false" outlineLevel="0" collapsed="false">
      <c r="A237" s="1"/>
      <c r="B237" s="37"/>
      <c r="C237" s="13"/>
      <c r="D237" s="21" t="str">
        <f aca="false">IF($C237="","",IFERROR(INDEX(Inventario!$D$5:$D$100,MATCH($C237,Inventario!$B$5:$B$100,0)),"No está en Inventario"))</f>
        <v/>
      </c>
      <c r="E237" s="21" t="str">
        <f aca="false">IF($C237="","",IFERROR(INDEX(Inventario!$E$5:$E$100,MATCH($C237,Inventario!$B$5:$B$100,0)),"No está en Inventario"))</f>
        <v/>
      </c>
      <c r="F237" s="16"/>
      <c r="G237" s="38" t="str">
        <f aca="false">IF($C237="","",IFERROR(INDEX(Inventario!$H$5:$H$100,MATCH($C237,Inventario!$B$5:$B$100,0)),"No está en Inventario"))</f>
        <v/>
      </c>
      <c r="H237" s="39"/>
      <c r="I237" s="40" t="str">
        <f aca="false">IF(OR($C237="",$F237=""),"",N($F237)*N($G237)*(1-N($H237)))</f>
        <v/>
      </c>
      <c r="J237" s="14"/>
      <c r="K237" s="13"/>
      <c r="L237" s="20" t="str">
        <f aca="false">IF($C237="","",IFERROR(IF(INDEX(Inventario!$L$5:$L$100,MATCH($C237,Inventario!$B$5:$B$100,0))&lt;0,"Stock negativo: revisa","OK"),"No está en Inventario"))</f>
        <v/>
      </c>
    </row>
    <row r="238" customFormat="false" ht="15" hidden="false" customHeight="false" outlineLevel="0" collapsed="false">
      <c r="A238" s="1"/>
      <c r="B238" s="41"/>
      <c r="C238" s="23"/>
      <c r="D238" s="31" t="str">
        <f aca="false">IF($C238="","",IFERROR(INDEX(Inventario!$D$5:$D$100,MATCH($C238,Inventario!$B$5:$B$100,0)),"No está en Inventario"))</f>
        <v/>
      </c>
      <c r="E238" s="31" t="str">
        <f aca="false">IF($C238="","",IFERROR(INDEX(Inventario!$E$5:$E$100,MATCH($C238,Inventario!$B$5:$B$100,0)),"No está en Inventario"))</f>
        <v/>
      </c>
      <c r="F238" s="26"/>
      <c r="G238" s="42" t="str">
        <f aca="false">IF($C238="","",IFERROR(INDEX(Inventario!$H$5:$H$100,MATCH($C238,Inventario!$B$5:$B$100,0)),"No está en Inventario"))</f>
        <v/>
      </c>
      <c r="H238" s="43"/>
      <c r="I238" s="44" t="str">
        <f aca="false">IF(OR($C238="",$F238=""),"",N($F238)*N($G238)*(1-N($H238)))</f>
        <v/>
      </c>
      <c r="J238" s="24"/>
      <c r="K238" s="23"/>
      <c r="L238" s="30" t="str">
        <f aca="false">IF($C238="","",IFERROR(IF(INDEX(Inventario!$L$5:$L$100,MATCH($C238,Inventario!$B$5:$B$100,0))&lt;0,"Stock negativo: revisa","OK"),"No está en Inventario"))</f>
        <v/>
      </c>
    </row>
    <row r="239" customFormat="false" ht="15" hidden="false" customHeight="false" outlineLevel="0" collapsed="false">
      <c r="A239" s="1"/>
      <c r="B239" s="37"/>
      <c r="C239" s="13"/>
      <c r="D239" s="21" t="str">
        <f aca="false">IF($C239="","",IFERROR(INDEX(Inventario!$D$5:$D$100,MATCH($C239,Inventario!$B$5:$B$100,0)),"No está en Inventario"))</f>
        <v/>
      </c>
      <c r="E239" s="21" t="str">
        <f aca="false">IF($C239="","",IFERROR(INDEX(Inventario!$E$5:$E$100,MATCH($C239,Inventario!$B$5:$B$100,0)),"No está en Inventario"))</f>
        <v/>
      </c>
      <c r="F239" s="16"/>
      <c r="G239" s="38" t="str">
        <f aca="false">IF($C239="","",IFERROR(INDEX(Inventario!$H$5:$H$100,MATCH($C239,Inventario!$B$5:$B$100,0)),"No está en Inventario"))</f>
        <v/>
      </c>
      <c r="H239" s="39"/>
      <c r="I239" s="40" t="str">
        <f aca="false">IF(OR($C239="",$F239=""),"",N($F239)*N($G239)*(1-N($H239)))</f>
        <v/>
      </c>
      <c r="J239" s="14"/>
      <c r="K239" s="13"/>
      <c r="L239" s="20" t="str">
        <f aca="false">IF($C239="","",IFERROR(IF(INDEX(Inventario!$L$5:$L$100,MATCH($C239,Inventario!$B$5:$B$100,0))&lt;0,"Stock negativo: revisa","OK"),"No está en Inventario"))</f>
        <v/>
      </c>
    </row>
    <row r="240" customFormat="false" ht="15" hidden="false" customHeight="false" outlineLevel="0" collapsed="false">
      <c r="A240" s="1"/>
      <c r="B240" s="41"/>
      <c r="C240" s="23"/>
      <c r="D240" s="31" t="str">
        <f aca="false">IF($C240="","",IFERROR(INDEX(Inventario!$D$5:$D$100,MATCH($C240,Inventario!$B$5:$B$100,0)),"No está en Inventario"))</f>
        <v/>
      </c>
      <c r="E240" s="31" t="str">
        <f aca="false">IF($C240="","",IFERROR(INDEX(Inventario!$E$5:$E$100,MATCH($C240,Inventario!$B$5:$B$100,0)),"No está en Inventario"))</f>
        <v/>
      </c>
      <c r="F240" s="26"/>
      <c r="G240" s="42" t="str">
        <f aca="false">IF($C240="","",IFERROR(INDEX(Inventario!$H$5:$H$100,MATCH($C240,Inventario!$B$5:$B$100,0)),"No está en Inventario"))</f>
        <v/>
      </c>
      <c r="H240" s="43"/>
      <c r="I240" s="44" t="str">
        <f aca="false">IF(OR($C240="",$F240=""),"",N($F240)*N($G240)*(1-N($H240)))</f>
        <v/>
      </c>
      <c r="J240" s="24"/>
      <c r="K240" s="23"/>
      <c r="L240" s="30" t="str">
        <f aca="false">IF($C240="","",IFERROR(IF(INDEX(Inventario!$L$5:$L$100,MATCH($C240,Inventario!$B$5:$B$100,0))&lt;0,"Stock negativo: revisa","OK"),"No está en Inventario"))</f>
        <v/>
      </c>
    </row>
    <row r="241" customFormat="false" ht="15" hidden="false" customHeight="false" outlineLevel="0" collapsed="false">
      <c r="A241" s="1"/>
      <c r="B241" s="37"/>
      <c r="C241" s="13"/>
      <c r="D241" s="21" t="str">
        <f aca="false">IF($C241="","",IFERROR(INDEX(Inventario!$D$5:$D$100,MATCH($C241,Inventario!$B$5:$B$100,0)),"No está en Inventario"))</f>
        <v/>
      </c>
      <c r="E241" s="21" t="str">
        <f aca="false">IF($C241="","",IFERROR(INDEX(Inventario!$E$5:$E$100,MATCH($C241,Inventario!$B$5:$B$100,0)),"No está en Inventario"))</f>
        <v/>
      </c>
      <c r="F241" s="16"/>
      <c r="G241" s="38" t="str">
        <f aca="false">IF($C241="","",IFERROR(INDEX(Inventario!$H$5:$H$100,MATCH($C241,Inventario!$B$5:$B$100,0)),"No está en Inventario"))</f>
        <v/>
      </c>
      <c r="H241" s="39"/>
      <c r="I241" s="40" t="str">
        <f aca="false">IF(OR($C241="",$F241=""),"",N($F241)*N($G241)*(1-N($H241)))</f>
        <v/>
      </c>
      <c r="J241" s="14"/>
      <c r="K241" s="13"/>
      <c r="L241" s="20" t="str">
        <f aca="false">IF($C241="","",IFERROR(IF(INDEX(Inventario!$L$5:$L$100,MATCH($C241,Inventario!$B$5:$B$100,0))&lt;0,"Stock negativo: revisa","OK"),"No está en Inventario"))</f>
        <v/>
      </c>
    </row>
    <row r="242" customFormat="false" ht="15" hidden="false" customHeight="false" outlineLevel="0" collapsed="false">
      <c r="A242" s="1"/>
      <c r="B242" s="41"/>
      <c r="C242" s="23"/>
      <c r="D242" s="31" t="str">
        <f aca="false">IF($C242="","",IFERROR(INDEX(Inventario!$D$5:$D$100,MATCH($C242,Inventario!$B$5:$B$100,0)),"No está en Inventario"))</f>
        <v/>
      </c>
      <c r="E242" s="31" t="str">
        <f aca="false">IF($C242="","",IFERROR(INDEX(Inventario!$E$5:$E$100,MATCH($C242,Inventario!$B$5:$B$100,0)),"No está en Inventario"))</f>
        <v/>
      </c>
      <c r="F242" s="26"/>
      <c r="G242" s="42" t="str">
        <f aca="false">IF($C242="","",IFERROR(INDEX(Inventario!$H$5:$H$100,MATCH($C242,Inventario!$B$5:$B$100,0)),"No está en Inventario"))</f>
        <v/>
      </c>
      <c r="H242" s="43"/>
      <c r="I242" s="44" t="str">
        <f aca="false">IF(OR($C242="",$F242=""),"",N($F242)*N($G242)*(1-N($H242)))</f>
        <v/>
      </c>
      <c r="J242" s="24"/>
      <c r="K242" s="23"/>
      <c r="L242" s="30" t="str">
        <f aca="false">IF($C242="","",IFERROR(IF(INDEX(Inventario!$L$5:$L$100,MATCH($C242,Inventario!$B$5:$B$100,0))&lt;0,"Stock negativo: revisa","OK"),"No está en Inventario"))</f>
        <v/>
      </c>
    </row>
    <row r="243" customFormat="false" ht="15" hidden="false" customHeight="false" outlineLevel="0" collapsed="false">
      <c r="A243" s="1"/>
      <c r="B243" s="37"/>
      <c r="C243" s="13"/>
      <c r="D243" s="21" t="str">
        <f aca="false">IF($C243="","",IFERROR(INDEX(Inventario!$D$5:$D$100,MATCH($C243,Inventario!$B$5:$B$100,0)),"No está en Inventario"))</f>
        <v/>
      </c>
      <c r="E243" s="21" t="str">
        <f aca="false">IF($C243="","",IFERROR(INDEX(Inventario!$E$5:$E$100,MATCH($C243,Inventario!$B$5:$B$100,0)),"No está en Inventario"))</f>
        <v/>
      </c>
      <c r="F243" s="16"/>
      <c r="G243" s="38" t="str">
        <f aca="false">IF($C243="","",IFERROR(INDEX(Inventario!$H$5:$H$100,MATCH($C243,Inventario!$B$5:$B$100,0)),"No está en Inventario"))</f>
        <v/>
      </c>
      <c r="H243" s="39"/>
      <c r="I243" s="40" t="str">
        <f aca="false">IF(OR($C243="",$F243=""),"",N($F243)*N($G243)*(1-N($H243)))</f>
        <v/>
      </c>
      <c r="J243" s="14"/>
      <c r="K243" s="13"/>
      <c r="L243" s="20" t="str">
        <f aca="false">IF($C243="","",IFERROR(IF(INDEX(Inventario!$L$5:$L$100,MATCH($C243,Inventario!$B$5:$B$100,0))&lt;0,"Stock negativo: revisa","OK"),"No está en Inventario"))</f>
        <v/>
      </c>
    </row>
    <row r="244" customFormat="false" ht="15" hidden="false" customHeight="false" outlineLevel="0" collapsed="false">
      <c r="A244" s="1"/>
      <c r="B244" s="41"/>
      <c r="C244" s="23"/>
      <c r="D244" s="31" t="str">
        <f aca="false">IF($C244="","",IFERROR(INDEX(Inventario!$D$5:$D$100,MATCH($C244,Inventario!$B$5:$B$100,0)),"No está en Inventario"))</f>
        <v/>
      </c>
      <c r="E244" s="31" t="str">
        <f aca="false">IF($C244="","",IFERROR(INDEX(Inventario!$E$5:$E$100,MATCH($C244,Inventario!$B$5:$B$100,0)),"No está en Inventario"))</f>
        <v/>
      </c>
      <c r="F244" s="26"/>
      <c r="G244" s="42" t="str">
        <f aca="false">IF($C244="","",IFERROR(INDEX(Inventario!$H$5:$H$100,MATCH($C244,Inventario!$B$5:$B$100,0)),"No está en Inventario"))</f>
        <v/>
      </c>
      <c r="H244" s="43"/>
      <c r="I244" s="44" t="str">
        <f aca="false">IF(OR($C244="",$F244=""),"",N($F244)*N($G244)*(1-N($H244)))</f>
        <v/>
      </c>
      <c r="J244" s="24"/>
      <c r="K244" s="23"/>
      <c r="L244" s="30" t="str">
        <f aca="false">IF($C244="","",IFERROR(IF(INDEX(Inventario!$L$5:$L$100,MATCH($C244,Inventario!$B$5:$B$100,0))&lt;0,"Stock negativo: revisa","OK"),"No está en Inventario"))</f>
        <v/>
      </c>
    </row>
    <row r="245" customFormat="false" ht="15" hidden="false" customHeight="false" outlineLevel="0" collapsed="false">
      <c r="A245" s="1"/>
      <c r="B245" s="37"/>
      <c r="C245" s="13"/>
      <c r="D245" s="21" t="str">
        <f aca="false">IF($C245="","",IFERROR(INDEX(Inventario!$D$5:$D$100,MATCH($C245,Inventario!$B$5:$B$100,0)),"No está en Inventario"))</f>
        <v/>
      </c>
      <c r="E245" s="21" t="str">
        <f aca="false">IF($C245="","",IFERROR(INDEX(Inventario!$E$5:$E$100,MATCH($C245,Inventario!$B$5:$B$100,0)),"No está en Inventario"))</f>
        <v/>
      </c>
      <c r="F245" s="16"/>
      <c r="G245" s="38" t="str">
        <f aca="false">IF($C245="","",IFERROR(INDEX(Inventario!$H$5:$H$100,MATCH($C245,Inventario!$B$5:$B$100,0)),"No está en Inventario"))</f>
        <v/>
      </c>
      <c r="H245" s="39"/>
      <c r="I245" s="40" t="str">
        <f aca="false">IF(OR($C245="",$F245=""),"",N($F245)*N($G245)*(1-N($H245)))</f>
        <v/>
      </c>
      <c r="J245" s="14"/>
      <c r="K245" s="13"/>
      <c r="L245" s="20" t="str">
        <f aca="false">IF($C245="","",IFERROR(IF(INDEX(Inventario!$L$5:$L$100,MATCH($C245,Inventario!$B$5:$B$100,0))&lt;0,"Stock negativo: revisa","OK"),"No está en Inventario"))</f>
        <v/>
      </c>
    </row>
    <row r="246" customFormat="false" ht="15" hidden="false" customHeight="false" outlineLevel="0" collapsed="false">
      <c r="A246" s="1"/>
      <c r="B246" s="41"/>
      <c r="C246" s="23"/>
      <c r="D246" s="31" t="str">
        <f aca="false">IF($C246="","",IFERROR(INDEX(Inventario!$D$5:$D$100,MATCH($C246,Inventario!$B$5:$B$100,0)),"No está en Inventario"))</f>
        <v/>
      </c>
      <c r="E246" s="31" t="str">
        <f aca="false">IF($C246="","",IFERROR(INDEX(Inventario!$E$5:$E$100,MATCH($C246,Inventario!$B$5:$B$100,0)),"No está en Inventario"))</f>
        <v/>
      </c>
      <c r="F246" s="26"/>
      <c r="G246" s="42" t="str">
        <f aca="false">IF($C246="","",IFERROR(INDEX(Inventario!$H$5:$H$100,MATCH($C246,Inventario!$B$5:$B$100,0)),"No está en Inventario"))</f>
        <v/>
      </c>
      <c r="H246" s="43"/>
      <c r="I246" s="44" t="str">
        <f aca="false">IF(OR($C246="",$F246=""),"",N($F246)*N($G246)*(1-N($H246)))</f>
        <v/>
      </c>
      <c r="J246" s="24"/>
      <c r="K246" s="23"/>
      <c r="L246" s="30" t="str">
        <f aca="false">IF($C246="","",IFERROR(IF(INDEX(Inventario!$L$5:$L$100,MATCH($C246,Inventario!$B$5:$B$100,0))&lt;0,"Stock negativo: revisa","OK"),"No está en Inventario"))</f>
        <v/>
      </c>
    </row>
    <row r="247" customFormat="false" ht="15" hidden="false" customHeight="false" outlineLevel="0" collapsed="false">
      <c r="A247" s="1"/>
      <c r="B247" s="37"/>
      <c r="C247" s="13"/>
      <c r="D247" s="21" t="str">
        <f aca="false">IF($C247="","",IFERROR(INDEX(Inventario!$D$5:$D$100,MATCH($C247,Inventario!$B$5:$B$100,0)),"No está en Inventario"))</f>
        <v/>
      </c>
      <c r="E247" s="21" t="str">
        <f aca="false">IF($C247="","",IFERROR(INDEX(Inventario!$E$5:$E$100,MATCH($C247,Inventario!$B$5:$B$100,0)),"No está en Inventario"))</f>
        <v/>
      </c>
      <c r="F247" s="16"/>
      <c r="G247" s="38" t="str">
        <f aca="false">IF($C247="","",IFERROR(INDEX(Inventario!$H$5:$H$100,MATCH($C247,Inventario!$B$5:$B$100,0)),"No está en Inventario"))</f>
        <v/>
      </c>
      <c r="H247" s="39"/>
      <c r="I247" s="40" t="str">
        <f aca="false">IF(OR($C247="",$F247=""),"",N($F247)*N($G247)*(1-N($H247)))</f>
        <v/>
      </c>
      <c r="J247" s="14"/>
      <c r="K247" s="13"/>
      <c r="L247" s="20" t="str">
        <f aca="false">IF($C247="","",IFERROR(IF(INDEX(Inventario!$L$5:$L$100,MATCH($C247,Inventario!$B$5:$B$100,0))&lt;0,"Stock negativo: revisa","OK"),"No está en Inventario"))</f>
        <v/>
      </c>
    </row>
    <row r="248" customFormat="false" ht="15" hidden="false" customHeight="false" outlineLevel="0" collapsed="false">
      <c r="A248" s="1"/>
      <c r="B248" s="41"/>
      <c r="C248" s="23"/>
      <c r="D248" s="31" t="str">
        <f aca="false">IF($C248="","",IFERROR(INDEX(Inventario!$D$5:$D$100,MATCH($C248,Inventario!$B$5:$B$100,0)),"No está en Inventario"))</f>
        <v/>
      </c>
      <c r="E248" s="31" t="str">
        <f aca="false">IF($C248="","",IFERROR(INDEX(Inventario!$E$5:$E$100,MATCH($C248,Inventario!$B$5:$B$100,0)),"No está en Inventario"))</f>
        <v/>
      </c>
      <c r="F248" s="26"/>
      <c r="G248" s="42" t="str">
        <f aca="false">IF($C248="","",IFERROR(INDEX(Inventario!$H$5:$H$100,MATCH($C248,Inventario!$B$5:$B$100,0)),"No está en Inventario"))</f>
        <v/>
      </c>
      <c r="H248" s="43"/>
      <c r="I248" s="44" t="str">
        <f aca="false">IF(OR($C248="",$F248=""),"",N($F248)*N($G248)*(1-N($H248)))</f>
        <v/>
      </c>
      <c r="J248" s="24"/>
      <c r="K248" s="23"/>
      <c r="L248" s="30" t="str">
        <f aca="false">IF($C248="","",IFERROR(IF(INDEX(Inventario!$L$5:$L$100,MATCH($C248,Inventario!$B$5:$B$100,0))&lt;0,"Stock negativo: revisa","OK"),"No está en Inventario"))</f>
        <v/>
      </c>
    </row>
    <row r="249" customFormat="false" ht="15" hidden="false" customHeight="false" outlineLevel="0" collapsed="false">
      <c r="A249" s="1"/>
      <c r="B249" s="37"/>
      <c r="C249" s="13"/>
      <c r="D249" s="21" t="str">
        <f aca="false">IF($C249="","",IFERROR(INDEX(Inventario!$D$5:$D$100,MATCH($C249,Inventario!$B$5:$B$100,0)),"No está en Inventario"))</f>
        <v/>
      </c>
      <c r="E249" s="21" t="str">
        <f aca="false">IF($C249="","",IFERROR(INDEX(Inventario!$E$5:$E$100,MATCH($C249,Inventario!$B$5:$B$100,0)),"No está en Inventario"))</f>
        <v/>
      </c>
      <c r="F249" s="16"/>
      <c r="G249" s="38" t="str">
        <f aca="false">IF($C249="","",IFERROR(INDEX(Inventario!$H$5:$H$100,MATCH($C249,Inventario!$B$5:$B$100,0)),"No está en Inventario"))</f>
        <v/>
      </c>
      <c r="H249" s="39"/>
      <c r="I249" s="40" t="str">
        <f aca="false">IF(OR($C249="",$F249=""),"",N($F249)*N($G249)*(1-N($H249)))</f>
        <v/>
      </c>
      <c r="J249" s="14"/>
      <c r="K249" s="13"/>
      <c r="L249" s="20" t="str">
        <f aca="false">IF($C249="","",IFERROR(IF(INDEX(Inventario!$L$5:$L$100,MATCH($C249,Inventario!$B$5:$B$100,0))&lt;0,"Stock negativo: revisa","OK"),"No está en Inventario"))</f>
        <v/>
      </c>
    </row>
    <row r="250" customFormat="false" ht="15" hidden="false" customHeight="false" outlineLevel="0" collapsed="false">
      <c r="A250" s="1"/>
      <c r="B250" s="41"/>
      <c r="C250" s="23"/>
      <c r="D250" s="31" t="str">
        <f aca="false">IF($C250="","",IFERROR(INDEX(Inventario!$D$5:$D$100,MATCH($C250,Inventario!$B$5:$B$100,0)),"No está en Inventario"))</f>
        <v/>
      </c>
      <c r="E250" s="31" t="str">
        <f aca="false">IF($C250="","",IFERROR(INDEX(Inventario!$E$5:$E$100,MATCH($C250,Inventario!$B$5:$B$100,0)),"No está en Inventario"))</f>
        <v/>
      </c>
      <c r="F250" s="26"/>
      <c r="G250" s="42" t="str">
        <f aca="false">IF($C250="","",IFERROR(INDEX(Inventario!$H$5:$H$100,MATCH($C250,Inventario!$B$5:$B$100,0)),"No está en Inventario"))</f>
        <v/>
      </c>
      <c r="H250" s="43"/>
      <c r="I250" s="44" t="str">
        <f aca="false">IF(OR($C250="",$F250=""),"",N($F250)*N($G250)*(1-N($H250)))</f>
        <v/>
      </c>
      <c r="J250" s="24"/>
      <c r="K250" s="23"/>
      <c r="L250" s="30" t="str">
        <f aca="false">IF($C250="","",IFERROR(IF(INDEX(Inventario!$L$5:$L$100,MATCH($C250,Inventario!$B$5:$B$100,0))&lt;0,"Stock negativo: revisa","OK"),"No está en Inventario"))</f>
        <v/>
      </c>
    </row>
    <row r="251" customFormat="false" ht="15" hidden="false" customHeight="false" outlineLevel="0" collapsed="false">
      <c r="A251" s="1"/>
      <c r="B251" s="37"/>
      <c r="C251" s="13"/>
      <c r="D251" s="21" t="str">
        <f aca="false">IF($C251="","",IFERROR(INDEX(Inventario!$D$5:$D$100,MATCH($C251,Inventario!$B$5:$B$100,0)),"No está en Inventario"))</f>
        <v/>
      </c>
      <c r="E251" s="21" t="str">
        <f aca="false">IF($C251="","",IFERROR(INDEX(Inventario!$E$5:$E$100,MATCH($C251,Inventario!$B$5:$B$100,0)),"No está en Inventario"))</f>
        <v/>
      </c>
      <c r="F251" s="16"/>
      <c r="G251" s="38" t="str">
        <f aca="false">IF($C251="","",IFERROR(INDEX(Inventario!$H$5:$H$100,MATCH($C251,Inventario!$B$5:$B$100,0)),"No está en Inventario"))</f>
        <v/>
      </c>
      <c r="H251" s="39"/>
      <c r="I251" s="40" t="str">
        <f aca="false">IF(OR($C251="",$F251=""),"",N($F251)*N($G251)*(1-N($H251)))</f>
        <v/>
      </c>
      <c r="J251" s="14"/>
      <c r="K251" s="13"/>
      <c r="L251" s="20" t="str">
        <f aca="false">IF($C251="","",IFERROR(IF(INDEX(Inventario!$L$5:$L$100,MATCH($C251,Inventario!$B$5:$B$100,0))&lt;0,"Stock negativo: revisa","OK"),"No está en Inventario"))</f>
        <v/>
      </c>
    </row>
    <row r="252" customFormat="false" ht="15" hidden="false" customHeight="false" outlineLevel="0" collapsed="false">
      <c r="A252" s="1"/>
      <c r="B252" s="41"/>
      <c r="C252" s="23"/>
      <c r="D252" s="31" t="str">
        <f aca="false">IF($C252="","",IFERROR(INDEX(Inventario!$D$5:$D$100,MATCH($C252,Inventario!$B$5:$B$100,0)),"No está en Inventario"))</f>
        <v/>
      </c>
      <c r="E252" s="31" t="str">
        <f aca="false">IF($C252="","",IFERROR(INDEX(Inventario!$E$5:$E$100,MATCH($C252,Inventario!$B$5:$B$100,0)),"No está en Inventario"))</f>
        <v/>
      </c>
      <c r="F252" s="26"/>
      <c r="G252" s="42" t="str">
        <f aca="false">IF($C252="","",IFERROR(INDEX(Inventario!$H$5:$H$100,MATCH($C252,Inventario!$B$5:$B$100,0)),"No está en Inventario"))</f>
        <v/>
      </c>
      <c r="H252" s="43"/>
      <c r="I252" s="44" t="str">
        <f aca="false">IF(OR($C252="",$F252=""),"",N($F252)*N($G252)*(1-N($H252)))</f>
        <v/>
      </c>
      <c r="J252" s="24"/>
      <c r="K252" s="23"/>
      <c r="L252" s="30" t="str">
        <f aca="false">IF($C252="","",IFERROR(IF(INDEX(Inventario!$L$5:$L$100,MATCH($C252,Inventario!$B$5:$B$100,0))&lt;0,"Stock negativo: revisa","OK"),"No está en Inventario"))</f>
        <v/>
      </c>
    </row>
    <row r="253" customFormat="false" ht="15" hidden="false" customHeight="false" outlineLevel="0" collapsed="false">
      <c r="A253" s="1"/>
      <c r="B253" s="37"/>
      <c r="C253" s="13"/>
      <c r="D253" s="21" t="str">
        <f aca="false">IF($C253="","",IFERROR(INDEX(Inventario!$D$5:$D$100,MATCH($C253,Inventario!$B$5:$B$100,0)),"No está en Inventario"))</f>
        <v/>
      </c>
      <c r="E253" s="21" t="str">
        <f aca="false">IF($C253="","",IFERROR(INDEX(Inventario!$E$5:$E$100,MATCH($C253,Inventario!$B$5:$B$100,0)),"No está en Inventario"))</f>
        <v/>
      </c>
      <c r="F253" s="16"/>
      <c r="G253" s="38" t="str">
        <f aca="false">IF($C253="","",IFERROR(INDEX(Inventario!$H$5:$H$100,MATCH($C253,Inventario!$B$5:$B$100,0)),"No está en Inventario"))</f>
        <v/>
      </c>
      <c r="H253" s="39"/>
      <c r="I253" s="40" t="str">
        <f aca="false">IF(OR($C253="",$F253=""),"",N($F253)*N($G253)*(1-N($H253)))</f>
        <v/>
      </c>
      <c r="J253" s="14"/>
      <c r="K253" s="13"/>
      <c r="L253" s="20" t="str">
        <f aca="false">IF($C253="","",IFERROR(IF(INDEX(Inventario!$L$5:$L$100,MATCH($C253,Inventario!$B$5:$B$100,0))&lt;0,"Stock negativo: revisa","OK"),"No está en Inventario"))</f>
        <v/>
      </c>
    </row>
    <row r="254" customFormat="false" ht="15" hidden="false" customHeight="false" outlineLevel="0" collapsed="false">
      <c r="A254" s="1"/>
      <c r="B254" s="41"/>
      <c r="C254" s="23"/>
      <c r="D254" s="31" t="str">
        <f aca="false">IF($C254="","",IFERROR(INDEX(Inventario!$D$5:$D$100,MATCH($C254,Inventario!$B$5:$B$100,0)),"No está en Inventario"))</f>
        <v/>
      </c>
      <c r="E254" s="31" t="str">
        <f aca="false">IF($C254="","",IFERROR(INDEX(Inventario!$E$5:$E$100,MATCH($C254,Inventario!$B$5:$B$100,0)),"No está en Inventario"))</f>
        <v/>
      </c>
      <c r="F254" s="26"/>
      <c r="G254" s="42" t="str">
        <f aca="false">IF($C254="","",IFERROR(INDEX(Inventario!$H$5:$H$100,MATCH($C254,Inventario!$B$5:$B$100,0)),"No está en Inventario"))</f>
        <v/>
      </c>
      <c r="H254" s="43"/>
      <c r="I254" s="44" t="str">
        <f aca="false">IF(OR($C254="",$F254=""),"",N($F254)*N($G254)*(1-N($H254)))</f>
        <v/>
      </c>
      <c r="J254" s="24"/>
      <c r="K254" s="23"/>
      <c r="L254" s="30" t="str">
        <f aca="false">IF($C254="","",IFERROR(IF(INDEX(Inventario!$L$5:$L$100,MATCH($C254,Inventario!$B$5:$B$100,0))&lt;0,"Stock negativo: revisa","OK"),"No está en Inventario"))</f>
        <v/>
      </c>
    </row>
    <row r="255" customFormat="false" ht="15" hidden="false" customHeight="false" outlineLevel="0" collapsed="false">
      <c r="A255" s="1"/>
      <c r="B255" s="37"/>
      <c r="C255" s="13"/>
      <c r="D255" s="21" t="str">
        <f aca="false">IF($C255="","",IFERROR(INDEX(Inventario!$D$5:$D$100,MATCH($C255,Inventario!$B$5:$B$100,0)),"No está en Inventario"))</f>
        <v/>
      </c>
      <c r="E255" s="21" t="str">
        <f aca="false">IF($C255="","",IFERROR(INDEX(Inventario!$E$5:$E$100,MATCH($C255,Inventario!$B$5:$B$100,0)),"No está en Inventario"))</f>
        <v/>
      </c>
      <c r="F255" s="16"/>
      <c r="G255" s="38" t="str">
        <f aca="false">IF($C255="","",IFERROR(INDEX(Inventario!$H$5:$H$100,MATCH($C255,Inventario!$B$5:$B$100,0)),"No está en Inventario"))</f>
        <v/>
      </c>
      <c r="H255" s="39"/>
      <c r="I255" s="40" t="str">
        <f aca="false">IF(OR($C255="",$F255=""),"",N($F255)*N($G255)*(1-N($H255)))</f>
        <v/>
      </c>
      <c r="J255" s="14"/>
      <c r="K255" s="13"/>
      <c r="L255" s="20" t="str">
        <f aca="false">IF($C255="","",IFERROR(IF(INDEX(Inventario!$L$5:$L$100,MATCH($C255,Inventario!$B$5:$B$100,0))&lt;0,"Stock negativo: revisa","OK"),"No está en Inventario"))</f>
        <v/>
      </c>
    </row>
    <row r="256" customFormat="false" ht="15" hidden="false" customHeight="false" outlineLevel="0" collapsed="false">
      <c r="A256" s="1"/>
      <c r="B256" s="41"/>
      <c r="C256" s="23"/>
      <c r="D256" s="31" t="str">
        <f aca="false">IF($C256="","",IFERROR(INDEX(Inventario!$D$5:$D$100,MATCH($C256,Inventario!$B$5:$B$100,0)),"No está en Inventario"))</f>
        <v/>
      </c>
      <c r="E256" s="31" t="str">
        <f aca="false">IF($C256="","",IFERROR(INDEX(Inventario!$E$5:$E$100,MATCH($C256,Inventario!$B$5:$B$100,0)),"No está en Inventario"))</f>
        <v/>
      </c>
      <c r="F256" s="26"/>
      <c r="G256" s="42" t="str">
        <f aca="false">IF($C256="","",IFERROR(INDEX(Inventario!$H$5:$H$100,MATCH($C256,Inventario!$B$5:$B$100,0)),"No está en Inventario"))</f>
        <v/>
      </c>
      <c r="H256" s="43"/>
      <c r="I256" s="44" t="str">
        <f aca="false">IF(OR($C256="",$F256=""),"",N($F256)*N($G256)*(1-N($H256)))</f>
        <v/>
      </c>
      <c r="J256" s="24"/>
      <c r="K256" s="23"/>
      <c r="L256" s="30" t="str">
        <f aca="false">IF($C256="","",IFERROR(IF(INDEX(Inventario!$L$5:$L$100,MATCH($C256,Inventario!$B$5:$B$100,0))&lt;0,"Stock negativo: revisa","OK"),"No está en Inventario"))</f>
        <v/>
      </c>
    </row>
    <row r="257" customFormat="false" ht="15" hidden="false" customHeight="false" outlineLevel="0" collapsed="false">
      <c r="A257" s="1"/>
      <c r="B257" s="37"/>
      <c r="C257" s="13"/>
      <c r="D257" s="21" t="str">
        <f aca="false">IF($C257="","",IFERROR(INDEX(Inventario!$D$5:$D$100,MATCH($C257,Inventario!$B$5:$B$100,0)),"No está en Inventario"))</f>
        <v/>
      </c>
      <c r="E257" s="21" t="str">
        <f aca="false">IF($C257="","",IFERROR(INDEX(Inventario!$E$5:$E$100,MATCH($C257,Inventario!$B$5:$B$100,0)),"No está en Inventario"))</f>
        <v/>
      </c>
      <c r="F257" s="16"/>
      <c r="G257" s="38" t="str">
        <f aca="false">IF($C257="","",IFERROR(INDEX(Inventario!$H$5:$H$100,MATCH($C257,Inventario!$B$5:$B$100,0)),"No está en Inventario"))</f>
        <v/>
      </c>
      <c r="H257" s="39"/>
      <c r="I257" s="40" t="str">
        <f aca="false">IF(OR($C257="",$F257=""),"",N($F257)*N($G257)*(1-N($H257)))</f>
        <v/>
      </c>
      <c r="J257" s="14"/>
      <c r="K257" s="13"/>
      <c r="L257" s="20" t="str">
        <f aca="false">IF($C257="","",IFERROR(IF(INDEX(Inventario!$L$5:$L$100,MATCH($C257,Inventario!$B$5:$B$100,0))&lt;0,"Stock negativo: revisa","OK"),"No está en Inventario"))</f>
        <v/>
      </c>
    </row>
    <row r="258" customFormat="false" ht="15" hidden="false" customHeight="false" outlineLevel="0" collapsed="false">
      <c r="A258" s="1"/>
      <c r="B258" s="41"/>
      <c r="C258" s="23"/>
      <c r="D258" s="31" t="str">
        <f aca="false">IF($C258="","",IFERROR(INDEX(Inventario!$D$5:$D$100,MATCH($C258,Inventario!$B$5:$B$100,0)),"No está en Inventario"))</f>
        <v/>
      </c>
      <c r="E258" s="31" t="str">
        <f aca="false">IF($C258="","",IFERROR(INDEX(Inventario!$E$5:$E$100,MATCH($C258,Inventario!$B$5:$B$100,0)),"No está en Inventario"))</f>
        <v/>
      </c>
      <c r="F258" s="26"/>
      <c r="G258" s="42" t="str">
        <f aca="false">IF($C258="","",IFERROR(INDEX(Inventario!$H$5:$H$100,MATCH($C258,Inventario!$B$5:$B$100,0)),"No está en Inventario"))</f>
        <v/>
      </c>
      <c r="H258" s="43"/>
      <c r="I258" s="44" t="str">
        <f aca="false">IF(OR($C258="",$F258=""),"",N($F258)*N($G258)*(1-N($H258)))</f>
        <v/>
      </c>
      <c r="J258" s="24"/>
      <c r="K258" s="23"/>
      <c r="L258" s="30" t="str">
        <f aca="false">IF($C258="","",IFERROR(IF(INDEX(Inventario!$L$5:$L$100,MATCH($C258,Inventario!$B$5:$B$100,0))&lt;0,"Stock negativo: revisa","OK"),"No está en Inventario"))</f>
        <v/>
      </c>
    </row>
    <row r="259" customFormat="false" ht="15" hidden="false" customHeight="false" outlineLevel="0" collapsed="false">
      <c r="A259" s="1"/>
      <c r="B259" s="37"/>
      <c r="C259" s="13"/>
      <c r="D259" s="21" t="str">
        <f aca="false">IF($C259="","",IFERROR(INDEX(Inventario!$D$5:$D$100,MATCH($C259,Inventario!$B$5:$B$100,0)),"No está en Inventario"))</f>
        <v/>
      </c>
      <c r="E259" s="21" t="str">
        <f aca="false">IF($C259="","",IFERROR(INDEX(Inventario!$E$5:$E$100,MATCH($C259,Inventario!$B$5:$B$100,0)),"No está en Inventario"))</f>
        <v/>
      </c>
      <c r="F259" s="16"/>
      <c r="G259" s="38" t="str">
        <f aca="false">IF($C259="","",IFERROR(INDEX(Inventario!$H$5:$H$100,MATCH($C259,Inventario!$B$5:$B$100,0)),"No está en Inventario"))</f>
        <v/>
      </c>
      <c r="H259" s="39"/>
      <c r="I259" s="40" t="str">
        <f aca="false">IF(OR($C259="",$F259=""),"",N($F259)*N($G259)*(1-N($H259)))</f>
        <v/>
      </c>
      <c r="J259" s="14"/>
      <c r="K259" s="13"/>
      <c r="L259" s="20" t="str">
        <f aca="false">IF($C259="","",IFERROR(IF(INDEX(Inventario!$L$5:$L$100,MATCH($C259,Inventario!$B$5:$B$100,0))&lt;0,"Stock negativo: revisa","OK"),"No está en Inventario"))</f>
        <v/>
      </c>
    </row>
    <row r="260" customFormat="false" ht="15" hidden="false" customHeight="false" outlineLevel="0" collapsed="false">
      <c r="A260" s="1"/>
      <c r="B260" s="41"/>
      <c r="C260" s="23"/>
      <c r="D260" s="31" t="str">
        <f aca="false">IF($C260="","",IFERROR(INDEX(Inventario!$D$5:$D$100,MATCH($C260,Inventario!$B$5:$B$100,0)),"No está en Inventario"))</f>
        <v/>
      </c>
      <c r="E260" s="31" t="str">
        <f aca="false">IF($C260="","",IFERROR(INDEX(Inventario!$E$5:$E$100,MATCH($C260,Inventario!$B$5:$B$100,0)),"No está en Inventario"))</f>
        <v/>
      </c>
      <c r="F260" s="26"/>
      <c r="G260" s="42" t="str">
        <f aca="false">IF($C260="","",IFERROR(INDEX(Inventario!$H$5:$H$100,MATCH($C260,Inventario!$B$5:$B$100,0)),"No está en Inventario"))</f>
        <v/>
      </c>
      <c r="H260" s="43"/>
      <c r="I260" s="44" t="str">
        <f aca="false">IF(OR($C260="",$F260=""),"",N($F260)*N($G260)*(1-N($H260)))</f>
        <v/>
      </c>
      <c r="J260" s="24"/>
      <c r="K260" s="23"/>
      <c r="L260" s="30" t="str">
        <f aca="false">IF($C260="","",IFERROR(IF(INDEX(Inventario!$L$5:$L$100,MATCH($C260,Inventario!$B$5:$B$100,0))&lt;0,"Stock negativo: revisa","OK"),"No está en Inventario"))</f>
        <v/>
      </c>
    </row>
    <row r="261" customFormat="false" ht="15" hidden="false" customHeight="false" outlineLevel="0" collapsed="false">
      <c r="A261" s="1"/>
      <c r="B261" s="37"/>
      <c r="C261" s="13"/>
      <c r="D261" s="21" t="str">
        <f aca="false">IF($C261="","",IFERROR(INDEX(Inventario!$D$5:$D$100,MATCH($C261,Inventario!$B$5:$B$100,0)),"No está en Inventario"))</f>
        <v/>
      </c>
      <c r="E261" s="21" t="str">
        <f aca="false">IF($C261="","",IFERROR(INDEX(Inventario!$E$5:$E$100,MATCH($C261,Inventario!$B$5:$B$100,0)),"No está en Inventario"))</f>
        <v/>
      </c>
      <c r="F261" s="16"/>
      <c r="G261" s="38" t="str">
        <f aca="false">IF($C261="","",IFERROR(INDEX(Inventario!$H$5:$H$100,MATCH($C261,Inventario!$B$5:$B$100,0)),"No está en Inventario"))</f>
        <v/>
      </c>
      <c r="H261" s="39"/>
      <c r="I261" s="40" t="str">
        <f aca="false">IF(OR($C261="",$F261=""),"",N($F261)*N($G261)*(1-N($H261)))</f>
        <v/>
      </c>
      <c r="J261" s="14"/>
      <c r="K261" s="13"/>
      <c r="L261" s="20" t="str">
        <f aca="false">IF($C261="","",IFERROR(IF(INDEX(Inventario!$L$5:$L$100,MATCH($C261,Inventario!$B$5:$B$100,0))&lt;0,"Stock negativo: revisa","OK"),"No está en Inventario"))</f>
        <v/>
      </c>
    </row>
    <row r="262" customFormat="false" ht="15" hidden="false" customHeight="false" outlineLevel="0" collapsed="false">
      <c r="A262" s="1"/>
      <c r="B262" s="41"/>
      <c r="C262" s="23"/>
      <c r="D262" s="31" t="str">
        <f aca="false">IF($C262="","",IFERROR(INDEX(Inventario!$D$5:$D$100,MATCH($C262,Inventario!$B$5:$B$100,0)),"No está en Inventario"))</f>
        <v/>
      </c>
      <c r="E262" s="31" t="str">
        <f aca="false">IF($C262="","",IFERROR(INDEX(Inventario!$E$5:$E$100,MATCH($C262,Inventario!$B$5:$B$100,0)),"No está en Inventario"))</f>
        <v/>
      </c>
      <c r="F262" s="26"/>
      <c r="G262" s="42" t="str">
        <f aca="false">IF($C262="","",IFERROR(INDEX(Inventario!$H$5:$H$100,MATCH($C262,Inventario!$B$5:$B$100,0)),"No está en Inventario"))</f>
        <v/>
      </c>
      <c r="H262" s="43"/>
      <c r="I262" s="44" t="str">
        <f aca="false">IF(OR($C262="",$F262=""),"",N($F262)*N($G262)*(1-N($H262)))</f>
        <v/>
      </c>
      <c r="J262" s="24"/>
      <c r="K262" s="23"/>
      <c r="L262" s="30" t="str">
        <f aca="false">IF($C262="","",IFERROR(IF(INDEX(Inventario!$L$5:$L$100,MATCH($C262,Inventario!$B$5:$B$100,0))&lt;0,"Stock negativo: revisa","OK"),"No está en Inventario"))</f>
        <v/>
      </c>
    </row>
    <row r="263" customFormat="false" ht="15" hidden="false" customHeight="false" outlineLevel="0" collapsed="false">
      <c r="A263" s="1"/>
      <c r="B263" s="37"/>
      <c r="C263" s="13"/>
      <c r="D263" s="21" t="str">
        <f aca="false">IF($C263="","",IFERROR(INDEX(Inventario!$D$5:$D$100,MATCH($C263,Inventario!$B$5:$B$100,0)),"No está en Inventario"))</f>
        <v/>
      </c>
      <c r="E263" s="21" t="str">
        <f aca="false">IF($C263="","",IFERROR(INDEX(Inventario!$E$5:$E$100,MATCH($C263,Inventario!$B$5:$B$100,0)),"No está en Inventario"))</f>
        <v/>
      </c>
      <c r="F263" s="16"/>
      <c r="G263" s="38" t="str">
        <f aca="false">IF($C263="","",IFERROR(INDEX(Inventario!$H$5:$H$100,MATCH($C263,Inventario!$B$5:$B$100,0)),"No está en Inventario"))</f>
        <v/>
      </c>
      <c r="H263" s="39"/>
      <c r="I263" s="40" t="str">
        <f aca="false">IF(OR($C263="",$F263=""),"",N($F263)*N($G263)*(1-N($H263)))</f>
        <v/>
      </c>
      <c r="J263" s="14"/>
      <c r="K263" s="13"/>
      <c r="L263" s="20" t="str">
        <f aca="false">IF($C263="","",IFERROR(IF(INDEX(Inventario!$L$5:$L$100,MATCH($C263,Inventario!$B$5:$B$100,0))&lt;0,"Stock negativo: revisa","OK"),"No está en Inventario"))</f>
        <v/>
      </c>
    </row>
    <row r="264" customFormat="false" ht="15" hidden="false" customHeight="false" outlineLevel="0" collapsed="false">
      <c r="A264" s="1"/>
      <c r="B264" s="41"/>
      <c r="C264" s="23"/>
      <c r="D264" s="31" t="str">
        <f aca="false">IF($C264="","",IFERROR(INDEX(Inventario!$D$5:$D$100,MATCH($C264,Inventario!$B$5:$B$100,0)),"No está en Inventario"))</f>
        <v/>
      </c>
      <c r="E264" s="31" t="str">
        <f aca="false">IF($C264="","",IFERROR(INDEX(Inventario!$E$5:$E$100,MATCH($C264,Inventario!$B$5:$B$100,0)),"No está en Inventario"))</f>
        <v/>
      </c>
      <c r="F264" s="26"/>
      <c r="G264" s="42" t="str">
        <f aca="false">IF($C264="","",IFERROR(INDEX(Inventario!$H$5:$H$100,MATCH($C264,Inventario!$B$5:$B$100,0)),"No está en Inventario"))</f>
        <v/>
      </c>
      <c r="H264" s="43"/>
      <c r="I264" s="44" t="str">
        <f aca="false">IF(OR($C264="",$F264=""),"",N($F264)*N($G264)*(1-N($H264)))</f>
        <v/>
      </c>
      <c r="J264" s="24"/>
      <c r="K264" s="23"/>
      <c r="L264" s="30" t="str">
        <f aca="false">IF($C264="","",IFERROR(IF(INDEX(Inventario!$L$5:$L$100,MATCH($C264,Inventario!$B$5:$B$100,0))&lt;0,"Stock negativo: revisa","OK"),"No está en Inventario"))</f>
        <v/>
      </c>
    </row>
    <row r="265" customFormat="false" ht="15" hidden="false" customHeight="false" outlineLevel="0" collapsed="false">
      <c r="A265" s="1"/>
      <c r="B265" s="37"/>
      <c r="C265" s="13"/>
      <c r="D265" s="21" t="str">
        <f aca="false">IF($C265="","",IFERROR(INDEX(Inventario!$D$5:$D$100,MATCH($C265,Inventario!$B$5:$B$100,0)),"No está en Inventario"))</f>
        <v/>
      </c>
      <c r="E265" s="21" t="str">
        <f aca="false">IF($C265="","",IFERROR(INDEX(Inventario!$E$5:$E$100,MATCH($C265,Inventario!$B$5:$B$100,0)),"No está en Inventario"))</f>
        <v/>
      </c>
      <c r="F265" s="16"/>
      <c r="G265" s="38" t="str">
        <f aca="false">IF($C265="","",IFERROR(INDEX(Inventario!$H$5:$H$100,MATCH($C265,Inventario!$B$5:$B$100,0)),"No está en Inventario"))</f>
        <v/>
      </c>
      <c r="H265" s="39"/>
      <c r="I265" s="40" t="str">
        <f aca="false">IF(OR($C265="",$F265=""),"",N($F265)*N($G265)*(1-N($H265)))</f>
        <v/>
      </c>
      <c r="J265" s="14"/>
      <c r="K265" s="13"/>
      <c r="L265" s="20" t="str">
        <f aca="false">IF($C265="","",IFERROR(IF(INDEX(Inventario!$L$5:$L$100,MATCH($C265,Inventario!$B$5:$B$100,0))&lt;0,"Stock negativo: revisa","OK"),"No está en Inventario"))</f>
        <v/>
      </c>
    </row>
    <row r="266" customFormat="false" ht="15" hidden="false" customHeight="false" outlineLevel="0" collapsed="false">
      <c r="A266" s="1"/>
      <c r="B266" s="41"/>
      <c r="C266" s="23"/>
      <c r="D266" s="31" t="str">
        <f aca="false">IF($C266="","",IFERROR(INDEX(Inventario!$D$5:$D$100,MATCH($C266,Inventario!$B$5:$B$100,0)),"No está en Inventario"))</f>
        <v/>
      </c>
      <c r="E266" s="31" t="str">
        <f aca="false">IF($C266="","",IFERROR(INDEX(Inventario!$E$5:$E$100,MATCH($C266,Inventario!$B$5:$B$100,0)),"No está en Inventario"))</f>
        <v/>
      </c>
      <c r="F266" s="26"/>
      <c r="G266" s="42" t="str">
        <f aca="false">IF($C266="","",IFERROR(INDEX(Inventario!$H$5:$H$100,MATCH($C266,Inventario!$B$5:$B$100,0)),"No está en Inventario"))</f>
        <v/>
      </c>
      <c r="H266" s="43"/>
      <c r="I266" s="44" t="str">
        <f aca="false">IF(OR($C266="",$F266=""),"",N($F266)*N($G266)*(1-N($H266)))</f>
        <v/>
      </c>
      <c r="J266" s="24"/>
      <c r="K266" s="23"/>
      <c r="L266" s="30" t="str">
        <f aca="false">IF($C266="","",IFERROR(IF(INDEX(Inventario!$L$5:$L$100,MATCH($C266,Inventario!$B$5:$B$100,0))&lt;0,"Stock negativo: revisa","OK"),"No está en Inventario"))</f>
        <v/>
      </c>
    </row>
    <row r="267" customFormat="false" ht="15" hidden="false" customHeight="false" outlineLevel="0" collapsed="false">
      <c r="A267" s="1"/>
      <c r="B267" s="37"/>
      <c r="C267" s="13"/>
      <c r="D267" s="21" t="str">
        <f aca="false">IF($C267="","",IFERROR(INDEX(Inventario!$D$5:$D$100,MATCH($C267,Inventario!$B$5:$B$100,0)),"No está en Inventario"))</f>
        <v/>
      </c>
      <c r="E267" s="21" t="str">
        <f aca="false">IF($C267="","",IFERROR(INDEX(Inventario!$E$5:$E$100,MATCH($C267,Inventario!$B$5:$B$100,0)),"No está en Inventario"))</f>
        <v/>
      </c>
      <c r="F267" s="16"/>
      <c r="G267" s="38" t="str">
        <f aca="false">IF($C267="","",IFERROR(INDEX(Inventario!$H$5:$H$100,MATCH($C267,Inventario!$B$5:$B$100,0)),"No está en Inventario"))</f>
        <v/>
      </c>
      <c r="H267" s="39"/>
      <c r="I267" s="40" t="str">
        <f aca="false">IF(OR($C267="",$F267=""),"",N($F267)*N($G267)*(1-N($H267)))</f>
        <v/>
      </c>
      <c r="J267" s="14"/>
      <c r="K267" s="13"/>
      <c r="L267" s="20" t="str">
        <f aca="false">IF($C267="","",IFERROR(IF(INDEX(Inventario!$L$5:$L$100,MATCH($C267,Inventario!$B$5:$B$100,0))&lt;0,"Stock negativo: revisa","OK"),"No está en Inventario"))</f>
        <v/>
      </c>
    </row>
    <row r="268" customFormat="false" ht="15" hidden="false" customHeight="false" outlineLevel="0" collapsed="false">
      <c r="A268" s="1"/>
      <c r="B268" s="41"/>
      <c r="C268" s="23"/>
      <c r="D268" s="31" t="str">
        <f aca="false">IF($C268="","",IFERROR(INDEX(Inventario!$D$5:$D$100,MATCH($C268,Inventario!$B$5:$B$100,0)),"No está en Inventario"))</f>
        <v/>
      </c>
      <c r="E268" s="31" t="str">
        <f aca="false">IF($C268="","",IFERROR(INDEX(Inventario!$E$5:$E$100,MATCH($C268,Inventario!$B$5:$B$100,0)),"No está en Inventario"))</f>
        <v/>
      </c>
      <c r="F268" s="26"/>
      <c r="G268" s="42" t="str">
        <f aca="false">IF($C268="","",IFERROR(INDEX(Inventario!$H$5:$H$100,MATCH($C268,Inventario!$B$5:$B$100,0)),"No está en Inventario"))</f>
        <v/>
      </c>
      <c r="H268" s="43"/>
      <c r="I268" s="44" t="str">
        <f aca="false">IF(OR($C268="",$F268=""),"",N($F268)*N($G268)*(1-N($H268)))</f>
        <v/>
      </c>
      <c r="J268" s="24"/>
      <c r="K268" s="23"/>
      <c r="L268" s="30" t="str">
        <f aca="false">IF($C268="","",IFERROR(IF(INDEX(Inventario!$L$5:$L$100,MATCH($C268,Inventario!$B$5:$B$100,0))&lt;0,"Stock negativo: revisa","OK"),"No está en Inventario"))</f>
        <v/>
      </c>
    </row>
    <row r="269" customFormat="false" ht="15" hidden="false" customHeight="false" outlineLevel="0" collapsed="false">
      <c r="A269" s="1"/>
      <c r="B269" s="37"/>
      <c r="C269" s="13"/>
      <c r="D269" s="21" t="str">
        <f aca="false">IF($C269="","",IFERROR(INDEX(Inventario!$D$5:$D$100,MATCH($C269,Inventario!$B$5:$B$100,0)),"No está en Inventario"))</f>
        <v/>
      </c>
      <c r="E269" s="21" t="str">
        <f aca="false">IF($C269="","",IFERROR(INDEX(Inventario!$E$5:$E$100,MATCH($C269,Inventario!$B$5:$B$100,0)),"No está en Inventario"))</f>
        <v/>
      </c>
      <c r="F269" s="16"/>
      <c r="G269" s="38" t="str">
        <f aca="false">IF($C269="","",IFERROR(INDEX(Inventario!$H$5:$H$100,MATCH($C269,Inventario!$B$5:$B$100,0)),"No está en Inventario"))</f>
        <v/>
      </c>
      <c r="H269" s="39"/>
      <c r="I269" s="40" t="str">
        <f aca="false">IF(OR($C269="",$F269=""),"",N($F269)*N($G269)*(1-N($H269)))</f>
        <v/>
      </c>
      <c r="J269" s="14"/>
      <c r="K269" s="13"/>
      <c r="L269" s="20" t="str">
        <f aca="false">IF($C269="","",IFERROR(IF(INDEX(Inventario!$L$5:$L$100,MATCH($C269,Inventario!$B$5:$B$100,0))&lt;0,"Stock negativo: revisa","OK"),"No está en Inventario"))</f>
        <v/>
      </c>
    </row>
    <row r="270" customFormat="false" ht="15" hidden="false" customHeight="false" outlineLevel="0" collapsed="false">
      <c r="A270" s="1"/>
      <c r="B270" s="41"/>
      <c r="C270" s="23"/>
      <c r="D270" s="31" t="str">
        <f aca="false">IF($C270="","",IFERROR(INDEX(Inventario!$D$5:$D$100,MATCH($C270,Inventario!$B$5:$B$100,0)),"No está en Inventario"))</f>
        <v/>
      </c>
      <c r="E270" s="31" t="str">
        <f aca="false">IF($C270="","",IFERROR(INDEX(Inventario!$E$5:$E$100,MATCH($C270,Inventario!$B$5:$B$100,0)),"No está en Inventario"))</f>
        <v/>
      </c>
      <c r="F270" s="26"/>
      <c r="G270" s="42" t="str">
        <f aca="false">IF($C270="","",IFERROR(INDEX(Inventario!$H$5:$H$100,MATCH($C270,Inventario!$B$5:$B$100,0)),"No está en Inventario"))</f>
        <v/>
      </c>
      <c r="H270" s="43"/>
      <c r="I270" s="44" t="str">
        <f aca="false">IF(OR($C270="",$F270=""),"",N($F270)*N($G270)*(1-N($H270)))</f>
        <v/>
      </c>
      <c r="J270" s="24"/>
      <c r="K270" s="23"/>
      <c r="L270" s="30" t="str">
        <f aca="false">IF($C270="","",IFERROR(IF(INDEX(Inventario!$L$5:$L$100,MATCH($C270,Inventario!$B$5:$B$100,0))&lt;0,"Stock negativo: revisa","OK"),"No está en Inventario"))</f>
        <v/>
      </c>
    </row>
    <row r="271" customFormat="false" ht="15" hidden="false" customHeight="false" outlineLevel="0" collapsed="false">
      <c r="A271" s="1"/>
      <c r="B271" s="37"/>
      <c r="C271" s="13"/>
      <c r="D271" s="21" t="str">
        <f aca="false">IF($C271="","",IFERROR(INDEX(Inventario!$D$5:$D$100,MATCH($C271,Inventario!$B$5:$B$100,0)),"No está en Inventario"))</f>
        <v/>
      </c>
      <c r="E271" s="21" t="str">
        <f aca="false">IF($C271="","",IFERROR(INDEX(Inventario!$E$5:$E$100,MATCH($C271,Inventario!$B$5:$B$100,0)),"No está en Inventario"))</f>
        <v/>
      </c>
      <c r="F271" s="16"/>
      <c r="G271" s="38" t="str">
        <f aca="false">IF($C271="","",IFERROR(INDEX(Inventario!$H$5:$H$100,MATCH($C271,Inventario!$B$5:$B$100,0)),"No está en Inventario"))</f>
        <v/>
      </c>
      <c r="H271" s="39"/>
      <c r="I271" s="40" t="str">
        <f aca="false">IF(OR($C271="",$F271=""),"",N($F271)*N($G271)*(1-N($H271)))</f>
        <v/>
      </c>
      <c r="J271" s="14"/>
      <c r="K271" s="13"/>
      <c r="L271" s="20" t="str">
        <f aca="false">IF($C271="","",IFERROR(IF(INDEX(Inventario!$L$5:$L$100,MATCH($C271,Inventario!$B$5:$B$100,0))&lt;0,"Stock negativo: revisa","OK"),"No está en Inventario"))</f>
        <v/>
      </c>
    </row>
    <row r="272" customFormat="false" ht="15" hidden="false" customHeight="false" outlineLevel="0" collapsed="false">
      <c r="A272" s="1"/>
      <c r="B272" s="41"/>
      <c r="C272" s="23"/>
      <c r="D272" s="31" t="str">
        <f aca="false">IF($C272="","",IFERROR(INDEX(Inventario!$D$5:$D$100,MATCH($C272,Inventario!$B$5:$B$100,0)),"No está en Inventario"))</f>
        <v/>
      </c>
      <c r="E272" s="31" t="str">
        <f aca="false">IF($C272="","",IFERROR(INDEX(Inventario!$E$5:$E$100,MATCH($C272,Inventario!$B$5:$B$100,0)),"No está en Inventario"))</f>
        <v/>
      </c>
      <c r="F272" s="26"/>
      <c r="G272" s="42" t="str">
        <f aca="false">IF($C272="","",IFERROR(INDEX(Inventario!$H$5:$H$100,MATCH($C272,Inventario!$B$5:$B$100,0)),"No está en Inventario"))</f>
        <v/>
      </c>
      <c r="H272" s="43"/>
      <c r="I272" s="44" t="str">
        <f aca="false">IF(OR($C272="",$F272=""),"",N($F272)*N($G272)*(1-N($H272)))</f>
        <v/>
      </c>
      <c r="J272" s="24"/>
      <c r="K272" s="23"/>
      <c r="L272" s="30" t="str">
        <f aca="false">IF($C272="","",IFERROR(IF(INDEX(Inventario!$L$5:$L$100,MATCH($C272,Inventario!$B$5:$B$100,0))&lt;0,"Stock negativo: revisa","OK"),"No está en Inventario"))</f>
        <v/>
      </c>
    </row>
    <row r="273" customFormat="false" ht="15" hidden="false" customHeight="false" outlineLevel="0" collapsed="false">
      <c r="A273" s="1"/>
      <c r="B273" s="37"/>
      <c r="C273" s="13"/>
      <c r="D273" s="21" t="str">
        <f aca="false">IF($C273="","",IFERROR(INDEX(Inventario!$D$5:$D$100,MATCH($C273,Inventario!$B$5:$B$100,0)),"No está en Inventario"))</f>
        <v/>
      </c>
      <c r="E273" s="21" t="str">
        <f aca="false">IF($C273="","",IFERROR(INDEX(Inventario!$E$5:$E$100,MATCH($C273,Inventario!$B$5:$B$100,0)),"No está en Inventario"))</f>
        <v/>
      </c>
      <c r="F273" s="16"/>
      <c r="G273" s="38" t="str">
        <f aca="false">IF($C273="","",IFERROR(INDEX(Inventario!$H$5:$H$100,MATCH($C273,Inventario!$B$5:$B$100,0)),"No está en Inventario"))</f>
        <v/>
      </c>
      <c r="H273" s="39"/>
      <c r="I273" s="40" t="str">
        <f aca="false">IF(OR($C273="",$F273=""),"",N($F273)*N($G273)*(1-N($H273)))</f>
        <v/>
      </c>
      <c r="J273" s="14"/>
      <c r="K273" s="13"/>
      <c r="L273" s="20" t="str">
        <f aca="false">IF($C273="","",IFERROR(IF(INDEX(Inventario!$L$5:$L$100,MATCH($C273,Inventario!$B$5:$B$100,0))&lt;0,"Stock negativo: revisa","OK"),"No está en Inventario"))</f>
        <v/>
      </c>
    </row>
    <row r="274" customFormat="false" ht="15" hidden="false" customHeight="false" outlineLevel="0" collapsed="false">
      <c r="A274" s="1"/>
      <c r="B274" s="41"/>
      <c r="C274" s="23"/>
      <c r="D274" s="31" t="str">
        <f aca="false">IF($C274="","",IFERROR(INDEX(Inventario!$D$5:$D$100,MATCH($C274,Inventario!$B$5:$B$100,0)),"No está en Inventario"))</f>
        <v/>
      </c>
      <c r="E274" s="31" t="str">
        <f aca="false">IF($C274="","",IFERROR(INDEX(Inventario!$E$5:$E$100,MATCH($C274,Inventario!$B$5:$B$100,0)),"No está en Inventario"))</f>
        <v/>
      </c>
      <c r="F274" s="26"/>
      <c r="G274" s="42" t="str">
        <f aca="false">IF($C274="","",IFERROR(INDEX(Inventario!$H$5:$H$100,MATCH($C274,Inventario!$B$5:$B$100,0)),"No está en Inventario"))</f>
        <v/>
      </c>
      <c r="H274" s="43"/>
      <c r="I274" s="44" t="str">
        <f aca="false">IF(OR($C274="",$F274=""),"",N($F274)*N($G274)*(1-N($H274)))</f>
        <v/>
      </c>
      <c r="J274" s="24"/>
      <c r="K274" s="23"/>
      <c r="L274" s="30" t="str">
        <f aca="false">IF($C274="","",IFERROR(IF(INDEX(Inventario!$L$5:$L$100,MATCH($C274,Inventario!$B$5:$B$100,0))&lt;0,"Stock negativo: revisa","OK"),"No está en Inventario"))</f>
        <v/>
      </c>
    </row>
    <row r="275" customFormat="false" ht="15" hidden="false" customHeight="false" outlineLevel="0" collapsed="false">
      <c r="A275" s="1"/>
      <c r="B275" s="37"/>
      <c r="C275" s="13"/>
      <c r="D275" s="21" t="str">
        <f aca="false">IF($C275="","",IFERROR(INDEX(Inventario!$D$5:$D$100,MATCH($C275,Inventario!$B$5:$B$100,0)),"No está en Inventario"))</f>
        <v/>
      </c>
      <c r="E275" s="21" t="str">
        <f aca="false">IF($C275="","",IFERROR(INDEX(Inventario!$E$5:$E$100,MATCH($C275,Inventario!$B$5:$B$100,0)),"No está en Inventario"))</f>
        <v/>
      </c>
      <c r="F275" s="16"/>
      <c r="G275" s="38" t="str">
        <f aca="false">IF($C275="","",IFERROR(INDEX(Inventario!$H$5:$H$100,MATCH($C275,Inventario!$B$5:$B$100,0)),"No está en Inventario"))</f>
        <v/>
      </c>
      <c r="H275" s="39"/>
      <c r="I275" s="40" t="str">
        <f aca="false">IF(OR($C275="",$F275=""),"",N($F275)*N($G275)*(1-N($H275)))</f>
        <v/>
      </c>
      <c r="J275" s="14"/>
      <c r="K275" s="13"/>
      <c r="L275" s="20" t="str">
        <f aca="false">IF($C275="","",IFERROR(IF(INDEX(Inventario!$L$5:$L$100,MATCH($C275,Inventario!$B$5:$B$100,0))&lt;0,"Stock negativo: revisa","OK"),"No está en Inventario"))</f>
        <v/>
      </c>
    </row>
    <row r="276" customFormat="false" ht="15" hidden="false" customHeight="false" outlineLevel="0" collapsed="false">
      <c r="A276" s="1"/>
      <c r="B276" s="41"/>
      <c r="C276" s="23"/>
      <c r="D276" s="31" t="str">
        <f aca="false">IF($C276="","",IFERROR(INDEX(Inventario!$D$5:$D$100,MATCH($C276,Inventario!$B$5:$B$100,0)),"No está en Inventario"))</f>
        <v/>
      </c>
      <c r="E276" s="31" t="str">
        <f aca="false">IF($C276="","",IFERROR(INDEX(Inventario!$E$5:$E$100,MATCH($C276,Inventario!$B$5:$B$100,0)),"No está en Inventario"))</f>
        <v/>
      </c>
      <c r="F276" s="26"/>
      <c r="G276" s="42" t="str">
        <f aca="false">IF($C276="","",IFERROR(INDEX(Inventario!$H$5:$H$100,MATCH($C276,Inventario!$B$5:$B$100,0)),"No está en Inventario"))</f>
        <v/>
      </c>
      <c r="H276" s="43"/>
      <c r="I276" s="44" t="str">
        <f aca="false">IF(OR($C276="",$F276=""),"",N($F276)*N($G276)*(1-N($H276)))</f>
        <v/>
      </c>
      <c r="J276" s="24"/>
      <c r="K276" s="23"/>
      <c r="L276" s="30" t="str">
        <f aca="false">IF($C276="","",IFERROR(IF(INDEX(Inventario!$L$5:$L$100,MATCH($C276,Inventario!$B$5:$B$100,0))&lt;0,"Stock negativo: revisa","OK"),"No está en Inventario"))</f>
        <v/>
      </c>
    </row>
    <row r="277" customFormat="false" ht="15" hidden="false" customHeight="false" outlineLevel="0" collapsed="false">
      <c r="A277" s="1"/>
      <c r="B277" s="37"/>
      <c r="C277" s="13"/>
      <c r="D277" s="21" t="str">
        <f aca="false">IF($C277="","",IFERROR(INDEX(Inventario!$D$5:$D$100,MATCH($C277,Inventario!$B$5:$B$100,0)),"No está en Inventario"))</f>
        <v/>
      </c>
      <c r="E277" s="21" t="str">
        <f aca="false">IF($C277="","",IFERROR(INDEX(Inventario!$E$5:$E$100,MATCH($C277,Inventario!$B$5:$B$100,0)),"No está en Inventario"))</f>
        <v/>
      </c>
      <c r="F277" s="16"/>
      <c r="G277" s="38" t="str">
        <f aca="false">IF($C277="","",IFERROR(INDEX(Inventario!$H$5:$H$100,MATCH($C277,Inventario!$B$5:$B$100,0)),"No está en Inventario"))</f>
        <v/>
      </c>
      <c r="H277" s="39"/>
      <c r="I277" s="40" t="str">
        <f aca="false">IF(OR($C277="",$F277=""),"",N($F277)*N($G277)*(1-N($H277)))</f>
        <v/>
      </c>
      <c r="J277" s="14"/>
      <c r="K277" s="13"/>
      <c r="L277" s="20" t="str">
        <f aca="false">IF($C277="","",IFERROR(IF(INDEX(Inventario!$L$5:$L$100,MATCH($C277,Inventario!$B$5:$B$100,0))&lt;0,"Stock negativo: revisa","OK"),"No está en Inventario"))</f>
        <v/>
      </c>
    </row>
    <row r="278" customFormat="false" ht="15" hidden="false" customHeight="false" outlineLevel="0" collapsed="false">
      <c r="A278" s="1"/>
      <c r="B278" s="41"/>
      <c r="C278" s="23"/>
      <c r="D278" s="31" t="str">
        <f aca="false">IF($C278="","",IFERROR(INDEX(Inventario!$D$5:$D$100,MATCH($C278,Inventario!$B$5:$B$100,0)),"No está en Inventario"))</f>
        <v/>
      </c>
      <c r="E278" s="31" t="str">
        <f aca="false">IF($C278="","",IFERROR(INDEX(Inventario!$E$5:$E$100,MATCH($C278,Inventario!$B$5:$B$100,0)),"No está en Inventario"))</f>
        <v/>
      </c>
      <c r="F278" s="26"/>
      <c r="G278" s="42" t="str">
        <f aca="false">IF($C278="","",IFERROR(INDEX(Inventario!$H$5:$H$100,MATCH($C278,Inventario!$B$5:$B$100,0)),"No está en Inventario"))</f>
        <v/>
      </c>
      <c r="H278" s="43"/>
      <c r="I278" s="44" t="str">
        <f aca="false">IF(OR($C278="",$F278=""),"",N($F278)*N($G278)*(1-N($H278)))</f>
        <v/>
      </c>
      <c r="J278" s="24"/>
      <c r="K278" s="23"/>
      <c r="L278" s="30" t="str">
        <f aca="false">IF($C278="","",IFERROR(IF(INDEX(Inventario!$L$5:$L$100,MATCH($C278,Inventario!$B$5:$B$100,0))&lt;0,"Stock negativo: revisa","OK"),"No está en Inventario"))</f>
        <v/>
      </c>
    </row>
    <row r="279" customFormat="false" ht="15" hidden="false" customHeight="false" outlineLevel="0" collapsed="false">
      <c r="A279" s="1"/>
      <c r="B279" s="37"/>
      <c r="C279" s="13"/>
      <c r="D279" s="21" t="str">
        <f aca="false">IF($C279="","",IFERROR(INDEX(Inventario!$D$5:$D$100,MATCH($C279,Inventario!$B$5:$B$100,0)),"No está en Inventario"))</f>
        <v/>
      </c>
      <c r="E279" s="21" t="str">
        <f aca="false">IF($C279="","",IFERROR(INDEX(Inventario!$E$5:$E$100,MATCH($C279,Inventario!$B$5:$B$100,0)),"No está en Inventario"))</f>
        <v/>
      </c>
      <c r="F279" s="16"/>
      <c r="G279" s="38" t="str">
        <f aca="false">IF($C279="","",IFERROR(INDEX(Inventario!$H$5:$H$100,MATCH($C279,Inventario!$B$5:$B$100,0)),"No está en Inventario"))</f>
        <v/>
      </c>
      <c r="H279" s="39"/>
      <c r="I279" s="40" t="str">
        <f aca="false">IF(OR($C279="",$F279=""),"",N($F279)*N($G279)*(1-N($H279)))</f>
        <v/>
      </c>
      <c r="J279" s="14"/>
      <c r="K279" s="13"/>
      <c r="L279" s="20" t="str">
        <f aca="false">IF($C279="","",IFERROR(IF(INDEX(Inventario!$L$5:$L$100,MATCH($C279,Inventario!$B$5:$B$100,0))&lt;0,"Stock negativo: revisa","OK"),"No está en Inventario"))</f>
        <v/>
      </c>
    </row>
    <row r="280" customFormat="false" ht="15" hidden="false" customHeight="false" outlineLevel="0" collapsed="false">
      <c r="A280" s="1"/>
      <c r="B280" s="41"/>
      <c r="C280" s="23"/>
      <c r="D280" s="31" t="str">
        <f aca="false">IF($C280="","",IFERROR(INDEX(Inventario!$D$5:$D$100,MATCH($C280,Inventario!$B$5:$B$100,0)),"No está en Inventario"))</f>
        <v/>
      </c>
      <c r="E280" s="31" t="str">
        <f aca="false">IF($C280="","",IFERROR(INDEX(Inventario!$E$5:$E$100,MATCH($C280,Inventario!$B$5:$B$100,0)),"No está en Inventario"))</f>
        <v/>
      </c>
      <c r="F280" s="26"/>
      <c r="G280" s="42" t="str">
        <f aca="false">IF($C280="","",IFERROR(INDEX(Inventario!$H$5:$H$100,MATCH($C280,Inventario!$B$5:$B$100,0)),"No está en Inventario"))</f>
        <v/>
      </c>
      <c r="H280" s="43"/>
      <c r="I280" s="44" t="str">
        <f aca="false">IF(OR($C280="",$F280=""),"",N($F280)*N($G280)*(1-N($H280)))</f>
        <v/>
      </c>
      <c r="J280" s="24"/>
      <c r="K280" s="23"/>
      <c r="L280" s="30" t="str">
        <f aca="false">IF($C280="","",IFERROR(IF(INDEX(Inventario!$L$5:$L$100,MATCH($C280,Inventario!$B$5:$B$100,0))&lt;0,"Stock negativo: revisa","OK"),"No está en Inventario"))</f>
        <v/>
      </c>
    </row>
    <row r="281" customFormat="false" ht="15" hidden="false" customHeight="false" outlineLevel="0" collapsed="false">
      <c r="A281" s="1"/>
      <c r="B281" s="37"/>
      <c r="C281" s="13"/>
      <c r="D281" s="21" t="str">
        <f aca="false">IF($C281="","",IFERROR(INDEX(Inventario!$D$5:$D$100,MATCH($C281,Inventario!$B$5:$B$100,0)),"No está en Inventario"))</f>
        <v/>
      </c>
      <c r="E281" s="21" t="str">
        <f aca="false">IF($C281="","",IFERROR(INDEX(Inventario!$E$5:$E$100,MATCH($C281,Inventario!$B$5:$B$100,0)),"No está en Inventario"))</f>
        <v/>
      </c>
      <c r="F281" s="16"/>
      <c r="G281" s="38" t="str">
        <f aca="false">IF($C281="","",IFERROR(INDEX(Inventario!$H$5:$H$100,MATCH($C281,Inventario!$B$5:$B$100,0)),"No está en Inventario"))</f>
        <v/>
      </c>
      <c r="H281" s="39"/>
      <c r="I281" s="40" t="str">
        <f aca="false">IF(OR($C281="",$F281=""),"",N($F281)*N($G281)*(1-N($H281)))</f>
        <v/>
      </c>
      <c r="J281" s="14"/>
      <c r="K281" s="13"/>
      <c r="L281" s="20" t="str">
        <f aca="false">IF($C281="","",IFERROR(IF(INDEX(Inventario!$L$5:$L$100,MATCH($C281,Inventario!$B$5:$B$100,0))&lt;0,"Stock negativo: revisa","OK"),"No está en Inventario"))</f>
        <v/>
      </c>
    </row>
    <row r="282" customFormat="false" ht="15" hidden="false" customHeight="false" outlineLevel="0" collapsed="false">
      <c r="A282" s="1"/>
      <c r="B282" s="41"/>
      <c r="C282" s="23"/>
      <c r="D282" s="31" t="str">
        <f aca="false">IF($C282="","",IFERROR(INDEX(Inventario!$D$5:$D$100,MATCH($C282,Inventario!$B$5:$B$100,0)),"No está en Inventario"))</f>
        <v/>
      </c>
      <c r="E282" s="31" t="str">
        <f aca="false">IF($C282="","",IFERROR(INDEX(Inventario!$E$5:$E$100,MATCH($C282,Inventario!$B$5:$B$100,0)),"No está en Inventario"))</f>
        <v/>
      </c>
      <c r="F282" s="26"/>
      <c r="G282" s="42" t="str">
        <f aca="false">IF($C282="","",IFERROR(INDEX(Inventario!$H$5:$H$100,MATCH($C282,Inventario!$B$5:$B$100,0)),"No está en Inventario"))</f>
        <v/>
      </c>
      <c r="H282" s="43"/>
      <c r="I282" s="44" t="str">
        <f aca="false">IF(OR($C282="",$F282=""),"",N($F282)*N($G282)*(1-N($H282)))</f>
        <v/>
      </c>
      <c r="J282" s="24"/>
      <c r="K282" s="23"/>
      <c r="L282" s="30" t="str">
        <f aca="false">IF($C282="","",IFERROR(IF(INDEX(Inventario!$L$5:$L$100,MATCH($C282,Inventario!$B$5:$B$100,0))&lt;0,"Stock negativo: revisa","OK"),"No está en Inventario"))</f>
        <v/>
      </c>
    </row>
    <row r="283" customFormat="false" ht="15" hidden="false" customHeight="false" outlineLevel="0" collapsed="false">
      <c r="A283" s="1"/>
      <c r="B283" s="37"/>
      <c r="C283" s="13"/>
      <c r="D283" s="21" t="str">
        <f aca="false">IF($C283="","",IFERROR(INDEX(Inventario!$D$5:$D$100,MATCH($C283,Inventario!$B$5:$B$100,0)),"No está en Inventario"))</f>
        <v/>
      </c>
      <c r="E283" s="21" t="str">
        <f aca="false">IF($C283="","",IFERROR(INDEX(Inventario!$E$5:$E$100,MATCH($C283,Inventario!$B$5:$B$100,0)),"No está en Inventario"))</f>
        <v/>
      </c>
      <c r="F283" s="16"/>
      <c r="G283" s="38" t="str">
        <f aca="false">IF($C283="","",IFERROR(INDEX(Inventario!$H$5:$H$100,MATCH($C283,Inventario!$B$5:$B$100,0)),"No está en Inventario"))</f>
        <v/>
      </c>
      <c r="H283" s="39"/>
      <c r="I283" s="40" t="str">
        <f aca="false">IF(OR($C283="",$F283=""),"",N($F283)*N($G283)*(1-N($H283)))</f>
        <v/>
      </c>
      <c r="J283" s="14"/>
      <c r="K283" s="13"/>
      <c r="L283" s="20" t="str">
        <f aca="false">IF($C283="","",IFERROR(IF(INDEX(Inventario!$L$5:$L$100,MATCH($C283,Inventario!$B$5:$B$100,0))&lt;0,"Stock negativo: revisa","OK"),"No está en Inventario"))</f>
        <v/>
      </c>
    </row>
    <row r="284" customFormat="false" ht="15" hidden="false" customHeight="false" outlineLevel="0" collapsed="false">
      <c r="A284" s="1"/>
      <c r="B284" s="41"/>
      <c r="C284" s="23"/>
      <c r="D284" s="31" t="str">
        <f aca="false">IF($C284="","",IFERROR(INDEX(Inventario!$D$5:$D$100,MATCH($C284,Inventario!$B$5:$B$100,0)),"No está en Inventario"))</f>
        <v/>
      </c>
      <c r="E284" s="31" t="str">
        <f aca="false">IF($C284="","",IFERROR(INDEX(Inventario!$E$5:$E$100,MATCH($C284,Inventario!$B$5:$B$100,0)),"No está en Inventario"))</f>
        <v/>
      </c>
      <c r="F284" s="26"/>
      <c r="G284" s="42" t="str">
        <f aca="false">IF($C284="","",IFERROR(INDEX(Inventario!$H$5:$H$100,MATCH($C284,Inventario!$B$5:$B$100,0)),"No está en Inventario"))</f>
        <v/>
      </c>
      <c r="H284" s="43"/>
      <c r="I284" s="44" t="str">
        <f aca="false">IF(OR($C284="",$F284=""),"",N($F284)*N($G284)*(1-N($H284)))</f>
        <v/>
      </c>
      <c r="J284" s="24"/>
      <c r="K284" s="23"/>
      <c r="L284" s="30" t="str">
        <f aca="false">IF($C284="","",IFERROR(IF(INDEX(Inventario!$L$5:$L$100,MATCH($C284,Inventario!$B$5:$B$100,0))&lt;0,"Stock negativo: revisa","OK"),"No está en Inventario"))</f>
        <v/>
      </c>
    </row>
    <row r="285" customFormat="false" ht="15" hidden="false" customHeight="false" outlineLevel="0" collapsed="false">
      <c r="A285" s="1"/>
      <c r="B285" s="37"/>
      <c r="C285" s="13"/>
      <c r="D285" s="21" t="str">
        <f aca="false">IF($C285="","",IFERROR(INDEX(Inventario!$D$5:$D$100,MATCH($C285,Inventario!$B$5:$B$100,0)),"No está en Inventario"))</f>
        <v/>
      </c>
      <c r="E285" s="21" t="str">
        <f aca="false">IF($C285="","",IFERROR(INDEX(Inventario!$E$5:$E$100,MATCH($C285,Inventario!$B$5:$B$100,0)),"No está en Inventario"))</f>
        <v/>
      </c>
      <c r="F285" s="16"/>
      <c r="G285" s="38" t="str">
        <f aca="false">IF($C285="","",IFERROR(INDEX(Inventario!$H$5:$H$100,MATCH($C285,Inventario!$B$5:$B$100,0)),"No está en Inventario"))</f>
        <v/>
      </c>
      <c r="H285" s="39"/>
      <c r="I285" s="40" t="str">
        <f aca="false">IF(OR($C285="",$F285=""),"",N($F285)*N($G285)*(1-N($H285)))</f>
        <v/>
      </c>
      <c r="J285" s="14"/>
      <c r="K285" s="13"/>
      <c r="L285" s="20" t="str">
        <f aca="false">IF($C285="","",IFERROR(IF(INDEX(Inventario!$L$5:$L$100,MATCH($C285,Inventario!$B$5:$B$100,0))&lt;0,"Stock negativo: revisa","OK"),"No está en Inventario"))</f>
        <v/>
      </c>
    </row>
    <row r="286" customFormat="false" ht="15" hidden="false" customHeight="false" outlineLevel="0" collapsed="false">
      <c r="A286" s="1"/>
      <c r="B286" s="41"/>
      <c r="C286" s="23"/>
      <c r="D286" s="31" t="str">
        <f aca="false">IF($C286="","",IFERROR(INDEX(Inventario!$D$5:$D$100,MATCH($C286,Inventario!$B$5:$B$100,0)),"No está en Inventario"))</f>
        <v/>
      </c>
      <c r="E286" s="31" t="str">
        <f aca="false">IF($C286="","",IFERROR(INDEX(Inventario!$E$5:$E$100,MATCH($C286,Inventario!$B$5:$B$100,0)),"No está en Inventario"))</f>
        <v/>
      </c>
      <c r="F286" s="26"/>
      <c r="G286" s="42" t="str">
        <f aca="false">IF($C286="","",IFERROR(INDEX(Inventario!$H$5:$H$100,MATCH($C286,Inventario!$B$5:$B$100,0)),"No está en Inventario"))</f>
        <v/>
      </c>
      <c r="H286" s="43"/>
      <c r="I286" s="44" t="str">
        <f aca="false">IF(OR($C286="",$F286=""),"",N($F286)*N($G286)*(1-N($H286)))</f>
        <v/>
      </c>
      <c r="J286" s="24"/>
      <c r="K286" s="23"/>
      <c r="L286" s="30" t="str">
        <f aca="false">IF($C286="","",IFERROR(IF(INDEX(Inventario!$L$5:$L$100,MATCH($C286,Inventario!$B$5:$B$100,0))&lt;0,"Stock negativo: revisa","OK"),"No está en Inventario"))</f>
        <v/>
      </c>
    </row>
    <row r="287" customFormat="false" ht="15" hidden="false" customHeight="false" outlineLevel="0" collapsed="false">
      <c r="A287" s="1"/>
      <c r="B287" s="37"/>
      <c r="C287" s="13"/>
      <c r="D287" s="21" t="str">
        <f aca="false">IF($C287="","",IFERROR(INDEX(Inventario!$D$5:$D$100,MATCH($C287,Inventario!$B$5:$B$100,0)),"No está en Inventario"))</f>
        <v/>
      </c>
      <c r="E287" s="21" t="str">
        <f aca="false">IF($C287="","",IFERROR(INDEX(Inventario!$E$5:$E$100,MATCH($C287,Inventario!$B$5:$B$100,0)),"No está en Inventario"))</f>
        <v/>
      </c>
      <c r="F287" s="16"/>
      <c r="G287" s="38" t="str">
        <f aca="false">IF($C287="","",IFERROR(INDEX(Inventario!$H$5:$H$100,MATCH($C287,Inventario!$B$5:$B$100,0)),"No está en Inventario"))</f>
        <v/>
      </c>
      <c r="H287" s="39"/>
      <c r="I287" s="40" t="str">
        <f aca="false">IF(OR($C287="",$F287=""),"",N($F287)*N($G287)*(1-N($H287)))</f>
        <v/>
      </c>
      <c r="J287" s="14"/>
      <c r="K287" s="13"/>
      <c r="L287" s="20" t="str">
        <f aca="false">IF($C287="","",IFERROR(IF(INDEX(Inventario!$L$5:$L$100,MATCH($C287,Inventario!$B$5:$B$100,0))&lt;0,"Stock negativo: revisa","OK"),"No está en Inventario"))</f>
        <v/>
      </c>
    </row>
    <row r="288" customFormat="false" ht="15" hidden="false" customHeight="false" outlineLevel="0" collapsed="false">
      <c r="A288" s="1"/>
      <c r="B288" s="41"/>
      <c r="C288" s="23"/>
      <c r="D288" s="31" t="str">
        <f aca="false">IF($C288="","",IFERROR(INDEX(Inventario!$D$5:$D$100,MATCH($C288,Inventario!$B$5:$B$100,0)),"No está en Inventario"))</f>
        <v/>
      </c>
      <c r="E288" s="31" t="str">
        <f aca="false">IF($C288="","",IFERROR(INDEX(Inventario!$E$5:$E$100,MATCH($C288,Inventario!$B$5:$B$100,0)),"No está en Inventario"))</f>
        <v/>
      </c>
      <c r="F288" s="26"/>
      <c r="G288" s="42" t="str">
        <f aca="false">IF($C288="","",IFERROR(INDEX(Inventario!$H$5:$H$100,MATCH($C288,Inventario!$B$5:$B$100,0)),"No está en Inventario"))</f>
        <v/>
      </c>
      <c r="H288" s="43"/>
      <c r="I288" s="44" t="str">
        <f aca="false">IF(OR($C288="",$F288=""),"",N($F288)*N($G288)*(1-N($H288)))</f>
        <v/>
      </c>
      <c r="J288" s="24"/>
      <c r="K288" s="23"/>
      <c r="L288" s="30" t="str">
        <f aca="false">IF($C288="","",IFERROR(IF(INDEX(Inventario!$L$5:$L$100,MATCH($C288,Inventario!$B$5:$B$100,0))&lt;0,"Stock negativo: revisa","OK"),"No está en Inventario"))</f>
        <v/>
      </c>
    </row>
    <row r="289" customFormat="false" ht="15" hidden="false" customHeight="false" outlineLevel="0" collapsed="false">
      <c r="A289" s="1"/>
      <c r="B289" s="37"/>
      <c r="C289" s="13"/>
      <c r="D289" s="21" t="str">
        <f aca="false">IF($C289="","",IFERROR(INDEX(Inventario!$D$5:$D$100,MATCH($C289,Inventario!$B$5:$B$100,0)),"No está en Inventario"))</f>
        <v/>
      </c>
      <c r="E289" s="21" t="str">
        <f aca="false">IF($C289="","",IFERROR(INDEX(Inventario!$E$5:$E$100,MATCH($C289,Inventario!$B$5:$B$100,0)),"No está en Inventario"))</f>
        <v/>
      </c>
      <c r="F289" s="16"/>
      <c r="G289" s="38" t="str">
        <f aca="false">IF($C289="","",IFERROR(INDEX(Inventario!$H$5:$H$100,MATCH($C289,Inventario!$B$5:$B$100,0)),"No está en Inventario"))</f>
        <v/>
      </c>
      <c r="H289" s="39"/>
      <c r="I289" s="40" t="str">
        <f aca="false">IF(OR($C289="",$F289=""),"",N($F289)*N($G289)*(1-N($H289)))</f>
        <v/>
      </c>
      <c r="J289" s="14"/>
      <c r="K289" s="13"/>
      <c r="L289" s="20" t="str">
        <f aca="false">IF($C289="","",IFERROR(IF(INDEX(Inventario!$L$5:$L$100,MATCH($C289,Inventario!$B$5:$B$100,0))&lt;0,"Stock negativo: revisa","OK"),"No está en Inventario"))</f>
        <v/>
      </c>
    </row>
    <row r="290" customFormat="false" ht="15" hidden="false" customHeight="false" outlineLevel="0" collapsed="false">
      <c r="A290" s="1"/>
      <c r="B290" s="41"/>
      <c r="C290" s="23"/>
      <c r="D290" s="31" t="str">
        <f aca="false">IF($C290="","",IFERROR(INDEX(Inventario!$D$5:$D$100,MATCH($C290,Inventario!$B$5:$B$100,0)),"No está en Inventario"))</f>
        <v/>
      </c>
      <c r="E290" s="31" t="str">
        <f aca="false">IF($C290="","",IFERROR(INDEX(Inventario!$E$5:$E$100,MATCH($C290,Inventario!$B$5:$B$100,0)),"No está en Inventario"))</f>
        <v/>
      </c>
      <c r="F290" s="26"/>
      <c r="G290" s="42" t="str">
        <f aca="false">IF($C290="","",IFERROR(INDEX(Inventario!$H$5:$H$100,MATCH($C290,Inventario!$B$5:$B$100,0)),"No está en Inventario"))</f>
        <v/>
      </c>
      <c r="H290" s="43"/>
      <c r="I290" s="44" t="str">
        <f aca="false">IF(OR($C290="",$F290=""),"",N($F290)*N($G290)*(1-N($H290)))</f>
        <v/>
      </c>
      <c r="J290" s="24"/>
      <c r="K290" s="23"/>
      <c r="L290" s="30" t="str">
        <f aca="false">IF($C290="","",IFERROR(IF(INDEX(Inventario!$L$5:$L$100,MATCH($C290,Inventario!$B$5:$B$100,0))&lt;0,"Stock negativo: revisa","OK"),"No está en Inventario"))</f>
        <v/>
      </c>
    </row>
    <row r="291" customFormat="false" ht="15" hidden="false" customHeight="false" outlineLevel="0" collapsed="false">
      <c r="A291" s="1"/>
      <c r="B291" s="37"/>
      <c r="C291" s="13"/>
      <c r="D291" s="21" t="str">
        <f aca="false">IF($C291="","",IFERROR(INDEX(Inventario!$D$5:$D$100,MATCH($C291,Inventario!$B$5:$B$100,0)),"No está en Inventario"))</f>
        <v/>
      </c>
      <c r="E291" s="21" t="str">
        <f aca="false">IF($C291="","",IFERROR(INDEX(Inventario!$E$5:$E$100,MATCH($C291,Inventario!$B$5:$B$100,0)),"No está en Inventario"))</f>
        <v/>
      </c>
      <c r="F291" s="16"/>
      <c r="G291" s="38" t="str">
        <f aca="false">IF($C291="","",IFERROR(INDEX(Inventario!$H$5:$H$100,MATCH($C291,Inventario!$B$5:$B$100,0)),"No está en Inventario"))</f>
        <v/>
      </c>
      <c r="H291" s="39"/>
      <c r="I291" s="40" t="str">
        <f aca="false">IF(OR($C291="",$F291=""),"",N($F291)*N($G291)*(1-N($H291)))</f>
        <v/>
      </c>
      <c r="J291" s="14"/>
      <c r="K291" s="13"/>
      <c r="L291" s="20" t="str">
        <f aca="false">IF($C291="","",IFERROR(IF(INDEX(Inventario!$L$5:$L$100,MATCH($C291,Inventario!$B$5:$B$100,0))&lt;0,"Stock negativo: revisa","OK"),"No está en Inventario"))</f>
        <v/>
      </c>
    </row>
    <row r="292" customFormat="false" ht="15" hidden="false" customHeight="false" outlineLevel="0" collapsed="false">
      <c r="A292" s="1"/>
      <c r="B292" s="41"/>
      <c r="C292" s="23"/>
      <c r="D292" s="31" t="str">
        <f aca="false">IF($C292="","",IFERROR(INDEX(Inventario!$D$5:$D$100,MATCH($C292,Inventario!$B$5:$B$100,0)),"No está en Inventario"))</f>
        <v/>
      </c>
      <c r="E292" s="31" t="str">
        <f aca="false">IF($C292="","",IFERROR(INDEX(Inventario!$E$5:$E$100,MATCH($C292,Inventario!$B$5:$B$100,0)),"No está en Inventario"))</f>
        <v/>
      </c>
      <c r="F292" s="26"/>
      <c r="G292" s="42" t="str">
        <f aca="false">IF($C292="","",IFERROR(INDEX(Inventario!$H$5:$H$100,MATCH($C292,Inventario!$B$5:$B$100,0)),"No está en Inventario"))</f>
        <v/>
      </c>
      <c r="H292" s="43"/>
      <c r="I292" s="44" t="str">
        <f aca="false">IF(OR($C292="",$F292=""),"",N($F292)*N($G292)*(1-N($H292)))</f>
        <v/>
      </c>
      <c r="J292" s="24"/>
      <c r="K292" s="23"/>
      <c r="L292" s="30" t="str">
        <f aca="false">IF($C292="","",IFERROR(IF(INDEX(Inventario!$L$5:$L$100,MATCH($C292,Inventario!$B$5:$B$100,0))&lt;0,"Stock negativo: revisa","OK"),"No está en Inventario"))</f>
        <v/>
      </c>
    </row>
    <row r="293" customFormat="false" ht="15" hidden="false" customHeight="false" outlineLevel="0" collapsed="false">
      <c r="A293" s="1"/>
      <c r="B293" s="37"/>
      <c r="C293" s="13"/>
      <c r="D293" s="21" t="str">
        <f aca="false">IF($C293="","",IFERROR(INDEX(Inventario!$D$5:$D$100,MATCH($C293,Inventario!$B$5:$B$100,0)),"No está en Inventario"))</f>
        <v/>
      </c>
      <c r="E293" s="21" t="str">
        <f aca="false">IF($C293="","",IFERROR(INDEX(Inventario!$E$5:$E$100,MATCH($C293,Inventario!$B$5:$B$100,0)),"No está en Inventario"))</f>
        <v/>
      </c>
      <c r="F293" s="16"/>
      <c r="G293" s="38" t="str">
        <f aca="false">IF($C293="","",IFERROR(INDEX(Inventario!$H$5:$H$100,MATCH($C293,Inventario!$B$5:$B$100,0)),"No está en Inventario"))</f>
        <v/>
      </c>
      <c r="H293" s="39"/>
      <c r="I293" s="40" t="str">
        <f aca="false">IF(OR($C293="",$F293=""),"",N($F293)*N($G293)*(1-N($H293)))</f>
        <v/>
      </c>
      <c r="J293" s="14"/>
      <c r="K293" s="13"/>
      <c r="L293" s="20" t="str">
        <f aca="false">IF($C293="","",IFERROR(IF(INDEX(Inventario!$L$5:$L$100,MATCH($C293,Inventario!$B$5:$B$100,0))&lt;0,"Stock negativo: revisa","OK"),"No está en Inventario"))</f>
        <v/>
      </c>
    </row>
    <row r="294" customFormat="false" ht="15" hidden="false" customHeight="false" outlineLevel="0" collapsed="false">
      <c r="A294" s="1"/>
      <c r="B294" s="41"/>
      <c r="C294" s="23"/>
      <c r="D294" s="31" t="str">
        <f aca="false">IF($C294="","",IFERROR(INDEX(Inventario!$D$5:$D$100,MATCH($C294,Inventario!$B$5:$B$100,0)),"No está en Inventario"))</f>
        <v/>
      </c>
      <c r="E294" s="31" t="str">
        <f aca="false">IF($C294="","",IFERROR(INDEX(Inventario!$E$5:$E$100,MATCH($C294,Inventario!$B$5:$B$100,0)),"No está en Inventario"))</f>
        <v/>
      </c>
      <c r="F294" s="26"/>
      <c r="G294" s="42" t="str">
        <f aca="false">IF($C294="","",IFERROR(INDEX(Inventario!$H$5:$H$100,MATCH($C294,Inventario!$B$5:$B$100,0)),"No está en Inventario"))</f>
        <v/>
      </c>
      <c r="H294" s="43"/>
      <c r="I294" s="44" t="str">
        <f aca="false">IF(OR($C294="",$F294=""),"",N($F294)*N($G294)*(1-N($H294)))</f>
        <v/>
      </c>
      <c r="J294" s="24"/>
      <c r="K294" s="23"/>
      <c r="L294" s="30" t="str">
        <f aca="false">IF($C294="","",IFERROR(IF(INDEX(Inventario!$L$5:$L$100,MATCH($C294,Inventario!$B$5:$B$100,0))&lt;0,"Stock negativo: revisa","OK"),"No está en Inventario"))</f>
        <v/>
      </c>
    </row>
    <row r="295" customFormat="false" ht="15" hidden="false" customHeight="false" outlineLevel="0" collapsed="false">
      <c r="A295" s="1"/>
      <c r="B295" s="37"/>
      <c r="C295" s="13"/>
      <c r="D295" s="21" t="str">
        <f aca="false">IF($C295="","",IFERROR(INDEX(Inventario!$D$5:$D$100,MATCH($C295,Inventario!$B$5:$B$100,0)),"No está en Inventario"))</f>
        <v/>
      </c>
      <c r="E295" s="21" t="str">
        <f aca="false">IF($C295="","",IFERROR(INDEX(Inventario!$E$5:$E$100,MATCH($C295,Inventario!$B$5:$B$100,0)),"No está en Inventario"))</f>
        <v/>
      </c>
      <c r="F295" s="16"/>
      <c r="G295" s="38" t="str">
        <f aca="false">IF($C295="","",IFERROR(INDEX(Inventario!$H$5:$H$100,MATCH($C295,Inventario!$B$5:$B$100,0)),"No está en Inventario"))</f>
        <v/>
      </c>
      <c r="H295" s="39"/>
      <c r="I295" s="40" t="str">
        <f aca="false">IF(OR($C295="",$F295=""),"",N($F295)*N($G295)*(1-N($H295)))</f>
        <v/>
      </c>
      <c r="J295" s="14"/>
      <c r="K295" s="13"/>
      <c r="L295" s="20" t="str">
        <f aca="false">IF($C295="","",IFERROR(IF(INDEX(Inventario!$L$5:$L$100,MATCH($C295,Inventario!$B$5:$B$100,0))&lt;0,"Stock negativo: revisa","OK"),"No está en Inventario"))</f>
        <v/>
      </c>
    </row>
    <row r="296" customFormat="false" ht="15" hidden="false" customHeight="false" outlineLevel="0" collapsed="false">
      <c r="A296" s="1"/>
      <c r="B296" s="41"/>
      <c r="C296" s="23"/>
      <c r="D296" s="31" t="str">
        <f aca="false">IF($C296="","",IFERROR(INDEX(Inventario!$D$5:$D$100,MATCH($C296,Inventario!$B$5:$B$100,0)),"No está en Inventario"))</f>
        <v/>
      </c>
      <c r="E296" s="31" t="str">
        <f aca="false">IF($C296="","",IFERROR(INDEX(Inventario!$E$5:$E$100,MATCH($C296,Inventario!$B$5:$B$100,0)),"No está en Inventario"))</f>
        <v/>
      </c>
      <c r="F296" s="26"/>
      <c r="G296" s="42" t="str">
        <f aca="false">IF($C296="","",IFERROR(INDEX(Inventario!$H$5:$H$100,MATCH($C296,Inventario!$B$5:$B$100,0)),"No está en Inventario"))</f>
        <v/>
      </c>
      <c r="H296" s="43"/>
      <c r="I296" s="44" t="str">
        <f aca="false">IF(OR($C296="",$F296=""),"",N($F296)*N($G296)*(1-N($H296)))</f>
        <v/>
      </c>
      <c r="J296" s="24"/>
      <c r="K296" s="23"/>
      <c r="L296" s="30" t="str">
        <f aca="false">IF($C296="","",IFERROR(IF(INDEX(Inventario!$L$5:$L$100,MATCH($C296,Inventario!$B$5:$B$100,0))&lt;0,"Stock negativo: revisa","OK"),"No está en Inventario"))</f>
        <v/>
      </c>
    </row>
    <row r="297" customFormat="false" ht="15" hidden="false" customHeight="false" outlineLevel="0" collapsed="false">
      <c r="A297" s="1"/>
      <c r="B297" s="37"/>
      <c r="C297" s="13"/>
      <c r="D297" s="21" t="str">
        <f aca="false">IF($C297="","",IFERROR(INDEX(Inventario!$D$5:$D$100,MATCH($C297,Inventario!$B$5:$B$100,0)),"No está en Inventario"))</f>
        <v/>
      </c>
      <c r="E297" s="21" t="str">
        <f aca="false">IF($C297="","",IFERROR(INDEX(Inventario!$E$5:$E$100,MATCH($C297,Inventario!$B$5:$B$100,0)),"No está en Inventario"))</f>
        <v/>
      </c>
      <c r="F297" s="16"/>
      <c r="G297" s="38" t="str">
        <f aca="false">IF($C297="","",IFERROR(INDEX(Inventario!$H$5:$H$100,MATCH($C297,Inventario!$B$5:$B$100,0)),"No está en Inventario"))</f>
        <v/>
      </c>
      <c r="H297" s="39"/>
      <c r="I297" s="40" t="str">
        <f aca="false">IF(OR($C297="",$F297=""),"",N($F297)*N($G297)*(1-N($H297)))</f>
        <v/>
      </c>
      <c r="J297" s="14"/>
      <c r="K297" s="13"/>
      <c r="L297" s="20" t="str">
        <f aca="false">IF($C297="","",IFERROR(IF(INDEX(Inventario!$L$5:$L$100,MATCH($C297,Inventario!$B$5:$B$100,0))&lt;0,"Stock negativo: revisa","OK"),"No está en Inventario"))</f>
        <v/>
      </c>
    </row>
    <row r="298" customFormat="false" ht="15" hidden="false" customHeight="false" outlineLevel="0" collapsed="false">
      <c r="A298" s="1"/>
      <c r="B298" s="41"/>
      <c r="C298" s="23"/>
      <c r="D298" s="31" t="str">
        <f aca="false">IF($C298="","",IFERROR(INDEX(Inventario!$D$5:$D$100,MATCH($C298,Inventario!$B$5:$B$100,0)),"No está en Inventario"))</f>
        <v/>
      </c>
      <c r="E298" s="31" t="str">
        <f aca="false">IF($C298="","",IFERROR(INDEX(Inventario!$E$5:$E$100,MATCH($C298,Inventario!$B$5:$B$100,0)),"No está en Inventario"))</f>
        <v/>
      </c>
      <c r="F298" s="26"/>
      <c r="G298" s="42" t="str">
        <f aca="false">IF($C298="","",IFERROR(INDEX(Inventario!$H$5:$H$100,MATCH($C298,Inventario!$B$5:$B$100,0)),"No está en Inventario"))</f>
        <v/>
      </c>
      <c r="H298" s="43"/>
      <c r="I298" s="44" t="str">
        <f aca="false">IF(OR($C298="",$F298=""),"",N($F298)*N($G298)*(1-N($H298)))</f>
        <v/>
      </c>
      <c r="J298" s="24"/>
      <c r="K298" s="23"/>
      <c r="L298" s="30" t="str">
        <f aca="false">IF($C298="","",IFERROR(IF(INDEX(Inventario!$L$5:$L$100,MATCH($C298,Inventario!$B$5:$B$100,0))&lt;0,"Stock negativo: revisa","OK"),"No está en Inventario"))</f>
        <v/>
      </c>
    </row>
    <row r="299" customFormat="false" ht="15" hidden="false" customHeight="false" outlineLevel="0" collapsed="false">
      <c r="A299" s="1"/>
      <c r="B299" s="37"/>
      <c r="C299" s="13"/>
      <c r="D299" s="21" t="str">
        <f aca="false">IF($C299="","",IFERROR(INDEX(Inventario!$D$5:$D$100,MATCH($C299,Inventario!$B$5:$B$100,0)),"No está en Inventario"))</f>
        <v/>
      </c>
      <c r="E299" s="21" t="str">
        <f aca="false">IF($C299="","",IFERROR(INDEX(Inventario!$E$5:$E$100,MATCH($C299,Inventario!$B$5:$B$100,0)),"No está en Inventario"))</f>
        <v/>
      </c>
      <c r="F299" s="16"/>
      <c r="G299" s="38" t="str">
        <f aca="false">IF($C299="","",IFERROR(INDEX(Inventario!$H$5:$H$100,MATCH($C299,Inventario!$B$5:$B$100,0)),"No está en Inventario"))</f>
        <v/>
      </c>
      <c r="H299" s="39"/>
      <c r="I299" s="40" t="str">
        <f aca="false">IF(OR($C299="",$F299=""),"",N($F299)*N($G299)*(1-N($H299)))</f>
        <v/>
      </c>
      <c r="J299" s="14"/>
      <c r="K299" s="13"/>
      <c r="L299" s="20" t="str">
        <f aca="false">IF($C299="","",IFERROR(IF(INDEX(Inventario!$L$5:$L$100,MATCH($C299,Inventario!$B$5:$B$100,0))&lt;0,"Stock negativo: revisa","OK"),"No está en Inventario"))</f>
        <v/>
      </c>
    </row>
    <row r="300" customFormat="false" ht="15" hidden="false" customHeight="false" outlineLevel="0" collapsed="false">
      <c r="A300" s="1"/>
      <c r="B300" s="41"/>
      <c r="C300" s="23"/>
      <c r="D300" s="31" t="str">
        <f aca="false">IF($C300="","",IFERROR(INDEX(Inventario!$D$5:$D$100,MATCH($C300,Inventario!$B$5:$B$100,0)),"No está en Inventario"))</f>
        <v/>
      </c>
      <c r="E300" s="31" t="str">
        <f aca="false">IF($C300="","",IFERROR(INDEX(Inventario!$E$5:$E$100,MATCH($C300,Inventario!$B$5:$B$100,0)),"No está en Inventario"))</f>
        <v/>
      </c>
      <c r="F300" s="26"/>
      <c r="G300" s="42" t="str">
        <f aca="false">IF($C300="","",IFERROR(INDEX(Inventario!$H$5:$H$100,MATCH($C300,Inventario!$B$5:$B$100,0)),"No está en Inventario"))</f>
        <v/>
      </c>
      <c r="H300" s="43"/>
      <c r="I300" s="44" t="str">
        <f aca="false">IF(OR($C300="",$F300=""),"",N($F300)*N($G300)*(1-N($H300)))</f>
        <v/>
      </c>
      <c r="J300" s="24"/>
      <c r="K300" s="23"/>
      <c r="L300" s="30" t="str">
        <f aca="false">IF($C300="","",IFERROR(IF(INDEX(Inventario!$L$5:$L$100,MATCH($C300,Inventario!$B$5:$B$100,0))&lt;0,"Stock negativo: revisa","OK"),"No está en Inventario"))</f>
        <v/>
      </c>
    </row>
    <row r="301" customFormat="false" ht="15" hidden="false" customHeight="false" outlineLevel="0" collapsed="false">
      <c r="A301" s="1"/>
      <c r="B301" s="37"/>
      <c r="C301" s="13"/>
      <c r="D301" s="21" t="str">
        <f aca="false">IF($C301="","",IFERROR(INDEX(Inventario!$D$5:$D$100,MATCH($C301,Inventario!$B$5:$B$100,0)),"No está en Inventario"))</f>
        <v/>
      </c>
      <c r="E301" s="21" t="str">
        <f aca="false">IF($C301="","",IFERROR(INDEX(Inventario!$E$5:$E$100,MATCH($C301,Inventario!$B$5:$B$100,0)),"No está en Inventario"))</f>
        <v/>
      </c>
      <c r="F301" s="16"/>
      <c r="G301" s="38" t="str">
        <f aca="false">IF($C301="","",IFERROR(INDEX(Inventario!$H$5:$H$100,MATCH($C301,Inventario!$B$5:$B$100,0)),"No está en Inventario"))</f>
        <v/>
      </c>
      <c r="H301" s="39"/>
      <c r="I301" s="40" t="str">
        <f aca="false">IF(OR($C301="",$F301=""),"",N($F301)*N($G301)*(1-N($H301)))</f>
        <v/>
      </c>
      <c r="J301" s="14"/>
      <c r="K301" s="13"/>
      <c r="L301" s="20" t="str">
        <f aca="false">IF($C301="","",IFERROR(IF(INDEX(Inventario!$L$5:$L$100,MATCH($C301,Inventario!$B$5:$B$100,0))&lt;0,"Stock negativo: revisa","OK"),"No está en Inventario"))</f>
        <v/>
      </c>
    </row>
    <row r="302" customFormat="false" ht="15" hidden="false" customHeight="false" outlineLevel="0" collapsed="false">
      <c r="A302" s="1"/>
      <c r="B302" s="41"/>
      <c r="C302" s="23"/>
      <c r="D302" s="31" t="str">
        <f aca="false">IF($C302="","",IFERROR(INDEX(Inventario!$D$5:$D$100,MATCH($C302,Inventario!$B$5:$B$100,0)),"No está en Inventario"))</f>
        <v/>
      </c>
      <c r="E302" s="31" t="str">
        <f aca="false">IF($C302="","",IFERROR(INDEX(Inventario!$E$5:$E$100,MATCH($C302,Inventario!$B$5:$B$100,0)),"No está en Inventario"))</f>
        <v/>
      </c>
      <c r="F302" s="26"/>
      <c r="G302" s="42" t="str">
        <f aca="false">IF($C302="","",IFERROR(INDEX(Inventario!$H$5:$H$100,MATCH($C302,Inventario!$B$5:$B$100,0)),"No está en Inventario"))</f>
        <v/>
      </c>
      <c r="H302" s="43"/>
      <c r="I302" s="44" t="str">
        <f aca="false">IF(OR($C302="",$F302=""),"",N($F302)*N($G302)*(1-N($H302)))</f>
        <v/>
      </c>
      <c r="J302" s="24"/>
      <c r="K302" s="23"/>
      <c r="L302" s="30" t="str">
        <f aca="false">IF($C302="","",IFERROR(IF(INDEX(Inventario!$L$5:$L$100,MATCH($C302,Inventario!$B$5:$B$100,0))&lt;0,"Stock negativo: revisa","OK"),"No está en Inventario"))</f>
        <v/>
      </c>
    </row>
    <row r="303" customFormat="false" ht="15" hidden="false" customHeight="false" outlineLevel="0" collapsed="false">
      <c r="A303" s="1"/>
      <c r="B303" s="37"/>
      <c r="C303" s="13"/>
      <c r="D303" s="21" t="str">
        <f aca="false">IF($C303="","",IFERROR(INDEX(Inventario!$D$5:$D$100,MATCH($C303,Inventario!$B$5:$B$100,0)),"No está en Inventario"))</f>
        <v/>
      </c>
      <c r="E303" s="21" t="str">
        <f aca="false">IF($C303="","",IFERROR(INDEX(Inventario!$E$5:$E$100,MATCH($C303,Inventario!$B$5:$B$100,0)),"No está en Inventario"))</f>
        <v/>
      </c>
      <c r="F303" s="16"/>
      <c r="G303" s="38" t="str">
        <f aca="false">IF($C303="","",IFERROR(INDEX(Inventario!$H$5:$H$100,MATCH($C303,Inventario!$B$5:$B$100,0)),"No está en Inventario"))</f>
        <v/>
      </c>
      <c r="H303" s="39"/>
      <c r="I303" s="40" t="str">
        <f aca="false">IF(OR($C303="",$F303=""),"",N($F303)*N($G303)*(1-N($H303)))</f>
        <v/>
      </c>
      <c r="J303" s="14"/>
      <c r="K303" s="13"/>
      <c r="L303" s="20" t="str">
        <f aca="false">IF($C303="","",IFERROR(IF(INDEX(Inventario!$L$5:$L$100,MATCH($C303,Inventario!$B$5:$B$100,0))&lt;0,"Stock negativo: revisa","OK"),"No está en Inventario"))</f>
        <v/>
      </c>
    </row>
    <row r="304" customFormat="false" ht="15" hidden="false" customHeight="false" outlineLevel="0" collapsed="false">
      <c r="A304" s="1"/>
      <c r="B304" s="41"/>
      <c r="C304" s="23"/>
      <c r="D304" s="31" t="str">
        <f aca="false">IF($C304="","",IFERROR(INDEX(Inventario!$D$5:$D$100,MATCH($C304,Inventario!$B$5:$B$100,0)),"No está en Inventario"))</f>
        <v/>
      </c>
      <c r="E304" s="31" t="str">
        <f aca="false">IF($C304="","",IFERROR(INDEX(Inventario!$E$5:$E$100,MATCH($C304,Inventario!$B$5:$B$100,0)),"No está en Inventario"))</f>
        <v/>
      </c>
      <c r="F304" s="26"/>
      <c r="G304" s="42" t="str">
        <f aca="false">IF($C304="","",IFERROR(INDEX(Inventario!$H$5:$H$100,MATCH($C304,Inventario!$B$5:$B$100,0)),"No está en Inventario"))</f>
        <v/>
      </c>
      <c r="H304" s="43"/>
      <c r="I304" s="44" t="str">
        <f aca="false">IF(OR($C304="",$F304=""),"",N($F304)*N($G304)*(1-N($H304)))</f>
        <v/>
      </c>
      <c r="J304" s="24"/>
      <c r="K304" s="23"/>
      <c r="L304" s="30" t="str">
        <f aca="false">IF($C304="","",IFERROR(IF(INDEX(Inventario!$L$5:$L$100,MATCH($C304,Inventario!$B$5:$B$100,0))&lt;0,"Stock negativo: revisa","OK"),"No está en Inventario"))</f>
        <v/>
      </c>
    </row>
    <row r="305" customFormat="false" ht="15" hidden="false" customHeight="false" outlineLevel="0" collapsed="false">
      <c r="A305" s="1"/>
      <c r="B305" s="37"/>
      <c r="C305" s="13"/>
      <c r="D305" s="21" t="str">
        <f aca="false">IF($C305="","",IFERROR(INDEX(Inventario!$D$5:$D$100,MATCH($C305,Inventario!$B$5:$B$100,0)),"No está en Inventario"))</f>
        <v/>
      </c>
      <c r="E305" s="21" t="str">
        <f aca="false">IF($C305="","",IFERROR(INDEX(Inventario!$E$5:$E$100,MATCH($C305,Inventario!$B$5:$B$100,0)),"No está en Inventario"))</f>
        <v/>
      </c>
      <c r="F305" s="16"/>
      <c r="G305" s="38" t="str">
        <f aca="false">IF($C305="","",IFERROR(INDEX(Inventario!$H$5:$H$100,MATCH($C305,Inventario!$B$5:$B$100,0)),"No está en Inventario"))</f>
        <v/>
      </c>
      <c r="H305" s="39"/>
      <c r="I305" s="40" t="str">
        <f aca="false">IF(OR($C305="",$F305=""),"",N($F305)*N($G305)*(1-N($H305)))</f>
        <v/>
      </c>
      <c r="J305" s="14"/>
      <c r="K305" s="13"/>
      <c r="L305" s="20" t="str">
        <f aca="false">IF($C305="","",IFERROR(IF(INDEX(Inventario!$L$5:$L$100,MATCH($C305,Inventario!$B$5:$B$100,0))&lt;0,"Stock negativo: revisa","OK"),"No está en Inventario"))</f>
        <v/>
      </c>
    </row>
    <row r="306" customFormat="false" ht="15" hidden="false" customHeight="false" outlineLevel="0" collapsed="false">
      <c r="A306" s="1"/>
      <c r="B306" s="41"/>
      <c r="C306" s="23"/>
      <c r="D306" s="31" t="str">
        <f aca="false">IF($C306="","",IFERROR(INDEX(Inventario!$D$5:$D$100,MATCH($C306,Inventario!$B$5:$B$100,0)),"No está en Inventario"))</f>
        <v/>
      </c>
      <c r="E306" s="31" t="str">
        <f aca="false">IF($C306="","",IFERROR(INDEX(Inventario!$E$5:$E$100,MATCH($C306,Inventario!$B$5:$B$100,0)),"No está en Inventario"))</f>
        <v/>
      </c>
      <c r="F306" s="26"/>
      <c r="G306" s="42" t="str">
        <f aca="false">IF($C306="","",IFERROR(INDEX(Inventario!$H$5:$H$100,MATCH($C306,Inventario!$B$5:$B$100,0)),"No está en Inventario"))</f>
        <v/>
      </c>
      <c r="H306" s="43"/>
      <c r="I306" s="44" t="str">
        <f aca="false">IF(OR($C306="",$F306=""),"",N($F306)*N($G306)*(1-N($H306)))</f>
        <v/>
      </c>
      <c r="J306" s="24"/>
      <c r="K306" s="23"/>
      <c r="L306" s="30" t="str">
        <f aca="false">IF($C306="","",IFERROR(IF(INDEX(Inventario!$L$5:$L$100,MATCH($C306,Inventario!$B$5:$B$100,0))&lt;0,"Stock negativo: revisa","OK"),"No está en Inventario"))</f>
        <v/>
      </c>
    </row>
    <row r="307" customFormat="false" ht="15" hidden="false" customHeight="false" outlineLevel="0" collapsed="false">
      <c r="A307" s="1"/>
      <c r="B307" s="37"/>
      <c r="C307" s="13"/>
      <c r="D307" s="21" t="str">
        <f aca="false">IF($C307="","",IFERROR(INDEX(Inventario!$D$5:$D$100,MATCH($C307,Inventario!$B$5:$B$100,0)),"No está en Inventario"))</f>
        <v/>
      </c>
      <c r="E307" s="21" t="str">
        <f aca="false">IF($C307="","",IFERROR(INDEX(Inventario!$E$5:$E$100,MATCH($C307,Inventario!$B$5:$B$100,0)),"No está en Inventario"))</f>
        <v/>
      </c>
      <c r="F307" s="16"/>
      <c r="G307" s="38" t="str">
        <f aca="false">IF($C307="","",IFERROR(INDEX(Inventario!$H$5:$H$100,MATCH($C307,Inventario!$B$5:$B$100,0)),"No está en Inventario"))</f>
        <v/>
      </c>
      <c r="H307" s="39"/>
      <c r="I307" s="40" t="str">
        <f aca="false">IF(OR($C307="",$F307=""),"",N($F307)*N($G307)*(1-N($H307)))</f>
        <v/>
      </c>
      <c r="J307" s="14"/>
      <c r="K307" s="13"/>
      <c r="L307" s="20" t="str">
        <f aca="false">IF($C307="","",IFERROR(IF(INDEX(Inventario!$L$5:$L$100,MATCH($C307,Inventario!$B$5:$B$100,0))&lt;0,"Stock negativo: revisa","OK"),"No está en Inventario"))</f>
        <v/>
      </c>
    </row>
    <row r="308" customFormat="false" ht="15" hidden="false" customHeight="false" outlineLevel="0" collapsed="false">
      <c r="A308" s="1"/>
      <c r="B308" s="41"/>
      <c r="C308" s="23"/>
      <c r="D308" s="31" t="str">
        <f aca="false">IF($C308="","",IFERROR(INDEX(Inventario!$D$5:$D$100,MATCH($C308,Inventario!$B$5:$B$100,0)),"No está en Inventario"))</f>
        <v/>
      </c>
      <c r="E308" s="31" t="str">
        <f aca="false">IF($C308="","",IFERROR(INDEX(Inventario!$E$5:$E$100,MATCH($C308,Inventario!$B$5:$B$100,0)),"No está en Inventario"))</f>
        <v/>
      </c>
      <c r="F308" s="26"/>
      <c r="G308" s="42" t="str">
        <f aca="false">IF($C308="","",IFERROR(INDEX(Inventario!$H$5:$H$100,MATCH($C308,Inventario!$B$5:$B$100,0)),"No está en Inventario"))</f>
        <v/>
      </c>
      <c r="H308" s="43"/>
      <c r="I308" s="44" t="str">
        <f aca="false">IF(OR($C308="",$F308=""),"",N($F308)*N($G308)*(1-N($H308)))</f>
        <v/>
      </c>
      <c r="J308" s="24"/>
      <c r="K308" s="23"/>
      <c r="L308" s="30" t="str">
        <f aca="false">IF($C308="","",IFERROR(IF(INDEX(Inventario!$L$5:$L$100,MATCH($C308,Inventario!$B$5:$B$100,0))&lt;0,"Stock negativo: revisa","OK"),"No está en Inventario"))</f>
        <v/>
      </c>
    </row>
    <row r="309" customFormat="false" ht="15" hidden="false" customHeight="false" outlineLevel="0" collapsed="false">
      <c r="A309" s="1"/>
      <c r="B309" s="37"/>
      <c r="C309" s="13"/>
      <c r="D309" s="21" t="str">
        <f aca="false">IF($C309="","",IFERROR(INDEX(Inventario!$D$5:$D$100,MATCH($C309,Inventario!$B$5:$B$100,0)),"No está en Inventario"))</f>
        <v/>
      </c>
      <c r="E309" s="21" t="str">
        <f aca="false">IF($C309="","",IFERROR(INDEX(Inventario!$E$5:$E$100,MATCH($C309,Inventario!$B$5:$B$100,0)),"No está en Inventario"))</f>
        <v/>
      </c>
      <c r="F309" s="16"/>
      <c r="G309" s="38" t="str">
        <f aca="false">IF($C309="","",IFERROR(INDEX(Inventario!$H$5:$H$100,MATCH($C309,Inventario!$B$5:$B$100,0)),"No está en Inventario"))</f>
        <v/>
      </c>
      <c r="H309" s="39"/>
      <c r="I309" s="40" t="str">
        <f aca="false">IF(OR($C309="",$F309=""),"",N($F309)*N($G309)*(1-N($H309)))</f>
        <v/>
      </c>
      <c r="J309" s="14"/>
      <c r="K309" s="13"/>
      <c r="L309" s="20" t="str">
        <f aca="false">IF($C309="","",IFERROR(IF(INDEX(Inventario!$L$5:$L$100,MATCH($C309,Inventario!$B$5:$B$100,0))&lt;0,"Stock negativo: revisa","OK"),"No está en Inventario"))</f>
        <v/>
      </c>
    </row>
    <row r="310" customFormat="false" ht="15" hidden="false" customHeight="false" outlineLevel="0" collapsed="false">
      <c r="A310" s="1"/>
      <c r="B310" s="41"/>
      <c r="C310" s="23"/>
      <c r="D310" s="31" t="str">
        <f aca="false">IF($C310="","",IFERROR(INDEX(Inventario!$D$5:$D$100,MATCH($C310,Inventario!$B$5:$B$100,0)),"No está en Inventario"))</f>
        <v/>
      </c>
      <c r="E310" s="31" t="str">
        <f aca="false">IF($C310="","",IFERROR(INDEX(Inventario!$E$5:$E$100,MATCH($C310,Inventario!$B$5:$B$100,0)),"No está en Inventario"))</f>
        <v/>
      </c>
      <c r="F310" s="26"/>
      <c r="G310" s="42" t="str">
        <f aca="false">IF($C310="","",IFERROR(INDEX(Inventario!$H$5:$H$100,MATCH($C310,Inventario!$B$5:$B$100,0)),"No está en Inventario"))</f>
        <v/>
      </c>
      <c r="H310" s="43"/>
      <c r="I310" s="44" t="str">
        <f aca="false">IF(OR($C310="",$F310=""),"",N($F310)*N($G310)*(1-N($H310)))</f>
        <v/>
      </c>
      <c r="J310" s="24"/>
      <c r="K310" s="23"/>
      <c r="L310" s="30" t="str">
        <f aca="false">IF($C310="","",IFERROR(IF(INDEX(Inventario!$L$5:$L$100,MATCH($C310,Inventario!$B$5:$B$100,0))&lt;0,"Stock negativo: revisa","OK"),"No está en Inventario"))</f>
        <v/>
      </c>
    </row>
    <row r="311" customFormat="false" ht="15" hidden="false" customHeight="false" outlineLevel="0" collapsed="false">
      <c r="A311" s="1"/>
      <c r="B311" s="37"/>
      <c r="C311" s="13"/>
      <c r="D311" s="21" t="str">
        <f aca="false">IF($C311="","",IFERROR(INDEX(Inventario!$D$5:$D$100,MATCH($C311,Inventario!$B$5:$B$100,0)),"No está en Inventario"))</f>
        <v/>
      </c>
      <c r="E311" s="21" t="str">
        <f aca="false">IF($C311="","",IFERROR(INDEX(Inventario!$E$5:$E$100,MATCH($C311,Inventario!$B$5:$B$100,0)),"No está en Inventario"))</f>
        <v/>
      </c>
      <c r="F311" s="16"/>
      <c r="G311" s="38" t="str">
        <f aca="false">IF($C311="","",IFERROR(INDEX(Inventario!$H$5:$H$100,MATCH($C311,Inventario!$B$5:$B$100,0)),"No está en Inventario"))</f>
        <v/>
      </c>
      <c r="H311" s="39"/>
      <c r="I311" s="40" t="str">
        <f aca="false">IF(OR($C311="",$F311=""),"",N($F311)*N($G311)*(1-N($H311)))</f>
        <v/>
      </c>
      <c r="J311" s="14"/>
      <c r="K311" s="13"/>
      <c r="L311" s="20" t="str">
        <f aca="false">IF($C311="","",IFERROR(IF(INDEX(Inventario!$L$5:$L$100,MATCH($C311,Inventario!$B$5:$B$100,0))&lt;0,"Stock negativo: revisa","OK"),"No está en Inventario"))</f>
        <v/>
      </c>
    </row>
    <row r="312" customFormat="false" ht="15" hidden="false" customHeight="false" outlineLevel="0" collapsed="false">
      <c r="A312" s="1"/>
      <c r="B312" s="41"/>
      <c r="C312" s="23"/>
      <c r="D312" s="31" t="str">
        <f aca="false">IF($C312="","",IFERROR(INDEX(Inventario!$D$5:$D$100,MATCH($C312,Inventario!$B$5:$B$100,0)),"No está en Inventario"))</f>
        <v/>
      </c>
      <c r="E312" s="31" t="str">
        <f aca="false">IF($C312="","",IFERROR(INDEX(Inventario!$E$5:$E$100,MATCH($C312,Inventario!$B$5:$B$100,0)),"No está en Inventario"))</f>
        <v/>
      </c>
      <c r="F312" s="26"/>
      <c r="G312" s="42" t="str">
        <f aca="false">IF($C312="","",IFERROR(INDEX(Inventario!$H$5:$H$100,MATCH($C312,Inventario!$B$5:$B$100,0)),"No está en Inventario"))</f>
        <v/>
      </c>
      <c r="H312" s="43"/>
      <c r="I312" s="44" t="str">
        <f aca="false">IF(OR($C312="",$F312=""),"",N($F312)*N($G312)*(1-N($H312)))</f>
        <v/>
      </c>
      <c r="J312" s="24"/>
      <c r="K312" s="23"/>
      <c r="L312" s="30" t="str">
        <f aca="false">IF($C312="","",IFERROR(IF(INDEX(Inventario!$L$5:$L$100,MATCH($C312,Inventario!$B$5:$B$100,0))&lt;0,"Stock negativo: revisa","OK"),"No está en Inventario"))</f>
        <v/>
      </c>
    </row>
    <row r="313" customFormat="false" ht="15" hidden="false" customHeight="false" outlineLevel="0" collapsed="false">
      <c r="A313" s="1"/>
      <c r="B313" s="37"/>
      <c r="C313" s="13"/>
      <c r="D313" s="21" t="str">
        <f aca="false">IF($C313="","",IFERROR(INDEX(Inventario!$D$5:$D$100,MATCH($C313,Inventario!$B$5:$B$100,0)),"No está en Inventario"))</f>
        <v/>
      </c>
      <c r="E313" s="21" t="str">
        <f aca="false">IF($C313="","",IFERROR(INDEX(Inventario!$E$5:$E$100,MATCH($C313,Inventario!$B$5:$B$100,0)),"No está en Inventario"))</f>
        <v/>
      </c>
      <c r="F313" s="16"/>
      <c r="G313" s="38" t="str">
        <f aca="false">IF($C313="","",IFERROR(INDEX(Inventario!$H$5:$H$100,MATCH($C313,Inventario!$B$5:$B$100,0)),"No está en Inventario"))</f>
        <v/>
      </c>
      <c r="H313" s="39"/>
      <c r="I313" s="40" t="str">
        <f aca="false">IF(OR($C313="",$F313=""),"",N($F313)*N($G313)*(1-N($H313)))</f>
        <v/>
      </c>
      <c r="J313" s="14"/>
      <c r="K313" s="13"/>
      <c r="L313" s="20" t="str">
        <f aca="false">IF($C313="","",IFERROR(IF(INDEX(Inventario!$L$5:$L$100,MATCH($C313,Inventario!$B$5:$B$100,0))&lt;0,"Stock negativo: revisa","OK"),"No está en Inventario"))</f>
        <v/>
      </c>
    </row>
    <row r="314" customFormat="false" ht="15" hidden="false" customHeight="false" outlineLevel="0" collapsed="false">
      <c r="A314" s="1"/>
      <c r="B314" s="41"/>
      <c r="C314" s="23"/>
      <c r="D314" s="31" t="str">
        <f aca="false">IF($C314="","",IFERROR(INDEX(Inventario!$D$5:$D$100,MATCH($C314,Inventario!$B$5:$B$100,0)),"No está en Inventario"))</f>
        <v/>
      </c>
      <c r="E314" s="31" t="str">
        <f aca="false">IF($C314="","",IFERROR(INDEX(Inventario!$E$5:$E$100,MATCH($C314,Inventario!$B$5:$B$100,0)),"No está en Inventario"))</f>
        <v/>
      </c>
      <c r="F314" s="26"/>
      <c r="G314" s="42" t="str">
        <f aca="false">IF($C314="","",IFERROR(INDEX(Inventario!$H$5:$H$100,MATCH($C314,Inventario!$B$5:$B$100,0)),"No está en Inventario"))</f>
        <v/>
      </c>
      <c r="H314" s="43"/>
      <c r="I314" s="44" t="str">
        <f aca="false">IF(OR($C314="",$F314=""),"",N($F314)*N($G314)*(1-N($H314)))</f>
        <v/>
      </c>
      <c r="J314" s="24"/>
      <c r="K314" s="23"/>
      <c r="L314" s="30" t="str">
        <f aca="false">IF($C314="","",IFERROR(IF(INDEX(Inventario!$L$5:$L$100,MATCH($C314,Inventario!$B$5:$B$100,0))&lt;0,"Stock negativo: revisa","OK"),"No está en Inventario"))</f>
        <v/>
      </c>
    </row>
    <row r="315" customFormat="false" ht="15" hidden="false" customHeight="false" outlineLevel="0" collapsed="false">
      <c r="A315" s="1"/>
      <c r="B315" s="37"/>
      <c r="C315" s="13"/>
      <c r="D315" s="21" t="str">
        <f aca="false">IF($C315="","",IFERROR(INDEX(Inventario!$D$5:$D$100,MATCH($C315,Inventario!$B$5:$B$100,0)),"No está en Inventario"))</f>
        <v/>
      </c>
      <c r="E315" s="21" t="str">
        <f aca="false">IF($C315="","",IFERROR(INDEX(Inventario!$E$5:$E$100,MATCH($C315,Inventario!$B$5:$B$100,0)),"No está en Inventario"))</f>
        <v/>
      </c>
      <c r="F315" s="16"/>
      <c r="G315" s="38" t="str">
        <f aca="false">IF($C315="","",IFERROR(INDEX(Inventario!$H$5:$H$100,MATCH($C315,Inventario!$B$5:$B$100,0)),"No está en Inventario"))</f>
        <v/>
      </c>
      <c r="H315" s="39"/>
      <c r="I315" s="40" t="str">
        <f aca="false">IF(OR($C315="",$F315=""),"",N($F315)*N($G315)*(1-N($H315)))</f>
        <v/>
      </c>
      <c r="J315" s="14"/>
      <c r="K315" s="13"/>
      <c r="L315" s="20" t="str">
        <f aca="false">IF($C315="","",IFERROR(IF(INDEX(Inventario!$L$5:$L$100,MATCH($C315,Inventario!$B$5:$B$100,0))&lt;0,"Stock negativo: revisa","OK"),"No está en Inventario"))</f>
        <v/>
      </c>
    </row>
    <row r="316" customFormat="false" ht="15" hidden="false" customHeight="false" outlineLevel="0" collapsed="false">
      <c r="A316" s="1"/>
      <c r="B316" s="41"/>
      <c r="C316" s="23"/>
      <c r="D316" s="31" t="str">
        <f aca="false">IF($C316="","",IFERROR(INDEX(Inventario!$D$5:$D$100,MATCH($C316,Inventario!$B$5:$B$100,0)),"No está en Inventario"))</f>
        <v/>
      </c>
      <c r="E316" s="31" t="str">
        <f aca="false">IF($C316="","",IFERROR(INDEX(Inventario!$E$5:$E$100,MATCH($C316,Inventario!$B$5:$B$100,0)),"No está en Inventario"))</f>
        <v/>
      </c>
      <c r="F316" s="26"/>
      <c r="G316" s="42" t="str">
        <f aca="false">IF($C316="","",IFERROR(INDEX(Inventario!$H$5:$H$100,MATCH($C316,Inventario!$B$5:$B$100,0)),"No está en Inventario"))</f>
        <v/>
      </c>
      <c r="H316" s="43"/>
      <c r="I316" s="44" t="str">
        <f aca="false">IF(OR($C316="",$F316=""),"",N($F316)*N($G316)*(1-N($H316)))</f>
        <v/>
      </c>
      <c r="J316" s="24"/>
      <c r="K316" s="23"/>
      <c r="L316" s="30" t="str">
        <f aca="false">IF($C316="","",IFERROR(IF(INDEX(Inventario!$L$5:$L$100,MATCH($C316,Inventario!$B$5:$B$100,0))&lt;0,"Stock negativo: revisa","OK"),"No está en Inventario"))</f>
        <v/>
      </c>
    </row>
    <row r="317" customFormat="false" ht="15" hidden="false" customHeight="false" outlineLevel="0" collapsed="false">
      <c r="A317" s="1"/>
      <c r="B317" s="37"/>
      <c r="C317" s="13"/>
      <c r="D317" s="21" t="str">
        <f aca="false">IF($C317="","",IFERROR(INDEX(Inventario!$D$5:$D$100,MATCH($C317,Inventario!$B$5:$B$100,0)),"No está en Inventario"))</f>
        <v/>
      </c>
      <c r="E317" s="21" t="str">
        <f aca="false">IF($C317="","",IFERROR(INDEX(Inventario!$E$5:$E$100,MATCH($C317,Inventario!$B$5:$B$100,0)),"No está en Inventario"))</f>
        <v/>
      </c>
      <c r="F317" s="16"/>
      <c r="G317" s="38" t="str">
        <f aca="false">IF($C317="","",IFERROR(INDEX(Inventario!$H$5:$H$100,MATCH($C317,Inventario!$B$5:$B$100,0)),"No está en Inventario"))</f>
        <v/>
      </c>
      <c r="H317" s="39"/>
      <c r="I317" s="40" t="str">
        <f aca="false">IF(OR($C317="",$F317=""),"",N($F317)*N($G317)*(1-N($H317)))</f>
        <v/>
      </c>
      <c r="J317" s="14"/>
      <c r="K317" s="13"/>
      <c r="L317" s="20" t="str">
        <f aca="false">IF($C317="","",IFERROR(IF(INDEX(Inventario!$L$5:$L$100,MATCH($C317,Inventario!$B$5:$B$100,0))&lt;0,"Stock negativo: revisa","OK"),"No está en Inventario"))</f>
        <v/>
      </c>
    </row>
    <row r="318" customFormat="false" ht="15" hidden="false" customHeight="false" outlineLevel="0" collapsed="false">
      <c r="A318" s="1"/>
      <c r="B318" s="41"/>
      <c r="C318" s="23"/>
      <c r="D318" s="31" t="str">
        <f aca="false">IF($C318="","",IFERROR(INDEX(Inventario!$D$5:$D$100,MATCH($C318,Inventario!$B$5:$B$100,0)),"No está en Inventario"))</f>
        <v/>
      </c>
      <c r="E318" s="31" t="str">
        <f aca="false">IF($C318="","",IFERROR(INDEX(Inventario!$E$5:$E$100,MATCH($C318,Inventario!$B$5:$B$100,0)),"No está en Inventario"))</f>
        <v/>
      </c>
      <c r="F318" s="26"/>
      <c r="G318" s="42" t="str">
        <f aca="false">IF($C318="","",IFERROR(INDEX(Inventario!$H$5:$H$100,MATCH($C318,Inventario!$B$5:$B$100,0)),"No está en Inventario"))</f>
        <v/>
      </c>
      <c r="H318" s="43"/>
      <c r="I318" s="44" t="str">
        <f aca="false">IF(OR($C318="",$F318=""),"",N($F318)*N($G318)*(1-N($H318)))</f>
        <v/>
      </c>
      <c r="J318" s="24"/>
      <c r="K318" s="23"/>
      <c r="L318" s="30" t="str">
        <f aca="false">IF($C318="","",IFERROR(IF(INDEX(Inventario!$L$5:$L$100,MATCH($C318,Inventario!$B$5:$B$100,0))&lt;0,"Stock negativo: revisa","OK"),"No está en Inventario"))</f>
        <v/>
      </c>
    </row>
    <row r="319" customFormat="false" ht="15" hidden="false" customHeight="false" outlineLevel="0" collapsed="false">
      <c r="A319" s="1"/>
      <c r="B319" s="37"/>
      <c r="C319" s="13"/>
      <c r="D319" s="21" t="str">
        <f aca="false">IF($C319="","",IFERROR(INDEX(Inventario!$D$5:$D$100,MATCH($C319,Inventario!$B$5:$B$100,0)),"No está en Inventario"))</f>
        <v/>
      </c>
      <c r="E319" s="21" t="str">
        <f aca="false">IF($C319="","",IFERROR(INDEX(Inventario!$E$5:$E$100,MATCH($C319,Inventario!$B$5:$B$100,0)),"No está en Inventario"))</f>
        <v/>
      </c>
      <c r="F319" s="16"/>
      <c r="G319" s="38" t="str">
        <f aca="false">IF($C319="","",IFERROR(INDEX(Inventario!$H$5:$H$100,MATCH($C319,Inventario!$B$5:$B$100,0)),"No está en Inventario"))</f>
        <v/>
      </c>
      <c r="H319" s="39"/>
      <c r="I319" s="40" t="str">
        <f aca="false">IF(OR($C319="",$F319=""),"",N($F319)*N($G319)*(1-N($H319)))</f>
        <v/>
      </c>
      <c r="J319" s="14"/>
      <c r="K319" s="13"/>
      <c r="L319" s="20" t="str">
        <f aca="false">IF($C319="","",IFERROR(IF(INDEX(Inventario!$L$5:$L$100,MATCH($C319,Inventario!$B$5:$B$100,0))&lt;0,"Stock negativo: revisa","OK"),"No está en Inventario"))</f>
        <v/>
      </c>
    </row>
    <row r="320" customFormat="false" ht="15" hidden="false" customHeight="false" outlineLevel="0" collapsed="false">
      <c r="A320" s="1"/>
      <c r="B320" s="41"/>
      <c r="C320" s="23"/>
      <c r="D320" s="31" t="str">
        <f aca="false">IF($C320="","",IFERROR(INDEX(Inventario!$D$5:$D$100,MATCH($C320,Inventario!$B$5:$B$100,0)),"No está en Inventario"))</f>
        <v/>
      </c>
      <c r="E320" s="31" t="str">
        <f aca="false">IF($C320="","",IFERROR(INDEX(Inventario!$E$5:$E$100,MATCH($C320,Inventario!$B$5:$B$100,0)),"No está en Inventario"))</f>
        <v/>
      </c>
      <c r="F320" s="26"/>
      <c r="G320" s="42" t="str">
        <f aca="false">IF($C320="","",IFERROR(INDEX(Inventario!$H$5:$H$100,MATCH($C320,Inventario!$B$5:$B$100,0)),"No está en Inventario"))</f>
        <v/>
      </c>
      <c r="H320" s="43"/>
      <c r="I320" s="44" t="str">
        <f aca="false">IF(OR($C320="",$F320=""),"",N($F320)*N($G320)*(1-N($H320)))</f>
        <v/>
      </c>
      <c r="J320" s="24"/>
      <c r="K320" s="23"/>
      <c r="L320" s="30" t="str">
        <f aca="false">IF($C320="","",IFERROR(IF(INDEX(Inventario!$L$5:$L$100,MATCH($C320,Inventario!$B$5:$B$100,0))&lt;0,"Stock negativo: revisa","OK"),"No está en Inventario"))</f>
        <v/>
      </c>
    </row>
    <row r="321" customFormat="false" ht="15" hidden="false" customHeight="false" outlineLevel="0" collapsed="false">
      <c r="A321" s="1"/>
      <c r="B321" s="37"/>
      <c r="C321" s="13"/>
      <c r="D321" s="21" t="str">
        <f aca="false">IF($C321="","",IFERROR(INDEX(Inventario!$D$5:$D$100,MATCH($C321,Inventario!$B$5:$B$100,0)),"No está en Inventario"))</f>
        <v/>
      </c>
      <c r="E321" s="21" t="str">
        <f aca="false">IF($C321="","",IFERROR(INDEX(Inventario!$E$5:$E$100,MATCH($C321,Inventario!$B$5:$B$100,0)),"No está en Inventario"))</f>
        <v/>
      </c>
      <c r="F321" s="16"/>
      <c r="G321" s="38" t="str">
        <f aca="false">IF($C321="","",IFERROR(INDEX(Inventario!$H$5:$H$100,MATCH($C321,Inventario!$B$5:$B$100,0)),"No está en Inventario"))</f>
        <v/>
      </c>
      <c r="H321" s="39"/>
      <c r="I321" s="40" t="str">
        <f aca="false">IF(OR($C321="",$F321=""),"",N($F321)*N($G321)*(1-N($H321)))</f>
        <v/>
      </c>
      <c r="J321" s="14"/>
      <c r="K321" s="13"/>
      <c r="L321" s="20" t="str">
        <f aca="false">IF($C321="","",IFERROR(IF(INDEX(Inventario!$L$5:$L$100,MATCH($C321,Inventario!$B$5:$B$100,0))&lt;0,"Stock negativo: revisa","OK"),"No está en Inventario"))</f>
        <v/>
      </c>
    </row>
    <row r="322" customFormat="false" ht="15" hidden="false" customHeight="false" outlineLevel="0" collapsed="false">
      <c r="A322" s="1"/>
      <c r="B322" s="41"/>
      <c r="C322" s="23"/>
      <c r="D322" s="31" t="str">
        <f aca="false">IF($C322="","",IFERROR(INDEX(Inventario!$D$5:$D$100,MATCH($C322,Inventario!$B$5:$B$100,0)),"No está en Inventario"))</f>
        <v/>
      </c>
      <c r="E322" s="31" t="str">
        <f aca="false">IF($C322="","",IFERROR(INDEX(Inventario!$E$5:$E$100,MATCH($C322,Inventario!$B$5:$B$100,0)),"No está en Inventario"))</f>
        <v/>
      </c>
      <c r="F322" s="26"/>
      <c r="G322" s="42" t="str">
        <f aca="false">IF($C322="","",IFERROR(INDEX(Inventario!$H$5:$H$100,MATCH($C322,Inventario!$B$5:$B$100,0)),"No está en Inventario"))</f>
        <v/>
      </c>
      <c r="H322" s="43"/>
      <c r="I322" s="44" t="str">
        <f aca="false">IF(OR($C322="",$F322=""),"",N($F322)*N($G322)*(1-N($H322)))</f>
        <v/>
      </c>
      <c r="J322" s="24"/>
      <c r="K322" s="23"/>
      <c r="L322" s="30" t="str">
        <f aca="false">IF($C322="","",IFERROR(IF(INDEX(Inventario!$L$5:$L$100,MATCH($C322,Inventario!$B$5:$B$100,0))&lt;0,"Stock negativo: revisa","OK"),"No está en Inventario"))</f>
        <v/>
      </c>
    </row>
    <row r="323" customFormat="false" ht="15" hidden="false" customHeight="false" outlineLevel="0" collapsed="false">
      <c r="A323" s="1"/>
      <c r="B323" s="37"/>
      <c r="C323" s="13"/>
      <c r="D323" s="21" t="str">
        <f aca="false">IF($C323="","",IFERROR(INDEX(Inventario!$D$5:$D$100,MATCH($C323,Inventario!$B$5:$B$100,0)),"No está en Inventario"))</f>
        <v/>
      </c>
      <c r="E323" s="21" t="str">
        <f aca="false">IF($C323="","",IFERROR(INDEX(Inventario!$E$5:$E$100,MATCH($C323,Inventario!$B$5:$B$100,0)),"No está en Inventario"))</f>
        <v/>
      </c>
      <c r="F323" s="16"/>
      <c r="G323" s="38" t="str">
        <f aca="false">IF($C323="","",IFERROR(INDEX(Inventario!$H$5:$H$100,MATCH($C323,Inventario!$B$5:$B$100,0)),"No está en Inventario"))</f>
        <v/>
      </c>
      <c r="H323" s="39"/>
      <c r="I323" s="40" t="str">
        <f aca="false">IF(OR($C323="",$F323=""),"",N($F323)*N($G323)*(1-N($H323)))</f>
        <v/>
      </c>
      <c r="J323" s="14"/>
      <c r="K323" s="13"/>
      <c r="L323" s="20" t="str">
        <f aca="false">IF($C323="","",IFERROR(IF(INDEX(Inventario!$L$5:$L$100,MATCH($C323,Inventario!$B$5:$B$100,0))&lt;0,"Stock negativo: revisa","OK"),"No está en Inventario"))</f>
        <v/>
      </c>
    </row>
    <row r="324" customFormat="false" ht="15" hidden="false" customHeight="false" outlineLevel="0" collapsed="false">
      <c r="A324" s="1"/>
      <c r="B324" s="41"/>
      <c r="C324" s="23"/>
      <c r="D324" s="31" t="str">
        <f aca="false">IF($C324="","",IFERROR(INDEX(Inventario!$D$5:$D$100,MATCH($C324,Inventario!$B$5:$B$100,0)),"No está en Inventario"))</f>
        <v/>
      </c>
      <c r="E324" s="31" t="str">
        <f aca="false">IF($C324="","",IFERROR(INDEX(Inventario!$E$5:$E$100,MATCH($C324,Inventario!$B$5:$B$100,0)),"No está en Inventario"))</f>
        <v/>
      </c>
      <c r="F324" s="26"/>
      <c r="G324" s="42" t="str">
        <f aca="false">IF($C324="","",IFERROR(INDEX(Inventario!$H$5:$H$100,MATCH($C324,Inventario!$B$5:$B$100,0)),"No está en Inventario"))</f>
        <v/>
      </c>
      <c r="H324" s="43"/>
      <c r="I324" s="44" t="str">
        <f aca="false">IF(OR($C324="",$F324=""),"",N($F324)*N($G324)*(1-N($H324)))</f>
        <v/>
      </c>
      <c r="J324" s="24"/>
      <c r="K324" s="23"/>
      <c r="L324" s="30" t="str">
        <f aca="false">IF($C324="","",IFERROR(IF(INDEX(Inventario!$L$5:$L$100,MATCH($C324,Inventario!$B$5:$B$100,0))&lt;0,"Stock negativo: revisa","OK"),"No está en Inventario"))</f>
        <v/>
      </c>
    </row>
    <row r="325" customFormat="false" ht="15" hidden="false" customHeight="false" outlineLevel="0" collapsed="false">
      <c r="A325" s="1"/>
      <c r="B325" s="37"/>
      <c r="C325" s="13"/>
      <c r="D325" s="21" t="str">
        <f aca="false">IF($C325="","",IFERROR(INDEX(Inventario!$D$5:$D$100,MATCH($C325,Inventario!$B$5:$B$100,0)),"No está en Inventario"))</f>
        <v/>
      </c>
      <c r="E325" s="21" t="str">
        <f aca="false">IF($C325="","",IFERROR(INDEX(Inventario!$E$5:$E$100,MATCH($C325,Inventario!$B$5:$B$100,0)),"No está en Inventario"))</f>
        <v/>
      </c>
      <c r="F325" s="16"/>
      <c r="G325" s="38" t="str">
        <f aca="false">IF($C325="","",IFERROR(INDEX(Inventario!$H$5:$H$100,MATCH($C325,Inventario!$B$5:$B$100,0)),"No está en Inventario"))</f>
        <v/>
      </c>
      <c r="H325" s="39"/>
      <c r="I325" s="40" t="str">
        <f aca="false">IF(OR($C325="",$F325=""),"",N($F325)*N($G325)*(1-N($H325)))</f>
        <v/>
      </c>
      <c r="J325" s="14"/>
      <c r="K325" s="13"/>
      <c r="L325" s="20" t="str">
        <f aca="false">IF($C325="","",IFERROR(IF(INDEX(Inventario!$L$5:$L$100,MATCH($C325,Inventario!$B$5:$B$100,0))&lt;0,"Stock negativo: revisa","OK"),"No está en Inventario"))</f>
        <v/>
      </c>
    </row>
    <row r="326" customFormat="false" ht="15" hidden="false" customHeight="false" outlineLevel="0" collapsed="false">
      <c r="A326" s="1"/>
      <c r="B326" s="41"/>
      <c r="C326" s="23"/>
      <c r="D326" s="31" t="str">
        <f aca="false">IF($C326="","",IFERROR(INDEX(Inventario!$D$5:$D$100,MATCH($C326,Inventario!$B$5:$B$100,0)),"No está en Inventario"))</f>
        <v/>
      </c>
      <c r="E326" s="31" t="str">
        <f aca="false">IF($C326="","",IFERROR(INDEX(Inventario!$E$5:$E$100,MATCH($C326,Inventario!$B$5:$B$100,0)),"No está en Inventario"))</f>
        <v/>
      </c>
      <c r="F326" s="26"/>
      <c r="G326" s="42" t="str">
        <f aca="false">IF($C326="","",IFERROR(INDEX(Inventario!$H$5:$H$100,MATCH($C326,Inventario!$B$5:$B$100,0)),"No está en Inventario"))</f>
        <v/>
      </c>
      <c r="H326" s="43"/>
      <c r="I326" s="44" t="str">
        <f aca="false">IF(OR($C326="",$F326=""),"",N($F326)*N($G326)*(1-N($H326)))</f>
        <v/>
      </c>
      <c r="J326" s="24"/>
      <c r="K326" s="23"/>
      <c r="L326" s="30" t="str">
        <f aca="false">IF($C326="","",IFERROR(IF(INDEX(Inventario!$L$5:$L$100,MATCH($C326,Inventario!$B$5:$B$100,0))&lt;0,"Stock negativo: revisa","OK"),"No está en Inventario"))</f>
        <v/>
      </c>
    </row>
    <row r="327" customFormat="false" ht="15" hidden="false" customHeight="false" outlineLevel="0" collapsed="false">
      <c r="A327" s="1"/>
      <c r="B327" s="37"/>
      <c r="C327" s="13"/>
      <c r="D327" s="21" t="str">
        <f aca="false">IF($C327="","",IFERROR(INDEX(Inventario!$D$5:$D$100,MATCH($C327,Inventario!$B$5:$B$100,0)),"No está en Inventario"))</f>
        <v/>
      </c>
      <c r="E327" s="21" t="str">
        <f aca="false">IF($C327="","",IFERROR(INDEX(Inventario!$E$5:$E$100,MATCH($C327,Inventario!$B$5:$B$100,0)),"No está en Inventario"))</f>
        <v/>
      </c>
      <c r="F327" s="16"/>
      <c r="G327" s="38" t="str">
        <f aca="false">IF($C327="","",IFERROR(INDEX(Inventario!$H$5:$H$100,MATCH($C327,Inventario!$B$5:$B$100,0)),"No está en Inventario"))</f>
        <v/>
      </c>
      <c r="H327" s="39"/>
      <c r="I327" s="40" t="str">
        <f aca="false">IF(OR($C327="",$F327=""),"",N($F327)*N($G327)*(1-N($H327)))</f>
        <v/>
      </c>
      <c r="J327" s="14"/>
      <c r="K327" s="13"/>
      <c r="L327" s="20" t="str">
        <f aca="false">IF($C327="","",IFERROR(IF(INDEX(Inventario!$L$5:$L$100,MATCH($C327,Inventario!$B$5:$B$100,0))&lt;0,"Stock negativo: revisa","OK"),"No está en Inventario"))</f>
        <v/>
      </c>
    </row>
    <row r="328" customFormat="false" ht="15" hidden="false" customHeight="false" outlineLevel="0" collapsed="false">
      <c r="A328" s="1"/>
      <c r="B328" s="41"/>
      <c r="C328" s="23"/>
      <c r="D328" s="31" t="str">
        <f aca="false">IF($C328="","",IFERROR(INDEX(Inventario!$D$5:$D$100,MATCH($C328,Inventario!$B$5:$B$100,0)),"No está en Inventario"))</f>
        <v/>
      </c>
      <c r="E328" s="31" t="str">
        <f aca="false">IF($C328="","",IFERROR(INDEX(Inventario!$E$5:$E$100,MATCH($C328,Inventario!$B$5:$B$100,0)),"No está en Inventario"))</f>
        <v/>
      </c>
      <c r="F328" s="26"/>
      <c r="G328" s="42" t="str">
        <f aca="false">IF($C328="","",IFERROR(INDEX(Inventario!$H$5:$H$100,MATCH($C328,Inventario!$B$5:$B$100,0)),"No está en Inventario"))</f>
        <v/>
      </c>
      <c r="H328" s="43"/>
      <c r="I328" s="44" t="str">
        <f aca="false">IF(OR($C328="",$F328=""),"",N($F328)*N($G328)*(1-N($H328)))</f>
        <v/>
      </c>
      <c r="J328" s="24"/>
      <c r="K328" s="23"/>
      <c r="L328" s="30" t="str">
        <f aca="false">IF($C328="","",IFERROR(IF(INDEX(Inventario!$L$5:$L$100,MATCH($C328,Inventario!$B$5:$B$100,0))&lt;0,"Stock negativo: revisa","OK"),"No está en Inventario"))</f>
        <v/>
      </c>
    </row>
    <row r="329" customFormat="false" ht="15" hidden="false" customHeight="false" outlineLevel="0" collapsed="false">
      <c r="A329" s="1"/>
      <c r="B329" s="37"/>
      <c r="C329" s="13"/>
      <c r="D329" s="21" t="str">
        <f aca="false">IF($C329="","",IFERROR(INDEX(Inventario!$D$5:$D$100,MATCH($C329,Inventario!$B$5:$B$100,0)),"No está en Inventario"))</f>
        <v/>
      </c>
      <c r="E329" s="21" t="str">
        <f aca="false">IF($C329="","",IFERROR(INDEX(Inventario!$E$5:$E$100,MATCH($C329,Inventario!$B$5:$B$100,0)),"No está en Inventario"))</f>
        <v/>
      </c>
      <c r="F329" s="16"/>
      <c r="G329" s="38" t="str">
        <f aca="false">IF($C329="","",IFERROR(INDEX(Inventario!$H$5:$H$100,MATCH($C329,Inventario!$B$5:$B$100,0)),"No está en Inventario"))</f>
        <v/>
      </c>
      <c r="H329" s="39"/>
      <c r="I329" s="40" t="str">
        <f aca="false">IF(OR($C329="",$F329=""),"",N($F329)*N($G329)*(1-N($H329)))</f>
        <v/>
      </c>
      <c r="J329" s="14"/>
      <c r="K329" s="13"/>
      <c r="L329" s="20" t="str">
        <f aca="false">IF($C329="","",IFERROR(IF(INDEX(Inventario!$L$5:$L$100,MATCH($C329,Inventario!$B$5:$B$100,0))&lt;0,"Stock negativo: revisa","OK"),"No está en Inventario"))</f>
        <v/>
      </c>
    </row>
    <row r="330" customFormat="false" ht="15" hidden="false" customHeight="false" outlineLevel="0" collapsed="false">
      <c r="A330" s="1"/>
      <c r="B330" s="41"/>
      <c r="C330" s="23"/>
      <c r="D330" s="31" t="str">
        <f aca="false">IF($C330="","",IFERROR(INDEX(Inventario!$D$5:$D$100,MATCH($C330,Inventario!$B$5:$B$100,0)),"No está en Inventario"))</f>
        <v/>
      </c>
      <c r="E330" s="31" t="str">
        <f aca="false">IF($C330="","",IFERROR(INDEX(Inventario!$E$5:$E$100,MATCH($C330,Inventario!$B$5:$B$100,0)),"No está en Inventario"))</f>
        <v/>
      </c>
      <c r="F330" s="26"/>
      <c r="G330" s="42" t="str">
        <f aca="false">IF($C330="","",IFERROR(INDEX(Inventario!$H$5:$H$100,MATCH($C330,Inventario!$B$5:$B$100,0)),"No está en Inventario"))</f>
        <v/>
      </c>
      <c r="H330" s="43"/>
      <c r="I330" s="44" t="str">
        <f aca="false">IF(OR($C330="",$F330=""),"",N($F330)*N($G330)*(1-N($H330)))</f>
        <v/>
      </c>
      <c r="J330" s="24"/>
      <c r="K330" s="23"/>
      <c r="L330" s="30" t="str">
        <f aca="false">IF($C330="","",IFERROR(IF(INDEX(Inventario!$L$5:$L$100,MATCH($C330,Inventario!$B$5:$B$100,0))&lt;0,"Stock negativo: revisa","OK"),"No está en Inventario"))</f>
        <v/>
      </c>
    </row>
    <row r="331" customFormat="false" ht="15" hidden="false" customHeight="false" outlineLevel="0" collapsed="false">
      <c r="A331" s="1"/>
      <c r="B331" s="37"/>
      <c r="C331" s="13"/>
      <c r="D331" s="21" t="str">
        <f aca="false">IF($C331="","",IFERROR(INDEX(Inventario!$D$5:$D$100,MATCH($C331,Inventario!$B$5:$B$100,0)),"No está en Inventario"))</f>
        <v/>
      </c>
      <c r="E331" s="21" t="str">
        <f aca="false">IF($C331="","",IFERROR(INDEX(Inventario!$E$5:$E$100,MATCH($C331,Inventario!$B$5:$B$100,0)),"No está en Inventario"))</f>
        <v/>
      </c>
      <c r="F331" s="16"/>
      <c r="G331" s="38" t="str">
        <f aca="false">IF($C331="","",IFERROR(INDEX(Inventario!$H$5:$H$100,MATCH($C331,Inventario!$B$5:$B$100,0)),"No está en Inventario"))</f>
        <v/>
      </c>
      <c r="H331" s="39"/>
      <c r="I331" s="40" t="str">
        <f aca="false">IF(OR($C331="",$F331=""),"",N($F331)*N($G331)*(1-N($H331)))</f>
        <v/>
      </c>
      <c r="J331" s="14"/>
      <c r="K331" s="13"/>
      <c r="L331" s="20" t="str">
        <f aca="false">IF($C331="","",IFERROR(IF(INDEX(Inventario!$L$5:$L$100,MATCH($C331,Inventario!$B$5:$B$100,0))&lt;0,"Stock negativo: revisa","OK"),"No está en Inventario"))</f>
        <v/>
      </c>
    </row>
    <row r="332" customFormat="false" ht="15" hidden="false" customHeight="false" outlineLevel="0" collapsed="false">
      <c r="A332" s="1"/>
      <c r="B332" s="41"/>
      <c r="C332" s="23"/>
      <c r="D332" s="31" t="str">
        <f aca="false">IF($C332="","",IFERROR(INDEX(Inventario!$D$5:$D$100,MATCH($C332,Inventario!$B$5:$B$100,0)),"No está en Inventario"))</f>
        <v/>
      </c>
      <c r="E332" s="31" t="str">
        <f aca="false">IF($C332="","",IFERROR(INDEX(Inventario!$E$5:$E$100,MATCH($C332,Inventario!$B$5:$B$100,0)),"No está en Inventario"))</f>
        <v/>
      </c>
      <c r="F332" s="26"/>
      <c r="G332" s="42" t="str">
        <f aca="false">IF($C332="","",IFERROR(INDEX(Inventario!$H$5:$H$100,MATCH($C332,Inventario!$B$5:$B$100,0)),"No está en Inventario"))</f>
        <v/>
      </c>
      <c r="H332" s="43"/>
      <c r="I332" s="44" t="str">
        <f aca="false">IF(OR($C332="",$F332=""),"",N($F332)*N($G332)*(1-N($H332)))</f>
        <v/>
      </c>
      <c r="J332" s="24"/>
      <c r="K332" s="23"/>
      <c r="L332" s="30" t="str">
        <f aca="false">IF($C332="","",IFERROR(IF(INDEX(Inventario!$L$5:$L$100,MATCH($C332,Inventario!$B$5:$B$100,0))&lt;0,"Stock negativo: revisa","OK"),"No está en Inventario"))</f>
        <v/>
      </c>
    </row>
    <row r="333" customFormat="false" ht="15" hidden="false" customHeight="false" outlineLevel="0" collapsed="false">
      <c r="A333" s="1"/>
      <c r="B333" s="37"/>
      <c r="C333" s="13"/>
      <c r="D333" s="21" t="str">
        <f aca="false">IF($C333="","",IFERROR(INDEX(Inventario!$D$5:$D$100,MATCH($C333,Inventario!$B$5:$B$100,0)),"No está en Inventario"))</f>
        <v/>
      </c>
      <c r="E333" s="21" t="str">
        <f aca="false">IF($C333="","",IFERROR(INDEX(Inventario!$E$5:$E$100,MATCH($C333,Inventario!$B$5:$B$100,0)),"No está en Inventario"))</f>
        <v/>
      </c>
      <c r="F333" s="16"/>
      <c r="G333" s="38" t="str">
        <f aca="false">IF($C333="","",IFERROR(INDEX(Inventario!$H$5:$H$100,MATCH($C333,Inventario!$B$5:$B$100,0)),"No está en Inventario"))</f>
        <v/>
      </c>
      <c r="H333" s="39"/>
      <c r="I333" s="40" t="str">
        <f aca="false">IF(OR($C333="",$F333=""),"",N($F333)*N($G333)*(1-N($H333)))</f>
        <v/>
      </c>
      <c r="J333" s="14"/>
      <c r="K333" s="13"/>
      <c r="L333" s="20" t="str">
        <f aca="false">IF($C333="","",IFERROR(IF(INDEX(Inventario!$L$5:$L$100,MATCH($C333,Inventario!$B$5:$B$100,0))&lt;0,"Stock negativo: revisa","OK"),"No está en Inventario"))</f>
        <v/>
      </c>
    </row>
    <row r="334" customFormat="false" ht="15" hidden="false" customHeight="false" outlineLevel="0" collapsed="false">
      <c r="A334" s="1"/>
      <c r="B334" s="41"/>
      <c r="C334" s="23"/>
      <c r="D334" s="31" t="str">
        <f aca="false">IF($C334="","",IFERROR(INDEX(Inventario!$D$5:$D$100,MATCH($C334,Inventario!$B$5:$B$100,0)),"No está en Inventario"))</f>
        <v/>
      </c>
      <c r="E334" s="31" t="str">
        <f aca="false">IF($C334="","",IFERROR(INDEX(Inventario!$E$5:$E$100,MATCH($C334,Inventario!$B$5:$B$100,0)),"No está en Inventario"))</f>
        <v/>
      </c>
      <c r="F334" s="26"/>
      <c r="G334" s="42" t="str">
        <f aca="false">IF($C334="","",IFERROR(INDEX(Inventario!$H$5:$H$100,MATCH($C334,Inventario!$B$5:$B$100,0)),"No está en Inventario"))</f>
        <v/>
      </c>
      <c r="H334" s="43"/>
      <c r="I334" s="44" t="str">
        <f aca="false">IF(OR($C334="",$F334=""),"",N($F334)*N($G334)*(1-N($H334)))</f>
        <v/>
      </c>
      <c r="J334" s="24"/>
      <c r="K334" s="23"/>
      <c r="L334" s="30" t="str">
        <f aca="false">IF($C334="","",IFERROR(IF(INDEX(Inventario!$L$5:$L$100,MATCH($C334,Inventario!$B$5:$B$100,0))&lt;0,"Stock negativo: revisa","OK"),"No está en Inventario"))</f>
        <v/>
      </c>
    </row>
    <row r="335" customFormat="false" ht="15" hidden="false" customHeight="false" outlineLevel="0" collapsed="false">
      <c r="A335" s="1"/>
      <c r="B335" s="37"/>
      <c r="C335" s="13"/>
      <c r="D335" s="21" t="str">
        <f aca="false">IF($C335="","",IFERROR(INDEX(Inventario!$D$5:$D$100,MATCH($C335,Inventario!$B$5:$B$100,0)),"No está en Inventario"))</f>
        <v/>
      </c>
      <c r="E335" s="21" t="str">
        <f aca="false">IF($C335="","",IFERROR(INDEX(Inventario!$E$5:$E$100,MATCH($C335,Inventario!$B$5:$B$100,0)),"No está en Inventario"))</f>
        <v/>
      </c>
      <c r="F335" s="16"/>
      <c r="G335" s="38" t="str">
        <f aca="false">IF($C335="","",IFERROR(INDEX(Inventario!$H$5:$H$100,MATCH($C335,Inventario!$B$5:$B$100,0)),"No está en Inventario"))</f>
        <v/>
      </c>
      <c r="H335" s="39"/>
      <c r="I335" s="40" t="str">
        <f aca="false">IF(OR($C335="",$F335=""),"",N($F335)*N($G335)*(1-N($H335)))</f>
        <v/>
      </c>
      <c r="J335" s="14"/>
      <c r="K335" s="13"/>
      <c r="L335" s="20" t="str">
        <f aca="false">IF($C335="","",IFERROR(IF(INDEX(Inventario!$L$5:$L$100,MATCH($C335,Inventario!$B$5:$B$100,0))&lt;0,"Stock negativo: revisa","OK"),"No está en Inventario"))</f>
        <v/>
      </c>
    </row>
    <row r="336" customFormat="false" ht="15" hidden="false" customHeight="false" outlineLevel="0" collapsed="false">
      <c r="A336" s="1"/>
      <c r="B336" s="41"/>
      <c r="C336" s="23"/>
      <c r="D336" s="31" t="str">
        <f aca="false">IF($C336="","",IFERROR(INDEX(Inventario!$D$5:$D$100,MATCH($C336,Inventario!$B$5:$B$100,0)),"No está en Inventario"))</f>
        <v/>
      </c>
      <c r="E336" s="31" t="str">
        <f aca="false">IF($C336="","",IFERROR(INDEX(Inventario!$E$5:$E$100,MATCH($C336,Inventario!$B$5:$B$100,0)),"No está en Inventario"))</f>
        <v/>
      </c>
      <c r="F336" s="26"/>
      <c r="G336" s="42" t="str">
        <f aca="false">IF($C336="","",IFERROR(INDEX(Inventario!$H$5:$H$100,MATCH($C336,Inventario!$B$5:$B$100,0)),"No está en Inventario"))</f>
        <v/>
      </c>
      <c r="H336" s="43"/>
      <c r="I336" s="44" t="str">
        <f aca="false">IF(OR($C336="",$F336=""),"",N($F336)*N($G336)*(1-N($H336)))</f>
        <v/>
      </c>
      <c r="J336" s="24"/>
      <c r="K336" s="23"/>
      <c r="L336" s="30" t="str">
        <f aca="false">IF($C336="","",IFERROR(IF(INDEX(Inventario!$L$5:$L$100,MATCH($C336,Inventario!$B$5:$B$100,0))&lt;0,"Stock negativo: revisa","OK"),"No está en Inventario"))</f>
        <v/>
      </c>
    </row>
    <row r="337" customFormat="false" ht="15" hidden="false" customHeight="false" outlineLevel="0" collapsed="false">
      <c r="A337" s="1"/>
      <c r="B337" s="37"/>
      <c r="C337" s="13"/>
      <c r="D337" s="21" t="str">
        <f aca="false">IF($C337="","",IFERROR(INDEX(Inventario!$D$5:$D$100,MATCH($C337,Inventario!$B$5:$B$100,0)),"No está en Inventario"))</f>
        <v/>
      </c>
      <c r="E337" s="21" t="str">
        <f aca="false">IF($C337="","",IFERROR(INDEX(Inventario!$E$5:$E$100,MATCH($C337,Inventario!$B$5:$B$100,0)),"No está en Inventario"))</f>
        <v/>
      </c>
      <c r="F337" s="16"/>
      <c r="G337" s="38" t="str">
        <f aca="false">IF($C337="","",IFERROR(INDEX(Inventario!$H$5:$H$100,MATCH($C337,Inventario!$B$5:$B$100,0)),"No está en Inventario"))</f>
        <v/>
      </c>
      <c r="H337" s="39"/>
      <c r="I337" s="40" t="str">
        <f aca="false">IF(OR($C337="",$F337=""),"",N($F337)*N($G337)*(1-N($H337)))</f>
        <v/>
      </c>
      <c r="J337" s="14"/>
      <c r="K337" s="13"/>
      <c r="L337" s="20" t="str">
        <f aca="false">IF($C337="","",IFERROR(IF(INDEX(Inventario!$L$5:$L$100,MATCH($C337,Inventario!$B$5:$B$100,0))&lt;0,"Stock negativo: revisa","OK"),"No está en Inventario"))</f>
        <v/>
      </c>
    </row>
    <row r="338" customFormat="false" ht="15" hidden="false" customHeight="false" outlineLevel="0" collapsed="false">
      <c r="A338" s="1"/>
      <c r="B338" s="41"/>
      <c r="C338" s="23"/>
      <c r="D338" s="31" t="str">
        <f aca="false">IF($C338="","",IFERROR(INDEX(Inventario!$D$5:$D$100,MATCH($C338,Inventario!$B$5:$B$100,0)),"No está en Inventario"))</f>
        <v/>
      </c>
      <c r="E338" s="31" t="str">
        <f aca="false">IF($C338="","",IFERROR(INDEX(Inventario!$E$5:$E$100,MATCH($C338,Inventario!$B$5:$B$100,0)),"No está en Inventario"))</f>
        <v/>
      </c>
      <c r="F338" s="26"/>
      <c r="G338" s="42" t="str">
        <f aca="false">IF($C338="","",IFERROR(INDEX(Inventario!$H$5:$H$100,MATCH($C338,Inventario!$B$5:$B$100,0)),"No está en Inventario"))</f>
        <v/>
      </c>
      <c r="H338" s="43"/>
      <c r="I338" s="44" t="str">
        <f aca="false">IF(OR($C338="",$F338=""),"",N($F338)*N($G338)*(1-N($H338)))</f>
        <v/>
      </c>
      <c r="J338" s="24"/>
      <c r="K338" s="23"/>
      <c r="L338" s="30" t="str">
        <f aca="false">IF($C338="","",IFERROR(IF(INDEX(Inventario!$L$5:$L$100,MATCH($C338,Inventario!$B$5:$B$100,0))&lt;0,"Stock negativo: revisa","OK"),"No está en Inventario"))</f>
        <v/>
      </c>
    </row>
    <row r="339" customFormat="false" ht="15" hidden="false" customHeight="false" outlineLevel="0" collapsed="false">
      <c r="A339" s="1"/>
      <c r="B339" s="37"/>
      <c r="C339" s="13"/>
      <c r="D339" s="21" t="str">
        <f aca="false">IF($C339="","",IFERROR(INDEX(Inventario!$D$5:$D$100,MATCH($C339,Inventario!$B$5:$B$100,0)),"No está en Inventario"))</f>
        <v/>
      </c>
      <c r="E339" s="21" t="str">
        <f aca="false">IF($C339="","",IFERROR(INDEX(Inventario!$E$5:$E$100,MATCH($C339,Inventario!$B$5:$B$100,0)),"No está en Inventario"))</f>
        <v/>
      </c>
      <c r="F339" s="16"/>
      <c r="G339" s="38" t="str">
        <f aca="false">IF($C339="","",IFERROR(INDEX(Inventario!$H$5:$H$100,MATCH($C339,Inventario!$B$5:$B$100,0)),"No está en Inventario"))</f>
        <v/>
      </c>
      <c r="H339" s="39"/>
      <c r="I339" s="40" t="str">
        <f aca="false">IF(OR($C339="",$F339=""),"",N($F339)*N($G339)*(1-N($H339)))</f>
        <v/>
      </c>
      <c r="J339" s="14"/>
      <c r="K339" s="13"/>
      <c r="L339" s="20" t="str">
        <f aca="false">IF($C339="","",IFERROR(IF(INDEX(Inventario!$L$5:$L$100,MATCH($C339,Inventario!$B$5:$B$100,0))&lt;0,"Stock negativo: revisa","OK"),"No está en Inventario"))</f>
        <v/>
      </c>
    </row>
    <row r="340" customFormat="false" ht="15" hidden="false" customHeight="false" outlineLevel="0" collapsed="false">
      <c r="A340" s="1"/>
      <c r="B340" s="41"/>
      <c r="C340" s="23"/>
      <c r="D340" s="31" t="str">
        <f aca="false">IF($C340="","",IFERROR(INDEX(Inventario!$D$5:$D$100,MATCH($C340,Inventario!$B$5:$B$100,0)),"No está en Inventario"))</f>
        <v/>
      </c>
      <c r="E340" s="31" t="str">
        <f aca="false">IF($C340="","",IFERROR(INDEX(Inventario!$E$5:$E$100,MATCH($C340,Inventario!$B$5:$B$100,0)),"No está en Inventario"))</f>
        <v/>
      </c>
      <c r="F340" s="26"/>
      <c r="G340" s="42" t="str">
        <f aca="false">IF($C340="","",IFERROR(INDEX(Inventario!$H$5:$H$100,MATCH($C340,Inventario!$B$5:$B$100,0)),"No está en Inventario"))</f>
        <v/>
      </c>
      <c r="H340" s="43"/>
      <c r="I340" s="44" t="str">
        <f aca="false">IF(OR($C340="",$F340=""),"",N($F340)*N($G340)*(1-N($H340)))</f>
        <v/>
      </c>
      <c r="J340" s="24"/>
      <c r="K340" s="23"/>
      <c r="L340" s="30" t="str">
        <f aca="false">IF($C340="","",IFERROR(IF(INDEX(Inventario!$L$5:$L$100,MATCH($C340,Inventario!$B$5:$B$100,0))&lt;0,"Stock negativo: revisa","OK"),"No está en Inventario"))</f>
        <v/>
      </c>
    </row>
    <row r="341" customFormat="false" ht="15" hidden="false" customHeight="false" outlineLevel="0" collapsed="false">
      <c r="A341" s="1"/>
      <c r="B341" s="37"/>
      <c r="C341" s="13"/>
      <c r="D341" s="21" t="str">
        <f aca="false">IF($C341="","",IFERROR(INDEX(Inventario!$D$5:$D$100,MATCH($C341,Inventario!$B$5:$B$100,0)),"No está en Inventario"))</f>
        <v/>
      </c>
      <c r="E341" s="21" t="str">
        <f aca="false">IF($C341="","",IFERROR(INDEX(Inventario!$E$5:$E$100,MATCH($C341,Inventario!$B$5:$B$100,0)),"No está en Inventario"))</f>
        <v/>
      </c>
      <c r="F341" s="16"/>
      <c r="G341" s="38" t="str">
        <f aca="false">IF($C341="","",IFERROR(INDEX(Inventario!$H$5:$H$100,MATCH($C341,Inventario!$B$5:$B$100,0)),"No está en Inventario"))</f>
        <v/>
      </c>
      <c r="H341" s="39"/>
      <c r="I341" s="40" t="str">
        <f aca="false">IF(OR($C341="",$F341=""),"",N($F341)*N($G341)*(1-N($H341)))</f>
        <v/>
      </c>
      <c r="J341" s="14"/>
      <c r="K341" s="13"/>
      <c r="L341" s="20" t="str">
        <f aca="false">IF($C341="","",IFERROR(IF(INDEX(Inventario!$L$5:$L$100,MATCH($C341,Inventario!$B$5:$B$100,0))&lt;0,"Stock negativo: revisa","OK"),"No está en Inventario"))</f>
        <v/>
      </c>
    </row>
    <row r="342" customFormat="false" ht="15" hidden="false" customHeight="false" outlineLevel="0" collapsed="false">
      <c r="A342" s="1"/>
      <c r="B342" s="41"/>
      <c r="C342" s="23"/>
      <c r="D342" s="31" t="str">
        <f aca="false">IF($C342="","",IFERROR(INDEX(Inventario!$D$5:$D$100,MATCH($C342,Inventario!$B$5:$B$100,0)),"No está en Inventario"))</f>
        <v/>
      </c>
      <c r="E342" s="31" t="str">
        <f aca="false">IF($C342="","",IFERROR(INDEX(Inventario!$E$5:$E$100,MATCH($C342,Inventario!$B$5:$B$100,0)),"No está en Inventario"))</f>
        <v/>
      </c>
      <c r="F342" s="26"/>
      <c r="G342" s="42" t="str">
        <f aca="false">IF($C342="","",IFERROR(INDEX(Inventario!$H$5:$H$100,MATCH($C342,Inventario!$B$5:$B$100,0)),"No está en Inventario"))</f>
        <v/>
      </c>
      <c r="H342" s="43"/>
      <c r="I342" s="44" t="str">
        <f aca="false">IF(OR($C342="",$F342=""),"",N($F342)*N($G342)*(1-N($H342)))</f>
        <v/>
      </c>
      <c r="J342" s="24"/>
      <c r="K342" s="23"/>
      <c r="L342" s="30" t="str">
        <f aca="false">IF($C342="","",IFERROR(IF(INDEX(Inventario!$L$5:$L$100,MATCH($C342,Inventario!$B$5:$B$100,0))&lt;0,"Stock negativo: revisa","OK"),"No está en Inventario"))</f>
        <v/>
      </c>
    </row>
    <row r="343" customFormat="false" ht="15" hidden="false" customHeight="false" outlineLevel="0" collapsed="false">
      <c r="A343" s="1"/>
      <c r="B343" s="37"/>
      <c r="C343" s="13"/>
      <c r="D343" s="21" t="str">
        <f aca="false">IF($C343="","",IFERROR(INDEX(Inventario!$D$5:$D$100,MATCH($C343,Inventario!$B$5:$B$100,0)),"No está en Inventario"))</f>
        <v/>
      </c>
      <c r="E343" s="21" t="str">
        <f aca="false">IF($C343="","",IFERROR(INDEX(Inventario!$E$5:$E$100,MATCH($C343,Inventario!$B$5:$B$100,0)),"No está en Inventario"))</f>
        <v/>
      </c>
      <c r="F343" s="16"/>
      <c r="G343" s="38" t="str">
        <f aca="false">IF($C343="","",IFERROR(INDEX(Inventario!$H$5:$H$100,MATCH($C343,Inventario!$B$5:$B$100,0)),"No está en Inventario"))</f>
        <v/>
      </c>
      <c r="H343" s="39"/>
      <c r="I343" s="40" t="str">
        <f aca="false">IF(OR($C343="",$F343=""),"",N($F343)*N($G343)*(1-N($H343)))</f>
        <v/>
      </c>
      <c r="J343" s="14"/>
      <c r="K343" s="13"/>
      <c r="L343" s="20" t="str">
        <f aca="false">IF($C343="","",IFERROR(IF(INDEX(Inventario!$L$5:$L$100,MATCH($C343,Inventario!$B$5:$B$100,0))&lt;0,"Stock negativo: revisa","OK"),"No está en Inventario"))</f>
        <v/>
      </c>
    </row>
    <row r="344" customFormat="false" ht="15" hidden="false" customHeight="false" outlineLevel="0" collapsed="false">
      <c r="A344" s="1"/>
      <c r="B344" s="41"/>
      <c r="C344" s="23"/>
      <c r="D344" s="31" t="str">
        <f aca="false">IF($C344="","",IFERROR(INDEX(Inventario!$D$5:$D$100,MATCH($C344,Inventario!$B$5:$B$100,0)),"No está en Inventario"))</f>
        <v/>
      </c>
      <c r="E344" s="31" t="str">
        <f aca="false">IF($C344="","",IFERROR(INDEX(Inventario!$E$5:$E$100,MATCH($C344,Inventario!$B$5:$B$100,0)),"No está en Inventario"))</f>
        <v/>
      </c>
      <c r="F344" s="26"/>
      <c r="G344" s="42" t="str">
        <f aca="false">IF($C344="","",IFERROR(INDEX(Inventario!$H$5:$H$100,MATCH($C344,Inventario!$B$5:$B$100,0)),"No está en Inventario"))</f>
        <v/>
      </c>
      <c r="H344" s="43"/>
      <c r="I344" s="44" t="str">
        <f aca="false">IF(OR($C344="",$F344=""),"",N($F344)*N($G344)*(1-N($H344)))</f>
        <v/>
      </c>
      <c r="J344" s="24"/>
      <c r="K344" s="23"/>
      <c r="L344" s="30" t="str">
        <f aca="false">IF($C344="","",IFERROR(IF(INDEX(Inventario!$L$5:$L$100,MATCH($C344,Inventario!$B$5:$B$100,0))&lt;0,"Stock negativo: revisa","OK"),"No está en Inventario"))</f>
        <v/>
      </c>
    </row>
    <row r="345" customFormat="false" ht="15" hidden="false" customHeight="false" outlineLevel="0" collapsed="false">
      <c r="A345" s="1"/>
      <c r="B345" s="37"/>
      <c r="C345" s="13"/>
      <c r="D345" s="21" t="str">
        <f aca="false">IF($C345="","",IFERROR(INDEX(Inventario!$D$5:$D$100,MATCH($C345,Inventario!$B$5:$B$100,0)),"No está en Inventario"))</f>
        <v/>
      </c>
      <c r="E345" s="21" t="str">
        <f aca="false">IF($C345="","",IFERROR(INDEX(Inventario!$E$5:$E$100,MATCH($C345,Inventario!$B$5:$B$100,0)),"No está en Inventario"))</f>
        <v/>
      </c>
      <c r="F345" s="16"/>
      <c r="G345" s="38" t="str">
        <f aca="false">IF($C345="","",IFERROR(INDEX(Inventario!$H$5:$H$100,MATCH($C345,Inventario!$B$5:$B$100,0)),"No está en Inventario"))</f>
        <v/>
      </c>
      <c r="H345" s="39"/>
      <c r="I345" s="40" t="str">
        <f aca="false">IF(OR($C345="",$F345=""),"",N($F345)*N($G345)*(1-N($H345)))</f>
        <v/>
      </c>
      <c r="J345" s="14"/>
      <c r="K345" s="13"/>
      <c r="L345" s="20" t="str">
        <f aca="false">IF($C345="","",IFERROR(IF(INDEX(Inventario!$L$5:$L$100,MATCH($C345,Inventario!$B$5:$B$100,0))&lt;0,"Stock negativo: revisa","OK"),"No está en Inventario"))</f>
        <v/>
      </c>
    </row>
    <row r="346" customFormat="false" ht="15" hidden="false" customHeight="false" outlineLevel="0" collapsed="false">
      <c r="A346" s="1"/>
      <c r="B346" s="41"/>
      <c r="C346" s="23"/>
      <c r="D346" s="31" t="str">
        <f aca="false">IF($C346="","",IFERROR(INDEX(Inventario!$D$5:$D$100,MATCH($C346,Inventario!$B$5:$B$100,0)),"No está en Inventario"))</f>
        <v/>
      </c>
      <c r="E346" s="31" t="str">
        <f aca="false">IF($C346="","",IFERROR(INDEX(Inventario!$E$5:$E$100,MATCH($C346,Inventario!$B$5:$B$100,0)),"No está en Inventario"))</f>
        <v/>
      </c>
      <c r="F346" s="26"/>
      <c r="G346" s="42" t="str">
        <f aca="false">IF($C346="","",IFERROR(INDEX(Inventario!$H$5:$H$100,MATCH($C346,Inventario!$B$5:$B$100,0)),"No está en Inventario"))</f>
        <v/>
      </c>
      <c r="H346" s="43"/>
      <c r="I346" s="44" t="str">
        <f aca="false">IF(OR($C346="",$F346=""),"",N($F346)*N($G346)*(1-N($H346)))</f>
        <v/>
      </c>
      <c r="J346" s="24"/>
      <c r="K346" s="23"/>
      <c r="L346" s="30" t="str">
        <f aca="false">IF($C346="","",IFERROR(IF(INDEX(Inventario!$L$5:$L$100,MATCH($C346,Inventario!$B$5:$B$100,0))&lt;0,"Stock negativo: revisa","OK"),"No está en Inventario"))</f>
        <v/>
      </c>
    </row>
    <row r="347" customFormat="false" ht="15" hidden="false" customHeight="false" outlineLevel="0" collapsed="false">
      <c r="A347" s="1"/>
      <c r="B347" s="37"/>
      <c r="C347" s="13"/>
      <c r="D347" s="21" t="str">
        <f aca="false">IF($C347="","",IFERROR(INDEX(Inventario!$D$5:$D$100,MATCH($C347,Inventario!$B$5:$B$100,0)),"No está en Inventario"))</f>
        <v/>
      </c>
      <c r="E347" s="21" t="str">
        <f aca="false">IF($C347="","",IFERROR(INDEX(Inventario!$E$5:$E$100,MATCH($C347,Inventario!$B$5:$B$100,0)),"No está en Inventario"))</f>
        <v/>
      </c>
      <c r="F347" s="16"/>
      <c r="G347" s="38" t="str">
        <f aca="false">IF($C347="","",IFERROR(INDEX(Inventario!$H$5:$H$100,MATCH($C347,Inventario!$B$5:$B$100,0)),"No está en Inventario"))</f>
        <v/>
      </c>
      <c r="H347" s="39"/>
      <c r="I347" s="40" t="str">
        <f aca="false">IF(OR($C347="",$F347=""),"",N($F347)*N($G347)*(1-N($H347)))</f>
        <v/>
      </c>
      <c r="J347" s="14"/>
      <c r="K347" s="13"/>
      <c r="L347" s="20" t="str">
        <f aca="false">IF($C347="","",IFERROR(IF(INDEX(Inventario!$L$5:$L$100,MATCH($C347,Inventario!$B$5:$B$100,0))&lt;0,"Stock negativo: revisa","OK"),"No está en Inventario"))</f>
        <v/>
      </c>
    </row>
    <row r="348" customFormat="false" ht="15" hidden="false" customHeight="false" outlineLevel="0" collapsed="false">
      <c r="A348" s="1"/>
      <c r="B348" s="41"/>
      <c r="C348" s="23"/>
      <c r="D348" s="31" t="str">
        <f aca="false">IF($C348="","",IFERROR(INDEX(Inventario!$D$5:$D$100,MATCH($C348,Inventario!$B$5:$B$100,0)),"No está en Inventario"))</f>
        <v/>
      </c>
      <c r="E348" s="31" t="str">
        <f aca="false">IF($C348="","",IFERROR(INDEX(Inventario!$E$5:$E$100,MATCH($C348,Inventario!$B$5:$B$100,0)),"No está en Inventario"))</f>
        <v/>
      </c>
      <c r="F348" s="26"/>
      <c r="G348" s="42" t="str">
        <f aca="false">IF($C348="","",IFERROR(INDEX(Inventario!$H$5:$H$100,MATCH($C348,Inventario!$B$5:$B$100,0)),"No está en Inventario"))</f>
        <v/>
      </c>
      <c r="H348" s="43"/>
      <c r="I348" s="44" t="str">
        <f aca="false">IF(OR($C348="",$F348=""),"",N($F348)*N($G348)*(1-N($H348)))</f>
        <v/>
      </c>
      <c r="J348" s="24"/>
      <c r="K348" s="23"/>
      <c r="L348" s="30" t="str">
        <f aca="false">IF($C348="","",IFERROR(IF(INDEX(Inventario!$L$5:$L$100,MATCH($C348,Inventario!$B$5:$B$100,0))&lt;0,"Stock negativo: revisa","OK"),"No está en Inventario"))</f>
        <v/>
      </c>
    </row>
    <row r="349" customFormat="false" ht="15" hidden="false" customHeight="false" outlineLevel="0" collapsed="false">
      <c r="A349" s="1"/>
      <c r="B349" s="37"/>
      <c r="C349" s="13"/>
      <c r="D349" s="21" t="str">
        <f aca="false">IF($C349="","",IFERROR(INDEX(Inventario!$D$5:$D$100,MATCH($C349,Inventario!$B$5:$B$100,0)),"No está en Inventario"))</f>
        <v/>
      </c>
      <c r="E349" s="21" t="str">
        <f aca="false">IF($C349="","",IFERROR(INDEX(Inventario!$E$5:$E$100,MATCH($C349,Inventario!$B$5:$B$100,0)),"No está en Inventario"))</f>
        <v/>
      </c>
      <c r="F349" s="16"/>
      <c r="G349" s="38" t="str">
        <f aca="false">IF($C349="","",IFERROR(INDEX(Inventario!$H$5:$H$100,MATCH($C349,Inventario!$B$5:$B$100,0)),"No está en Inventario"))</f>
        <v/>
      </c>
      <c r="H349" s="39"/>
      <c r="I349" s="40" t="str">
        <f aca="false">IF(OR($C349="",$F349=""),"",N($F349)*N($G349)*(1-N($H349)))</f>
        <v/>
      </c>
      <c r="J349" s="14"/>
      <c r="K349" s="13"/>
      <c r="L349" s="20" t="str">
        <f aca="false">IF($C349="","",IFERROR(IF(INDEX(Inventario!$L$5:$L$100,MATCH($C349,Inventario!$B$5:$B$100,0))&lt;0,"Stock negativo: revisa","OK"),"No está en Inventario"))</f>
        <v/>
      </c>
    </row>
    <row r="350" customFormat="false" ht="15" hidden="false" customHeight="false" outlineLevel="0" collapsed="false">
      <c r="A350" s="1"/>
      <c r="B350" s="41"/>
      <c r="C350" s="23"/>
      <c r="D350" s="31" t="str">
        <f aca="false">IF($C350="","",IFERROR(INDEX(Inventario!$D$5:$D$100,MATCH($C350,Inventario!$B$5:$B$100,0)),"No está en Inventario"))</f>
        <v/>
      </c>
      <c r="E350" s="31" t="str">
        <f aca="false">IF($C350="","",IFERROR(INDEX(Inventario!$E$5:$E$100,MATCH($C350,Inventario!$B$5:$B$100,0)),"No está en Inventario"))</f>
        <v/>
      </c>
      <c r="F350" s="26"/>
      <c r="G350" s="42" t="str">
        <f aca="false">IF($C350="","",IFERROR(INDEX(Inventario!$H$5:$H$100,MATCH($C350,Inventario!$B$5:$B$100,0)),"No está en Inventario"))</f>
        <v/>
      </c>
      <c r="H350" s="43"/>
      <c r="I350" s="44" t="str">
        <f aca="false">IF(OR($C350="",$F350=""),"",N($F350)*N($G350)*(1-N($H350)))</f>
        <v/>
      </c>
      <c r="J350" s="24"/>
      <c r="K350" s="23"/>
      <c r="L350" s="30" t="str">
        <f aca="false">IF($C350="","",IFERROR(IF(INDEX(Inventario!$L$5:$L$100,MATCH($C350,Inventario!$B$5:$B$100,0))&lt;0,"Stock negativo: revisa","OK"),"No está en Inventario"))</f>
        <v/>
      </c>
    </row>
    <row r="351" customFormat="false" ht="15" hidden="false" customHeight="false" outlineLevel="0" collapsed="false">
      <c r="A351" s="1"/>
      <c r="B351" s="37"/>
      <c r="C351" s="13"/>
      <c r="D351" s="21" t="str">
        <f aca="false">IF($C351="","",IFERROR(INDEX(Inventario!$D$5:$D$100,MATCH($C351,Inventario!$B$5:$B$100,0)),"No está en Inventario"))</f>
        <v/>
      </c>
      <c r="E351" s="21" t="str">
        <f aca="false">IF($C351="","",IFERROR(INDEX(Inventario!$E$5:$E$100,MATCH($C351,Inventario!$B$5:$B$100,0)),"No está en Inventario"))</f>
        <v/>
      </c>
      <c r="F351" s="16"/>
      <c r="G351" s="38" t="str">
        <f aca="false">IF($C351="","",IFERROR(INDEX(Inventario!$H$5:$H$100,MATCH($C351,Inventario!$B$5:$B$100,0)),"No está en Inventario"))</f>
        <v/>
      </c>
      <c r="H351" s="39"/>
      <c r="I351" s="40" t="str">
        <f aca="false">IF(OR($C351="",$F351=""),"",N($F351)*N($G351)*(1-N($H351)))</f>
        <v/>
      </c>
      <c r="J351" s="14"/>
      <c r="K351" s="13"/>
      <c r="L351" s="20" t="str">
        <f aca="false">IF($C351="","",IFERROR(IF(INDEX(Inventario!$L$5:$L$100,MATCH($C351,Inventario!$B$5:$B$100,0))&lt;0,"Stock negativo: revisa","OK"),"No está en Inventario"))</f>
        <v/>
      </c>
    </row>
    <row r="352" customFormat="false" ht="15" hidden="false" customHeight="false" outlineLevel="0" collapsed="false">
      <c r="A352" s="1"/>
      <c r="B352" s="41"/>
      <c r="C352" s="23"/>
      <c r="D352" s="31" t="str">
        <f aca="false">IF($C352="","",IFERROR(INDEX(Inventario!$D$5:$D$100,MATCH($C352,Inventario!$B$5:$B$100,0)),"No está en Inventario"))</f>
        <v/>
      </c>
      <c r="E352" s="31" t="str">
        <f aca="false">IF($C352="","",IFERROR(INDEX(Inventario!$E$5:$E$100,MATCH($C352,Inventario!$B$5:$B$100,0)),"No está en Inventario"))</f>
        <v/>
      </c>
      <c r="F352" s="26"/>
      <c r="G352" s="42" t="str">
        <f aca="false">IF($C352="","",IFERROR(INDEX(Inventario!$H$5:$H$100,MATCH($C352,Inventario!$B$5:$B$100,0)),"No está en Inventario"))</f>
        <v/>
      </c>
      <c r="H352" s="43"/>
      <c r="I352" s="44" t="str">
        <f aca="false">IF(OR($C352="",$F352=""),"",N($F352)*N($G352)*(1-N($H352)))</f>
        <v/>
      </c>
      <c r="J352" s="24"/>
      <c r="K352" s="23"/>
      <c r="L352" s="30" t="str">
        <f aca="false">IF($C352="","",IFERROR(IF(INDEX(Inventario!$L$5:$L$100,MATCH($C352,Inventario!$B$5:$B$100,0))&lt;0,"Stock negativo: revisa","OK"),"No está en Inventario"))</f>
        <v/>
      </c>
    </row>
    <row r="353" customFormat="false" ht="15" hidden="false" customHeight="false" outlineLevel="0" collapsed="false">
      <c r="A353" s="1"/>
      <c r="B353" s="37"/>
      <c r="C353" s="13"/>
      <c r="D353" s="21" t="str">
        <f aca="false">IF($C353="","",IFERROR(INDEX(Inventario!$D$5:$D$100,MATCH($C353,Inventario!$B$5:$B$100,0)),"No está en Inventario"))</f>
        <v/>
      </c>
      <c r="E353" s="21" t="str">
        <f aca="false">IF($C353="","",IFERROR(INDEX(Inventario!$E$5:$E$100,MATCH($C353,Inventario!$B$5:$B$100,0)),"No está en Inventario"))</f>
        <v/>
      </c>
      <c r="F353" s="16"/>
      <c r="G353" s="38" t="str">
        <f aca="false">IF($C353="","",IFERROR(INDEX(Inventario!$H$5:$H$100,MATCH($C353,Inventario!$B$5:$B$100,0)),"No está en Inventario"))</f>
        <v/>
      </c>
      <c r="H353" s="39"/>
      <c r="I353" s="40" t="str">
        <f aca="false">IF(OR($C353="",$F353=""),"",N($F353)*N($G353)*(1-N($H353)))</f>
        <v/>
      </c>
      <c r="J353" s="14"/>
      <c r="K353" s="13"/>
      <c r="L353" s="20" t="str">
        <f aca="false">IF($C353="","",IFERROR(IF(INDEX(Inventario!$L$5:$L$100,MATCH($C353,Inventario!$B$5:$B$100,0))&lt;0,"Stock negativo: revisa","OK"),"No está en Inventario"))</f>
        <v/>
      </c>
    </row>
    <row r="354" customFormat="false" ht="15" hidden="false" customHeight="false" outlineLevel="0" collapsed="false">
      <c r="A354" s="1"/>
      <c r="B354" s="41"/>
      <c r="C354" s="23"/>
      <c r="D354" s="31" t="str">
        <f aca="false">IF($C354="","",IFERROR(INDEX(Inventario!$D$5:$D$100,MATCH($C354,Inventario!$B$5:$B$100,0)),"No está en Inventario"))</f>
        <v/>
      </c>
      <c r="E354" s="31" t="str">
        <f aca="false">IF($C354="","",IFERROR(INDEX(Inventario!$E$5:$E$100,MATCH($C354,Inventario!$B$5:$B$100,0)),"No está en Inventario"))</f>
        <v/>
      </c>
      <c r="F354" s="26"/>
      <c r="G354" s="42" t="str">
        <f aca="false">IF($C354="","",IFERROR(INDEX(Inventario!$H$5:$H$100,MATCH($C354,Inventario!$B$5:$B$100,0)),"No está en Inventario"))</f>
        <v/>
      </c>
      <c r="H354" s="43"/>
      <c r="I354" s="44" t="str">
        <f aca="false">IF(OR($C354="",$F354=""),"",N($F354)*N($G354)*(1-N($H354)))</f>
        <v/>
      </c>
      <c r="J354" s="24"/>
      <c r="K354" s="23"/>
      <c r="L354" s="30" t="str">
        <f aca="false">IF($C354="","",IFERROR(IF(INDEX(Inventario!$L$5:$L$100,MATCH($C354,Inventario!$B$5:$B$100,0))&lt;0,"Stock negativo: revisa","OK"),"No está en Inventario"))</f>
        <v/>
      </c>
    </row>
    <row r="355" customFormat="false" ht="15" hidden="false" customHeight="false" outlineLevel="0" collapsed="false">
      <c r="A355" s="1"/>
      <c r="B355" s="37"/>
      <c r="C355" s="13"/>
      <c r="D355" s="21" t="str">
        <f aca="false">IF($C355="","",IFERROR(INDEX(Inventario!$D$5:$D$100,MATCH($C355,Inventario!$B$5:$B$100,0)),"No está en Inventario"))</f>
        <v/>
      </c>
      <c r="E355" s="21" t="str">
        <f aca="false">IF($C355="","",IFERROR(INDEX(Inventario!$E$5:$E$100,MATCH($C355,Inventario!$B$5:$B$100,0)),"No está en Inventario"))</f>
        <v/>
      </c>
      <c r="F355" s="16"/>
      <c r="G355" s="38" t="str">
        <f aca="false">IF($C355="","",IFERROR(INDEX(Inventario!$H$5:$H$100,MATCH($C355,Inventario!$B$5:$B$100,0)),"No está en Inventario"))</f>
        <v/>
      </c>
      <c r="H355" s="39"/>
      <c r="I355" s="40" t="str">
        <f aca="false">IF(OR($C355="",$F355=""),"",N($F355)*N($G355)*(1-N($H355)))</f>
        <v/>
      </c>
      <c r="J355" s="14"/>
      <c r="K355" s="13"/>
      <c r="L355" s="20" t="str">
        <f aca="false">IF($C355="","",IFERROR(IF(INDEX(Inventario!$L$5:$L$100,MATCH($C355,Inventario!$B$5:$B$100,0))&lt;0,"Stock negativo: revisa","OK"),"No está en Inventario"))</f>
        <v/>
      </c>
    </row>
    <row r="356" customFormat="false" ht="15" hidden="false" customHeight="false" outlineLevel="0" collapsed="false">
      <c r="A356" s="1"/>
      <c r="B356" s="41"/>
      <c r="C356" s="23"/>
      <c r="D356" s="31" t="str">
        <f aca="false">IF($C356="","",IFERROR(INDEX(Inventario!$D$5:$D$100,MATCH($C356,Inventario!$B$5:$B$100,0)),"No está en Inventario"))</f>
        <v/>
      </c>
      <c r="E356" s="31" t="str">
        <f aca="false">IF($C356="","",IFERROR(INDEX(Inventario!$E$5:$E$100,MATCH($C356,Inventario!$B$5:$B$100,0)),"No está en Inventario"))</f>
        <v/>
      </c>
      <c r="F356" s="26"/>
      <c r="G356" s="42" t="str">
        <f aca="false">IF($C356="","",IFERROR(INDEX(Inventario!$H$5:$H$100,MATCH($C356,Inventario!$B$5:$B$100,0)),"No está en Inventario"))</f>
        <v/>
      </c>
      <c r="H356" s="43"/>
      <c r="I356" s="44" t="str">
        <f aca="false">IF(OR($C356="",$F356=""),"",N($F356)*N($G356)*(1-N($H356)))</f>
        <v/>
      </c>
      <c r="J356" s="24"/>
      <c r="K356" s="23"/>
      <c r="L356" s="30" t="str">
        <f aca="false">IF($C356="","",IFERROR(IF(INDEX(Inventario!$L$5:$L$100,MATCH($C356,Inventario!$B$5:$B$100,0))&lt;0,"Stock negativo: revisa","OK"),"No está en Inventario"))</f>
        <v/>
      </c>
    </row>
    <row r="357" customFormat="false" ht="15" hidden="false" customHeight="false" outlineLevel="0" collapsed="false">
      <c r="A357" s="1"/>
      <c r="B357" s="37"/>
      <c r="C357" s="13"/>
      <c r="D357" s="21" t="str">
        <f aca="false">IF($C357="","",IFERROR(INDEX(Inventario!$D$5:$D$100,MATCH($C357,Inventario!$B$5:$B$100,0)),"No está en Inventario"))</f>
        <v/>
      </c>
      <c r="E357" s="21" t="str">
        <f aca="false">IF($C357="","",IFERROR(INDEX(Inventario!$E$5:$E$100,MATCH($C357,Inventario!$B$5:$B$100,0)),"No está en Inventario"))</f>
        <v/>
      </c>
      <c r="F357" s="16"/>
      <c r="G357" s="38" t="str">
        <f aca="false">IF($C357="","",IFERROR(INDEX(Inventario!$H$5:$H$100,MATCH($C357,Inventario!$B$5:$B$100,0)),"No está en Inventario"))</f>
        <v/>
      </c>
      <c r="H357" s="39"/>
      <c r="I357" s="40" t="str">
        <f aca="false">IF(OR($C357="",$F357=""),"",N($F357)*N($G357)*(1-N($H357)))</f>
        <v/>
      </c>
      <c r="J357" s="14"/>
      <c r="K357" s="13"/>
      <c r="L357" s="20" t="str">
        <f aca="false">IF($C357="","",IFERROR(IF(INDEX(Inventario!$L$5:$L$100,MATCH($C357,Inventario!$B$5:$B$100,0))&lt;0,"Stock negativo: revisa","OK"),"No está en Inventario"))</f>
        <v/>
      </c>
    </row>
    <row r="358" customFormat="false" ht="15" hidden="false" customHeight="false" outlineLevel="0" collapsed="false">
      <c r="A358" s="1"/>
      <c r="B358" s="41"/>
      <c r="C358" s="23"/>
      <c r="D358" s="31" t="str">
        <f aca="false">IF($C358="","",IFERROR(INDEX(Inventario!$D$5:$D$100,MATCH($C358,Inventario!$B$5:$B$100,0)),"No está en Inventario"))</f>
        <v/>
      </c>
      <c r="E358" s="31" t="str">
        <f aca="false">IF($C358="","",IFERROR(INDEX(Inventario!$E$5:$E$100,MATCH($C358,Inventario!$B$5:$B$100,0)),"No está en Inventario"))</f>
        <v/>
      </c>
      <c r="F358" s="26"/>
      <c r="G358" s="42" t="str">
        <f aca="false">IF($C358="","",IFERROR(INDEX(Inventario!$H$5:$H$100,MATCH($C358,Inventario!$B$5:$B$100,0)),"No está en Inventario"))</f>
        <v/>
      </c>
      <c r="H358" s="43"/>
      <c r="I358" s="44" t="str">
        <f aca="false">IF(OR($C358="",$F358=""),"",N($F358)*N($G358)*(1-N($H358)))</f>
        <v/>
      </c>
      <c r="J358" s="24"/>
      <c r="K358" s="23"/>
      <c r="L358" s="30" t="str">
        <f aca="false">IF($C358="","",IFERROR(IF(INDEX(Inventario!$L$5:$L$100,MATCH($C358,Inventario!$B$5:$B$100,0))&lt;0,"Stock negativo: revisa","OK"),"No está en Inventario"))</f>
        <v/>
      </c>
    </row>
    <row r="359" customFormat="false" ht="15" hidden="false" customHeight="false" outlineLevel="0" collapsed="false">
      <c r="A359" s="1"/>
      <c r="B359" s="37"/>
      <c r="C359" s="13"/>
      <c r="D359" s="21" t="str">
        <f aca="false">IF($C359="","",IFERROR(INDEX(Inventario!$D$5:$D$100,MATCH($C359,Inventario!$B$5:$B$100,0)),"No está en Inventario"))</f>
        <v/>
      </c>
      <c r="E359" s="21" t="str">
        <f aca="false">IF($C359="","",IFERROR(INDEX(Inventario!$E$5:$E$100,MATCH($C359,Inventario!$B$5:$B$100,0)),"No está en Inventario"))</f>
        <v/>
      </c>
      <c r="F359" s="16"/>
      <c r="G359" s="38" t="str">
        <f aca="false">IF($C359="","",IFERROR(INDEX(Inventario!$H$5:$H$100,MATCH($C359,Inventario!$B$5:$B$100,0)),"No está en Inventario"))</f>
        <v/>
      </c>
      <c r="H359" s="39"/>
      <c r="I359" s="40" t="str">
        <f aca="false">IF(OR($C359="",$F359=""),"",N($F359)*N($G359)*(1-N($H359)))</f>
        <v/>
      </c>
      <c r="J359" s="14"/>
      <c r="K359" s="13"/>
      <c r="L359" s="20" t="str">
        <f aca="false">IF($C359="","",IFERROR(IF(INDEX(Inventario!$L$5:$L$100,MATCH($C359,Inventario!$B$5:$B$100,0))&lt;0,"Stock negativo: revisa","OK"),"No está en Inventario"))</f>
        <v/>
      </c>
    </row>
    <row r="360" customFormat="false" ht="15" hidden="false" customHeight="false" outlineLevel="0" collapsed="false">
      <c r="A360" s="1"/>
      <c r="B360" s="41"/>
      <c r="C360" s="23"/>
      <c r="D360" s="31" t="str">
        <f aca="false">IF($C360="","",IFERROR(INDEX(Inventario!$D$5:$D$100,MATCH($C360,Inventario!$B$5:$B$100,0)),"No está en Inventario"))</f>
        <v/>
      </c>
      <c r="E360" s="31" t="str">
        <f aca="false">IF($C360="","",IFERROR(INDEX(Inventario!$E$5:$E$100,MATCH($C360,Inventario!$B$5:$B$100,0)),"No está en Inventario"))</f>
        <v/>
      </c>
      <c r="F360" s="26"/>
      <c r="G360" s="42" t="str">
        <f aca="false">IF($C360="","",IFERROR(INDEX(Inventario!$H$5:$H$100,MATCH($C360,Inventario!$B$5:$B$100,0)),"No está en Inventario"))</f>
        <v/>
      </c>
      <c r="H360" s="43"/>
      <c r="I360" s="44" t="str">
        <f aca="false">IF(OR($C360="",$F360=""),"",N($F360)*N($G360)*(1-N($H360)))</f>
        <v/>
      </c>
      <c r="J360" s="24"/>
      <c r="K360" s="23"/>
      <c r="L360" s="30" t="str">
        <f aca="false">IF($C360="","",IFERROR(IF(INDEX(Inventario!$L$5:$L$100,MATCH($C360,Inventario!$B$5:$B$100,0))&lt;0,"Stock negativo: revisa","OK"),"No está en Inventario"))</f>
        <v/>
      </c>
    </row>
    <row r="361" customFormat="false" ht="15" hidden="false" customHeight="false" outlineLevel="0" collapsed="false">
      <c r="A361" s="1"/>
      <c r="B361" s="37"/>
      <c r="C361" s="13"/>
      <c r="D361" s="21" t="str">
        <f aca="false">IF($C361="","",IFERROR(INDEX(Inventario!$D$5:$D$100,MATCH($C361,Inventario!$B$5:$B$100,0)),"No está en Inventario"))</f>
        <v/>
      </c>
      <c r="E361" s="21" t="str">
        <f aca="false">IF($C361="","",IFERROR(INDEX(Inventario!$E$5:$E$100,MATCH($C361,Inventario!$B$5:$B$100,0)),"No está en Inventario"))</f>
        <v/>
      </c>
      <c r="F361" s="16"/>
      <c r="G361" s="38" t="str">
        <f aca="false">IF($C361="","",IFERROR(INDEX(Inventario!$H$5:$H$100,MATCH($C361,Inventario!$B$5:$B$100,0)),"No está en Inventario"))</f>
        <v/>
      </c>
      <c r="H361" s="39"/>
      <c r="I361" s="40" t="str">
        <f aca="false">IF(OR($C361="",$F361=""),"",N($F361)*N($G361)*(1-N($H361)))</f>
        <v/>
      </c>
      <c r="J361" s="14"/>
      <c r="K361" s="13"/>
      <c r="L361" s="20" t="str">
        <f aca="false">IF($C361="","",IFERROR(IF(INDEX(Inventario!$L$5:$L$100,MATCH($C361,Inventario!$B$5:$B$100,0))&lt;0,"Stock negativo: revisa","OK"),"No está en Inventario"))</f>
        <v/>
      </c>
    </row>
    <row r="362" customFormat="false" ht="15" hidden="false" customHeight="false" outlineLevel="0" collapsed="false">
      <c r="A362" s="1"/>
      <c r="B362" s="41"/>
      <c r="C362" s="23"/>
      <c r="D362" s="31" t="str">
        <f aca="false">IF($C362="","",IFERROR(INDEX(Inventario!$D$5:$D$100,MATCH($C362,Inventario!$B$5:$B$100,0)),"No está en Inventario"))</f>
        <v/>
      </c>
      <c r="E362" s="31" t="str">
        <f aca="false">IF($C362="","",IFERROR(INDEX(Inventario!$E$5:$E$100,MATCH($C362,Inventario!$B$5:$B$100,0)),"No está en Inventario"))</f>
        <v/>
      </c>
      <c r="F362" s="26"/>
      <c r="G362" s="42" t="str">
        <f aca="false">IF($C362="","",IFERROR(INDEX(Inventario!$H$5:$H$100,MATCH($C362,Inventario!$B$5:$B$100,0)),"No está en Inventario"))</f>
        <v/>
      </c>
      <c r="H362" s="43"/>
      <c r="I362" s="44" t="str">
        <f aca="false">IF(OR($C362="",$F362=""),"",N($F362)*N($G362)*(1-N($H362)))</f>
        <v/>
      </c>
      <c r="J362" s="24"/>
      <c r="K362" s="23"/>
      <c r="L362" s="30" t="str">
        <f aca="false">IF($C362="","",IFERROR(IF(INDEX(Inventario!$L$5:$L$100,MATCH($C362,Inventario!$B$5:$B$100,0))&lt;0,"Stock negativo: revisa","OK"),"No está en Inventario"))</f>
        <v/>
      </c>
    </row>
    <row r="363" customFormat="false" ht="15" hidden="false" customHeight="false" outlineLevel="0" collapsed="false">
      <c r="A363" s="1"/>
      <c r="B363" s="37"/>
      <c r="C363" s="13"/>
      <c r="D363" s="21" t="str">
        <f aca="false">IF($C363="","",IFERROR(INDEX(Inventario!$D$5:$D$100,MATCH($C363,Inventario!$B$5:$B$100,0)),"No está en Inventario"))</f>
        <v/>
      </c>
      <c r="E363" s="21" t="str">
        <f aca="false">IF($C363="","",IFERROR(INDEX(Inventario!$E$5:$E$100,MATCH($C363,Inventario!$B$5:$B$100,0)),"No está en Inventario"))</f>
        <v/>
      </c>
      <c r="F363" s="16"/>
      <c r="G363" s="38" t="str">
        <f aca="false">IF($C363="","",IFERROR(INDEX(Inventario!$H$5:$H$100,MATCH($C363,Inventario!$B$5:$B$100,0)),"No está en Inventario"))</f>
        <v/>
      </c>
      <c r="H363" s="39"/>
      <c r="I363" s="40" t="str">
        <f aca="false">IF(OR($C363="",$F363=""),"",N($F363)*N($G363)*(1-N($H363)))</f>
        <v/>
      </c>
      <c r="J363" s="14"/>
      <c r="K363" s="13"/>
      <c r="L363" s="20" t="str">
        <f aca="false">IF($C363="","",IFERROR(IF(INDEX(Inventario!$L$5:$L$100,MATCH($C363,Inventario!$B$5:$B$100,0))&lt;0,"Stock negativo: revisa","OK"),"No está en Inventario"))</f>
        <v/>
      </c>
    </row>
    <row r="364" customFormat="false" ht="15" hidden="false" customHeight="false" outlineLevel="0" collapsed="false">
      <c r="A364" s="1"/>
      <c r="B364" s="41"/>
      <c r="C364" s="23"/>
      <c r="D364" s="31" t="str">
        <f aca="false">IF($C364="","",IFERROR(INDEX(Inventario!$D$5:$D$100,MATCH($C364,Inventario!$B$5:$B$100,0)),"No está en Inventario"))</f>
        <v/>
      </c>
      <c r="E364" s="31" t="str">
        <f aca="false">IF($C364="","",IFERROR(INDEX(Inventario!$E$5:$E$100,MATCH($C364,Inventario!$B$5:$B$100,0)),"No está en Inventario"))</f>
        <v/>
      </c>
      <c r="F364" s="26"/>
      <c r="G364" s="42" t="str">
        <f aca="false">IF($C364="","",IFERROR(INDEX(Inventario!$H$5:$H$100,MATCH($C364,Inventario!$B$5:$B$100,0)),"No está en Inventario"))</f>
        <v/>
      </c>
      <c r="H364" s="43"/>
      <c r="I364" s="44" t="str">
        <f aca="false">IF(OR($C364="",$F364=""),"",N($F364)*N($G364)*(1-N($H364)))</f>
        <v/>
      </c>
      <c r="J364" s="24"/>
      <c r="K364" s="23"/>
      <c r="L364" s="30" t="str">
        <f aca="false">IF($C364="","",IFERROR(IF(INDEX(Inventario!$L$5:$L$100,MATCH($C364,Inventario!$B$5:$B$100,0))&lt;0,"Stock negativo: revisa","OK"),"No está en Inventario"))</f>
        <v/>
      </c>
    </row>
    <row r="365" customFormat="false" ht="15" hidden="false" customHeight="false" outlineLevel="0" collapsed="false">
      <c r="A365" s="1"/>
      <c r="B365" s="37"/>
      <c r="C365" s="13"/>
      <c r="D365" s="21" t="str">
        <f aca="false">IF($C365="","",IFERROR(INDEX(Inventario!$D$5:$D$100,MATCH($C365,Inventario!$B$5:$B$100,0)),"No está en Inventario"))</f>
        <v/>
      </c>
      <c r="E365" s="21" t="str">
        <f aca="false">IF($C365="","",IFERROR(INDEX(Inventario!$E$5:$E$100,MATCH($C365,Inventario!$B$5:$B$100,0)),"No está en Inventario"))</f>
        <v/>
      </c>
      <c r="F365" s="16"/>
      <c r="G365" s="38" t="str">
        <f aca="false">IF($C365="","",IFERROR(INDEX(Inventario!$H$5:$H$100,MATCH($C365,Inventario!$B$5:$B$100,0)),"No está en Inventario"))</f>
        <v/>
      </c>
      <c r="H365" s="39"/>
      <c r="I365" s="40" t="str">
        <f aca="false">IF(OR($C365="",$F365=""),"",N($F365)*N($G365)*(1-N($H365)))</f>
        <v/>
      </c>
      <c r="J365" s="14"/>
      <c r="K365" s="13"/>
      <c r="L365" s="20" t="str">
        <f aca="false">IF($C365="","",IFERROR(IF(INDEX(Inventario!$L$5:$L$100,MATCH($C365,Inventario!$B$5:$B$100,0))&lt;0,"Stock negativo: revisa","OK"),"No está en Inventario"))</f>
        <v/>
      </c>
    </row>
    <row r="366" customFormat="false" ht="15" hidden="false" customHeight="false" outlineLevel="0" collapsed="false">
      <c r="A366" s="1"/>
      <c r="B366" s="41"/>
      <c r="C366" s="23"/>
      <c r="D366" s="31" t="str">
        <f aca="false">IF($C366="","",IFERROR(INDEX(Inventario!$D$5:$D$100,MATCH($C366,Inventario!$B$5:$B$100,0)),"No está en Inventario"))</f>
        <v/>
      </c>
      <c r="E366" s="31" t="str">
        <f aca="false">IF($C366="","",IFERROR(INDEX(Inventario!$E$5:$E$100,MATCH($C366,Inventario!$B$5:$B$100,0)),"No está en Inventario"))</f>
        <v/>
      </c>
      <c r="F366" s="26"/>
      <c r="G366" s="42" t="str">
        <f aca="false">IF($C366="","",IFERROR(INDEX(Inventario!$H$5:$H$100,MATCH($C366,Inventario!$B$5:$B$100,0)),"No está en Inventario"))</f>
        <v/>
      </c>
      <c r="H366" s="43"/>
      <c r="I366" s="44" t="str">
        <f aca="false">IF(OR($C366="",$F366=""),"",N($F366)*N($G366)*(1-N($H366)))</f>
        <v/>
      </c>
      <c r="J366" s="24"/>
      <c r="K366" s="23"/>
      <c r="L366" s="30" t="str">
        <f aca="false">IF($C366="","",IFERROR(IF(INDEX(Inventario!$L$5:$L$100,MATCH($C366,Inventario!$B$5:$B$100,0))&lt;0,"Stock negativo: revisa","OK"),"No está en Inventario"))</f>
        <v/>
      </c>
    </row>
    <row r="367" customFormat="false" ht="15" hidden="false" customHeight="false" outlineLevel="0" collapsed="false">
      <c r="A367" s="1"/>
      <c r="B367" s="37"/>
      <c r="C367" s="13"/>
      <c r="D367" s="21" t="str">
        <f aca="false">IF($C367="","",IFERROR(INDEX(Inventario!$D$5:$D$100,MATCH($C367,Inventario!$B$5:$B$100,0)),"No está en Inventario"))</f>
        <v/>
      </c>
      <c r="E367" s="21" t="str">
        <f aca="false">IF($C367="","",IFERROR(INDEX(Inventario!$E$5:$E$100,MATCH($C367,Inventario!$B$5:$B$100,0)),"No está en Inventario"))</f>
        <v/>
      </c>
      <c r="F367" s="16"/>
      <c r="G367" s="38" t="str">
        <f aca="false">IF($C367="","",IFERROR(INDEX(Inventario!$H$5:$H$100,MATCH($C367,Inventario!$B$5:$B$100,0)),"No está en Inventario"))</f>
        <v/>
      </c>
      <c r="H367" s="39"/>
      <c r="I367" s="40" t="str">
        <f aca="false">IF(OR($C367="",$F367=""),"",N($F367)*N($G367)*(1-N($H367)))</f>
        <v/>
      </c>
      <c r="J367" s="14"/>
      <c r="K367" s="13"/>
      <c r="L367" s="20" t="str">
        <f aca="false">IF($C367="","",IFERROR(IF(INDEX(Inventario!$L$5:$L$100,MATCH($C367,Inventario!$B$5:$B$100,0))&lt;0,"Stock negativo: revisa","OK"),"No está en Inventario"))</f>
        <v/>
      </c>
    </row>
    <row r="368" customFormat="false" ht="15" hidden="false" customHeight="false" outlineLevel="0" collapsed="false">
      <c r="A368" s="1"/>
      <c r="B368" s="41"/>
      <c r="C368" s="23"/>
      <c r="D368" s="31" t="str">
        <f aca="false">IF($C368="","",IFERROR(INDEX(Inventario!$D$5:$D$100,MATCH($C368,Inventario!$B$5:$B$100,0)),"No está en Inventario"))</f>
        <v/>
      </c>
      <c r="E368" s="31" t="str">
        <f aca="false">IF($C368="","",IFERROR(INDEX(Inventario!$E$5:$E$100,MATCH($C368,Inventario!$B$5:$B$100,0)),"No está en Inventario"))</f>
        <v/>
      </c>
      <c r="F368" s="26"/>
      <c r="G368" s="42" t="str">
        <f aca="false">IF($C368="","",IFERROR(INDEX(Inventario!$H$5:$H$100,MATCH($C368,Inventario!$B$5:$B$100,0)),"No está en Inventario"))</f>
        <v/>
      </c>
      <c r="H368" s="43"/>
      <c r="I368" s="44" t="str">
        <f aca="false">IF(OR($C368="",$F368=""),"",N($F368)*N($G368)*(1-N($H368)))</f>
        <v/>
      </c>
      <c r="J368" s="24"/>
      <c r="K368" s="23"/>
      <c r="L368" s="30" t="str">
        <f aca="false">IF($C368="","",IFERROR(IF(INDEX(Inventario!$L$5:$L$100,MATCH($C368,Inventario!$B$5:$B$100,0))&lt;0,"Stock negativo: revisa","OK"),"No está en Inventario"))</f>
        <v/>
      </c>
    </row>
    <row r="369" customFormat="false" ht="15" hidden="false" customHeight="false" outlineLevel="0" collapsed="false">
      <c r="A369" s="1"/>
      <c r="B369" s="37"/>
      <c r="C369" s="13"/>
      <c r="D369" s="21" t="str">
        <f aca="false">IF($C369="","",IFERROR(INDEX(Inventario!$D$5:$D$100,MATCH($C369,Inventario!$B$5:$B$100,0)),"No está en Inventario"))</f>
        <v/>
      </c>
      <c r="E369" s="21" t="str">
        <f aca="false">IF($C369="","",IFERROR(INDEX(Inventario!$E$5:$E$100,MATCH($C369,Inventario!$B$5:$B$100,0)),"No está en Inventario"))</f>
        <v/>
      </c>
      <c r="F369" s="16"/>
      <c r="G369" s="38" t="str">
        <f aca="false">IF($C369="","",IFERROR(INDEX(Inventario!$H$5:$H$100,MATCH($C369,Inventario!$B$5:$B$100,0)),"No está en Inventario"))</f>
        <v/>
      </c>
      <c r="H369" s="39"/>
      <c r="I369" s="40" t="str">
        <f aca="false">IF(OR($C369="",$F369=""),"",N($F369)*N($G369)*(1-N($H369)))</f>
        <v/>
      </c>
      <c r="J369" s="14"/>
      <c r="K369" s="13"/>
      <c r="L369" s="20" t="str">
        <f aca="false">IF($C369="","",IFERROR(IF(INDEX(Inventario!$L$5:$L$100,MATCH($C369,Inventario!$B$5:$B$100,0))&lt;0,"Stock negativo: revisa","OK"),"No está en Inventario"))</f>
        <v/>
      </c>
    </row>
    <row r="370" customFormat="false" ht="15" hidden="false" customHeight="false" outlineLevel="0" collapsed="false">
      <c r="A370" s="1"/>
      <c r="B370" s="41"/>
      <c r="C370" s="23"/>
      <c r="D370" s="31" t="str">
        <f aca="false">IF($C370="","",IFERROR(INDEX(Inventario!$D$5:$D$100,MATCH($C370,Inventario!$B$5:$B$100,0)),"No está en Inventario"))</f>
        <v/>
      </c>
      <c r="E370" s="31" t="str">
        <f aca="false">IF($C370="","",IFERROR(INDEX(Inventario!$E$5:$E$100,MATCH($C370,Inventario!$B$5:$B$100,0)),"No está en Inventario"))</f>
        <v/>
      </c>
      <c r="F370" s="26"/>
      <c r="G370" s="42" t="str">
        <f aca="false">IF($C370="","",IFERROR(INDEX(Inventario!$H$5:$H$100,MATCH($C370,Inventario!$B$5:$B$100,0)),"No está en Inventario"))</f>
        <v/>
      </c>
      <c r="H370" s="43"/>
      <c r="I370" s="44" t="str">
        <f aca="false">IF(OR($C370="",$F370=""),"",N($F370)*N($G370)*(1-N($H370)))</f>
        <v/>
      </c>
      <c r="J370" s="24"/>
      <c r="K370" s="23"/>
      <c r="L370" s="30" t="str">
        <f aca="false">IF($C370="","",IFERROR(IF(INDEX(Inventario!$L$5:$L$100,MATCH($C370,Inventario!$B$5:$B$100,0))&lt;0,"Stock negativo: revisa","OK"),"No está en Inventario"))</f>
        <v/>
      </c>
    </row>
    <row r="371" customFormat="false" ht="15" hidden="false" customHeight="false" outlineLevel="0" collapsed="false">
      <c r="A371" s="1"/>
      <c r="B371" s="37"/>
      <c r="C371" s="13"/>
      <c r="D371" s="21" t="str">
        <f aca="false">IF($C371="","",IFERROR(INDEX(Inventario!$D$5:$D$100,MATCH($C371,Inventario!$B$5:$B$100,0)),"No está en Inventario"))</f>
        <v/>
      </c>
      <c r="E371" s="21" t="str">
        <f aca="false">IF($C371="","",IFERROR(INDEX(Inventario!$E$5:$E$100,MATCH($C371,Inventario!$B$5:$B$100,0)),"No está en Inventario"))</f>
        <v/>
      </c>
      <c r="F371" s="16"/>
      <c r="G371" s="38" t="str">
        <f aca="false">IF($C371="","",IFERROR(INDEX(Inventario!$H$5:$H$100,MATCH($C371,Inventario!$B$5:$B$100,0)),"No está en Inventario"))</f>
        <v/>
      </c>
      <c r="H371" s="39"/>
      <c r="I371" s="40" t="str">
        <f aca="false">IF(OR($C371="",$F371=""),"",N($F371)*N($G371)*(1-N($H371)))</f>
        <v/>
      </c>
      <c r="J371" s="14"/>
      <c r="K371" s="13"/>
      <c r="L371" s="20" t="str">
        <f aca="false">IF($C371="","",IFERROR(IF(INDEX(Inventario!$L$5:$L$100,MATCH($C371,Inventario!$B$5:$B$100,0))&lt;0,"Stock negativo: revisa","OK"),"No está en Inventario"))</f>
        <v/>
      </c>
    </row>
    <row r="372" customFormat="false" ht="15" hidden="false" customHeight="false" outlineLevel="0" collapsed="false">
      <c r="A372" s="1"/>
      <c r="B372" s="41"/>
      <c r="C372" s="23"/>
      <c r="D372" s="31" t="str">
        <f aca="false">IF($C372="","",IFERROR(INDEX(Inventario!$D$5:$D$100,MATCH($C372,Inventario!$B$5:$B$100,0)),"No está en Inventario"))</f>
        <v/>
      </c>
      <c r="E372" s="31" t="str">
        <f aca="false">IF($C372="","",IFERROR(INDEX(Inventario!$E$5:$E$100,MATCH($C372,Inventario!$B$5:$B$100,0)),"No está en Inventario"))</f>
        <v/>
      </c>
      <c r="F372" s="26"/>
      <c r="G372" s="42" t="str">
        <f aca="false">IF($C372="","",IFERROR(INDEX(Inventario!$H$5:$H$100,MATCH($C372,Inventario!$B$5:$B$100,0)),"No está en Inventario"))</f>
        <v/>
      </c>
      <c r="H372" s="43"/>
      <c r="I372" s="44" t="str">
        <f aca="false">IF(OR($C372="",$F372=""),"",N($F372)*N($G372)*(1-N($H372)))</f>
        <v/>
      </c>
      <c r="J372" s="24"/>
      <c r="K372" s="23"/>
      <c r="L372" s="30" t="str">
        <f aca="false">IF($C372="","",IFERROR(IF(INDEX(Inventario!$L$5:$L$100,MATCH($C372,Inventario!$B$5:$B$100,0))&lt;0,"Stock negativo: revisa","OK"),"No está en Inventario"))</f>
        <v/>
      </c>
    </row>
    <row r="373" customFormat="false" ht="15" hidden="false" customHeight="false" outlineLevel="0" collapsed="false">
      <c r="A373" s="1"/>
      <c r="B373" s="37"/>
      <c r="C373" s="13"/>
      <c r="D373" s="21" t="str">
        <f aca="false">IF($C373="","",IFERROR(INDEX(Inventario!$D$5:$D$100,MATCH($C373,Inventario!$B$5:$B$100,0)),"No está en Inventario"))</f>
        <v/>
      </c>
      <c r="E373" s="21" t="str">
        <f aca="false">IF($C373="","",IFERROR(INDEX(Inventario!$E$5:$E$100,MATCH($C373,Inventario!$B$5:$B$100,0)),"No está en Inventario"))</f>
        <v/>
      </c>
      <c r="F373" s="16"/>
      <c r="G373" s="38" t="str">
        <f aca="false">IF($C373="","",IFERROR(INDEX(Inventario!$H$5:$H$100,MATCH($C373,Inventario!$B$5:$B$100,0)),"No está en Inventario"))</f>
        <v/>
      </c>
      <c r="H373" s="39"/>
      <c r="I373" s="40" t="str">
        <f aca="false">IF(OR($C373="",$F373=""),"",N($F373)*N($G373)*(1-N($H373)))</f>
        <v/>
      </c>
      <c r="J373" s="14"/>
      <c r="K373" s="13"/>
      <c r="L373" s="20" t="str">
        <f aca="false">IF($C373="","",IFERROR(IF(INDEX(Inventario!$L$5:$L$100,MATCH($C373,Inventario!$B$5:$B$100,0))&lt;0,"Stock negativo: revisa","OK"),"No está en Inventario"))</f>
        <v/>
      </c>
    </row>
    <row r="374" customFormat="false" ht="15" hidden="false" customHeight="false" outlineLevel="0" collapsed="false">
      <c r="A374" s="1"/>
      <c r="B374" s="41"/>
      <c r="C374" s="23"/>
      <c r="D374" s="31" t="str">
        <f aca="false">IF($C374="","",IFERROR(INDEX(Inventario!$D$5:$D$100,MATCH($C374,Inventario!$B$5:$B$100,0)),"No está en Inventario"))</f>
        <v/>
      </c>
      <c r="E374" s="31" t="str">
        <f aca="false">IF($C374="","",IFERROR(INDEX(Inventario!$E$5:$E$100,MATCH($C374,Inventario!$B$5:$B$100,0)),"No está en Inventario"))</f>
        <v/>
      </c>
      <c r="F374" s="26"/>
      <c r="G374" s="42" t="str">
        <f aca="false">IF($C374="","",IFERROR(INDEX(Inventario!$H$5:$H$100,MATCH($C374,Inventario!$B$5:$B$100,0)),"No está en Inventario"))</f>
        <v/>
      </c>
      <c r="H374" s="43"/>
      <c r="I374" s="44" t="str">
        <f aca="false">IF(OR($C374="",$F374=""),"",N($F374)*N($G374)*(1-N($H374)))</f>
        <v/>
      </c>
      <c r="J374" s="24"/>
      <c r="K374" s="23"/>
      <c r="L374" s="30" t="str">
        <f aca="false">IF($C374="","",IFERROR(IF(INDEX(Inventario!$L$5:$L$100,MATCH($C374,Inventario!$B$5:$B$100,0))&lt;0,"Stock negativo: revisa","OK"),"No está en Inventario"))</f>
        <v/>
      </c>
    </row>
    <row r="375" customFormat="false" ht="15" hidden="false" customHeight="false" outlineLevel="0" collapsed="false">
      <c r="A375" s="1"/>
      <c r="B375" s="37"/>
      <c r="C375" s="13"/>
      <c r="D375" s="21" t="str">
        <f aca="false">IF($C375="","",IFERROR(INDEX(Inventario!$D$5:$D$100,MATCH($C375,Inventario!$B$5:$B$100,0)),"No está en Inventario"))</f>
        <v/>
      </c>
      <c r="E375" s="21" t="str">
        <f aca="false">IF($C375="","",IFERROR(INDEX(Inventario!$E$5:$E$100,MATCH($C375,Inventario!$B$5:$B$100,0)),"No está en Inventario"))</f>
        <v/>
      </c>
      <c r="F375" s="16"/>
      <c r="G375" s="38" t="str">
        <f aca="false">IF($C375="","",IFERROR(INDEX(Inventario!$H$5:$H$100,MATCH($C375,Inventario!$B$5:$B$100,0)),"No está en Inventario"))</f>
        <v/>
      </c>
      <c r="H375" s="39"/>
      <c r="I375" s="40" t="str">
        <f aca="false">IF(OR($C375="",$F375=""),"",N($F375)*N($G375)*(1-N($H375)))</f>
        <v/>
      </c>
      <c r="J375" s="14"/>
      <c r="K375" s="13"/>
      <c r="L375" s="20" t="str">
        <f aca="false">IF($C375="","",IFERROR(IF(INDEX(Inventario!$L$5:$L$100,MATCH($C375,Inventario!$B$5:$B$100,0))&lt;0,"Stock negativo: revisa","OK"),"No está en Inventario"))</f>
        <v/>
      </c>
    </row>
    <row r="376" customFormat="false" ht="15" hidden="false" customHeight="false" outlineLevel="0" collapsed="false">
      <c r="A376" s="1"/>
      <c r="B376" s="41"/>
      <c r="C376" s="23"/>
      <c r="D376" s="31" t="str">
        <f aca="false">IF($C376="","",IFERROR(INDEX(Inventario!$D$5:$D$100,MATCH($C376,Inventario!$B$5:$B$100,0)),"No está en Inventario"))</f>
        <v/>
      </c>
      <c r="E376" s="31" t="str">
        <f aca="false">IF($C376="","",IFERROR(INDEX(Inventario!$E$5:$E$100,MATCH($C376,Inventario!$B$5:$B$100,0)),"No está en Inventario"))</f>
        <v/>
      </c>
      <c r="F376" s="26"/>
      <c r="G376" s="42" t="str">
        <f aca="false">IF($C376="","",IFERROR(INDEX(Inventario!$H$5:$H$100,MATCH($C376,Inventario!$B$5:$B$100,0)),"No está en Inventario"))</f>
        <v/>
      </c>
      <c r="H376" s="43"/>
      <c r="I376" s="44" t="str">
        <f aca="false">IF(OR($C376="",$F376=""),"",N($F376)*N($G376)*(1-N($H376)))</f>
        <v/>
      </c>
      <c r="J376" s="24"/>
      <c r="K376" s="23"/>
      <c r="L376" s="30" t="str">
        <f aca="false">IF($C376="","",IFERROR(IF(INDEX(Inventario!$L$5:$L$100,MATCH($C376,Inventario!$B$5:$B$100,0))&lt;0,"Stock negativo: revisa","OK"),"No está en Inventario"))</f>
        <v/>
      </c>
    </row>
    <row r="377" customFormat="false" ht="15" hidden="false" customHeight="false" outlineLevel="0" collapsed="false">
      <c r="A377" s="1"/>
      <c r="B377" s="37"/>
      <c r="C377" s="13"/>
      <c r="D377" s="21" t="str">
        <f aca="false">IF($C377="","",IFERROR(INDEX(Inventario!$D$5:$D$100,MATCH($C377,Inventario!$B$5:$B$100,0)),"No está en Inventario"))</f>
        <v/>
      </c>
      <c r="E377" s="21" t="str">
        <f aca="false">IF($C377="","",IFERROR(INDEX(Inventario!$E$5:$E$100,MATCH($C377,Inventario!$B$5:$B$100,0)),"No está en Inventario"))</f>
        <v/>
      </c>
      <c r="F377" s="16"/>
      <c r="G377" s="38" t="str">
        <f aca="false">IF($C377="","",IFERROR(INDEX(Inventario!$H$5:$H$100,MATCH($C377,Inventario!$B$5:$B$100,0)),"No está en Inventario"))</f>
        <v/>
      </c>
      <c r="H377" s="39"/>
      <c r="I377" s="40" t="str">
        <f aca="false">IF(OR($C377="",$F377=""),"",N($F377)*N($G377)*(1-N($H377)))</f>
        <v/>
      </c>
      <c r="J377" s="14"/>
      <c r="K377" s="13"/>
      <c r="L377" s="20" t="str">
        <f aca="false">IF($C377="","",IFERROR(IF(INDEX(Inventario!$L$5:$L$100,MATCH($C377,Inventario!$B$5:$B$100,0))&lt;0,"Stock negativo: revisa","OK"),"No está en Inventario"))</f>
        <v/>
      </c>
    </row>
    <row r="378" customFormat="false" ht="15" hidden="false" customHeight="false" outlineLevel="0" collapsed="false">
      <c r="A378" s="1"/>
      <c r="B378" s="41"/>
      <c r="C378" s="23"/>
      <c r="D378" s="31" t="str">
        <f aca="false">IF($C378="","",IFERROR(INDEX(Inventario!$D$5:$D$100,MATCH($C378,Inventario!$B$5:$B$100,0)),"No está en Inventario"))</f>
        <v/>
      </c>
      <c r="E378" s="31" t="str">
        <f aca="false">IF($C378="","",IFERROR(INDEX(Inventario!$E$5:$E$100,MATCH($C378,Inventario!$B$5:$B$100,0)),"No está en Inventario"))</f>
        <v/>
      </c>
      <c r="F378" s="26"/>
      <c r="G378" s="42" t="str">
        <f aca="false">IF($C378="","",IFERROR(INDEX(Inventario!$H$5:$H$100,MATCH($C378,Inventario!$B$5:$B$100,0)),"No está en Inventario"))</f>
        <v/>
      </c>
      <c r="H378" s="43"/>
      <c r="I378" s="44" t="str">
        <f aca="false">IF(OR($C378="",$F378=""),"",N($F378)*N($G378)*(1-N($H378)))</f>
        <v/>
      </c>
      <c r="J378" s="24"/>
      <c r="K378" s="23"/>
      <c r="L378" s="30" t="str">
        <f aca="false">IF($C378="","",IFERROR(IF(INDEX(Inventario!$L$5:$L$100,MATCH($C378,Inventario!$B$5:$B$100,0))&lt;0,"Stock negativo: revisa","OK"),"No está en Inventario"))</f>
        <v/>
      </c>
    </row>
    <row r="379" customFormat="false" ht="15" hidden="false" customHeight="false" outlineLevel="0" collapsed="false">
      <c r="A379" s="1"/>
      <c r="B379" s="37"/>
      <c r="C379" s="13"/>
      <c r="D379" s="21" t="str">
        <f aca="false">IF($C379="","",IFERROR(INDEX(Inventario!$D$5:$D$100,MATCH($C379,Inventario!$B$5:$B$100,0)),"No está en Inventario"))</f>
        <v/>
      </c>
      <c r="E379" s="21" t="str">
        <f aca="false">IF($C379="","",IFERROR(INDEX(Inventario!$E$5:$E$100,MATCH($C379,Inventario!$B$5:$B$100,0)),"No está en Inventario"))</f>
        <v/>
      </c>
      <c r="F379" s="16"/>
      <c r="G379" s="38" t="str">
        <f aca="false">IF($C379="","",IFERROR(INDEX(Inventario!$H$5:$H$100,MATCH($C379,Inventario!$B$5:$B$100,0)),"No está en Inventario"))</f>
        <v/>
      </c>
      <c r="H379" s="39"/>
      <c r="I379" s="40" t="str">
        <f aca="false">IF(OR($C379="",$F379=""),"",N($F379)*N($G379)*(1-N($H379)))</f>
        <v/>
      </c>
      <c r="J379" s="14"/>
      <c r="K379" s="13"/>
      <c r="L379" s="20" t="str">
        <f aca="false">IF($C379="","",IFERROR(IF(INDEX(Inventario!$L$5:$L$100,MATCH($C379,Inventario!$B$5:$B$100,0))&lt;0,"Stock negativo: revisa","OK"),"No está en Inventario"))</f>
        <v/>
      </c>
    </row>
    <row r="380" customFormat="false" ht="15" hidden="false" customHeight="false" outlineLevel="0" collapsed="false">
      <c r="A380" s="1"/>
      <c r="B380" s="41"/>
      <c r="C380" s="23"/>
      <c r="D380" s="31" t="str">
        <f aca="false">IF($C380="","",IFERROR(INDEX(Inventario!$D$5:$D$100,MATCH($C380,Inventario!$B$5:$B$100,0)),"No está en Inventario"))</f>
        <v/>
      </c>
      <c r="E380" s="31" t="str">
        <f aca="false">IF($C380="","",IFERROR(INDEX(Inventario!$E$5:$E$100,MATCH($C380,Inventario!$B$5:$B$100,0)),"No está en Inventario"))</f>
        <v/>
      </c>
      <c r="F380" s="26"/>
      <c r="G380" s="42" t="str">
        <f aca="false">IF($C380="","",IFERROR(INDEX(Inventario!$H$5:$H$100,MATCH($C380,Inventario!$B$5:$B$100,0)),"No está en Inventario"))</f>
        <v/>
      </c>
      <c r="H380" s="43"/>
      <c r="I380" s="44" t="str">
        <f aca="false">IF(OR($C380="",$F380=""),"",N($F380)*N($G380)*(1-N($H380)))</f>
        <v/>
      </c>
      <c r="J380" s="24"/>
      <c r="K380" s="23"/>
      <c r="L380" s="30" t="str">
        <f aca="false">IF($C380="","",IFERROR(IF(INDEX(Inventario!$L$5:$L$100,MATCH($C380,Inventario!$B$5:$B$100,0))&lt;0,"Stock negativo: revisa","OK"),"No está en Inventario"))</f>
        <v/>
      </c>
    </row>
    <row r="381" customFormat="false" ht="15" hidden="false" customHeight="false" outlineLevel="0" collapsed="false">
      <c r="A381" s="1"/>
      <c r="B381" s="37"/>
      <c r="C381" s="13"/>
      <c r="D381" s="21" t="str">
        <f aca="false">IF($C381="","",IFERROR(INDEX(Inventario!$D$5:$D$100,MATCH($C381,Inventario!$B$5:$B$100,0)),"No está en Inventario"))</f>
        <v/>
      </c>
      <c r="E381" s="21" t="str">
        <f aca="false">IF($C381="","",IFERROR(INDEX(Inventario!$E$5:$E$100,MATCH($C381,Inventario!$B$5:$B$100,0)),"No está en Inventario"))</f>
        <v/>
      </c>
      <c r="F381" s="16"/>
      <c r="G381" s="38" t="str">
        <f aca="false">IF($C381="","",IFERROR(INDEX(Inventario!$H$5:$H$100,MATCH($C381,Inventario!$B$5:$B$100,0)),"No está en Inventario"))</f>
        <v/>
      </c>
      <c r="H381" s="39"/>
      <c r="I381" s="40" t="str">
        <f aca="false">IF(OR($C381="",$F381=""),"",N($F381)*N($G381)*(1-N($H381)))</f>
        <v/>
      </c>
      <c r="J381" s="14"/>
      <c r="K381" s="13"/>
      <c r="L381" s="20" t="str">
        <f aca="false">IF($C381="","",IFERROR(IF(INDEX(Inventario!$L$5:$L$100,MATCH($C381,Inventario!$B$5:$B$100,0))&lt;0,"Stock negativo: revisa","OK"),"No está en Inventario"))</f>
        <v/>
      </c>
    </row>
    <row r="382" customFormat="false" ht="15" hidden="false" customHeight="false" outlineLevel="0" collapsed="false">
      <c r="A382" s="1"/>
      <c r="B382" s="41"/>
      <c r="C382" s="23"/>
      <c r="D382" s="31" t="str">
        <f aca="false">IF($C382="","",IFERROR(INDEX(Inventario!$D$5:$D$100,MATCH($C382,Inventario!$B$5:$B$100,0)),"No está en Inventario"))</f>
        <v/>
      </c>
      <c r="E382" s="31" t="str">
        <f aca="false">IF($C382="","",IFERROR(INDEX(Inventario!$E$5:$E$100,MATCH($C382,Inventario!$B$5:$B$100,0)),"No está en Inventario"))</f>
        <v/>
      </c>
      <c r="F382" s="26"/>
      <c r="G382" s="42" t="str">
        <f aca="false">IF($C382="","",IFERROR(INDEX(Inventario!$H$5:$H$100,MATCH($C382,Inventario!$B$5:$B$100,0)),"No está en Inventario"))</f>
        <v/>
      </c>
      <c r="H382" s="43"/>
      <c r="I382" s="44" t="str">
        <f aca="false">IF(OR($C382="",$F382=""),"",N($F382)*N($G382)*(1-N($H382)))</f>
        <v/>
      </c>
      <c r="J382" s="24"/>
      <c r="K382" s="23"/>
      <c r="L382" s="30" t="str">
        <f aca="false">IF($C382="","",IFERROR(IF(INDEX(Inventario!$L$5:$L$100,MATCH($C382,Inventario!$B$5:$B$100,0))&lt;0,"Stock negativo: revisa","OK"),"No está en Inventario"))</f>
        <v/>
      </c>
    </row>
    <row r="383" customFormat="false" ht="15" hidden="false" customHeight="false" outlineLevel="0" collapsed="false">
      <c r="A383" s="1"/>
      <c r="B383" s="37"/>
      <c r="C383" s="13"/>
      <c r="D383" s="21" t="str">
        <f aca="false">IF($C383="","",IFERROR(INDEX(Inventario!$D$5:$D$100,MATCH($C383,Inventario!$B$5:$B$100,0)),"No está en Inventario"))</f>
        <v/>
      </c>
      <c r="E383" s="21" t="str">
        <f aca="false">IF($C383="","",IFERROR(INDEX(Inventario!$E$5:$E$100,MATCH($C383,Inventario!$B$5:$B$100,0)),"No está en Inventario"))</f>
        <v/>
      </c>
      <c r="F383" s="16"/>
      <c r="G383" s="38" t="str">
        <f aca="false">IF($C383="","",IFERROR(INDEX(Inventario!$H$5:$H$100,MATCH($C383,Inventario!$B$5:$B$100,0)),"No está en Inventario"))</f>
        <v/>
      </c>
      <c r="H383" s="39"/>
      <c r="I383" s="40" t="str">
        <f aca="false">IF(OR($C383="",$F383=""),"",N($F383)*N($G383)*(1-N($H383)))</f>
        <v/>
      </c>
      <c r="J383" s="14"/>
      <c r="K383" s="13"/>
      <c r="L383" s="20" t="str">
        <f aca="false">IF($C383="","",IFERROR(IF(INDEX(Inventario!$L$5:$L$100,MATCH($C383,Inventario!$B$5:$B$100,0))&lt;0,"Stock negativo: revisa","OK"),"No está en Inventario"))</f>
        <v/>
      </c>
    </row>
    <row r="384" customFormat="false" ht="15" hidden="false" customHeight="false" outlineLevel="0" collapsed="false">
      <c r="A384" s="1"/>
      <c r="B384" s="41"/>
      <c r="C384" s="23"/>
      <c r="D384" s="31" t="str">
        <f aca="false">IF($C384="","",IFERROR(INDEX(Inventario!$D$5:$D$100,MATCH($C384,Inventario!$B$5:$B$100,0)),"No está en Inventario"))</f>
        <v/>
      </c>
      <c r="E384" s="31" t="str">
        <f aca="false">IF($C384="","",IFERROR(INDEX(Inventario!$E$5:$E$100,MATCH($C384,Inventario!$B$5:$B$100,0)),"No está en Inventario"))</f>
        <v/>
      </c>
      <c r="F384" s="26"/>
      <c r="G384" s="42" t="str">
        <f aca="false">IF($C384="","",IFERROR(INDEX(Inventario!$H$5:$H$100,MATCH($C384,Inventario!$B$5:$B$100,0)),"No está en Inventario"))</f>
        <v/>
      </c>
      <c r="H384" s="43"/>
      <c r="I384" s="44" t="str">
        <f aca="false">IF(OR($C384="",$F384=""),"",N($F384)*N($G384)*(1-N($H384)))</f>
        <v/>
      </c>
      <c r="J384" s="24"/>
      <c r="K384" s="23"/>
      <c r="L384" s="30" t="str">
        <f aca="false">IF($C384="","",IFERROR(IF(INDEX(Inventario!$L$5:$L$100,MATCH($C384,Inventario!$B$5:$B$100,0))&lt;0,"Stock negativo: revisa","OK"),"No está en Inventario"))</f>
        <v/>
      </c>
    </row>
    <row r="385" customFormat="false" ht="15" hidden="false" customHeight="false" outlineLevel="0" collapsed="false">
      <c r="A385" s="1"/>
      <c r="B385" s="37"/>
      <c r="C385" s="13"/>
      <c r="D385" s="21" t="str">
        <f aca="false">IF($C385="","",IFERROR(INDEX(Inventario!$D$5:$D$100,MATCH($C385,Inventario!$B$5:$B$100,0)),"No está en Inventario"))</f>
        <v/>
      </c>
      <c r="E385" s="21" t="str">
        <f aca="false">IF($C385="","",IFERROR(INDEX(Inventario!$E$5:$E$100,MATCH($C385,Inventario!$B$5:$B$100,0)),"No está en Inventario"))</f>
        <v/>
      </c>
      <c r="F385" s="16"/>
      <c r="G385" s="38" t="str">
        <f aca="false">IF($C385="","",IFERROR(INDEX(Inventario!$H$5:$H$100,MATCH($C385,Inventario!$B$5:$B$100,0)),"No está en Inventario"))</f>
        <v/>
      </c>
      <c r="H385" s="39"/>
      <c r="I385" s="40" t="str">
        <f aca="false">IF(OR($C385="",$F385=""),"",N($F385)*N($G385)*(1-N($H385)))</f>
        <v/>
      </c>
      <c r="J385" s="14"/>
      <c r="K385" s="13"/>
      <c r="L385" s="20" t="str">
        <f aca="false">IF($C385="","",IFERROR(IF(INDEX(Inventario!$L$5:$L$100,MATCH($C385,Inventario!$B$5:$B$100,0))&lt;0,"Stock negativo: revisa","OK"),"No está en Inventario"))</f>
        <v/>
      </c>
    </row>
    <row r="386" customFormat="false" ht="15" hidden="false" customHeight="false" outlineLevel="0" collapsed="false">
      <c r="A386" s="1"/>
      <c r="B386" s="41"/>
      <c r="C386" s="23"/>
      <c r="D386" s="31" t="str">
        <f aca="false">IF($C386="","",IFERROR(INDEX(Inventario!$D$5:$D$100,MATCH($C386,Inventario!$B$5:$B$100,0)),"No está en Inventario"))</f>
        <v/>
      </c>
      <c r="E386" s="31" t="str">
        <f aca="false">IF($C386="","",IFERROR(INDEX(Inventario!$E$5:$E$100,MATCH($C386,Inventario!$B$5:$B$100,0)),"No está en Inventario"))</f>
        <v/>
      </c>
      <c r="F386" s="26"/>
      <c r="G386" s="42" t="str">
        <f aca="false">IF($C386="","",IFERROR(INDEX(Inventario!$H$5:$H$100,MATCH($C386,Inventario!$B$5:$B$100,0)),"No está en Inventario"))</f>
        <v/>
      </c>
      <c r="H386" s="43"/>
      <c r="I386" s="44" t="str">
        <f aca="false">IF(OR($C386="",$F386=""),"",N($F386)*N($G386)*(1-N($H386)))</f>
        <v/>
      </c>
      <c r="J386" s="24"/>
      <c r="K386" s="23"/>
      <c r="L386" s="30" t="str">
        <f aca="false">IF($C386="","",IFERROR(IF(INDEX(Inventario!$L$5:$L$100,MATCH($C386,Inventario!$B$5:$B$100,0))&lt;0,"Stock negativo: revisa","OK"),"No está en Inventario"))</f>
        <v/>
      </c>
    </row>
    <row r="387" customFormat="false" ht="15" hidden="false" customHeight="false" outlineLevel="0" collapsed="false">
      <c r="A387" s="1"/>
      <c r="B387" s="37"/>
      <c r="C387" s="13"/>
      <c r="D387" s="21" t="str">
        <f aca="false">IF($C387="","",IFERROR(INDEX(Inventario!$D$5:$D$100,MATCH($C387,Inventario!$B$5:$B$100,0)),"No está en Inventario"))</f>
        <v/>
      </c>
      <c r="E387" s="21" t="str">
        <f aca="false">IF($C387="","",IFERROR(INDEX(Inventario!$E$5:$E$100,MATCH($C387,Inventario!$B$5:$B$100,0)),"No está en Inventario"))</f>
        <v/>
      </c>
      <c r="F387" s="16"/>
      <c r="G387" s="38" t="str">
        <f aca="false">IF($C387="","",IFERROR(INDEX(Inventario!$H$5:$H$100,MATCH($C387,Inventario!$B$5:$B$100,0)),"No está en Inventario"))</f>
        <v/>
      </c>
      <c r="H387" s="39"/>
      <c r="I387" s="40" t="str">
        <f aca="false">IF(OR($C387="",$F387=""),"",N($F387)*N($G387)*(1-N($H387)))</f>
        <v/>
      </c>
      <c r="J387" s="14"/>
      <c r="K387" s="13"/>
      <c r="L387" s="20" t="str">
        <f aca="false">IF($C387="","",IFERROR(IF(INDEX(Inventario!$L$5:$L$100,MATCH($C387,Inventario!$B$5:$B$100,0))&lt;0,"Stock negativo: revisa","OK"),"No está en Inventario"))</f>
        <v/>
      </c>
    </row>
    <row r="388" customFormat="false" ht="15" hidden="false" customHeight="false" outlineLevel="0" collapsed="false">
      <c r="A388" s="1"/>
      <c r="B388" s="41"/>
      <c r="C388" s="23"/>
      <c r="D388" s="31" t="str">
        <f aca="false">IF($C388="","",IFERROR(INDEX(Inventario!$D$5:$D$100,MATCH($C388,Inventario!$B$5:$B$100,0)),"No está en Inventario"))</f>
        <v/>
      </c>
      <c r="E388" s="31" t="str">
        <f aca="false">IF($C388="","",IFERROR(INDEX(Inventario!$E$5:$E$100,MATCH($C388,Inventario!$B$5:$B$100,0)),"No está en Inventario"))</f>
        <v/>
      </c>
      <c r="F388" s="26"/>
      <c r="G388" s="42" t="str">
        <f aca="false">IF($C388="","",IFERROR(INDEX(Inventario!$H$5:$H$100,MATCH($C388,Inventario!$B$5:$B$100,0)),"No está en Inventario"))</f>
        <v/>
      </c>
      <c r="H388" s="43"/>
      <c r="I388" s="44" t="str">
        <f aca="false">IF(OR($C388="",$F388=""),"",N($F388)*N($G388)*(1-N($H388)))</f>
        <v/>
      </c>
      <c r="J388" s="24"/>
      <c r="K388" s="23"/>
      <c r="L388" s="30" t="str">
        <f aca="false">IF($C388="","",IFERROR(IF(INDEX(Inventario!$L$5:$L$100,MATCH($C388,Inventario!$B$5:$B$100,0))&lt;0,"Stock negativo: revisa","OK"),"No está en Inventario"))</f>
        <v/>
      </c>
    </row>
    <row r="389" customFormat="false" ht="15" hidden="false" customHeight="false" outlineLevel="0" collapsed="false">
      <c r="A389" s="1"/>
      <c r="B389" s="37"/>
      <c r="C389" s="13"/>
      <c r="D389" s="21" t="str">
        <f aca="false">IF($C389="","",IFERROR(INDEX(Inventario!$D$5:$D$100,MATCH($C389,Inventario!$B$5:$B$100,0)),"No está en Inventario"))</f>
        <v/>
      </c>
      <c r="E389" s="21" t="str">
        <f aca="false">IF($C389="","",IFERROR(INDEX(Inventario!$E$5:$E$100,MATCH($C389,Inventario!$B$5:$B$100,0)),"No está en Inventario"))</f>
        <v/>
      </c>
      <c r="F389" s="16"/>
      <c r="G389" s="38" t="str">
        <f aca="false">IF($C389="","",IFERROR(INDEX(Inventario!$H$5:$H$100,MATCH($C389,Inventario!$B$5:$B$100,0)),"No está en Inventario"))</f>
        <v/>
      </c>
      <c r="H389" s="39"/>
      <c r="I389" s="40" t="str">
        <f aca="false">IF(OR($C389="",$F389=""),"",N($F389)*N($G389)*(1-N($H389)))</f>
        <v/>
      </c>
      <c r="J389" s="14"/>
      <c r="K389" s="13"/>
      <c r="L389" s="20" t="str">
        <f aca="false">IF($C389="","",IFERROR(IF(INDEX(Inventario!$L$5:$L$100,MATCH($C389,Inventario!$B$5:$B$100,0))&lt;0,"Stock negativo: revisa","OK"),"No está en Inventario"))</f>
        <v/>
      </c>
    </row>
    <row r="390" customFormat="false" ht="15" hidden="false" customHeight="false" outlineLevel="0" collapsed="false">
      <c r="A390" s="1"/>
      <c r="B390" s="41"/>
      <c r="C390" s="23"/>
      <c r="D390" s="31" t="str">
        <f aca="false">IF($C390="","",IFERROR(INDEX(Inventario!$D$5:$D$100,MATCH($C390,Inventario!$B$5:$B$100,0)),"No está en Inventario"))</f>
        <v/>
      </c>
      <c r="E390" s="31" t="str">
        <f aca="false">IF($C390="","",IFERROR(INDEX(Inventario!$E$5:$E$100,MATCH($C390,Inventario!$B$5:$B$100,0)),"No está en Inventario"))</f>
        <v/>
      </c>
      <c r="F390" s="26"/>
      <c r="G390" s="42" t="str">
        <f aca="false">IF($C390="","",IFERROR(INDEX(Inventario!$H$5:$H$100,MATCH($C390,Inventario!$B$5:$B$100,0)),"No está en Inventario"))</f>
        <v/>
      </c>
      <c r="H390" s="43"/>
      <c r="I390" s="44" t="str">
        <f aca="false">IF(OR($C390="",$F390=""),"",N($F390)*N($G390)*(1-N($H390)))</f>
        <v/>
      </c>
      <c r="J390" s="24"/>
      <c r="K390" s="23"/>
      <c r="L390" s="30" t="str">
        <f aca="false">IF($C390="","",IFERROR(IF(INDEX(Inventario!$L$5:$L$100,MATCH($C390,Inventario!$B$5:$B$100,0))&lt;0,"Stock negativo: revisa","OK"),"No está en Inventario"))</f>
        <v/>
      </c>
    </row>
    <row r="391" customFormat="false" ht="15" hidden="false" customHeight="false" outlineLevel="0" collapsed="false">
      <c r="A391" s="1"/>
      <c r="B391" s="37"/>
      <c r="C391" s="13"/>
      <c r="D391" s="21" t="str">
        <f aca="false">IF($C391="","",IFERROR(INDEX(Inventario!$D$5:$D$100,MATCH($C391,Inventario!$B$5:$B$100,0)),"No está en Inventario"))</f>
        <v/>
      </c>
      <c r="E391" s="21" t="str">
        <f aca="false">IF($C391="","",IFERROR(INDEX(Inventario!$E$5:$E$100,MATCH($C391,Inventario!$B$5:$B$100,0)),"No está en Inventario"))</f>
        <v/>
      </c>
      <c r="F391" s="16"/>
      <c r="G391" s="38" t="str">
        <f aca="false">IF($C391="","",IFERROR(INDEX(Inventario!$H$5:$H$100,MATCH($C391,Inventario!$B$5:$B$100,0)),"No está en Inventario"))</f>
        <v/>
      </c>
      <c r="H391" s="39"/>
      <c r="I391" s="40" t="str">
        <f aca="false">IF(OR($C391="",$F391=""),"",N($F391)*N($G391)*(1-N($H391)))</f>
        <v/>
      </c>
      <c r="J391" s="14"/>
      <c r="K391" s="13"/>
      <c r="L391" s="20" t="str">
        <f aca="false">IF($C391="","",IFERROR(IF(INDEX(Inventario!$L$5:$L$100,MATCH($C391,Inventario!$B$5:$B$100,0))&lt;0,"Stock negativo: revisa","OK"),"No está en Inventario"))</f>
        <v/>
      </c>
    </row>
    <row r="392" customFormat="false" ht="15" hidden="false" customHeight="false" outlineLevel="0" collapsed="false">
      <c r="A392" s="1"/>
      <c r="B392" s="41"/>
      <c r="C392" s="23"/>
      <c r="D392" s="31" t="str">
        <f aca="false">IF($C392="","",IFERROR(INDEX(Inventario!$D$5:$D$100,MATCH($C392,Inventario!$B$5:$B$100,0)),"No está en Inventario"))</f>
        <v/>
      </c>
      <c r="E392" s="31" t="str">
        <f aca="false">IF($C392="","",IFERROR(INDEX(Inventario!$E$5:$E$100,MATCH($C392,Inventario!$B$5:$B$100,0)),"No está en Inventario"))</f>
        <v/>
      </c>
      <c r="F392" s="26"/>
      <c r="G392" s="42" t="str">
        <f aca="false">IF($C392="","",IFERROR(INDEX(Inventario!$H$5:$H$100,MATCH($C392,Inventario!$B$5:$B$100,0)),"No está en Inventario"))</f>
        <v/>
      </c>
      <c r="H392" s="43"/>
      <c r="I392" s="44" t="str">
        <f aca="false">IF(OR($C392="",$F392=""),"",N($F392)*N($G392)*(1-N($H392)))</f>
        <v/>
      </c>
      <c r="J392" s="24"/>
      <c r="K392" s="23"/>
      <c r="L392" s="30" t="str">
        <f aca="false">IF($C392="","",IFERROR(IF(INDEX(Inventario!$L$5:$L$100,MATCH($C392,Inventario!$B$5:$B$100,0))&lt;0,"Stock negativo: revisa","OK"),"No está en Inventario"))</f>
        <v/>
      </c>
    </row>
    <row r="393" customFormat="false" ht="15" hidden="false" customHeight="false" outlineLevel="0" collapsed="false">
      <c r="A393" s="1"/>
      <c r="B393" s="37"/>
      <c r="C393" s="13"/>
      <c r="D393" s="21" t="str">
        <f aca="false">IF($C393="","",IFERROR(INDEX(Inventario!$D$5:$D$100,MATCH($C393,Inventario!$B$5:$B$100,0)),"No está en Inventario"))</f>
        <v/>
      </c>
      <c r="E393" s="21" t="str">
        <f aca="false">IF($C393="","",IFERROR(INDEX(Inventario!$E$5:$E$100,MATCH($C393,Inventario!$B$5:$B$100,0)),"No está en Inventario"))</f>
        <v/>
      </c>
      <c r="F393" s="16"/>
      <c r="G393" s="38" t="str">
        <f aca="false">IF($C393="","",IFERROR(INDEX(Inventario!$H$5:$H$100,MATCH($C393,Inventario!$B$5:$B$100,0)),"No está en Inventario"))</f>
        <v/>
      </c>
      <c r="H393" s="39"/>
      <c r="I393" s="40" t="str">
        <f aca="false">IF(OR($C393="",$F393=""),"",N($F393)*N($G393)*(1-N($H393)))</f>
        <v/>
      </c>
      <c r="J393" s="14"/>
      <c r="K393" s="13"/>
      <c r="L393" s="20" t="str">
        <f aca="false">IF($C393="","",IFERROR(IF(INDEX(Inventario!$L$5:$L$100,MATCH($C393,Inventario!$B$5:$B$100,0))&lt;0,"Stock negativo: revisa","OK"),"No está en Inventario"))</f>
        <v/>
      </c>
    </row>
    <row r="394" customFormat="false" ht="15" hidden="false" customHeight="false" outlineLevel="0" collapsed="false">
      <c r="A394" s="1"/>
      <c r="B394" s="41"/>
      <c r="C394" s="23"/>
      <c r="D394" s="31" t="str">
        <f aca="false">IF($C394="","",IFERROR(INDEX(Inventario!$D$5:$D$100,MATCH($C394,Inventario!$B$5:$B$100,0)),"No está en Inventario"))</f>
        <v/>
      </c>
      <c r="E394" s="31" t="str">
        <f aca="false">IF($C394="","",IFERROR(INDEX(Inventario!$E$5:$E$100,MATCH($C394,Inventario!$B$5:$B$100,0)),"No está en Inventario"))</f>
        <v/>
      </c>
      <c r="F394" s="26"/>
      <c r="G394" s="42" t="str">
        <f aca="false">IF($C394="","",IFERROR(INDEX(Inventario!$H$5:$H$100,MATCH($C394,Inventario!$B$5:$B$100,0)),"No está en Inventario"))</f>
        <v/>
      </c>
      <c r="H394" s="43"/>
      <c r="I394" s="44" t="str">
        <f aca="false">IF(OR($C394="",$F394=""),"",N($F394)*N($G394)*(1-N($H394)))</f>
        <v/>
      </c>
      <c r="J394" s="24"/>
      <c r="K394" s="23"/>
      <c r="L394" s="30" t="str">
        <f aca="false">IF($C394="","",IFERROR(IF(INDEX(Inventario!$L$5:$L$100,MATCH($C394,Inventario!$B$5:$B$100,0))&lt;0,"Stock negativo: revisa","OK"),"No está en Inventario"))</f>
        <v/>
      </c>
    </row>
    <row r="395" customFormat="false" ht="15" hidden="false" customHeight="false" outlineLevel="0" collapsed="false">
      <c r="A395" s="1"/>
      <c r="B395" s="37"/>
      <c r="C395" s="13"/>
      <c r="D395" s="21" t="str">
        <f aca="false">IF($C395="","",IFERROR(INDEX(Inventario!$D$5:$D$100,MATCH($C395,Inventario!$B$5:$B$100,0)),"No está en Inventario"))</f>
        <v/>
      </c>
      <c r="E395" s="21" t="str">
        <f aca="false">IF($C395="","",IFERROR(INDEX(Inventario!$E$5:$E$100,MATCH($C395,Inventario!$B$5:$B$100,0)),"No está en Inventario"))</f>
        <v/>
      </c>
      <c r="F395" s="16"/>
      <c r="G395" s="38" t="str">
        <f aca="false">IF($C395="","",IFERROR(INDEX(Inventario!$H$5:$H$100,MATCH($C395,Inventario!$B$5:$B$100,0)),"No está en Inventario"))</f>
        <v/>
      </c>
      <c r="H395" s="39"/>
      <c r="I395" s="40" t="str">
        <f aca="false">IF(OR($C395="",$F395=""),"",N($F395)*N($G395)*(1-N($H395)))</f>
        <v/>
      </c>
      <c r="J395" s="14"/>
      <c r="K395" s="13"/>
      <c r="L395" s="20" t="str">
        <f aca="false">IF($C395="","",IFERROR(IF(INDEX(Inventario!$L$5:$L$100,MATCH($C395,Inventario!$B$5:$B$100,0))&lt;0,"Stock negativo: revisa","OK"),"No está en Inventario"))</f>
        <v/>
      </c>
    </row>
    <row r="396" customFormat="false" ht="15" hidden="false" customHeight="false" outlineLevel="0" collapsed="false">
      <c r="A396" s="1"/>
      <c r="B396" s="41"/>
      <c r="C396" s="23"/>
      <c r="D396" s="31" t="str">
        <f aca="false">IF($C396="","",IFERROR(INDEX(Inventario!$D$5:$D$100,MATCH($C396,Inventario!$B$5:$B$100,0)),"No está en Inventario"))</f>
        <v/>
      </c>
      <c r="E396" s="31" t="str">
        <f aca="false">IF($C396="","",IFERROR(INDEX(Inventario!$E$5:$E$100,MATCH($C396,Inventario!$B$5:$B$100,0)),"No está en Inventario"))</f>
        <v/>
      </c>
      <c r="F396" s="26"/>
      <c r="G396" s="42" t="str">
        <f aca="false">IF($C396="","",IFERROR(INDEX(Inventario!$H$5:$H$100,MATCH($C396,Inventario!$B$5:$B$100,0)),"No está en Inventario"))</f>
        <v/>
      </c>
      <c r="H396" s="43"/>
      <c r="I396" s="44" t="str">
        <f aca="false">IF(OR($C396="",$F396=""),"",N($F396)*N($G396)*(1-N($H396)))</f>
        <v/>
      </c>
      <c r="J396" s="24"/>
      <c r="K396" s="23"/>
      <c r="L396" s="30" t="str">
        <f aca="false">IF($C396="","",IFERROR(IF(INDEX(Inventario!$L$5:$L$100,MATCH($C396,Inventario!$B$5:$B$100,0))&lt;0,"Stock negativo: revisa","OK"),"No está en Inventario"))</f>
        <v/>
      </c>
    </row>
    <row r="397" customFormat="false" ht="15" hidden="false" customHeight="false" outlineLevel="0" collapsed="false">
      <c r="A397" s="1"/>
      <c r="B397" s="37"/>
      <c r="C397" s="13"/>
      <c r="D397" s="21" t="str">
        <f aca="false">IF($C397="","",IFERROR(INDEX(Inventario!$D$5:$D$100,MATCH($C397,Inventario!$B$5:$B$100,0)),"No está en Inventario"))</f>
        <v/>
      </c>
      <c r="E397" s="21" t="str">
        <f aca="false">IF($C397="","",IFERROR(INDEX(Inventario!$E$5:$E$100,MATCH($C397,Inventario!$B$5:$B$100,0)),"No está en Inventario"))</f>
        <v/>
      </c>
      <c r="F397" s="16"/>
      <c r="G397" s="38" t="str">
        <f aca="false">IF($C397="","",IFERROR(INDEX(Inventario!$H$5:$H$100,MATCH($C397,Inventario!$B$5:$B$100,0)),"No está en Inventario"))</f>
        <v/>
      </c>
      <c r="H397" s="39"/>
      <c r="I397" s="40" t="str">
        <f aca="false">IF(OR($C397="",$F397=""),"",N($F397)*N($G397)*(1-N($H397)))</f>
        <v/>
      </c>
      <c r="J397" s="14"/>
      <c r="K397" s="13"/>
      <c r="L397" s="20" t="str">
        <f aca="false">IF($C397="","",IFERROR(IF(INDEX(Inventario!$L$5:$L$100,MATCH($C397,Inventario!$B$5:$B$100,0))&lt;0,"Stock negativo: revisa","OK"),"No está en Inventario"))</f>
        <v/>
      </c>
    </row>
    <row r="398" customFormat="false" ht="15" hidden="false" customHeight="false" outlineLevel="0" collapsed="false">
      <c r="A398" s="1"/>
      <c r="B398" s="41"/>
      <c r="C398" s="23"/>
      <c r="D398" s="31" t="str">
        <f aca="false">IF($C398="","",IFERROR(INDEX(Inventario!$D$5:$D$100,MATCH($C398,Inventario!$B$5:$B$100,0)),"No está en Inventario"))</f>
        <v/>
      </c>
      <c r="E398" s="31" t="str">
        <f aca="false">IF($C398="","",IFERROR(INDEX(Inventario!$E$5:$E$100,MATCH($C398,Inventario!$B$5:$B$100,0)),"No está en Inventario"))</f>
        <v/>
      </c>
      <c r="F398" s="26"/>
      <c r="G398" s="42" t="str">
        <f aca="false">IF($C398="","",IFERROR(INDEX(Inventario!$H$5:$H$100,MATCH($C398,Inventario!$B$5:$B$100,0)),"No está en Inventario"))</f>
        <v/>
      </c>
      <c r="H398" s="43"/>
      <c r="I398" s="44" t="str">
        <f aca="false">IF(OR($C398="",$F398=""),"",N($F398)*N($G398)*(1-N($H398)))</f>
        <v/>
      </c>
      <c r="J398" s="24"/>
      <c r="K398" s="23"/>
      <c r="L398" s="30" t="str">
        <f aca="false">IF($C398="","",IFERROR(IF(INDEX(Inventario!$L$5:$L$100,MATCH($C398,Inventario!$B$5:$B$100,0))&lt;0,"Stock negativo: revisa","OK"),"No está en Inventario"))</f>
        <v/>
      </c>
    </row>
    <row r="399" customFormat="false" ht="15" hidden="false" customHeight="false" outlineLevel="0" collapsed="false">
      <c r="A399" s="1"/>
      <c r="B399" s="37"/>
      <c r="C399" s="13"/>
      <c r="D399" s="21" t="str">
        <f aca="false">IF($C399="","",IFERROR(INDEX(Inventario!$D$5:$D$100,MATCH($C399,Inventario!$B$5:$B$100,0)),"No está en Inventario"))</f>
        <v/>
      </c>
      <c r="E399" s="21" t="str">
        <f aca="false">IF($C399="","",IFERROR(INDEX(Inventario!$E$5:$E$100,MATCH($C399,Inventario!$B$5:$B$100,0)),"No está en Inventario"))</f>
        <v/>
      </c>
      <c r="F399" s="16"/>
      <c r="G399" s="38" t="str">
        <f aca="false">IF($C399="","",IFERROR(INDEX(Inventario!$H$5:$H$100,MATCH($C399,Inventario!$B$5:$B$100,0)),"No está en Inventario"))</f>
        <v/>
      </c>
      <c r="H399" s="39"/>
      <c r="I399" s="40" t="str">
        <f aca="false">IF(OR($C399="",$F399=""),"",N($F399)*N($G399)*(1-N($H399)))</f>
        <v/>
      </c>
      <c r="J399" s="14"/>
      <c r="K399" s="13"/>
      <c r="L399" s="20" t="str">
        <f aca="false">IF($C399="","",IFERROR(IF(INDEX(Inventario!$L$5:$L$100,MATCH($C399,Inventario!$B$5:$B$100,0))&lt;0,"Stock negativo: revisa","OK"),"No está en Inventario"))</f>
        <v/>
      </c>
    </row>
    <row r="400" customFormat="false" ht="15" hidden="false" customHeight="false" outlineLevel="0" collapsed="false">
      <c r="A400" s="1"/>
      <c r="B400" s="41"/>
      <c r="C400" s="23"/>
      <c r="D400" s="31" t="str">
        <f aca="false">IF($C400="","",IFERROR(INDEX(Inventario!$D$5:$D$100,MATCH($C400,Inventario!$B$5:$B$100,0)),"No está en Inventario"))</f>
        <v/>
      </c>
      <c r="E400" s="31" t="str">
        <f aca="false">IF($C400="","",IFERROR(INDEX(Inventario!$E$5:$E$100,MATCH($C400,Inventario!$B$5:$B$100,0)),"No está en Inventario"))</f>
        <v/>
      </c>
      <c r="F400" s="26"/>
      <c r="G400" s="42" t="str">
        <f aca="false">IF($C400="","",IFERROR(INDEX(Inventario!$H$5:$H$100,MATCH($C400,Inventario!$B$5:$B$100,0)),"No está en Inventario"))</f>
        <v/>
      </c>
      <c r="H400" s="43"/>
      <c r="I400" s="44" t="str">
        <f aca="false">IF(OR($C400="",$F400=""),"",N($F400)*N($G400)*(1-N($H400)))</f>
        <v/>
      </c>
      <c r="J400" s="24"/>
      <c r="K400" s="23"/>
      <c r="L400" s="30" t="str">
        <f aca="false">IF($C400="","",IFERROR(IF(INDEX(Inventario!$L$5:$L$100,MATCH($C400,Inventario!$B$5:$B$100,0))&lt;0,"Stock negativo: revisa","OK"),"No está en Inventario"))</f>
        <v/>
      </c>
    </row>
    <row r="401" customFormat="false" ht="15" hidden="false" customHeight="false" outlineLevel="0" collapsed="false">
      <c r="A401" s="1"/>
      <c r="B401" s="37"/>
      <c r="C401" s="13"/>
      <c r="D401" s="21" t="str">
        <f aca="false">IF($C401="","",IFERROR(INDEX(Inventario!$D$5:$D$100,MATCH($C401,Inventario!$B$5:$B$100,0)),"No está en Inventario"))</f>
        <v/>
      </c>
      <c r="E401" s="21" t="str">
        <f aca="false">IF($C401="","",IFERROR(INDEX(Inventario!$E$5:$E$100,MATCH($C401,Inventario!$B$5:$B$100,0)),"No está en Inventario"))</f>
        <v/>
      </c>
      <c r="F401" s="16"/>
      <c r="G401" s="38" t="str">
        <f aca="false">IF($C401="","",IFERROR(INDEX(Inventario!$H$5:$H$100,MATCH($C401,Inventario!$B$5:$B$100,0)),"No está en Inventario"))</f>
        <v/>
      </c>
      <c r="H401" s="39"/>
      <c r="I401" s="40" t="str">
        <f aca="false">IF(OR($C401="",$F401=""),"",N($F401)*N($G401)*(1-N($H401)))</f>
        <v/>
      </c>
      <c r="J401" s="14"/>
      <c r="K401" s="13"/>
      <c r="L401" s="20" t="str">
        <f aca="false">IF($C401="","",IFERROR(IF(INDEX(Inventario!$L$5:$L$100,MATCH($C401,Inventario!$B$5:$B$100,0))&lt;0,"Stock negativo: revisa","OK"),"No está en Inventario"))</f>
        <v/>
      </c>
    </row>
    <row r="402" customFormat="false" ht="15" hidden="false" customHeight="false" outlineLevel="0" collapsed="false">
      <c r="A402" s="1"/>
      <c r="B402" s="41"/>
      <c r="C402" s="23"/>
      <c r="D402" s="31" t="str">
        <f aca="false">IF($C402="","",IFERROR(INDEX(Inventario!$D$5:$D$100,MATCH($C402,Inventario!$B$5:$B$100,0)),"No está en Inventario"))</f>
        <v/>
      </c>
      <c r="E402" s="31" t="str">
        <f aca="false">IF($C402="","",IFERROR(INDEX(Inventario!$E$5:$E$100,MATCH($C402,Inventario!$B$5:$B$100,0)),"No está en Inventario"))</f>
        <v/>
      </c>
      <c r="F402" s="26"/>
      <c r="G402" s="42" t="str">
        <f aca="false">IF($C402="","",IFERROR(INDEX(Inventario!$H$5:$H$100,MATCH($C402,Inventario!$B$5:$B$100,0)),"No está en Inventario"))</f>
        <v/>
      </c>
      <c r="H402" s="43"/>
      <c r="I402" s="44" t="str">
        <f aca="false">IF(OR($C402="",$F402=""),"",N($F402)*N($G402)*(1-N($H402)))</f>
        <v/>
      </c>
      <c r="J402" s="24"/>
      <c r="K402" s="23"/>
      <c r="L402" s="30" t="str">
        <f aca="false">IF($C402="","",IFERROR(IF(INDEX(Inventario!$L$5:$L$100,MATCH($C402,Inventario!$B$5:$B$100,0))&lt;0,"Stock negativo: revisa","OK"),"No está en Inventario"))</f>
        <v/>
      </c>
    </row>
    <row r="403" customFormat="false" ht="15" hidden="false" customHeight="false" outlineLevel="0" collapsed="false">
      <c r="A403" s="1"/>
      <c r="B403" s="37"/>
      <c r="C403" s="13"/>
      <c r="D403" s="21" t="str">
        <f aca="false">IF($C403="","",IFERROR(INDEX(Inventario!$D$5:$D$100,MATCH($C403,Inventario!$B$5:$B$100,0)),"No está en Inventario"))</f>
        <v/>
      </c>
      <c r="E403" s="21" t="str">
        <f aca="false">IF($C403="","",IFERROR(INDEX(Inventario!$E$5:$E$100,MATCH($C403,Inventario!$B$5:$B$100,0)),"No está en Inventario"))</f>
        <v/>
      </c>
      <c r="F403" s="16"/>
      <c r="G403" s="38" t="str">
        <f aca="false">IF($C403="","",IFERROR(INDEX(Inventario!$H$5:$H$100,MATCH($C403,Inventario!$B$5:$B$100,0)),"No está en Inventario"))</f>
        <v/>
      </c>
      <c r="H403" s="39"/>
      <c r="I403" s="40" t="str">
        <f aca="false">IF(OR($C403="",$F403=""),"",N($F403)*N($G403)*(1-N($H403)))</f>
        <v/>
      </c>
      <c r="J403" s="14"/>
      <c r="K403" s="13"/>
      <c r="L403" s="20" t="str">
        <f aca="false">IF($C403="","",IFERROR(IF(INDEX(Inventario!$L$5:$L$100,MATCH($C403,Inventario!$B$5:$B$100,0))&lt;0,"Stock negativo: revisa","OK"),"No está en Inventario"))</f>
        <v/>
      </c>
    </row>
    <row r="404" customFormat="false" ht="15" hidden="false" customHeight="false" outlineLevel="0" collapsed="false">
      <c r="A404" s="1"/>
      <c r="B404" s="41"/>
      <c r="C404" s="23"/>
      <c r="D404" s="31" t="str">
        <f aca="false">IF($C404="","",IFERROR(INDEX(Inventario!$D$5:$D$100,MATCH($C404,Inventario!$B$5:$B$100,0)),"No está en Inventario"))</f>
        <v/>
      </c>
      <c r="E404" s="31" t="str">
        <f aca="false">IF($C404="","",IFERROR(INDEX(Inventario!$E$5:$E$100,MATCH($C404,Inventario!$B$5:$B$100,0)),"No está en Inventario"))</f>
        <v/>
      </c>
      <c r="F404" s="26"/>
      <c r="G404" s="42" t="str">
        <f aca="false">IF($C404="","",IFERROR(INDEX(Inventario!$H$5:$H$100,MATCH($C404,Inventario!$B$5:$B$100,0)),"No está en Inventario"))</f>
        <v/>
      </c>
      <c r="H404" s="43"/>
      <c r="I404" s="44" t="str">
        <f aca="false">IF(OR($C404="",$F404=""),"",N($F404)*N($G404)*(1-N($H404)))</f>
        <v/>
      </c>
      <c r="J404" s="24"/>
      <c r="K404" s="23"/>
      <c r="L404" s="30" t="str">
        <f aca="false">IF($C404="","",IFERROR(IF(INDEX(Inventario!$L$5:$L$100,MATCH($C404,Inventario!$B$5:$B$100,0))&lt;0,"Stock negativo: revisa","OK"),"No está en Inventario"))</f>
        <v/>
      </c>
    </row>
    <row r="405" customFormat="false" ht="15" hidden="false" customHeight="false" outlineLevel="0" collapsed="false">
      <c r="A405" s="1"/>
      <c r="B405" s="37"/>
      <c r="C405" s="13"/>
      <c r="D405" s="21" t="str">
        <f aca="false">IF($C405="","",IFERROR(INDEX(Inventario!$D$5:$D$100,MATCH($C405,Inventario!$B$5:$B$100,0)),"No está en Inventario"))</f>
        <v/>
      </c>
      <c r="E405" s="21" t="str">
        <f aca="false">IF($C405="","",IFERROR(INDEX(Inventario!$E$5:$E$100,MATCH($C405,Inventario!$B$5:$B$100,0)),"No está en Inventario"))</f>
        <v/>
      </c>
      <c r="F405" s="16"/>
      <c r="G405" s="38" t="str">
        <f aca="false">IF($C405="","",IFERROR(INDEX(Inventario!$H$5:$H$100,MATCH($C405,Inventario!$B$5:$B$100,0)),"No está en Inventario"))</f>
        <v/>
      </c>
      <c r="H405" s="39"/>
      <c r="I405" s="40" t="str">
        <f aca="false">IF(OR($C405="",$F405=""),"",N($F405)*N($G405)*(1-N($H405)))</f>
        <v/>
      </c>
      <c r="J405" s="14"/>
      <c r="K405" s="13"/>
      <c r="L405" s="20" t="str">
        <f aca="false">IF($C405="","",IFERROR(IF(INDEX(Inventario!$L$5:$L$100,MATCH($C405,Inventario!$B$5:$B$100,0))&lt;0,"Stock negativo: revisa","OK"),"No está en Inventario"))</f>
        <v/>
      </c>
    </row>
    <row r="406" customFormat="false" ht="15" hidden="false" customHeight="false" outlineLevel="0" collapsed="false">
      <c r="A406" s="1"/>
      <c r="B406" s="41"/>
      <c r="C406" s="23"/>
      <c r="D406" s="31" t="str">
        <f aca="false">IF($C406="","",IFERROR(INDEX(Inventario!$D$5:$D$100,MATCH($C406,Inventario!$B$5:$B$100,0)),"No está en Inventario"))</f>
        <v/>
      </c>
      <c r="E406" s="31" t="str">
        <f aca="false">IF($C406="","",IFERROR(INDEX(Inventario!$E$5:$E$100,MATCH($C406,Inventario!$B$5:$B$100,0)),"No está en Inventario"))</f>
        <v/>
      </c>
      <c r="F406" s="26"/>
      <c r="G406" s="42" t="str">
        <f aca="false">IF($C406="","",IFERROR(INDEX(Inventario!$H$5:$H$100,MATCH($C406,Inventario!$B$5:$B$100,0)),"No está en Inventario"))</f>
        <v/>
      </c>
      <c r="H406" s="43"/>
      <c r="I406" s="44" t="str">
        <f aca="false">IF(OR($C406="",$F406=""),"",N($F406)*N($G406)*(1-N($H406)))</f>
        <v/>
      </c>
      <c r="J406" s="24"/>
      <c r="K406" s="23"/>
      <c r="L406" s="30" t="str">
        <f aca="false">IF($C406="","",IFERROR(IF(INDEX(Inventario!$L$5:$L$100,MATCH($C406,Inventario!$B$5:$B$100,0))&lt;0,"Stock negativo: revisa","OK"),"No está en Inventario"))</f>
        <v/>
      </c>
    </row>
    <row r="407" customFormat="false" ht="15" hidden="false" customHeight="false" outlineLevel="0" collapsed="false">
      <c r="A407" s="1"/>
      <c r="B407" s="37"/>
      <c r="C407" s="13"/>
      <c r="D407" s="21" t="str">
        <f aca="false">IF($C407="","",IFERROR(INDEX(Inventario!$D$5:$D$100,MATCH($C407,Inventario!$B$5:$B$100,0)),"No está en Inventario"))</f>
        <v/>
      </c>
      <c r="E407" s="21" t="str">
        <f aca="false">IF($C407="","",IFERROR(INDEX(Inventario!$E$5:$E$100,MATCH($C407,Inventario!$B$5:$B$100,0)),"No está en Inventario"))</f>
        <v/>
      </c>
      <c r="F407" s="16"/>
      <c r="G407" s="38" t="str">
        <f aca="false">IF($C407="","",IFERROR(INDEX(Inventario!$H$5:$H$100,MATCH($C407,Inventario!$B$5:$B$100,0)),"No está en Inventario"))</f>
        <v/>
      </c>
      <c r="H407" s="39"/>
      <c r="I407" s="40" t="str">
        <f aca="false">IF(OR($C407="",$F407=""),"",N($F407)*N($G407)*(1-N($H407)))</f>
        <v/>
      </c>
      <c r="J407" s="14"/>
      <c r="K407" s="13"/>
      <c r="L407" s="20" t="str">
        <f aca="false">IF($C407="","",IFERROR(IF(INDEX(Inventario!$L$5:$L$100,MATCH($C407,Inventario!$B$5:$B$100,0))&lt;0,"Stock negativo: revisa","OK"),"No está en Inventario"))</f>
        <v/>
      </c>
    </row>
    <row r="408" customFormat="false" ht="15" hidden="false" customHeight="false" outlineLevel="0" collapsed="false">
      <c r="A408" s="1"/>
      <c r="B408" s="41"/>
      <c r="C408" s="23"/>
      <c r="D408" s="31" t="str">
        <f aca="false">IF($C408="","",IFERROR(INDEX(Inventario!$D$5:$D$100,MATCH($C408,Inventario!$B$5:$B$100,0)),"No está en Inventario"))</f>
        <v/>
      </c>
      <c r="E408" s="31" t="str">
        <f aca="false">IF($C408="","",IFERROR(INDEX(Inventario!$E$5:$E$100,MATCH($C408,Inventario!$B$5:$B$100,0)),"No está en Inventario"))</f>
        <v/>
      </c>
      <c r="F408" s="26"/>
      <c r="G408" s="42" t="str">
        <f aca="false">IF($C408="","",IFERROR(INDEX(Inventario!$H$5:$H$100,MATCH($C408,Inventario!$B$5:$B$100,0)),"No está en Inventario"))</f>
        <v/>
      </c>
      <c r="H408" s="43"/>
      <c r="I408" s="44" t="str">
        <f aca="false">IF(OR($C408="",$F408=""),"",N($F408)*N($G408)*(1-N($H408)))</f>
        <v/>
      </c>
      <c r="J408" s="24"/>
      <c r="K408" s="23"/>
      <c r="L408" s="30" t="str">
        <f aca="false">IF($C408="","",IFERROR(IF(INDEX(Inventario!$L$5:$L$100,MATCH($C408,Inventario!$B$5:$B$100,0))&lt;0,"Stock negativo: revisa","OK"),"No está en Inventario"))</f>
        <v/>
      </c>
    </row>
    <row r="409" customFormat="false" ht="15" hidden="false" customHeight="false" outlineLevel="0" collapsed="false">
      <c r="A409" s="1"/>
      <c r="B409" s="37"/>
      <c r="C409" s="13"/>
      <c r="D409" s="21" t="str">
        <f aca="false">IF($C409="","",IFERROR(INDEX(Inventario!$D$5:$D$100,MATCH($C409,Inventario!$B$5:$B$100,0)),"No está en Inventario"))</f>
        <v/>
      </c>
      <c r="E409" s="21" t="str">
        <f aca="false">IF($C409="","",IFERROR(INDEX(Inventario!$E$5:$E$100,MATCH($C409,Inventario!$B$5:$B$100,0)),"No está en Inventario"))</f>
        <v/>
      </c>
      <c r="F409" s="16"/>
      <c r="G409" s="38" t="str">
        <f aca="false">IF($C409="","",IFERROR(INDEX(Inventario!$H$5:$H$100,MATCH($C409,Inventario!$B$5:$B$100,0)),"No está en Inventario"))</f>
        <v/>
      </c>
      <c r="H409" s="39"/>
      <c r="I409" s="40" t="str">
        <f aca="false">IF(OR($C409="",$F409=""),"",N($F409)*N($G409)*(1-N($H409)))</f>
        <v/>
      </c>
      <c r="J409" s="14"/>
      <c r="K409" s="13"/>
      <c r="L409" s="20" t="str">
        <f aca="false">IF($C409="","",IFERROR(IF(INDEX(Inventario!$L$5:$L$100,MATCH($C409,Inventario!$B$5:$B$100,0))&lt;0,"Stock negativo: revisa","OK"),"No está en Inventario"))</f>
        <v/>
      </c>
    </row>
    <row r="410" customFormat="false" ht="15" hidden="false" customHeight="false" outlineLevel="0" collapsed="false">
      <c r="A410" s="1"/>
      <c r="B410" s="41"/>
      <c r="C410" s="23"/>
      <c r="D410" s="31" t="str">
        <f aca="false">IF($C410="","",IFERROR(INDEX(Inventario!$D$5:$D$100,MATCH($C410,Inventario!$B$5:$B$100,0)),"No está en Inventario"))</f>
        <v/>
      </c>
      <c r="E410" s="31" t="str">
        <f aca="false">IF($C410="","",IFERROR(INDEX(Inventario!$E$5:$E$100,MATCH($C410,Inventario!$B$5:$B$100,0)),"No está en Inventario"))</f>
        <v/>
      </c>
      <c r="F410" s="26"/>
      <c r="G410" s="42" t="str">
        <f aca="false">IF($C410="","",IFERROR(INDEX(Inventario!$H$5:$H$100,MATCH($C410,Inventario!$B$5:$B$100,0)),"No está en Inventario"))</f>
        <v/>
      </c>
      <c r="H410" s="43"/>
      <c r="I410" s="44" t="str">
        <f aca="false">IF(OR($C410="",$F410=""),"",N($F410)*N($G410)*(1-N($H410)))</f>
        <v/>
      </c>
      <c r="J410" s="24"/>
      <c r="K410" s="23"/>
      <c r="L410" s="30" t="str">
        <f aca="false">IF($C410="","",IFERROR(IF(INDEX(Inventario!$L$5:$L$100,MATCH($C410,Inventario!$B$5:$B$100,0))&lt;0,"Stock negativo: revisa","OK"),"No está en Inventario"))</f>
        <v/>
      </c>
    </row>
    <row r="411" customFormat="false" ht="15" hidden="false" customHeight="false" outlineLevel="0" collapsed="false">
      <c r="A411" s="1"/>
      <c r="B411" s="37"/>
      <c r="C411" s="13"/>
      <c r="D411" s="21" t="str">
        <f aca="false">IF($C411="","",IFERROR(INDEX(Inventario!$D$5:$D$100,MATCH($C411,Inventario!$B$5:$B$100,0)),"No está en Inventario"))</f>
        <v/>
      </c>
      <c r="E411" s="21" t="str">
        <f aca="false">IF($C411="","",IFERROR(INDEX(Inventario!$E$5:$E$100,MATCH($C411,Inventario!$B$5:$B$100,0)),"No está en Inventario"))</f>
        <v/>
      </c>
      <c r="F411" s="16"/>
      <c r="G411" s="38" t="str">
        <f aca="false">IF($C411="","",IFERROR(INDEX(Inventario!$H$5:$H$100,MATCH($C411,Inventario!$B$5:$B$100,0)),"No está en Inventario"))</f>
        <v/>
      </c>
      <c r="H411" s="39"/>
      <c r="I411" s="40" t="str">
        <f aca="false">IF(OR($C411="",$F411=""),"",N($F411)*N($G411)*(1-N($H411)))</f>
        <v/>
      </c>
      <c r="J411" s="14"/>
      <c r="K411" s="13"/>
      <c r="L411" s="20" t="str">
        <f aca="false">IF($C411="","",IFERROR(IF(INDEX(Inventario!$L$5:$L$100,MATCH($C411,Inventario!$B$5:$B$100,0))&lt;0,"Stock negativo: revisa","OK"),"No está en Inventario"))</f>
        <v/>
      </c>
    </row>
    <row r="412" customFormat="false" ht="15" hidden="false" customHeight="false" outlineLevel="0" collapsed="false">
      <c r="A412" s="1"/>
      <c r="B412" s="41"/>
      <c r="C412" s="23"/>
      <c r="D412" s="31" t="str">
        <f aca="false">IF($C412="","",IFERROR(INDEX(Inventario!$D$5:$D$100,MATCH($C412,Inventario!$B$5:$B$100,0)),"No está en Inventario"))</f>
        <v/>
      </c>
      <c r="E412" s="31" t="str">
        <f aca="false">IF($C412="","",IFERROR(INDEX(Inventario!$E$5:$E$100,MATCH($C412,Inventario!$B$5:$B$100,0)),"No está en Inventario"))</f>
        <v/>
      </c>
      <c r="F412" s="26"/>
      <c r="G412" s="42" t="str">
        <f aca="false">IF($C412="","",IFERROR(INDEX(Inventario!$H$5:$H$100,MATCH($C412,Inventario!$B$5:$B$100,0)),"No está en Inventario"))</f>
        <v/>
      </c>
      <c r="H412" s="43"/>
      <c r="I412" s="44" t="str">
        <f aca="false">IF(OR($C412="",$F412=""),"",N($F412)*N($G412)*(1-N($H412)))</f>
        <v/>
      </c>
      <c r="J412" s="24"/>
      <c r="K412" s="23"/>
      <c r="L412" s="30" t="str">
        <f aca="false">IF($C412="","",IFERROR(IF(INDEX(Inventario!$L$5:$L$100,MATCH($C412,Inventario!$B$5:$B$100,0))&lt;0,"Stock negativo: revisa","OK"),"No está en Inventario"))</f>
        <v/>
      </c>
    </row>
    <row r="413" customFormat="false" ht="15" hidden="false" customHeight="false" outlineLevel="0" collapsed="false">
      <c r="A413" s="1"/>
      <c r="B413" s="37"/>
      <c r="C413" s="13"/>
      <c r="D413" s="21" t="str">
        <f aca="false">IF($C413="","",IFERROR(INDEX(Inventario!$D$5:$D$100,MATCH($C413,Inventario!$B$5:$B$100,0)),"No está en Inventario"))</f>
        <v/>
      </c>
      <c r="E413" s="21" t="str">
        <f aca="false">IF($C413="","",IFERROR(INDEX(Inventario!$E$5:$E$100,MATCH($C413,Inventario!$B$5:$B$100,0)),"No está en Inventario"))</f>
        <v/>
      </c>
      <c r="F413" s="16"/>
      <c r="G413" s="38" t="str">
        <f aca="false">IF($C413="","",IFERROR(INDEX(Inventario!$H$5:$H$100,MATCH($C413,Inventario!$B$5:$B$100,0)),"No está en Inventario"))</f>
        <v/>
      </c>
      <c r="H413" s="39"/>
      <c r="I413" s="40" t="str">
        <f aca="false">IF(OR($C413="",$F413=""),"",N($F413)*N($G413)*(1-N($H413)))</f>
        <v/>
      </c>
      <c r="J413" s="14"/>
      <c r="K413" s="13"/>
      <c r="L413" s="20" t="str">
        <f aca="false">IF($C413="","",IFERROR(IF(INDEX(Inventario!$L$5:$L$100,MATCH($C413,Inventario!$B$5:$B$100,0))&lt;0,"Stock negativo: revisa","OK"),"No está en Inventario"))</f>
        <v/>
      </c>
    </row>
    <row r="414" customFormat="false" ht="15" hidden="false" customHeight="false" outlineLevel="0" collapsed="false">
      <c r="A414" s="1"/>
      <c r="B414" s="41"/>
      <c r="C414" s="23"/>
      <c r="D414" s="31" t="str">
        <f aca="false">IF($C414="","",IFERROR(INDEX(Inventario!$D$5:$D$100,MATCH($C414,Inventario!$B$5:$B$100,0)),"No está en Inventario"))</f>
        <v/>
      </c>
      <c r="E414" s="31" t="str">
        <f aca="false">IF($C414="","",IFERROR(INDEX(Inventario!$E$5:$E$100,MATCH($C414,Inventario!$B$5:$B$100,0)),"No está en Inventario"))</f>
        <v/>
      </c>
      <c r="F414" s="26"/>
      <c r="G414" s="42" t="str">
        <f aca="false">IF($C414="","",IFERROR(INDEX(Inventario!$H$5:$H$100,MATCH($C414,Inventario!$B$5:$B$100,0)),"No está en Inventario"))</f>
        <v/>
      </c>
      <c r="H414" s="43"/>
      <c r="I414" s="44" t="str">
        <f aca="false">IF(OR($C414="",$F414=""),"",N($F414)*N($G414)*(1-N($H414)))</f>
        <v/>
      </c>
      <c r="J414" s="24"/>
      <c r="K414" s="23"/>
      <c r="L414" s="30" t="str">
        <f aca="false">IF($C414="","",IFERROR(IF(INDEX(Inventario!$L$5:$L$100,MATCH($C414,Inventario!$B$5:$B$100,0))&lt;0,"Stock negativo: revisa","OK"),"No está en Inventario"))</f>
        <v/>
      </c>
    </row>
    <row r="415" customFormat="false" ht="15" hidden="false" customHeight="false" outlineLevel="0" collapsed="false">
      <c r="A415" s="1"/>
      <c r="B415" s="37"/>
      <c r="C415" s="13"/>
      <c r="D415" s="21" t="str">
        <f aca="false">IF($C415="","",IFERROR(INDEX(Inventario!$D$5:$D$100,MATCH($C415,Inventario!$B$5:$B$100,0)),"No está en Inventario"))</f>
        <v/>
      </c>
      <c r="E415" s="21" t="str">
        <f aca="false">IF($C415="","",IFERROR(INDEX(Inventario!$E$5:$E$100,MATCH($C415,Inventario!$B$5:$B$100,0)),"No está en Inventario"))</f>
        <v/>
      </c>
      <c r="F415" s="16"/>
      <c r="G415" s="38" t="str">
        <f aca="false">IF($C415="","",IFERROR(INDEX(Inventario!$H$5:$H$100,MATCH($C415,Inventario!$B$5:$B$100,0)),"No está en Inventario"))</f>
        <v/>
      </c>
      <c r="H415" s="39"/>
      <c r="I415" s="40" t="str">
        <f aca="false">IF(OR($C415="",$F415=""),"",N($F415)*N($G415)*(1-N($H415)))</f>
        <v/>
      </c>
      <c r="J415" s="14"/>
      <c r="K415" s="13"/>
      <c r="L415" s="20" t="str">
        <f aca="false">IF($C415="","",IFERROR(IF(INDEX(Inventario!$L$5:$L$100,MATCH($C415,Inventario!$B$5:$B$100,0))&lt;0,"Stock negativo: revisa","OK"),"No está en Inventario"))</f>
        <v/>
      </c>
    </row>
    <row r="416" customFormat="false" ht="15" hidden="false" customHeight="false" outlineLevel="0" collapsed="false">
      <c r="A416" s="1"/>
      <c r="B416" s="41"/>
      <c r="C416" s="23"/>
      <c r="D416" s="31" t="str">
        <f aca="false">IF($C416="","",IFERROR(INDEX(Inventario!$D$5:$D$100,MATCH($C416,Inventario!$B$5:$B$100,0)),"No está en Inventario"))</f>
        <v/>
      </c>
      <c r="E416" s="31" t="str">
        <f aca="false">IF($C416="","",IFERROR(INDEX(Inventario!$E$5:$E$100,MATCH($C416,Inventario!$B$5:$B$100,0)),"No está en Inventario"))</f>
        <v/>
      </c>
      <c r="F416" s="26"/>
      <c r="G416" s="42" t="str">
        <f aca="false">IF($C416="","",IFERROR(INDEX(Inventario!$H$5:$H$100,MATCH($C416,Inventario!$B$5:$B$100,0)),"No está en Inventario"))</f>
        <v/>
      </c>
      <c r="H416" s="43"/>
      <c r="I416" s="44" t="str">
        <f aca="false">IF(OR($C416="",$F416=""),"",N($F416)*N($G416)*(1-N($H416)))</f>
        <v/>
      </c>
      <c r="J416" s="24"/>
      <c r="K416" s="23"/>
      <c r="L416" s="30" t="str">
        <f aca="false">IF($C416="","",IFERROR(IF(INDEX(Inventario!$L$5:$L$100,MATCH($C416,Inventario!$B$5:$B$100,0))&lt;0,"Stock negativo: revisa","OK"),"No está en Inventario"))</f>
        <v/>
      </c>
    </row>
    <row r="417" customFormat="false" ht="15" hidden="false" customHeight="false" outlineLevel="0" collapsed="false">
      <c r="A417" s="1"/>
      <c r="B417" s="37"/>
      <c r="C417" s="13"/>
      <c r="D417" s="21" t="str">
        <f aca="false">IF($C417="","",IFERROR(INDEX(Inventario!$D$5:$D$100,MATCH($C417,Inventario!$B$5:$B$100,0)),"No está en Inventario"))</f>
        <v/>
      </c>
      <c r="E417" s="21" t="str">
        <f aca="false">IF($C417="","",IFERROR(INDEX(Inventario!$E$5:$E$100,MATCH($C417,Inventario!$B$5:$B$100,0)),"No está en Inventario"))</f>
        <v/>
      </c>
      <c r="F417" s="16"/>
      <c r="G417" s="38" t="str">
        <f aca="false">IF($C417="","",IFERROR(INDEX(Inventario!$H$5:$H$100,MATCH($C417,Inventario!$B$5:$B$100,0)),"No está en Inventario"))</f>
        <v/>
      </c>
      <c r="H417" s="39"/>
      <c r="I417" s="40" t="str">
        <f aca="false">IF(OR($C417="",$F417=""),"",N($F417)*N($G417)*(1-N($H417)))</f>
        <v/>
      </c>
      <c r="J417" s="14"/>
      <c r="K417" s="13"/>
      <c r="L417" s="20" t="str">
        <f aca="false">IF($C417="","",IFERROR(IF(INDEX(Inventario!$L$5:$L$100,MATCH($C417,Inventario!$B$5:$B$100,0))&lt;0,"Stock negativo: revisa","OK"),"No está en Inventario"))</f>
        <v/>
      </c>
    </row>
    <row r="418" customFormat="false" ht="15" hidden="false" customHeight="false" outlineLevel="0" collapsed="false">
      <c r="A418" s="1"/>
      <c r="B418" s="41"/>
      <c r="C418" s="23"/>
      <c r="D418" s="31" t="str">
        <f aca="false">IF($C418="","",IFERROR(INDEX(Inventario!$D$5:$D$100,MATCH($C418,Inventario!$B$5:$B$100,0)),"No está en Inventario"))</f>
        <v/>
      </c>
      <c r="E418" s="31" t="str">
        <f aca="false">IF($C418="","",IFERROR(INDEX(Inventario!$E$5:$E$100,MATCH($C418,Inventario!$B$5:$B$100,0)),"No está en Inventario"))</f>
        <v/>
      </c>
      <c r="F418" s="26"/>
      <c r="G418" s="42" t="str">
        <f aca="false">IF($C418="","",IFERROR(INDEX(Inventario!$H$5:$H$100,MATCH($C418,Inventario!$B$5:$B$100,0)),"No está en Inventario"))</f>
        <v/>
      </c>
      <c r="H418" s="43"/>
      <c r="I418" s="44" t="str">
        <f aca="false">IF(OR($C418="",$F418=""),"",N($F418)*N($G418)*(1-N($H418)))</f>
        <v/>
      </c>
      <c r="J418" s="24"/>
      <c r="K418" s="23"/>
      <c r="L418" s="30" t="str">
        <f aca="false">IF($C418="","",IFERROR(IF(INDEX(Inventario!$L$5:$L$100,MATCH($C418,Inventario!$B$5:$B$100,0))&lt;0,"Stock negativo: revisa","OK"),"No está en Inventario"))</f>
        <v/>
      </c>
    </row>
    <row r="419" customFormat="false" ht="15" hidden="false" customHeight="false" outlineLevel="0" collapsed="false">
      <c r="A419" s="1"/>
      <c r="B419" s="37"/>
      <c r="C419" s="13"/>
      <c r="D419" s="21" t="str">
        <f aca="false">IF($C419="","",IFERROR(INDEX(Inventario!$D$5:$D$100,MATCH($C419,Inventario!$B$5:$B$100,0)),"No está en Inventario"))</f>
        <v/>
      </c>
      <c r="E419" s="21" t="str">
        <f aca="false">IF($C419="","",IFERROR(INDEX(Inventario!$E$5:$E$100,MATCH($C419,Inventario!$B$5:$B$100,0)),"No está en Inventario"))</f>
        <v/>
      </c>
      <c r="F419" s="16"/>
      <c r="G419" s="38" t="str">
        <f aca="false">IF($C419="","",IFERROR(INDEX(Inventario!$H$5:$H$100,MATCH($C419,Inventario!$B$5:$B$100,0)),"No está en Inventario"))</f>
        <v/>
      </c>
      <c r="H419" s="39"/>
      <c r="I419" s="40" t="str">
        <f aca="false">IF(OR($C419="",$F419=""),"",N($F419)*N($G419)*(1-N($H419)))</f>
        <v/>
      </c>
      <c r="J419" s="14"/>
      <c r="K419" s="13"/>
      <c r="L419" s="20" t="str">
        <f aca="false">IF($C419="","",IFERROR(IF(INDEX(Inventario!$L$5:$L$100,MATCH($C419,Inventario!$B$5:$B$100,0))&lt;0,"Stock negativo: revisa","OK"),"No está en Inventario"))</f>
        <v/>
      </c>
    </row>
    <row r="420" customFormat="false" ht="15" hidden="false" customHeight="false" outlineLevel="0" collapsed="false">
      <c r="A420" s="1"/>
      <c r="B420" s="41"/>
      <c r="C420" s="23"/>
      <c r="D420" s="31" t="str">
        <f aca="false">IF($C420="","",IFERROR(INDEX(Inventario!$D$5:$D$100,MATCH($C420,Inventario!$B$5:$B$100,0)),"No está en Inventario"))</f>
        <v/>
      </c>
      <c r="E420" s="31" t="str">
        <f aca="false">IF($C420="","",IFERROR(INDEX(Inventario!$E$5:$E$100,MATCH($C420,Inventario!$B$5:$B$100,0)),"No está en Inventario"))</f>
        <v/>
      </c>
      <c r="F420" s="26"/>
      <c r="G420" s="42" t="str">
        <f aca="false">IF($C420="","",IFERROR(INDEX(Inventario!$H$5:$H$100,MATCH($C420,Inventario!$B$5:$B$100,0)),"No está en Inventario"))</f>
        <v/>
      </c>
      <c r="H420" s="43"/>
      <c r="I420" s="44" t="str">
        <f aca="false">IF(OR($C420="",$F420=""),"",N($F420)*N($G420)*(1-N($H420)))</f>
        <v/>
      </c>
      <c r="J420" s="24"/>
      <c r="K420" s="23"/>
      <c r="L420" s="30" t="str">
        <f aca="false">IF($C420="","",IFERROR(IF(INDEX(Inventario!$L$5:$L$100,MATCH($C420,Inventario!$B$5:$B$100,0))&lt;0,"Stock negativo: revisa","OK"),"No está en Inventario"))</f>
        <v/>
      </c>
    </row>
    <row r="421" customFormat="false" ht="15" hidden="false" customHeight="false" outlineLevel="0" collapsed="false">
      <c r="A421" s="1"/>
      <c r="B421" s="37"/>
      <c r="C421" s="13"/>
      <c r="D421" s="21" t="str">
        <f aca="false">IF($C421="","",IFERROR(INDEX(Inventario!$D$5:$D$100,MATCH($C421,Inventario!$B$5:$B$100,0)),"No está en Inventario"))</f>
        <v/>
      </c>
      <c r="E421" s="21" t="str">
        <f aca="false">IF($C421="","",IFERROR(INDEX(Inventario!$E$5:$E$100,MATCH($C421,Inventario!$B$5:$B$100,0)),"No está en Inventario"))</f>
        <v/>
      </c>
      <c r="F421" s="16"/>
      <c r="G421" s="38" t="str">
        <f aca="false">IF($C421="","",IFERROR(INDEX(Inventario!$H$5:$H$100,MATCH($C421,Inventario!$B$5:$B$100,0)),"No está en Inventario"))</f>
        <v/>
      </c>
      <c r="H421" s="39"/>
      <c r="I421" s="40" t="str">
        <f aca="false">IF(OR($C421="",$F421=""),"",N($F421)*N($G421)*(1-N($H421)))</f>
        <v/>
      </c>
      <c r="J421" s="14"/>
      <c r="K421" s="13"/>
      <c r="L421" s="20" t="str">
        <f aca="false">IF($C421="","",IFERROR(IF(INDEX(Inventario!$L$5:$L$100,MATCH($C421,Inventario!$B$5:$B$100,0))&lt;0,"Stock negativo: revisa","OK"),"No está en Inventario"))</f>
        <v/>
      </c>
    </row>
    <row r="422" customFormat="false" ht="15" hidden="false" customHeight="false" outlineLevel="0" collapsed="false">
      <c r="A422" s="1"/>
      <c r="B422" s="41"/>
      <c r="C422" s="23"/>
      <c r="D422" s="31" t="str">
        <f aca="false">IF($C422="","",IFERROR(INDEX(Inventario!$D$5:$D$100,MATCH($C422,Inventario!$B$5:$B$100,0)),"No está en Inventario"))</f>
        <v/>
      </c>
      <c r="E422" s="31" t="str">
        <f aca="false">IF($C422="","",IFERROR(INDEX(Inventario!$E$5:$E$100,MATCH($C422,Inventario!$B$5:$B$100,0)),"No está en Inventario"))</f>
        <v/>
      </c>
      <c r="F422" s="26"/>
      <c r="G422" s="42" t="str">
        <f aca="false">IF($C422="","",IFERROR(INDEX(Inventario!$H$5:$H$100,MATCH($C422,Inventario!$B$5:$B$100,0)),"No está en Inventario"))</f>
        <v/>
      </c>
      <c r="H422" s="43"/>
      <c r="I422" s="44" t="str">
        <f aca="false">IF(OR($C422="",$F422=""),"",N($F422)*N($G422)*(1-N($H422)))</f>
        <v/>
      </c>
      <c r="J422" s="24"/>
      <c r="K422" s="23"/>
      <c r="L422" s="30" t="str">
        <f aca="false">IF($C422="","",IFERROR(IF(INDEX(Inventario!$L$5:$L$100,MATCH($C422,Inventario!$B$5:$B$100,0))&lt;0,"Stock negativo: revisa","OK"),"No está en Inventario"))</f>
        <v/>
      </c>
    </row>
    <row r="423" customFormat="false" ht="15" hidden="false" customHeight="false" outlineLevel="0" collapsed="false">
      <c r="A423" s="1"/>
      <c r="B423" s="37"/>
      <c r="C423" s="13"/>
      <c r="D423" s="21" t="str">
        <f aca="false">IF($C423="","",IFERROR(INDEX(Inventario!$D$5:$D$100,MATCH($C423,Inventario!$B$5:$B$100,0)),"No está en Inventario"))</f>
        <v/>
      </c>
      <c r="E423" s="21" t="str">
        <f aca="false">IF($C423="","",IFERROR(INDEX(Inventario!$E$5:$E$100,MATCH($C423,Inventario!$B$5:$B$100,0)),"No está en Inventario"))</f>
        <v/>
      </c>
      <c r="F423" s="16"/>
      <c r="G423" s="38" t="str">
        <f aca="false">IF($C423="","",IFERROR(INDEX(Inventario!$H$5:$H$100,MATCH($C423,Inventario!$B$5:$B$100,0)),"No está en Inventario"))</f>
        <v/>
      </c>
      <c r="H423" s="39"/>
      <c r="I423" s="40" t="str">
        <f aca="false">IF(OR($C423="",$F423=""),"",N($F423)*N($G423)*(1-N($H423)))</f>
        <v/>
      </c>
      <c r="J423" s="14"/>
      <c r="K423" s="13"/>
      <c r="L423" s="20" t="str">
        <f aca="false">IF($C423="","",IFERROR(IF(INDEX(Inventario!$L$5:$L$100,MATCH($C423,Inventario!$B$5:$B$100,0))&lt;0,"Stock negativo: revisa","OK"),"No está en Inventario"))</f>
        <v/>
      </c>
    </row>
    <row r="424" customFormat="false" ht="15" hidden="false" customHeight="false" outlineLevel="0" collapsed="false">
      <c r="A424" s="1"/>
      <c r="B424" s="41"/>
      <c r="C424" s="23"/>
      <c r="D424" s="31" t="str">
        <f aca="false">IF($C424="","",IFERROR(INDEX(Inventario!$D$5:$D$100,MATCH($C424,Inventario!$B$5:$B$100,0)),"No está en Inventario"))</f>
        <v/>
      </c>
      <c r="E424" s="31" t="str">
        <f aca="false">IF($C424="","",IFERROR(INDEX(Inventario!$E$5:$E$100,MATCH($C424,Inventario!$B$5:$B$100,0)),"No está en Inventario"))</f>
        <v/>
      </c>
      <c r="F424" s="26"/>
      <c r="G424" s="42" t="str">
        <f aca="false">IF($C424="","",IFERROR(INDEX(Inventario!$H$5:$H$100,MATCH($C424,Inventario!$B$5:$B$100,0)),"No está en Inventario"))</f>
        <v/>
      </c>
      <c r="H424" s="43"/>
      <c r="I424" s="44" t="str">
        <f aca="false">IF(OR($C424="",$F424=""),"",N($F424)*N($G424)*(1-N($H424)))</f>
        <v/>
      </c>
      <c r="J424" s="24"/>
      <c r="K424" s="23"/>
      <c r="L424" s="30" t="str">
        <f aca="false">IF($C424="","",IFERROR(IF(INDEX(Inventario!$L$5:$L$100,MATCH($C424,Inventario!$B$5:$B$100,0))&lt;0,"Stock negativo: revisa","OK"),"No está en Inventario"))</f>
        <v/>
      </c>
    </row>
    <row r="425" customFormat="false" ht="15" hidden="false" customHeight="false" outlineLevel="0" collapsed="false">
      <c r="A425" s="1"/>
      <c r="B425" s="37"/>
      <c r="C425" s="13"/>
      <c r="D425" s="21" t="str">
        <f aca="false">IF($C425="","",IFERROR(INDEX(Inventario!$D$5:$D$100,MATCH($C425,Inventario!$B$5:$B$100,0)),"No está en Inventario"))</f>
        <v/>
      </c>
      <c r="E425" s="21" t="str">
        <f aca="false">IF($C425="","",IFERROR(INDEX(Inventario!$E$5:$E$100,MATCH($C425,Inventario!$B$5:$B$100,0)),"No está en Inventario"))</f>
        <v/>
      </c>
      <c r="F425" s="16"/>
      <c r="G425" s="38" t="str">
        <f aca="false">IF($C425="","",IFERROR(INDEX(Inventario!$H$5:$H$100,MATCH($C425,Inventario!$B$5:$B$100,0)),"No está en Inventario"))</f>
        <v/>
      </c>
      <c r="H425" s="39"/>
      <c r="I425" s="40" t="str">
        <f aca="false">IF(OR($C425="",$F425=""),"",N($F425)*N($G425)*(1-N($H425)))</f>
        <v/>
      </c>
      <c r="J425" s="14"/>
      <c r="K425" s="13"/>
      <c r="L425" s="20" t="str">
        <f aca="false">IF($C425="","",IFERROR(IF(INDEX(Inventario!$L$5:$L$100,MATCH($C425,Inventario!$B$5:$B$100,0))&lt;0,"Stock negativo: revisa","OK"),"No está en Inventario"))</f>
        <v/>
      </c>
    </row>
    <row r="426" customFormat="false" ht="15" hidden="false" customHeight="false" outlineLevel="0" collapsed="false">
      <c r="A426" s="1"/>
      <c r="B426" s="41"/>
      <c r="C426" s="23"/>
      <c r="D426" s="31" t="str">
        <f aca="false">IF($C426="","",IFERROR(INDEX(Inventario!$D$5:$D$100,MATCH($C426,Inventario!$B$5:$B$100,0)),"No está en Inventario"))</f>
        <v/>
      </c>
      <c r="E426" s="31" t="str">
        <f aca="false">IF($C426="","",IFERROR(INDEX(Inventario!$E$5:$E$100,MATCH($C426,Inventario!$B$5:$B$100,0)),"No está en Inventario"))</f>
        <v/>
      </c>
      <c r="F426" s="26"/>
      <c r="G426" s="42" t="str">
        <f aca="false">IF($C426="","",IFERROR(INDEX(Inventario!$H$5:$H$100,MATCH($C426,Inventario!$B$5:$B$100,0)),"No está en Inventario"))</f>
        <v/>
      </c>
      <c r="H426" s="43"/>
      <c r="I426" s="44" t="str">
        <f aca="false">IF(OR($C426="",$F426=""),"",N($F426)*N($G426)*(1-N($H426)))</f>
        <v/>
      </c>
      <c r="J426" s="24"/>
      <c r="K426" s="23"/>
      <c r="L426" s="30" t="str">
        <f aca="false">IF($C426="","",IFERROR(IF(INDEX(Inventario!$L$5:$L$100,MATCH($C426,Inventario!$B$5:$B$100,0))&lt;0,"Stock negativo: revisa","OK"),"No está en Inventario"))</f>
        <v/>
      </c>
    </row>
    <row r="427" customFormat="false" ht="15" hidden="false" customHeight="false" outlineLevel="0" collapsed="false">
      <c r="A427" s="1"/>
      <c r="B427" s="37"/>
      <c r="C427" s="13"/>
      <c r="D427" s="21" t="str">
        <f aca="false">IF($C427="","",IFERROR(INDEX(Inventario!$D$5:$D$100,MATCH($C427,Inventario!$B$5:$B$100,0)),"No está en Inventario"))</f>
        <v/>
      </c>
      <c r="E427" s="21" t="str">
        <f aca="false">IF($C427="","",IFERROR(INDEX(Inventario!$E$5:$E$100,MATCH($C427,Inventario!$B$5:$B$100,0)),"No está en Inventario"))</f>
        <v/>
      </c>
      <c r="F427" s="16"/>
      <c r="G427" s="38" t="str">
        <f aca="false">IF($C427="","",IFERROR(INDEX(Inventario!$H$5:$H$100,MATCH($C427,Inventario!$B$5:$B$100,0)),"No está en Inventario"))</f>
        <v/>
      </c>
      <c r="H427" s="39"/>
      <c r="I427" s="40" t="str">
        <f aca="false">IF(OR($C427="",$F427=""),"",N($F427)*N($G427)*(1-N($H427)))</f>
        <v/>
      </c>
      <c r="J427" s="14"/>
      <c r="K427" s="13"/>
      <c r="L427" s="20" t="str">
        <f aca="false">IF($C427="","",IFERROR(IF(INDEX(Inventario!$L$5:$L$100,MATCH($C427,Inventario!$B$5:$B$100,0))&lt;0,"Stock negativo: revisa","OK"),"No está en Inventario"))</f>
        <v/>
      </c>
    </row>
    <row r="428" customFormat="false" ht="15" hidden="false" customHeight="false" outlineLevel="0" collapsed="false">
      <c r="A428" s="1"/>
      <c r="B428" s="41"/>
      <c r="C428" s="23"/>
      <c r="D428" s="31" t="str">
        <f aca="false">IF($C428="","",IFERROR(INDEX(Inventario!$D$5:$D$100,MATCH($C428,Inventario!$B$5:$B$100,0)),"No está en Inventario"))</f>
        <v/>
      </c>
      <c r="E428" s="31" t="str">
        <f aca="false">IF($C428="","",IFERROR(INDEX(Inventario!$E$5:$E$100,MATCH($C428,Inventario!$B$5:$B$100,0)),"No está en Inventario"))</f>
        <v/>
      </c>
      <c r="F428" s="26"/>
      <c r="G428" s="42" t="str">
        <f aca="false">IF($C428="","",IFERROR(INDEX(Inventario!$H$5:$H$100,MATCH($C428,Inventario!$B$5:$B$100,0)),"No está en Inventario"))</f>
        <v/>
      </c>
      <c r="H428" s="43"/>
      <c r="I428" s="44" t="str">
        <f aca="false">IF(OR($C428="",$F428=""),"",N($F428)*N($G428)*(1-N($H428)))</f>
        <v/>
      </c>
      <c r="J428" s="24"/>
      <c r="K428" s="23"/>
      <c r="L428" s="30" t="str">
        <f aca="false">IF($C428="","",IFERROR(IF(INDEX(Inventario!$L$5:$L$100,MATCH($C428,Inventario!$B$5:$B$100,0))&lt;0,"Stock negativo: revisa","OK"),"No está en Inventario"))</f>
        <v/>
      </c>
    </row>
    <row r="429" customFormat="false" ht="15" hidden="false" customHeight="false" outlineLevel="0" collapsed="false">
      <c r="A429" s="1"/>
      <c r="B429" s="37"/>
      <c r="C429" s="13"/>
      <c r="D429" s="21" t="str">
        <f aca="false">IF($C429="","",IFERROR(INDEX(Inventario!$D$5:$D$100,MATCH($C429,Inventario!$B$5:$B$100,0)),"No está en Inventario"))</f>
        <v/>
      </c>
      <c r="E429" s="21" t="str">
        <f aca="false">IF($C429="","",IFERROR(INDEX(Inventario!$E$5:$E$100,MATCH($C429,Inventario!$B$5:$B$100,0)),"No está en Inventario"))</f>
        <v/>
      </c>
      <c r="F429" s="16"/>
      <c r="G429" s="38" t="str">
        <f aca="false">IF($C429="","",IFERROR(INDEX(Inventario!$H$5:$H$100,MATCH($C429,Inventario!$B$5:$B$100,0)),"No está en Inventario"))</f>
        <v/>
      </c>
      <c r="H429" s="39"/>
      <c r="I429" s="40" t="str">
        <f aca="false">IF(OR($C429="",$F429=""),"",N($F429)*N($G429)*(1-N($H429)))</f>
        <v/>
      </c>
      <c r="J429" s="14"/>
      <c r="K429" s="13"/>
      <c r="L429" s="20" t="str">
        <f aca="false">IF($C429="","",IFERROR(IF(INDEX(Inventario!$L$5:$L$100,MATCH($C429,Inventario!$B$5:$B$100,0))&lt;0,"Stock negativo: revisa","OK"),"No está en Inventario"))</f>
        <v/>
      </c>
    </row>
    <row r="430" customFormat="false" ht="15" hidden="false" customHeight="false" outlineLevel="0" collapsed="false">
      <c r="A430" s="1"/>
      <c r="B430" s="41"/>
      <c r="C430" s="23"/>
      <c r="D430" s="31" t="str">
        <f aca="false">IF($C430="","",IFERROR(INDEX(Inventario!$D$5:$D$100,MATCH($C430,Inventario!$B$5:$B$100,0)),"No está en Inventario"))</f>
        <v/>
      </c>
      <c r="E430" s="31" t="str">
        <f aca="false">IF($C430="","",IFERROR(INDEX(Inventario!$E$5:$E$100,MATCH($C430,Inventario!$B$5:$B$100,0)),"No está en Inventario"))</f>
        <v/>
      </c>
      <c r="F430" s="26"/>
      <c r="G430" s="42" t="str">
        <f aca="false">IF($C430="","",IFERROR(INDEX(Inventario!$H$5:$H$100,MATCH($C430,Inventario!$B$5:$B$100,0)),"No está en Inventario"))</f>
        <v/>
      </c>
      <c r="H430" s="43"/>
      <c r="I430" s="44" t="str">
        <f aca="false">IF(OR($C430="",$F430=""),"",N($F430)*N($G430)*(1-N($H430)))</f>
        <v/>
      </c>
      <c r="J430" s="24"/>
      <c r="K430" s="23"/>
      <c r="L430" s="30" t="str">
        <f aca="false">IF($C430="","",IFERROR(IF(INDEX(Inventario!$L$5:$L$100,MATCH($C430,Inventario!$B$5:$B$100,0))&lt;0,"Stock negativo: revisa","OK"),"No está en Inventario"))</f>
        <v/>
      </c>
    </row>
    <row r="431" customFormat="false" ht="15" hidden="false" customHeight="false" outlineLevel="0" collapsed="false">
      <c r="A431" s="1"/>
      <c r="B431" s="37"/>
      <c r="C431" s="13"/>
      <c r="D431" s="21" t="str">
        <f aca="false">IF($C431="","",IFERROR(INDEX(Inventario!$D$5:$D$100,MATCH($C431,Inventario!$B$5:$B$100,0)),"No está en Inventario"))</f>
        <v/>
      </c>
      <c r="E431" s="21" t="str">
        <f aca="false">IF($C431="","",IFERROR(INDEX(Inventario!$E$5:$E$100,MATCH($C431,Inventario!$B$5:$B$100,0)),"No está en Inventario"))</f>
        <v/>
      </c>
      <c r="F431" s="16"/>
      <c r="G431" s="38" t="str">
        <f aca="false">IF($C431="","",IFERROR(INDEX(Inventario!$H$5:$H$100,MATCH($C431,Inventario!$B$5:$B$100,0)),"No está en Inventario"))</f>
        <v/>
      </c>
      <c r="H431" s="39"/>
      <c r="I431" s="40" t="str">
        <f aca="false">IF(OR($C431="",$F431=""),"",N($F431)*N($G431)*(1-N($H431)))</f>
        <v/>
      </c>
      <c r="J431" s="14"/>
      <c r="K431" s="13"/>
      <c r="L431" s="20" t="str">
        <f aca="false">IF($C431="","",IFERROR(IF(INDEX(Inventario!$L$5:$L$100,MATCH($C431,Inventario!$B$5:$B$100,0))&lt;0,"Stock negativo: revisa","OK"),"No está en Inventario"))</f>
        <v/>
      </c>
    </row>
    <row r="432" customFormat="false" ht="15" hidden="false" customHeight="false" outlineLevel="0" collapsed="false">
      <c r="A432" s="1"/>
      <c r="B432" s="41"/>
      <c r="C432" s="23"/>
      <c r="D432" s="31" t="str">
        <f aca="false">IF($C432="","",IFERROR(INDEX(Inventario!$D$5:$D$100,MATCH($C432,Inventario!$B$5:$B$100,0)),"No está en Inventario"))</f>
        <v/>
      </c>
      <c r="E432" s="31" t="str">
        <f aca="false">IF($C432="","",IFERROR(INDEX(Inventario!$E$5:$E$100,MATCH($C432,Inventario!$B$5:$B$100,0)),"No está en Inventario"))</f>
        <v/>
      </c>
      <c r="F432" s="26"/>
      <c r="G432" s="42" t="str">
        <f aca="false">IF($C432="","",IFERROR(INDEX(Inventario!$H$5:$H$100,MATCH($C432,Inventario!$B$5:$B$100,0)),"No está en Inventario"))</f>
        <v/>
      </c>
      <c r="H432" s="43"/>
      <c r="I432" s="44" t="str">
        <f aca="false">IF(OR($C432="",$F432=""),"",N($F432)*N($G432)*(1-N($H432)))</f>
        <v/>
      </c>
      <c r="J432" s="24"/>
      <c r="K432" s="23"/>
      <c r="L432" s="30" t="str">
        <f aca="false">IF($C432="","",IFERROR(IF(INDEX(Inventario!$L$5:$L$100,MATCH($C432,Inventario!$B$5:$B$100,0))&lt;0,"Stock negativo: revisa","OK"),"No está en Inventario"))</f>
        <v/>
      </c>
    </row>
    <row r="433" customFormat="false" ht="15" hidden="false" customHeight="false" outlineLevel="0" collapsed="false">
      <c r="A433" s="1"/>
      <c r="B433" s="37"/>
      <c r="C433" s="13"/>
      <c r="D433" s="21" t="str">
        <f aca="false">IF($C433="","",IFERROR(INDEX(Inventario!$D$5:$D$100,MATCH($C433,Inventario!$B$5:$B$100,0)),"No está en Inventario"))</f>
        <v/>
      </c>
      <c r="E433" s="21" t="str">
        <f aca="false">IF($C433="","",IFERROR(INDEX(Inventario!$E$5:$E$100,MATCH($C433,Inventario!$B$5:$B$100,0)),"No está en Inventario"))</f>
        <v/>
      </c>
      <c r="F433" s="16"/>
      <c r="G433" s="38" t="str">
        <f aca="false">IF($C433="","",IFERROR(INDEX(Inventario!$H$5:$H$100,MATCH($C433,Inventario!$B$5:$B$100,0)),"No está en Inventario"))</f>
        <v/>
      </c>
      <c r="H433" s="39"/>
      <c r="I433" s="40" t="str">
        <f aca="false">IF(OR($C433="",$F433=""),"",N($F433)*N($G433)*(1-N($H433)))</f>
        <v/>
      </c>
      <c r="J433" s="14"/>
      <c r="K433" s="13"/>
      <c r="L433" s="20" t="str">
        <f aca="false">IF($C433="","",IFERROR(IF(INDEX(Inventario!$L$5:$L$100,MATCH($C433,Inventario!$B$5:$B$100,0))&lt;0,"Stock negativo: revisa","OK"),"No está en Inventario"))</f>
        <v/>
      </c>
    </row>
    <row r="434" customFormat="false" ht="15" hidden="false" customHeight="false" outlineLevel="0" collapsed="false">
      <c r="A434" s="1"/>
      <c r="B434" s="41"/>
      <c r="C434" s="23"/>
      <c r="D434" s="31" t="str">
        <f aca="false">IF($C434="","",IFERROR(INDEX(Inventario!$D$5:$D$100,MATCH($C434,Inventario!$B$5:$B$100,0)),"No está en Inventario"))</f>
        <v/>
      </c>
      <c r="E434" s="31" t="str">
        <f aca="false">IF($C434="","",IFERROR(INDEX(Inventario!$E$5:$E$100,MATCH($C434,Inventario!$B$5:$B$100,0)),"No está en Inventario"))</f>
        <v/>
      </c>
      <c r="F434" s="26"/>
      <c r="G434" s="42" t="str">
        <f aca="false">IF($C434="","",IFERROR(INDEX(Inventario!$H$5:$H$100,MATCH($C434,Inventario!$B$5:$B$100,0)),"No está en Inventario"))</f>
        <v/>
      </c>
      <c r="H434" s="43"/>
      <c r="I434" s="44" t="str">
        <f aca="false">IF(OR($C434="",$F434=""),"",N($F434)*N($G434)*(1-N($H434)))</f>
        <v/>
      </c>
      <c r="J434" s="24"/>
      <c r="K434" s="23"/>
      <c r="L434" s="30" t="str">
        <f aca="false">IF($C434="","",IFERROR(IF(INDEX(Inventario!$L$5:$L$100,MATCH($C434,Inventario!$B$5:$B$100,0))&lt;0,"Stock negativo: revisa","OK"),"No está en Inventario"))</f>
        <v/>
      </c>
    </row>
    <row r="435" customFormat="false" ht="15" hidden="false" customHeight="false" outlineLevel="0" collapsed="false">
      <c r="A435" s="1"/>
      <c r="B435" s="37"/>
      <c r="C435" s="13"/>
      <c r="D435" s="21" t="str">
        <f aca="false">IF($C435="","",IFERROR(INDEX(Inventario!$D$5:$D$100,MATCH($C435,Inventario!$B$5:$B$100,0)),"No está en Inventario"))</f>
        <v/>
      </c>
      <c r="E435" s="21" t="str">
        <f aca="false">IF($C435="","",IFERROR(INDEX(Inventario!$E$5:$E$100,MATCH($C435,Inventario!$B$5:$B$100,0)),"No está en Inventario"))</f>
        <v/>
      </c>
      <c r="F435" s="16"/>
      <c r="G435" s="38" t="str">
        <f aca="false">IF($C435="","",IFERROR(INDEX(Inventario!$H$5:$H$100,MATCH($C435,Inventario!$B$5:$B$100,0)),"No está en Inventario"))</f>
        <v/>
      </c>
      <c r="H435" s="39"/>
      <c r="I435" s="40" t="str">
        <f aca="false">IF(OR($C435="",$F435=""),"",N($F435)*N($G435)*(1-N($H435)))</f>
        <v/>
      </c>
      <c r="J435" s="14"/>
      <c r="K435" s="13"/>
      <c r="L435" s="20" t="str">
        <f aca="false">IF($C435="","",IFERROR(IF(INDEX(Inventario!$L$5:$L$100,MATCH($C435,Inventario!$B$5:$B$100,0))&lt;0,"Stock negativo: revisa","OK"),"No está en Inventario"))</f>
        <v/>
      </c>
    </row>
    <row r="436" customFormat="false" ht="15" hidden="false" customHeight="false" outlineLevel="0" collapsed="false">
      <c r="A436" s="1"/>
      <c r="B436" s="41"/>
      <c r="C436" s="23"/>
      <c r="D436" s="31" t="str">
        <f aca="false">IF($C436="","",IFERROR(INDEX(Inventario!$D$5:$D$100,MATCH($C436,Inventario!$B$5:$B$100,0)),"No está en Inventario"))</f>
        <v/>
      </c>
      <c r="E436" s="31" t="str">
        <f aca="false">IF($C436="","",IFERROR(INDEX(Inventario!$E$5:$E$100,MATCH($C436,Inventario!$B$5:$B$100,0)),"No está en Inventario"))</f>
        <v/>
      </c>
      <c r="F436" s="26"/>
      <c r="G436" s="42" t="str">
        <f aca="false">IF($C436="","",IFERROR(INDEX(Inventario!$H$5:$H$100,MATCH($C436,Inventario!$B$5:$B$100,0)),"No está en Inventario"))</f>
        <v/>
      </c>
      <c r="H436" s="43"/>
      <c r="I436" s="44" t="str">
        <f aca="false">IF(OR($C436="",$F436=""),"",N($F436)*N($G436)*(1-N($H436)))</f>
        <v/>
      </c>
      <c r="J436" s="24"/>
      <c r="K436" s="23"/>
      <c r="L436" s="30" t="str">
        <f aca="false">IF($C436="","",IFERROR(IF(INDEX(Inventario!$L$5:$L$100,MATCH($C436,Inventario!$B$5:$B$100,0))&lt;0,"Stock negativo: revisa","OK"),"No está en Inventario"))</f>
        <v/>
      </c>
    </row>
    <row r="437" customFormat="false" ht="15" hidden="false" customHeight="false" outlineLevel="0" collapsed="false">
      <c r="A437" s="1"/>
      <c r="B437" s="37"/>
      <c r="C437" s="13"/>
      <c r="D437" s="21" t="str">
        <f aca="false">IF($C437="","",IFERROR(INDEX(Inventario!$D$5:$D$100,MATCH($C437,Inventario!$B$5:$B$100,0)),"No está en Inventario"))</f>
        <v/>
      </c>
      <c r="E437" s="21" t="str">
        <f aca="false">IF($C437="","",IFERROR(INDEX(Inventario!$E$5:$E$100,MATCH($C437,Inventario!$B$5:$B$100,0)),"No está en Inventario"))</f>
        <v/>
      </c>
      <c r="F437" s="16"/>
      <c r="G437" s="38" t="str">
        <f aca="false">IF($C437="","",IFERROR(INDEX(Inventario!$H$5:$H$100,MATCH($C437,Inventario!$B$5:$B$100,0)),"No está en Inventario"))</f>
        <v/>
      </c>
      <c r="H437" s="39"/>
      <c r="I437" s="40" t="str">
        <f aca="false">IF(OR($C437="",$F437=""),"",N($F437)*N($G437)*(1-N($H437)))</f>
        <v/>
      </c>
      <c r="J437" s="14"/>
      <c r="K437" s="13"/>
      <c r="L437" s="20" t="str">
        <f aca="false">IF($C437="","",IFERROR(IF(INDEX(Inventario!$L$5:$L$100,MATCH($C437,Inventario!$B$5:$B$100,0))&lt;0,"Stock negativo: revisa","OK"),"No está en Inventario"))</f>
        <v/>
      </c>
    </row>
    <row r="438" customFormat="false" ht="15" hidden="false" customHeight="false" outlineLevel="0" collapsed="false">
      <c r="A438" s="1"/>
      <c r="B438" s="41"/>
      <c r="C438" s="23"/>
      <c r="D438" s="31" t="str">
        <f aca="false">IF($C438="","",IFERROR(INDEX(Inventario!$D$5:$D$100,MATCH($C438,Inventario!$B$5:$B$100,0)),"No está en Inventario"))</f>
        <v/>
      </c>
      <c r="E438" s="31" t="str">
        <f aca="false">IF($C438="","",IFERROR(INDEX(Inventario!$E$5:$E$100,MATCH($C438,Inventario!$B$5:$B$100,0)),"No está en Inventario"))</f>
        <v/>
      </c>
      <c r="F438" s="26"/>
      <c r="G438" s="42" t="str">
        <f aca="false">IF($C438="","",IFERROR(INDEX(Inventario!$H$5:$H$100,MATCH($C438,Inventario!$B$5:$B$100,0)),"No está en Inventario"))</f>
        <v/>
      </c>
      <c r="H438" s="43"/>
      <c r="I438" s="44" t="str">
        <f aca="false">IF(OR($C438="",$F438=""),"",N($F438)*N($G438)*(1-N($H438)))</f>
        <v/>
      </c>
      <c r="J438" s="24"/>
      <c r="K438" s="23"/>
      <c r="L438" s="30" t="str">
        <f aca="false">IF($C438="","",IFERROR(IF(INDEX(Inventario!$L$5:$L$100,MATCH($C438,Inventario!$B$5:$B$100,0))&lt;0,"Stock negativo: revisa","OK"),"No está en Inventario"))</f>
        <v/>
      </c>
    </row>
    <row r="439" customFormat="false" ht="15" hidden="false" customHeight="false" outlineLevel="0" collapsed="false">
      <c r="A439" s="1"/>
      <c r="B439" s="37"/>
      <c r="C439" s="13"/>
      <c r="D439" s="21" t="str">
        <f aca="false">IF($C439="","",IFERROR(INDEX(Inventario!$D$5:$D$100,MATCH($C439,Inventario!$B$5:$B$100,0)),"No está en Inventario"))</f>
        <v/>
      </c>
      <c r="E439" s="21" t="str">
        <f aca="false">IF($C439="","",IFERROR(INDEX(Inventario!$E$5:$E$100,MATCH($C439,Inventario!$B$5:$B$100,0)),"No está en Inventario"))</f>
        <v/>
      </c>
      <c r="F439" s="16"/>
      <c r="G439" s="38" t="str">
        <f aca="false">IF($C439="","",IFERROR(INDEX(Inventario!$H$5:$H$100,MATCH($C439,Inventario!$B$5:$B$100,0)),"No está en Inventario"))</f>
        <v/>
      </c>
      <c r="H439" s="39"/>
      <c r="I439" s="40" t="str">
        <f aca="false">IF(OR($C439="",$F439=""),"",N($F439)*N($G439)*(1-N($H439)))</f>
        <v/>
      </c>
      <c r="J439" s="14"/>
      <c r="K439" s="13"/>
      <c r="L439" s="20" t="str">
        <f aca="false">IF($C439="","",IFERROR(IF(INDEX(Inventario!$L$5:$L$100,MATCH($C439,Inventario!$B$5:$B$100,0))&lt;0,"Stock negativo: revisa","OK"),"No está en Inventario"))</f>
        <v/>
      </c>
    </row>
    <row r="440" customFormat="false" ht="15" hidden="false" customHeight="false" outlineLevel="0" collapsed="false">
      <c r="A440" s="1"/>
      <c r="B440" s="41"/>
      <c r="C440" s="23"/>
      <c r="D440" s="31" t="str">
        <f aca="false">IF($C440="","",IFERROR(INDEX(Inventario!$D$5:$D$100,MATCH($C440,Inventario!$B$5:$B$100,0)),"No está en Inventario"))</f>
        <v/>
      </c>
      <c r="E440" s="31" t="str">
        <f aca="false">IF($C440="","",IFERROR(INDEX(Inventario!$E$5:$E$100,MATCH($C440,Inventario!$B$5:$B$100,0)),"No está en Inventario"))</f>
        <v/>
      </c>
      <c r="F440" s="26"/>
      <c r="G440" s="42" t="str">
        <f aca="false">IF($C440="","",IFERROR(INDEX(Inventario!$H$5:$H$100,MATCH($C440,Inventario!$B$5:$B$100,0)),"No está en Inventario"))</f>
        <v/>
      </c>
      <c r="H440" s="43"/>
      <c r="I440" s="44" t="str">
        <f aca="false">IF(OR($C440="",$F440=""),"",N($F440)*N($G440)*(1-N($H440)))</f>
        <v/>
      </c>
      <c r="J440" s="24"/>
      <c r="K440" s="23"/>
      <c r="L440" s="30" t="str">
        <f aca="false">IF($C440="","",IFERROR(IF(INDEX(Inventario!$L$5:$L$100,MATCH($C440,Inventario!$B$5:$B$100,0))&lt;0,"Stock negativo: revisa","OK"),"No está en Inventario"))</f>
        <v/>
      </c>
    </row>
    <row r="441" customFormat="false" ht="15" hidden="false" customHeight="false" outlineLevel="0" collapsed="false">
      <c r="A441" s="1"/>
      <c r="B441" s="37"/>
      <c r="C441" s="13"/>
      <c r="D441" s="21" t="str">
        <f aca="false">IF($C441="","",IFERROR(INDEX(Inventario!$D$5:$D$100,MATCH($C441,Inventario!$B$5:$B$100,0)),"No está en Inventario"))</f>
        <v/>
      </c>
      <c r="E441" s="21" t="str">
        <f aca="false">IF($C441="","",IFERROR(INDEX(Inventario!$E$5:$E$100,MATCH($C441,Inventario!$B$5:$B$100,0)),"No está en Inventario"))</f>
        <v/>
      </c>
      <c r="F441" s="16"/>
      <c r="G441" s="38" t="str">
        <f aca="false">IF($C441="","",IFERROR(INDEX(Inventario!$H$5:$H$100,MATCH($C441,Inventario!$B$5:$B$100,0)),"No está en Inventario"))</f>
        <v/>
      </c>
      <c r="H441" s="39"/>
      <c r="I441" s="40" t="str">
        <f aca="false">IF(OR($C441="",$F441=""),"",N($F441)*N($G441)*(1-N($H441)))</f>
        <v/>
      </c>
      <c r="J441" s="14"/>
      <c r="K441" s="13"/>
      <c r="L441" s="20" t="str">
        <f aca="false">IF($C441="","",IFERROR(IF(INDEX(Inventario!$L$5:$L$100,MATCH($C441,Inventario!$B$5:$B$100,0))&lt;0,"Stock negativo: revisa","OK"),"No está en Inventario"))</f>
        <v/>
      </c>
    </row>
    <row r="442" customFormat="false" ht="15" hidden="false" customHeight="false" outlineLevel="0" collapsed="false">
      <c r="A442" s="1"/>
      <c r="B442" s="41"/>
      <c r="C442" s="23"/>
      <c r="D442" s="31" t="str">
        <f aca="false">IF($C442="","",IFERROR(INDEX(Inventario!$D$5:$D$100,MATCH($C442,Inventario!$B$5:$B$100,0)),"No está en Inventario"))</f>
        <v/>
      </c>
      <c r="E442" s="31" t="str">
        <f aca="false">IF($C442="","",IFERROR(INDEX(Inventario!$E$5:$E$100,MATCH($C442,Inventario!$B$5:$B$100,0)),"No está en Inventario"))</f>
        <v/>
      </c>
      <c r="F442" s="26"/>
      <c r="G442" s="42" t="str">
        <f aca="false">IF($C442="","",IFERROR(INDEX(Inventario!$H$5:$H$100,MATCH($C442,Inventario!$B$5:$B$100,0)),"No está en Inventario"))</f>
        <v/>
      </c>
      <c r="H442" s="43"/>
      <c r="I442" s="44" t="str">
        <f aca="false">IF(OR($C442="",$F442=""),"",N($F442)*N($G442)*(1-N($H442)))</f>
        <v/>
      </c>
      <c r="J442" s="24"/>
      <c r="K442" s="23"/>
      <c r="L442" s="30" t="str">
        <f aca="false">IF($C442="","",IFERROR(IF(INDEX(Inventario!$L$5:$L$100,MATCH($C442,Inventario!$B$5:$B$100,0))&lt;0,"Stock negativo: revisa","OK"),"No está en Inventario"))</f>
        <v/>
      </c>
    </row>
    <row r="443" customFormat="false" ht="15" hidden="false" customHeight="false" outlineLevel="0" collapsed="false">
      <c r="A443" s="1"/>
      <c r="B443" s="37"/>
      <c r="C443" s="13"/>
      <c r="D443" s="21" t="str">
        <f aca="false">IF($C443="","",IFERROR(INDEX(Inventario!$D$5:$D$100,MATCH($C443,Inventario!$B$5:$B$100,0)),"No está en Inventario"))</f>
        <v/>
      </c>
      <c r="E443" s="21" t="str">
        <f aca="false">IF($C443="","",IFERROR(INDEX(Inventario!$E$5:$E$100,MATCH($C443,Inventario!$B$5:$B$100,0)),"No está en Inventario"))</f>
        <v/>
      </c>
      <c r="F443" s="16"/>
      <c r="G443" s="38" t="str">
        <f aca="false">IF($C443="","",IFERROR(INDEX(Inventario!$H$5:$H$100,MATCH($C443,Inventario!$B$5:$B$100,0)),"No está en Inventario"))</f>
        <v/>
      </c>
      <c r="H443" s="39"/>
      <c r="I443" s="40" t="str">
        <f aca="false">IF(OR($C443="",$F443=""),"",N($F443)*N($G443)*(1-N($H443)))</f>
        <v/>
      </c>
      <c r="J443" s="14"/>
      <c r="K443" s="13"/>
      <c r="L443" s="20" t="str">
        <f aca="false">IF($C443="","",IFERROR(IF(INDEX(Inventario!$L$5:$L$100,MATCH($C443,Inventario!$B$5:$B$100,0))&lt;0,"Stock negativo: revisa","OK"),"No está en Inventario"))</f>
        <v/>
      </c>
    </row>
    <row r="444" customFormat="false" ht="15" hidden="false" customHeight="false" outlineLevel="0" collapsed="false">
      <c r="A444" s="1"/>
      <c r="B444" s="41"/>
      <c r="C444" s="23"/>
      <c r="D444" s="31" t="str">
        <f aca="false">IF($C444="","",IFERROR(INDEX(Inventario!$D$5:$D$100,MATCH($C444,Inventario!$B$5:$B$100,0)),"No está en Inventario"))</f>
        <v/>
      </c>
      <c r="E444" s="31" t="str">
        <f aca="false">IF($C444="","",IFERROR(INDEX(Inventario!$E$5:$E$100,MATCH($C444,Inventario!$B$5:$B$100,0)),"No está en Inventario"))</f>
        <v/>
      </c>
      <c r="F444" s="26"/>
      <c r="G444" s="42" t="str">
        <f aca="false">IF($C444="","",IFERROR(INDEX(Inventario!$H$5:$H$100,MATCH($C444,Inventario!$B$5:$B$100,0)),"No está en Inventario"))</f>
        <v/>
      </c>
      <c r="H444" s="43"/>
      <c r="I444" s="44" t="str">
        <f aca="false">IF(OR($C444="",$F444=""),"",N($F444)*N($G444)*(1-N($H444)))</f>
        <v/>
      </c>
      <c r="J444" s="24"/>
      <c r="K444" s="23"/>
      <c r="L444" s="30" t="str">
        <f aca="false">IF($C444="","",IFERROR(IF(INDEX(Inventario!$L$5:$L$100,MATCH($C444,Inventario!$B$5:$B$100,0))&lt;0,"Stock negativo: revisa","OK"),"No está en Inventario"))</f>
        <v/>
      </c>
    </row>
    <row r="445" customFormat="false" ht="15" hidden="false" customHeight="false" outlineLevel="0" collapsed="false">
      <c r="A445" s="1"/>
      <c r="B445" s="37"/>
      <c r="C445" s="13"/>
      <c r="D445" s="21" t="str">
        <f aca="false">IF($C445="","",IFERROR(INDEX(Inventario!$D$5:$D$100,MATCH($C445,Inventario!$B$5:$B$100,0)),"No está en Inventario"))</f>
        <v/>
      </c>
      <c r="E445" s="21" t="str">
        <f aca="false">IF($C445="","",IFERROR(INDEX(Inventario!$E$5:$E$100,MATCH($C445,Inventario!$B$5:$B$100,0)),"No está en Inventario"))</f>
        <v/>
      </c>
      <c r="F445" s="16"/>
      <c r="G445" s="38" t="str">
        <f aca="false">IF($C445="","",IFERROR(INDEX(Inventario!$H$5:$H$100,MATCH($C445,Inventario!$B$5:$B$100,0)),"No está en Inventario"))</f>
        <v/>
      </c>
      <c r="H445" s="39"/>
      <c r="I445" s="40" t="str">
        <f aca="false">IF(OR($C445="",$F445=""),"",N($F445)*N($G445)*(1-N($H445)))</f>
        <v/>
      </c>
      <c r="J445" s="14"/>
      <c r="K445" s="13"/>
      <c r="L445" s="20" t="str">
        <f aca="false">IF($C445="","",IFERROR(IF(INDEX(Inventario!$L$5:$L$100,MATCH($C445,Inventario!$B$5:$B$100,0))&lt;0,"Stock negativo: revisa","OK"),"No está en Inventario"))</f>
        <v/>
      </c>
    </row>
    <row r="446" customFormat="false" ht="15" hidden="false" customHeight="false" outlineLevel="0" collapsed="false">
      <c r="A446" s="1"/>
      <c r="B446" s="41"/>
      <c r="C446" s="23"/>
      <c r="D446" s="31" t="str">
        <f aca="false">IF($C446="","",IFERROR(INDEX(Inventario!$D$5:$D$100,MATCH($C446,Inventario!$B$5:$B$100,0)),"No está en Inventario"))</f>
        <v/>
      </c>
      <c r="E446" s="31" t="str">
        <f aca="false">IF($C446="","",IFERROR(INDEX(Inventario!$E$5:$E$100,MATCH($C446,Inventario!$B$5:$B$100,0)),"No está en Inventario"))</f>
        <v/>
      </c>
      <c r="F446" s="26"/>
      <c r="G446" s="42" t="str">
        <f aca="false">IF($C446="","",IFERROR(INDEX(Inventario!$H$5:$H$100,MATCH($C446,Inventario!$B$5:$B$100,0)),"No está en Inventario"))</f>
        <v/>
      </c>
      <c r="H446" s="43"/>
      <c r="I446" s="44" t="str">
        <f aca="false">IF(OR($C446="",$F446=""),"",N($F446)*N($G446)*(1-N($H446)))</f>
        <v/>
      </c>
      <c r="J446" s="24"/>
      <c r="K446" s="23"/>
      <c r="L446" s="30" t="str">
        <f aca="false">IF($C446="","",IFERROR(IF(INDEX(Inventario!$L$5:$L$100,MATCH($C446,Inventario!$B$5:$B$100,0))&lt;0,"Stock negativo: revisa","OK"),"No está en Inventario"))</f>
        <v/>
      </c>
    </row>
    <row r="447" customFormat="false" ht="15" hidden="false" customHeight="false" outlineLevel="0" collapsed="false">
      <c r="A447" s="1"/>
      <c r="B447" s="37"/>
      <c r="C447" s="13"/>
      <c r="D447" s="21" t="str">
        <f aca="false">IF($C447="","",IFERROR(INDEX(Inventario!$D$5:$D$100,MATCH($C447,Inventario!$B$5:$B$100,0)),"No está en Inventario"))</f>
        <v/>
      </c>
      <c r="E447" s="21" t="str">
        <f aca="false">IF($C447="","",IFERROR(INDEX(Inventario!$E$5:$E$100,MATCH($C447,Inventario!$B$5:$B$100,0)),"No está en Inventario"))</f>
        <v/>
      </c>
      <c r="F447" s="16"/>
      <c r="G447" s="38" t="str">
        <f aca="false">IF($C447="","",IFERROR(INDEX(Inventario!$H$5:$H$100,MATCH($C447,Inventario!$B$5:$B$100,0)),"No está en Inventario"))</f>
        <v/>
      </c>
      <c r="H447" s="39"/>
      <c r="I447" s="40" t="str">
        <f aca="false">IF(OR($C447="",$F447=""),"",N($F447)*N($G447)*(1-N($H447)))</f>
        <v/>
      </c>
      <c r="J447" s="14"/>
      <c r="K447" s="13"/>
      <c r="L447" s="20" t="str">
        <f aca="false">IF($C447="","",IFERROR(IF(INDEX(Inventario!$L$5:$L$100,MATCH($C447,Inventario!$B$5:$B$100,0))&lt;0,"Stock negativo: revisa","OK"),"No está en Inventario"))</f>
        <v/>
      </c>
    </row>
    <row r="448" customFormat="false" ht="15" hidden="false" customHeight="false" outlineLevel="0" collapsed="false">
      <c r="A448" s="1"/>
      <c r="B448" s="41"/>
      <c r="C448" s="23"/>
      <c r="D448" s="31" t="str">
        <f aca="false">IF($C448="","",IFERROR(INDEX(Inventario!$D$5:$D$100,MATCH($C448,Inventario!$B$5:$B$100,0)),"No está en Inventario"))</f>
        <v/>
      </c>
      <c r="E448" s="31" t="str">
        <f aca="false">IF($C448="","",IFERROR(INDEX(Inventario!$E$5:$E$100,MATCH($C448,Inventario!$B$5:$B$100,0)),"No está en Inventario"))</f>
        <v/>
      </c>
      <c r="F448" s="26"/>
      <c r="G448" s="42" t="str">
        <f aca="false">IF($C448="","",IFERROR(INDEX(Inventario!$H$5:$H$100,MATCH($C448,Inventario!$B$5:$B$100,0)),"No está en Inventario"))</f>
        <v/>
      </c>
      <c r="H448" s="43"/>
      <c r="I448" s="44" t="str">
        <f aca="false">IF(OR($C448="",$F448=""),"",N($F448)*N($G448)*(1-N($H448)))</f>
        <v/>
      </c>
      <c r="J448" s="24"/>
      <c r="K448" s="23"/>
      <c r="L448" s="30" t="str">
        <f aca="false">IF($C448="","",IFERROR(IF(INDEX(Inventario!$L$5:$L$100,MATCH($C448,Inventario!$B$5:$B$100,0))&lt;0,"Stock negativo: revisa","OK"),"No está en Inventario"))</f>
        <v/>
      </c>
    </row>
    <row r="449" customFormat="false" ht="15" hidden="false" customHeight="false" outlineLevel="0" collapsed="false">
      <c r="A449" s="1"/>
      <c r="B449" s="37"/>
      <c r="C449" s="13"/>
      <c r="D449" s="21" t="str">
        <f aca="false">IF($C449="","",IFERROR(INDEX(Inventario!$D$5:$D$100,MATCH($C449,Inventario!$B$5:$B$100,0)),"No está en Inventario"))</f>
        <v/>
      </c>
      <c r="E449" s="21" t="str">
        <f aca="false">IF($C449="","",IFERROR(INDEX(Inventario!$E$5:$E$100,MATCH($C449,Inventario!$B$5:$B$100,0)),"No está en Inventario"))</f>
        <v/>
      </c>
      <c r="F449" s="16"/>
      <c r="G449" s="38" t="str">
        <f aca="false">IF($C449="","",IFERROR(INDEX(Inventario!$H$5:$H$100,MATCH($C449,Inventario!$B$5:$B$100,0)),"No está en Inventario"))</f>
        <v/>
      </c>
      <c r="H449" s="39"/>
      <c r="I449" s="40" t="str">
        <f aca="false">IF(OR($C449="",$F449=""),"",N($F449)*N($G449)*(1-N($H449)))</f>
        <v/>
      </c>
      <c r="J449" s="14"/>
      <c r="K449" s="13"/>
      <c r="L449" s="20" t="str">
        <f aca="false">IF($C449="","",IFERROR(IF(INDEX(Inventario!$L$5:$L$100,MATCH($C449,Inventario!$B$5:$B$100,0))&lt;0,"Stock negativo: revisa","OK"),"No está en Inventario"))</f>
        <v/>
      </c>
    </row>
    <row r="450" customFormat="false" ht="15" hidden="false" customHeight="false" outlineLevel="0" collapsed="false">
      <c r="A450" s="1"/>
      <c r="B450" s="41"/>
      <c r="C450" s="23"/>
      <c r="D450" s="31" t="str">
        <f aca="false">IF($C450="","",IFERROR(INDEX(Inventario!$D$5:$D$100,MATCH($C450,Inventario!$B$5:$B$100,0)),"No está en Inventario"))</f>
        <v/>
      </c>
      <c r="E450" s="31" t="str">
        <f aca="false">IF($C450="","",IFERROR(INDEX(Inventario!$E$5:$E$100,MATCH($C450,Inventario!$B$5:$B$100,0)),"No está en Inventario"))</f>
        <v/>
      </c>
      <c r="F450" s="26"/>
      <c r="G450" s="42" t="str">
        <f aca="false">IF($C450="","",IFERROR(INDEX(Inventario!$H$5:$H$100,MATCH($C450,Inventario!$B$5:$B$100,0)),"No está en Inventario"))</f>
        <v/>
      </c>
      <c r="H450" s="43"/>
      <c r="I450" s="44" t="str">
        <f aca="false">IF(OR($C450="",$F450=""),"",N($F450)*N($G450)*(1-N($H450)))</f>
        <v/>
      </c>
      <c r="J450" s="24"/>
      <c r="K450" s="23"/>
      <c r="L450" s="30" t="str">
        <f aca="false">IF($C450="","",IFERROR(IF(INDEX(Inventario!$L$5:$L$100,MATCH($C450,Inventario!$B$5:$B$100,0))&lt;0,"Stock negativo: revisa","OK"),"No está en Inventario"))</f>
        <v/>
      </c>
    </row>
    <row r="451" customFormat="false" ht="15" hidden="false" customHeight="false" outlineLevel="0" collapsed="false">
      <c r="A451" s="1"/>
      <c r="B451" s="37"/>
      <c r="C451" s="13"/>
      <c r="D451" s="21" t="str">
        <f aca="false">IF($C451="","",IFERROR(INDEX(Inventario!$D$5:$D$100,MATCH($C451,Inventario!$B$5:$B$100,0)),"No está en Inventario"))</f>
        <v/>
      </c>
      <c r="E451" s="21" t="str">
        <f aca="false">IF($C451="","",IFERROR(INDEX(Inventario!$E$5:$E$100,MATCH($C451,Inventario!$B$5:$B$100,0)),"No está en Inventario"))</f>
        <v/>
      </c>
      <c r="F451" s="16"/>
      <c r="G451" s="38" t="str">
        <f aca="false">IF($C451="","",IFERROR(INDEX(Inventario!$H$5:$H$100,MATCH($C451,Inventario!$B$5:$B$100,0)),"No está en Inventario"))</f>
        <v/>
      </c>
      <c r="H451" s="39"/>
      <c r="I451" s="40" t="str">
        <f aca="false">IF(OR($C451="",$F451=""),"",N($F451)*N($G451)*(1-N($H451)))</f>
        <v/>
      </c>
      <c r="J451" s="14"/>
      <c r="K451" s="13"/>
      <c r="L451" s="20" t="str">
        <f aca="false">IF($C451="","",IFERROR(IF(INDEX(Inventario!$L$5:$L$100,MATCH($C451,Inventario!$B$5:$B$100,0))&lt;0,"Stock negativo: revisa","OK"),"No está en Inventario"))</f>
        <v/>
      </c>
    </row>
    <row r="452" customFormat="false" ht="15" hidden="false" customHeight="false" outlineLevel="0" collapsed="false">
      <c r="A452" s="1"/>
      <c r="B452" s="41"/>
      <c r="C452" s="23"/>
      <c r="D452" s="31" t="str">
        <f aca="false">IF($C452="","",IFERROR(INDEX(Inventario!$D$5:$D$100,MATCH($C452,Inventario!$B$5:$B$100,0)),"No está en Inventario"))</f>
        <v/>
      </c>
      <c r="E452" s="31" t="str">
        <f aca="false">IF($C452="","",IFERROR(INDEX(Inventario!$E$5:$E$100,MATCH($C452,Inventario!$B$5:$B$100,0)),"No está en Inventario"))</f>
        <v/>
      </c>
      <c r="F452" s="26"/>
      <c r="G452" s="42" t="str">
        <f aca="false">IF($C452="","",IFERROR(INDEX(Inventario!$H$5:$H$100,MATCH($C452,Inventario!$B$5:$B$100,0)),"No está en Inventario"))</f>
        <v/>
      </c>
      <c r="H452" s="43"/>
      <c r="I452" s="44" t="str">
        <f aca="false">IF(OR($C452="",$F452=""),"",N($F452)*N($G452)*(1-N($H452)))</f>
        <v/>
      </c>
      <c r="J452" s="24"/>
      <c r="K452" s="23"/>
      <c r="L452" s="30" t="str">
        <f aca="false">IF($C452="","",IFERROR(IF(INDEX(Inventario!$L$5:$L$100,MATCH($C452,Inventario!$B$5:$B$100,0))&lt;0,"Stock negativo: revisa","OK"),"No está en Inventario"))</f>
        <v/>
      </c>
    </row>
    <row r="453" customFormat="false" ht="15" hidden="false" customHeight="false" outlineLevel="0" collapsed="false">
      <c r="A453" s="1"/>
      <c r="B453" s="37"/>
      <c r="C453" s="13"/>
      <c r="D453" s="21" t="str">
        <f aca="false">IF($C453="","",IFERROR(INDEX(Inventario!$D$5:$D$100,MATCH($C453,Inventario!$B$5:$B$100,0)),"No está en Inventario"))</f>
        <v/>
      </c>
      <c r="E453" s="21" t="str">
        <f aca="false">IF($C453="","",IFERROR(INDEX(Inventario!$E$5:$E$100,MATCH($C453,Inventario!$B$5:$B$100,0)),"No está en Inventario"))</f>
        <v/>
      </c>
      <c r="F453" s="16"/>
      <c r="G453" s="38" t="str">
        <f aca="false">IF($C453="","",IFERROR(INDEX(Inventario!$H$5:$H$100,MATCH($C453,Inventario!$B$5:$B$100,0)),"No está en Inventario"))</f>
        <v/>
      </c>
      <c r="H453" s="39"/>
      <c r="I453" s="40" t="str">
        <f aca="false">IF(OR($C453="",$F453=""),"",N($F453)*N($G453)*(1-N($H453)))</f>
        <v/>
      </c>
      <c r="J453" s="14"/>
      <c r="K453" s="13"/>
      <c r="L453" s="20" t="str">
        <f aca="false">IF($C453="","",IFERROR(IF(INDEX(Inventario!$L$5:$L$100,MATCH($C453,Inventario!$B$5:$B$100,0))&lt;0,"Stock negativo: revisa","OK"),"No está en Inventario"))</f>
        <v/>
      </c>
    </row>
    <row r="454" customFormat="false" ht="15" hidden="false" customHeight="false" outlineLevel="0" collapsed="false">
      <c r="A454" s="1"/>
      <c r="B454" s="41"/>
      <c r="C454" s="23"/>
      <c r="D454" s="31" t="str">
        <f aca="false">IF($C454="","",IFERROR(INDEX(Inventario!$D$5:$D$100,MATCH($C454,Inventario!$B$5:$B$100,0)),"No está en Inventario"))</f>
        <v/>
      </c>
      <c r="E454" s="31" t="str">
        <f aca="false">IF($C454="","",IFERROR(INDEX(Inventario!$E$5:$E$100,MATCH($C454,Inventario!$B$5:$B$100,0)),"No está en Inventario"))</f>
        <v/>
      </c>
      <c r="F454" s="26"/>
      <c r="G454" s="42" t="str">
        <f aca="false">IF($C454="","",IFERROR(INDEX(Inventario!$H$5:$H$100,MATCH($C454,Inventario!$B$5:$B$100,0)),"No está en Inventario"))</f>
        <v/>
      </c>
      <c r="H454" s="43"/>
      <c r="I454" s="44" t="str">
        <f aca="false">IF(OR($C454="",$F454=""),"",N($F454)*N($G454)*(1-N($H454)))</f>
        <v/>
      </c>
      <c r="J454" s="24"/>
      <c r="K454" s="23"/>
      <c r="L454" s="30" t="str">
        <f aca="false">IF($C454="","",IFERROR(IF(INDEX(Inventario!$L$5:$L$100,MATCH($C454,Inventario!$B$5:$B$100,0))&lt;0,"Stock negativo: revisa","OK"),"No está en Inventario"))</f>
        <v/>
      </c>
    </row>
    <row r="455" customFormat="false" ht="15" hidden="false" customHeight="false" outlineLevel="0" collapsed="false">
      <c r="A455" s="1"/>
      <c r="B455" s="37"/>
      <c r="C455" s="13"/>
      <c r="D455" s="21" t="str">
        <f aca="false">IF($C455="","",IFERROR(INDEX(Inventario!$D$5:$D$100,MATCH($C455,Inventario!$B$5:$B$100,0)),"No está en Inventario"))</f>
        <v/>
      </c>
      <c r="E455" s="21" t="str">
        <f aca="false">IF($C455="","",IFERROR(INDEX(Inventario!$E$5:$E$100,MATCH($C455,Inventario!$B$5:$B$100,0)),"No está en Inventario"))</f>
        <v/>
      </c>
      <c r="F455" s="16"/>
      <c r="G455" s="38" t="str">
        <f aca="false">IF($C455="","",IFERROR(INDEX(Inventario!$H$5:$H$100,MATCH($C455,Inventario!$B$5:$B$100,0)),"No está en Inventario"))</f>
        <v/>
      </c>
      <c r="H455" s="39"/>
      <c r="I455" s="40" t="str">
        <f aca="false">IF(OR($C455="",$F455=""),"",N($F455)*N($G455)*(1-N($H455)))</f>
        <v/>
      </c>
      <c r="J455" s="14"/>
      <c r="K455" s="13"/>
      <c r="L455" s="20" t="str">
        <f aca="false">IF($C455="","",IFERROR(IF(INDEX(Inventario!$L$5:$L$100,MATCH($C455,Inventario!$B$5:$B$100,0))&lt;0,"Stock negativo: revisa","OK"),"No está en Inventario"))</f>
        <v/>
      </c>
    </row>
    <row r="456" customFormat="false" ht="15" hidden="false" customHeight="false" outlineLevel="0" collapsed="false">
      <c r="A456" s="1"/>
      <c r="B456" s="41"/>
      <c r="C456" s="23"/>
      <c r="D456" s="31" t="str">
        <f aca="false">IF($C456="","",IFERROR(INDEX(Inventario!$D$5:$D$100,MATCH($C456,Inventario!$B$5:$B$100,0)),"No está en Inventario"))</f>
        <v/>
      </c>
      <c r="E456" s="31" t="str">
        <f aca="false">IF($C456="","",IFERROR(INDEX(Inventario!$E$5:$E$100,MATCH($C456,Inventario!$B$5:$B$100,0)),"No está en Inventario"))</f>
        <v/>
      </c>
      <c r="F456" s="26"/>
      <c r="G456" s="42" t="str">
        <f aca="false">IF($C456="","",IFERROR(INDEX(Inventario!$H$5:$H$100,MATCH($C456,Inventario!$B$5:$B$100,0)),"No está en Inventario"))</f>
        <v/>
      </c>
      <c r="H456" s="43"/>
      <c r="I456" s="44" t="str">
        <f aca="false">IF(OR($C456="",$F456=""),"",N($F456)*N($G456)*(1-N($H456)))</f>
        <v/>
      </c>
      <c r="J456" s="24"/>
      <c r="K456" s="23"/>
      <c r="L456" s="30" t="str">
        <f aca="false">IF($C456="","",IFERROR(IF(INDEX(Inventario!$L$5:$L$100,MATCH($C456,Inventario!$B$5:$B$100,0))&lt;0,"Stock negativo: revisa","OK"),"No está en Inventario"))</f>
        <v/>
      </c>
    </row>
    <row r="457" customFormat="false" ht="15" hidden="false" customHeight="false" outlineLevel="0" collapsed="false">
      <c r="A457" s="1"/>
      <c r="B457" s="37"/>
      <c r="C457" s="13"/>
      <c r="D457" s="21" t="str">
        <f aca="false">IF($C457="","",IFERROR(INDEX(Inventario!$D$5:$D$100,MATCH($C457,Inventario!$B$5:$B$100,0)),"No está en Inventario"))</f>
        <v/>
      </c>
      <c r="E457" s="21" t="str">
        <f aca="false">IF($C457="","",IFERROR(INDEX(Inventario!$E$5:$E$100,MATCH($C457,Inventario!$B$5:$B$100,0)),"No está en Inventario"))</f>
        <v/>
      </c>
      <c r="F457" s="16"/>
      <c r="G457" s="38" t="str">
        <f aca="false">IF($C457="","",IFERROR(INDEX(Inventario!$H$5:$H$100,MATCH($C457,Inventario!$B$5:$B$100,0)),"No está en Inventario"))</f>
        <v/>
      </c>
      <c r="H457" s="39"/>
      <c r="I457" s="40" t="str">
        <f aca="false">IF(OR($C457="",$F457=""),"",N($F457)*N($G457)*(1-N($H457)))</f>
        <v/>
      </c>
      <c r="J457" s="14"/>
      <c r="K457" s="13"/>
      <c r="L457" s="20" t="str">
        <f aca="false">IF($C457="","",IFERROR(IF(INDEX(Inventario!$L$5:$L$100,MATCH($C457,Inventario!$B$5:$B$100,0))&lt;0,"Stock negativo: revisa","OK"),"No está en Inventario"))</f>
        <v/>
      </c>
    </row>
    <row r="458" customFormat="false" ht="15" hidden="false" customHeight="false" outlineLevel="0" collapsed="false">
      <c r="A458" s="1"/>
      <c r="B458" s="41"/>
      <c r="C458" s="23"/>
      <c r="D458" s="31" t="str">
        <f aca="false">IF($C458="","",IFERROR(INDEX(Inventario!$D$5:$D$100,MATCH($C458,Inventario!$B$5:$B$100,0)),"No está en Inventario"))</f>
        <v/>
      </c>
      <c r="E458" s="31" t="str">
        <f aca="false">IF($C458="","",IFERROR(INDEX(Inventario!$E$5:$E$100,MATCH($C458,Inventario!$B$5:$B$100,0)),"No está en Inventario"))</f>
        <v/>
      </c>
      <c r="F458" s="26"/>
      <c r="G458" s="42" t="str">
        <f aca="false">IF($C458="","",IFERROR(INDEX(Inventario!$H$5:$H$100,MATCH($C458,Inventario!$B$5:$B$100,0)),"No está en Inventario"))</f>
        <v/>
      </c>
      <c r="H458" s="43"/>
      <c r="I458" s="44" t="str">
        <f aca="false">IF(OR($C458="",$F458=""),"",N($F458)*N($G458)*(1-N($H458)))</f>
        <v/>
      </c>
      <c r="J458" s="24"/>
      <c r="K458" s="23"/>
      <c r="L458" s="30" t="str">
        <f aca="false">IF($C458="","",IFERROR(IF(INDEX(Inventario!$L$5:$L$100,MATCH($C458,Inventario!$B$5:$B$100,0))&lt;0,"Stock negativo: revisa","OK"),"No está en Inventario"))</f>
        <v/>
      </c>
    </row>
    <row r="459" customFormat="false" ht="15" hidden="false" customHeight="false" outlineLevel="0" collapsed="false">
      <c r="A459" s="1"/>
      <c r="B459" s="37"/>
      <c r="C459" s="13"/>
      <c r="D459" s="21" t="str">
        <f aca="false">IF($C459="","",IFERROR(INDEX(Inventario!$D$5:$D$100,MATCH($C459,Inventario!$B$5:$B$100,0)),"No está en Inventario"))</f>
        <v/>
      </c>
      <c r="E459" s="21" t="str">
        <f aca="false">IF($C459="","",IFERROR(INDEX(Inventario!$E$5:$E$100,MATCH($C459,Inventario!$B$5:$B$100,0)),"No está en Inventario"))</f>
        <v/>
      </c>
      <c r="F459" s="16"/>
      <c r="G459" s="38" t="str">
        <f aca="false">IF($C459="","",IFERROR(INDEX(Inventario!$H$5:$H$100,MATCH($C459,Inventario!$B$5:$B$100,0)),"No está en Inventario"))</f>
        <v/>
      </c>
      <c r="H459" s="39"/>
      <c r="I459" s="40" t="str">
        <f aca="false">IF(OR($C459="",$F459=""),"",N($F459)*N($G459)*(1-N($H459)))</f>
        <v/>
      </c>
      <c r="J459" s="14"/>
      <c r="K459" s="13"/>
      <c r="L459" s="20" t="str">
        <f aca="false">IF($C459="","",IFERROR(IF(INDEX(Inventario!$L$5:$L$100,MATCH($C459,Inventario!$B$5:$B$100,0))&lt;0,"Stock negativo: revisa","OK"),"No está en Inventario"))</f>
        <v/>
      </c>
    </row>
    <row r="460" customFormat="false" ht="15" hidden="false" customHeight="false" outlineLevel="0" collapsed="false">
      <c r="A460" s="1"/>
      <c r="B460" s="41"/>
      <c r="C460" s="23"/>
      <c r="D460" s="31" t="str">
        <f aca="false">IF($C460="","",IFERROR(INDEX(Inventario!$D$5:$D$100,MATCH($C460,Inventario!$B$5:$B$100,0)),"No está en Inventario"))</f>
        <v/>
      </c>
      <c r="E460" s="31" t="str">
        <f aca="false">IF($C460="","",IFERROR(INDEX(Inventario!$E$5:$E$100,MATCH($C460,Inventario!$B$5:$B$100,0)),"No está en Inventario"))</f>
        <v/>
      </c>
      <c r="F460" s="26"/>
      <c r="G460" s="42" t="str">
        <f aca="false">IF($C460="","",IFERROR(INDEX(Inventario!$H$5:$H$100,MATCH($C460,Inventario!$B$5:$B$100,0)),"No está en Inventario"))</f>
        <v/>
      </c>
      <c r="H460" s="43"/>
      <c r="I460" s="44" t="str">
        <f aca="false">IF(OR($C460="",$F460=""),"",N($F460)*N($G460)*(1-N($H460)))</f>
        <v/>
      </c>
      <c r="J460" s="24"/>
      <c r="K460" s="23"/>
      <c r="L460" s="30" t="str">
        <f aca="false">IF($C460="","",IFERROR(IF(INDEX(Inventario!$L$5:$L$100,MATCH($C460,Inventario!$B$5:$B$100,0))&lt;0,"Stock negativo: revisa","OK"),"No está en Inventario"))</f>
        <v/>
      </c>
    </row>
    <row r="461" customFormat="false" ht="15" hidden="false" customHeight="false" outlineLevel="0" collapsed="false">
      <c r="A461" s="1"/>
      <c r="B461" s="37"/>
      <c r="C461" s="13"/>
      <c r="D461" s="21" t="str">
        <f aca="false">IF($C461="","",IFERROR(INDEX(Inventario!$D$5:$D$100,MATCH($C461,Inventario!$B$5:$B$100,0)),"No está en Inventario"))</f>
        <v/>
      </c>
      <c r="E461" s="21" t="str">
        <f aca="false">IF($C461="","",IFERROR(INDEX(Inventario!$E$5:$E$100,MATCH($C461,Inventario!$B$5:$B$100,0)),"No está en Inventario"))</f>
        <v/>
      </c>
      <c r="F461" s="16"/>
      <c r="G461" s="38" t="str">
        <f aca="false">IF($C461="","",IFERROR(INDEX(Inventario!$H$5:$H$100,MATCH($C461,Inventario!$B$5:$B$100,0)),"No está en Inventario"))</f>
        <v/>
      </c>
      <c r="H461" s="39"/>
      <c r="I461" s="40" t="str">
        <f aca="false">IF(OR($C461="",$F461=""),"",N($F461)*N($G461)*(1-N($H461)))</f>
        <v/>
      </c>
      <c r="J461" s="14"/>
      <c r="K461" s="13"/>
      <c r="L461" s="20" t="str">
        <f aca="false">IF($C461="","",IFERROR(IF(INDEX(Inventario!$L$5:$L$100,MATCH($C461,Inventario!$B$5:$B$100,0))&lt;0,"Stock negativo: revisa","OK"),"No está en Inventario"))</f>
        <v/>
      </c>
    </row>
    <row r="462" customFormat="false" ht="15" hidden="false" customHeight="false" outlineLevel="0" collapsed="false">
      <c r="A462" s="1"/>
      <c r="B462" s="41"/>
      <c r="C462" s="23"/>
      <c r="D462" s="31" t="str">
        <f aca="false">IF($C462="","",IFERROR(INDEX(Inventario!$D$5:$D$100,MATCH($C462,Inventario!$B$5:$B$100,0)),"No está en Inventario"))</f>
        <v/>
      </c>
      <c r="E462" s="31" t="str">
        <f aca="false">IF($C462="","",IFERROR(INDEX(Inventario!$E$5:$E$100,MATCH($C462,Inventario!$B$5:$B$100,0)),"No está en Inventario"))</f>
        <v/>
      </c>
      <c r="F462" s="26"/>
      <c r="G462" s="42" t="str">
        <f aca="false">IF($C462="","",IFERROR(INDEX(Inventario!$H$5:$H$100,MATCH($C462,Inventario!$B$5:$B$100,0)),"No está en Inventario"))</f>
        <v/>
      </c>
      <c r="H462" s="43"/>
      <c r="I462" s="44" t="str">
        <f aca="false">IF(OR($C462="",$F462=""),"",N($F462)*N($G462)*(1-N($H462)))</f>
        <v/>
      </c>
      <c r="J462" s="24"/>
      <c r="K462" s="23"/>
      <c r="L462" s="30" t="str">
        <f aca="false">IF($C462="","",IFERROR(IF(INDEX(Inventario!$L$5:$L$100,MATCH($C462,Inventario!$B$5:$B$100,0))&lt;0,"Stock negativo: revisa","OK"),"No está en Inventario"))</f>
        <v/>
      </c>
    </row>
    <row r="463" customFormat="false" ht="15" hidden="false" customHeight="false" outlineLevel="0" collapsed="false">
      <c r="A463" s="1"/>
      <c r="B463" s="37"/>
      <c r="C463" s="13"/>
      <c r="D463" s="21" t="str">
        <f aca="false">IF($C463="","",IFERROR(INDEX(Inventario!$D$5:$D$100,MATCH($C463,Inventario!$B$5:$B$100,0)),"No está en Inventario"))</f>
        <v/>
      </c>
      <c r="E463" s="21" t="str">
        <f aca="false">IF($C463="","",IFERROR(INDEX(Inventario!$E$5:$E$100,MATCH($C463,Inventario!$B$5:$B$100,0)),"No está en Inventario"))</f>
        <v/>
      </c>
      <c r="F463" s="16"/>
      <c r="G463" s="38" t="str">
        <f aca="false">IF($C463="","",IFERROR(INDEX(Inventario!$H$5:$H$100,MATCH($C463,Inventario!$B$5:$B$100,0)),"No está en Inventario"))</f>
        <v/>
      </c>
      <c r="H463" s="39"/>
      <c r="I463" s="40" t="str">
        <f aca="false">IF(OR($C463="",$F463=""),"",N($F463)*N($G463)*(1-N($H463)))</f>
        <v/>
      </c>
      <c r="J463" s="14"/>
      <c r="K463" s="13"/>
      <c r="L463" s="20" t="str">
        <f aca="false">IF($C463="","",IFERROR(IF(INDEX(Inventario!$L$5:$L$100,MATCH($C463,Inventario!$B$5:$B$100,0))&lt;0,"Stock negativo: revisa","OK"),"No está en Inventario"))</f>
        <v/>
      </c>
    </row>
    <row r="464" customFormat="false" ht="15" hidden="false" customHeight="false" outlineLevel="0" collapsed="false">
      <c r="A464" s="1"/>
      <c r="B464" s="41"/>
      <c r="C464" s="23"/>
      <c r="D464" s="31" t="str">
        <f aca="false">IF($C464="","",IFERROR(INDEX(Inventario!$D$5:$D$100,MATCH($C464,Inventario!$B$5:$B$100,0)),"No está en Inventario"))</f>
        <v/>
      </c>
      <c r="E464" s="31" t="str">
        <f aca="false">IF($C464="","",IFERROR(INDEX(Inventario!$E$5:$E$100,MATCH($C464,Inventario!$B$5:$B$100,0)),"No está en Inventario"))</f>
        <v/>
      </c>
      <c r="F464" s="26"/>
      <c r="G464" s="42" t="str">
        <f aca="false">IF($C464="","",IFERROR(INDEX(Inventario!$H$5:$H$100,MATCH($C464,Inventario!$B$5:$B$100,0)),"No está en Inventario"))</f>
        <v/>
      </c>
      <c r="H464" s="43"/>
      <c r="I464" s="44" t="str">
        <f aca="false">IF(OR($C464="",$F464=""),"",N($F464)*N($G464)*(1-N($H464)))</f>
        <v/>
      </c>
      <c r="J464" s="24"/>
      <c r="K464" s="23"/>
      <c r="L464" s="30" t="str">
        <f aca="false">IF($C464="","",IFERROR(IF(INDEX(Inventario!$L$5:$L$100,MATCH($C464,Inventario!$B$5:$B$100,0))&lt;0,"Stock negativo: revisa","OK"),"No está en Inventario"))</f>
        <v/>
      </c>
    </row>
    <row r="465" customFormat="false" ht="15" hidden="false" customHeight="false" outlineLevel="0" collapsed="false">
      <c r="A465" s="1"/>
      <c r="B465" s="37"/>
      <c r="C465" s="13"/>
      <c r="D465" s="21" t="str">
        <f aca="false">IF($C465="","",IFERROR(INDEX(Inventario!$D$5:$D$100,MATCH($C465,Inventario!$B$5:$B$100,0)),"No está en Inventario"))</f>
        <v/>
      </c>
      <c r="E465" s="21" t="str">
        <f aca="false">IF($C465="","",IFERROR(INDEX(Inventario!$E$5:$E$100,MATCH($C465,Inventario!$B$5:$B$100,0)),"No está en Inventario"))</f>
        <v/>
      </c>
      <c r="F465" s="16"/>
      <c r="G465" s="38" t="str">
        <f aca="false">IF($C465="","",IFERROR(INDEX(Inventario!$H$5:$H$100,MATCH($C465,Inventario!$B$5:$B$100,0)),"No está en Inventario"))</f>
        <v/>
      </c>
      <c r="H465" s="39"/>
      <c r="I465" s="40" t="str">
        <f aca="false">IF(OR($C465="",$F465=""),"",N($F465)*N($G465)*(1-N($H465)))</f>
        <v/>
      </c>
      <c r="J465" s="14"/>
      <c r="K465" s="13"/>
      <c r="L465" s="20" t="str">
        <f aca="false">IF($C465="","",IFERROR(IF(INDEX(Inventario!$L$5:$L$100,MATCH($C465,Inventario!$B$5:$B$100,0))&lt;0,"Stock negativo: revisa","OK"),"No está en Inventario"))</f>
        <v/>
      </c>
    </row>
    <row r="466" customFormat="false" ht="15" hidden="false" customHeight="false" outlineLevel="0" collapsed="false">
      <c r="A466" s="1"/>
      <c r="B466" s="41"/>
      <c r="C466" s="23"/>
      <c r="D466" s="31" t="str">
        <f aca="false">IF($C466="","",IFERROR(INDEX(Inventario!$D$5:$D$100,MATCH($C466,Inventario!$B$5:$B$100,0)),"No está en Inventario"))</f>
        <v/>
      </c>
      <c r="E466" s="31" t="str">
        <f aca="false">IF($C466="","",IFERROR(INDEX(Inventario!$E$5:$E$100,MATCH($C466,Inventario!$B$5:$B$100,0)),"No está en Inventario"))</f>
        <v/>
      </c>
      <c r="F466" s="26"/>
      <c r="G466" s="42" t="str">
        <f aca="false">IF($C466="","",IFERROR(INDEX(Inventario!$H$5:$H$100,MATCH($C466,Inventario!$B$5:$B$100,0)),"No está en Inventario"))</f>
        <v/>
      </c>
      <c r="H466" s="43"/>
      <c r="I466" s="44" t="str">
        <f aca="false">IF(OR($C466="",$F466=""),"",N($F466)*N($G466)*(1-N($H466)))</f>
        <v/>
      </c>
      <c r="J466" s="24"/>
      <c r="K466" s="23"/>
      <c r="L466" s="30" t="str">
        <f aca="false">IF($C466="","",IFERROR(IF(INDEX(Inventario!$L$5:$L$100,MATCH($C466,Inventario!$B$5:$B$100,0))&lt;0,"Stock negativo: revisa","OK"),"No está en Inventario"))</f>
        <v/>
      </c>
    </row>
    <row r="467" customFormat="false" ht="15" hidden="false" customHeight="false" outlineLevel="0" collapsed="false">
      <c r="A467" s="1"/>
      <c r="B467" s="37"/>
      <c r="C467" s="13"/>
      <c r="D467" s="21" t="str">
        <f aca="false">IF($C467="","",IFERROR(INDEX(Inventario!$D$5:$D$100,MATCH($C467,Inventario!$B$5:$B$100,0)),"No está en Inventario"))</f>
        <v/>
      </c>
      <c r="E467" s="21" t="str">
        <f aca="false">IF($C467="","",IFERROR(INDEX(Inventario!$E$5:$E$100,MATCH($C467,Inventario!$B$5:$B$100,0)),"No está en Inventario"))</f>
        <v/>
      </c>
      <c r="F467" s="16"/>
      <c r="G467" s="38" t="str">
        <f aca="false">IF($C467="","",IFERROR(INDEX(Inventario!$H$5:$H$100,MATCH($C467,Inventario!$B$5:$B$100,0)),"No está en Inventario"))</f>
        <v/>
      </c>
      <c r="H467" s="39"/>
      <c r="I467" s="40" t="str">
        <f aca="false">IF(OR($C467="",$F467=""),"",N($F467)*N($G467)*(1-N($H467)))</f>
        <v/>
      </c>
      <c r="J467" s="14"/>
      <c r="K467" s="13"/>
      <c r="L467" s="20" t="str">
        <f aca="false">IF($C467="","",IFERROR(IF(INDEX(Inventario!$L$5:$L$100,MATCH($C467,Inventario!$B$5:$B$100,0))&lt;0,"Stock negativo: revisa","OK"),"No está en Inventario"))</f>
        <v/>
      </c>
    </row>
    <row r="468" customFormat="false" ht="15" hidden="false" customHeight="false" outlineLevel="0" collapsed="false">
      <c r="A468" s="1"/>
      <c r="B468" s="41"/>
      <c r="C468" s="23"/>
      <c r="D468" s="31" t="str">
        <f aca="false">IF($C468="","",IFERROR(INDEX(Inventario!$D$5:$D$100,MATCH($C468,Inventario!$B$5:$B$100,0)),"No está en Inventario"))</f>
        <v/>
      </c>
      <c r="E468" s="31" t="str">
        <f aca="false">IF($C468="","",IFERROR(INDEX(Inventario!$E$5:$E$100,MATCH($C468,Inventario!$B$5:$B$100,0)),"No está en Inventario"))</f>
        <v/>
      </c>
      <c r="F468" s="26"/>
      <c r="G468" s="42" t="str">
        <f aca="false">IF($C468="","",IFERROR(INDEX(Inventario!$H$5:$H$100,MATCH($C468,Inventario!$B$5:$B$100,0)),"No está en Inventario"))</f>
        <v/>
      </c>
      <c r="H468" s="43"/>
      <c r="I468" s="44" t="str">
        <f aca="false">IF(OR($C468="",$F468=""),"",N($F468)*N($G468)*(1-N($H468)))</f>
        <v/>
      </c>
      <c r="J468" s="24"/>
      <c r="K468" s="23"/>
      <c r="L468" s="30" t="str">
        <f aca="false">IF($C468="","",IFERROR(IF(INDEX(Inventario!$L$5:$L$100,MATCH($C468,Inventario!$B$5:$B$100,0))&lt;0,"Stock negativo: revisa","OK"),"No está en Inventario"))</f>
        <v/>
      </c>
    </row>
    <row r="469" customFormat="false" ht="15" hidden="false" customHeight="false" outlineLevel="0" collapsed="false">
      <c r="A469" s="1"/>
      <c r="B469" s="37"/>
      <c r="C469" s="13"/>
      <c r="D469" s="21" t="str">
        <f aca="false">IF($C469="","",IFERROR(INDEX(Inventario!$D$5:$D$100,MATCH($C469,Inventario!$B$5:$B$100,0)),"No está en Inventario"))</f>
        <v/>
      </c>
      <c r="E469" s="21" t="str">
        <f aca="false">IF($C469="","",IFERROR(INDEX(Inventario!$E$5:$E$100,MATCH($C469,Inventario!$B$5:$B$100,0)),"No está en Inventario"))</f>
        <v/>
      </c>
      <c r="F469" s="16"/>
      <c r="G469" s="38" t="str">
        <f aca="false">IF($C469="","",IFERROR(INDEX(Inventario!$H$5:$H$100,MATCH($C469,Inventario!$B$5:$B$100,0)),"No está en Inventario"))</f>
        <v/>
      </c>
      <c r="H469" s="39"/>
      <c r="I469" s="40" t="str">
        <f aca="false">IF(OR($C469="",$F469=""),"",N($F469)*N($G469)*(1-N($H469)))</f>
        <v/>
      </c>
      <c r="J469" s="14"/>
      <c r="K469" s="13"/>
      <c r="L469" s="20" t="str">
        <f aca="false">IF($C469="","",IFERROR(IF(INDEX(Inventario!$L$5:$L$100,MATCH($C469,Inventario!$B$5:$B$100,0))&lt;0,"Stock negativo: revisa","OK"),"No está en Inventario"))</f>
        <v/>
      </c>
    </row>
    <row r="470" customFormat="false" ht="15" hidden="false" customHeight="false" outlineLevel="0" collapsed="false">
      <c r="A470" s="1"/>
      <c r="B470" s="41"/>
      <c r="C470" s="23"/>
      <c r="D470" s="31" t="str">
        <f aca="false">IF($C470="","",IFERROR(INDEX(Inventario!$D$5:$D$100,MATCH($C470,Inventario!$B$5:$B$100,0)),"No está en Inventario"))</f>
        <v/>
      </c>
      <c r="E470" s="31" t="str">
        <f aca="false">IF($C470="","",IFERROR(INDEX(Inventario!$E$5:$E$100,MATCH($C470,Inventario!$B$5:$B$100,0)),"No está en Inventario"))</f>
        <v/>
      </c>
      <c r="F470" s="26"/>
      <c r="G470" s="42" t="str">
        <f aca="false">IF($C470="","",IFERROR(INDEX(Inventario!$H$5:$H$100,MATCH($C470,Inventario!$B$5:$B$100,0)),"No está en Inventario"))</f>
        <v/>
      </c>
      <c r="H470" s="43"/>
      <c r="I470" s="44" t="str">
        <f aca="false">IF(OR($C470="",$F470=""),"",N($F470)*N($G470)*(1-N($H470)))</f>
        <v/>
      </c>
      <c r="J470" s="24"/>
      <c r="K470" s="23"/>
      <c r="L470" s="30" t="str">
        <f aca="false">IF($C470="","",IFERROR(IF(INDEX(Inventario!$L$5:$L$100,MATCH($C470,Inventario!$B$5:$B$100,0))&lt;0,"Stock negativo: revisa","OK"),"No está en Inventario"))</f>
        <v/>
      </c>
    </row>
    <row r="471" customFormat="false" ht="15" hidden="false" customHeight="false" outlineLevel="0" collapsed="false">
      <c r="A471" s="1"/>
      <c r="B471" s="37"/>
      <c r="C471" s="13"/>
      <c r="D471" s="21" t="str">
        <f aca="false">IF($C471="","",IFERROR(INDEX(Inventario!$D$5:$D$100,MATCH($C471,Inventario!$B$5:$B$100,0)),"No está en Inventario"))</f>
        <v/>
      </c>
      <c r="E471" s="21" t="str">
        <f aca="false">IF($C471="","",IFERROR(INDEX(Inventario!$E$5:$E$100,MATCH($C471,Inventario!$B$5:$B$100,0)),"No está en Inventario"))</f>
        <v/>
      </c>
      <c r="F471" s="16"/>
      <c r="G471" s="38" t="str">
        <f aca="false">IF($C471="","",IFERROR(INDEX(Inventario!$H$5:$H$100,MATCH($C471,Inventario!$B$5:$B$100,0)),"No está en Inventario"))</f>
        <v/>
      </c>
      <c r="H471" s="39"/>
      <c r="I471" s="40" t="str">
        <f aca="false">IF(OR($C471="",$F471=""),"",N($F471)*N($G471)*(1-N($H471)))</f>
        <v/>
      </c>
      <c r="J471" s="14"/>
      <c r="K471" s="13"/>
      <c r="L471" s="20" t="str">
        <f aca="false">IF($C471="","",IFERROR(IF(INDEX(Inventario!$L$5:$L$100,MATCH($C471,Inventario!$B$5:$B$100,0))&lt;0,"Stock negativo: revisa","OK"),"No está en Inventario"))</f>
        <v/>
      </c>
    </row>
    <row r="472" customFormat="false" ht="15" hidden="false" customHeight="false" outlineLevel="0" collapsed="false">
      <c r="A472" s="1"/>
      <c r="B472" s="41"/>
      <c r="C472" s="23"/>
      <c r="D472" s="31" t="str">
        <f aca="false">IF($C472="","",IFERROR(INDEX(Inventario!$D$5:$D$100,MATCH($C472,Inventario!$B$5:$B$100,0)),"No está en Inventario"))</f>
        <v/>
      </c>
      <c r="E472" s="31" t="str">
        <f aca="false">IF($C472="","",IFERROR(INDEX(Inventario!$E$5:$E$100,MATCH($C472,Inventario!$B$5:$B$100,0)),"No está en Inventario"))</f>
        <v/>
      </c>
      <c r="F472" s="26"/>
      <c r="G472" s="42" t="str">
        <f aca="false">IF($C472="","",IFERROR(INDEX(Inventario!$H$5:$H$100,MATCH($C472,Inventario!$B$5:$B$100,0)),"No está en Inventario"))</f>
        <v/>
      </c>
      <c r="H472" s="43"/>
      <c r="I472" s="44" t="str">
        <f aca="false">IF(OR($C472="",$F472=""),"",N($F472)*N($G472)*(1-N($H472)))</f>
        <v/>
      </c>
      <c r="J472" s="24"/>
      <c r="K472" s="23"/>
      <c r="L472" s="30" t="str">
        <f aca="false">IF($C472="","",IFERROR(IF(INDEX(Inventario!$L$5:$L$100,MATCH($C472,Inventario!$B$5:$B$100,0))&lt;0,"Stock negativo: revisa","OK"),"No está en Inventario"))</f>
        <v/>
      </c>
    </row>
    <row r="473" customFormat="false" ht="15" hidden="false" customHeight="false" outlineLevel="0" collapsed="false">
      <c r="A473" s="1"/>
      <c r="B473" s="37"/>
      <c r="C473" s="13"/>
      <c r="D473" s="21" t="str">
        <f aca="false">IF($C473="","",IFERROR(INDEX(Inventario!$D$5:$D$100,MATCH($C473,Inventario!$B$5:$B$100,0)),"No está en Inventario"))</f>
        <v/>
      </c>
      <c r="E473" s="21" t="str">
        <f aca="false">IF($C473="","",IFERROR(INDEX(Inventario!$E$5:$E$100,MATCH($C473,Inventario!$B$5:$B$100,0)),"No está en Inventario"))</f>
        <v/>
      </c>
      <c r="F473" s="16"/>
      <c r="G473" s="38" t="str">
        <f aca="false">IF($C473="","",IFERROR(INDEX(Inventario!$H$5:$H$100,MATCH($C473,Inventario!$B$5:$B$100,0)),"No está en Inventario"))</f>
        <v/>
      </c>
      <c r="H473" s="39"/>
      <c r="I473" s="40" t="str">
        <f aca="false">IF(OR($C473="",$F473=""),"",N($F473)*N($G473)*(1-N($H473)))</f>
        <v/>
      </c>
      <c r="J473" s="14"/>
      <c r="K473" s="13"/>
      <c r="L473" s="20" t="str">
        <f aca="false">IF($C473="","",IFERROR(IF(INDEX(Inventario!$L$5:$L$100,MATCH($C473,Inventario!$B$5:$B$100,0))&lt;0,"Stock negativo: revisa","OK"),"No está en Inventario"))</f>
        <v/>
      </c>
    </row>
    <row r="474" customFormat="false" ht="15" hidden="false" customHeight="false" outlineLevel="0" collapsed="false">
      <c r="A474" s="1"/>
      <c r="B474" s="41"/>
      <c r="C474" s="23"/>
      <c r="D474" s="31" t="str">
        <f aca="false">IF($C474="","",IFERROR(INDEX(Inventario!$D$5:$D$100,MATCH($C474,Inventario!$B$5:$B$100,0)),"No está en Inventario"))</f>
        <v/>
      </c>
      <c r="E474" s="31" t="str">
        <f aca="false">IF($C474="","",IFERROR(INDEX(Inventario!$E$5:$E$100,MATCH($C474,Inventario!$B$5:$B$100,0)),"No está en Inventario"))</f>
        <v/>
      </c>
      <c r="F474" s="26"/>
      <c r="G474" s="42" t="str">
        <f aca="false">IF($C474="","",IFERROR(INDEX(Inventario!$H$5:$H$100,MATCH($C474,Inventario!$B$5:$B$100,0)),"No está en Inventario"))</f>
        <v/>
      </c>
      <c r="H474" s="43"/>
      <c r="I474" s="44" t="str">
        <f aca="false">IF(OR($C474="",$F474=""),"",N($F474)*N($G474)*(1-N($H474)))</f>
        <v/>
      </c>
      <c r="J474" s="24"/>
      <c r="K474" s="23"/>
      <c r="L474" s="30" t="str">
        <f aca="false">IF($C474="","",IFERROR(IF(INDEX(Inventario!$L$5:$L$100,MATCH($C474,Inventario!$B$5:$B$100,0))&lt;0,"Stock negativo: revisa","OK"),"No está en Inventario"))</f>
        <v/>
      </c>
    </row>
    <row r="475" customFormat="false" ht="15" hidden="false" customHeight="false" outlineLevel="0" collapsed="false">
      <c r="A475" s="1"/>
      <c r="B475" s="37"/>
      <c r="C475" s="13"/>
      <c r="D475" s="21" t="str">
        <f aca="false">IF($C475="","",IFERROR(INDEX(Inventario!$D$5:$D$100,MATCH($C475,Inventario!$B$5:$B$100,0)),"No está en Inventario"))</f>
        <v/>
      </c>
      <c r="E475" s="21" t="str">
        <f aca="false">IF($C475="","",IFERROR(INDEX(Inventario!$E$5:$E$100,MATCH($C475,Inventario!$B$5:$B$100,0)),"No está en Inventario"))</f>
        <v/>
      </c>
      <c r="F475" s="16"/>
      <c r="G475" s="38" t="str">
        <f aca="false">IF($C475="","",IFERROR(INDEX(Inventario!$H$5:$H$100,MATCH($C475,Inventario!$B$5:$B$100,0)),"No está en Inventario"))</f>
        <v/>
      </c>
      <c r="H475" s="39"/>
      <c r="I475" s="40" t="str">
        <f aca="false">IF(OR($C475="",$F475=""),"",N($F475)*N($G475)*(1-N($H475)))</f>
        <v/>
      </c>
      <c r="J475" s="14"/>
      <c r="K475" s="13"/>
      <c r="L475" s="20" t="str">
        <f aca="false">IF($C475="","",IFERROR(IF(INDEX(Inventario!$L$5:$L$100,MATCH($C475,Inventario!$B$5:$B$100,0))&lt;0,"Stock negativo: revisa","OK"),"No está en Inventario"))</f>
        <v/>
      </c>
    </row>
    <row r="476" customFormat="false" ht="15" hidden="false" customHeight="false" outlineLevel="0" collapsed="false">
      <c r="A476" s="1"/>
      <c r="B476" s="41"/>
      <c r="C476" s="23"/>
      <c r="D476" s="31" t="str">
        <f aca="false">IF($C476="","",IFERROR(INDEX(Inventario!$D$5:$D$100,MATCH($C476,Inventario!$B$5:$B$100,0)),"No está en Inventario"))</f>
        <v/>
      </c>
      <c r="E476" s="31" t="str">
        <f aca="false">IF($C476="","",IFERROR(INDEX(Inventario!$E$5:$E$100,MATCH($C476,Inventario!$B$5:$B$100,0)),"No está en Inventario"))</f>
        <v/>
      </c>
      <c r="F476" s="26"/>
      <c r="G476" s="42" t="str">
        <f aca="false">IF($C476="","",IFERROR(INDEX(Inventario!$H$5:$H$100,MATCH($C476,Inventario!$B$5:$B$100,0)),"No está en Inventario"))</f>
        <v/>
      </c>
      <c r="H476" s="43"/>
      <c r="I476" s="44" t="str">
        <f aca="false">IF(OR($C476="",$F476=""),"",N($F476)*N($G476)*(1-N($H476)))</f>
        <v/>
      </c>
      <c r="J476" s="24"/>
      <c r="K476" s="23"/>
      <c r="L476" s="30" t="str">
        <f aca="false">IF($C476="","",IFERROR(IF(INDEX(Inventario!$L$5:$L$100,MATCH($C476,Inventario!$B$5:$B$100,0))&lt;0,"Stock negativo: revisa","OK"),"No está en Inventario"))</f>
        <v/>
      </c>
    </row>
    <row r="477" customFormat="false" ht="15" hidden="false" customHeight="false" outlineLevel="0" collapsed="false">
      <c r="A477" s="1"/>
      <c r="B477" s="37"/>
      <c r="C477" s="13"/>
      <c r="D477" s="21" t="str">
        <f aca="false">IF($C477="","",IFERROR(INDEX(Inventario!$D$5:$D$100,MATCH($C477,Inventario!$B$5:$B$100,0)),"No está en Inventario"))</f>
        <v/>
      </c>
      <c r="E477" s="21" t="str">
        <f aca="false">IF($C477="","",IFERROR(INDEX(Inventario!$E$5:$E$100,MATCH($C477,Inventario!$B$5:$B$100,0)),"No está en Inventario"))</f>
        <v/>
      </c>
      <c r="F477" s="16"/>
      <c r="G477" s="38" t="str">
        <f aca="false">IF($C477="","",IFERROR(INDEX(Inventario!$H$5:$H$100,MATCH($C477,Inventario!$B$5:$B$100,0)),"No está en Inventario"))</f>
        <v/>
      </c>
      <c r="H477" s="39"/>
      <c r="I477" s="40" t="str">
        <f aca="false">IF(OR($C477="",$F477=""),"",N($F477)*N($G477)*(1-N($H477)))</f>
        <v/>
      </c>
      <c r="J477" s="14"/>
      <c r="K477" s="13"/>
      <c r="L477" s="20" t="str">
        <f aca="false">IF($C477="","",IFERROR(IF(INDEX(Inventario!$L$5:$L$100,MATCH($C477,Inventario!$B$5:$B$100,0))&lt;0,"Stock negativo: revisa","OK"),"No está en Inventario"))</f>
        <v/>
      </c>
    </row>
    <row r="478" customFormat="false" ht="15" hidden="false" customHeight="false" outlineLevel="0" collapsed="false">
      <c r="A478" s="1"/>
      <c r="B478" s="41"/>
      <c r="C478" s="23"/>
      <c r="D478" s="31" t="str">
        <f aca="false">IF($C478="","",IFERROR(INDEX(Inventario!$D$5:$D$100,MATCH($C478,Inventario!$B$5:$B$100,0)),"No está en Inventario"))</f>
        <v/>
      </c>
      <c r="E478" s="31" t="str">
        <f aca="false">IF($C478="","",IFERROR(INDEX(Inventario!$E$5:$E$100,MATCH($C478,Inventario!$B$5:$B$100,0)),"No está en Inventario"))</f>
        <v/>
      </c>
      <c r="F478" s="26"/>
      <c r="G478" s="42" t="str">
        <f aca="false">IF($C478="","",IFERROR(INDEX(Inventario!$H$5:$H$100,MATCH($C478,Inventario!$B$5:$B$100,0)),"No está en Inventario"))</f>
        <v/>
      </c>
      <c r="H478" s="43"/>
      <c r="I478" s="44" t="str">
        <f aca="false">IF(OR($C478="",$F478=""),"",N($F478)*N($G478)*(1-N($H478)))</f>
        <v/>
      </c>
      <c r="J478" s="24"/>
      <c r="K478" s="23"/>
      <c r="L478" s="30" t="str">
        <f aca="false">IF($C478="","",IFERROR(IF(INDEX(Inventario!$L$5:$L$100,MATCH($C478,Inventario!$B$5:$B$100,0))&lt;0,"Stock negativo: revisa","OK"),"No está en Inventario"))</f>
        <v/>
      </c>
    </row>
    <row r="479" customFormat="false" ht="15" hidden="false" customHeight="false" outlineLevel="0" collapsed="false">
      <c r="A479" s="1"/>
      <c r="B479" s="37"/>
      <c r="C479" s="13"/>
      <c r="D479" s="21" t="str">
        <f aca="false">IF($C479="","",IFERROR(INDEX(Inventario!$D$5:$D$100,MATCH($C479,Inventario!$B$5:$B$100,0)),"No está en Inventario"))</f>
        <v/>
      </c>
      <c r="E479" s="21" t="str">
        <f aca="false">IF($C479="","",IFERROR(INDEX(Inventario!$E$5:$E$100,MATCH($C479,Inventario!$B$5:$B$100,0)),"No está en Inventario"))</f>
        <v/>
      </c>
      <c r="F479" s="16"/>
      <c r="G479" s="38" t="str">
        <f aca="false">IF($C479="","",IFERROR(INDEX(Inventario!$H$5:$H$100,MATCH($C479,Inventario!$B$5:$B$100,0)),"No está en Inventario"))</f>
        <v/>
      </c>
      <c r="H479" s="39"/>
      <c r="I479" s="40" t="str">
        <f aca="false">IF(OR($C479="",$F479=""),"",N($F479)*N($G479)*(1-N($H479)))</f>
        <v/>
      </c>
      <c r="J479" s="14"/>
      <c r="K479" s="13"/>
      <c r="L479" s="20" t="str">
        <f aca="false">IF($C479="","",IFERROR(IF(INDEX(Inventario!$L$5:$L$100,MATCH($C479,Inventario!$B$5:$B$100,0))&lt;0,"Stock negativo: revisa","OK"),"No está en Inventario"))</f>
        <v/>
      </c>
    </row>
    <row r="480" customFormat="false" ht="15" hidden="false" customHeight="false" outlineLevel="0" collapsed="false">
      <c r="A480" s="1"/>
      <c r="B480" s="41"/>
      <c r="C480" s="23"/>
      <c r="D480" s="31" t="str">
        <f aca="false">IF($C480="","",IFERROR(INDEX(Inventario!$D$5:$D$100,MATCH($C480,Inventario!$B$5:$B$100,0)),"No está en Inventario"))</f>
        <v/>
      </c>
      <c r="E480" s="31" t="str">
        <f aca="false">IF($C480="","",IFERROR(INDEX(Inventario!$E$5:$E$100,MATCH($C480,Inventario!$B$5:$B$100,0)),"No está en Inventario"))</f>
        <v/>
      </c>
      <c r="F480" s="26"/>
      <c r="G480" s="42" t="str">
        <f aca="false">IF($C480="","",IFERROR(INDEX(Inventario!$H$5:$H$100,MATCH($C480,Inventario!$B$5:$B$100,0)),"No está en Inventario"))</f>
        <v/>
      </c>
      <c r="H480" s="43"/>
      <c r="I480" s="44" t="str">
        <f aca="false">IF(OR($C480="",$F480=""),"",N($F480)*N($G480)*(1-N($H480)))</f>
        <v/>
      </c>
      <c r="J480" s="24"/>
      <c r="K480" s="23"/>
      <c r="L480" s="30" t="str">
        <f aca="false">IF($C480="","",IFERROR(IF(INDEX(Inventario!$L$5:$L$100,MATCH($C480,Inventario!$B$5:$B$100,0))&lt;0,"Stock negativo: revisa","OK"),"No está en Inventario"))</f>
        <v/>
      </c>
    </row>
    <row r="481" customFormat="false" ht="15" hidden="false" customHeight="false" outlineLevel="0" collapsed="false">
      <c r="A481" s="1"/>
      <c r="B481" s="37"/>
      <c r="C481" s="13"/>
      <c r="D481" s="21" t="str">
        <f aca="false">IF($C481="","",IFERROR(INDEX(Inventario!$D$5:$D$100,MATCH($C481,Inventario!$B$5:$B$100,0)),"No está en Inventario"))</f>
        <v/>
      </c>
      <c r="E481" s="21" t="str">
        <f aca="false">IF($C481="","",IFERROR(INDEX(Inventario!$E$5:$E$100,MATCH($C481,Inventario!$B$5:$B$100,0)),"No está en Inventario"))</f>
        <v/>
      </c>
      <c r="F481" s="16"/>
      <c r="G481" s="38" t="str">
        <f aca="false">IF($C481="","",IFERROR(INDEX(Inventario!$H$5:$H$100,MATCH($C481,Inventario!$B$5:$B$100,0)),"No está en Inventario"))</f>
        <v/>
      </c>
      <c r="H481" s="39"/>
      <c r="I481" s="40" t="str">
        <f aca="false">IF(OR($C481="",$F481=""),"",N($F481)*N($G481)*(1-N($H481)))</f>
        <v/>
      </c>
      <c r="J481" s="14"/>
      <c r="K481" s="13"/>
      <c r="L481" s="20" t="str">
        <f aca="false">IF($C481="","",IFERROR(IF(INDEX(Inventario!$L$5:$L$100,MATCH($C481,Inventario!$B$5:$B$100,0))&lt;0,"Stock negativo: revisa","OK"),"No está en Inventario"))</f>
        <v/>
      </c>
    </row>
    <row r="482" customFormat="false" ht="15" hidden="false" customHeight="false" outlineLevel="0" collapsed="false">
      <c r="A482" s="1"/>
      <c r="B482" s="41"/>
      <c r="C482" s="23"/>
      <c r="D482" s="31" t="str">
        <f aca="false">IF($C482="","",IFERROR(INDEX(Inventario!$D$5:$D$100,MATCH($C482,Inventario!$B$5:$B$100,0)),"No está en Inventario"))</f>
        <v/>
      </c>
      <c r="E482" s="31" t="str">
        <f aca="false">IF($C482="","",IFERROR(INDEX(Inventario!$E$5:$E$100,MATCH($C482,Inventario!$B$5:$B$100,0)),"No está en Inventario"))</f>
        <v/>
      </c>
      <c r="F482" s="26"/>
      <c r="G482" s="42" t="str">
        <f aca="false">IF($C482="","",IFERROR(INDEX(Inventario!$H$5:$H$100,MATCH($C482,Inventario!$B$5:$B$100,0)),"No está en Inventario"))</f>
        <v/>
      </c>
      <c r="H482" s="43"/>
      <c r="I482" s="44" t="str">
        <f aca="false">IF(OR($C482="",$F482=""),"",N($F482)*N($G482)*(1-N($H482)))</f>
        <v/>
      </c>
      <c r="J482" s="24"/>
      <c r="K482" s="23"/>
      <c r="L482" s="30" t="str">
        <f aca="false">IF($C482="","",IFERROR(IF(INDEX(Inventario!$L$5:$L$100,MATCH($C482,Inventario!$B$5:$B$100,0))&lt;0,"Stock negativo: revisa","OK"),"No está en Inventario"))</f>
        <v/>
      </c>
    </row>
    <row r="483" customFormat="false" ht="15" hidden="false" customHeight="false" outlineLevel="0" collapsed="false">
      <c r="A483" s="1"/>
      <c r="B483" s="37"/>
      <c r="C483" s="13"/>
      <c r="D483" s="21" t="str">
        <f aca="false">IF($C483="","",IFERROR(INDEX(Inventario!$D$5:$D$100,MATCH($C483,Inventario!$B$5:$B$100,0)),"No está en Inventario"))</f>
        <v/>
      </c>
      <c r="E483" s="21" t="str">
        <f aca="false">IF($C483="","",IFERROR(INDEX(Inventario!$E$5:$E$100,MATCH($C483,Inventario!$B$5:$B$100,0)),"No está en Inventario"))</f>
        <v/>
      </c>
      <c r="F483" s="16"/>
      <c r="G483" s="38" t="str">
        <f aca="false">IF($C483="","",IFERROR(INDEX(Inventario!$H$5:$H$100,MATCH($C483,Inventario!$B$5:$B$100,0)),"No está en Inventario"))</f>
        <v/>
      </c>
      <c r="H483" s="39"/>
      <c r="I483" s="40" t="str">
        <f aca="false">IF(OR($C483="",$F483=""),"",N($F483)*N($G483)*(1-N($H483)))</f>
        <v/>
      </c>
      <c r="J483" s="14"/>
      <c r="K483" s="13"/>
      <c r="L483" s="20" t="str">
        <f aca="false">IF($C483="","",IFERROR(IF(INDEX(Inventario!$L$5:$L$100,MATCH($C483,Inventario!$B$5:$B$100,0))&lt;0,"Stock negativo: revisa","OK"),"No está en Inventario"))</f>
        <v/>
      </c>
    </row>
    <row r="484" customFormat="false" ht="15" hidden="false" customHeight="false" outlineLevel="0" collapsed="false">
      <c r="A484" s="1"/>
      <c r="B484" s="41"/>
      <c r="C484" s="23"/>
      <c r="D484" s="31" t="str">
        <f aca="false">IF($C484="","",IFERROR(INDEX(Inventario!$D$5:$D$100,MATCH($C484,Inventario!$B$5:$B$100,0)),"No está en Inventario"))</f>
        <v/>
      </c>
      <c r="E484" s="31" t="str">
        <f aca="false">IF($C484="","",IFERROR(INDEX(Inventario!$E$5:$E$100,MATCH($C484,Inventario!$B$5:$B$100,0)),"No está en Inventario"))</f>
        <v/>
      </c>
      <c r="F484" s="26"/>
      <c r="G484" s="42" t="str">
        <f aca="false">IF($C484="","",IFERROR(INDEX(Inventario!$H$5:$H$100,MATCH($C484,Inventario!$B$5:$B$100,0)),"No está en Inventario"))</f>
        <v/>
      </c>
      <c r="H484" s="43"/>
      <c r="I484" s="44" t="str">
        <f aca="false">IF(OR($C484="",$F484=""),"",N($F484)*N($G484)*(1-N($H484)))</f>
        <v/>
      </c>
      <c r="J484" s="24"/>
      <c r="K484" s="23"/>
      <c r="L484" s="30" t="str">
        <f aca="false">IF($C484="","",IFERROR(IF(INDEX(Inventario!$L$5:$L$100,MATCH($C484,Inventario!$B$5:$B$100,0))&lt;0,"Stock negativo: revisa","OK"),"No está en Inventario"))</f>
        <v/>
      </c>
    </row>
    <row r="485" customFormat="false" ht="15" hidden="false" customHeight="false" outlineLevel="0" collapsed="false">
      <c r="A485" s="1"/>
      <c r="B485" s="37"/>
      <c r="C485" s="13"/>
      <c r="D485" s="21" t="str">
        <f aca="false">IF($C485="","",IFERROR(INDEX(Inventario!$D$5:$D$100,MATCH($C485,Inventario!$B$5:$B$100,0)),"No está en Inventario"))</f>
        <v/>
      </c>
      <c r="E485" s="21" t="str">
        <f aca="false">IF($C485="","",IFERROR(INDEX(Inventario!$E$5:$E$100,MATCH($C485,Inventario!$B$5:$B$100,0)),"No está en Inventario"))</f>
        <v/>
      </c>
      <c r="F485" s="16"/>
      <c r="G485" s="38" t="str">
        <f aca="false">IF($C485="","",IFERROR(INDEX(Inventario!$H$5:$H$100,MATCH($C485,Inventario!$B$5:$B$100,0)),"No está en Inventario"))</f>
        <v/>
      </c>
      <c r="H485" s="39"/>
      <c r="I485" s="40" t="str">
        <f aca="false">IF(OR($C485="",$F485=""),"",N($F485)*N($G485)*(1-N($H485)))</f>
        <v/>
      </c>
      <c r="J485" s="14"/>
      <c r="K485" s="13"/>
      <c r="L485" s="20" t="str">
        <f aca="false">IF($C485="","",IFERROR(IF(INDEX(Inventario!$L$5:$L$100,MATCH($C485,Inventario!$B$5:$B$100,0))&lt;0,"Stock negativo: revisa","OK"),"No está en Inventario"))</f>
        <v/>
      </c>
    </row>
    <row r="486" customFormat="false" ht="15" hidden="false" customHeight="false" outlineLevel="0" collapsed="false">
      <c r="A486" s="1"/>
      <c r="B486" s="41"/>
      <c r="C486" s="23"/>
      <c r="D486" s="31" t="str">
        <f aca="false">IF($C486="","",IFERROR(INDEX(Inventario!$D$5:$D$100,MATCH($C486,Inventario!$B$5:$B$100,0)),"No está en Inventario"))</f>
        <v/>
      </c>
      <c r="E486" s="31" t="str">
        <f aca="false">IF($C486="","",IFERROR(INDEX(Inventario!$E$5:$E$100,MATCH($C486,Inventario!$B$5:$B$100,0)),"No está en Inventario"))</f>
        <v/>
      </c>
      <c r="F486" s="26"/>
      <c r="G486" s="42" t="str">
        <f aca="false">IF($C486="","",IFERROR(INDEX(Inventario!$H$5:$H$100,MATCH($C486,Inventario!$B$5:$B$100,0)),"No está en Inventario"))</f>
        <v/>
      </c>
      <c r="H486" s="43"/>
      <c r="I486" s="44" t="str">
        <f aca="false">IF(OR($C486="",$F486=""),"",N($F486)*N($G486)*(1-N($H486)))</f>
        <v/>
      </c>
      <c r="J486" s="24"/>
      <c r="K486" s="23"/>
      <c r="L486" s="30" t="str">
        <f aca="false">IF($C486="","",IFERROR(IF(INDEX(Inventario!$L$5:$L$100,MATCH($C486,Inventario!$B$5:$B$100,0))&lt;0,"Stock negativo: revisa","OK"),"No está en Inventario"))</f>
        <v/>
      </c>
    </row>
    <row r="487" customFormat="false" ht="15" hidden="false" customHeight="false" outlineLevel="0" collapsed="false">
      <c r="A487" s="1"/>
      <c r="B487" s="37"/>
      <c r="C487" s="13"/>
      <c r="D487" s="21" t="str">
        <f aca="false">IF($C487="","",IFERROR(INDEX(Inventario!$D$5:$D$100,MATCH($C487,Inventario!$B$5:$B$100,0)),"No está en Inventario"))</f>
        <v/>
      </c>
      <c r="E487" s="21" t="str">
        <f aca="false">IF($C487="","",IFERROR(INDEX(Inventario!$E$5:$E$100,MATCH($C487,Inventario!$B$5:$B$100,0)),"No está en Inventario"))</f>
        <v/>
      </c>
      <c r="F487" s="16"/>
      <c r="G487" s="38" t="str">
        <f aca="false">IF($C487="","",IFERROR(INDEX(Inventario!$H$5:$H$100,MATCH($C487,Inventario!$B$5:$B$100,0)),"No está en Inventario"))</f>
        <v/>
      </c>
      <c r="H487" s="39"/>
      <c r="I487" s="40" t="str">
        <f aca="false">IF(OR($C487="",$F487=""),"",N($F487)*N($G487)*(1-N($H487)))</f>
        <v/>
      </c>
      <c r="J487" s="14"/>
      <c r="K487" s="13"/>
      <c r="L487" s="20" t="str">
        <f aca="false">IF($C487="","",IFERROR(IF(INDEX(Inventario!$L$5:$L$100,MATCH($C487,Inventario!$B$5:$B$100,0))&lt;0,"Stock negativo: revisa","OK"),"No está en Inventario"))</f>
        <v/>
      </c>
    </row>
    <row r="488" customFormat="false" ht="15" hidden="false" customHeight="false" outlineLevel="0" collapsed="false">
      <c r="A488" s="1"/>
      <c r="B488" s="41"/>
      <c r="C488" s="23"/>
      <c r="D488" s="31" t="str">
        <f aca="false">IF($C488="","",IFERROR(INDEX(Inventario!$D$5:$D$100,MATCH($C488,Inventario!$B$5:$B$100,0)),"No está en Inventario"))</f>
        <v/>
      </c>
      <c r="E488" s="31" t="str">
        <f aca="false">IF($C488="","",IFERROR(INDEX(Inventario!$E$5:$E$100,MATCH($C488,Inventario!$B$5:$B$100,0)),"No está en Inventario"))</f>
        <v/>
      </c>
      <c r="F488" s="26"/>
      <c r="G488" s="42" t="str">
        <f aca="false">IF($C488="","",IFERROR(INDEX(Inventario!$H$5:$H$100,MATCH($C488,Inventario!$B$5:$B$100,0)),"No está en Inventario"))</f>
        <v/>
      </c>
      <c r="H488" s="43"/>
      <c r="I488" s="44" t="str">
        <f aca="false">IF(OR($C488="",$F488=""),"",N($F488)*N($G488)*(1-N($H488)))</f>
        <v/>
      </c>
      <c r="J488" s="24"/>
      <c r="K488" s="23"/>
      <c r="L488" s="30" t="str">
        <f aca="false">IF($C488="","",IFERROR(IF(INDEX(Inventario!$L$5:$L$100,MATCH($C488,Inventario!$B$5:$B$100,0))&lt;0,"Stock negativo: revisa","OK"),"No está en Inventario"))</f>
        <v/>
      </c>
    </row>
    <row r="489" customFormat="false" ht="15" hidden="false" customHeight="false" outlineLevel="0" collapsed="false">
      <c r="A489" s="1"/>
      <c r="B489" s="37"/>
      <c r="C489" s="13"/>
      <c r="D489" s="21" t="str">
        <f aca="false">IF($C489="","",IFERROR(INDEX(Inventario!$D$5:$D$100,MATCH($C489,Inventario!$B$5:$B$100,0)),"No está en Inventario"))</f>
        <v/>
      </c>
      <c r="E489" s="21" t="str">
        <f aca="false">IF($C489="","",IFERROR(INDEX(Inventario!$E$5:$E$100,MATCH($C489,Inventario!$B$5:$B$100,0)),"No está en Inventario"))</f>
        <v/>
      </c>
      <c r="F489" s="16"/>
      <c r="G489" s="38" t="str">
        <f aca="false">IF($C489="","",IFERROR(INDEX(Inventario!$H$5:$H$100,MATCH($C489,Inventario!$B$5:$B$100,0)),"No está en Inventario"))</f>
        <v/>
      </c>
      <c r="H489" s="39"/>
      <c r="I489" s="40" t="str">
        <f aca="false">IF(OR($C489="",$F489=""),"",N($F489)*N($G489)*(1-N($H489)))</f>
        <v/>
      </c>
      <c r="J489" s="14"/>
      <c r="K489" s="13"/>
      <c r="L489" s="20" t="str">
        <f aca="false">IF($C489="","",IFERROR(IF(INDEX(Inventario!$L$5:$L$100,MATCH($C489,Inventario!$B$5:$B$100,0))&lt;0,"Stock negativo: revisa","OK"),"No está en Inventario"))</f>
        <v/>
      </c>
    </row>
    <row r="490" customFormat="false" ht="15" hidden="false" customHeight="false" outlineLevel="0" collapsed="false">
      <c r="A490" s="1"/>
      <c r="B490" s="41"/>
      <c r="C490" s="23"/>
      <c r="D490" s="31" t="str">
        <f aca="false">IF($C490="","",IFERROR(INDEX(Inventario!$D$5:$D$100,MATCH($C490,Inventario!$B$5:$B$100,0)),"No está en Inventario"))</f>
        <v/>
      </c>
      <c r="E490" s="31" t="str">
        <f aca="false">IF($C490="","",IFERROR(INDEX(Inventario!$E$5:$E$100,MATCH($C490,Inventario!$B$5:$B$100,0)),"No está en Inventario"))</f>
        <v/>
      </c>
      <c r="F490" s="26"/>
      <c r="G490" s="42" t="str">
        <f aca="false">IF($C490="","",IFERROR(INDEX(Inventario!$H$5:$H$100,MATCH($C490,Inventario!$B$5:$B$100,0)),"No está en Inventario"))</f>
        <v/>
      </c>
      <c r="H490" s="43"/>
      <c r="I490" s="44" t="str">
        <f aca="false">IF(OR($C490="",$F490=""),"",N($F490)*N($G490)*(1-N($H490)))</f>
        <v/>
      </c>
      <c r="J490" s="24"/>
      <c r="K490" s="23"/>
      <c r="L490" s="30" t="str">
        <f aca="false">IF($C490="","",IFERROR(IF(INDEX(Inventario!$L$5:$L$100,MATCH($C490,Inventario!$B$5:$B$100,0))&lt;0,"Stock negativo: revisa","OK"),"No está en Inventario"))</f>
        <v/>
      </c>
    </row>
    <row r="491" customFormat="false" ht="15" hidden="false" customHeight="false" outlineLevel="0" collapsed="false">
      <c r="A491" s="1"/>
      <c r="B491" s="37"/>
      <c r="C491" s="13"/>
      <c r="D491" s="21" t="str">
        <f aca="false">IF($C491="","",IFERROR(INDEX(Inventario!$D$5:$D$100,MATCH($C491,Inventario!$B$5:$B$100,0)),"No está en Inventario"))</f>
        <v/>
      </c>
      <c r="E491" s="21" t="str">
        <f aca="false">IF($C491="","",IFERROR(INDEX(Inventario!$E$5:$E$100,MATCH($C491,Inventario!$B$5:$B$100,0)),"No está en Inventario"))</f>
        <v/>
      </c>
      <c r="F491" s="16"/>
      <c r="G491" s="38" t="str">
        <f aca="false">IF($C491="","",IFERROR(INDEX(Inventario!$H$5:$H$100,MATCH($C491,Inventario!$B$5:$B$100,0)),"No está en Inventario"))</f>
        <v/>
      </c>
      <c r="H491" s="39"/>
      <c r="I491" s="40" t="str">
        <f aca="false">IF(OR($C491="",$F491=""),"",N($F491)*N($G491)*(1-N($H491)))</f>
        <v/>
      </c>
      <c r="J491" s="14"/>
      <c r="K491" s="13"/>
      <c r="L491" s="20" t="str">
        <f aca="false">IF($C491="","",IFERROR(IF(INDEX(Inventario!$L$5:$L$100,MATCH($C491,Inventario!$B$5:$B$100,0))&lt;0,"Stock negativo: revisa","OK"),"No está en Inventario"))</f>
        <v/>
      </c>
    </row>
    <row r="492" customFormat="false" ht="15" hidden="false" customHeight="false" outlineLevel="0" collapsed="false">
      <c r="A492" s="1"/>
      <c r="B492" s="41"/>
      <c r="C492" s="23"/>
      <c r="D492" s="31" t="str">
        <f aca="false">IF($C492="","",IFERROR(INDEX(Inventario!$D$5:$D$100,MATCH($C492,Inventario!$B$5:$B$100,0)),"No está en Inventario"))</f>
        <v/>
      </c>
      <c r="E492" s="31" t="str">
        <f aca="false">IF($C492="","",IFERROR(INDEX(Inventario!$E$5:$E$100,MATCH($C492,Inventario!$B$5:$B$100,0)),"No está en Inventario"))</f>
        <v/>
      </c>
      <c r="F492" s="26"/>
      <c r="G492" s="42" t="str">
        <f aca="false">IF($C492="","",IFERROR(INDEX(Inventario!$H$5:$H$100,MATCH($C492,Inventario!$B$5:$B$100,0)),"No está en Inventario"))</f>
        <v/>
      </c>
      <c r="H492" s="43"/>
      <c r="I492" s="44" t="str">
        <f aca="false">IF(OR($C492="",$F492=""),"",N($F492)*N($G492)*(1-N($H492)))</f>
        <v/>
      </c>
      <c r="J492" s="24"/>
      <c r="K492" s="23"/>
      <c r="L492" s="30" t="str">
        <f aca="false">IF($C492="","",IFERROR(IF(INDEX(Inventario!$L$5:$L$100,MATCH($C492,Inventario!$B$5:$B$100,0))&lt;0,"Stock negativo: revisa","OK"),"No está en Inventario"))</f>
        <v/>
      </c>
    </row>
    <row r="493" customFormat="false" ht="15" hidden="false" customHeight="false" outlineLevel="0" collapsed="false">
      <c r="A493" s="1"/>
      <c r="B493" s="37"/>
      <c r="C493" s="13"/>
      <c r="D493" s="21" t="str">
        <f aca="false">IF($C493="","",IFERROR(INDEX(Inventario!$D$5:$D$100,MATCH($C493,Inventario!$B$5:$B$100,0)),"No está en Inventario"))</f>
        <v/>
      </c>
      <c r="E493" s="21" t="str">
        <f aca="false">IF($C493="","",IFERROR(INDEX(Inventario!$E$5:$E$100,MATCH($C493,Inventario!$B$5:$B$100,0)),"No está en Inventario"))</f>
        <v/>
      </c>
      <c r="F493" s="16"/>
      <c r="G493" s="38" t="str">
        <f aca="false">IF($C493="","",IFERROR(INDEX(Inventario!$H$5:$H$100,MATCH($C493,Inventario!$B$5:$B$100,0)),"No está en Inventario"))</f>
        <v/>
      </c>
      <c r="H493" s="39"/>
      <c r="I493" s="40" t="str">
        <f aca="false">IF(OR($C493="",$F493=""),"",N($F493)*N($G493)*(1-N($H493)))</f>
        <v/>
      </c>
      <c r="J493" s="14"/>
      <c r="K493" s="13"/>
      <c r="L493" s="20" t="str">
        <f aca="false">IF($C493="","",IFERROR(IF(INDEX(Inventario!$L$5:$L$100,MATCH($C493,Inventario!$B$5:$B$100,0))&lt;0,"Stock negativo: revisa","OK"),"No está en Inventario"))</f>
        <v/>
      </c>
    </row>
    <row r="494" customFormat="false" ht="15" hidden="false" customHeight="false" outlineLevel="0" collapsed="false">
      <c r="A494" s="1"/>
      <c r="B494" s="41"/>
      <c r="C494" s="23"/>
      <c r="D494" s="31" t="str">
        <f aca="false">IF($C494="","",IFERROR(INDEX(Inventario!$D$5:$D$100,MATCH($C494,Inventario!$B$5:$B$100,0)),"No está en Inventario"))</f>
        <v/>
      </c>
      <c r="E494" s="31" t="str">
        <f aca="false">IF($C494="","",IFERROR(INDEX(Inventario!$E$5:$E$100,MATCH($C494,Inventario!$B$5:$B$100,0)),"No está en Inventario"))</f>
        <v/>
      </c>
      <c r="F494" s="26"/>
      <c r="G494" s="42" t="str">
        <f aca="false">IF($C494="","",IFERROR(INDEX(Inventario!$H$5:$H$100,MATCH($C494,Inventario!$B$5:$B$100,0)),"No está en Inventario"))</f>
        <v/>
      </c>
      <c r="H494" s="43"/>
      <c r="I494" s="44" t="str">
        <f aca="false">IF(OR($C494="",$F494=""),"",N($F494)*N($G494)*(1-N($H494)))</f>
        <v/>
      </c>
      <c r="J494" s="24"/>
      <c r="K494" s="23"/>
      <c r="L494" s="30" t="str">
        <f aca="false">IF($C494="","",IFERROR(IF(INDEX(Inventario!$L$5:$L$100,MATCH($C494,Inventario!$B$5:$B$100,0))&lt;0,"Stock negativo: revisa","OK"),"No está en Inventario"))</f>
        <v/>
      </c>
    </row>
    <row r="495" customFormat="false" ht="15" hidden="false" customHeight="false" outlineLevel="0" collapsed="false">
      <c r="A495" s="1"/>
      <c r="B495" s="37"/>
      <c r="C495" s="13"/>
      <c r="D495" s="21" t="str">
        <f aca="false">IF($C495="","",IFERROR(INDEX(Inventario!$D$5:$D$100,MATCH($C495,Inventario!$B$5:$B$100,0)),"No está en Inventario"))</f>
        <v/>
      </c>
      <c r="E495" s="21" t="str">
        <f aca="false">IF($C495="","",IFERROR(INDEX(Inventario!$E$5:$E$100,MATCH($C495,Inventario!$B$5:$B$100,0)),"No está en Inventario"))</f>
        <v/>
      </c>
      <c r="F495" s="16"/>
      <c r="G495" s="38" t="str">
        <f aca="false">IF($C495="","",IFERROR(INDEX(Inventario!$H$5:$H$100,MATCH($C495,Inventario!$B$5:$B$100,0)),"No está en Inventario"))</f>
        <v/>
      </c>
      <c r="H495" s="39"/>
      <c r="I495" s="40" t="str">
        <f aca="false">IF(OR($C495="",$F495=""),"",N($F495)*N($G495)*(1-N($H495)))</f>
        <v/>
      </c>
      <c r="J495" s="14"/>
      <c r="K495" s="13"/>
      <c r="L495" s="20" t="str">
        <f aca="false">IF($C495="","",IFERROR(IF(INDEX(Inventario!$L$5:$L$100,MATCH($C495,Inventario!$B$5:$B$100,0))&lt;0,"Stock negativo: revisa","OK"),"No está en Inventario"))</f>
        <v/>
      </c>
    </row>
    <row r="496" customFormat="false" ht="15" hidden="false" customHeight="false" outlineLevel="0" collapsed="false">
      <c r="A496" s="1"/>
      <c r="B496" s="41"/>
      <c r="C496" s="23"/>
      <c r="D496" s="31" t="str">
        <f aca="false">IF($C496="","",IFERROR(INDEX(Inventario!$D$5:$D$100,MATCH($C496,Inventario!$B$5:$B$100,0)),"No está en Inventario"))</f>
        <v/>
      </c>
      <c r="E496" s="31" t="str">
        <f aca="false">IF($C496="","",IFERROR(INDEX(Inventario!$E$5:$E$100,MATCH($C496,Inventario!$B$5:$B$100,0)),"No está en Inventario"))</f>
        <v/>
      </c>
      <c r="F496" s="26"/>
      <c r="G496" s="42" t="str">
        <f aca="false">IF($C496="","",IFERROR(INDEX(Inventario!$H$5:$H$100,MATCH($C496,Inventario!$B$5:$B$100,0)),"No está en Inventario"))</f>
        <v/>
      </c>
      <c r="H496" s="43"/>
      <c r="I496" s="44" t="str">
        <f aca="false">IF(OR($C496="",$F496=""),"",N($F496)*N($G496)*(1-N($H496)))</f>
        <v/>
      </c>
      <c r="J496" s="24"/>
      <c r="K496" s="23"/>
      <c r="L496" s="30" t="str">
        <f aca="false">IF($C496="","",IFERROR(IF(INDEX(Inventario!$L$5:$L$100,MATCH($C496,Inventario!$B$5:$B$100,0))&lt;0,"Stock negativo: revisa","OK"),"No está en Inventario"))</f>
        <v/>
      </c>
    </row>
    <row r="497" customFormat="false" ht="15" hidden="false" customHeight="false" outlineLevel="0" collapsed="false">
      <c r="A497" s="1"/>
      <c r="B497" s="37"/>
      <c r="C497" s="13"/>
      <c r="D497" s="21" t="str">
        <f aca="false">IF($C497="","",IFERROR(INDEX(Inventario!$D$5:$D$100,MATCH($C497,Inventario!$B$5:$B$100,0)),"No está en Inventario"))</f>
        <v/>
      </c>
      <c r="E497" s="21" t="str">
        <f aca="false">IF($C497="","",IFERROR(INDEX(Inventario!$E$5:$E$100,MATCH($C497,Inventario!$B$5:$B$100,0)),"No está en Inventario"))</f>
        <v/>
      </c>
      <c r="F497" s="16"/>
      <c r="G497" s="38" t="str">
        <f aca="false">IF($C497="","",IFERROR(INDEX(Inventario!$H$5:$H$100,MATCH($C497,Inventario!$B$5:$B$100,0)),"No está en Inventario"))</f>
        <v/>
      </c>
      <c r="H497" s="39"/>
      <c r="I497" s="40" t="str">
        <f aca="false">IF(OR($C497="",$F497=""),"",N($F497)*N($G497)*(1-N($H497)))</f>
        <v/>
      </c>
      <c r="J497" s="14"/>
      <c r="K497" s="13"/>
      <c r="L497" s="20" t="str">
        <f aca="false">IF($C497="","",IFERROR(IF(INDEX(Inventario!$L$5:$L$100,MATCH($C497,Inventario!$B$5:$B$100,0))&lt;0,"Stock negativo: revisa","OK"),"No está en Inventario"))</f>
        <v/>
      </c>
    </row>
    <row r="498" customFormat="false" ht="15" hidden="false" customHeight="false" outlineLevel="0" collapsed="false">
      <c r="A498" s="1"/>
      <c r="B498" s="41"/>
      <c r="C498" s="23"/>
      <c r="D498" s="31" t="str">
        <f aca="false">IF($C498="","",IFERROR(INDEX(Inventario!$D$5:$D$100,MATCH($C498,Inventario!$B$5:$B$100,0)),"No está en Inventario"))</f>
        <v/>
      </c>
      <c r="E498" s="31" t="str">
        <f aca="false">IF($C498="","",IFERROR(INDEX(Inventario!$E$5:$E$100,MATCH($C498,Inventario!$B$5:$B$100,0)),"No está en Inventario"))</f>
        <v/>
      </c>
      <c r="F498" s="26"/>
      <c r="G498" s="42" t="str">
        <f aca="false">IF($C498="","",IFERROR(INDEX(Inventario!$H$5:$H$100,MATCH($C498,Inventario!$B$5:$B$100,0)),"No está en Inventario"))</f>
        <v/>
      </c>
      <c r="H498" s="43"/>
      <c r="I498" s="44" t="str">
        <f aca="false">IF(OR($C498="",$F498=""),"",N($F498)*N($G498)*(1-N($H498)))</f>
        <v/>
      </c>
      <c r="J498" s="24"/>
      <c r="K498" s="23"/>
      <c r="L498" s="30" t="str">
        <f aca="false">IF($C498="","",IFERROR(IF(INDEX(Inventario!$L$5:$L$100,MATCH($C498,Inventario!$B$5:$B$100,0))&lt;0,"Stock negativo: revisa","OK"),"No está en Inventario"))</f>
        <v/>
      </c>
    </row>
    <row r="499" customFormat="false" ht="15" hidden="false" customHeight="false" outlineLevel="0" collapsed="false">
      <c r="A499" s="1"/>
      <c r="B499" s="37"/>
      <c r="C499" s="13"/>
      <c r="D499" s="21" t="str">
        <f aca="false">IF($C499="","",IFERROR(INDEX(Inventario!$D$5:$D$100,MATCH($C499,Inventario!$B$5:$B$100,0)),"No está en Inventario"))</f>
        <v/>
      </c>
      <c r="E499" s="21" t="str">
        <f aca="false">IF($C499="","",IFERROR(INDEX(Inventario!$E$5:$E$100,MATCH($C499,Inventario!$B$5:$B$100,0)),"No está en Inventario"))</f>
        <v/>
      </c>
      <c r="F499" s="16"/>
      <c r="G499" s="38" t="str">
        <f aca="false">IF($C499="","",IFERROR(INDEX(Inventario!$H$5:$H$100,MATCH($C499,Inventario!$B$5:$B$100,0)),"No está en Inventario"))</f>
        <v/>
      </c>
      <c r="H499" s="39"/>
      <c r="I499" s="40" t="str">
        <f aca="false">IF(OR($C499="",$F499=""),"",N($F499)*N($G499)*(1-N($H499)))</f>
        <v/>
      </c>
      <c r="J499" s="14"/>
      <c r="K499" s="13"/>
      <c r="L499" s="20" t="str">
        <f aca="false">IF($C499="","",IFERROR(IF(INDEX(Inventario!$L$5:$L$100,MATCH($C499,Inventario!$B$5:$B$100,0))&lt;0,"Stock negativo: revisa","OK"),"No está en Inventario"))</f>
        <v/>
      </c>
    </row>
    <row r="500" customFormat="false" ht="15" hidden="false" customHeight="false" outlineLevel="0" collapsed="false">
      <c r="A500" s="1"/>
      <c r="B500" s="41"/>
      <c r="C500" s="23"/>
      <c r="D500" s="31" t="str">
        <f aca="false">IF($C500="","",IFERROR(INDEX(Inventario!$D$5:$D$100,MATCH($C500,Inventario!$B$5:$B$100,0)),"No está en Inventario"))</f>
        <v/>
      </c>
      <c r="E500" s="31" t="str">
        <f aca="false">IF($C500="","",IFERROR(INDEX(Inventario!$E$5:$E$100,MATCH($C500,Inventario!$B$5:$B$100,0)),"No está en Inventario"))</f>
        <v/>
      </c>
      <c r="F500" s="26"/>
      <c r="G500" s="42" t="str">
        <f aca="false">IF($C500="","",IFERROR(INDEX(Inventario!$H$5:$H$100,MATCH($C500,Inventario!$B$5:$B$100,0)),"No está en Inventario"))</f>
        <v/>
      </c>
      <c r="H500" s="43"/>
      <c r="I500" s="44" t="str">
        <f aca="false">IF(OR($C500="",$F500=""),"",N($F500)*N($G500)*(1-N($H500)))</f>
        <v/>
      </c>
      <c r="J500" s="24"/>
      <c r="K500" s="23"/>
      <c r="L500" s="30" t="str">
        <f aca="false">IF($C500="","",IFERROR(IF(INDEX(Inventario!$L$5:$L$100,MATCH($C500,Inventario!$B$5:$B$100,0))&lt;0,"Stock negativo: revisa","OK"),"No está en Inventario"))</f>
        <v/>
      </c>
    </row>
    <row r="501" customFormat="false" ht="15" hidden="false" customHeight="false" outlineLevel="0" collapsed="false">
      <c r="A501" s="1"/>
      <c r="B501" s="37"/>
      <c r="C501" s="13"/>
      <c r="D501" s="21" t="str">
        <f aca="false">IF($C501="","",IFERROR(INDEX(Inventario!$D$5:$D$100,MATCH($C501,Inventario!$B$5:$B$100,0)),"No está en Inventario"))</f>
        <v/>
      </c>
      <c r="E501" s="21" t="str">
        <f aca="false">IF($C501="","",IFERROR(INDEX(Inventario!$E$5:$E$100,MATCH($C501,Inventario!$B$5:$B$100,0)),"No está en Inventario"))</f>
        <v/>
      </c>
      <c r="F501" s="16"/>
      <c r="G501" s="38" t="str">
        <f aca="false">IF($C501="","",IFERROR(INDEX(Inventario!$H$5:$H$100,MATCH($C501,Inventario!$B$5:$B$100,0)),"No está en Inventario"))</f>
        <v/>
      </c>
      <c r="H501" s="39"/>
      <c r="I501" s="40" t="str">
        <f aca="false">IF(OR($C501="",$F501=""),"",N($F501)*N($G501)*(1-N($H501)))</f>
        <v/>
      </c>
      <c r="J501" s="14"/>
      <c r="K501" s="13"/>
      <c r="L501" s="20" t="str">
        <f aca="false">IF($C501="","",IFERROR(IF(INDEX(Inventario!$L$5:$L$100,MATCH($C501,Inventario!$B$5:$B$100,0))&lt;0,"Stock negativo: revisa","OK"),"No está en Inventario"))</f>
        <v/>
      </c>
    </row>
    <row r="502" customFormat="false" ht="15" hidden="false" customHeight="false" outlineLevel="0" collapsed="false">
      <c r="A502" s="1"/>
      <c r="B502" s="41"/>
      <c r="C502" s="23"/>
      <c r="D502" s="31" t="str">
        <f aca="false">IF($C502="","",IFERROR(INDEX(Inventario!$D$5:$D$100,MATCH($C502,Inventario!$B$5:$B$100,0)),"No está en Inventario"))</f>
        <v/>
      </c>
      <c r="E502" s="31" t="str">
        <f aca="false">IF($C502="","",IFERROR(INDEX(Inventario!$E$5:$E$100,MATCH($C502,Inventario!$B$5:$B$100,0)),"No está en Inventario"))</f>
        <v/>
      </c>
      <c r="F502" s="26"/>
      <c r="G502" s="42" t="str">
        <f aca="false">IF($C502="","",IFERROR(INDEX(Inventario!$H$5:$H$100,MATCH($C502,Inventario!$B$5:$B$100,0)),"No está en Inventario"))</f>
        <v/>
      </c>
      <c r="H502" s="43"/>
      <c r="I502" s="44" t="str">
        <f aca="false">IF(OR($C502="",$F502=""),"",N($F502)*N($G502)*(1-N($H502)))</f>
        <v/>
      </c>
      <c r="J502" s="24"/>
      <c r="K502" s="23"/>
      <c r="L502" s="30" t="str">
        <f aca="false">IF($C502="","",IFERROR(IF(INDEX(Inventario!$L$5:$L$100,MATCH($C502,Inventario!$B$5:$B$100,0))&lt;0,"Stock negativo: revisa","OK"),"No está en Inventario"))</f>
        <v/>
      </c>
    </row>
    <row r="503" customFormat="false" ht="15" hidden="false" customHeight="false" outlineLevel="0" collapsed="false">
      <c r="A503" s="1"/>
      <c r="B503" s="37"/>
      <c r="C503" s="13"/>
      <c r="D503" s="21" t="str">
        <f aca="false">IF($C503="","",IFERROR(INDEX(Inventario!$D$5:$D$100,MATCH($C503,Inventario!$B$5:$B$100,0)),"No está en Inventario"))</f>
        <v/>
      </c>
      <c r="E503" s="21" t="str">
        <f aca="false">IF($C503="","",IFERROR(INDEX(Inventario!$E$5:$E$100,MATCH($C503,Inventario!$B$5:$B$100,0)),"No está en Inventario"))</f>
        <v/>
      </c>
      <c r="F503" s="16"/>
      <c r="G503" s="38" t="str">
        <f aca="false">IF($C503="","",IFERROR(INDEX(Inventario!$H$5:$H$100,MATCH($C503,Inventario!$B$5:$B$100,0)),"No está en Inventario"))</f>
        <v/>
      </c>
      <c r="H503" s="39"/>
      <c r="I503" s="40" t="str">
        <f aca="false">IF(OR($C503="",$F503=""),"",N($F503)*N($G503)*(1-N($H503)))</f>
        <v/>
      </c>
      <c r="J503" s="14"/>
      <c r="K503" s="13"/>
      <c r="L503" s="20" t="str">
        <f aca="false">IF($C503="","",IFERROR(IF(INDEX(Inventario!$L$5:$L$100,MATCH($C503,Inventario!$B$5:$B$100,0))&lt;0,"Stock negativo: revisa","OK"),"No está en Inventario"))</f>
        <v/>
      </c>
    </row>
    <row r="504" customFormat="false" ht="15" hidden="false" customHeight="false" outlineLevel="0" collapsed="false">
      <c r="A504" s="1"/>
      <c r="B504" s="41"/>
      <c r="C504" s="23"/>
      <c r="D504" s="31" t="str">
        <f aca="false">IF($C504="","",IFERROR(INDEX(Inventario!$D$5:$D$100,MATCH($C504,Inventario!$B$5:$B$100,0)),"No está en Inventario"))</f>
        <v/>
      </c>
      <c r="E504" s="31" t="str">
        <f aca="false">IF($C504="","",IFERROR(INDEX(Inventario!$E$5:$E$100,MATCH($C504,Inventario!$B$5:$B$100,0)),"No está en Inventario"))</f>
        <v/>
      </c>
      <c r="F504" s="26"/>
      <c r="G504" s="42" t="str">
        <f aca="false">IF($C504="","",IFERROR(INDEX(Inventario!$H$5:$H$100,MATCH($C504,Inventario!$B$5:$B$100,0)),"No está en Inventario"))</f>
        <v/>
      </c>
      <c r="H504" s="43"/>
      <c r="I504" s="44" t="str">
        <f aca="false">IF(OR($C504="",$F504=""),"",N($F504)*N($G504)*(1-N($H504)))</f>
        <v/>
      </c>
      <c r="J504" s="24"/>
      <c r="K504" s="23"/>
      <c r="L504" s="30" t="str">
        <f aca="false">IF($C504="","",IFERROR(IF(INDEX(Inventario!$L$5:$L$100,MATCH($C504,Inventario!$B$5:$B$100,0))&lt;0,"Stock negativo: revisa","OK"),"No está en Inventario"))</f>
        <v/>
      </c>
    </row>
    <row r="505" customFormat="false" ht="1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customFormat="false" ht="15" hidden="false" customHeight="false" outlineLevel="0" collapsed="false">
      <c r="A506" s="1"/>
      <c r="B506" s="33" t="s">
        <v>146</v>
      </c>
      <c r="C506" s="34"/>
      <c r="D506" s="34"/>
      <c r="E506" s="34"/>
      <c r="F506" s="35" t="n">
        <f aca="false">SUM(F5:F504)</f>
        <v>0</v>
      </c>
      <c r="G506" s="34"/>
      <c r="H506" s="34"/>
      <c r="I506" s="36" t="n">
        <f aca="false">SUM(I5:I504)</f>
        <v>0</v>
      </c>
      <c r="J506" s="34"/>
      <c r="K506" s="34"/>
      <c r="L506" s="34"/>
    </row>
    <row r="507" customFormat="false" ht="1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customFormat="false" ht="15" hidden="false" customHeight="false" outlineLevel="0" collapsed="false">
      <c r="A508" s="1"/>
      <c r="B508" s="3" t="s">
        <v>163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customFormat="false" ht="15" hidden="false" customHeight="false" outlineLevel="0" collapsed="false">
      <c r="A509" s="1"/>
      <c r="B509" s="3" t="s">
        <v>164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customFormat="false" ht="15" hidden="false" customHeight="false" outlineLevel="0" collapsed="false">
      <c r="A510" s="1"/>
      <c r="B510" s="3" t="s">
        <v>165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customFormat="false" ht="15" hidden="false" customHeight="false" outlineLevel="0" collapsed="false">
      <c r="A511" s="1"/>
      <c r="B511" s="3" t="s">
        <v>166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</row>
  </sheetData>
  <autoFilter ref="B4:L504"/>
  <conditionalFormatting sqref="L5:L504">
    <cfRule type="expression" priority="2" aboveAverage="0" equalAverage="0" bottom="0" percent="0" rank="0" text="" dxfId="9">
      <formula>$L5="Stock negativo: revisa"</formula>
    </cfRule>
    <cfRule type="expression" priority="3" aboveAverage="0" equalAverage="0" bottom="0" percent="0" rank="0" text="" dxfId="12">
      <formula>$L5="OK"</formula>
    </cfRule>
  </conditionalFormatting>
  <dataValidations count="4">
    <dataValidation allowBlank="true" error="Elige un producto de la lista desplegable. Si no aparece, agrégalo primero en la hoja Inventario." errorStyle="stop" errorTitle="Producto no válido" operator="between" showDropDown="false" showErrorMessage="false" showInputMessage="false" sqref="C5:C504" type="list">
      <formula1>Inventario!$B$5:$B$100</formula1>
      <formula2>0</formula2>
    </dataValidation>
    <dataValidation allowBlank="true" error="Escribe un número entero. Usa negativos solo para devoluciones." errorStyle="stop" errorTitle="Cantidad no válida" operator="between" showDropDown="false" showErrorMessage="false" showInputMessage="false" sqref="F5:F504" type="whole">
      <formula1>-500</formula1>
      <formula2>500</formula2>
    </dataValidation>
    <dataValidation allowBlank="true" error="Elige: Efectivo, Nequi, Tarjeta, Daviplata o Llave." errorStyle="stop" errorTitle="Método de pago no válido" operator="between" showDropDown="false" showErrorMessage="false" showInputMessage="false" sqref="J5:J504" type="list">
      <formula1>Config!$G$6:$G$20</formula1>
      <formula2>0</formula2>
    </dataValidation>
    <dataValidation allowBlank="true" error="Escribe una fecha, por ejemplo 15/11/2026." errorStyle="stop" errorTitle="Fecha no válida" operator="greaterThan" showDropDown="false" showErrorMessage="false" showInputMessage="false" sqref="B5:B504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/>
      <c r="B1" s="2" t="s">
        <v>167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3" t="s">
        <v>168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31.5" hidden="false" customHeight="true" outlineLevel="0" collapsed="false">
      <c r="A4" s="1"/>
      <c r="B4" s="11" t="s">
        <v>155</v>
      </c>
      <c r="C4" s="11" t="s">
        <v>33</v>
      </c>
      <c r="D4" s="11" t="s">
        <v>169</v>
      </c>
      <c r="E4" s="11" t="s">
        <v>170</v>
      </c>
      <c r="F4" s="11" t="s">
        <v>171</v>
      </c>
    </row>
    <row r="5" customFormat="false" ht="15" hidden="false" customHeight="false" outlineLevel="0" collapsed="false">
      <c r="A5" s="1"/>
      <c r="B5" s="37"/>
      <c r="C5" s="13"/>
      <c r="D5" s="16"/>
      <c r="E5" s="14"/>
      <c r="F5" s="13"/>
    </row>
    <row r="6" customFormat="false" ht="15" hidden="false" customHeight="false" outlineLevel="0" collapsed="false">
      <c r="A6" s="1"/>
      <c r="B6" s="41"/>
      <c r="C6" s="23"/>
      <c r="D6" s="26"/>
      <c r="E6" s="24"/>
      <c r="F6" s="23"/>
    </row>
    <row r="7" customFormat="false" ht="15" hidden="false" customHeight="false" outlineLevel="0" collapsed="false">
      <c r="A7" s="1"/>
      <c r="B7" s="37"/>
      <c r="C7" s="13"/>
      <c r="D7" s="16"/>
      <c r="E7" s="14"/>
      <c r="F7" s="13"/>
    </row>
    <row r="8" customFormat="false" ht="15" hidden="false" customHeight="false" outlineLevel="0" collapsed="false">
      <c r="A8" s="1"/>
      <c r="B8" s="41"/>
      <c r="C8" s="23"/>
      <c r="D8" s="26"/>
      <c r="E8" s="24"/>
      <c r="F8" s="23"/>
    </row>
    <row r="9" customFormat="false" ht="15" hidden="false" customHeight="false" outlineLevel="0" collapsed="false">
      <c r="A9" s="1"/>
      <c r="B9" s="37"/>
      <c r="C9" s="13"/>
      <c r="D9" s="16"/>
      <c r="E9" s="14"/>
      <c r="F9" s="13"/>
    </row>
    <row r="10" customFormat="false" ht="15" hidden="false" customHeight="false" outlineLevel="0" collapsed="false">
      <c r="A10" s="1"/>
      <c r="B10" s="41"/>
      <c r="C10" s="23"/>
      <c r="D10" s="26"/>
      <c r="E10" s="24"/>
      <c r="F10" s="23"/>
    </row>
    <row r="11" customFormat="false" ht="15" hidden="false" customHeight="false" outlineLevel="0" collapsed="false">
      <c r="A11" s="1"/>
      <c r="B11" s="37"/>
      <c r="C11" s="13"/>
      <c r="D11" s="16"/>
      <c r="E11" s="14"/>
      <c r="F11" s="13"/>
    </row>
    <row r="12" customFormat="false" ht="15" hidden="false" customHeight="false" outlineLevel="0" collapsed="false">
      <c r="A12" s="1"/>
      <c r="B12" s="41"/>
      <c r="C12" s="23"/>
      <c r="D12" s="26"/>
      <c r="E12" s="24"/>
      <c r="F12" s="23"/>
    </row>
    <row r="13" customFormat="false" ht="15" hidden="false" customHeight="false" outlineLevel="0" collapsed="false">
      <c r="A13" s="1"/>
      <c r="B13" s="37"/>
      <c r="C13" s="13"/>
      <c r="D13" s="16"/>
      <c r="E13" s="14"/>
      <c r="F13" s="13"/>
    </row>
    <row r="14" customFormat="false" ht="15" hidden="false" customHeight="false" outlineLevel="0" collapsed="false">
      <c r="A14" s="1"/>
      <c r="B14" s="41"/>
      <c r="C14" s="23"/>
      <c r="D14" s="26"/>
      <c r="E14" s="24"/>
      <c r="F14" s="23"/>
    </row>
    <row r="15" customFormat="false" ht="15" hidden="false" customHeight="false" outlineLevel="0" collapsed="false">
      <c r="A15" s="1"/>
      <c r="B15" s="37"/>
      <c r="C15" s="13"/>
      <c r="D15" s="16"/>
      <c r="E15" s="14"/>
      <c r="F15" s="13"/>
    </row>
    <row r="16" customFormat="false" ht="15" hidden="false" customHeight="false" outlineLevel="0" collapsed="false">
      <c r="A16" s="1"/>
      <c r="B16" s="41"/>
      <c r="C16" s="23"/>
      <c r="D16" s="26"/>
      <c r="E16" s="24"/>
      <c r="F16" s="23"/>
    </row>
    <row r="17" customFormat="false" ht="15" hidden="false" customHeight="false" outlineLevel="0" collapsed="false">
      <c r="A17" s="1"/>
      <c r="B17" s="37"/>
      <c r="C17" s="13"/>
      <c r="D17" s="16"/>
      <c r="E17" s="14"/>
      <c r="F17" s="13"/>
    </row>
    <row r="18" customFormat="false" ht="15" hidden="false" customHeight="false" outlineLevel="0" collapsed="false">
      <c r="A18" s="1"/>
      <c r="B18" s="41"/>
      <c r="C18" s="23"/>
      <c r="D18" s="26"/>
      <c r="E18" s="24"/>
      <c r="F18" s="23"/>
    </row>
    <row r="19" customFormat="false" ht="15" hidden="false" customHeight="false" outlineLevel="0" collapsed="false">
      <c r="A19" s="1"/>
      <c r="B19" s="37"/>
      <c r="C19" s="13"/>
      <c r="D19" s="16"/>
      <c r="E19" s="14"/>
      <c r="F19" s="13"/>
    </row>
    <row r="20" customFormat="false" ht="15" hidden="false" customHeight="false" outlineLevel="0" collapsed="false">
      <c r="A20" s="1"/>
      <c r="B20" s="41"/>
      <c r="C20" s="23"/>
      <c r="D20" s="26"/>
      <c r="E20" s="24"/>
      <c r="F20" s="23"/>
    </row>
    <row r="21" customFormat="false" ht="15" hidden="false" customHeight="false" outlineLevel="0" collapsed="false">
      <c r="A21" s="1"/>
      <c r="B21" s="37"/>
      <c r="C21" s="13"/>
      <c r="D21" s="16"/>
      <c r="E21" s="14"/>
      <c r="F21" s="13"/>
    </row>
    <row r="22" customFormat="false" ht="15" hidden="false" customHeight="false" outlineLevel="0" collapsed="false">
      <c r="A22" s="1"/>
      <c r="B22" s="41"/>
      <c r="C22" s="23"/>
      <c r="D22" s="26"/>
      <c r="E22" s="24"/>
      <c r="F22" s="23"/>
    </row>
    <row r="23" customFormat="false" ht="15" hidden="false" customHeight="false" outlineLevel="0" collapsed="false">
      <c r="A23" s="1"/>
      <c r="B23" s="37"/>
      <c r="C23" s="13"/>
      <c r="D23" s="16"/>
      <c r="E23" s="14"/>
      <c r="F23" s="13"/>
    </row>
    <row r="24" customFormat="false" ht="15" hidden="false" customHeight="false" outlineLevel="0" collapsed="false">
      <c r="A24" s="1"/>
      <c r="B24" s="41"/>
      <c r="C24" s="23"/>
      <c r="D24" s="26"/>
      <c r="E24" s="24"/>
      <c r="F24" s="23"/>
    </row>
    <row r="25" customFormat="false" ht="15" hidden="false" customHeight="false" outlineLevel="0" collapsed="false">
      <c r="A25" s="1"/>
      <c r="B25" s="37"/>
      <c r="C25" s="13"/>
      <c r="D25" s="16"/>
      <c r="E25" s="14"/>
      <c r="F25" s="13"/>
    </row>
    <row r="26" customFormat="false" ht="15" hidden="false" customHeight="false" outlineLevel="0" collapsed="false">
      <c r="A26" s="1"/>
      <c r="B26" s="41"/>
      <c r="C26" s="23"/>
      <c r="D26" s="26"/>
      <c r="E26" s="24"/>
      <c r="F26" s="23"/>
    </row>
    <row r="27" customFormat="false" ht="15" hidden="false" customHeight="false" outlineLevel="0" collapsed="false">
      <c r="A27" s="1"/>
      <c r="B27" s="37"/>
      <c r="C27" s="13"/>
      <c r="D27" s="16"/>
      <c r="E27" s="14"/>
      <c r="F27" s="13"/>
    </row>
    <row r="28" customFormat="false" ht="15" hidden="false" customHeight="false" outlineLevel="0" collapsed="false">
      <c r="A28" s="1"/>
      <c r="B28" s="41"/>
      <c r="C28" s="23"/>
      <c r="D28" s="26"/>
      <c r="E28" s="24"/>
      <c r="F28" s="23"/>
    </row>
    <row r="29" customFormat="false" ht="15" hidden="false" customHeight="false" outlineLevel="0" collapsed="false">
      <c r="A29" s="1"/>
      <c r="B29" s="37"/>
      <c r="C29" s="13"/>
      <c r="D29" s="16"/>
      <c r="E29" s="14"/>
      <c r="F29" s="13"/>
    </row>
    <row r="30" customFormat="false" ht="15" hidden="false" customHeight="false" outlineLevel="0" collapsed="false">
      <c r="A30" s="1"/>
      <c r="B30" s="41"/>
      <c r="C30" s="23"/>
      <c r="D30" s="26"/>
      <c r="E30" s="24"/>
      <c r="F30" s="23"/>
    </row>
    <row r="31" customFormat="false" ht="15" hidden="false" customHeight="false" outlineLevel="0" collapsed="false">
      <c r="A31" s="1"/>
      <c r="B31" s="37"/>
      <c r="C31" s="13"/>
      <c r="D31" s="16"/>
      <c r="E31" s="14"/>
      <c r="F31" s="13"/>
    </row>
    <row r="32" customFormat="false" ht="15" hidden="false" customHeight="false" outlineLevel="0" collapsed="false">
      <c r="A32" s="1"/>
      <c r="B32" s="41"/>
      <c r="C32" s="23"/>
      <c r="D32" s="26"/>
      <c r="E32" s="24"/>
      <c r="F32" s="23"/>
    </row>
    <row r="33" customFormat="false" ht="15" hidden="false" customHeight="false" outlineLevel="0" collapsed="false">
      <c r="A33" s="1"/>
      <c r="B33" s="37"/>
      <c r="C33" s="13"/>
      <c r="D33" s="16"/>
      <c r="E33" s="14"/>
      <c r="F33" s="13"/>
    </row>
    <row r="34" customFormat="false" ht="15" hidden="false" customHeight="false" outlineLevel="0" collapsed="false">
      <c r="A34" s="1"/>
      <c r="B34" s="41"/>
      <c r="C34" s="23"/>
      <c r="D34" s="26"/>
      <c r="E34" s="24"/>
      <c r="F34" s="23"/>
    </row>
    <row r="35" customFormat="false" ht="15" hidden="false" customHeight="false" outlineLevel="0" collapsed="false">
      <c r="A35" s="1"/>
      <c r="B35" s="37"/>
      <c r="C35" s="13"/>
      <c r="D35" s="16"/>
      <c r="E35" s="14"/>
      <c r="F35" s="13"/>
    </row>
    <row r="36" customFormat="false" ht="15" hidden="false" customHeight="false" outlineLevel="0" collapsed="false">
      <c r="A36" s="1"/>
      <c r="B36" s="41"/>
      <c r="C36" s="23"/>
      <c r="D36" s="26"/>
      <c r="E36" s="24"/>
      <c r="F36" s="23"/>
    </row>
    <row r="37" customFormat="false" ht="15" hidden="false" customHeight="false" outlineLevel="0" collapsed="false">
      <c r="A37" s="1"/>
      <c r="B37" s="37"/>
      <c r="C37" s="13"/>
      <c r="D37" s="16"/>
      <c r="E37" s="14"/>
      <c r="F37" s="13"/>
    </row>
    <row r="38" customFormat="false" ht="15" hidden="false" customHeight="false" outlineLevel="0" collapsed="false">
      <c r="A38" s="1"/>
      <c r="B38" s="41"/>
      <c r="C38" s="23"/>
      <c r="D38" s="26"/>
      <c r="E38" s="24"/>
      <c r="F38" s="23"/>
    </row>
    <row r="39" customFormat="false" ht="15" hidden="false" customHeight="false" outlineLevel="0" collapsed="false">
      <c r="A39" s="1"/>
      <c r="B39" s="37"/>
      <c r="C39" s="13"/>
      <c r="D39" s="16"/>
      <c r="E39" s="14"/>
      <c r="F39" s="13"/>
    </row>
    <row r="40" customFormat="false" ht="15" hidden="false" customHeight="false" outlineLevel="0" collapsed="false">
      <c r="A40" s="1"/>
      <c r="B40" s="41"/>
      <c r="C40" s="23"/>
      <c r="D40" s="26"/>
      <c r="E40" s="24"/>
      <c r="F40" s="23"/>
    </row>
    <row r="41" customFormat="false" ht="15" hidden="false" customHeight="false" outlineLevel="0" collapsed="false">
      <c r="A41" s="1"/>
      <c r="B41" s="37"/>
      <c r="C41" s="13"/>
      <c r="D41" s="16"/>
      <c r="E41" s="14"/>
      <c r="F41" s="13"/>
    </row>
    <row r="42" customFormat="false" ht="15" hidden="false" customHeight="false" outlineLevel="0" collapsed="false">
      <c r="A42" s="1"/>
      <c r="B42" s="41"/>
      <c r="C42" s="23"/>
      <c r="D42" s="26"/>
      <c r="E42" s="24"/>
      <c r="F42" s="23"/>
    </row>
    <row r="43" customFormat="false" ht="15" hidden="false" customHeight="false" outlineLevel="0" collapsed="false">
      <c r="A43" s="1"/>
      <c r="B43" s="37"/>
      <c r="C43" s="13"/>
      <c r="D43" s="16"/>
      <c r="E43" s="14"/>
      <c r="F43" s="13"/>
    </row>
    <row r="44" customFormat="false" ht="15" hidden="false" customHeight="false" outlineLevel="0" collapsed="false">
      <c r="A44" s="1"/>
      <c r="B44" s="41"/>
      <c r="C44" s="23"/>
      <c r="D44" s="26"/>
      <c r="E44" s="24"/>
      <c r="F44" s="23"/>
    </row>
    <row r="45" customFormat="false" ht="15" hidden="false" customHeight="false" outlineLevel="0" collapsed="false">
      <c r="A45" s="1"/>
      <c r="B45" s="37"/>
      <c r="C45" s="13"/>
      <c r="D45" s="16"/>
      <c r="E45" s="14"/>
      <c r="F45" s="13"/>
    </row>
    <row r="46" customFormat="false" ht="15" hidden="false" customHeight="false" outlineLevel="0" collapsed="false">
      <c r="A46" s="1"/>
      <c r="B46" s="41"/>
      <c r="C46" s="23"/>
      <c r="D46" s="26"/>
      <c r="E46" s="24"/>
      <c r="F46" s="23"/>
    </row>
    <row r="47" customFormat="false" ht="15" hidden="false" customHeight="false" outlineLevel="0" collapsed="false">
      <c r="A47" s="1"/>
      <c r="B47" s="37"/>
      <c r="C47" s="13"/>
      <c r="D47" s="16"/>
      <c r="E47" s="14"/>
      <c r="F47" s="13"/>
    </row>
    <row r="48" customFormat="false" ht="15" hidden="false" customHeight="false" outlineLevel="0" collapsed="false">
      <c r="A48" s="1"/>
      <c r="B48" s="41"/>
      <c r="C48" s="23"/>
      <c r="D48" s="26"/>
      <c r="E48" s="24"/>
      <c r="F48" s="23"/>
    </row>
    <row r="49" customFormat="false" ht="15" hidden="false" customHeight="false" outlineLevel="0" collapsed="false">
      <c r="A49" s="1"/>
      <c r="B49" s="37"/>
      <c r="C49" s="13"/>
      <c r="D49" s="16"/>
      <c r="E49" s="14"/>
      <c r="F49" s="13"/>
    </row>
    <row r="50" customFormat="false" ht="15" hidden="false" customHeight="false" outlineLevel="0" collapsed="false">
      <c r="A50" s="1"/>
      <c r="B50" s="41"/>
      <c r="C50" s="23"/>
      <c r="D50" s="26"/>
      <c r="E50" s="24"/>
      <c r="F50" s="23"/>
    </row>
    <row r="51" customFormat="false" ht="15" hidden="false" customHeight="false" outlineLevel="0" collapsed="false">
      <c r="A51" s="1"/>
      <c r="B51" s="37"/>
      <c r="C51" s="13"/>
      <c r="D51" s="16"/>
      <c r="E51" s="14"/>
      <c r="F51" s="13"/>
    </row>
    <row r="52" customFormat="false" ht="15" hidden="false" customHeight="false" outlineLevel="0" collapsed="false">
      <c r="A52" s="1"/>
      <c r="B52" s="41"/>
      <c r="C52" s="23"/>
      <c r="D52" s="26"/>
      <c r="E52" s="24"/>
      <c r="F52" s="23"/>
    </row>
    <row r="53" customFormat="false" ht="15" hidden="false" customHeight="false" outlineLevel="0" collapsed="false">
      <c r="A53" s="1"/>
      <c r="B53" s="37"/>
      <c r="C53" s="13"/>
      <c r="D53" s="16"/>
      <c r="E53" s="14"/>
      <c r="F53" s="13"/>
    </row>
    <row r="54" customFormat="false" ht="15" hidden="false" customHeight="false" outlineLevel="0" collapsed="false">
      <c r="A54" s="1"/>
      <c r="B54" s="41"/>
      <c r="C54" s="23"/>
      <c r="D54" s="26"/>
      <c r="E54" s="24"/>
      <c r="F54" s="23"/>
    </row>
    <row r="55" customFormat="false" ht="15" hidden="false" customHeight="false" outlineLevel="0" collapsed="false">
      <c r="A55" s="1"/>
      <c r="B55" s="37"/>
      <c r="C55" s="13"/>
      <c r="D55" s="16"/>
      <c r="E55" s="14"/>
      <c r="F55" s="13"/>
    </row>
    <row r="56" customFormat="false" ht="15" hidden="false" customHeight="false" outlineLevel="0" collapsed="false">
      <c r="A56" s="1"/>
      <c r="B56" s="41"/>
      <c r="C56" s="23"/>
      <c r="D56" s="26"/>
      <c r="E56" s="24"/>
      <c r="F56" s="23"/>
    </row>
    <row r="57" customFormat="false" ht="15" hidden="false" customHeight="false" outlineLevel="0" collapsed="false">
      <c r="A57" s="1"/>
      <c r="B57" s="37"/>
      <c r="C57" s="13"/>
      <c r="D57" s="16"/>
      <c r="E57" s="14"/>
      <c r="F57" s="13"/>
    </row>
    <row r="58" customFormat="false" ht="15" hidden="false" customHeight="false" outlineLevel="0" collapsed="false">
      <c r="A58" s="1"/>
      <c r="B58" s="41"/>
      <c r="C58" s="23"/>
      <c r="D58" s="26"/>
      <c r="E58" s="24"/>
      <c r="F58" s="23"/>
    </row>
    <row r="59" customFormat="false" ht="15" hidden="false" customHeight="false" outlineLevel="0" collapsed="false">
      <c r="A59" s="1"/>
      <c r="B59" s="37"/>
      <c r="C59" s="13"/>
      <c r="D59" s="16"/>
      <c r="E59" s="14"/>
      <c r="F59" s="13"/>
    </row>
    <row r="60" customFormat="false" ht="15" hidden="false" customHeight="false" outlineLevel="0" collapsed="false">
      <c r="A60" s="1"/>
      <c r="B60" s="41"/>
      <c r="C60" s="23"/>
      <c r="D60" s="26"/>
      <c r="E60" s="24"/>
      <c r="F60" s="23"/>
    </row>
    <row r="61" customFormat="false" ht="15" hidden="false" customHeight="false" outlineLevel="0" collapsed="false">
      <c r="A61" s="1"/>
      <c r="B61" s="37"/>
      <c r="C61" s="13"/>
      <c r="D61" s="16"/>
      <c r="E61" s="14"/>
      <c r="F61" s="13"/>
    </row>
    <row r="62" customFormat="false" ht="15" hidden="false" customHeight="false" outlineLevel="0" collapsed="false">
      <c r="A62" s="1"/>
      <c r="B62" s="41"/>
      <c r="C62" s="23"/>
      <c r="D62" s="26"/>
      <c r="E62" s="24"/>
      <c r="F62" s="23"/>
    </row>
    <row r="63" customFormat="false" ht="15" hidden="false" customHeight="false" outlineLevel="0" collapsed="false">
      <c r="A63" s="1"/>
      <c r="B63" s="37"/>
      <c r="C63" s="13"/>
      <c r="D63" s="16"/>
      <c r="E63" s="14"/>
      <c r="F63" s="13"/>
    </row>
    <row r="64" customFormat="false" ht="15" hidden="false" customHeight="false" outlineLevel="0" collapsed="false">
      <c r="A64" s="1"/>
      <c r="B64" s="41"/>
      <c r="C64" s="23"/>
      <c r="D64" s="26"/>
      <c r="E64" s="24"/>
      <c r="F64" s="23"/>
    </row>
    <row r="65" customFormat="false" ht="15" hidden="false" customHeight="false" outlineLevel="0" collapsed="false">
      <c r="A65" s="1"/>
      <c r="B65" s="37"/>
      <c r="C65" s="13"/>
      <c r="D65" s="16"/>
      <c r="E65" s="14"/>
      <c r="F65" s="13"/>
    </row>
    <row r="66" customFormat="false" ht="15" hidden="false" customHeight="false" outlineLevel="0" collapsed="false">
      <c r="A66" s="1"/>
      <c r="B66" s="41"/>
      <c r="C66" s="23"/>
      <c r="D66" s="26"/>
      <c r="E66" s="24"/>
      <c r="F66" s="23"/>
    </row>
    <row r="67" customFormat="false" ht="15" hidden="false" customHeight="false" outlineLevel="0" collapsed="false">
      <c r="A67" s="1"/>
      <c r="B67" s="37"/>
      <c r="C67" s="13"/>
      <c r="D67" s="16"/>
      <c r="E67" s="14"/>
      <c r="F67" s="13"/>
    </row>
    <row r="68" customFormat="false" ht="15" hidden="false" customHeight="false" outlineLevel="0" collapsed="false">
      <c r="A68" s="1"/>
      <c r="B68" s="41"/>
      <c r="C68" s="23"/>
      <c r="D68" s="26"/>
      <c r="E68" s="24"/>
      <c r="F68" s="23"/>
    </row>
    <row r="69" customFormat="false" ht="15" hidden="false" customHeight="false" outlineLevel="0" collapsed="false">
      <c r="A69" s="1"/>
      <c r="B69" s="37"/>
      <c r="C69" s="13"/>
      <c r="D69" s="16"/>
      <c r="E69" s="14"/>
      <c r="F69" s="13"/>
    </row>
    <row r="70" customFormat="false" ht="15" hidden="false" customHeight="false" outlineLevel="0" collapsed="false">
      <c r="A70" s="1"/>
      <c r="B70" s="41"/>
      <c r="C70" s="23"/>
      <c r="D70" s="26"/>
      <c r="E70" s="24"/>
      <c r="F70" s="23"/>
    </row>
    <row r="71" customFormat="false" ht="15" hidden="false" customHeight="false" outlineLevel="0" collapsed="false">
      <c r="A71" s="1"/>
      <c r="B71" s="37"/>
      <c r="C71" s="13"/>
      <c r="D71" s="16"/>
      <c r="E71" s="14"/>
      <c r="F71" s="13"/>
    </row>
    <row r="72" customFormat="false" ht="15" hidden="false" customHeight="false" outlineLevel="0" collapsed="false">
      <c r="A72" s="1"/>
      <c r="B72" s="41"/>
      <c r="C72" s="23"/>
      <c r="D72" s="26"/>
      <c r="E72" s="24"/>
      <c r="F72" s="23"/>
    </row>
    <row r="73" customFormat="false" ht="15" hidden="false" customHeight="false" outlineLevel="0" collapsed="false">
      <c r="A73" s="1"/>
      <c r="B73" s="37"/>
      <c r="C73" s="13"/>
      <c r="D73" s="16"/>
      <c r="E73" s="14"/>
      <c r="F73" s="13"/>
    </row>
    <row r="74" customFormat="false" ht="15" hidden="false" customHeight="false" outlineLevel="0" collapsed="false">
      <c r="A74" s="1"/>
      <c r="B74" s="41"/>
      <c r="C74" s="23"/>
      <c r="D74" s="26"/>
      <c r="E74" s="24"/>
      <c r="F74" s="23"/>
    </row>
    <row r="75" customFormat="false" ht="15" hidden="false" customHeight="false" outlineLevel="0" collapsed="false">
      <c r="A75" s="1"/>
      <c r="B75" s="37"/>
      <c r="C75" s="13"/>
      <c r="D75" s="16"/>
      <c r="E75" s="14"/>
      <c r="F75" s="13"/>
    </row>
    <row r="76" customFormat="false" ht="15" hidden="false" customHeight="false" outlineLevel="0" collapsed="false">
      <c r="A76" s="1"/>
      <c r="B76" s="41"/>
      <c r="C76" s="23"/>
      <c r="D76" s="26"/>
      <c r="E76" s="24"/>
      <c r="F76" s="23"/>
    </row>
    <row r="77" customFormat="false" ht="15" hidden="false" customHeight="false" outlineLevel="0" collapsed="false">
      <c r="A77" s="1"/>
      <c r="B77" s="37"/>
      <c r="C77" s="13"/>
      <c r="D77" s="16"/>
      <c r="E77" s="14"/>
      <c r="F77" s="13"/>
    </row>
    <row r="78" customFormat="false" ht="15" hidden="false" customHeight="false" outlineLevel="0" collapsed="false">
      <c r="A78" s="1"/>
      <c r="B78" s="41"/>
      <c r="C78" s="23"/>
      <c r="D78" s="26"/>
      <c r="E78" s="24"/>
      <c r="F78" s="23"/>
    </row>
    <row r="79" customFormat="false" ht="15" hidden="false" customHeight="false" outlineLevel="0" collapsed="false">
      <c r="A79" s="1"/>
      <c r="B79" s="37"/>
      <c r="C79" s="13"/>
      <c r="D79" s="16"/>
      <c r="E79" s="14"/>
      <c r="F79" s="13"/>
    </row>
    <row r="80" customFormat="false" ht="15" hidden="false" customHeight="false" outlineLevel="0" collapsed="false">
      <c r="A80" s="1"/>
      <c r="B80" s="41"/>
      <c r="C80" s="23"/>
      <c r="D80" s="26"/>
      <c r="E80" s="24"/>
      <c r="F80" s="23"/>
    </row>
    <row r="81" customFormat="false" ht="15" hidden="false" customHeight="false" outlineLevel="0" collapsed="false">
      <c r="A81" s="1"/>
      <c r="B81" s="37"/>
      <c r="C81" s="13"/>
      <c r="D81" s="16"/>
      <c r="E81" s="14"/>
      <c r="F81" s="13"/>
    </row>
    <row r="82" customFormat="false" ht="15" hidden="false" customHeight="false" outlineLevel="0" collapsed="false">
      <c r="A82" s="1"/>
      <c r="B82" s="41"/>
      <c r="C82" s="23"/>
      <c r="D82" s="26"/>
      <c r="E82" s="24"/>
      <c r="F82" s="23"/>
    </row>
    <row r="83" customFormat="false" ht="15" hidden="false" customHeight="false" outlineLevel="0" collapsed="false">
      <c r="A83" s="1"/>
      <c r="B83" s="37"/>
      <c r="C83" s="13"/>
      <c r="D83" s="16"/>
      <c r="E83" s="14"/>
      <c r="F83" s="13"/>
    </row>
    <row r="84" customFormat="false" ht="15" hidden="false" customHeight="false" outlineLevel="0" collapsed="false">
      <c r="A84" s="1"/>
      <c r="B84" s="41"/>
      <c r="C84" s="23"/>
      <c r="D84" s="26"/>
      <c r="E84" s="24"/>
      <c r="F84" s="23"/>
    </row>
    <row r="85" customFormat="false" ht="15" hidden="false" customHeight="false" outlineLevel="0" collapsed="false">
      <c r="A85" s="1"/>
      <c r="B85" s="37"/>
      <c r="C85" s="13"/>
      <c r="D85" s="16"/>
      <c r="E85" s="14"/>
      <c r="F85" s="13"/>
    </row>
    <row r="86" customFormat="false" ht="15" hidden="false" customHeight="false" outlineLevel="0" collapsed="false">
      <c r="A86" s="1"/>
      <c r="B86" s="41"/>
      <c r="C86" s="23"/>
      <c r="D86" s="26"/>
      <c r="E86" s="24"/>
      <c r="F86" s="23"/>
    </row>
    <row r="87" customFormat="false" ht="15" hidden="false" customHeight="false" outlineLevel="0" collapsed="false">
      <c r="A87" s="1"/>
      <c r="B87" s="37"/>
      <c r="C87" s="13"/>
      <c r="D87" s="16"/>
      <c r="E87" s="14"/>
      <c r="F87" s="13"/>
    </row>
    <row r="88" customFormat="false" ht="15" hidden="false" customHeight="false" outlineLevel="0" collapsed="false">
      <c r="A88" s="1"/>
      <c r="B88" s="41"/>
      <c r="C88" s="23"/>
      <c r="D88" s="26"/>
      <c r="E88" s="24"/>
      <c r="F88" s="23"/>
    </row>
    <row r="89" customFormat="false" ht="15" hidden="false" customHeight="false" outlineLevel="0" collapsed="false">
      <c r="A89" s="1"/>
      <c r="B89" s="37"/>
      <c r="C89" s="13"/>
      <c r="D89" s="16"/>
      <c r="E89" s="14"/>
      <c r="F89" s="13"/>
    </row>
    <row r="90" customFormat="false" ht="15" hidden="false" customHeight="false" outlineLevel="0" collapsed="false">
      <c r="A90" s="1"/>
      <c r="B90" s="41"/>
      <c r="C90" s="23"/>
      <c r="D90" s="26"/>
      <c r="E90" s="24"/>
      <c r="F90" s="23"/>
    </row>
    <row r="91" customFormat="false" ht="15" hidden="false" customHeight="false" outlineLevel="0" collapsed="false">
      <c r="A91" s="1"/>
      <c r="B91" s="37"/>
      <c r="C91" s="13"/>
      <c r="D91" s="16"/>
      <c r="E91" s="14"/>
      <c r="F91" s="13"/>
    </row>
    <row r="92" customFormat="false" ht="15" hidden="false" customHeight="false" outlineLevel="0" collapsed="false">
      <c r="A92" s="1"/>
      <c r="B92" s="41"/>
      <c r="C92" s="23"/>
      <c r="D92" s="26"/>
      <c r="E92" s="24"/>
      <c r="F92" s="23"/>
    </row>
    <row r="93" customFormat="false" ht="15" hidden="false" customHeight="false" outlineLevel="0" collapsed="false">
      <c r="A93" s="1"/>
      <c r="B93" s="37"/>
      <c r="C93" s="13"/>
      <c r="D93" s="16"/>
      <c r="E93" s="14"/>
      <c r="F93" s="13"/>
    </row>
    <row r="94" customFormat="false" ht="15" hidden="false" customHeight="false" outlineLevel="0" collapsed="false">
      <c r="A94" s="1"/>
      <c r="B94" s="41"/>
      <c r="C94" s="23"/>
      <c r="D94" s="26"/>
      <c r="E94" s="24"/>
      <c r="F94" s="23"/>
    </row>
    <row r="95" customFormat="false" ht="15" hidden="false" customHeight="false" outlineLevel="0" collapsed="false">
      <c r="A95" s="1"/>
      <c r="B95" s="37"/>
      <c r="C95" s="13"/>
      <c r="D95" s="16"/>
      <c r="E95" s="14"/>
      <c r="F95" s="13"/>
    </row>
    <row r="96" customFormat="false" ht="15" hidden="false" customHeight="false" outlineLevel="0" collapsed="false">
      <c r="A96" s="1"/>
      <c r="B96" s="41"/>
      <c r="C96" s="23"/>
      <c r="D96" s="26"/>
      <c r="E96" s="24"/>
      <c r="F96" s="23"/>
    </row>
    <row r="97" customFormat="false" ht="15" hidden="false" customHeight="false" outlineLevel="0" collapsed="false">
      <c r="A97" s="1"/>
      <c r="B97" s="37"/>
      <c r="C97" s="13"/>
      <c r="D97" s="16"/>
      <c r="E97" s="14"/>
      <c r="F97" s="13"/>
    </row>
    <row r="98" customFormat="false" ht="15" hidden="false" customHeight="false" outlineLevel="0" collapsed="false">
      <c r="A98" s="1"/>
      <c r="B98" s="41"/>
      <c r="C98" s="23"/>
      <c r="D98" s="26"/>
      <c r="E98" s="24"/>
      <c r="F98" s="23"/>
    </row>
    <row r="99" customFormat="false" ht="15" hidden="false" customHeight="false" outlineLevel="0" collapsed="false">
      <c r="A99" s="1"/>
      <c r="B99" s="37"/>
      <c r="C99" s="13"/>
      <c r="D99" s="16"/>
      <c r="E99" s="14"/>
      <c r="F99" s="13"/>
    </row>
    <row r="100" customFormat="false" ht="15" hidden="false" customHeight="false" outlineLevel="0" collapsed="false">
      <c r="A100" s="1"/>
      <c r="B100" s="41"/>
      <c r="C100" s="23"/>
      <c r="D100" s="26"/>
      <c r="E100" s="24"/>
      <c r="F100" s="23"/>
    </row>
    <row r="101" customFormat="false" ht="15" hidden="false" customHeight="false" outlineLevel="0" collapsed="false">
      <c r="A101" s="1"/>
      <c r="B101" s="37"/>
      <c r="C101" s="13"/>
      <c r="D101" s="16"/>
      <c r="E101" s="14"/>
      <c r="F101" s="13"/>
    </row>
    <row r="102" customFormat="false" ht="15" hidden="false" customHeight="false" outlineLevel="0" collapsed="false">
      <c r="A102" s="1"/>
      <c r="B102" s="41"/>
      <c r="C102" s="23"/>
      <c r="D102" s="26"/>
      <c r="E102" s="24"/>
      <c r="F102" s="23"/>
    </row>
    <row r="103" customFormat="false" ht="15" hidden="false" customHeight="false" outlineLevel="0" collapsed="false">
      <c r="A103" s="1"/>
      <c r="B103" s="37"/>
      <c r="C103" s="13"/>
      <c r="D103" s="16"/>
      <c r="E103" s="14"/>
      <c r="F103" s="13"/>
    </row>
    <row r="104" customFormat="false" ht="15" hidden="false" customHeight="false" outlineLevel="0" collapsed="false">
      <c r="A104" s="1"/>
      <c r="B104" s="41"/>
      <c r="C104" s="23"/>
      <c r="D104" s="26"/>
      <c r="E104" s="24"/>
      <c r="F104" s="23"/>
    </row>
    <row r="105" customFormat="false" ht="15" hidden="false" customHeight="false" outlineLevel="0" collapsed="false">
      <c r="A105" s="1"/>
      <c r="B105" s="37"/>
      <c r="C105" s="13"/>
      <c r="D105" s="16"/>
      <c r="E105" s="14"/>
      <c r="F105" s="13"/>
    </row>
    <row r="106" customFormat="false" ht="15" hidden="false" customHeight="false" outlineLevel="0" collapsed="false">
      <c r="A106" s="1"/>
      <c r="B106" s="41"/>
      <c r="C106" s="23"/>
      <c r="D106" s="26"/>
      <c r="E106" s="24"/>
      <c r="F106" s="23"/>
    </row>
    <row r="107" customFormat="false" ht="15" hidden="false" customHeight="false" outlineLevel="0" collapsed="false">
      <c r="A107" s="1"/>
      <c r="B107" s="37"/>
      <c r="C107" s="13"/>
      <c r="D107" s="16"/>
      <c r="E107" s="14"/>
      <c r="F107" s="13"/>
    </row>
    <row r="108" customFormat="false" ht="15" hidden="false" customHeight="false" outlineLevel="0" collapsed="false">
      <c r="A108" s="1"/>
      <c r="B108" s="41"/>
      <c r="C108" s="23"/>
      <c r="D108" s="26"/>
      <c r="E108" s="24"/>
      <c r="F108" s="23"/>
    </row>
    <row r="109" customFormat="false" ht="15" hidden="false" customHeight="false" outlineLevel="0" collapsed="false">
      <c r="A109" s="1"/>
      <c r="B109" s="37"/>
      <c r="C109" s="13"/>
      <c r="D109" s="16"/>
      <c r="E109" s="14"/>
      <c r="F109" s="13"/>
    </row>
    <row r="110" customFormat="false" ht="15" hidden="false" customHeight="false" outlineLevel="0" collapsed="false">
      <c r="A110" s="1"/>
      <c r="B110" s="41"/>
      <c r="C110" s="23"/>
      <c r="D110" s="26"/>
      <c r="E110" s="24"/>
      <c r="F110" s="23"/>
    </row>
    <row r="111" customFormat="false" ht="15" hidden="false" customHeight="false" outlineLevel="0" collapsed="false">
      <c r="A111" s="1"/>
      <c r="B111" s="37"/>
      <c r="C111" s="13"/>
      <c r="D111" s="16"/>
      <c r="E111" s="14"/>
      <c r="F111" s="13"/>
    </row>
    <row r="112" customFormat="false" ht="15" hidden="false" customHeight="false" outlineLevel="0" collapsed="false">
      <c r="A112" s="1"/>
      <c r="B112" s="41"/>
      <c r="C112" s="23"/>
      <c r="D112" s="26"/>
      <c r="E112" s="24"/>
      <c r="F112" s="23"/>
    </row>
    <row r="113" customFormat="false" ht="15" hidden="false" customHeight="false" outlineLevel="0" collapsed="false">
      <c r="A113" s="1"/>
      <c r="B113" s="37"/>
      <c r="C113" s="13"/>
      <c r="D113" s="16"/>
      <c r="E113" s="14"/>
      <c r="F113" s="13"/>
    </row>
    <row r="114" customFormat="false" ht="15" hidden="false" customHeight="false" outlineLevel="0" collapsed="false">
      <c r="A114" s="1"/>
      <c r="B114" s="41"/>
      <c r="C114" s="23"/>
      <c r="D114" s="26"/>
      <c r="E114" s="24"/>
      <c r="F114" s="23"/>
    </row>
    <row r="115" customFormat="false" ht="15" hidden="false" customHeight="false" outlineLevel="0" collapsed="false">
      <c r="A115" s="1"/>
      <c r="B115" s="37"/>
      <c r="C115" s="13"/>
      <c r="D115" s="16"/>
      <c r="E115" s="14"/>
      <c r="F115" s="13"/>
    </row>
    <row r="116" customFormat="false" ht="15" hidden="false" customHeight="false" outlineLevel="0" collapsed="false">
      <c r="A116" s="1"/>
      <c r="B116" s="41"/>
      <c r="C116" s="23"/>
      <c r="D116" s="26"/>
      <c r="E116" s="24"/>
      <c r="F116" s="23"/>
    </row>
    <row r="117" customFormat="false" ht="15" hidden="false" customHeight="false" outlineLevel="0" collapsed="false">
      <c r="A117" s="1"/>
      <c r="B117" s="37"/>
      <c r="C117" s="13"/>
      <c r="D117" s="16"/>
      <c r="E117" s="14"/>
      <c r="F117" s="13"/>
    </row>
    <row r="118" customFormat="false" ht="15" hidden="false" customHeight="false" outlineLevel="0" collapsed="false">
      <c r="A118" s="1"/>
      <c r="B118" s="41"/>
      <c r="C118" s="23"/>
      <c r="D118" s="26"/>
      <c r="E118" s="24"/>
      <c r="F118" s="23"/>
    </row>
    <row r="119" customFormat="false" ht="15" hidden="false" customHeight="false" outlineLevel="0" collapsed="false">
      <c r="A119" s="1"/>
      <c r="B119" s="37"/>
      <c r="C119" s="13"/>
      <c r="D119" s="16"/>
      <c r="E119" s="14"/>
      <c r="F119" s="13"/>
    </row>
    <row r="120" customFormat="false" ht="15" hidden="false" customHeight="false" outlineLevel="0" collapsed="false">
      <c r="A120" s="1"/>
      <c r="B120" s="41"/>
      <c r="C120" s="23"/>
      <c r="D120" s="26"/>
      <c r="E120" s="24"/>
      <c r="F120" s="23"/>
    </row>
    <row r="121" customFormat="false" ht="15" hidden="false" customHeight="false" outlineLevel="0" collapsed="false">
      <c r="A121" s="1"/>
      <c r="B121" s="37"/>
      <c r="C121" s="13"/>
      <c r="D121" s="16"/>
      <c r="E121" s="14"/>
      <c r="F121" s="13"/>
    </row>
    <row r="122" customFormat="false" ht="15" hidden="false" customHeight="false" outlineLevel="0" collapsed="false">
      <c r="A122" s="1"/>
      <c r="B122" s="41"/>
      <c r="C122" s="23"/>
      <c r="D122" s="26"/>
      <c r="E122" s="24"/>
      <c r="F122" s="23"/>
    </row>
    <row r="123" customFormat="false" ht="15" hidden="false" customHeight="false" outlineLevel="0" collapsed="false">
      <c r="A123" s="1"/>
      <c r="B123" s="37"/>
      <c r="C123" s="13"/>
      <c r="D123" s="16"/>
      <c r="E123" s="14"/>
      <c r="F123" s="13"/>
    </row>
    <row r="124" customFormat="false" ht="15" hidden="false" customHeight="false" outlineLevel="0" collapsed="false">
      <c r="A124" s="1"/>
      <c r="B124" s="41"/>
      <c r="C124" s="23"/>
      <c r="D124" s="26"/>
      <c r="E124" s="24"/>
      <c r="F124" s="23"/>
    </row>
    <row r="125" customFormat="false" ht="15" hidden="false" customHeight="false" outlineLevel="0" collapsed="false">
      <c r="A125" s="1"/>
      <c r="B125" s="37"/>
      <c r="C125" s="13"/>
      <c r="D125" s="16"/>
      <c r="E125" s="14"/>
      <c r="F125" s="13"/>
    </row>
    <row r="126" customFormat="false" ht="15" hidden="false" customHeight="false" outlineLevel="0" collapsed="false">
      <c r="A126" s="1"/>
      <c r="B126" s="41"/>
      <c r="C126" s="23"/>
      <c r="D126" s="26"/>
      <c r="E126" s="24"/>
      <c r="F126" s="23"/>
    </row>
    <row r="127" customFormat="false" ht="15" hidden="false" customHeight="false" outlineLevel="0" collapsed="false">
      <c r="A127" s="1"/>
      <c r="B127" s="37"/>
      <c r="C127" s="13"/>
      <c r="D127" s="16"/>
      <c r="E127" s="14"/>
      <c r="F127" s="13"/>
    </row>
    <row r="128" customFormat="false" ht="15" hidden="false" customHeight="false" outlineLevel="0" collapsed="false">
      <c r="A128" s="1"/>
      <c r="B128" s="41"/>
      <c r="C128" s="23"/>
      <c r="D128" s="26"/>
      <c r="E128" s="24"/>
      <c r="F128" s="23"/>
    </row>
    <row r="129" customFormat="false" ht="15" hidden="false" customHeight="false" outlineLevel="0" collapsed="false">
      <c r="A129" s="1"/>
      <c r="B129" s="37"/>
      <c r="C129" s="13"/>
      <c r="D129" s="16"/>
      <c r="E129" s="14"/>
      <c r="F129" s="13"/>
    </row>
    <row r="130" customFormat="false" ht="15" hidden="false" customHeight="false" outlineLevel="0" collapsed="false">
      <c r="A130" s="1"/>
      <c r="B130" s="41"/>
      <c r="C130" s="23"/>
      <c r="D130" s="26"/>
      <c r="E130" s="24"/>
      <c r="F130" s="23"/>
    </row>
    <row r="131" customFormat="false" ht="15" hidden="false" customHeight="false" outlineLevel="0" collapsed="false">
      <c r="A131" s="1"/>
      <c r="B131" s="37"/>
      <c r="C131" s="13"/>
      <c r="D131" s="16"/>
      <c r="E131" s="14"/>
      <c r="F131" s="13"/>
    </row>
    <row r="132" customFormat="false" ht="15" hidden="false" customHeight="false" outlineLevel="0" collapsed="false">
      <c r="A132" s="1"/>
      <c r="B132" s="41"/>
      <c r="C132" s="23"/>
      <c r="D132" s="26"/>
      <c r="E132" s="24"/>
      <c r="F132" s="23"/>
    </row>
    <row r="133" customFormat="false" ht="15" hidden="false" customHeight="false" outlineLevel="0" collapsed="false">
      <c r="A133" s="1"/>
      <c r="B133" s="37"/>
      <c r="C133" s="13"/>
      <c r="D133" s="16"/>
      <c r="E133" s="14"/>
      <c r="F133" s="13"/>
    </row>
    <row r="134" customFormat="false" ht="15" hidden="false" customHeight="false" outlineLevel="0" collapsed="false">
      <c r="A134" s="1"/>
      <c r="B134" s="41"/>
      <c r="C134" s="23"/>
      <c r="D134" s="26"/>
      <c r="E134" s="24"/>
      <c r="F134" s="23"/>
    </row>
    <row r="135" customFormat="false" ht="15" hidden="false" customHeight="false" outlineLevel="0" collapsed="false">
      <c r="A135" s="1"/>
      <c r="B135" s="37"/>
      <c r="C135" s="13"/>
      <c r="D135" s="16"/>
      <c r="E135" s="14"/>
      <c r="F135" s="13"/>
    </row>
    <row r="136" customFormat="false" ht="15" hidden="false" customHeight="false" outlineLevel="0" collapsed="false">
      <c r="A136" s="1"/>
      <c r="B136" s="41"/>
      <c r="C136" s="23"/>
      <c r="D136" s="26"/>
      <c r="E136" s="24"/>
      <c r="F136" s="23"/>
    </row>
    <row r="137" customFormat="false" ht="15" hidden="false" customHeight="false" outlineLevel="0" collapsed="false">
      <c r="A137" s="1"/>
      <c r="B137" s="37"/>
      <c r="C137" s="13"/>
      <c r="D137" s="16"/>
      <c r="E137" s="14"/>
      <c r="F137" s="13"/>
    </row>
    <row r="138" customFormat="false" ht="15" hidden="false" customHeight="false" outlineLevel="0" collapsed="false">
      <c r="A138" s="1"/>
      <c r="B138" s="41"/>
      <c r="C138" s="23"/>
      <c r="D138" s="26"/>
      <c r="E138" s="24"/>
      <c r="F138" s="23"/>
    </row>
    <row r="139" customFormat="false" ht="15" hidden="false" customHeight="false" outlineLevel="0" collapsed="false">
      <c r="A139" s="1"/>
      <c r="B139" s="37"/>
      <c r="C139" s="13"/>
      <c r="D139" s="16"/>
      <c r="E139" s="14"/>
      <c r="F139" s="13"/>
    </row>
    <row r="140" customFormat="false" ht="15" hidden="false" customHeight="false" outlineLevel="0" collapsed="false">
      <c r="A140" s="1"/>
      <c r="B140" s="41"/>
      <c r="C140" s="23"/>
      <c r="D140" s="26"/>
      <c r="E140" s="24"/>
      <c r="F140" s="23"/>
    </row>
    <row r="141" customFormat="false" ht="15" hidden="false" customHeight="false" outlineLevel="0" collapsed="false">
      <c r="A141" s="1"/>
      <c r="B141" s="37"/>
      <c r="C141" s="13"/>
      <c r="D141" s="16"/>
      <c r="E141" s="14"/>
      <c r="F141" s="13"/>
    </row>
    <row r="142" customFormat="false" ht="15" hidden="false" customHeight="false" outlineLevel="0" collapsed="false">
      <c r="A142" s="1"/>
      <c r="B142" s="41"/>
      <c r="C142" s="23"/>
      <c r="D142" s="26"/>
      <c r="E142" s="24"/>
      <c r="F142" s="23"/>
    </row>
    <row r="143" customFormat="false" ht="15" hidden="false" customHeight="false" outlineLevel="0" collapsed="false">
      <c r="A143" s="1"/>
      <c r="B143" s="37"/>
      <c r="C143" s="13"/>
      <c r="D143" s="16"/>
      <c r="E143" s="14"/>
      <c r="F143" s="13"/>
    </row>
    <row r="144" customFormat="false" ht="15" hidden="false" customHeight="false" outlineLevel="0" collapsed="false">
      <c r="A144" s="1"/>
      <c r="B144" s="41"/>
      <c r="C144" s="23"/>
      <c r="D144" s="26"/>
      <c r="E144" s="24"/>
      <c r="F144" s="23"/>
    </row>
    <row r="145" customFormat="false" ht="15" hidden="false" customHeight="false" outlineLevel="0" collapsed="false">
      <c r="A145" s="1"/>
      <c r="B145" s="37"/>
      <c r="C145" s="13"/>
      <c r="D145" s="16"/>
      <c r="E145" s="14"/>
      <c r="F145" s="13"/>
    </row>
    <row r="146" customFormat="false" ht="15" hidden="false" customHeight="false" outlineLevel="0" collapsed="false">
      <c r="A146" s="1"/>
      <c r="B146" s="41"/>
      <c r="C146" s="23"/>
      <c r="D146" s="26"/>
      <c r="E146" s="24"/>
      <c r="F146" s="23"/>
    </row>
    <row r="147" customFormat="false" ht="15" hidden="false" customHeight="false" outlineLevel="0" collapsed="false">
      <c r="A147" s="1"/>
      <c r="B147" s="37"/>
      <c r="C147" s="13"/>
      <c r="D147" s="16"/>
      <c r="E147" s="14"/>
      <c r="F147" s="13"/>
    </row>
    <row r="148" customFormat="false" ht="15" hidden="false" customHeight="false" outlineLevel="0" collapsed="false">
      <c r="A148" s="1"/>
      <c r="B148" s="41"/>
      <c r="C148" s="23"/>
      <c r="D148" s="26"/>
      <c r="E148" s="24"/>
      <c r="F148" s="23"/>
    </row>
    <row r="149" customFormat="false" ht="15" hidden="false" customHeight="false" outlineLevel="0" collapsed="false">
      <c r="A149" s="1"/>
      <c r="B149" s="37"/>
      <c r="C149" s="13"/>
      <c r="D149" s="16"/>
      <c r="E149" s="14"/>
      <c r="F149" s="13"/>
    </row>
    <row r="150" customFormat="false" ht="15" hidden="false" customHeight="false" outlineLevel="0" collapsed="false">
      <c r="A150" s="1"/>
      <c r="B150" s="41"/>
      <c r="C150" s="23"/>
      <c r="D150" s="26"/>
      <c r="E150" s="24"/>
      <c r="F150" s="23"/>
    </row>
    <row r="151" customFormat="false" ht="15" hidden="false" customHeight="false" outlineLevel="0" collapsed="false">
      <c r="A151" s="1"/>
      <c r="B151" s="37"/>
      <c r="C151" s="13"/>
      <c r="D151" s="16"/>
      <c r="E151" s="14"/>
      <c r="F151" s="13"/>
    </row>
    <row r="152" customFormat="false" ht="15" hidden="false" customHeight="false" outlineLevel="0" collapsed="false">
      <c r="A152" s="1"/>
      <c r="B152" s="41"/>
      <c r="C152" s="23"/>
      <c r="D152" s="26"/>
      <c r="E152" s="24"/>
      <c r="F152" s="23"/>
    </row>
    <row r="153" customFormat="false" ht="15" hidden="false" customHeight="false" outlineLevel="0" collapsed="false">
      <c r="A153" s="1"/>
      <c r="B153" s="37"/>
      <c r="C153" s="13"/>
      <c r="D153" s="16"/>
      <c r="E153" s="14"/>
      <c r="F153" s="13"/>
    </row>
    <row r="154" customFormat="false" ht="15" hidden="false" customHeight="false" outlineLevel="0" collapsed="false">
      <c r="A154" s="1"/>
      <c r="B154" s="41"/>
      <c r="C154" s="23"/>
      <c r="D154" s="26"/>
      <c r="E154" s="24"/>
      <c r="F154" s="23"/>
    </row>
    <row r="155" customFormat="false" ht="15" hidden="false" customHeight="false" outlineLevel="0" collapsed="false">
      <c r="A155" s="1"/>
      <c r="B155" s="37"/>
      <c r="C155" s="13"/>
      <c r="D155" s="16"/>
      <c r="E155" s="14"/>
      <c r="F155" s="13"/>
    </row>
    <row r="156" customFormat="false" ht="15" hidden="false" customHeight="false" outlineLevel="0" collapsed="false">
      <c r="A156" s="1"/>
      <c r="B156" s="41"/>
      <c r="C156" s="23"/>
      <c r="D156" s="26"/>
      <c r="E156" s="24"/>
      <c r="F156" s="23"/>
    </row>
    <row r="157" customFormat="false" ht="15" hidden="false" customHeight="false" outlineLevel="0" collapsed="false">
      <c r="A157" s="1"/>
      <c r="B157" s="37"/>
      <c r="C157" s="13"/>
      <c r="D157" s="16"/>
      <c r="E157" s="14"/>
      <c r="F157" s="13"/>
    </row>
    <row r="158" customFormat="false" ht="15" hidden="false" customHeight="false" outlineLevel="0" collapsed="false">
      <c r="A158" s="1"/>
      <c r="B158" s="41"/>
      <c r="C158" s="23"/>
      <c r="D158" s="26"/>
      <c r="E158" s="24"/>
      <c r="F158" s="23"/>
    </row>
    <row r="159" customFormat="false" ht="15" hidden="false" customHeight="false" outlineLevel="0" collapsed="false">
      <c r="A159" s="1"/>
      <c r="B159" s="37"/>
      <c r="C159" s="13"/>
      <c r="D159" s="16"/>
      <c r="E159" s="14"/>
      <c r="F159" s="13"/>
    </row>
    <row r="160" customFormat="false" ht="15" hidden="false" customHeight="false" outlineLevel="0" collapsed="false">
      <c r="A160" s="1"/>
      <c r="B160" s="41"/>
      <c r="C160" s="23"/>
      <c r="D160" s="26"/>
      <c r="E160" s="24"/>
      <c r="F160" s="23"/>
    </row>
    <row r="161" customFormat="false" ht="15" hidden="false" customHeight="false" outlineLevel="0" collapsed="false">
      <c r="A161" s="1"/>
      <c r="B161" s="37"/>
      <c r="C161" s="13"/>
      <c r="D161" s="16"/>
      <c r="E161" s="14"/>
      <c r="F161" s="13"/>
    </row>
    <row r="162" customFormat="false" ht="15" hidden="false" customHeight="false" outlineLevel="0" collapsed="false">
      <c r="A162" s="1"/>
      <c r="B162" s="41"/>
      <c r="C162" s="23"/>
      <c r="D162" s="26"/>
      <c r="E162" s="24"/>
      <c r="F162" s="23"/>
    </row>
    <row r="163" customFormat="false" ht="15" hidden="false" customHeight="false" outlineLevel="0" collapsed="false">
      <c r="A163" s="1"/>
      <c r="B163" s="37"/>
      <c r="C163" s="13"/>
      <c r="D163" s="16"/>
      <c r="E163" s="14"/>
      <c r="F163" s="13"/>
    </row>
    <row r="164" customFormat="false" ht="15" hidden="false" customHeight="false" outlineLevel="0" collapsed="false">
      <c r="A164" s="1"/>
      <c r="B164" s="41"/>
      <c r="C164" s="23"/>
      <c r="D164" s="26"/>
      <c r="E164" s="24"/>
      <c r="F164" s="23"/>
    </row>
    <row r="165" customFormat="false" ht="15" hidden="false" customHeight="false" outlineLevel="0" collapsed="false">
      <c r="A165" s="1"/>
      <c r="B165" s="37"/>
      <c r="C165" s="13"/>
      <c r="D165" s="16"/>
      <c r="E165" s="14"/>
      <c r="F165" s="13"/>
    </row>
    <row r="166" customFormat="false" ht="15" hidden="false" customHeight="false" outlineLevel="0" collapsed="false">
      <c r="A166" s="1"/>
      <c r="B166" s="41"/>
      <c r="C166" s="23"/>
      <c r="D166" s="26"/>
      <c r="E166" s="24"/>
      <c r="F166" s="23"/>
    </row>
    <row r="167" customFormat="false" ht="15" hidden="false" customHeight="false" outlineLevel="0" collapsed="false">
      <c r="A167" s="1"/>
      <c r="B167" s="37"/>
      <c r="C167" s="13"/>
      <c r="D167" s="16"/>
      <c r="E167" s="14"/>
      <c r="F167" s="13"/>
    </row>
    <row r="168" customFormat="false" ht="15" hidden="false" customHeight="false" outlineLevel="0" collapsed="false">
      <c r="A168" s="1"/>
      <c r="B168" s="41"/>
      <c r="C168" s="23"/>
      <c r="D168" s="26"/>
      <c r="E168" s="24"/>
      <c r="F168" s="23"/>
    </row>
    <row r="169" customFormat="false" ht="15" hidden="false" customHeight="false" outlineLevel="0" collapsed="false">
      <c r="A169" s="1"/>
      <c r="B169" s="37"/>
      <c r="C169" s="13"/>
      <c r="D169" s="16"/>
      <c r="E169" s="14"/>
      <c r="F169" s="13"/>
    </row>
    <row r="170" customFormat="false" ht="15" hidden="false" customHeight="false" outlineLevel="0" collapsed="false">
      <c r="A170" s="1"/>
      <c r="B170" s="41"/>
      <c r="C170" s="23"/>
      <c r="D170" s="26"/>
      <c r="E170" s="24"/>
      <c r="F170" s="23"/>
    </row>
    <row r="171" customFormat="false" ht="15" hidden="false" customHeight="false" outlineLevel="0" collapsed="false">
      <c r="A171" s="1"/>
      <c r="B171" s="37"/>
      <c r="C171" s="13"/>
      <c r="D171" s="16"/>
      <c r="E171" s="14"/>
      <c r="F171" s="13"/>
    </row>
    <row r="172" customFormat="false" ht="15" hidden="false" customHeight="false" outlineLevel="0" collapsed="false">
      <c r="A172" s="1"/>
      <c r="B172" s="41"/>
      <c r="C172" s="23"/>
      <c r="D172" s="26"/>
      <c r="E172" s="24"/>
      <c r="F172" s="23"/>
    </row>
    <row r="173" customFormat="false" ht="15" hidden="false" customHeight="false" outlineLevel="0" collapsed="false">
      <c r="A173" s="1"/>
      <c r="B173" s="37"/>
      <c r="C173" s="13"/>
      <c r="D173" s="16"/>
      <c r="E173" s="14"/>
      <c r="F173" s="13"/>
    </row>
    <row r="174" customFormat="false" ht="15" hidden="false" customHeight="false" outlineLevel="0" collapsed="false">
      <c r="A174" s="1"/>
      <c r="B174" s="41"/>
      <c r="C174" s="23"/>
      <c r="D174" s="26"/>
      <c r="E174" s="24"/>
      <c r="F174" s="23"/>
    </row>
    <row r="175" customFormat="false" ht="15" hidden="false" customHeight="false" outlineLevel="0" collapsed="false">
      <c r="A175" s="1"/>
      <c r="B175" s="37"/>
      <c r="C175" s="13"/>
      <c r="D175" s="16"/>
      <c r="E175" s="14"/>
      <c r="F175" s="13"/>
    </row>
    <row r="176" customFormat="false" ht="15" hidden="false" customHeight="false" outlineLevel="0" collapsed="false">
      <c r="A176" s="1"/>
      <c r="B176" s="41"/>
      <c r="C176" s="23"/>
      <c r="D176" s="26"/>
      <c r="E176" s="24"/>
      <c r="F176" s="23"/>
    </row>
    <row r="177" customFormat="false" ht="15" hidden="false" customHeight="false" outlineLevel="0" collapsed="false">
      <c r="A177" s="1"/>
      <c r="B177" s="37"/>
      <c r="C177" s="13"/>
      <c r="D177" s="16"/>
      <c r="E177" s="14"/>
      <c r="F177" s="13"/>
    </row>
    <row r="178" customFormat="false" ht="15" hidden="false" customHeight="false" outlineLevel="0" collapsed="false">
      <c r="A178" s="1"/>
      <c r="B178" s="41"/>
      <c r="C178" s="23"/>
      <c r="D178" s="26"/>
      <c r="E178" s="24"/>
      <c r="F178" s="23"/>
    </row>
    <row r="179" customFormat="false" ht="15" hidden="false" customHeight="false" outlineLevel="0" collapsed="false">
      <c r="A179" s="1"/>
      <c r="B179" s="37"/>
      <c r="C179" s="13"/>
      <c r="D179" s="16"/>
      <c r="E179" s="14"/>
      <c r="F179" s="13"/>
    </row>
    <row r="180" customFormat="false" ht="15" hidden="false" customHeight="false" outlineLevel="0" collapsed="false">
      <c r="A180" s="1"/>
      <c r="B180" s="41"/>
      <c r="C180" s="23"/>
      <c r="D180" s="26"/>
      <c r="E180" s="24"/>
      <c r="F180" s="23"/>
    </row>
    <row r="181" customFormat="false" ht="15" hidden="false" customHeight="false" outlineLevel="0" collapsed="false">
      <c r="A181" s="1"/>
      <c r="B181" s="37"/>
      <c r="C181" s="13"/>
      <c r="D181" s="16"/>
      <c r="E181" s="14"/>
      <c r="F181" s="13"/>
    </row>
    <row r="182" customFormat="false" ht="15" hidden="false" customHeight="false" outlineLevel="0" collapsed="false">
      <c r="A182" s="1"/>
      <c r="B182" s="41"/>
      <c r="C182" s="23"/>
      <c r="D182" s="26"/>
      <c r="E182" s="24"/>
      <c r="F182" s="23"/>
    </row>
    <row r="183" customFormat="false" ht="15" hidden="false" customHeight="false" outlineLevel="0" collapsed="false">
      <c r="A183" s="1"/>
      <c r="B183" s="37"/>
      <c r="C183" s="13"/>
      <c r="D183" s="16"/>
      <c r="E183" s="14"/>
      <c r="F183" s="13"/>
    </row>
    <row r="184" customFormat="false" ht="15" hidden="false" customHeight="false" outlineLevel="0" collapsed="false">
      <c r="A184" s="1"/>
      <c r="B184" s="41"/>
      <c r="C184" s="23"/>
      <c r="D184" s="26"/>
      <c r="E184" s="24"/>
      <c r="F184" s="23"/>
    </row>
    <row r="185" customFormat="false" ht="15" hidden="false" customHeight="false" outlineLevel="0" collapsed="false">
      <c r="A185" s="1"/>
      <c r="B185" s="37"/>
      <c r="C185" s="13"/>
      <c r="D185" s="16"/>
      <c r="E185" s="14"/>
      <c r="F185" s="13"/>
    </row>
    <row r="186" customFormat="false" ht="15" hidden="false" customHeight="false" outlineLevel="0" collapsed="false">
      <c r="A186" s="1"/>
      <c r="B186" s="41"/>
      <c r="C186" s="23"/>
      <c r="D186" s="26"/>
      <c r="E186" s="24"/>
      <c r="F186" s="23"/>
    </row>
    <row r="187" customFormat="false" ht="15" hidden="false" customHeight="false" outlineLevel="0" collapsed="false">
      <c r="A187" s="1"/>
      <c r="B187" s="37"/>
      <c r="C187" s="13"/>
      <c r="D187" s="16"/>
      <c r="E187" s="14"/>
      <c r="F187" s="13"/>
    </row>
    <row r="188" customFormat="false" ht="15" hidden="false" customHeight="false" outlineLevel="0" collapsed="false">
      <c r="A188" s="1"/>
      <c r="B188" s="41"/>
      <c r="C188" s="23"/>
      <c r="D188" s="26"/>
      <c r="E188" s="24"/>
      <c r="F188" s="23"/>
    </row>
    <row r="189" customFormat="false" ht="15" hidden="false" customHeight="false" outlineLevel="0" collapsed="false">
      <c r="A189" s="1"/>
      <c r="B189" s="37"/>
      <c r="C189" s="13"/>
      <c r="D189" s="16"/>
      <c r="E189" s="14"/>
      <c r="F189" s="13"/>
    </row>
    <row r="190" customFormat="false" ht="15" hidden="false" customHeight="false" outlineLevel="0" collapsed="false">
      <c r="A190" s="1"/>
      <c r="B190" s="41"/>
      <c r="C190" s="23"/>
      <c r="D190" s="26"/>
      <c r="E190" s="24"/>
      <c r="F190" s="23"/>
    </row>
    <row r="191" customFormat="false" ht="15" hidden="false" customHeight="false" outlineLevel="0" collapsed="false">
      <c r="A191" s="1"/>
      <c r="B191" s="37"/>
      <c r="C191" s="13"/>
      <c r="D191" s="16"/>
      <c r="E191" s="14"/>
      <c r="F191" s="13"/>
    </row>
    <row r="192" customFormat="false" ht="15" hidden="false" customHeight="false" outlineLevel="0" collapsed="false">
      <c r="A192" s="1"/>
      <c r="B192" s="41"/>
      <c r="C192" s="23"/>
      <c r="D192" s="26"/>
      <c r="E192" s="24"/>
      <c r="F192" s="23"/>
    </row>
    <row r="193" customFormat="false" ht="15" hidden="false" customHeight="false" outlineLevel="0" collapsed="false">
      <c r="A193" s="1"/>
      <c r="B193" s="37"/>
      <c r="C193" s="13"/>
      <c r="D193" s="16"/>
      <c r="E193" s="14"/>
      <c r="F193" s="13"/>
    </row>
    <row r="194" customFormat="false" ht="15" hidden="false" customHeight="false" outlineLevel="0" collapsed="false">
      <c r="A194" s="1"/>
      <c r="B194" s="41"/>
      <c r="C194" s="23"/>
      <c r="D194" s="26"/>
      <c r="E194" s="24"/>
      <c r="F194" s="23"/>
    </row>
    <row r="195" customFormat="false" ht="15" hidden="false" customHeight="false" outlineLevel="0" collapsed="false">
      <c r="A195" s="1"/>
      <c r="B195" s="37"/>
      <c r="C195" s="13"/>
      <c r="D195" s="16"/>
      <c r="E195" s="14"/>
      <c r="F195" s="13"/>
    </row>
    <row r="196" customFormat="false" ht="15" hidden="false" customHeight="false" outlineLevel="0" collapsed="false">
      <c r="A196" s="1"/>
      <c r="B196" s="41"/>
      <c r="C196" s="23"/>
      <c r="D196" s="26"/>
      <c r="E196" s="24"/>
      <c r="F196" s="23"/>
    </row>
    <row r="197" customFormat="false" ht="15" hidden="false" customHeight="false" outlineLevel="0" collapsed="false">
      <c r="A197" s="1"/>
      <c r="B197" s="37"/>
      <c r="C197" s="13"/>
      <c r="D197" s="16"/>
      <c r="E197" s="14"/>
      <c r="F197" s="13"/>
    </row>
    <row r="198" customFormat="false" ht="15" hidden="false" customHeight="false" outlineLevel="0" collapsed="false">
      <c r="A198" s="1"/>
      <c r="B198" s="41"/>
      <c r="C198" s="23"/>
      <c r="D198" s="26"/>
      <c r="E198" s="24"/>
      <c r="F198" s="23"/>
    </row>
    <row r="199" customFormat="false" ht="15" hidden="false" customHeight="false" outlineLevel="0" collapsed="false">
      <c r="A199" s="1"/>
      <c r="B199" s="37"/>
      <c r="C199" s="13"/>
      <c r="D199" s="16"/>
      <c r="E199" s="14"/>
      <c r="F199" s="13"/>
    </row>
    <row r="200" customFormat="false" ht="15" hidden="false" customHeight="false" outlineLevel="0" collapsed="false">
      <c r="A200" s="1"/>
      <c r="B200" s="41"/>
      <c r="C200" s="23"/>
      <c r="D200" s="26"/>
      <c r="E200" s="24"/>
      <c r="F200" s="23"/>
    </row>
    <row r="201" customFormat="false" ht="15" hidden="false" customHeight="false" outlineLevel="0" collapsed="false">
      <c r="A201" s="1"/>
      <c r="B201" s="37"/>
      <c r="C201" s="13"/>
      <c r="D201" s="16"/>
      <c r="E201" s="14"/>
      <c r="F201" s="13"/>
    </row>
    <row r="202" customFormat="false" ht="15" hidden="false" customHeight="false" outlineLevel="0" collapsed="false">
      <c r="A202" s="1"/>
      <c r="B202" s="41"/>
      <c r="C202" s="23"/>
      <c r="D202" s="26"/>
      <c r="E202" s="24"/>
      <c r="F202" s="23"/>
    </row>
    <row r="203" customFormat="false" ht="15" hidden="false" customHeight="false" outlineLevel="0" collapsed="false">
      <c r="A203" s="1"/>
      <c r="B203" s="37"/>
      <c r="C203" s="13"/>
      <c r="D203" s="16"/>
      <c r="E203" s="14"/>
      <c r="F203" s="13"/>
    </row>
    <row r="204" customFormat="false" ht="15" hidden="false" customHeight="false" outlineLevel="0" collapsed="false">
      <c r="A204" s="1"/>
      <c r="B204" s="41"/>
      <c r="C204" s="23"/>
      <c r="D204" s="26"/>
      <c r="E204" s="24"/>
      <c r="F204" s="23"/>
    </row>
    <row r="205" customFormat="false" ht="15" hidden="false" customHeight="false" outlineLevel="0" collapsed="false">
      <c r="A205" s="1"/>
      <c r="B205" s="1"/>
      <c r="C205" s="1"/>
      <c r="D205" s="1"/>
      <c r="E205" s="1"/>
      <c r="F205" s="1"/>
    </row>
    <row r="206" customFormat="false" ht="15" hidden="false" customHeight="false" outlineLevel="0" collapsed="false">
      <c r="A206" s="1"/>
      <c r="B206" s="33" t="s">
        <v>172</v>
      </c>
      <c r="C206" s="34"/>
      <c r="D206" s="35" t="n">
        <f aca="false">SUM(D5:D204)</f>
        <v>0</v>
      </c>
      <c r="E206" s="34"/>
      <c r="F206" s="34"/>
    </row>
    <row r="207" customFormat="false" ht="15" hidden="false" customHeight="false" outlineLevel="0" collapsed="false">
      <c r="A207" s="1"/>
      <c r="B207" s="1"/>
      <c r="C207" s="1"/>
      <c r="D207" s="1"/>
      <c r="E207" s="1"/>
      <c r="F207" s="1"/>
    </row>
    <row r="208" customFormat="false" ht="15" hidden="false" customHeight="false" outlineLevel="0" collapsed="false">
      <c r="A208" s="1"/>
      <c r="B208" s="3" t="s">
        <v>173</v>
      </c>
      <c r="C208" s="1"/>
      <c r="D208" s="1"/>
      <c r="E208" s="1"/>
      <c r="F208" s="1"/>
    </row>
    <row r="209" customFormat="false" ht="15" hidden="false" customHeight="false" outlineLevel="0" collapsed="false">
      <c r="A209" s="1"/>
      <c r="B209" s="3" t="s">
        <v>174</v>
      </c>
      <c r="C209" s="1"/>
      <c r="D209" s="1"/>
      <c r="E209" s="1"/>
      <c r="F209" s="1"/>
    </row>
  </sheetData>
  <autoFilter ref="B4:F204"/>
  <dataValidations count="4">
    <dataValidation allowBlank="true" error="Elige un producto de la lista desplegable." errorStyle="stop" errorTitle="Producto no válido" operator="between" showDropDown="false" showErrorMessage="false" showInputMessage="false" sqref="C5:C204" type="list">
      <formula1>Inventario!$B$5:$B$100</formula1>
      <formula2>0</formula2>
    </dataValidation>
    <dataValidation allowBlank="true" error="Elige un motivo de la lista (hoja Config)." errorStyle="stop" errorTitle="Motivo no válido" operator="between" showDropDown="false" showErrorMessage="false" showInputMessage="false" sqref="E5:E204" type="list">
      <formula1>Config!$I$6:$I$20</formula1>
      <formula2>0</formula2>
    </dataValidation>
    <dataValidation allowBlank="true" error="Escribe un número entero." errorStyle="stop" errorTitle="Cantidad no válida" operator="between" showDropDown="false" showErrorMessage="false" showInputMessage="false" sqref="D5:D204" type="whole">
      <formula1>-500</formula1>
      <formula2>500</formula2>
    </dataValidation>
    <dataValidation allowBlank="true" error="Escribe una fecha, por ejemplo 15/11/2026." errorStyle="stop" errorTitle="Fecha no válida" operator="greaterThan" showDropDown="false" showErrorMessage="false" showInputMessage="false" sqref="B5:B204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7"/>
  </cols>
  <sheetData>
    <row r="1" customFormat="false" ht="24" hidden="false" customHeight="true" outlineLevel="0" collapsed="false">
      <c r="A1" s="1"/>
      <c r="B1" s="2" t="s">
        <v>175</v>
      </c>
      <c r="C1" s="1"/>
      <c r="D1" s="1"/>
      <c r="E1" s="1"/>
      <c r="F1" s="1"/>
      <c r="G1" s="1"/>
    </row>
    <row r="2" customFormat="false" ht="15" hidden="false" customHeight="false" outlineLevel="0" collapsed="false">
      <c r="A2" s="1"/>
      <c r="B2" s="3" t="s">
        <v>176</v>
      </c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"/>
      <c r="B4" s="4" t="s">
        <v>177</v>
      </c>
      <c r="C4" s="1"/>
      <c r="D4" s="1"/>
      <c r="E4" s="1"/>
      <c r="F4" s="1"/>
      <c r="G4" s="1"/>
    </row>
    <row r="5" customFormat="false" ht="30" hidden="false" customHeight="true" outlineLevel="0" collapsed="false">
      <c r="A5" s="1"/>
      <c r="B5" s="45" t="s">
        <v>34</v>
      </c>
      <c r="C5" s="45" t="s">
        <v>178</v>
      </c>
      <c r="D5" s="45" t="s">
        <v>6</v>
      </c>
      <c r="E5" s="45" t="s">
        <v>43</v>
      </c>
      <c r="F5" s="45" t="s">
        <v>19</v>
      </c>
      <c r="G5" s="45" t="s">
        <v>179</v>
      </c>
    </row>
    <row r="6" customFormat="false" ht="15" hidden="false" customHeight="false" outlineLevel="0" collapsed="false">
      <c r="A6" s="1"/>
      <c r="B6" s="46" t="str">
        <f aca="false">Config!$B$6</f>
        <v>Bebé</v>
      </c>
      <c r="C6" s="17" t="n">
        <f aca="false">COUNTIFS(Inventario!$D$5:$D$100,$B$6)</f>
        <v>13</v>
      </c>
      <c r="D6" s="17" t="n">
        <f aca="false">SUMIFS(Inventario!$L$5:$L$100,Inventario!$D$5:$D$100,$B$6)</f>
        <v>95</v>
      </c>
      <c r="E6" s="19" t="n">
        <f aca="false">SUMIFS(Inventario!$M$5:$M$100,Inventario!$D$5:$D$100,$B$6)</f>
        <v>10925000</v>
      </c>
      <c r="F6" s="17" t="n">
        <f aca="false">SUMIFS(Inventario!$K$5:$K$100,Inventario!$D$5:$D$100,$B$6)</f>
        <v>0</v>
      </c>
      <c r="G6" s="19" t="n">
        <f aca="false">SUMIFS(Inventario!$N$5:$N$100,Inventario!$D$5:$D$100,$B$6)</f>
        <v>0</v>
      </c>
    </row>
    <row r="7" customFormat="false" ht="15" hidden="false" customHeight="false" outlineLevel="0" collapsed="false">
      <c r="A7" s="1"/>
      <c r="B7" s="46" t="str">
        <f aca="false">Config!$B$7</f>
        <v>Granja</v>
      </c>
      <c r="C7" s="17" t="n">
        <f aca="false">COUNTIFS(Inventario!$D$5:$D$100,$B$7)</f>
        <v>15</v>
      </c>
      <c r="D7" s="17" t="n">
        <f aca="false">SUMIFS(Inventario!$L$5:$L$100,Inventario!$D$5:$D$100,$B$7)</f>
        <v>133</v>
      </c>
      <c r="E7" s="19" t="n">
        <f aca="false">SUMIFS(Inventario!$M$5:$M$100,Inventario!$D$5:$D$100,$B$7)</f>
        <v>12525000</v>
      </c>
      <c r="F7" s="17" t="n">
        <f aca="false">SUMIFS(Inventario!$K$5:$K$100,Inventario!$D$5:$D$100,$B$7)</f>
        <v>0</v>
      </c>
      <c r="G7" s="19" t="n">
        <f aca="false">SUMIFS(Inventario!$N$5:$N$100,Inventario!$D$5:$D$100,$B$7)</f>
        <v>0</v>
      </c>
    </row>
    <row r="8" customFormat="false" ht="15" hidden="false" customHeight="false" outlineLevel="0" collapsed="false">
      <c r="A8" s="1"/>
      <c r="B8" s="46" t="str">
        <f aca="false">Config!$B$8</f>
        <v>Halloween</v>
      </c>
      <c r="C8" s="17" t="n">
        <f aca="false">COUNTIFS(Inventario!$D$5:$D$100,$B$8)</f>
        <v>6</v>
      </c>
      <c r="D8" s="17" t="n">
        <f aca="false">SUMIFS(Inventario!$L$5:$L$100,Inventario!$D$5:$D$100,$B$8)</f>
        <v>43</v>
      </c>
      <c r="E8" s="19" t="n">
        <f aca="false">SUMIFS(Inventario!$M$5:$M$100,Inventario!$D$5:$D$100,$B$8)</f>
        <v>5330000</v>
      </c>
      <c r="F8" s="17" t="n">
        <f aca="false">SUMIFS(Inventario!$K$5:$K$100,Inventario!$D$5:$D$100,$B$8)</f>
        <v>0</v>
      </c>
      <c r="G8" s="19" t="n">
        <f aca="false">SUMIFS(Inventario!$N$5:$N$100,Inventario!$D$5:$D$100,$B$8)</f>
        <v>0</v>
      </c>
    </row>
    <row r="9" customFormat="false" ht="15" hidden="false" customHeight="false" outlineLevel="0" collapsed="false">
      <c r="A9" s="1"/>
      <c r="B9" s="46" t="str">
        <f aca="false">Config!$B$9</f>
        <v>Llavero</v>
      </c>
      <c r="C9" s="17" t="n">
        <f aca="false">COUNTIFS(Inventario!$D$5:$D$100,$B$9)</f>
        <v>3</v>
      </c>
      <c r="D9" s="17" t="n">
        <f aca="false">SUMIFS(Inventario!$L$5:$L$100,Inventario!$D$5:$D$100,$B$9)</f>
        <v>16</v>
      </c>
      <c r="E9" s="19" t="n">
        <f aca="false">SUMIFS(Inventario!$M$5:$M$100,Inventario!$D$5:$D$100,$B$9)</f>
        <v>1040000</v>
      </c>
      <c r="F9" s="17" t="n">
        <f aca="false">SUMIFS(Inventario!$K$5:$K$100,Inventario!$D$5:$D$100,$B$9)</f>
        <v>0</v>
      </c>
      <c r="G9" s="19" t="n">
        <f aca="false">SUMIFS(Inventario!$N$5:$N$100,Inventario!$D$5:$D$100,$B$9)</f>
        <v>0</v>
      </c>
    </row>
    <row r="10" customFormat="false" ht="15" hidden="false" customHeight="false" outlineLevel="0" collapsed="false">
      <c r="A10" s="1"/>
      <c r="B10" s="46" t="str">
        <f aca="false">Config!$B$10</f>
        <v>Mar</v>
      </c>
      <c r="C10" s="17" t="n">
        <f aca="false">COUNTIFS(Inventario!$D$5:$D$100,$B$10)</f>
        <v>1</v>
      </c>
      <c r="D10" s="17" t="n">
        <f aca="false">SUMIFS(Inventario!$L$5:$L$100,Inventario!$D$5:$D$100,$B$10)</f>
        <v>2</v>
      </c>
      <c r="E10" s="19" t="n">
        <f aca="false">SUMIFS(Inventario!$M$5:$M$100,Inventario!$D$5:$D$100,$B$10)</f>
        <v>240000</v>
      </c>
      <c r="F10" s="17" t="n">
        <f aca="false">SUMIFS(Inventario!$K$5:$K$100,Inventario!$D$5:$D$100,$B$10)</f>
        <v>0</v>
      </c>
      <c r="G10" s="19" t="n">
        <f aca="false">SUMIFS(Inventario!$N$5:$N$100,Inventario!$D$5:$D$100,$B$10)</f>
        <v>0</v>
      </c>
    </row>
    <row r="11" customFormat="false" ht="15" hidden="false" customHeight="false" outlineLevel="0" collapsed="false">
      <c r="A11" s="1"/>
      <c r="B11" s="46" t="str">
        <f aca="false">Config!$B$11</f>
        <v>Muñecas</v>
      </c>
      <c r="C11" s="17" t="n">
        <f aca="false">COUNTIFS(Inventario!$D$5:$D$100,$B$11)</f>
        <v>8</v>
      </c>
      <c r="D11" s="17" t="n">
        <f aca="false">SUMIFS(Inventario!$L$5:$L$100,Inventario!$D$5:$D$100,$B$11)</f>
        <v>67</v>
      </c>
      <c r="E11" s="19" t="n">
        <f aca="false">SUMIFS(Inventario!$M$5:$M$100,Inventario!$D$5:$D$100,$B$11)</f>
        <v>9545000</v>
      </c>
      <c r="F11" s="17" t="n">
        <f aca="false">SUMIFS(Inventario!$K$5:$K$100,Inventario!$D$5:$D$100,$B$11)</f>
        <v>0</v>
      </c>
      <c r="G11" s="19" t="n">
        <f aca="false">SUMIFS(Inventario!$N$5:$N$100,Inventario!$D$5:$D$100,$B$11)</f>
        <v>0</v>
      </c>
    </row>
    <row r="12" customFormat="false" ht="15" hidden="false" customHeight="false" outlineLevel="0" collapsed="false">
      <c r="A12" s="1"/>
      <c r="B12" s="46" t="str">
        <f aca="false">Config!$B$12</f>
        <v>Navidad</v>
      </c>
      <c r="C12" s="17" t="n">
        <f aca="false">COUNTIFS(Inventario!$D$5:$D$100,$B$12)</f>
        <v>3</v>
      </c>
      <c r="D12" s="17" t="n">
        <f aca="false">SUMIFS(Inventario!$L$5:$L$100,Inventario!$D$5:$D$100,$B$12)</f>
        <v>13</v>
      </c>
      <c r="E12" s="19" t="n">
        <f aca="false">SUMIFS(Inventario!$M$5:$M$100,Inventario!$D$5:$D$100,$B$12)</f>
        <v>1610000</v>
      </c>
      <c r="F12" s="17" t="n">
        <f aca="false">SUMIFS(Inventario!$K$5:$K$100,Inventario!$D$5:$D$100,$B$12)</f>
        <v>0</v>
      </c>
      <c r="G12" s="19" t="n">
        <f aca="false">SUMIFS(Inventario!$N$5:$N$100,Inventario!$D$5:$D$100,$B$12)</f>
        <v>0</v>
      </c>
    </row>
    <row r="13" customFormat="false" ht="15" hidden="false" customHeight="false" outlineLevel="0" collapsed="false">
      <c r="A13" s="1"/>
      <c r="B13" s="46" t="str">
        <f aca="false">Config!$B$13</f>
        <v>Otros</v>
      </c>
      <c r="C13" s="17" t="n">
        <f aca="false">COUNTIFS(Inventario!$D$5:$D$100,$B$13)</f>
        <v>8</v>
      </c>
      <c r="D13" s="17" t="n">
        <f aca="false">SUMIFS(Inventario!$L$5:$L$100,Inventario!$D$5:$D$100,$B$13)</f>
        <v>81</v>
      </c>
      <c r="E13" s="19" t="n">
        <f aca="false">SUMIFS(Inventario!$M$5:$M$100,Inventario!$D$5:$D$100,$B$13)</f>
        <v>0</v>
      </c>
      <c r="F13" s="17" t="n">
        <f aca="false">SUMIFS(Inventario!$K$5:$K$100,Inventario!$D$5:$D$100,$B$13)</f>
        <v>0</v>
      </c>
      <c r="G13" s="19" t="n">
        <f aca="false">SUMIFS(Inventario!$N$5:$N$100,Inventario!$D$5:$D$100,$B$13)</f>
        <v>0</v>
      </c>
    </row>
    <row r="14" customFormat="false" ht="15" hidden="false" customHeight="false" outlineLevel="0" collapsed="false">
      <c r="A14" s="1"/>
      <c r="B14" s="46" t="str">
        <f aca="false">Config!$B$14</f>
        <v>Selva</v>
      </c>
      <c r="C14" s="17" t="n">
        <f aca="false">COUNTIFS(Inventario!$D$5:$D$100,$B$14)</f>
        <v>9</v>
      </c>
      <c r="D14" s="17" t="n">
        <f aca="false">SUMIFS(Inventario!$L$5:$L$100,Inventario!$D$5:$D$100,$B$14)</f>
        <v>63</v>
      </c>
      <c r="E14" s="19" t="n">
        <f aca="false">SUMIFS(Inventario!$M$5:$M$100,Inventario!$D$5:$D$100,$B$14)</f>
        <v>7485000</v>
      </c>
      <c r="F14" s="17" t="n">
        <f aca="false">SUMIFS(Inventario!$K$5:$K$100,Inventario!$D$5:$D$100,$B$14)</f>
        <v>0</v>
      </c>
      <c r="G14" s="19" t="n">
        <f aca="false">SUMIFS(Inventario!$N$5:$N$100,Inventario!$D$5:$D$100,$B$14)</f>
        <v>0</v>
      </c>
    </row>
    <row r="15" customFormat="false" ht="15" hidden="false" customHeight="false" outlineLevel="0" collapsed="false">
      <c r="A15" s="1"/>
      <c r="B15" s="33" t="s">
        <v>172</v>
      </c>
      <c r="C15" s="35" t="n">
        <f aca="false">SUM(C6:C14)</f>
        <v>66</v>
      </c>
      <c r="D15" s="35" t="n">
        <f aca="false">SUM(D6:D14)</f>
        <v>513</v>
      </c>
      <c r="E15" s="36" t="n">
        <f aca="false">SUM(E6:E14)</f>
        <v>48700000</v>
      </c>
      <c r="F15" s="35" t="n">
        <f aca="false">SUM(F6:F14)</f>
        <v>0</v>
      </c>
      <c r="G15" s="36" t="n">
        <f aca="false">SUM(G6:G14)</f>
        <v>0</v>
      </c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4" t="s">
        <v>180</v>
      </c>
      <c r="C18" s="1"/>
      <c r="D18" s="1"/>
      <c r="E18" s="1"/>
      <c r="F18" s="1"/>
      <c r="G18" s="1"/>
    </row>
    <row r="19" customFormat="false" ht="30" hidden="false" customHeight="true" outlineLevel="0" collapsed="false">
      <c r="A19" s="1"/>
      <c r="B19" s="45" t="s">
        <v>35</v>
      </c>
      <c r="C19" s="45" t="s">
        <v>178</v>
      </c>
      <c r="D19" s="45" t="s">
        <v>6</v>
      </c>
      <c r="E19" s="45" t="s">
        <v>43</v>
      </c>
      <c r="F19" s="45" t="s">
        <v>19</v>
      </c>
      <c r="G19" s="45" t="s">
        <v>179</v>
      </c>
    </row>
    <row r="20" customFormat="false" ht="15" hidden="false" customHeight="false" outlineLevel="0" collapsed="false">
      <c r="A20" s="1"/>
      <c r="B20" s="46" t="str">
        <f aca="false">Config!$D$6</f>
        <v>Mini</v>
      </c>
      <c r="C20" s="17" t="n">
        <f aca="false">COUNTIFS(Inventario!$E$5:$E$100,$B$20)</f>
        <v>2</v>
      </c>
      <c r="D20" s="17" t="n">
        <f aca="false">SUMIFS(Inventario!$L$5:$L$100,Inventario!$E$5:$E$100,$B$20)</f>
        <v>20</v>
      </c>
      <c r="E20" s="19" t="n">
        <f aca="false">SUMIFS(Inventario!$M$5:$M$100,Inventario!$E$5:$E$100,$B$20)</f>
        <v>0</v>
      </c>
      <c r="F20" s="17" t="n">
        <f aca="false">SUMIFS(Inventario!$K$5:$K$100,Inventario!$E$5:$E$100,$B$20)</f>
        <v>0</v>
      </c>
      <c r="G20" s="19" t="n">
        <f aca="false">SUMIFS(Inventario!$N$5:$N$100,Inventario!$E$5:$E$100,$B$20)</f>
        <v>0</v>
      </c>
    </row>
    <row r="21" customFormat="false" ht="15" hidden="false" customHeight="false" outlineLevel="0" collapsed="false">
      <c r="A21" s="1"/>
      <c r="B21" s="46" t="str">
        <f aca="false">Config!$D$7</f>
        <v>Pequeño</v>
      </c>
      <c r="C21" s="17" t="n">
        <f aca="false">COUNTIFS(Inventario!$E$5:$E$100,$B$21)</f>
        <v>18</v>
      </c>
      <c r="D21" s="17" t="n">
        <f aca="false">SUMIFS(Inventario!$L$5:$L$100,Inventario!$E$5:$E$100,$B$21)</f>
        <v>176</v>
      </c>
      <c r="E21" s="19" t="n">
        <f aca="false">SUMIFS(Inventario!$M$5:$M$100,Inventario!$E$5:$E$100,$B$21)</f>
        <v>12520000</v>
      </c>
      <c r="F21" s="17" t="n">
        <f aca="false">SUMIFS(Inventario!$K$5:$K$100,Inventario!$E$5:$E$100,$B$21)</f>
        <v>0</v>
      </c>
      <c r="G21" s="19" t="n">
        <f aca="false">SUMIFS(Inventario!$N$5:$N$100,Inventario!$E$5:$E$100,$B$21)</f>
        <v>0</v>
      </c>
    </row>
    <row r="22" customFormat="false" ht="15" hidden="false" customHeight="false" outlineLevel="0" collapsed="false">
      <c r="A22" s="1"/>
      <c r="B22" s="46" t="str">
        <f aca="false">Config!$D$8</f>
        <v>Mediano</v>
      </c>
      <c r="C22" s="17" t="n">
        <f aca="false">COUNTIFS(Inventario!$E$5:$E$100,$B$22)</f>
        <v>3</v>
      </c>
      <c r="D22" s="17" t="n">
        <f aca="false">SUMIFS(Inventario!$L$5:$L$100,Inventario!$E$5:$E$100,$B$22)</f>
        <v>12</v>
      </c>
      <c r="E22" s="19" t="n">
        <f aca="false">SUMIFS(Inventario!$M$5:$M$100,Inventario!$E$5:$E$100,$B$22)</f>
        <v>115000</v>
      </c>
      <c r="F22" s="17" t="n">
        <f aca="false">SUMIFS(Inventario!$K$5:$K$100,Inventario!$E$5:$E$100,$B$22)</f>
        <v>0</v>
      </c>
      <c r="G22" s="19" t="n">
        <f aca="false">SUMIFS(Inventario!$N$5:$N$100,Inventario!$E$5:$E$100,$B$22)</f>
        <v>0</v>
      </c>
    </row>
    <row r="23" customFormat="false" ht="15" hidden="false" customHeight="false" outlineLevel="0" collapsed="false">
      <c r="A23" s="1"/>
      <c r="B23" s="46" t="str">
        <f aca="false">Config!$D$9</f>
        <v>Grande</v>
      </c>
      <c r="C23" s="17" t="n">
        <f aca="false">COUNTIFS(Inventario!$E$5:$E$100,$B$23)</f>
        <v>18</v>
      </c>
      <c r="D23" s="17" t="n">
        <f aca="false">SUMIFS(Inventario!$L$5:$L$100,Inventario!$E$5:$E$100,$B$23)</f>
        <v>123</v>
      </c>
      <c r="E23" s="19" t="n">
        <f aca="false">SUMIFS(Inventario!$M$5:$M$100,Inventario!$E$5:$E$100,$B$23)</f>
        <v>15685000</v>
      </c>
      <c r="F23" s="17" t="n">
        <f aca="false">SUMIFS(Inventario!$K$5:$K$100,Inventario!$E$5:$E$100,$B$23)</f>
        <v>0</v>
      </c>
      <c r="G23" s="19" t="n">
        <f aca="false">SUMIFS(Inventario!$N$5:$N$100,Inventario!$E$5:$E$100,$B$23)</f>
        <v>0</v>
      </c>
    </row>
    <row r="24" customFormat="false" ht="15" hidden="false" customHeight="false" outlineLevel="0" collapsed="false">
      <c r="A24" s="1"/>
      <c r="B24" s="46" t="str">
        <f aca="false">Config!$D$10</f>
        <v>Único</v>
      </c>
      <c r="C24" s="17" t="n">
        <f aca="false">COUNTIFS(Inventario!$E$5:$E$100,$B$24)</f>
        <v>25</v>
      </c>
      <c r="D24" s="17" t="n">
        <f aca="false">SUMIFS(Inventario!$L$5:$L$100,Inventario!$E$5:$E$100,$B$24)</f>
        <v>182</v>
      </c>
      <c r="E24" s="19" t="n">
        <f aca="false">SUMIFS(Inventario!$M$5:$M$100,Inventario!$E$5:$E$100,$B$24)</f>
        <v>20380000</v>
      </c>
      <c r="F24" s="17" t="n">
        <f aca="false">SUMIFS(Inventario!$K$5:$K$100,Inventario!$E$5:$E$100,$B$24)</f>
        <v>0</v>
      </c>
      <c r="G24" s="19" t="n">
        <f aca="false">SUMIFS(Inventario!$N$5:$N$100,Inventario!$E$5:$E$100,$B$24)</f>
        <v>0</v>
      </c>
    </row>
    <row r="25" customFormat="false" ht="15" hidden="false" customHeight="false" outlineLevel="0" collapsed="false">
      <c r="A25" s="1"/>
      <c r="B25" s="33" t="s">
        <v>172</v>
      </c>
      <c r="C25" s="35" t="n">
        <f aca="false">SUM(C20:C24)</f>
        <v>66</v>
      </c>
      <c r="D25" s="35" t="n">
        <f aca="false">SUM(D20:D24)</f>
        <v>513</v>
      </c>
      <c r="E25" s="36" t="n">
        <f aca="false">SUM(E20:E24)</f>
        <v>48700000</v>
      </c>
      <c r="F25" s="35" t="n">
        <f aca="false">SUM(F20:F24)</f>
        <v>0</v>
      </c>
      <c r="G25" s="36" t="n">
        <f aca="false">SUM(G20:G24)</f>
        <v>0</v>
      </c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"/>
      <c r="B28" s="4" t="s">
        <v>181</v>
      </c>
      <c r="C28" s="1"/>
      <c r="D28" s="1"/>
      <c r="E28" s="1"/>
      <c r="F28" s="1"/>
      <c r="G28" s="1"/>
    </row>
    <row r="29" customFormat="false" ht="30" hidden="false" customHeight="true" outlineLevel="0" collapsed="false">
      <c r="A29" s="1"/>
      <c r="B29" s="45" t="s">
        <v>160</v>
      </c>
      <c r="C29" s="45" t="s">
        <v>182</v>
      </c>
      <c r="D29" s="45" t="s">
        <v>183</v>
      </c>
      <c r="E29" s="45" t="s">
        <v>179</v>
      </c>
      <c r="F29" s="45" t="s">
        <v>184</v>
      </c>
      <c r="G29" s="1"/>
    </row>
    <row r="30" customFormat="false" ht="15" hidden="false" customHeight="false" outlineLevel="0" collapsed="false">
      <c r="A30" s="1"/>
      <c r="B30" s="46" t="str">
        <f aca="false">Config!$G$6</f>
        <v>Efectivo</v>
      </c>
      <c r="C30" s="17" t="n">
        <f aca="false">COUNTIFS(Ventas!$J$5:$J$504,$B$30)</f>
        <v>0</v>
      </c>
      <c r="D30" s="17" t="n">
        <f aca="false">SUMIFS(Ventas!$F$5:$F$504,Ventas!$J$5:$J$504,$B$30)</f>
        <v>0</v>
      </c>
      <c r="E30" s="19" t="n">
        <f aca="false">SUMIFS(Ventas!$I$5:$I$504,Ventas!$J$5:$J$504,$B$30)</f>
        <v>0</v>
      </c>
      <c r="F30" s="47" t="n">
        <f aca="false">IFERROR($E$30/SUM($E$30:$E$34),0)</f>
        <v>0</v>
      </c>
      <c r="G30" s="1"/>
    </row>
    <row r="31" customFormat="false" ht="15" hidden="false" customHeight="false" outlineLevel="0" collapsed="false">
      <c r="A31" s="1"/>
      <c r="B31" s="46" t="str">
        <f aca="false">Config!$G$7</f>
        <v>Nequi</v>
      </c>
      <c r="C31" s="17" t="n">
        <f aca="false">COUNTIFS(Ventas!$J$5:$J$504,$B$31)</f>
        <v>0</v>
      </c>
      <c r="D31" s="17" t="n">
        <f aca="false">SUMIFS(Ventas!$F$5:$F$504,Ventas!$J$5:$J$504,$B$31)</f>
        <v>0</v>
      </c>
      <c r="E31" s="19" t="n">
        <f aca="false">SUMIFS(Ventas!$I$5:$I$504,Ventas!$J$5:$J$504,$B$31)</f>
        <v>0</v>
      </c>
      <c r="F31" s="47" t="n">
        <f aca="false">IFERROR($E$31/SUM($E$30:$E$34),0)</f>
        <v>0</v>
      </c>
      <c r="G31" s="1"/>
    </row>
    <row r="32" customFormat="false" ht="15" hidden="false" customHeight="false" outlineLevel="0" collapsed="false">
      <c r="A32" s="1"/>
      <c r="B32" s="46" t="str">
        <f aca="false">Config!$G$8</f>
        <v>Tarjeta</v>
      </c>
      <c r="C32" s="17" t="n">
        <f aca="false">COUNTIFS(Ventas!$J$5:$J$504,$B$32)</f>
        <v>0</v>
      </c>
      <c r="D32" s="17" t="n">
        <f aca="false">SUMIFS(Ventas!$F$5:$F$504,Ventas!$J$5:$J$504,$B$32)</f>
        <v>0</v>
      </c>
      <c r="E32" s="19" t="n">
        <f aca="false">SUMIFS(Ventas!$I$5:$I$504,Ventas!$J$5:$J$504,$B$32)</f>
        <v>0</v>
      </c>
      <c r="F32" s="47" t="n">
        <f aca="false">IFERROR($E$32/SUM($E$30:$E$34),0)</f>
        <v>0</v>
      </c>
      <c r="G32" s="1"/>
    </row>
    <row r="33" customFormat="false" ht="15" hidden="false" customHeight="false" outlineLevel="0" collapsed="false">
      <c r="A33" s="1"/>
      <c r="B33" s="46" t="str">
        <f aca="false">Config!$G$9</f>
        <v>Daviplata</v>
      </c>
      <c r="C33" s="17" t="n">
        <f aca="false">COUNTIFS(Ventas!$J$5:$J$504,$B$33)</f>
        <v>0</v>
      </c>
      <c r="D33" s="17" t="n">
        <f aca="false">SUMIFS(Ventas!$F$5:$F$504,Ventas!$J$5:$J$504,$B$33)</f>
        <v>0</v>
      </c>
      <c r="E33" s="19" t="n">
        <f aca="false">SUMIFS(Ventas!$I$5:$I$504,Ventas!$J$5:$J$504,$B$33)</f>
        <v>0</v>
      </c>
      <c r="F33" s="47" t="n">
        <f aca="false">IFERROR($E$33/SUM($E$30:$E$34),0)</f>
        <v>0</v>
      </c>
      <c r="G33" s="1"/>
    </row>
    <row r="34" customFormat="false" ht="15" hidden="false" customHeight="false" outlineLevel="0" collapsed="false">
      <c r="A34" s="1"/>
      <c r="B34" s="46" t="str">
        <f aca="false">Config!$G$10</f>
        <v>Llave</v>
      </c>
      <c r="C34" s="17" t="n">
        <f aca="false">COUNTIFS(Ventas!$J$5:$J$504,$B$34)</f>
        <v>0</v>
      </c>
      <c r="D34" s="17" t="n">
        <f aca="false">SUMIFS(Ventas!$F$5:$F$504,Ventas!$J$5:$J$504,$B$34)</f>
        <v>0</v>
      </c>
      <c r="E34" s="19" t="n">
        <f aca="false">SUMIFS(Ventas!$I$5:$I$504,Ventas!$J$5:$J$504,$B$34)</f>
        <v>0</v>
      </c>
      <c r="F34" s="47" t="n">
        <f aca="false">IFERROR($E$34/SUM($E$30:$E$34),0)</f>
        <v>0</v>
      </c>
      <c r="G34" s="1"/>
    </row>
    <row r="35" customFormat="false" ht="15" hidden="false" customHeight="false" outlineLevel="0" collapsed="false">
      <c r="A35" s="1"/>
      <c r="B35" s="33" t="s">
        <v>172</v>
      </c>
      <c r="C35" s="35" t="n">
        <f aca="false">SUM(C30:C34)</f>
        <v>0</v>
      </c>
      <c r="D35" s="35" t="n">
        <f aca="false">SUM(D30:D34)</f>
        <v>0</v>
      </c>
      <c r="E35" s="36" t="n">
        <f aca="false">SUM(E30:E34)</f>
        <v>0</v>
      </c>
      <c r="F35" s="48" t="n">
        <f aca="false">SUM(F30:F34)</f>
        <v>0</v>
      </c>
      <c r="G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</row>
    <row r="38" customFormat="false" ht="15" hidden="false" customHeight="false" outlineLevel="0" collapsed="false">
      <c r="A38" s="1"/>
      <c r="B38" s="4" t="s">
        <v>185</v>
      </c>
      <c r="C38" s="1"/>
      <c r="D38" s="1"/>
      <c r="E38" s="1"/>
      <c r="F38" s="1"/>
      <c r="G38" s="1"/>
    </row>
    <row r="39" customFormat="false" ht="30" hidden="false" customHeight="true" outlineLevel="0" collapsed="false">
      <c r="A39" s="1"/>
      <c r="B39" s="45" t="s">
        <v>186</v>
      </c>
      <c r="C39" s="45" t="s">
        <v>182</v>
      </c>
      <c r="D39" s="45" t="s">
        <v>183</v>
      </c>
      <c r="E39" s="45" t="s">
        <v>179</v>
      </c>
      <c r="F39" s="45" t="s">
        <v>23</v>
      </c>
      <c r="G39" s="1"/>
    </row>
    <row r="40" customFormat="false" ht="15" hidden="false" customHeight="false" outlineLevel="0" collapsed="false">
      <c r="A40" s="1"/>
      <c r="B40" s="46" t="s">
        <v>187</v>
      </c>
      <c r="C40" s="17" t="n">
        <f aca="false">COUNTIFS(Ventas!$B$5:$B$504,"&gt;="&amp;DATE(Config!$M$7,1,1),Ventas!$B$5:$B$504,"&lt;"&amp;DATE(Config!$M$7,2,1))</f>
        <v>0</v>
      </c>
      <c r="D40" s="17" t="n">
        <f aca="false">SUMIFS(Ventas!$F$5:$F$504,Ventas!$B$5:$B$504,"&gt;="&amp;DATE(Config!$M$7,1,1),Ventas!$B$5:$B$504,"&lt;"&amp;DATE(Config!$M$7,2,1))</f>
        <v>0</v>
      </c>
      <c r="E40" s="19" t="n">
        <f aca="false">SUMIFS(Ventas!$I$5:$I$504,Ventas!$B$5:$B$504,"&gt;="&amp;DATE(Config!$M$7,1,1),Ventas!$B$5:$B$504,"&lt;"&amp;DATE(Config!$M$7,2,1))</f>
        <v>0</v>
      </c>
      <c r="F40" s="19" t="str">
        <f aca="false">IFERROR($E$40/$C$40,"-")</f>
        <v>-</v>
      </c>
      <c r="G40" s="1"/>
    </row>
    <row r="41" customFormat="false" ht="15" hidden="false" customHeight="false" outlineLevel="0" collapsed="false">
      <c r="A41" s="1"/>
      <c r="B41" s="46" t="s">
        <v>188</v>
      </c>
      <c r="C41" s="17" t="n">
        <f aca="false">COUNTIFS(Ventas!$B$5:$B$504,"&gt;="&amp;DATE(Config!$M$7,2,1),Ventas!$B$5:$B$504,"&lt;"&amp;DATE(Config!$M$7,3,1))</f>
        <v>0</v>
      </c>
      <c r="D41" s="17" t="n">
        <f aca="false">SUMIFS(Ventas!$F$5:$F$504,Ventas!$B$5:$B$504,"&gt;="&amp;DATE(Config!$M$7,2,1),Ventas!$B$5:$B$504,"&lt;"&amp;DATE(Config!$M$7,3,1))</f>
        <v>0</v>
      </c>
      <c r="E41" s="19" t="n">
        <f aca="false">SUMIFS(Ventas!$I$5:$I$504,Ventas!$B$5:$B$504,"&gt;="&amp;DATE(Config!$M$7,2,1),Ventas!$B$5:$B$504,"&lt;"&amp;DATE(Config!$M$7,3,1))</f>
        <v>0</v>
      </c>
      <c r="F41" s="19" t="str">
        <f aca="false">IFERROR($E$41/$C$41,"-")</f>
        <v>-</v>
      </c>
      <c r="G41" s="1"/>
    </row>
    <row r="42" customFormat="false" ht="15" hidden="false" customHeight="false" outlineLevel="0" collapsed="false">
      <c r="A42" s="1"/>
      <c r="B42" s="46" t="s">
        <v>189</v>
      </c>
      <c r="C42" s="17" t="n">
        <f aca="false">COUNTIFS(Ventas!$B$5:$B$504,"&gt;="&amp;DATE(Config!$M$7,3,1),Ventas!$B$5:$B$504,"&lt;"&amp;DATE(Config!$M$7,4,1))</f>
        <v>0</v>
      </c>
      <c r="D42" s="17" t="n">
        <f aca="false">SUMIFS(Ventas!$F$5:$F$504,Ventas!$B$5:$B$504,"&gt;="&amp;DATE(Config!$M$7,3,1),Ventas!$B$5:$B$504,"&lt;"&amp;DATE(Config!$M$7,4,1))</f>
        <v>0</v>
      </c>
      <c r="E42" s="19" t="n">
        <f aca="false">SUMIFS(Ventas!$I$5:$I$504,Ventas!$B$5:$B$504,"&gt;="&amp;DATE(Config!$M$7,3,1),Ventas!$B$5:$B$504,"&lt;"&amp;DATE(Config!$M$7,4,1))</f>
        <v>0</v>
      </c>
      <c r="F42" s="19" t="str">
        <f aca="false">IFERROR($E$42/$C$42,"-")</f>
        <v>-</v>
      </c>
      <c r="G42" s="1"/>
    </row>
    <row r="43" customFormat="false" ht="15" hidden="false" customHeight="false" outlineLevel="0" collapsed="false">
      <c r="A43" s="1"/>
      <c r="B43" s="46" t="s">
        <v>190</v>
      </c>
      <c r="C43" s="17" t="n">
        <f aca="false">COUNTIFS(Ventas!$B$5:$B$504,"&gt;="&amp;DATE(Config!$M$7,4,1),Ventas!$B$5:$B$504,"&lt;"&amp;DATE(Config!$M$7,5,1))</f>
        <v>0</v>
      </c>
      <c r="D43" s="17" t="n">
        <f aca="false">SUMIFS(Ventas!$F$5:$F$504,Ventas!$B$5:$B$504,"&gt;="&amp;DATE(Config!$M$7,4,1),Ventas!$B$5:$B$504,"&lt;"&amp;DATE(Config!$M$7,5,1))</f>
        <v>0</v>
      </c>
      <c r="E43" s="19" t="n">
        <f aca="false">SUMIFS(Ventas!$I$5:$I$504,Ventas!$B$5:$B$504,"&gt;="&amp;DATE(Config!$M$7,4,1),Ventas!$B$5:$B$504,"&lt;"&amp;DATE(Config!$M$7,5,1))</f>
        <v>0</v>
      </c>
      <c r="F43" s="19" t="str">
        <f aca="false">IFERROR($E$43/$C$43,"-")</f>
        <v>-</v>
      </c>
      <c r="G43" s="1"/>
    </row>
    <row r="44" customFormat="false" ht="15" hidden="false" customHeight="false" outlineLevel="0" collapsed="false">
      <c r="A44" s="1"/>
      <c r="B44" s="46" t="s">
        <v>191</v>
      </c>
      <c r="C44" s="17" t="n">
        <f aca="false">COUNTIFS(Ventas!$B$5:$B$504,"&gt;="&amp;DATE(Config!$M$7,5,1),Ventas!$B$5:$B$504,"&lt;"&amp;DATE(Config!$M$7,6,1))</f>
        <v>0</v>
      </c>
      <c r="D44" s="17" t="n">
        <f aca="false">SUMIFS(Ventas!$F$5:$F$504,Ventas!$B$5:$B$504,"&gt;="&amp;DATE(Config!$M$7,5,1),Ventas!$B$5:$B$504,"&lt;"&amp;DATE(Config!$M$7,6,1))</f>
        <v>0</v>
      </c>
      <c r="E44" s="19" t="n">
        <f aca="false">SUMIFS(Ventas!$I$5:$I$504,Ventas!$B$5:$B$504,"&gt;="&amp;DATE(Config!$M$7,5,1),Ventas!$B$5:$B$504,"&lt;"&amp;DATE(Config!$M$7,6,1))</f>
        <v>0</v>
      </c>
      <c r="F44" s="19" t="str">
        <f aca="false">IFERROR($E$44/$C$44,"-")</f>
        <v>-</v>
      </c>
      <c r="G44" s="1"/>
    </row>
    <row r="45" customFormat="false" ht="15" hidden="false" customHeight="false" outlineLevel="0" collapsed="false">
      <c r="A45" s="1"/>
      <c r="B45" s="46" t="s">
        <v>192</v>
      </c>
      <c r="C45" s="17" t="n">
        <f aca="false">COUNTIFS(Ventas!$B$5:$B$504,"&gt;="&amp;DATE(Config!$M$7,6,1),Ventas!$B$5:$B$504,"&lt;"&amp;DATE(Config!$M$7,7,1))</f>
        <v>0</v>
      </c>
      <c r="D45" s="17" t="n">
        <f aca="false">SUMIFS(Ventas!$F$5:$F$504,Ventas!$B$5:$B$504,"&gt;="&amp;DATE(Config!$M$7,6,1),Ventas!$B$5:$B$504,"&lt;"&amp;DATE(Config!$M$7,7,1))</f>
        <v>0</v>
      </c>
      <c r="E45" s="19" t="n">
        <f aca="false">SUMIFS(Ventas!$I$5:$I$504,Ventas!$B$5:$B$504,"&gt;="&amp;DATE(Config!$M$7,6,1),Ventas!$B$5:$B$504,"&lt;"&amp;DATE(Config!$M$7,7,1))</f>
        <v>0</v>
      </c>
      <c r="F45" s="19" t="str">
        <f aca="false">IFERROR($E$45/$C$45,"-")</f>
        <v>-</v>
      </c>
      <c r="G45" s="1"/>
    </row>
    <row r="46" customFormat="false" ht="15" hidden="false" customHeight="false" outlineLevel="0" collapsed="false">
      <c r="A46" s="1"/>
      <c r="B46" s="46" t="s">
        <v>193</v>
      </c>
      <c r="C46" s="17" t="n">
        <f aca="false">COUNTIFS(Ventas!$B$5:$B$504,"&gt;="&amp;DATE(Config!$M$7,7,1),Ventas!$B$5:$B$504,"&lt;"&amp;DATE(Config!$M$7,8,1))</f>
        <v>0</v>
      </c>
      <c r="D46" s="17" t="n">
        <f aca="false">SUMIFS(Ventas!$F$5:$F$504,Ventas!$B$5:$B$504,"&gt;="&amp;DATE(Config!$M$7,7,1),Ventas!$B$5:$B$504,"&lt;"&amp;DATE(Config!$M$7,8,1))</f>
        <v>0</v>
      </c>
      <c r="E46" s="19" t="n">
        <f aca="false">SUMIFS(Ventas!$I$5:$I$504,Ventas!$B$5:$B$504,"&gt;="&amp;DATE(Config!$M$7,7,1),Ventas!$B$5:$B$504,"&lt;"&amp;DATE(Config!$M$7,8,1))</f>
        <v>0</v>
      </c>
      <c r="F46" s="19" t="str">
        <f aca="false">IFERROR($E$46/$C$46,"-")</f>
        <v>-</v>
      </c>
      <c r="G46" s="1"/>
    </row>
    <row r="47" customFormat="false" ht="15" hidden="false" customHeight="false" outlineLevel="0" collapsed="false">
      <c r="A47" s="1"/>
      <c r="B47" s="46" t="s">
        <v>194</v>
      </c>
      <c r="C47" s="17" t="n">
        <f aca="false">COUNTIFS(Ventas!$B$5:$B$504,"&gt;="&amp;DATE(Config!$M$7,8,1),Ventas!$B$5:$B$504,"&lt;"&amp;DATE(Config!$M$7,9,1))</f>
        <v>0</v>
      </c>
      <c r="D47" s="17" t="n">
        <f aca="false">SUMIFS(Ventas!$F$5:$F$504,Ventas!$B$5:$B$504,"&gt;="&amp;DATE(Config!$M$7,8,1),Ventas!$B$5:$B$504,"&lt;"&amp;DATE(Config!$M$7,9,1))</f>
        <v>0</v>
      </c>
      <c r="E47" s="19" t="n">
        <f aca="false">SUMIFS(Ventas!$I$5:$I$504,Ventas!$B$5:$B$504,"&gt;="&amp;DATE(Config!$M$7,8,1),Ventas!$B$5:$B$504,"&lt;"&amp;DATE(Config!$M$7,9,1))</f>
        <v>0</v>
      </c>
      <c r="F47" s="19" t="str">
        <f aca="false">IFERROR($E$47/$C$47,"-")</f>
        <v>-</v>
      </c>
      <c r="G47" s="1"/>
    </row>
    <row r="48" customFormat="false" ht="15" hidden="false" customHeight="false" outlineLevel="0" collapsed="false">
      <c r="A48" s="1"/>
      <c r="B48" s="46" t="s">
        <v>195</v>
      </c>
      <c r="C48" s="17" t="n">
        <f aca="false">COUNTIFS(Ventas!$B$5:$B$504,"&gt;="&amp;DATE(Config!$M$7,9,1),Ventas!$B$5:$B$504,"&lt;"&amp;DATE(Config!$M$7,10,1))</f>
        <v>0</v>
      </c>
      <c r="D48" s="17" t="n">
        <f aca="false">SUMIFS(Ventas!$F$5:$F$504,Ventas!$B$5:$B$504,"&gt;="&amp;DATE(Config!$M$7,9,1),Ventas!$B$5:$B$504,"&lt;"&amp;DATE(Config!$M$7,10,1))</f>
        <v>0</v>
      </c>
      <c r="E48" s="19" t="n">
        <f aca="false">SUMIFS(Ventas!$I$5:$I$504,Ventas!$B$5:$B$504,"&gt;="&amp;DATE(Config!$M$7,9,1),Ventas!$B$5:$B$504,"&lt;"&amp;DATE(Config!$M$7,10,1))</f>
        <v>0</v>
      </c>
      <c r="F48" s="19" t="str">
        <f aca="false">IFERROR($E$48/$C$48,"-")</f>
        <v>-</v>
      </c>
      <c r="G48" s="1"/>
    </row>
    <row r="49" customFormat="false" ht="15" hidden="false" customHeight="false" outlineLevel="0" collapsed="false">
      <c r="A49" s="1"/>
      <c r="B49" s="46" t="s">
        <v>196</v>
      </c>
      <c r="C49" s="17" t="n">
        <f aca="false">COUNTIFS(Ventas!$B$5:$B$504,"&gt;="&amp;DATE(Config!$M$7,10,1),Ventas!$B$5:$B$504,"&lt;"&amp;DATE(Config!$M$7,11,1))</f>
        <v>0</v>
      </c>
      <c r="D49" s="17" t="n">
        <f aca="false">SUMIFS(Ventas!$F$5:$F$504,Ventas!$B$5:$B$504,"&gt;="&amp;DATE(Config!$M$7,10,1),Ventas!$B$5:$B$504,"&lt;"&amp;DATE(Config!$M$7,11,1))</f>
        <v>0</v>
      </c>
      <c r="E49" s="19" t="n">
        <f aca="false">SUMIFS(Ventas!$I$5:$I$504,Ventas!$B$5:$B$504,"&gt;="&amp;DATE(Config!$M$7,10,1),Ventas!$B$5:$B$504,"&lt;"&amp;DATE(Config!$M$7,11,1))</f>
        <v>0</v>
      </c>
      <c r="F49" s="19" t="str">
        <f aca="false">IFERROR($E$49/$C$49,"-")</f>
        <v>-</v>
      </c>
      <c r="G49" s="1"/>
    </row>
    <row r="50" customFormat="false" ht="15" hidden="false" customHeight="false" outlineLevel="0" collapsed="false">
      <c r="A50" s="1"/>
      <c r="B50" s="46" t="s">
        <v>197</v>
      </c>
      <c r="C50" s="17" t="n">
        <f aca="false">COUNTIFS(Ventas!$B$5:$B$504,"&gt;="&amp;DATE(Config!$M$7,11,1),Ventas!$B$5:$B$504,"&lt;"&amp;DATE(Config!$M$7,12,1))</f>
        <v>0</v>
      </c>
      <c r="D50" s="17" t="n">
        <f aca="false">SUMIFS(Ventas!$F$5:$F$504,Ventas!$B$5:$B$504,"&gt;="&amp;DATE(Config!$M$7,11,1),Ventas!$B$5:$B$504,"&lt;"&amp;DATE(Config!$M$7,12,1))</f>
        <v>0</v>
      </c>
      <c r="E50" s="19" t="n">
        <f aca="false">SUMIFS(Ventas!$I$5:$I$504,Ventas!$B$5:$B$504,"&gt;="&amp;DATE(Config!$M$7,11,1),Ventas!$B$5:$B$504,"&lt;"&amp;DATE(Config!$M$7,12,1))</f>
        <v>0</v>
      </c>
      <c r="F50" s="19" t="str">
        <f aca="false">IFERROR($E$50/$C$50,"-")</f>
        <v>-</v>
      </c>
      <c r="G50" s="1"/>
    </row>
    <row r="51" customFormat="false" ht="15" hidden="false" customHeight="false" outlineLevel="0" collapsed="false">
      <c r="A51" s="1"/>
      <c r="B51" s="46" t="s">
        <v>198</v>
      </c>
      <c r="C51" s="17" t="n">
        <f aca="false">COUNTIFS(Ventas!$B$5:$B$504,"&gt;="&amp;DATE(Config!$M$7,12,1),Ventas!$B$5:$B$504,"&lt;"&amp;DATE(Config!$M$7+1,1,1))</f>
        <v>0</v>
      </c>
      <c r="D51" s="17" t="n">
        <f aca="false">SUMIFS(Ventas!$F$5:$F$504,Ventas!$B$5:$B$504,"&gt;="&amp;DATE(Config!$M$7,12,1),Ventas!$B$5:$B$504,"&lt;"&amp;DATE(Config!$M$7+1,1,1))</f>
        <v>0</v>
      </c>
      <c r="E51" s="19" t="n">
        <f aca="false">SUMIFS(Ventas!$I$5:$I$504,Ventas!$B$5:$B$504,"&gt;="&amp;DATE(Config!$M$7,12,1),Ventas!$B$5:$B$504,"&lt;"&amp;DATE(Config!$M$7+1,1,1))</f>
        <v>0</v>
      </c>
      <c r="F51" s="19" t="str">
        <f aca="false">IFERROR($E$51/$C$51,"-")</f>
        <v>-</v>
      </c>
      <c r="G51" s="1"/>
    </row>
    <row r="52" customFormat="false" ht="15" hidden="false" customHeight="false" outlineLevel="0" collapsed="false">
      <c r="A52" s="1"/>
      <c r="B52" s="33" t="s">
        <v>172</v>
      </c>
      <c r="C52" s="35" t="n">
        <f aca="false">SUM(C40:C51)</f>
        <v>0</v>
      </c>
      <c r="D52" s="35" t="n">
        <f aca="false">SUM(D40:D51)</f>
        <v>0</v>
      </c>
      <c r="E52" s="36" t="n">
        <f aca="false">SUM(E40:E51)</f>
        <v>0</v>
      </c>
      <c r="F52" s="36" t="str">
        <f aca="false">IFERROR($E$52/$C$52,"-")</f>
        <v>-</v>
      </c>
      <c r="G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</row>
    <row r="55" customFormat="false" ht="15" hidden="false" customHeight="false" outlineLevel="0" collapsed="false">
      <c r="A55" s="1"/>
      <c r="B55" s="4" t="s">
        <v>199</v>
      </c>
      <c r="C55" s="1"/>
      <c r="D55" s="1"/>
      <c r="E55" s="1"/>
      <c r="F55" s="1"/>
      <c r="G55" s="1"/>
    </row>
    <row r="56" customFormat="false" ht="30" hidden="false" customHeight="true" outlineLevel="0" collapsed="false">
      <c r="A56" s="1"/>
      <c r="B56" s="45" t="s">
        <v>200</v>
      </c>
      <c r="C56" s="45" t="s">
        <v>33</v>
      </c>
      <c r="D56" s="45" t="s">
        <v>19</v>
      </c>
      <c r="E56" s="45" t="s">
        <v>179</v>
      </c>
      <c r="F56" s="45" t="s">
        <v>201</v>
      </c>
      <c r="G56" s="1"/>
    </row>
    <row r="57" customFormat="false" ht="15" hidden="false" customHeight="false" outlineLevel="0" collapsed="false">
      <c r="A57" s="1"/>
      <c r="B57" s="46" t="s">
        <v>202</v>
      </c>
      <c r="C57" s="21" t="str">
        <f aca="false">IFERROR(IF(LARGE(Inventario!$Q$5:$Q$100,1)&lt;1,"—",INDEX(Inventario!$B$5:$B$100,MATCH(LARGE(Inventario!$Q$5:$Q$100,1),Inventario!$Q$5:$Q$100,0))),"—")</f>
        <v>—</v>
      </c>
      <c r="D57" s="17" t="str">
        <f aca="false">IFERROR(IF(LARGE(Inventario!$Q$5:$Q$100,1)&lt;1,"",INDEX(Inventario!$K$5:$K$100,MATCH(LARGE(Inventario!$Q$5:$Q$100,1),Inventario!$Q$5:$Q$100,0))),"")</f>
        <v/>
      </c>
      <c r="E57" s="19" t="str">
        <f aca="false">IFERROR(IF(LARGE(Inventario!$Q$5:$Q$100,1)&lt;1,"",INDEX(Inventario!$N$5:$N$100,MATCH(LARGE(Inventario!$Q$5:$Q$100,1),Inventario!$Q$5:$Q$100,0))),"")</f>
        <v/>
      </c>
      <c r="F57" s="17" t="str">
        <f aca="false">IFERROR(IF(LARGE(Inventario!$Q$5:$Q$100,1)&lt;1,"",INDEX(Inventario!$L$5:$L$100,MATCH(LARGE(Inventario!$Q$5:$Q$100,1),Inventario!$Q$5:$Q$100,0))),"")</f>
        <v/>
      </c>
      <c r="G57" s="1"/>
    </row>
    <row r="58" customFormat="false" ht="15" hidden="false" customHeight="false" outlineLevel="0" collapsed="false">
      <c r="A58" s="1"/>
      <c r="B58" s="46" t="s">
        <v>203</v>
      </c>
      <c r="C58" s="21" t="str">
        <f aca="false">IFERROR(IF(LARGE(Inventario!$Q$5:$Q$100,2)&lt;1,"—",INDEX(Inventario!$B$5:$B$100,MATCH(LARGE(Inventario!$Q$5:$Q$100,2),Inventario!$Q$5:$Q$100,0))),"—")</f>
        <v>—</v>
      </c>
      <c r="D58" s="17" t="str">
        <f aca="false">IFERROR(IF(LARGE(Inventario!$Q$5:$Q$100,2)&lt;1,"",INDEX(Inventario!$K$5:$K$100,MATCH(LARGE(Inventario!$Q$5:$Q$100,2),Inventario!$Q$5:$Q$100,0))),"")</f>
        <v/>
      </c>
      <c r="E58" s="19" t="str">
        <f aca="false">IFERROR(IF(LARGE(Inventario!$Q$5:$Q$100,2)&lt;1,"",INDEX(Inventario!$N$5:$N$100,MATCH(LARGE(Inventario!$Q$5:$Q$100,2),Inventario!$Q$5:$Q$100,0))),"")</f>
        <v/>
      </c>
      <c r="F58" s="17" t="str">
        <f aca="false">IFERROR(IF(LARGE(Inventario!$Q$5:$Q$100,2)&lt;1,"",INDEX(Inventario!$L$5:$L$100,MATCH(LARGE(Inventario!$Q$5:$Q$100,2),Inventario!$Q$5:$Q$100,0))),"")</f>
        <v/>
      </c>
      <c r="G58" s="1"/>
    </row>
    <row r="59" customFormat="false" ht="15" hidden="false" customHeight="false" outlineLevel="0" collapsed="false">
      <c r="A59" s="1"/>
      <c r="B59" s="46" t="s">
        <v>204</v>
      </c>
      <c r="C59" s="21" t="str">
        <f aca="false">IFERROR(IF(LARGE(Inventario!$Q$5:$Q$100,3)&lt;1,"—",INDEX(Inventario!$B$5:$B$100,MATCH(LARGE(Inventario!$Q$5:$Q$100,3),Inventario!$Q$5:$Q$100,0))),"—")</f>
        <v>—</v>
      </c>
      <c r="D59" s="17" t="str">
        <f aca="false">IFERROR(IF(LARGE(Inventario!$Q$5:$Q$100,3)&lt;1,"",INDEX(Inventario!$K$5:$K$100,MATCH(LARGE(Inventario!$Q$5:$Q$100,3),Inventario!$Q$5:$Q$100,0))),"")</f>
        <v/>
      </c>
      <c r="E59" s="19" t="str">
        <f aca="false">IFERROR(IF(LARGE(Inventario!$Q$5:$Q$100,3)&lt;1,"",INDEX(Inventario!$N$5:$N$100,MATCH(LARGE(Inventario!$Q$5:$Q$100,3),Inventario!$Q$5:$Q$100,0))),"")</f>
        <v/>
      </c>
      <c r="F59" s="17" t="str">
        <f aca="false">IFERROR(IF(LARGE(Inventario!$Q$5:$Q$100,3)&lt;1,"",INDEX(Inventario!$L$5:$L$100,MATCH(LARGE(Inventario!$Q$5:$Q$100,3),Inventario!$Q$5:$Q$100,0))),"")</f>
        <v/>
      </c>
      <c r="G59" s="1"/>
    </row>
    <row r="60" customFormat="false" ht="15" hidden="false" customHeight="false" outlineLevel="0" collapsed="false">
      <c r="A60" s="1"/>
      <c r="B60" s="46" t="s">
        <v>205</v>
      </c>
      <c r="C60" s="21" t="str">
        <f aca="false">IFERROR(IF(LARGE(Inventario!$Q$5:$Q$100,4)&lt;1,"—",INDEX(Inventario!$B$5:$B$100,MATCH(LARGE(Inventario!$Q$5:$Q$100,4),Inventario!$Q$5:$Q$100,0))),"—")</f>
        <v>—</v>
      </c>
      <c r="D60" s="17" t="str">
        <f aca="false">IFERROR(IF(LARGE(Inventario!$Q$5:$Q$100,4)&lt;1,"",INDEX(Inventario!$K$5:$K$100,MATCH(LARGE(Inventario!$Q$5:$Q$100,4),Inventario!$Q$5:$Q$100,0))),"")</f>
        <v/>
      </c>
      <c r="E60" s="19" t="str">
        <f aca="false">IFERROR(IF(LARGE(Inventario!$Q$5:$Q$100,4)&lt;1,"",INDEX(Inventario!$N$5:$N$100,MATCH(LARGE(Inventario!$Q$5:$Q$100,4),Inventario!$Q$5:$Q$100,0))),"")</f>
        <v/>
      </c>
      <c r="F60" s="17" t="str">
        <f aca="false">IFERROR(IF(LARGE(Inventario!$Q$5:$Q$100,4)&lt;1,"",INDEX(Inventario!$L$5:$L$100,MATCH(LARGE(Inventario!$Q$5:$Q$100,4),Inventario!$Q$5:$Q$100,0))),"")</f>
        <v/>
      </c>
      <c r="G60" s="1"/>
    </row>
    <row r="61" customFormat="false" ht="15" hidden="false" customHeight="false" outlineLevel="0" collapsed="false">
      <c r="A61" s="1"/>
      <c r="B61" s="46" t="s">
        <v>206</v>
      </c>
      <c r="C61" s="21" t="str">
        <f aca="false">IFERROR(IF(LARGE(Inventario!$Q$5:$Q$100,5)&lt;1,"—",INDEX(Inventario!$B$5:$B$100,MATCH(LARGE(Inventario!$Q$5:$Q$100,5),Inventario!$Q$5:$Q$100,0))),"—")</f>
        <v>—</v>
      </c>
      <c r="D61" s="17" t="str">
        <f aca="false">IFERROR(IF(LARGE(Inventario!$Q$5:$Q$100,5)&lt;1,"",INDEX(Inventario!$K$5:$K$100,MATCH(LARGE(Inventario!$Q$5:$Q$100,5),Inventario!$Q$5:$Q$100,0))),"")</f>
        <v/>
      </c>
      <c r="E61" s="19" t="str">
        <f aca="false">IFERROR(IF(LARGE(Inventario!$Q$5:$Q$100,5)&lt;1,"",INDEX(Inventario!$N$5:$N$100,MATCH(LARGE(Inventario!$Q$5:$Q$100,5),Inventario!$Q$5:$Q$100,0))),"")</f>
        <v/>
      </c>
      <c r="F61" s="17" t="str">
        <f aca="false">IFERROR(IF(LARGE(Inventario!$Q$5:$Q$100,5)&lt;1,"",INDEX(Inventario!$L$5:$L$100,MATCH(LARGE(Inventario!$Q$5:$Q$100,5),Inventario!$Q$5:$Q$100,0))),"")</f>
        <v/>
      </c>
      <c r="G61" s="1"/>
    </row>
    <row r="62" customFormat="false" ht="15" hidden="false" customHeight="false" outlineLevel="0" collapsed="false">
      <c r="A62" s="1"/>
      <c r="B62" s="46" t="s">
        <v>207</v>
      </c>
      <c r="C62" s="21" t="str">
        <f aca="false">IFERROR(IF(LARGE(Inventario!$Q$5:$Q$100,6)&lt;1,"—",INDEX(Inventario!$B$5:$B$100,MATCH(LARGE(Inventario!$Q$5:$Q$100,6),Inventario!$Q$5:$Q$100,0))),"—")</f>
        <v>—</v>
      </c>
      <c r="D62" s="17" t="str">
        <f aca="false">IFERROR(IF(LARGE(Inventario!$Q$5:$Q$100,6)&lt;1,"",INDEX(Inventario!$K$5:$K$100,MATCH(LARGE(Inventario!$Q$5:$Q$100,6),Inventario!$Q$5:$Q$100,0))),"")</f>
        <v/>
      </c>
      <c r="E62" s="19" t="str">
        <f aca="false">IFERROR(IF(LARGE(Inventario!$Q$5:$Q$100,6)&lt;1,"",INDEX(Inventario!$N$5:$N$100,MATCH(LARGE(Inventario!$Q$5:$Q$100,6),Inventario!$Q$5:$Q$100,0))),"")</f>
        <v/>
      </c>
      <c r="F62" s="17" t="str">
        <f aca="false">IFERROR(IF(LARGE(Inventario!$Q$5:$Q$100,6)&lt;1,"",INDEX(Inventario!$L$5:$L$100,MATCH(LARGE(Inventario!$Q$5:$Q$100,6),Inventario!$Q$5:$Q$100,0))),"")</f>
        <v/>
      </c>
      <c r="G62" s="1"/>
    </row>
    <row r="63" customFormat="false" ht="15" hidden="false" customHeight="false" outlineLevel="0" collapsed="false">
      <c r="A63" s="1"/>
      <c r="B63" s="46" t="s">
        <v>208</v>
      </c>
      <c r="C63" s="21" t="str">
        <f aca="false">IFERROR(IF(LARGE(Inventario!$Q$5:$Q$100,7)&lt;1,"—",INDEX(Inventario!$B$5:$B$100,MATCH(LARGE(Inventario!$Q$5:$Q$100,7),Inventario!$Q$5:$Q$100,0))),"—")</f>
        <v>—</v>
      </c>
      <c r="D63" s="17" t="str">
        <f aca="false">IFERROR(IF(LARGE(Inventario!$Q$5:$Q$100,7)&lt;1,"",INDEX(Inventario!$K$5:$K$100,MATCH(LARGE(Inventario!$Q$5:$Q$100,7),Inventario!$Q$5:$Q$100,0))),"")</f>
        <v/>
      </c>
      <c r="E63" s="19" t="str">
        <f aca="false">IFERROR(IF(LARGE(Inventario!$Q$5:$Q$100,7)&lt;1,"",INDEX(Inventario!$N$5:$N$100,MATCH(LARGE(Inventario!$Q$5:$Q$100,7),Inventario!$Q$5:$Q$100,0))),"")</f>
        <v/>
      </c>
      <c r="F63" s="17" t="str">
        <f aca="false">IFERROR(IF(LARGE(Inventario!$Q$5:$Q$100,7)&lt;1,"",INDEX(Inventario!$L$5:$L$100,MATCH(LARGE(Inventario!$Q$5:$Q$100,7),Inventario!$Q$5:$Q$100,0))),"")</f>
        <v/>
      </c>
      <c r="G63" s="1"/>
    </row>
    <row r="64" customFormat="false" ht="15" hidden="false" customHeight="false" outlineLevel="0" collapsed="false">
      <c r="A64" s="1"/>
      <c r="B64" s="46" t="s">
        <v>209</v>
      </c>
      <c r="C64" s="21" t="str">
        <f aca="false">IFERROR(IF(LARGE(Inventario!$Q$5:$Q$100,8)&lt;1,"—",INDEX(Inventario!$B$5:$B$100,MATCH(LARGE(Inventario!$Q$5:$Q$100,8),Inventario!$Q$5:$Q$100,0))),"—")</f>
        <v>—</v>
      </c>
      <c r="D64" s="17" t="str">
        <f aca="false">IFERROR(IF(LARGE(Inventario!$Q$5:$Q$100,8)&lt;1,"",INDEX(Inventario!$K$5:$K$100,MATCH(LARGE(Inventario!$Q$5:$Q$100,8),Inventario!$Q$5:$Q$100,0))),"")</f>
        <v/>
      </c>
      <c r="E64" s="19" t="str">
        <f aca="false">IFERROR(IF(LARGE(Inventario!$Q$5:$Q$100,8)&lt;1,"",INDEX(Inventario!$N$5:$N$100,MATCH(LARGE(Inventario!$Q$5:$Q$100,8),Inventario!$Q$5:$Q$100,0))),"")</f>
        <v/>
      </c>
      <c r="F64" s="17" t="str">
        <f aca="false">IFERROR(IF(LARGE(Inventario!$Q$5:$Q$100,8)&lt;1,"",INDEX(Inventario!$L$5:$L$100,MATCH(LARGE(Inventario!$Q$5:$Q$100,8),Inventario!$Q$5:$Q$100,0))),"")</f>
        <v/>
      </c>
      <c r="G64" s="1"/>
    </row>
    <row r="65" customFormat="false" ht="15" hidden="false" customHeight="false" outlineLevel="0" collapsed="false">
      <c r="A65" s="1"/>
      <c r="B65" s="46" t="s">
        <v>210</v>
      </c>
      <c r="C65" s="21" t="str">
        <f aca="false">IFERROR(IF(LARGE(Inventario!$Q$5:$Q$100,9)&lt;1,"—",INDEX(Inventario!$B$5:$B$100,MATCH(LARGE(Inventario!$Q$5:$Q$100,9),Inventario!$Q$5:$Q$100,0))),"—")</f>
        <v>—</v>
      </c>
      <c r="D65" s="17" t="str">
        <f aca="false">IFERROR(IF(LARGE(Inventario!$Q$5:$Q$100,9)&lt;1,"",INDEX(Inventario!$K$5:$K$100,MATCH(LARGE(Inventario!$Q$5:$Q$100,9),Inventario!$Q$5:$Q$100,0))),"")</f>
        <v/>
      </c>
      <c r="E65" s="19" t="str">
        <f aca="false">IFERROR(IF(LARGE(Inventario!$Q$5:$Q$100,9)&lt;1,"",INDEX(Inventario!$N$5:$N$100,MATCH(LARGE(Inventario!$Q$5:$Q$100,9),Inventario!$Q$5:$Q$100,0))),"")</f>
        <v/>
      </c>
      <c r="F65" s="17" t="str">
        <f aca="false">IFERROR(IF(LARGE(Inventario!$Q$5:$Q$100,9)&lt;1,"",INDEX(Inventario!$L$5:$L$100,MATCH(LARGE(Inventario!$Q$5:$Q$100,9),Inventario!$Q$5:$Q$100,0))),"")</f>
        <v/>
      </c>
      <c r="G65" s="1"/>
    </row>
    <row r="66" customFormat="false" ht="15" hidden="false" customHeight="false" outlineLevel="0" collapsed="false">
      <c r="A66" s="1"/>
      <c r="B66" s="46" t="s">
        <v>211</v>
      </c>
      <c r="C66" s="21" t="str">
        <f aca="false">IFERROR(IF(LARGE(Inventario!$Q$5:$Q$100,10)&lt;1,"—",INDEX(Inventario!$B$5:$B$100,MATCH(LARGE(Inventario!$Q$5:$Q$100,10),Inventario!$Q$5:$Q$100,0))),"—")</f>
        <v>—</v>
      </c>
      <c r="D66" s="17" t="str">
        <f aca="false">IFERROR(IF(LARGE(Inventario!$Q$5:$Q$100,10)&lt;1,"",INDEX(Inventario!$K$5:$K$100,MATCH(LARGE(Inventario!$Q$5:$Q$100,10),Inventario!$Q$5:$Q$100,0))),"")</f>
        <v/>
      </c>
      <c r="E66" s="19" t="str">
        <f aca="false">IFERROR(IF(LARGE(Inventario!$Q$5:$Q$100,10)&lt;1,"",INDEX(Inventario!$N$5:$N$100,MATCH(LARGE(Inventario!$Q$5:$Q$100,10),Inventario!$Q$5:$Q$100,0))),"")</f>
        <v/>
      </c>
      <c r="F66" s="17" t="str">
        <f aca="false">IFERROR(IF(LARGE(Inventario!$Q$5:$Q$100,10)&lt;1,"",INDEX(Inventario!$L$5:$L$100,MATCH(LARGE(Inventario!$Q$5:$Q$100,10),Inventario!$Q$5:$Q$100,0))),"")</f>
        <v/>
      </c>
      <c r="G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</row>
    <row r="69" customFormat="false" ht="15" hidden="false" customHeight="false" outlineLevel="0" collapsed="false">
      <c r="A69" s="1"/>
      <c r="B69" s="4" t="s">
        <v>212</v>
      </c>
      <c r="C69" s="1"/>
      <c r="D69" s="1"/>
      <c r="E69" s="1"/>
      <c r="F69" s="1"/>
      <c r="G69" s="1"/>
    </row>
    <row r="70" customFormat="false" ht="30" hidden="false" customHeight="true" outlineLevel="0" collapsed="false">
      <c r="A70" s="1"/>
      <c r="B70" s="45" t="s">
        <v>200</v>
      </c>
      <c r="C70" s="45" t="s">
        <v>33</v>
      </c>
      <c r="D70" s="45" t="s">
        <v>42</v>
      </c>
      <c r="E70" s="45" t="s">
        <v>19</v>
      </c>
      <c r="F70" s="45" t="s">
        <v>45</v>
      </c>
      <c r="G70" s="1"/>
    </row>
    <row r="71" customFormat="false" ht="15" hidden="false" customHeight="false" outlineLevel="0" collapsed="false">
      <c r="A71" s="1"/>
      <c r="B71" s="46" t="s">
        <v>202</v>
      </c>
      <c r="C71" s="21" t="str">
        <f aca="false">IFERROR(IF(SMALL(Inventario!$R$5:$R$100,1)&gt;Config!$M$6+0.5,"—",INDEX(Inventario!$B$5:$B$100,MATCH(SMALL(Inventario!$R$5:$R$100,1),Inventario!$R$5:$R$100,0))),"—")</f>
        <v>Pato · Mediano · Bebé</v>
      </c>
      <c r="D71" s="17" t="n">
        <f aca="false">IFERROR(IF(SMALL(Inventario!$R$5:$R$100,1)&gt;Config!$M$6+0.5,"",INDEX(Inventario!$L$5:$L$100,MATCH(SMALL(Inventario!$R$5:$R$100,1),Inventario!$R$5:$R$100,0))),"")</f>
        <v>1</v>
      </c>
      <c r="E71" s="17" t="n">
        <f aca="false">IFERROR(IF(SMALL(Inventario!$R$5:$R$100,1)&gt;Config!$M$6+0.5,"",INDEX(Inventario!$K$5:$K$100,MATCH(SMALL(Inventario!$R$5:$R$100,1),Inventario!$R$5:$R$100,0))),"")</f>
        <v>0</v>
      </c>
      <c r="F71" s="21" t="str">
        <f aca="false">IFERROR(IF(SMALL(Inventario!$R$5:$R$100,1)&gt;Config!$M$6+0.5,"",INDEX(Inventario!$O$5:$O$100,MATCH(SMALL(Inventario!$R$5:$R$100,1),Inventario!$R$5:$R$100,0))),"")</f>
        <v>BAJO</v>
      </c>
      <c r="G71" s="1"/>
    </row>
    <row r="72" customFormat="false" ht="15" hidden="false" customHeight="false" outlineLevel="0" collapsed="false">
      <c r="A72" s="1"/>
      <c r="B72" s="46" t="s">
        <v>203</v>
      </c>
      <c r="C72" s="21" t="str">
        <f aca="false">IFERROR(IF(SMALL(Inventario!$R$5:$R$100,2)&gt;Config!$M$6+0.5,"—",INDEX(Inventario!$B$5:$B$100,MATCH(SMALL(Inventario!$R$5:$R$100,2),Inventario!$R$5:$R$100,0))),"—")</f>
        <v>Pato · Grande · Bebé</v>
      </c>
      <c r="D72" s="17" t="n">
        <f aca="false">IFERROR(IF(SMALL(Inventario!$R$5:$R$100,2)&gt;Config!$M$6+0.5,"",INDEX(Inventario!$L$5:$L$100,MATCH(SMALL(Inventario!$R$5:$R$100,2),Inventario!$R$5:$R$100,0))),"")</f>
        <v>1</v>
      </c>
      <c r="E72" s="17" t="n">
        <f aca="false">IFERROR(IF(SMALL(Inventario!$R$5:$R$100,2)&gt;Config!$M$6+0.5,"",INDEX(Inventario!$K$5:$K$100,MATCH(SMALL(Inventario!$R$5:$R$100,2),Inventario!$R$5:$R$100,0))),"")</f>
        <v>0</v>
      </c>
      <c r="F72" s="21" t="str">
        <f aca="false">IFERROR(IF(SMALL(Inventario!$R$5:$R$100,2)&gt;Config!$M$6+0.5,"",INDEX(Inventario!$O$5:$O$100,MATCH(SMALL(Inventario!$R$5:$R$100,2),Inventario!$R$5:$R$100,0))),"")</f>
        <v>BAJO</v>
      </c>
      <c r="G72" s="1"/>
    </row>
    <row r="73" customFormat="false" ht="15" hidden="false" customHeight="false" outlineLevel="0" collapsed="false">
      <c r="A73" s="1"/>
      <c r="B73" s="46" t="s">
        <v>204</v>
      </c>
      <c r="C73" s="21" t="str">
        <f aca="false">IFERROR(IF(SMALL(Inventario!$R$5:$R$100,3)&gt;Config!$M$6+0.5,"—",INDEX(Inventario!$B$5:$B$100,MATCH(SMALL(Inventario!$R$5:$R$100,3),Inventario!$R$5:$R$100,0))),"—")</f>
        <v>Cadena de corazones · Mini · Otros</v>
      </c>
      <c r="D73" s="17" t="n">
        <f aca="false">IFERROR(IF(SMALL(Inventario!$R$5:$R$100,3)&gt;Config!$M$6+0.5,"",INDEX(Inventario!$L$5:$L$100,MATCH(SMALL(Inventario!$R$5:$R$100,3),Inventario!$R$5:$R$100,0))),"")</f>
        <v>1</v>
      </c>
      <c r="E73" s="17" t="n">
        <f aca="false">IFERROR(IF(SMALL(Inventario!$R$5:$R$100,3)&gt;Config!$M$6+0.5,"",INDEX(Inventario!$K$5:$K$100,MATCH(SMALL(Inventario!$R$5:$R$100,3),Inventario!$R$5:$R$100,0))),"")</f>
        <v>0</v>
      </c>
      <c r="F73" s="21" t="str">
        <f aca="false">IFERROR(IF(SMALL(Inventario!$R$5:$R$100,3)&gt;Config!$M$6+0.5,"",INDEX(Inventario!$O$5:$O$100,MATCH(SMALL(Inventario!$R$5:$R$100,3),Inventario!$R$5:$R$100,0))),"")</f>
        <v>BAJO</v>
      </c>
      <c r="G73" s="1"/>
    </row>
    <row r="74" customFormat="false" ht="15" hidden="false" customHeight="false" outlineLevel="0" collapsed="false">
      <c r="A74" s="1"/>
      <c r="B74" s="46" t="s">
        <v>205</v>
      </c>
      <c r="C74" s="21" t="str">
        <f aca="false">IFERROR(IF(SMALL(Inventario!$R$5:$R$100,4)&gt;Config!$M$6+0.5,"—",INDEX(Inventario!$B$5:$B$100,MATCH(SMALL(Inventario!$R$5:$R$100,4),Inventario!$R$5:$R$100,0))),"—")</f>
        <v>Cadena de corazones · Mediano · Otros</v>
      </c>
      <c r="D74" s="17" t="n">
        <f aca="false">IFERROR(IF(SMALL(Inventario!$R$5:$R$100,4)&gt;Config!$M$6+0.5,"",INDEX(Inventario!$L$5:$L$100,MATCH(SMALL(Inventario!$R$5:$R$100,4),Inventario!$R$5:$R$100,0))),"")</f>
        <v>1</v>
      </c>
      <c r="E74" s="17" t="n">
        <f aca="false">IFERROR(IF(SMALL(Inventario!$R$5:$R$100,4)&gt;Config!$M$6+0.5,"",INDEX(Inventario!$K$5:$K$100,MATCH(SMALL(Inventario!$R$5:$R$100,4),Inventario!$R$5:$R$100,0))),"")</f>
        <v>0</v>
      </c>
      <c r="F74" s="21" t="str">
        <f aca="false">IFERROR(IF(SMALL(Inventario!$R$5:$R$100,4)&gt;Config!$M$6+0.5,"",INDEX(Inventario!$O$5:$O$100,MATCH(SMALL(Inventario!$R$5:$R$100,4),Inventario!$R$5:$R$100,0))),"")</f>
        <v>BAJO</v>
      </c>
      <c r="G74" s="1"/>
    </row>
    <row r="75" customFormat="false" ht="15" hidden="false" customHeight="false" outlineLevel="0" collapsed="false">
      <c r="A75" s="1"/>
      <c r="B75" s="46" t="s">
        <v>206</v>
      </c>
      <c r="C75" s="21" t="str">
        <f aca="false">IFERROR(IF(SMALL(Inventario!$R$5:$R$100,5)&gt;Config!$M$6+0.5,"—",INDEX(Inventario!$B$5:$B$100,MATCH(SMALL(Inventario!$R$5:$R$100,5),Inventario!$R$5:$R$100,0))),"—")</f>
        <v>Cadena de corazones · Único mixta · Otros</v>
      </c>
      <c r="D75" s="17" t="n">
        <f aca="false">IFERROR(IF(SMALL(Inventario!$R$5:$R$100,5)&gt;Config!$M$6+0.5,"",INDEX(Inventario!$L$5:$L$100,MATCH(SMALL(Inventario!$R$5:$R$100,5),Inventario!$R$5:$R$100,0))),"")</f>
        <v>1</v>
      </c>
      <c r="E75" s="17" t="n">
        <f aca="false">IFERROR(IF(SMALL(Inventario!$R$5:$R$100,5)&gt;Config!$M$6+0.5,"",INDEX(Inventario!$K$5:$K$100,MATCH(SMALL(Inventario!$R$5:$R$100,5),Inventario!$R$5:$R$100,0))),"")</f>
        <v>0</v>
      </c>
      <c r="F75" s="21" t="str">
        <f aca="false">IFERROR(IF(SMALL(Inventario!$R$5:$R$100,5)&gt;Config!$M$6+0.5,"",INDEX(Inventario!$O$5:$O$100,MATCH(SMALL(Inventario!$R$5:$R$100,5),Inventario!$R$5:$R$100,0))),"")</f>
        <v>BAJO</v>
      </c>
      <c r="G75" s="1"/>
    </row>
    <row r="76" customFormat="false" ht="15" hidden="false" customHeight="false" outlineLevel="0" collapsed="false">
      <c r="A76" s="1"/>
      <c r="B76" s="46" t="s">
        <v>207</v>
      </c>
      <c r="C76" s="21" t="str">
        <f aca="false">IFERROR(IF(SMALL(Inventario!$R$5:$R$100,6)&gt;Config!$M$6+0.5,"—",INDEX(Inventario!$B$5:$B$100,MATCH(SMALL(Inventario!$R$5:$R$100,6),Inventario!$R$5:$R$100,0))),"—")</f>
        <v>Pulpo · Único · Mar</v>
      </c>
      <c r="D76" s="17" t="n">
        <f aca="false">IFERROR(IF(SMALL(Inventario!$R$5:$R$100,6)&gt;Config!$M$6+0.5,"",INDEX(Inventario!$L$5:$L$100,MATCH(SMALL(Inventario!$R$5:$R$100,6),Inventario!$R$5:$R$100,0))),"")</f>
        <v>2</v>
      </c>
      <c r="E76" s="17" t="n">
        <f aca="false">IFERROR(IF(SMALL(Inventario!$R$5:$R$100,6)&gt;Config!$M$6+0.5,"",INDEX(Inventario!$K$5:$K$100,MATCH(SMALL(Inventario!$R$5:$R$100,6),Inventario!$R$5:$R$100,0))),"")</f>
        <v>0</v>
      </c>
      <c r="F76" s="21" t="str">
        <f aca="false">IFERROR(IF(SMALL(Inventario!$R$5:$R$100,6)&gt;Config!$M$6+0.5,"",INDEX(Inventario!$O$5:$O$100,MATCH(SMALL(Inventario!$R$5:$R$100,6),Inventario!$R$5:$R$100,0))),"")</f>
        <v>BAJO</v>
      </c>
      <c r="G76" s="1"/>
    </row>
    <row r="77" customFormat="false" ht="15" hidden="false" customHeight="false" outlineLevel="0" collapsed="false">
      <c r="A77" s="1"/>
      <c r="B77" s="46" t="s">
        <v>208</v>
      </c>
      <c r="C77" s="21" t="str">
        <f aca="false">IFERROR(IF(SMALL(Inventario!$R$5:$R$100,7)&gt;Config!$M$6+0.5,"—",INDEX(Inventario!$B$5:$B$100,MATCH(SMALL(Inventario!$R$5:$R$100,7),Inventario!$R$5:$R$100,0))),"—")</f>
        <v>Papá Noel Bernabela · Pequeño · Navidad</v>
      </c>
      <c r="D77" s="17" t="n">
        <f aca="false">IFERROR(IF(SMALL(Inventario!$R$5:$R$100,7)&gt;Config!$M$6+0.5,"",INDEX(Inventario!$L$5:$L$100,MATCH(SMALL(Inventario!$R$5:$R$100,7),Inventario!$R$5:$R$100,0))),"")</f>
        <v>2</v>
      </c>
      <c r="E77" s="17" t="n">
        <f aca="false">IFERROR(IF(SMALL(Inventario!$R$5:$R$100,7)&gt;Config!$M$6+0.5,"",INDEX(Inventario!$K$5:$K$100,MATCH(SMALL(Inventario!$R$5:$R$100,7),Inventario!$R$5:$R$100,0))),"")</f>
        <v>0</v>
      </c>
      <c r="F77" s="21" t="str">
        <f aca="false">IFERROR(IF(SMALL(Inventario!$R$5:$R$100,7)&gt;Config!$M$6+0.5,"",INDEX(Inventario!$O$5:$O$100,MATCH(SMALL(Inventario!$R$5:$R$100,7),Inventario!$R$5:$R$100,0))),"")</f>
        <v>BAJO</v>
      </c>
      <c r="G77" s="1"/>
    </row>
    <row r="78" customFormat="false" ht="15" hidden="false" customHeight="false" outlineLevel="0" collapsed="false">
      <c r="A78" s="1"/>
      <c r="B78" s="46" t="s">
        <v>209</v>
      </c>
      <c r="C78" s="21" t="str">
        <f aca="false">IFERROR(IF(SMALL(Inventario!$R$5:$R$100,8)&gt;Config!$M$6+0.5,"—",INDEX(Inventario!$B$5:$B$100,MATCH(SMALL(Inventario!$R$5:$R$100,8),Inventario!$R$5:$R$100,0))),"—")</f>
        <v>Papá Noel Bernabela · Grande · Navidad</v>
      </c>
      <c r="D78" s="17" t="n">
        <f aca="false">IFERROR(IF(SMALL(Inventario!$R$5:$R$100,8)&gt;Config!$M$6+0.5,"",INDEX(Inventario!$L$5:$L$100,MATCH(SMALL(Inventario!$R$5:$R$100,8),Inventario!$R$5:$R$100,0))),"")</f>
        <v>2</v>
      </c>
      <c r="E78" s="17" t="n">
        <f aca="false">IFERROR(IF(SMALL(Inventario!$R$5:$R$100,8)&gt;Config!$M$6+0.5,"",INDEX(Inventario!$K$5:$K$100,MATCH(SMALL(Inventario!$R$5:$R$100,8),Inventario!$R$5:$R$100,0))),"")</f>
        <v>0</v>
      </c>
      <c r="F78" s="21" t="str">
        <f aca="false">IFERROR(IF(SMALL(Inventario!$R$5:$R$100,8)&gt;Config!$M$6+0.5,"",INDEX(Inventario!$O$5:$O$100,MATCH(SMALL(Inventario!$R$5:$R$100,8),Inventario!$R$5:$R$100,0))),"")</f>
        <v>BAJO</v>
      </c>
      <c r="G78" s="1"/>
    </row>
    <row r="79" customFormat="false" ht="15" hidden="false" customHeight="false" outlineLevel="0" collapsed="false">
      <c r="A79" s="1"/>
      <c r="B79" s="46" t="s">
        <v>210</v>
      </c>
      <c r="C79" s="21" t="str">
        <f aca="false">IFERROR(IF(SMALL(Inventario!$R$5:$R$100,9)&gt;Config!$M$6+0.5,"—",INDEX(Inventario!$B$5:$B$100,MATCH(SMALL(Inventario!$R$5:$R$100,9),Inventario!$R$5:$R$100,0))),"—")</f>
        <v>Pato dormilón · Único · Bebé</v>
      </c>
      <c r="D79" s="17" t="n">
        <f aca="false">IFERROR(IF(SMALL(Inventario!$R$5:$R$100,9)&gt;Config!$M$6+0.5,"",INDEX(Inventario!$L$5:$L$100,MATCH(SMALL(Inventario!$R$5:$R$100,9),Inventario!$R$5:$R$100,0))),"")</f>
        <v>3</v>
      </c>
      <c r="E79" s="17" t="n">
        <f aca="false">IFERROR(IF(SMALL(Inventario!$R$5:$R$100,9)&gt;Config!$M$6+0.5,"",INDEX(Inventario!$K$5:$K$100,MATCH(SMALL(Inventario!$R$5:$R$100,9),Inventario!$R$5:$R$100,0))),"")</f>
        <v>0</v>
      </c>
      <c r="F79" s="21" t="str">
        <f aca="false">IFERROR(IF(SMALL(Inventario!$R$5:$R$100,9)&gt;Config!$M$6+0.5,"",INDEX(Inventario!$O$5:$O$100,MATCH(SMALL(Inventario!$R$5:$R$100,9),Inventario!$R$5:$R$100,0))),"")</f>
        <v>BAJO</v>
      </c>
      <c r="G79" s="1"/>
    </row>
    <row r="80" customFormat="false" ht="15" hidden="false" customHeight="false" outlineLevel="0" collapsed="false">
      <c r="A80" s="1"/>
      <c r="B80" s="46" t="s">
        <v>211</v>
      </c>
      <c r="C80" s="21" t="str">
        <f aca="false">IFERROR(IF(SMALL(Inventario!$R$5:$R$100,10)&gt;Config!$M$6+0.5,"—",INDEX(Inventario!$B$5:$B$100,MATCH(SMALL(Inventario!$R$5:$R$100,10),Inventario!$R$5:$R$100,0))),"—")</f>
        <v>Vaca · Pequeño · Granja</v>
      </c>
      <c r="D80" s="17" t="n">
        <f aca="false">IFERROR(IF(SMALL(Inventario!$R$5:$R$100,10)&gt;Config!$M$6+0.5,"",INDEX(Inventario!$L$5:$L$100,MATCH(SMALL(Inventario!$R$5:$R$100,10),Inventario!$R$5:$R$100,0))),"")</f>
        <v>3</v>
      </c>
      <c r="E80" s="17" t="n">
        <f aca="false">IFERROR(IF(SMALL(Inventario!$R$5:$R$100,10)&gt;Config!$M$6+0.5,"",INDEX(Inventario!$K$5:$K$100,MATCH(SMALL(Inventario!$R$5:$R$100,10),Inventario!$R$5:$R$100,0))),"")</f>
        <v>0</v>
      </c>
      <c r="F80" s="21" t="str">
        <f aca="false">IFERROR(IF(SMALL(Inventario!$R$5:$R$100,10)&gt;Config!$M$6+0.5,"",INDEX(Inventario!$O$5:$O$100,MATCH(SMALL(Inventario!$R$5:$R$100,10),Inventario!$R$5:$R$100,0))),"")</f>
        <v>BAJO</v>
      </c>
      <c r="G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</row>
    <row r="83" customFormat="false" ht="15" hidden="false" customHeight="false" outlineLevel="0" collapsed="false">
      <c r="A83" s="1"/>
      <c r="B83" s="3" t="s">
        <v>213</v>
      </c>
      <c r="C83" s="1"/>
      <c r="D83" s="1"/>
      <c r="E83" s="1"/>
      <c r="F83" s="1"/>
      <c r="G83" s="1"/>
    </row>
    <row r="84" customFormat="false" ht="15" hidden="false" customHeight="false" outlineLevel="0" collapsed="false">
      <c r="A84" s="1"/>
      <c r="B84" s="3" t="s">
        <v>214</v>
      </c>
      <c r="C84" s="1"/>
      <c r="D84" s="1"/>
      <c r="E84" s="1"/>
      <c r="F84" s="1"/>
      <c r="G8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2"/>
    <col collapsed="false" customWidth="true" hidden="false" outlineLevel="0" max="7" min="7" style="0" width="15"/>
    <col collapsed="false" customWidth="true" hidden="false" outlineLevel="0" max="8" min="8" style="0" width="2"/>
    <col collapsed="false" customWidth="true" hidden="false" outlineLevel="0" max="9" min="9" style="0" width="22"/>
    <col collapsed="false" customWidth="true" hidden="false" outlineLevel="0" max="11" min="10" style="0" width="2"/>
    <col collapsed="false" customWidth="true" hidden="false" outlineLevel="0" max="12" min="12" style="0" width="32"/>
    <col collapsed="false" customWidth="true" hidden="false" outlineLevel="0" max="13" min="13" style="0" width="14"/>
  </cols>
  <sheetData>
    <row r="1" customFormat="false" ht="24" hidden="false" customHeight="true" outlineLevel="0" collapsed="false">
      <c r="A1" s="1"/>
      <c r="B1" s="2" t="s">
        <v>215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/>
      <c r="B2" s="3" t="s">
        <v>216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4" t="s">
        <v>217</v>
      </c>
      <c r="C4" s="1"/>
      <c r="D4" s="4" t="s">
        <v>218</v>
      </c>
      <c r="E4" s="1"/>
      <c r="F4" s="1"/>
      <c r="G4" s="4" t="s">
        <v>219</v>
      </c>
      <c r="H4" s="1"/>
      <c r="I4" s="4" t="s">
        <v>220</v>
      </c>
      <c r="J4" s="1"/>
      <c r="K4" s="1"/>
      <c r="L4" s="4" t="s">
        <v>221</v>
      </c>
      <c r="M4" s="1"/>
    </row>
    <row r="5" customFormat="false" ht="19.5" hidden="false" customHeight="true" outlineLevel="0" collapsed="false">
      <c r="A5" s="1"/>
      <c r="B5" s="45" t="s">
        <v>34</v>
      </c>
      <c r="C5" s="1"/>
      <c r="D5" s="45" t="s">
        <v>35</v>
      </c>
      <c r="E5" s="45" t="s">
        <v>222</v>
      </c>
      <c r="F5" s="1"/>
      <c r="G5" s="45" t="s">
        <v>223</v>
      </c>
      <c r="H5" s="1"/>
      <c r="I5" s="45" t="s">
        <v>170</v>
      </c>
      <c r="J5" s="1"/>
      <c r="K5" s="1"/>
      <c r="L5" s="45" t="s">
        <v>224</v>
      </c>
      <c r="M5" s="45" t="s">
        <v>225</v>
      </c>
    </row>
    <row r="6" customFormat="false" ht="15" hidden="false" customHeight="false" outlineLevel="0" collapsed="false">
      <c r="A6" s="1"/>
      <c r="B6" s="13" t="s">
        <v>50</v>
      </c>
      <c r="C6" s="1"/>
      <c r="D6" s="13" t="s">
        <v>128</v>
      </c>
      <c r="E6" s="21" t="n">
        <v>1</v>
      </c>
      <c r="F6" s="1"/>
      <c r="G6" s="13" t="s">
        <v>226</v>
      </c>
      <c r="H6" s="1"/>
      <c r="I6" s="13" t="s">
        <v>227</v>
      </c>
      <c r="J6" s="1"/>
      <c r="K6" s="1"/>
      <c r="L6" s="46" t="s">
        <v>228</v>
      </c>
      <c r="M6" s="49" t="n">
        <v>3</v>
      </c>
    </row>
    <row r="7" customFormat="false" ht="15" hidden="false" customHeight="false" outlineLevel="0" collapsed="false">
      <c r="A7" s="1"/>
      <c r="B7" s="13" t="s">
        <v>75</v>
      </c>
      <c r="C7" s="1"/>
      <c r="D7" s="13" t="s">
        <v>58</v>
      </c>
      <c r="E7" s="21" t="n">
        <v>2</v>
      </c>
      <c r="F7" s="1"/>
      <c r="G7" s="13" t="s">
        <v>229</v>
      </c>
      <c r="H7" s="1"/>
      <c r="I7" s="13" t="s">
        <v>230</v>
      </c>
      <c r="J7" s="1"/>
      <c r="K7" s="1"/>
      <c r="L7" s="46" t="s">
        <v>231</v>
      </c>
      <c r="M7" s="49" t="n">
        <v>2026</v>
      </c>
    </row>
    <row r="8" customFormat="false" ht="15" hidden="false" customHeight="false" outlineLevel="0" collapsed="false">
      <c r="A8" s="1"/>
      <c r="B8" s="13" t="s">
        <v>94</v>
      </c>
      <c r="C8" s="1"/>
      <c r="D8" s="13" t="s">
        <v>65</v>
      </c>
      <c r="E8" s="21" t="n">
        <v>3</v>
      </c>
      <c r="F8" s="1"/>
      <c r="G8" s="13" t="s">
        <v>232</v>
      </c>
      <c r="H8" s="1"/>
      <c r="I8" s="13" t="s">
        <v>233</v>
      </c>
      <c r="J8" s="1"/>
      <c r="K8" s="1"/>
      <c r="L8" s="46" t="s">
        <v>234</v>
      </c>
      <c r="M8" s="49" t="s">
        <v>235</v>
      </c>
    </row>
    <row r="9" customFormat="false" ht="15" hidden="false" customHeight="false" outlineLevel="0" collapsed="false">
      <c r="A9" s="1"/>
      <c r="B9" s="13" t="s">
        <v>103</v>
      </c>
      <c r="C9" s="1"/>
      <c r="D9" s="13" t="s">
        <v>67</v>
      </c>
      <c r="E9" s="21" t="n">
        <v>4</v>
      </c>
      <c r="F9" s="1"/>
      <c r="G9" s="13" t="s">
        <v>236</v>
      </c>
      <c r="H9" s="1"/>
      <c r="I9" s="13" t="s">
        <v>237</v>
      </c>
      <c r="J9" s="1"/>
      <c r="K9" s="1"/>
      <c r="L9" s="1"/>
      <c r="M9" s="1"/>
    </row>
    <row r="10" customFormat="false" ht="15" hidden="false" customHeight="false" outlineLevel="0" collapsed="false">
      <c r="A10" s="1"/>
      <c r="B10" s="13" t="s">
        <v>106</v>
      </c>
      <c r="C10" s="1"/>
      <c r="D10" s="13" t="s">
        <v>51</v>
      </c>
      <c r="E10" s="21" t="n">
        <v>5</v>
      </c>
      <c r="F10" s="1"/>
      <c r="G10" s="13" t="s">
        <v>238</v>
      </c>
      <c r="H10" s="1"/>
      <c r="I10" s="1"/>
      <c r="J10" s="1"/>
      <c r="K10" s="1"/>
      <c r="L10" s="1"/>
      <c r="M10" s="1"/>
    </row>
    <row r="11" customFormat="false" ht="15" hidden="false" customHeight="false" outlineLevel="0" collapsed="false">
      <c r="A11" s="1"/>
      <c r="B11" s="13" t="s">
        <v>109</v>
      </c>
      <c r="C11" s="1"/>
      <c r="D11" s="1"/>
      <c r="E11" s="1"/>
      <c r="F11" s="1"/>
      <c r="G11" s="1"/>
      <c r="H11" s="1"/>
      <c r="I11" s="1"/>
      <c r="J11" s="1"/>
      <c r="K11" s="1"/>
      <c r="L11" s="3" t="s">
        <v>239</v>
      </c>
      <c r="M11" s="1"/>
    </row>
    <row r="12" customFormat="false" ht="15" hidden="false" customHeight="false" outlineLevel="0" collapsed="false">
      <c r="A12" s="1"/>
      <c r="B12" s="13" t="s">
        <v>122</v>
      </c>
      <c r="C12" s="1"/>
      <c r="D12" s="1"/>
      <c r="E12" s="1"/>
      <c r="F12" s="1"/>
      <c r="G12" s="1"/>
      <c r="H12" s="1"/>
      <c r="I12" s="1"/>
      <c r="J12" s="1"/>
      <c r="K12" s="1"/>
      <c r="L12" s="3" t="s">
        <v>240</v>
      </c>
      <c r="M12" s="1"/>
    </row>
    <row r="13" customFormat="false" ht="15" hidden="false" customHeight="false" outlineLevel="0" collapsed="false">
      <c r="A13" s="1"/>
      <c r="B13" s="13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5" hidden="false" customHeight="false" outlineLevel="0" collapsed="false">
      <c r="A14" s="1"/>
      <c r="B14" s="13" t="s">
        <v>139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2026-09-07T13:26:29Z</dcterms:created>
  <dc:creator>openpyxl</dc:creator>
  <dc:description/>
  <dc:language>en-US</dc:language>
  <cp:lastModifiedBy/>
  <dcterms:modified xsi:type="dcterms:W3CDTF">2026-09-07T13:26:31Z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